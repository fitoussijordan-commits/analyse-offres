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lafrance-my.sharepoint.com/personal/s_giraud_drhauschka_fr/Documents/Bureau/Trade marketing 2026/"/>
    </mc:Choice>
  </mc:AlternateContent>
  <xr:revisionPtr revIDLastSave="277" documentId="8_{37E13759-08B6-478A-A57B-33CE543C16CD}" xr6:coauthVersionLast="47" xr6:coauthVersionMax="47" xr10:uidLastSave="{55F9CCFF-8918-4C7E-9FCD-EA50F155ABBF}"/>
  <bookViews>
    <workbookView xWindow="28680" yWindow="960" windowWidth="29040" windowHeight="15720" activeTab="2" xr2:uid="{5748C34A-91BB-4E17-9246-854A148850F9}"/>
  </bookViews>
  <sheets>
    <sheet name="REGENERANTS" sheetId="1" r:id="rId1"/>
    <sheet name="Fiche paramètrage" sheetId="3" r:id="rId2"/>
    <sheet name="Proposition template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8" i="2" l="1"/>
  <c r="N168" i="2"/>
  <c r="M168" i="2"/>
  <c r="O167" i="2"/>
  <c r="N167" i="2"/>
  <c r="M167" i="2"/>
  <c r="O166" i="2"/>
  <c r="N166" i="2"/>
  <c r="M166" i="2"/>
  <c r="O165" i="2"/>
  <c r="N165" i="2"/>
  <c r="M165" i="2"/>
  <c r="O164" i="2"/>
  <c r="N164" i="2"/>
  <c r="M164" i="2"/>
  <c r="O163" i="2"/>
  <c r="N163" i="2"/>
  <c r="M163" i="2"/>
  <c r="O162" i="2"/>
  <c r="N162" i="2"/>
  <c r="M162" i="2"/>
  <c r="O161" i="2"/>
  <c r="N161" i="2"/>
  <c r="M161" i="2"/>
  <c r="O160" i="2"/>
  <c r="N160" i="2"/>
  <c r="M160" i="2"/>
  <c r="O159" i="2"/>
  <c r="N159" i="2"/>
  <c r="M159" i="2"/>
  <c r="O158" i="2"/>
  <c r="N158" i="2"/>
  <c r="M158" i="2"/>
  <c r="O157" i="2"/>
  <c r="N157" i="2"/>
  <c r="M157" i="2"/>
  <c r="O156" i="2"/>
  <c r="N156" i="2"/>
  <c r="M156" i="2"/>
  <c r="O155" i="2"/>
  <c r="N155" i="2"/>
  <c r="M155" i="2"/>
  <c r="O154" i="2"/>
  <c r="N154" i="2"/>
  <c r="M154" i="2"/>
  <c r="O153" i="2"/>
  <c r="N153" i="2"/>
  <c r="M153" i="2"/>
  <c r="O152" i="2"/>
  <c r="N152" i="2"/>
  <c r="M152" i="2"/>
  <c r="O151" i="2"/>
  <c r="N151" i="2"/>
  <c r="M151" i="2"/>
  <c r="O150" i="2"/>
  <c r="N150" i="2"/>
  <c r="M150" i="2"/>
  <c r="N149" i="2"/>
  <c r="O149" i="2"/>
  <c r="M14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K157" i="2" s="1"/>
  <c r="E156" i="2"/>
  <c r="E155" i="2"/>
  <c r="E154" i="2"/>
  <c r="E153" i="2"/>
  <c r="E152" i="2"/>
  <c r="E151" i="2"/>
  <c r="E150" i="2"/>
  <c r="E149" i="2"/>
  <c r="F166" i="2"/>
  <c r="K166" i="2" s="1"/>
  <c r="F165" i="2"/>
  <c r="F164" i="2"/>
  <c r="F159" i="2"/>
  <c r="K159" i="2" s="1"/>
  <c r="F154" i="2"/>
  <c r="F153" i="2"/>
  <c r="F152" i="2"/>
  <c r="E124" i="2"/>
  <c r="F150" i="2" s="1"/>
  <c r="E125" i="2"/>
  <c r="F151" i="2" s="1"/>
  <c r="E126" i="2"/>
  <c r="E127" i="2"/>
  <c r="E128" i="2"/>
  <c r="E129" i="2"/>
  <c r="F155" i="2" s="1"/>
  <c r="E130" i="2"/>
  <c r="F156" i="2" s="1"/>
  <c r="E131" i="2"/>
  <c r="F157" i="2" s="1"/>
  <c r="E132" i="2"/>
  <c r="F158" i="2" s="1"/>
  <c r="K158" i="2" s="1"/>
  <c r="E133" i="2"/>
  <c r="E134" i="2"/>
  <c r="F160" i="2" s="1"/>
  <c r="K160" i="2" s="1"/>
  <c r="E135" i="2"/>
  <c r="F161" i="2" s="1"/>
  <c r="E136" i="2"/>
  <c r="F162" i="2" s="1"/>
  <c r="E137" i="2"/>
  <c r="F163" i="2" s="1"/>
  <c r="E138" i="2"/>
  <c r="E139" i="2"/>
  <c r="E140" i="2"/>
  <c r="E141" i="2"/>
  <c r="F167" i="2" s="1"/>
  <c r="K167" i="2" s="1"/>
  <c r="E142" i="2"/>
  <c r="F168" i="2" s="1"/>
  <c r="E121" i="2"/>
  <c r="E123" i="2"/>
  <c r="F149" i="2" s="1"/>
  <c r="O140" i="2"/>
  <c r="O139" i="2"/>
  <c r="O134" i="2"/>
  <c r="O133" i="2"/>
  <c r="O128" i="2"/>
  <c r="O127" i="2"/>
  <c r="N142" i="2"/>
  <c r="O142" i="2" s="1"/>
  <c r="N141" i="2"/>
  <c r="O141" i="2" s="1"/>
  <c r="N140" i="2"/>
  <c r="N139" i="2"/>
  <c r="N138" i="2"/>
  <c r="O138" i="2" s="1"/>
  <c r="N137" i="2"/>
  <c r="O137" i="2" s="1"/>
  <c r="N136" i="2"/>
  <c r="O136" i="2" s="1"/>
  <c r="N135" i="2"/>
  <c r="O135" i="2" s="1"/>
  <c r="N134" i="2"/>
  <c r="N133" i="2"/>
  <c r="N132" i="2"/>
  <c r="O132" i="2" s="1"/>
  <c r="N131" i="2"/>
  <c r="O131" i="2" s="1"/>
  <c r="N130" i="2"/>
  <c r="O130" i="2" s="1"/>
  <c r="N129" i="2"/>
  <c r="O129" i="2" s="1"/>
  <c r="N128" i="2"/>
  <c r="N127" i="2"/>
  <c r="N126" i="2"/>
  <c r="O126" i="2" s="1"/>
  <c r="N125" i="2"/>
  <c r="O125" i="2" s="1"/>
  <c r="N124" i="2"/>
  <c r="O124" i="2" s="1"/>
  <c r="N123" i="2"/>
  <c r="N121" i="2" s="1"/>
  <c r="M121" i="2"/>
  <c r="O123" i="2" l="1"/>
  <c r="O121" i="2" s="1"/>
  <c r="K155" i="2"/>
  <c r="K154" i="2"/>
  <c r="K156" i="2"/>
  <c r="K168" i="2"/>
  <c r="K149" i="2"/>
  <c r="K161" i="2"/>
  <c r="K150" i="2"/>
  <c r="K151" i="2"/>
  <c r="K152" i="2"/>
  <c r="K153" i="2"/>
  <c r="K165" i="2"/>
  <c r="K162" i="2"/>
  <c r="K163" i="2"/>
  <c r="K164" i="2"/>
  <c r="H121" i="2" l="1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AB89" i="2"/>
  <c r="I89" i="2"/>
  <c r="H89" i="2"/>
  <c r="E89" i="2"/>
  <c r="Z85" i="2"/>
  <c r="X85" i="2"/>
  <c r="V85" i="2"/>
  <c r="T85" i="2"/>
  <c r="R85" i="2"/>
  <c r="P85" i="2"/>
  <c r="N8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AB53" i="2"/>
  <c r="I53" i="2"/>
  <c r="H53" i="2"/>
  <c r="E53" i="2"/>
  <c r="Z49" i="2"/>
  <c r="X49" i="2"/>
  <c r="V49" i="2"/>
  <c r="T49" i="2"/>
  <c r="R49" i="2"/>
  <c r="P49" i="2"/>
  <c r="N49" i="2"/>
  <c r="G89" i="2" l="1"/>
  <c r="G53" i="2"/>
  <c r="R11" i="2" l="1"/>
  <c r="Z11" i="2"/>
  <c r="X11" i="2"/>
  <c r="V11" i="2"/>
  <c r="T11" i="2"/>
  <c r="P11" i="2"/>
  <c r="N11" i="2"/>
  <c r="AB15" i="2"/>
  <c r="H15" i="2"/>
  <c r="E15" i="2"/>
  <c r="DS370" i="1"/>
  <c r="DR370" i="1"/>
  <c r="DT370" i="1" s="1"/>
  <c r="DQ370" i="1"/>
  <c r="CB370" i="1"/>
  <c r="BW370" i="1"/>
  <c r="BR370" i="1"/>
  <c r="BM370" i="1"/>
  <c r="BH370" i="1"/>
  <c r="BC370" i="1"/>
  <c r="AX370" i="1"/>
  <c r="AS370" i="1"/>
  <c r="AN370" i="1"/>
  <c r="AI370" i="1"/>
  <c r="AD370" i="1"/>
  <c r="V370" i="1"/>
  <c r="T370" i="1"/>
  <c r="Z370" i="1" s="1"/>
  <c r="R370" i="1"/>
  <c r="N370" i="1"/>
  <c r="M370" i="1"/>
  <c r="K370" i="1"/>
  <c r="J370" i="1"/>
  <c r="E370" i="1"/>
  <c r="D370" i="1"/>
  <c r="B370" i="1"/>
  <c r="DS369" i="1"/>
  <c r="DR369" i="1"/>
  <c r="DT369" i="1" s="1"/>
  <c r="DQ369" i="1"/>
  <c r="CB369" i="1"/>
  <c r="BW369" i="1"/>
  <c r="BR369" i="1"/>
  <c r="BM369" i="1"/>
  <c r="BH369" i="1"/>
  <c r="BC369" i="1"/>
  <c r="AX369" i="1"/>
  <c r="AS369" i="1"/>
  <c r="AN369" i="1"/>
  <c r="AI369" i="1"/>
  <c r="AD369" i="1"/>
  <c r="V369" i="1"/>
  <c r="T369" i="1"/>
  <c r="R369" i="1"/>
  <c r="N369" i="1"/>
  <c r="M369" i="1"/>
  <c r="K369" i="1"/>
  <c r="J369" i="1"/>
  <c r="E369" i="1"/>
  <c r="D369" i="1"/>
  <c r="B369" i="1"/>
  <c r="DS368" i="1"/>
  <c r="DR368" i="1"/>
  <c r="DT368" i="1" s="1"/>
  <c r="DQ368" i="1"/>
  <c r="DU368" i="1" s="1"/>
  <c r="CB368" i="1"/>
  <c r="BW368" i="1"/>
  <c r="BR368" i="1"/>
  <c r="BM368" i="1"/>
  <c r="BH368" i="1"/>
  <c r="BC368" i="1"/>
  <c r="AX368" i="1"/>
  <c r="AS368" i="1"/>
  <c r="AN368" i="1"/>
  <c r="AI368" i="1"/>
  <c r="AD368" i="1"/>
  <c r="V368" i="1"/>
  <c r="T368" i="1"/>
  <c r="R368" i="1"/>
  <c r="N368" i="1"/>
  <c r="M368" i="1"/>
  <c r="K368" i="1"/>
  <c r="J368" i="1"/>
  <c r="E368" i="1"/>
  <c r="D368" i="1"/>
  <c r="B368" i="1"/>
  <c r="DS367" i="1"/>
  <c r="DR367" i="1"/>
  <c r="DT367" i="1" s="1"/>
  <c r="DQ367" i="1"/>
  <c r="CB367" i="1"/>
  <c r="BW367" i="1"/>
  <c r="BR367" i="1"/>
  <c r="BM367" i="1"/>
  <c r="BH367" i="1"/>
  <c r="BC367" i="1"/>
  <c r="AX367" i="1"/>
  <c r="AS367" i="1"/>
  <c r="AN367" i="1"/>
  <c r="AI367" i="1"/>
  <c r="AD367" i="1"/>
  <c r="Z367" i="1"/>
  <c r="V367" i="1"/>
  <c r="T367" i="1"/>
  <c r="R367" i="1"/>
  <c r="N367" i="1"/>
  <c r="M367" i="1"/>
  <c r="K367" i="1"/>
  <c r="J367" i="1"/>
  <c r="DU367" i="1" s="1"/>
  <c r="E367" i="1"/>
  <c r="D367" i="1"/>
  <c r="B367" i="1"/>
  <c r="DU366" i="1"/>
  <c r="DS366" i="1"/>
  <c r="DR366" i="1"/>
  <c r="DT366" i="1" s="1"/>
  <c r="DQ366" i="1"/>
  <c r="CB366" i="1"/>
  <c r="BW366" i="1"/>
  <c r="BR366" i="1"/>
  <c r="BM366" i="1"/>
  <c r="BH366" i="1"/>
  <c r="BC366" i="1"/>
  <c r="AX366" i="1"/>
  <c r="AS366" i="1"/>
  <c r="AN366" i="1"/>
  <c r="AI366" i="1"/>
  <c r="AD366" i="1"/>
  <c r="V366" i="1"/>
  <c r="T366" i="1"/>
  <c r="R366" i="1"/>
  <c r="N366" i="1"/>
  <c r="M366" i="1"/>
  <c r="K366" i="1"/>
  <c r="J366" i="1"/>
  <c r="E366" i="1"/>
  <c r="D366" i="1"/>
  <c r="B366" i="1"/>
  <c r="DU365" i="1"/>
  <c r="DS365" i="1"/>
  <c r="DR365" i="1"/>
  <c r="DT365" i="1" s="1"/>
  <c r="DQ365" i="1"/>
  <c r="CB365" i="1"/>
  <c r="BW365" i="1"/>
  <c r="BR365" i="1"/>
  <c r="BM365" i="1"/>
  <c r="BH365" i="1"/>
  <c r="BC365" i="1"/>
  <c r="AX365" i="1"/>
  <c r="AS365" i="1"/>
  <c r="AN365" i="1"/>
  <c r="AI365" i="1"/>
  <c r="AD365" i="1"/>
  <c r="V365" i="1"/>
  <c r="T365" i="1"/>
  <c r="R365" i="1"/>
  <c r="N365" i="1"/>
  <c r="M365" i="1"/>
  <c r="K365" i="1"/>
  <c r="J365" i="1"/>
  <c r="E365" i="1"/>
  <c r="D365" i="1"/>
  <c r="B365" i="1"/>
  <c r="DS364" i="1"/>
  <c r="DR364" i="1"/>
  <c r="DT364" i="1" s="1"/>
  <c r="DQ364" i="1"/>
  <c r="CB364" i="1"/>
  <c r="BW364" i="1"/>
  <c r="BR364" i="1"/>
  <c r="BM364" i="1"/>
  <c r="BH364" i="1"/>
  <c r="BC364" i="1"/>
  <c r="AX364" i="1"/>
  <c r="AS364" i="1"/>
  <c r="AN364" i="1"/>
  <c r="AI364" i="1"/>
  <c r="AD364" i="1"/>
  <c r="V364" i="1"/>
  <c r="T364" i="1"/>
  <c r="X364" i="1" s="1"/>
  <c r="R364" i="1"/>
  <c r="N364" i="1"/>
  <c r="M364" i="1"/>
  <c r="K364" i="1"/>
  <c r="J364" i="1"/>
  <c r="DU364" i="1" s="1"/>
  <c r="E364" i="1"/>
  <c r="D364" i="1"/>
  <c r="B364" i="1"/>
  <c r="DS363" i="1"/>
  <c r="DR363" i="1"/>
  <c r="DT363" i="1" s="1"/>
  <c r="DQ363" i="1"/>
  <c r="CB363" i="1"/>
  <c r="BW363" i="1"/>
  <c r="BR363" i="1"/>
  <c r="BM363" i="1"/>
  <c r="BH363" i="1"/>
  <c r="BC363" i="1"/>
  <c r="AX363" i="1"/>
  <c r="AS363" i="1"/>
  <c r="AN363" i="1"/>
  <c r="AI363" i="1"/>
  <c r="AD363" i="1"/>
  <c r="V363" i="1"/>
  <c r="T363" i="1"/>
  <c r="Z363" i="1" s="1"/>
  <c r="R363" i="1"/>
  <c r="N363" i="1"/>
  <c r="M363" i="1"/>
  <c r="K363" i="1"/>
  <c r="J363" i="1"/>
  <c r="DU363" i="1" s="1"/>
  <c r="E363" i="1"/>
  <c r="D363" i="1"/>
  <c r="B363" i="1"/>
  <c r="DS362" i="1"/>
  <c r="DR362" i="1"/>
  <c r="DT362" i="1" s="1"/>
  <c r="DQ362" i="1"/>
  <c r="CB362" i="1"/>
  <c r="BW362" i="1"/>
  <c r="BR362" i="1"/>
  <c r="BM362" i="1"/>
  <c r="BH362" i="1"/>
  <c r="BC362" i="1"/>
  <c r="AX362" i="1"/>
  <c r="AS362" i="1"/>
  <c r="AN362" i="1"/>
  <c r="AI362" i="1"/>
  <c r="AD362" i="1"/>
  <c r="V362" i="1"/>
  <c r="T362" i="1"/>
  <c r="X362" i="1" s="1"/>
  <c r="R362" i="1"/>
  <c r="N362" i="1"/>
  <c r="M362" i="1"/>
  <c r="K362" i="1"/>
  <c r="J362" i="1"/>
  <c r="DU362" i="1" s="1"/>
  <c r="E362" i="1"/>
  <c r="D362" i="1"/>
  <c r="B362" i="1"/>
  <c r="DS361" i="1"/>
  <c r="DR361" i="1"/>
  <c r="DT361" i="1" s="1"/>
  <c r="DQ361" i="1"/>
  <c r="CB361" i="1"/>
  <c r="BW361" i="1"/>
  <c r="BR361" i="1"/>
  <c r="BM361" i="1"/>
  <c r="BH361" i="1"/>
  <c r="BC361" i="1"/>
  <c r="AX361" i="1"/>
  <c r="AS361" i="1"/>
  <c r="AN361" i="1"/>
  <c r="AI361" i="1"/>
  <c r="AD361" i="1"/>
  <c r="V361" i="1"/>
  <c r="T361" i="1"/>
  <c r="Z361" i="1" s="1"/>
  <c r="R361" i="1"/>
  <c r="N361" i="1"/>
  <c r="M361" i="1"/>
  <c r="K361" i="1"/>
  <c r="J361" i="1"/>
  <c r="DU361" i="1" s="1"/>
  <c r="E361" i="1"/>
  <c r="D361" i="1"/>
  <c r="B361" i="1"/>
  <c r="DU360" i="1"/>
  <c r="DS360" i="1"/>
  <c r="DR360" i="1"/>
  <c r="DT360" i="1" s="1"/>
  <c r="DQ360" i="1"/>
  <c r="CB360" i="1"/>
  <c r="BW360" i="1"/>
  <c r="BR360" i="1"/>
  <c r="BM360" i="1"/>
  <c r="BH360" i="1"/>
  <c r="BC360" i="1"/>
  <c r="AX360" i="1"/>
  <c r="AS360" i="1"/>
  <c r="AN360" i="1"/>
  <c r="AI360" i="1"/>
  <c r="AD360" i="1"/>
  <c r="V360" i="1"/>
  <c r="T360" i="1"/>
  <c r="R360" i="1"/>
  <c r="N360" i="1"/>
  <c r="M360" i="1"/>
  <c r="K360" i="1"/>
  <c r="J360" i="1"/>
  <c r="E360" i="1"/>
  <c r="D360" i="1"/>
  <c r="B360" i="1"/>
  <c r="DS359" i="1"/>
  <c r="DR359" i="1"/>
  <c r="DT359" i="1" s="1"/>
  <c r="DQ359" i="1"/>
  <c r="CB359" i="1"/>
  <c r="BW359" i="1"/>
  <c r="BR359" i="1"/>
  <c r="BM359" i="1"/>
  <c r="BH359" i="1"/>
  <c r="BC359" i="1"/>
  <c r="AX359" i="1"/>
  <c r="AS359" i="1"/>
  <c r="AN359" i="1"/>
  <c r="AI359" i="1"/>
  <c r="AD359" i="1"/>
  <c r="V359" i="1"/>
  <c r="T359" i="1"/>
  <c r="R359" i="1"/>
  <c r="N359" i="1"/>
  <c r="M359" i="1"/>
  <c r="K359" i="1"/>
  <c r="J359" i="1"/>
  <c r="DU359" i="1" s="1"/>
  <c r="E359" i="1"/>
  <c r="D359" i="1"/>
  <c r="B359" i="1"/>
  <c r="DS358" i="1"/>
  <c r="DR358" i="1"/>
  <c r="DT358" i="1" s="1"/>
  <c r="DQ358" i="1"/>
  <c r="CB358" i="1"/>
  <c r="BW358" i="1"/>
  <c r="BR358" i="1"/>
  <c r="BM358" i="1"/>
  <c r="BH358" i="1"/>
  <c r="BC358" i="1"/>
  <c r="AX358" i="1"/>
  <c r="AS358" i="1"/>
  <c r="AN358" i="1"/>
  <c r="AI358" i="1"/>
  <c r="AD358" i="1"/>
  <c r="V358" i="1"/>
  <c r="T358" i="1"/>
  <c r="X358" i="1" s="1"/>
  <c r="R358" i="1"/>
  <c r="N358" i="1"/>
  <c r="M358" i="1"/>
  <c r="K358" i="1"/>
  <c r="J358" i="1"/>
  <c r="DU358" i="1" s="1"/>
  <c r="E358" i="1"/>
  <c r="D358" i="1"/>
  <c r="B358" i="1"/>
  <c r="DU357" i="1"/>
  <c r="DS357" i="1"/>
  <c r="DR357" i="1"/>
  <c r="DT357" i="1" s="1"/>
  <c r="DQ357" i="1"/>
  <c r="CB357" i="1"/>
  <c r="BW357" i="1"/>
  <c r="BR357" i="1"/>
  <c r="BM357" i="1"/>
  <c r="BH357" i="1"/>
  <c r="BC357" i="1"/>
  <c r="AX357" i="1"/>
  <c r="AS357" i="1"/>
  <c r="AN357" i="1"/>
  <c r="AI357" i="1"/>
  <c r="AD357" i="1"/>
  <c r="Z357" i="1"/>
  <c r="V357" i="1"/>
  <c r="T357" i="1"/>
  <c r="R357" i="1"/>
  <c r="N357" i="1"/>
  <c r="M357" i="1"/>
  <c r="K357" i="1"/>
  <c r="J357" i="1"/>
  <c r="E357" i="1"/>
  <c r="D357" i="1"/>
  <c r="B357" i="1"/>
  <c r="DS356" i="1"/>
  <c r="DR356" i="1"/>
  <c r="DT356" i="1" s="1"/>
  <c r="DQ356" i="1"/>
  <c r="CB356" i="1"/>
  <c r="BW356" i="1"/>
  <c r="BR356" i="1"/>
  <c r="BM356" i="1"/>
  <c r="BH356" i="1"/>
  <c r="BC356" i="1"/>
  <c r="AX356" i="1"/>
  <c r="AS356" i="1"/>
  <c r="AN356" i="1"/>
  <c r="AI356" i="1"/>
  <c r="AD356" i="1"/>
  <c r="V356" i="1"/>
  <c r="T356" i="1"/>
  <c r="X356" i="1" s="1"/>
  <c r="R356" i="1"/>
  <c r="N356" i="1"/>
  <c r="M356" i="1"/>
  <c r="K356" i="1"/>
  <c r="J356" i="1"/>
  <c r="DU356" i="1" s="1"/>
  <c r="E356" i="1"/>
  <c r="D356" i="1"/>
  <c r="B356" i="1"/>
  <c r="DS355" i="1"/>
  <c r="DR355" i="1"/>
  <c r="DT355" i="1" s="1"/>
  <c r="DQ355" i="1"/>
  <c r="CB355" i="1"/>
  <c r="BW355" i="1"/>
  <c r="BR355" i="1"/>
  <c r="BM355" i="1"/>
  <c r="BH355" i="1"/>
  <c r="BC355" i="1"/>
  <c r="AX355" i="1"/>
  <c r="AS355" i="1"/>
  <c r="AN355" i="1"/>
  <c r="AI355" i="1"/>
  <c r="AD355" i="1"/>
  <c r="V355" i="1"/>
  <c r="T355" i="1"/>
  <c r="Z355" i="1" s="1"/>
  <c r="R355" i="1"/>
  <c r="N355" i="1"/>
  <c r="M355" i="1"/>
  <c r="K355" i="1"/>
  <c r="J355" i="1"/>
  <c r="DU355" i="1" s="1"/>
  <c r="E355" i="1"/>
  <c r="D355" i="1"/>
  <c r="B355" i="1"/>
  <c r="DS354" i="1"/>
  <c r="DR354" i="1"/>
  <c r="DT354" i="1" s="1"/>
  <c r="DQ354" i="1"/>
  <c r="CB354" i="1"/>
  <c r="BW354" i="1"/>
  <c r="BR354" i="1"/>
  <c r="BM354" i="1"/>
  <c r="BH354" i="1"/>
  <c r="BC354" i="1"/>
  <c r="AX354" i="1"/>
  <c r="AS354" i="1"/>
  <c r="AN354" i="1"/>
  <c r="AI354" i="1"/>
  <c r="AD354" i="1"/>
  <c r="V354" i="1"/>
  <c r="T354" i="1"/>
  <c r="R354" i="1"/>
  <c r="N354" i="1"/>
  <c r="M354" i="1"/>
  <c r="K354" i="1"/>
  <c r="J354" i="1"/>
  <c r="DU354" i="1" s="1"/>
  <c r="E354" i="1"/>
  <c r="D354" i="1"/>
  <c r="B354" i="1"/>
  <c r="DS353" i="1"/>
  <c r="DR353" i="1"/>
  <c r="DT353" i="1" s="1"/>
  <c r="DQ353" i="1"/>
  <c r="CB353" i="1"/>
  <c r="BW353" i="1"/>
  <c r="BR353" i="1"/>
  <c r="BM353" i="1"/>
  <c r="BH353" i="1"/>
  <c r="BC353" i="1"/>
  <c r="AX353" i="1"/>
  <c r="AS353" i="1"/>
  <c r="AN353" i="1"/>
  <c r="AI353" i="1"/>
  <c r="AD353" i="1"/>
  <c r="V353" i="1"/>
  <c r="T353" i="1"/>
  <c r="Z353" i="1" s="1"/>
  <c r="R353" i="1"/>
  <c r="N353" i="1"/>
  <c r="M353" i="1"/>
  <c r="K353" i="1"/>
  <c r="J353" i="1"/>
  <c r="DU353" i="1" s="1"/>
  <c r="E353" i="1"/>
  <c r="D353" i="1"/>
  <c r="B353" i="1"/>
  <c r="DT352" i="1"/>
  <c r="DS352" i="1"/>
  <c r="DR352" i="1"/>
  <c r="DQ352" i="1"/>
  <c r="DU352" i="1" s="1"/>
  <c r="CB352" i="1"/>
  <c r="BW352" i="1"/>
  <c r="BR352" i="1"/>
  <c r="BM352" i="1"/>
  <c r="BH352" i="1"/>
  <c r="BC352" i="1"/>
  <c r="AX352" i="1"/>
  <c r="AS352" i="1"/>
  <c r="AN352" i="1"/>
  <c r="AI352" i="1"/>
  <c r="AD352" i="1"/>
  <c r="V352" i="1"/>
  <c r="T352" i="1"/>
  <c r="R352" i="1"/>
  <c r="N352" i="1"/>
  <c r="M352" i="1"/>
  <c r="K352" i="1"/>
  <c r="J352" i="1"/>
  <c r="E352" i="1"/>
  <c r="D352" i="1"/>
  <c r="B352" i="1"/>
  <c r="DS351" i="1"/>
  <c r="DR351" i="1"/>
  <c r="DT351" i="1" s="1"/>
  <c r="DQ351" i="1"/>
  <c r="CB351" i="1"/>
  <c r="BW351" i="1"/>
  <c r="BR351" i="1"/>
  <c r="BM351" i="1"/>
  <c r="BH351" i="1"/>
  <c r="BC351" i="1"/>
  <c r="AX351" i="1"/>
  <c r="AS351" i="1"/>
  <c r="AN351" i="1"/>
  <c r="AI351" i="1"/>
  <c r="AD351" i="1"/>
  <c r="V351" i="1"/>
  <c r="T351" i="1"/>
  <c r="X351" i="1" s="1"/>
  <c r="R351" i="1"/>
  <c r="N351" i="1"/>
  <c r="M351" i="1"/>
  <c r="K351" i="1"/>
  <c r="J351" i="1"/>
  <c r="DU351" i="1" s="1"/>
  <c r="E351" i="1"/>
  <c r="D351" i="1"/>
  <c r="B351" i="1"/>
  <c r="DS350" i="1"/>
  <c r="DR350" i="1"/>
  <c r="DT350" i="1" s="1"/>
  <c r="DQ350" i="1"/>
  <c r="V350" i="1"/>
  <c r="T350" i="1"/>
  <c r="Z350" i="1" s="1"/>
  <c r="M350" i="1"/>
  <c r="N350" i="1" s="1"/>
  <c r="J350" i="1"/>
  <c r="DU350" i="1" s="1"/>
  <c r="E350" i="1"/>
  <c r="D350" i="1"/>
  <c r="DT349" i="1"/>
  <c r="DS349" i="1"/>
  <c r="DR349" i="1"/>
  <c r="DQ349" i="1"/>
  <c r="V349" i="1"/>
  <c r="T349" i="1"/>
  <c r="Z349" i="1" s="1"/>
  <c r="M349" i="1"/>
  <c r="N349" i="1" s="1"/>
  <c r="J349" i="1"/>
  <c r="K349" i="1" s="1"/>
  <c r="E349" i="1"/>
  <c r="D349" i="1"/>
  <c r="DS348" i="1"/>
  <c r="DR348" i="1"/>
  <c r="DT348" i="1" s="1"/>
  <c r="DQ348" i="1"/>
  <c r="V348" i="1"/>
  <c r="T348" i="1"/>
  <c r="Z348" i="1" s="1"/>
  <c r="N348" i="1"/>
  <c r="R348" i="1" s="1"/>
  <c r="M348" i="1"/>
  <c r="J348" i="1"/>
  <c r="K348" i="1" s="1"/>
  <c r="E348" i="1"/>
  <c r="D348" i="1"/>
  <c r="DT347" i="1"/>
  <c r="DS347" i="1"/>
  <c r="DR347" i="1"/>
  <c r="DQ347" i="1"/>
  <c r="Z347" i="1"/>
  <c r="V347" i="1"/>
  <c r="T347" i="1"/>
  <c r="X347" i="1" s="1"/>
  <c r="M347" i="1"/>
  <c r="N347" i="1" s="1"/>
  <c r="J347" i="1"/>
  <c r="K347" i="1" s="1"/>
  <c r="E347" i="1"/>
  <c r="D347" i="1"/>
  <c r="DT346" i="1"/>
  <c r="DS346" i="1"/>
  <c r="DR346" i="1"/>
  <c r="DQ346" i="1"/>
  <c r="V346" i="1"/>
  <c r="T346" i="1"/>
  <c r="Z346" i="1" s="1"/>
  <c r="M346" i="1"/>
  <c r="N346" i="1" s="1"/>
  <c r="R346" i="1" s="1"/>
  <c r="J346" i="1"/>
  <c r="K346" i="1" s="1"/>
  <c r="E346" i="1"/>
  <c r="D346" i="1"/>
  <c r="DS345" i="1"/>
  <c r="DR345" i="1"/>
  <c r="DT345" i="1" s="1"/>
  <c r="DQ345" i="1"/>
  <c r="V345" i="1"/>
  <c r="X345" i="1" s="1"/>
  <c r="T345" i="1"/>
  <c r="Z345" i="1" s="1"/>
  <c r="R345" i="1"/>
  <c r="M345" i="1"/>
  <c r="N345" i="1" s="1"/>
  <c r="J345" i="1"/>
  <c r="K345" i="1" s="1"/>
  <c r="E345" i="1"/>
  <c r="D345" i="1"/>
  <c r="DS344" i="1"/>
  <c r="DR344" i="1"/>
  <c r="DT344" i="1" s="1"/>
  <c r="DQ344" i="1"/>
  <c r="V344" i="1"/>
  <c r="T344" i="1"/>
  <c r="Z344" i="1" s="1"/>
  <c r="M344" i="1"/>
  <c r="N344" i="1" s="1"/>
  <c r="K344" i="1"/>
  <c r="J344" i="1"/>
  <c r="E344" i="1"/>
  <c r="D344" i="1"/>
  <c r="DU343" i="1"/>
  <c r="DT343" i="1"/>
  <c r="DS343" i="1"/>
  <c r="DR343" i="1"/>
  <c r="DQ343" i="1"/>
  <c r="T343" i="1"/>
  <c r="Z343" i="1" s="1"/>
  <c r="M343" i="1"/>
  <c r="N343" i="1" s="1"/>
  <c r="J343" i="1"/>
  <c r="K343" i="1" s="1"/>
  <c r="E343" i="1"/>
  <c r="D343" i="1"/>
  <c r="DT342" i="1"/>
  <c r="DS342" i="1"/>
  <c r="DR342" i="1"/>
  <c r="DQ342" i="1"/>
  <c r="T342" i="1"/>
  <c r="Z342" i="1" s="1"/>
  <c r="M342" i="1"/>
  <c r="N342" i="1" s="1"/>
  <c r="J342" i="1"/>
  <c r="K342" i="1" s="1"/>
  <c r="E342" i="1"/>
  <c r="D342" i="1"/>
  <c r="DT341" i="1"/>
  <c r="DS341" i="1"/>
  <c r="DR341" i="1"/>
  <c r="DQ341" i="1"/>
  <c r="T341" i="1"/>
  <c r="V341" i="1" s="1"/>
  <c r="M341" i="1"/>
  <c r="N341" i="1" s="1"/>
  <c r="R341" i="1" s="1"/>
  <c r="K341" i="1"/>
  <c r="J341" i="1"/>
  <c r="DU341" i="1" s="1"/>
  <c r="E341" i="1"/>
  <c r="D341" i="1"/>
  <c r="DS340" i="1"/>
  <c r="DR340" i="1"/>
  <c r="DT340" i="1" s="1"/>
  <c r="DQ340" i="1"/>
  <c r="V340" i="1"/>
  <c r="X340" i="1" s="1"/>
  <c r="T340" i="1"/>
  <c r="Z340" i="1" s="1"/>
  <c r="R340" i="1"/>
  <c r="N340" i="1"/>
  <c r="M340" i="1"/>
  <c r="J340" i="1"/>
  <c r="K340" i="1" s="1"/>
  <c r="E340" i="1"/>
  <c r="D340" i="1"/>
  <c r="DT339" i="1"/>
  <c r="DS339" i="1"/>
  <c r="DR339" i="1"/>
  <c r="DQ339" i="1"/>
  <c r="X339" i="1"/>
  <c r="V339" i="1"/>
  <c r="T339" i="1"/>
  <c r="Z339" i="1" s="1"/>
  <c r="M339" i="1"/>
  <c r="N339" i="1" s="1"/>
  <c r="R339" i="1" s="1"/>
  <c r="J339" i="1"/>
  <c r="K339" i="1" s="1"/>
  <c r="E339" i="1"/>
  <c r="D339" i="1"/>
  <c r="DT338" i="1"/>
  <c r="DS338" i="1"/>
  <c r="DR338" i="1"/>
  <c r="DQ338" i="1"/>
  <c r="T338" i="1"/>
  <c r="Z338" i="1" s="1"/>
  <c r="N338" i="1"/>
  <c r="R338" i="1" s="1"/>
  <c r="M338" i="1"/>
  <c r="K338" i="1"/>
  <c r="J338" i="1"/>
  <c r="DU338" i="1" s="1"/>
  <c r="E338" i="1"/>
  <c r="D338" i="1"/>
  <c r="DU337" i="1"/>
  <c r="DT337" i="1"/>
  <c r="DS337" i="1"/>
  <c r="DR337" i="1"/>
  <c r="DQ337" i="1"/>
  <c r="Z337" i="1"/>
  <c r="X337" i="1"/>
  <c r="T337" i="1"/>
  <c r="V337" i="1" s="1"/>
  <c r="M337" i="1"/>
  <c r="N337" i="1" s="1"/>
  <c r="J337" i="1"/>
  <c r="K337" i="1" s="1"/>
  <c r="E337" i="1"/>
  <c r="D337" i="1"/>
  <c r="DT336" i="1"/>
  <c r="DS336" i="1"/>
  <c r="DR336" i="1"/>
  <c r="DQ336" i="1"/>
  <c r="DU336" i="1" s="1"/>
  <c r="T336" i="1"/>
  <c r="Z336" i="1" s="1"/>
  <c r="N336" i="1"/>
  <c r="M336" i="1"/>
  <c r="J336" i="1"/>
  <c r="K336" i="1" s="1"/>
  <c r="E336" i="1"/>
  <c r="D336" i="1"/>
  <c r="DS335" i="1"/>
  <c r="DR335" i="1"/>
  <c r="DT335" i="1" s="1"/>
  <c r="DQ335" i="1"/>
  <c r="AL335" i="1"/>
  <c r="T335" i="1"/>
  <c r="V335" i="1" s="1"/>
  <c r="X335" i="1" s="1"/>
  <c r="N335" i="1"/>
  <c r="M335" i="1"/>
  <c r="J335" i="1"/>
  <c r="K335" i="1" s="1"/>
  <c r="E335" i="1"/>
  <c r="D335" i="1"/>
  <c r="DT334" i="1"/>
  <c r="DS334" i="1"/>
  <c r="DR334" i="1"/>
  <c r="DQ334" i="1"/>
  <c r="BK334" i="1"/>
  <c r="T334" i="1"/>
  <c r="Z334" i="1" s="1"/>
  <c r="M334" i="1"/>
  <c r="N334" i="1" s="1"/>
  <c r="J334" i="1"/>
  <c r="E334" i="1"/>
  <c r="D334" i="1"/>
  <c r="DS333" i="1"/>
  <c r="DR333" i="1"/>
  <c r="DT333" i="1" s="1"/>
  <c r="DQ333" i="1"/>
  <c r="BZ333" i="1"/>
  <c r="BZ334" i="1" s="1"/>
  <c r="Z333" i="1"/>
  <c r="V333" i="1"/>
  <c r="X333" i="1" s="1"/>
  <c r="T333" i="1"/>
  <c r="M333" i="1"/>
  <c r="N333" i="1" s="1"/>
  <c r="J333" i="1"/>
  <c r="K333" i="1" s="1"/>
  <c r="E333" i="1"/>
  <c r="D333" i="1"/>
  <c r="DT332" i="1"/>
  <c r="DS332" i="1"/>
  <c r="DR332" i="1"/>
  <c r="DQ332" i="1"/>
  <c r="BK332" i="1"/>
  <c r="AL332" i="1"/>
  <c r="T332" i="1"/>
  <c r="R332" i="1"/>
  <c r="M332" i="1"/>
  <c r="N332" i="1" s="1"/>
  <c r="J332" i="1"/>
  <c r="K332" i="1" s="1"/>
  <c r="E332" i="1"/>
  <c r="D332" i="1"/>
  <c r="DT331" i="1"/>
  <c r="DS331" i="1"/>
  <c r="DR331" i="1"/>
  <c r="DQ331" i="1"/>
  <c r="DU331" i="1" s="1"/>
  <c r="BP331" i="1"/>
  <c r="BP332" i="1" s="1"/>
  <c r="BK331" i="1"/>
  <c r="BK333" i="1" s="1"/>
  <c r="BK335" i="1" s="1"/>
  <c r="BB331" i="1"/>
  <c r="AB331" i="1"/>
  <c r="T331" i="1"/>
  <c r="Z331" i="1" s="1"/>
  <c r="M331" i="1"/>
  <c r="N331" i="1" s="1"/>
  <c r="BM331" i="1" s="1"/>
  <c r="K331" i="1"/>
  <c r="J331" i="1"/>
  <c r="E331" i="1"/>
  <c r="D331" i="1"/>
  <c r="CA329" i="1"/>
  <c r="CA331" i="1" s="1"/>
  <c r="BZ329" i="1"/>
  <c r="BZ331" i="1" s="1"/>
  <c r="BZ332" i="1" s="1"/>
  <c r="BV329" i="1"/>
  <c r="BV331" i="1" s="1"/>
  <c r="BV332" i="1" s="1"/>
  <c r="BU329" i="1"/>
  <c r="BU331" i="1" s="1"/>
  <c r="BW331" i="1" s="1"/>
  <c r="BQ329" i="1"/>
  <c r="BQ331" i="1" s="1"/>
  <c r="BQ333" i="1" s="1"/>
  <c r="BP329" i="1"/>
  <c r="BL329" i="1"/>
  <c r="BL331" i="1" s="1"/>
  <c r="BK329" i="1"/>
  <c r="BG329" i="1"/>
  <c r="BG331" i="1" s="1"/>
  <c r="BF329" i="1"/>
  <c r="BF331" i="1" s="1"/>
  <c r="BB329" i="1"/>
  <c r="BA329" i="1"/>
  <c r="BA331" i="1" s="1"/>
  <c r="AW329" i="1"/>
  <c r="AW331" i="1" s="1"/>
  <c r="AW332" i="1" s="1"/>
  <c r="AV329" i="1"/>
  <c r="AR329" i="1"/>
  <c r="AR331" i="1" s="1"/>
  <c r="AR333" i="1" s="1"/>
  <c r="AQ329" i="1"/>
  <c r="AQ331" i="1" s="1"/>
  <c r="AM329" i="1"/>
  <c r="AM331" i="1" s="1"/>
  <c r="AM333" i="1" s="1"/>
  <c r="AL329" i="1"/>
  <c r="AL331" i="1" s="1"/>
  <c r="AL333" i="1" s="1"/>
  <c r="AL334" i="1" s="1"/>
  <c r="AH329" i="1"/>
  <c r="AH331" i="1" s="1"/>
  <c r="AG329" i="1"/>
  <c r="AC329" i="1"/>
  <c r="AC331" i="1" s="1"/>
  <c r="AB329" i="1"/>
  <c r="H329" i="1"/>
  <c r="B329" i="1"/>
  <c r="DS317" i="1"/>
  <c r="DR317" i="1"/>
  <c r="DT317" i="1" s="1"/>
  <c r="DQ317" i="1"/>
  <c r="DT316" i="1"/>
  <c r="DS316" i="1"/>
  <c r="DR316" i="1"/>
  <c r="DQ316" i="1"/>
  <c r="CB316" i="1"/>
  <c r="BW316" i="1"/>
  <c r="BR316" i="1"/>
  <c r="BM316" i="1"/>
  <c r="BH316" i="1"/>
  <c r="BC316" i="1"/>
  <c r="AX316" i="1"/>
  <c r="AS316" i="1"/>
  <c r="AN316" i="1"/>
  <c r="AI316" i="1"/>
  <c r="AD316" i="1"/>
  <c r="X316" i="1"/>
  <c r="V316" i="1"/>
  <c r="T316" i="1"/>
  <c r="Z316" i="1" s="1"/>
  <c r="R316" i="1"/>
  <c r="N316" i="1"/>
  <c r="M316" i="1"/>
  <c r="K316" i="1"/>
  <c r="J316" i="1"/>
  <c r="E316" i="1"/>
  <c r="D316" i="1"/>
  <c r="B316" i="1"/>
  <c r="DS315" i="1"/>
  <c r="DR315" i="1"/>
  <c r="DT315" i="1" s="1"/>
  <c r="DQ315" i="1"/>
  <c r="CB315" i="1"/>
  <c r="BW315" i="1"/>
  <c r="BR315" i="1"/>
  <c r="BM315" i="1"/>
  <c r="BH315" i="1"/>
  <c r="BC315" i="1"/>
  <c r="AX315" i="1"/>
  <c r="AS315" i="1"/>
  <c r="AN315" i="1"/>
  <c r="AI315" i="1"/>
  <c r="AD315" i="1"/>
  <c r="V315" i="1"/>
  <c r="T315" i="1"/>
  <c r="Z315" i="1" s="1"/>
  <c r="R315" i="1"/>
  <c r="N315" i="1"/>
  <c r="M315" i="1"/>
  <c r="K315" i="1"/>
  <c r="J315" i="1"/>
  <c r="E315" i="1"/>
  <c r="D315" i="1"/>
  <c r="B315" i="1"/>
  <c r="DS314" i="1"/>
  <c r="DR314" i="1"/>
  <c r="DT314" i="1" s="1"/>
  <c r="DQ314" i="1"/>
  <c r="CB314" i="1"/>
  <c r="BW314" i="1"/>
  <c r="BR314" i="1"/>
  <c r="BM314" i="1"/>
  <c r="BH314" i="1"/>
  <c r="BC314" i="1"/>
  <c r="AX314" i="1"/>
  <c r="AS314" i="1"/>
  <c r="AN314" i="1"/>
  <c r="AI314" i="1"/>
  <c r="AD314" i="1"/>
  <c r="Z314" i="1"/>
  <c r="X314" i="1"/>
  <c r="V314" i="1"/>
  <c r="T314" i="1"/>
  <c r="R314" i="1"/>
  <c r="N314" i="1"/>
  <c r="M314" i="1"/>
  <c r="K314" i="1"/>
  <c r="J314" i="1"/>
  <c r="E314" i="1"/>
  <c r="D314" i="1"/>
  <c r="B314" i="1"/>
  <c r="DT313" i="1"/>
  <c r="DS313" i="1"/>
  <c r="DR313" i="1"/>
  <c r="DQ313" i="1"/>
  <c r="CB313" i="1"/>
  <c r="BW313" i="1"/>
  <c r="BR313" i="1"/>
  <c r="BM313" i="1"/>
  <c r="BH313" i="1"/>
  <c r="BC313" i="1"/>
  <c r="AX313" i="1"/>
  <c r="AS313" i="1"/>
  <c r="AN313" i="1"/>
  <c r="AI313" i="1"/>
  <c r="AD313" i="1"/>
  <c r="V313" i="1"/>
  <c r="X313" i="1" s="1"/>
  <c r="T313" i="1"/>
  <c r="Z313" i="1" s="1"/>
  <c r="R313" i="1"/>
  <c r="N313" i="1"/>
  <c r="M313" i="1"/>
  <c r="K313" i="1"/>
  <c r="J313" i="1"/>
  <c r="E313" i="1"/>
  <c r="D313" i="1"/>
  <c r="B313" i="1"/>
  <c r="DS312" i="1"/>
  <c r="DR312" i="1"/>
  <c r="DT312" i="1" s="1"/>
  <c r="DQ312" i="1"/>
  <c r="CB312" i="1"/>
  <c r="BW312" i="1"/>
  <c r="BR312" i="1"/>
  <c r="BM312" i="1"/>
  <c r="BH312" i="1"/>
  <c r="BC312" i="1"/>
  <c r="AX312" i="1"/>
  <c r="AS312" i="1"/>
  <c r="AN312" i="1"/>
  <c r="AI312" i="1"/>
  <c r="AD312" i="1"/>
  <c r="V312" i="1"/>
  <c r="T312" i="1"/>
  <c r="R312" i="1"/>
  <c r="N312" i="1"/>
  <c r="M312" i="1"/>
  <c r="K312" i="1"/>
  <c r="J312" i="1"/>
  <c r="E312" i="1"/>
  <c r="D312" i="1"/>
  <c r="B312" i="1"/>
  <c r="DT311" i="1"/>
  <c r="DS311" i="1"/>
  <c r="DR311" i="1"/>
  <c r="DQ311" i="1"/>
  <c r="CB311" i="1"/>
  <c r="BW311" i="1"/>
  <c r="BR311" i="1"/>
  <c r="BM311" i="1"/>
  <c r="BH311" i="1"/>
  <c r="BC311" i="1"/>
  <c r="AX311" i="1"/>
  <c r="AS311" i="1"/>
  <c r="AN311" i="1"/>
  <c r="AI311" i="1"/>
  <c r="AD311" i="1"/>
  <c r="V311" i="1"/>
  <c r="T311" i="1"/>
  <c r="X311" i="1" s="1"/>
  <c r="R311" i="1"/>
  <c r="N311" i="1"/>
  <c r="M311" i="1"/>
  <c r="K311" i="1"/>
  <c r="J311" i="1"/>
  <c r="E311" i="1"/>
  <c r="D311" i="1"/>
  <c r="B311" i="1"/>
  <c r="DT310" i="1"/>
  <c r="DS310" i="1"/>
  <c r="DR310" i="1"/>
  <c r="DQ310" i="1"/>
  <c r="CB310" i="1"/>
  <c r="BW310" i="1"/>
  <c r="BR310" i="1"/>
  <c r="BM310" i="1"/>
  <c r="BH310" i="1"/>
  <c r="BC310" i="1"/>
  <c r="AX310" i="1"/>
  <c r="AS310" i="1"/>
  <c r="AN310" i="1"/>
  <c r="AI310" i="1"/>
  <c r="AD310" i="1"/>
  <c r="X310" i="1"/>
  <c r="V310" i="1"/>
  <c r="T310" i="1"/>
  <c r="Z310" i="1" s="1"/>
  <c r="R310" i="1"/>
  <c r="N310" i="1"/>
  <c r="M310" i="1"/>
  <c r="K310" i="1"/>
  <c r="J310" i="1"/>
  <c r="E310" i="1"/>
  <c r="D310" i="1"/>
  <c r="B310" i="1"/>
  <c r="DS309" i="1"/>
  <c r="DR309" i="1"/>
  <c r="DT309" i="1" s="1"/>
  <c r="DQ309" i="1"/>
  <c r="CB309" i="1"/>
  <c r="BW309" i="1"/>
  <c r="BR309" i="1"/>
  <c r="BM309" i="1"/>
  <c r="BH309" i="1"/>
  <c r="BC309" i="1"/>
  <c r="AX309" i="1"/>
  <c r="AS309" i="1"/>
  <c r="AN309" i="1"/>
  <c r="AI309" i="1"/>
  <c r="AD309" i="1"/>
  <c r="V309" i="1"/>
  <c r="T309" i="1"/>
  <c r="Z309" i="1" s="1"/>
  <c r="R309" i="1"/>
  <c r="N309" i="1"/>
  <c r="M309" i="1"/>
  <c r="K309" i="1"/>
  <c r="J309" i="1"/>
  <c r="E309" i="1"/>
  <c r="D309" i="1"/>
  <c r="B309" i="1"/>
  <c r="DS308" i="1"/>
  <c r="DR308" i="1"/>
  <c r="DT308" i="1" s="1"/>
  <c r="DQ308" i="1"/>
  <c r="CB308" i="1"/>
  <c r="BW308" i="1"/>
  <c r="BR308" i="1"/>
  <c r="BM308" i="1"/>
  <c r="BH308" i="1"/>
  <c r="BC308" i="1"/>
  <c r="AX308" i="1"/>
  <c r="AS308" i="1"/>
  <c r="AN308" i="1"/>
  <c r="AI308" i="1"/>
  <c r="AD308" i="1"/>
  <c r="V308" i="1"/>
  <c r="T308" i="1"/>
  <c r="R308" i="1"/>
  <c r="N308" i="1"/>
  <c r="M308" i="1"/>
  <c r="K308" i="1"/>
  <c r="J308" i="1"/>
  <c r="E308" i="1"/>
  <c r="D308" i="1"/>
  <c r="B308" i="1"/>
  <c r="DS307" i="1"/>
  <c r="DR307" i="1"/>
  <c r="DT307" i="1" s="1"/>
  <c r="DQ307" i="1"/>
  <c r="CB307" i="1"/>
  <c r="BW307" i="1"/>
  <c r="BR307" i="1"/>
  <c r="BM307" i="1"/>
  <c r="BH307" i="1"/>
  <c r="BC307" i="1"/>
  <c r="AX307" i="1"/>
  <c r="AS307" i="1"/>
  <c r="AN307" i="1"/>
  <c r="AI307" i="1"/>
  <c r="AD307" i="1"/>
  <c r="V307" i="1"/>
  <c r="T307" i="1"/>
  <c r="Z307" i="1" s="1"/>
  <c r="R307" i="1"/>
  <c r="N307" i="1"/>
  <c r="M307" i="1"/>
  <c r="K307" i="1"/>
  <c r="J307" i="1"/>
  <c r="E307" i="1"/>
  <c r="D307" i="1"/>
  <c r="B307" i="1"/>
  <c r="DT306" i="1"/>
  <c r="DS306" i="1"/>
  <c r="DR306" i="1"/>
  <c r="DQ306" i="1"/>
  <c r="CB306" i="1"/>
  <c r="BW306" i="1"/>
  <c r="BR306" i="1"/>
  <c r="BM306" i="1"/>
  <c r="BH306" i="1"/>
  <c r="BC306" i="1"/>
  <c r="AX306" i="1"/>
  <c r="AS306" i="1"/>
  <c r="AN306" i="1"/>
  <c r="AI306" i="1"/>
  <c r="AD306" i="1"/>
  <c r="Z306" i="1"/>
  <c r="V306" i="1"/>
  <c r="T306" i="1"/>
  <c r="R306" i="1"/>
  <c r="N306" i="1"/>
  <c r="M306" i="1"/>
  <c r="K306" i="1"/>
  <c r="J306" i="1"/>
  <c r="E306" i="1"/>
  <c r="D306" i="1"/>
  <c r="B306" i="1"/>
  <c r="DS305" i="1"/>
  <c r="DR305" i="1"/>
  <c r="DT305" i="1" s="1"/>
  <c r="DQ305" i="1"/>
  <c r="CB305" i="1"/>
  <c r="BW305" i="1"/>
  <c r="BR305" i="1"/>
  <c r="BM305" i="1"/>
  <c r="BH305" i="1"/>
  <c r="BC305" i="1"/>
  <c r="AX305" i="1"/>
  <c r="AS305" i="1"/>
  <c r="AN305" i="1"/>
  <c r="AI305" i="1"/>
  <c r="AD305" i="1"/>
  <c r="V305" i="1"/>
  <c r="T305" i="1"/>
  <c r="Z305" i="1" s="1"/>
  <c r="R305" i="1"/>
  <c r="N305" i="1"/>
  <c r="M305" i="1"/>
  <c r="K305" i="1"/>
  <c r="J305" i="1"/>
  <c r="E305" i="1"/>
  <c r="D305" i="1"/>
  <c r="B305" i="1"/>
  <c r="DS304" i="1"/>
  <c r="DR304" i="1"/>
  <c r="DT304" i="1" s="1"/>
  <c r="DQ304" i="1"/>
  <c r="CB304" i="1"/>
  <c r="BW304" i="1"/>
  <c r="BR304" i="1"/>
  <c r="BM304" i="1"/>
  <c r="BH304" i="1"/>
  <c r="BC304" i="1"/>
  <c r="AX304" i="1"/>
  <c r="AS304" i="1"/>
  <c r="AN304" i="1"/>
  <c r="AI304" i="1"/>
  <c r="AD304" i="1"/>
  <c r="V304" i="1"/>
  <c r="T304" i="1"/>
  <c r="Z304" i="1" s="1"/>
  <c r="R304" i="1"/>
  <c r="N304" i="1"/>
  <c r="M304" i="1"/>
  <c r="K304" i="1"/>
  <c r="J304" i="1"/>
  <c r="E304" i="1"/>
  <c r="D304" i="1"/>
  <c r="B304" i="1"/>
  <c r="DT303" i="1"/>
  <c r="DS303" i="1"/>
  <c r="DR303" i="1"/>
  <c r="DQ303" i="1"/>
  <c r="CB303" i="1"/>
  <c r="BW303" i="1"/>
  <c r="BR303" i="1"/>
  <c r="BM303" i="1"/>
  <c r="BH303" i="1"/>
  <c r="BC303" i="1"/>
  <c r="AX303" i="1"/>
  <c r="AS303" i="1"/>
  <c r="AN303" i="1"/>
  <c r="AI303" i="1"/>
  <c r="AD303" i="1"/>
  <c r="Z303" i="1"/>
  <c r="V303" i="1"/>
  <c r="X303" i="1" s="1"/>
  <c r="T303" i="1"/>
  <c r="R303" i="1"/>
  <c r="N303" i="1"/>
  <c r="M303" i="1"/>
  <c r="K303" i="1"/>
  <c r="J303" i="1"/>
  <c r="E303" i="1"/>
  <c r="D303" i="1"/>
  <c r="B303" i="1"/>
  <c r="DS302" i="1"/>
  <c r="DR302" i="1"/>
  <c r="DT302" i="1" s="1"/>
  <c r="DQ302" i="1"/>
  <c r="CB302" i="1"/>
  <c r="BW302" i="1"/>
  <c r="BR302" i="1"/>
  <c r="BM302" i="1"/>
  <c r="BH302" i="1"/>
  <c r="BC302" i="1"/>
  <c r="AX302" i="1"/>
  <c r="AS302" i="1"/>
  <c r="AN302" i="1"/>
  <c r="AI302" i="1"/>
  <c r="AD302" i="1"/>
  <c r="V302" i="1"/>
  <c r="T302" i="1"/>
  <c r="Z302" i="1" s="1"/>
  <c r="R302" i="1"/>
  <c r="N302" i="1"/>
  <c r="M302" i="1"/>
  <c r="K302" i="1"/>
  <c r="J302" i="1"/>
  <c r="E302" i="1"/>
  <c r="D302" i="1"/>
  <c r="B302" i="1"/>
  <c r="DS301" i="1"/>
  <c r="DR301" i="1"/>
  <c r="DT301" i="1" s="1"/>
  <c r="DQ301" i="1"/>
  <c r="CB301" i="1"/>
  <c r="BW301" i="1"/>
  <c r="BR301" i="1"/>
  <c r="BM301" i="1"/>
  <c r="BH301" i="1"/>
  <c r="BC301" i="1"/>
  <c r="AX301" i="1"/>
  <c r="AS301" i="1"/>
  <c r="AN301" i="1"/>
  <c r="AI301" i="1"/>
  <c r="AD301" i="1"/>
  <c r="V301" i="1"/>
  <c r="T301" i="1"/>
  <c r="Z301" i="1" s="1"/>
  <c r="R301" i="1"/>
  <c r="N301" i="1"/>
  <c r="M301" i="1"/>
  <c r="K301" i="1"/>
  <c r="J301" i="1"/>
  <c r="E301" i="1"/>
  <c r="D301" i="1"/>
  <c r="B301" i="1"/>
  <c r="DT300" i="1"/>
  <c r="DS300" i="1"/>
  <c r="DR300" i="1"/>
  <c r="DQ300" i="1"/>
  <c r="CB300" i="1"/>
  <c r="BW300" i="1"/>
  <c r="BR300" i="1"/>
  <c r="BM300" i="1"/>
  <c r="BH300" i="1"/>
  <c r="BC300" i="1"/>
  <c r="AX300" i="1"/>
  <c r="AS300" i="1"/>
  <c r="AN300" i="1"/>
  <c r="AI300" i="1"/>
  <c r="AD300" i="1"/>
  <c r="V300" i="1"/>
  <c r="T300" i="1"/>
  <c r="Z300" i="1" s="1"/>
  <c r="R300" i="1"/>
  <c r="N300" i="1"/>
  <c r="M300" i="1"/>
  <c r="K300" i="1"/>
  <c r="J300" i="1"/>
  <c r="E300" i="1"/>
  <c r="D300" i="1"/>
  <c r="B300" i="1"/>
  <c r="DS299" i="1"/>
  <c r="DR299" i="1"/>
  <c r="DT299" i="1" s="1"/>
  <c r="DQ299" i="1"/>
  <c r="CB299" i="1"/>
  <c r="BW299" i="1"/>
  <c r="BR299" i="1"/>
  <c r="BM299" i="1"/>
  <c r="BH299" i="1"/>
  <c r="BC299" i="1"/>
  <c r="AX299" i="1"/>
  <c r="AS299" i="1"/>
  <c r="AN299" i="1"/>
  <c r="AI299" i="1"/>
  <c r="AD299" i="1"/>
  <c r="V299" i="1"/>
  <c r="T299" i="1"/>
  <c r="Z299" i="1" s="1"/>
  <c r="R299" i="1"/>
  <c r="N299" i="1"/>
  <c r="M299" i="1"/>
  <c r="K299" i="1"/>
  <c r="J299" i="1"/>
  <c r="E299" i="1"/>
  <c r="D299" i="1"/>
  <c r="B299" i="1"/>
  <c r="DS298" i="1"/>
  <c r="DR298" i="1"/>
  <c r="DT298" i="1" s="1"/>
  <c r="DQ298" i="1"/>
  <c r="CB298" i="1"/>
  <c r="BW298" i="1"/>
  <c r="BR298" i="1"/>
  <c r="BM298" i="1"/>
  <c r="BH298" i="1"/>
  <c r="BC298" i="1"/>
  <c r="AX298" i="1"/>
  <c r="AS298" i="1"/>
  <c r="AN298" i="1"/>
  <c r="AI298" i="1"/>
  <c r="AD298" i="1"/>
  <c r="V298" i="1"/>
  <c r="T298" i="1"/>
  <c r="Z298" i="1" s="1"/>
  <c r="R298" i="1"/>
  <c r="N298" i="1"/>
  <c r="M298" i="1"/>
  <c r="K298" i="1"/>
  <c r="J298" i="1"/>
  <c r="E298" i="1"/>
  <c r="D298" i="1"/>
  <c r="B298" i="1"/>
  <c r="DS297" i="1"/>
  <c r="DR297" i="1"/>
  <c r="DT297" i="1" s="1"/>
  <c r="DQ297" i="1"/>
  <c r="Z297" i="1"/>
  <c r="V297" i="1"/>
  <c r="T297" i="1"/>
  <c r="X297" i="1" s="1"/>
  <c r="M297" i="1"/>
  <c r="N297" i="1" s="1"/>
  <c r="J297" i="1"/>
  <c r="K297" i="1" s="1"/>
  <c r="E297" i="1"/>
  <c r="D297" i="1"/>
  <c r="DS296" i="1"/>
  <c r="DR296" i="1"/>
  <c r="DT296" i="1" s="1"/>
  <c r="DQ296" i="1"/>
  <c r="V296" i="1"/>
  <c r="T296" i="1"/>
  <c r="Z296" i="1" s="1"/>
  <c r="M296" i="1"/>
  <c r="N296" i="1" s="1"/>
  <c r="J296" i="1"/>
  <c r="K296" i="1" s="1"/>
  <c r="E296" i="1"/>
  <c r="D296" i="1"/>
  <c r="DS295" i="1"/>
  <c r="DR295" i="1"/>
  <c r="DT295" i="1" s="1"/>
  <c r="DQ295" i="1"/>
  <c r="V295" i="1"/>
  <c r="T295" i="1"/>
  <c r="X295" i="1" s="1"/>
  <c r="M295" i="1"/>
  <c r="N295" i="1" s="1"/>
  <c r="J295" i="1"/>
  <c r="K295" i="1" s="1"/>
  <c r="E295" i="1"/>
  <c r="D295" i="1"/>
  <c r="DT294" i="1"/>
  <c r="DS294" i="1"/>
  <c r="DR294" i="1"/>
  <c r="DQ294" i="1"/>
  <c r="V294" i="1"/>
  <c r="T294" i="1"/>
  <c r="Z294" i="1" s="1"/>
  <c r="M294" i="1"/>
  <c r="N294" i="1" s="1"/>
  <c r="J294" i="1"/>
  <c r="K294" i="1" s="1"/>
  <c r="E294" i="1"/>
  <c r="D294" i="1"/>
  <c r="DS293" i="1"/>
  <c r="DR293" i="1"/>
  <c r="DT293" i="1" s="1"/>
  <c r="DQ293" i="1"/>
  <c r="V293" i="1"/>
  <c r="T293" i="1"/>
  <c r="Z293" i="1" s="1"/>
  <c r="M293" i="1"/>
  <c r="N293" i="1" s="1"/>
  <c r="J293" i="1"/>
  <c r="K293" i="1" s="1"/>
  <c r="E293" i="1"/>
  <c r="D293" i="1"/>
  <c r="DT292" i="1"/>
  <c r="DS292" i="1"/>
  <c r="DR292" i="1"/>
  <c r="DQ292" i="1"/>
  <c r="Z292" i="1"/>
  <c r="V292" i="1"/>
  <c r="T292" i="1"/>
  <c r="X292" i="1" s="1"/>
  <c r="M292" i="1"/>
  <c r="N292" i="1" s="1"/>
  <c r="J292" i="1"/>
  <c r="K292" i="1" s="1"/>
  <c r="E292" i="1"/>
  <c r="D292" i="1"/>
  <c r="DT291" i="1"/>
  <c r="DS291" i="1"/>
  <c r="DR291" i="1"/>
  <c r="DQ291" i="1"/>
  <c r="V291" i="1"/>
  <c r="T291" i="1"/>
  <c r="Z291" i="1" s="1"/>
  <c r="M291" i="1"/>
  <c r="N291" i="1" s="1"/>
  <c r="R291" i="1" s="1"/>
  <c r="J291" i="1"/>
  <c r="K291" i="1" s="1"/>
  <c r="E291" i="1"/>
  <c r="D291" i="1"/>
  <c r="DT290" i="1"/>
  <c r="DS290" i="1"/>
  <c r="DR290" i="1"/>
  <c r="DQ290" i="1"/>
  <c r="Z290" i="1"/>
  <c r="V290" i="1"/>
  <c r="T290" i="1"/>
  <c r="X290" i="1" s="1"/>
  <c r="N290" i="1"/>
  <c r="M290" i="1"/>
  <c r="J290" i="1"/>
  <c r="K290" i="1" s="1"/>
  <c r="E290" i="1"/>
  <c r="D290" i="1"/>
  <c r="DT289" i="1"/>
  <c r="DS289" i="1"/>
  <c r="DR289" i="1"/>
  <c r="DQ289" i="1"/>
  <c r="V289" i="1"/>
  <c r="T289" i="1"/>
  <c r="X289" i="1" s="1"/>
  <c r="J289" i="1"/>
  <c r="K289" i="1" s="1"/>
  <c r="H289" i="1"/>
  <c r="M289" i="1" s="1"/>
  <c r="N289" i="1" s="1"/>
  <c r="E289" i="1"/>
  <c r="D289" i="1"/>
  <c r="DT288" i="1"/>
  <c r="DS288" i="1"/>
  <c r="DR288" i="1"/>
  <c r="DQ288" i="1"/>
  <c r="V288" i="1"/>
  <c r="T288" i="1"/>
  <c r="X288" i="1" s="1"/>
  <c r="M288" i="1"/>
  <c r="N288" i="1" s="1"/>
  <c r="K288" i="1"/>
  <c r="J288" i="1"/>
  <c r="H288" i="1"/>
  <c r="E288" i="1"/>
  <c r="D288" i="1"/>
  <c r="DS287" i="1"/>
  <c r="DR287" i="1"/>
  <c r="DT287" i="1" s="1"/>
  <c r="DQ287" i="1"/>
  <c r="V287" i="1"/>
  <c r="T287" i="1"/>
  <c r="X287" i="1" s="1"/>
  <c r="J287" i="1"/>
  <c r="H287" i="1"/>
  <c r="M287" i="1" s="1"/>
  <c r="N287" i="1" s="1"/>
  <c r="E287" i="1"/>
  <c r="D287" i="1"/>
  <c r="DS286" i="1"/>
  <c r="DR286" i="1"/>
  <c r="DT286" i="1" s="1"/>
  <c r="DQ286" i="1"/>
  <c r="X286" i="1"/>
  <c r="V286" i="1"/>
  <c r="T286" i="1"/>
  <c r="J286" i="1"/>
  <c r="H286" i="1"/>
  <c r="E286" i="1"/>
  <c r="D286" i="1"/>
  <c r="DT285" i="1"/>
  <c r="DS285" i="1"/>
  <c r="DR285" i="1"/>
  <c r="DQ285" i="1"/>
  <c r="V285" i="1"/>
  <c r="T285" i="1"/>
  <c r="M285" i="1"/>
  <c r="N285" i="1" s="1"/>
  <c r="R285" i="1" s="1"/>
  <c r="J285" i="1"/>
  <c r="K285" i="1" s="1"/>
  <c r="H285" i="1"/>
  <c r="E285" i="1"/>
  <c r="D285" i="1"/>
  <c r="DT284" i="1"/>
  <c r="DS284" i="1"/>
  <c r="DR284" i="1"/>
  <c r="DQ284" i="1"/>
  <c r="V284" i="1"/>
  <c r="T284" i="1"/>
  <c r="N284" i="1"/>
  <c r="R284" i="1" s="1"/>
  <c r="M284" i="1"/>
  <c r="K284" i="1"/>
  <c r="J284" i="1"/>
  <c r="E284" i="1"/>
  <c r="D284" i="1"/>
  <c r="DS283" i="1"/>
  <c r="DR283" i="1"/>
  <c r="DT283" i="1" s="1"/>
  <c r="DQ283" i="1"/>
  <c r="BZ283" i="1"/>
  <c r="V283" i="1"/>
  <c r="X283" i="1" s="1"/>
  <c r="T283" i="1"/>
  <c r="Z283" i="1" s="1"/>
  <c r="M283" i="1"/>
  <c r="N283" i="1" s="1"/>
  <c r="J283" i="1"/>
  <c r="K283" i="1" s="1"/>
  <c r="H283" i="1"/>
  <c r="E283" i="1"/>
  <c r="D283" i="1"/>
  <c r="DS282" i="1"/>
  <c r="DR282" i="1"/>
  <c r="DT282" i="1" s="1"/>
  <c r="DQ282" i="1"/>
  <c r="V282" i="1"/>
  <c r="T282" i="1"/>
  <c r="J282" i="1"/>
  <c r="H282" i="1"/>
  <c r="H275" i="1" s="1"/>
  <c r="E282" i="1"/>
  <c r="D282" i="1"/>
  <c r="DT281" i="1"/>
  <c r="DS281" i="1"/>
  <c r="DR281" i="1"/>
  <c r="DQ281" i="1"/>
  <c r="BF281" i="1"/>
  <c r="V281" i="1"/>
  <c r="T281" i="1"/>
  <c r="M281" i="1"/>
  <c r="N281" i="1" s="1"/>
  <c r="J281" i="1"/>
  <c r="K281" i="1" s="1"/>
  <c r="E281" i="1"/>
  <c r="D281" i="1"/>
  <c r="DT280" i="1"/>
  <c r="DS280" i="1"/>
  <c r="DR280" i="1"/>
  <c r="DQ280" i="1"/>
  <c r="BZ280" i="1"/>
  <c r="BF280" i="1"/>
  <c r="V280" i="1"/>
  <c r="T280" i="1"/>
  <c r="Z280" i="1" s="1"/>
  <c r="R280" i="1"/>
  <c r="H280" i="1"/>
  <c r="E280" i="1"/>
  <c r="D280" i="1"/>
  <c r="DT279" i="1"/>
  <c r="DS279" i="1"/>
  <c r="DR279" i="1"/>
  <c r="DQ279" i="1"/>
  <c r="BK279" i="1"/>
  <c r="V279" i="1"/>
  <c r="T279" i="1"/>
  <c r="Z279" i="1" s="1"/>
  <c r="R279" i="1"/>
  <c r="H279" i="1"/>
  <c r="E279" i="1"/>
  <c r="D279" i="1"/>
  <c r="DT278" i="1"/>
  <c r="DS278" i="1"/>
  <c r="DR278" i="1"/>
  <c r="DQ278" i="1"/>
  <c r="BF278" i="1"/>
  <c r="BB278" i="1"/>
  <c r="V278" i="1"/>
  <c r="T278" i="1"/>
  <c r="R278" i="1"/>
  <c r="M278" i="1"/>
  <c r="H278" i="1"/>
  <c r="E278" i="1"/>
  <c r="D278" i="1"/>
  <c r="DT277" i="1"/>
  <c r="DS277" i="1"/>
  <c r="DR277" i="1"/>
  <c r="DQ277" i="1"/>
  <c r="CB277" i="1"/>
  <c r="BZ277" i="1"/>
  <c r="BZ279" i="1" s="1"/>
  <c r="BZ281" i="1" s="1"/>
  <c r="BZ282" i="1" s="1"/>
  <c r="BP277" i="1"/>
  <c r="BF277" i="1"/>
  <c r="BF279" i="1" s="1"/>
  <c r="BB277" i="1"/>
  <c r="BA277" i="1"/>
  <c r="BA279" i="1" s="1"/>
  <c r="AV277" i="1"/>
  <c r="AL277" i="1"/>
  <c r="AG277" i="1"/>
  <c r="AG278" i="1" s="1"/>
  <c r="V277" i="1"/>
  <c r="T277" i="1"/>
  <c r="R277" i="1"/>
  <c r="M277" i="1"/>
  <c r="H277" i="1"/>
  <c r="E277" i="1"/>
  <c r="D277" i="1"/>
  <c r="CA275" i="1"/>
  <c r="CA277" i="1" s="1"/>
  <c r="CA278" i="1" s="1"/>
  <c r="BZ275" i="1"/>
  <c r="BV275" i="1"/>
  <c r="BV277" i="1" s="1"/>
  <c r="BV278" i="1" s="1"/>
  <c r="BU275" i="1"/>
  <c r="BU277" i="1" s="1"/>
  <c r="BQ275" i="1"/>
  <c r="BQ277" i="1" s="1"/>
  <c r="BP275" i="1"/>
  <c r="BL275" i="1"/>
  <c r="BL277" i="1" s="1"/>
  <c r="BK275" i="1"/>
  <c r="BK277" i="1" s="1"/>
  <c r="BK278" i="1" s="1"/>
  <c r="BG275" i="1"/>
  <c r="BG277" i="1" s="1"/>
  <c r="BH277" i="1" s="1"/>
  <c r="BF275" i="1"/>
  <c r="BB275" i="1"/>
  <c r="BA275" i="1"/>
  <c r="AW275" i="1"/>
  <c r="AW277" i="1" s="1"/>
  <c r="AV275" i="1"/>
  <c r="AR275" i="1"/>
  <c r="AR277" i="1" s="1"/>
  <c r="AQ275" i="1"/>
  <c r="AQ277" i="1" s="1"/>
  <c r="AQ278" i="1" s="1"/>
  <c r="AM275" i="1"/>
  <c r="AM277" i="1" s="1"/>
  <c r="AL275" i="1"/>
  <c r="AH275" i="1"/>
  <c r="AH277" i="1" s="1"/>
  <c r="AG275" i="1"/>
  <c r="AC275" i="1"/>
  <c r="AC277" i="1" s="1"/>
  <c r="AB275" i="1"/>
  <c r="AB277" i="1" s="1"/>
  <c r="B275" i="1"/>
  <c r="DT263" i="1"/>
  <c r="DS263" i="1"/>
  <c r="DR263" i="1"/>
  <c r="DQ263" i="1"/>
  <c r="B263" i="1"/>
  <c r="DS262" i="1"/>
  <c r="DR262" i="1"/>
  <c r="DT262" i="1" s="1"/>
  <c r="DQ262" i="1"/>
  <c r="CB262" i="1"/>
  <c r="BW262" i="1"/>
  <c r="BR262" i="1"/>
  <c r="BM262" i="1"/>
  <c r="BH262" i="1"/>
  <c r="BC262" i="1"/>
  <c r="AX262" i="1"/>
  <c r="AS262" i="1"/>
  <c r="AN262" i="1"/>
  <c r="AI262" i="1"/>
  <c r="AD262" i="1"/>
  <c r="V262" i="1"/>
  <c r="X262" i="1" s="1"/>
  <c r="T262" i="1"/>
  <c r="Z262" i="1" s="1"/>
  <c r="R262" i="1"/>
  <c r="N262" i="1"/>
  <c r="M262" i="1"/>
  <c r="K262" i="1"/>
  <c r="J262" i="1"/>
  <c r="E262" i="1"/>
  <c r="D262" i="1"/>
  <c r="B262" i="1"/>
  <c r="DS261" i="1"/>
  <c r="DR261" i="1"/>
  <c r="DT261" i="1" s="1"/>
  <c r="DQ261" i="1"/>
  <c r="CB261" i="1"/>
  <c r="BW261" i="1"/>
  <c r="BR261" i="1"/>
  <c r="BM261" i="1"/>
  <c r="BH261" i="1"/>
  <c r="BC261" i="1"/>
  <c r="AX261" i="1"/>
  <c r="AS261" i="1"/>
  <c r="AN261" i="1"/>
  <c r="AI261" i="1"/>
  <c r="AD261" i="1"/>
  <c r="V261" i="1"/>
  <c r="T261" i="1"/>
  <c r="Z261" i="1" s="1"/>
  <c r="R261" i="1"/>
  <c r="N261" i="1"/>
  <c r="M261" i="1"/>
  <c r="K261" i="1"/>
  <c r="J261" i="1"/>
  <c r="E261" i="1"/>
  <c r="D261" i="1"/>
  <c r="B261" i="1"/>
  <c r="DT260" i="1"/>
  <c r="DS260" i="1"/>
  <c r="DR260" i="1"/>
  <c r="DQ260" i="1"/>
  <c r="CB260" i="1"/>
  <c r="BW260" i="1"/>
  <c r="BR260" i="1"/>
  <c r="BM260" i="1"/>
  <c r="BH260" i="1"/>
  <c r="BC260" i="1"/>
  <c r="AX260" i="1"/>
  <c r="AS260" i="1"/>
  <c r="AN260" i="1"/>
  <c r="AI260" i="1"/>
  <c r="AD260" i="1"/>
  <c r="Z260" i="1"/>
  <c r="X260" i="1"/>
  <c r="V260" i="1"/>
  <c r="T260" i="1"/>
  <c r="R260" i="1"/>
  <c r="N260" i="1"/>
  <c r="M260" i="1"/>
  <c r="K260" i="1"/>
  <c r="J260" i="1"/>
  <c r="E260" i="1"/>
  <c r="D260" i="1"/>
  <c r="B260" i="1"/>
  <c r="DT259" i="1"/>
  <c r="DS259" i="1"/>
  <c r="DR259" i="1"/>
  <c r="DQ259" i="1"/>
  <c r="CB259" i="1"/>
  <c r="BW259" i="1"/>
  <c r="BR259" i="1"/>
  <c r="BM259" i="1"/>
  <c r="BH259" i="1"/>
  <c r="BC259" i="1"/>
  <c r="AX259" i="1"/>
  <c r="AS259" i="1"/>
  <c r="AN259" i="1"/>
  <c r="AI259" i="1"/>
  <c r="AD259" i="1"/>
  <c r="V259" i="1"/>
  <c r="T259" i="1"/>
  <c r="R259" i="1"/>
  <c r="N259" i="1"/>
  <c r="M259" i="1"/>
  <c r="K259" i="1"/>
  <c r="J259" i="1"/>
  <c r="E259" i="1"/>
  <c r="D259" i="1"/>
  <c r="B259" i="1"/>
  <c r="DS258" i="1"/>
  <c r="DR258" i="1"/>
  <c r="DT258" i="1" s="1"/>
  <c r="DQ258" i="1"/>
  <c r="CB258" i="1"/>
  <c r="BW258" i="1"/>
  <c r="BR258" i="1"/>
  <c r="BM258" i="1"/>
  <c r="BH258" i="1"/>
  <c r="BC258" i="1"/>
  <c r="AX258" i="1"/>
  <c r="AS258" i="1"/>
  <c r="AN258" i="1"/>
  <c r="AI258" i="1"/>
  <c r="AD258" i="1"/>
  <c r="V258" i="1"/>
  <c r="T258" i="1"/>
  <c r="Z258" i="1" s="1"/>
  <c r="R258" i="1"/>
  <c r="N258" i="1"/>
  <c r="M258" i="1"/>
  <c r="K258" i="1"/>
  <c r="J258" i="1"/>
  <c r="E258" i="1"/>
  <c r="D258" i="1"/>
  <c r="B258" i="1"/>
  <c r="DS257" i="1"/>
  <c r="DR257" i="1"/>
  <c r="DT257" i="1" s="1"/>
  <c r="DQ257" i="1"/>
  <c r="CB257" i="1"/>
  <c r="BW257" i="1"/>
  <c r="BR257" i="1"/>
  <c r="BM257" i="1"/>
  <c r="BH257" i="1"/>
  <c r="BC257" i="1"/>
  <c r="AX257" i="1"/>
  <c r="AS257" i="1"/>
  <c r="AN257" i="1"/>
  <c r="AI257" i="1"/>
  <c r="AD257" i="1"/>
  <c r="V257" i="1"/>
  <c r="T257" i="1"/>
  <c r="Z257" i="1" s="1"/>
  <c r="R257" i="1"/>
  <c r="N257" i="1"/>
  <c r="M257" i="1"/>
  <c r="K257" i="1"/>
  <c r="J257" i="1"/>
  <c r="E257" i="1"/>
  <c r="D257" i="1"/>
  <c r="B257" i="1"/>
  <c r="DT256" i="1"/>
  <c r="DS256" i="1"/>
  <c r="DR256" i="1"/>
  <c r="DQ256" i="1"/>
  <c r="CB256" i="1"/>
  <c r="BW256" i="1"/>
  <c r="BR256" i="1"/>
  <c r="BM256" i="1"/>
  <c r="BH256" i="1"/>
  <c r="BC256" i="1"/>
  <c r="AX256" i="1"/>
  <c r="AS256" i="1"/>
  <c r="AN256" i="1"/>
  <c r="AI256" i="1"/>
  <c r="AD256" i="1"/>
  <c r="Z256" i="1"/>
  <c r="X256" i="1"/>
  <c r="V256" i="1"/>
  <c r="T256" i="1"/>
  <c r="R256" i="1"/>
  <c r="N256" i="1"/>
  <c r="M256" i="1"/>
  <c r="K256" i="1"/>
  <c r="J256" i="1"/>
  <c r="E256" i="1"/>
  <c r="D256" i="1"/>
  <c r="B256" i="1"/>
  <c r="DT255" i="1"/>
  <c r="DS255" i="1"/>
  <c r="DR255" i="1"/>
  <c r="DQ255" i="1"/>
  <c r="CB255" i="1"/>
  <c r="BW255" i="1"/>
  <c r="BR255" i="1"/>
  <c r="BM255" i="1"/>
  <c r="BH255" i="1"/>
  <c r="BC255" i="1"/>
  <c r="AX255" i="1"/>
  <c r="AS255" i="1"/>
  <c r="AN255" i="1"/>
  <c r="AI255" i="1"/>
  <c r="AD255" i="1"/>
  <c r="V255" i="1"/>
  <c r="T255" i="1"/>
  <c r="Z255" i="1" s="1"/>
  <c r="R255" i="1"/>
  <c r="N255" i="1"/>
  <c r="M255" i="1"/>
  <c r="K255" i="1"/>
  <c r="J255" i="1"/>
  <c r="E255" i="1"/>
  <c r="D255" i="1"/>
  <c r="B255" i="1"/>
  <c r="DT254" i="1"/>
  <c r="DS254" i="1"/>
  <c r="DR254" i="1"/>
  <c r="DQ254" i="1"/>
  <c r="CB254" i="1"/>
  <c r="BW254" i="1"/>
  <c r="BR254" i="1"/>
  <c r="BM254" i="1"/>
  <c r="BH254" i="1"/>
  <c r="BC254" i="1"/>
  <c r="AX254" i="1"/>
  <c r="AS254" i="1"/>
  <c r="AN254" i="1"/>
  <c r="AI254" i="1"/>
  <c r="AD254" i="1"/>
  <c r="Z254" i="1"/>
  <c r="X254" i="1"/>
  <c r="V254" i="1"/>
  <c r="T254" i="1"/>
  <c r="R254" i="1"/>
  <c r="N254" i="1"/>
  <c r="M254" i="1"/>
  <c r="K254" i="1"/>
  <c r="J254" i="1"/>
  <c r="E254" i="1"/>
  <c r="D254" i="1"/>
  <c r="B254" i="1"/>
  <c r="DT253" i="1"/>
  <c r="DS253" i="1"/>
  <c r="DR253" i="1"/>
  <c r="DQ253" i="1"/>
  <c r="CB253" i="1"/>
  <c r="BW253" i="1"/>
  <c r="BR253" i="1"/>
  <c r="BM253" i="1"/>
  <c r="BH253" i="1"/>
  <c r="BC253" i="1"/>
  <c r="AX253" i="1"/>
  <c r="AS253" i="1"/>
  <c r="AN253" i="1"/>
  <c r="AI253" i="1"/>
  <c r="AD253" i="1"/>
  <c r="V253" i="1"/>
  <c r="T253" i="1"/>
  <c r="R253" i="1"/>
  <c r="N253" i="1"/>
  <c r="M253" i="1"/>
  <c r="K253" i="1"/>
  <c r="J253" i="1"/>
  <c r="E253" i="1"/>
  <c r="D253" i="1"/>
  <c r="B253" i="1"/>
  <c r="DS252" i="1"/>
  <c r="DR252" i="1"/>
  <c r="DT252" i="1" s="1"/>
  <c r="DQ252" i="1"/>
  <c r="CB252" i="1"/>
  <c r="BW252" i="1"/>
  <c r="BR252" i="1"/>
  <c r="BM252" i="1"/>
  <c r="BH252" i="1"/>
  <c r="BC252" i="1"/>
  <c r="AX252" i="1"/>
  <c r="AS252" i="1"/>
  <c r="AN252" i="1"/>
  <c r="AI252" i="1"/>
  <c r="AD252" i="1"/>
  <c r="V252" i="1"/>
  <c r="T252" i="1"/>
  <c r="Z252" i="1" s="1"/>
  <c r="R252" i="1"/>
  <c r="N252" i="1"/>
  <c r="M252" i="1"/>
  <c r="K252" i="1"/>
  <c r="J252" i="1"/>
  <c r="E252" i="1"/>
  <c r="D252" i="1"/>
  <c r="B252" i="1"/>
  <c r="DT251" i="1"/>
  <c r="DS251" i="1"/>
  <c r="DR251" i="1"/>
  <c r="DQ251" i="1"/>
  <c r="CB251" i="1"/>
  <c r="BW251" i="1"/>
  <c r="BR251" i="1"/>
  <c r="BM251" i="1"/>
  <c r="BH251" i="1"/>
  <c r="BC251" i="1"/>
  <c r="AX251" i="1"/>
  <c r="AS251" i="1"/>
  <c r="AN251" i="1"/>
  <c r="AI251" i="1"/>
  <c r="AD251" i="1"/>
  <c r="Z251" i="1"/>
  <c r="V251" i="1"/>
  <c r="T251" i="1"/>
  <c r="R251" i="1"/>
  <c r="N251" i="1"/>
  <c r="M251" i="1"/>
  <c r="K251" i="1"/>
  <c r="J251" i="1"/>
  <c r="E251" i="1"/>
  <c r="D251" i="1"/>
  <c r="B251" i="1"/>
  <c r="DS250" i="1"/>
  <c r="DR250" i="1"/>
  <c r="DT250" i="1" s="1"/>
  <c r="DQ250" i="1"/>
  <c r="CB250" i="1"/>
  <c r="BW250" i="1"/>
  <c r="BR250" i="1"/>
  <c r="BM250" i="1"/>
  <c r="BH250" i="1"/>
  <c r="BC250" i="1"/>
  <c r="AX250" i="1"/>
  <c r="AS250" i="1"/>
  <c r="AN250" i="1"/>
  <c r="AI250" i="1"/>
  <c r="AD250" i="1"/>
  <c r="Z250" i="1"/>
  <c r="V250" i="1"/>
  <c r="T250" i="1"/>
  <c r="X250" i="1" s="1"/>
  <c r="R250" i="1"/>
  <c r="N250" i="1"/>
  <c r="M250" i="1"/>
  <c r="K250" i="1"/>
  <c r="J250" i="1"/>
  <c r="E250" i="1"/>
  <c r="D250" i="1"/>
  <c r="B250" i="1"/>
  <c r="DT249" i="1"/>
  <c r="DS249" i="1"/>
  <c r="DR249" i="1"/>
  <c r="DQ249" i="1"/>
  <c r="CB249" i="1"/>
  <c r="BW249" i="1"/>
  <c r="BR249" i="1"/>
  <c r="BM249" i="1"/>
  <c r="BH249" i="1"/>
  <c r="BC249" i="1"/>
  <c r="AX249" i="1"/>
  <c r="AS249" i="1"/>
  <c r="AN249" i="1"/>
  <c r="AI249" i="1"/>
  <c r="AD249" i="1"/>
  <c r="V249" i="1"/>
  <c r="X249" i="1" s="1"/>
  <c r="T249" i="1"/>
  <c r="Z249" i="1" s="1"/>
  <c r="R249" i="1"/>
  <c r="N249" i="1"/>
  <c r="M249" i="1"/>
  <c r="K249" i="1"/>
  <c r="J249" i="1"/>
  <c r="E249" i="1"/>
  <c r="D249" i="1"/>
  <c r="B249" i="1"/>
  <c r="DT248" i="1"/>
  <c r="DS248" i="1"/>
  <c r="DR248" i="1"/>
  <c r="DQ248" i="1"/>
  <c r="CB248" i="1"/>
  <c r="BW248" i="1"/>
  <c r="BR248" i="1"/>
  <c r="BM248" i="1"/>
  <c r="BH248" i="1"/>
  <c r="BC248" i="1"/>
  <c r="AX248" i="1"/>
  <c r="AS248" i="1"/>
  <c r="AN248" i="1"/>
  <c r="AI248" i="1"/>
  <c r="AD248" i="1"/>
  <c r="Z248" i="1"/>
  <c r="X248" i="1"/>
  <c r="V248" i="1"/>
  <c r="T248" i="1"/>
  <c r="R248" i="1"/>
  <c r="N248" i="1"/>
  <c r="M248" i="1"/>
  <c r="K248" i="1"/>
  <c r="J248" i="1"/>
  <c r="E248" i="1"/>
  <c r="D248" i="1"/>
  <c r="B248" i="1"/>
  <c r="DT247" i="1"/>
  <c r="DS247" i="1"/>
  <c r="DR247" i="1"/>
  <c r="DQ247" i="1"/>
  <c r="CB247" i="1"/>
  <c r="BW247" i="1"/>
  <c r="BR247" i="1"/>
  <c r="BM247" i="1"/>
  <c r="BH247" i="1"/>
  <c r="BC247" i="1"/>
  <c r="AX247" i="1"/>
  <c r="AS247" i="1"/>
  <c r="AN247" i="1"/>
  <c r="AI247" i="1"/>
  <c r="AD247" i="1"/>
  <c r="V247" i="1"/>
  <c r="T247" i="1"/>
  <c r="R247" i="1"/>
  <c r="N247" i="1"/>
  <c r="M247" i="1"/>
  <c r="K247" i="1"/>
  <c r="J247" i="1"/>
  <c r="E247" i="1"/>
  <c r="D247" i="1"/>
  <c r="B247" i="1"/>
  <c r="DS246" i="1"/>
  <c r="DR246" i="1"/>
  <c r="DT246" i="1" s="1"/>
  <c r="DQ246" i="1"/>
  <c r="CB246" i="1"/>
  <c r="BW246" i="1"/>
  <c r="BR246" i="1"/>
  <c r="BM246" i="1"/>
  <c r="BH246" i="1"/>
  <c r="BC246" i="1"/>
  <c r="AX246" i="1"/>
  <c r="AS246" i="1"/>
  <c r="AN246" i="1"/>
  <c r="AI246" i="1"/>
  <c r="AD246" i="1"/>
  <c r="V246" i="1"/>
  <c r="T246" i="1"/>
  <c r="Z246" i="1" s="1"/>
  <c r="R246" i="1"/>
  <c r="N246" i="1"/>
  <c r="M246" i="1"/>
  <c r="K246" i="1"/>
  <c r="J246" i="1"/>
  <c r="E246" i="1"/>
  <c r="D246" i="1"/>
  <c r="B246" i="1"/>
  <c r="DT245" i="1"/>
  <c r="DS245" i="1"/>
  <c r="DR245" i="1"/>
  <c r="DQ245" i="1"/>
  <c r="CB245" i="1"/>
  <c r="BW245" i="1"/>
  <c r="BR245" i="1"/>
  <c r="BM245" i="1"/>
  <c r="BH245" i="1"/>
  <c r="BC245" i="1"/>
  <c r="AX245" i="1"/>
  <c r="AS245" i="1"/>
  <c r="AN245" i="1"/>
  <c r="AI245" i="1"/>
  <c r="AD245" i="1"/>
  <c r="V245" i="1"/>
  <c r="X245" i="1" s="1"/>
  <c r="T245" i="1"/>
  <c r="Z245" i="1" s="1"/>
  <c r="R245" i="1"/>
  <c r="N245" i="1"/>
  <c r="M245" i="1"/>
  <c r="K245" i="1"/>
  <c r="J245" i="1"/>
  <c r="E245" i="1"/>
  <c r="D245" i="1"/>
  <c r="B245" i="1"/>
  <c r="DS244" i="1"/>
  <c r="DR244" i="1"/>
  <c r="DT244" i="1" s="1"/>
  <c r="DQ244" i="1"/>
  <c r="CB244" i="1"/>
  <c r="BW244" i="1"/>
  <c r="BR244" i="1"/>
  <c r="BM244" i="1"/>
  <c r="BH244" i="1"/>
  <c r="BC244" i="1"/>
  <c r="AX244" i="1"/>
  <c r="AS244" i="1"/>
  <c r="AN244" i="1"/>
  <c r="AI244" i="1"/>
  <c r="AD244" i="1"/>
  <c r="Z244" i="1"/>
  <c r="V244" i="1"/>
  <c r="T244" i="1"/>
  <c r="X244" i="1" s="1"/>
  <c r="R244" i="1"/>
  <c r="N244" i="1"/>
  <c r="M244" i="1"/>
  <c r="K244" i="1"/>
  <c r="J244" i="1"/>
  <c r="E244" i="1"/>
  <c r="D244" i="1"/>
  <c r="B244" i="1"/>
  <c r="DT243" i="1"/>
  <c r="DS243" i="1"/>
  <c r="DR243" i="1"/>
  <c r="DQ243" i="1"/>
  <c r="V243" i="1"/>
  <c r="T243" i="1"/>
  <c r="N243" i="1"/>
  <c r="M243" i="1"/>
  <c r="J243" i="1"/>
  <c r="K243" i="1" s="1"/>
  <c r="E243" i="1"/>
  <c r="D243" i="1"/>
  <c r="DT242" i="1"/>
  <c r="DS242" i="1"/>
  <c r="DR242" i="1"/>
  <c r="DQ242" i="1"/>
  <c r="V242" i="1"/>
  <c r="T242" i="1"/>
  <c r="Z242" i="1" s="1"/>
  <c r="M242" i="1"/>
  <c r="N242" i="1" s="1"/>
  <c r="J242" i="1"/>
  <c r="K242" i="1" s="1"/>
  <c r="E242" i="1"/>
  <c r="D242" i="1"/>
  <c r="DT241" i="1"/>
  <c r="DS241" i="1"/>
  <c r="DR241" i="1"/>
  <c r="DQ241" i="1"/>
  <c r="V241" i="1"/>
  <c r="T241" i="1"/>
  <c r="M241" i="1"/>
  <c r="N241" i="1" s="1"/>
  <c r="J241" i="1"/>
  <c r="K241" i="1" s="1"/>
  <c r="E241" i="1"/>
  <c r="D241" i="1"/>
  <c r="DT240" i="1"/>
  <c r="DS240" i="1"/>
  <c r="DR240" i="1"/>
  <c r="DQ240" i="1"/>
  <c r="V240" i="1"/>
  <c r="T240" i="1"/>
  <c r="Z240" i="1" s="1"/>
  <c r="M240" i="1"/>
  <c r="N240" i="1" s="1"/>
  <c r="J240" i="1"/>
  <c r="K240" i="1" s="1"/>
  <c r="E240" i="1"/>
  <c r="D240" i="1"/>
  <c r="DT239" i="1"/>
  <c r="DS239" i="1"/>
  <c r="DR239" i="1"/>
  <c r="DQ239" i="1"/>
  <c r="V239" i="1"/>
  <c r="T239" i="1"/>
  <c r="X239" i="1" s="1"/>
  <c r="M239" i="1"/>
  <c r="N239" i="1" s="1"/>
  <c r="J239" i="1"/>
  <c r="K239" i="1" s="1"/>
  <c r="E239" i="1"/>
  <c r="D239" i="1"/>
  <c r="DT238" i="1"/>
  <c r="DS238" i="1"/>
  <c r="DR238" i="1"/>
  <c r="DQ238" i="1"/>
  <c r="V238" i="1"/>
  <c r="T238" i="1"/>
  <c r="Z238" i="1" s="1"/>
  <c r="M238" i="1"/>
  <c r="N238" i="1" s="1"/>
  <c r="J238" i="1"/>
  <c r="K238" i="1" s="1"/>
  <c r="E238" i="1"/>
  <c r="D238" i="1"/>
  <c r="DS237" i="1"/>
  <c r="DR237" i="1"/>
  <c r="DT237" i="1" s="1"/>
  <c r="DQ237" i="1"/>
  <c r="V237" i="1"/>
  <c r="T237" i="1"/>
  <c r="Z237" i="1" s="1"/>
  <c r="M237" i="1"/>
  <c r="N237" i="1" s="1"/>
  <c r="J237" i="1"/>
  <c r="K237" i="1" s="1"/>
  <c r="E237" i="1"/>
  <c r="D237" i="1"/>
  <c r="DS236" i="1"/>
  <c r="DR236" i="1"/>
  <c r="DT236" i="1" s="1"/>
  <c r="DQ236" i="1"/>
  <c r="Z236" i="1"/>
  <c r="V236" i="1"/>
  <c r="T236" i="1"/>
  <c r="X236" i="1" s="1"/>
  <c r="M236" i="1"/>
  <c r="N236" i="1" s="1"/>
  <c r="R236" i="1" s="1"/>
  <c r="J236" i="1"/>
  <c r="K236" i="1" s="1"/>
  <c r="E236" i="1"/>
  <c r="D236" i="1"/>
  <c r="DT235" i="1"/>
  <c r="DS235" i="1"/>
  <c r="DR235" i="1"/>
  <c r="DQ235" i="1"/>
  <c r="V235" i="1"/>
  <c r="X235" i="1" s="1"/>
  <c r="T235" i="1"/>
  <c r="J235" i="1"/>
  <c r="H235" i="1"/>
  <c r="E235" i="1"/>
  <c r="D235" i="1"/>
  <c r="DT234" i="1"/>
  <c r="DS234" i="1"/>
  <c r="DR234" i="1"/>
  <c r="DQ234" i="1"/>
  <c r="X234" i="1"/>
  <c r="V234" i="1"/>
  <c r="T234" i="1"/>
  <c r="Z234" i="1" s="1"/>
  <c r="M234" i="1"/>
  <c r="N234" i="1" s="1"/>
  <c r="J234" i="1"/>
  <c r="K234" i="1" s="1"/>
  <c r="H234" i="1"/>
  <c r="E234" i="1"/>
  <c r="D234" i="1"/>
  <c r="DS233" i="1"/>
  <c r="DR233" i="1"/>
  <c r="DT233" i="1" s="1"/>
  <c r="DQ233" i="1"/>
  <c r="Z233" i="1"/>
  <c r="X233" i="1"/>
  <c r="V233" i="1"/>
  <c r="T233" i="1"/>
  <c r="J233" i="1"/>
  <c r="K233" i="1" s="1"/>
  <c r="H233" i="1"/>
  <c r="M233" i="1" s="1"/>
  <c r="N233" i="1" s="1"/>
  <c r="R233" i="1" s="1"/>
  <c r="E233" i="1"/>
  <c r="D233" i="1"/>
  <c r="DT232" i="1"/>
  <c r="DS232" i="1"/>
  <c r="DR232" i="1"/>
  <c r="DQ232" i="1"/>
  <c r="V232" i="1"/>
  <c r="T232" i="1"/>
  <c r="X232" i="1" s="1"/>
  <c r="J232" i="1"/>
  <c r="H232" i="1"/>
  <c r="K232" i="1" s="1"/>
  <c r="E232" i="1"/>
  <c r="D232" i="1"/>
  <c r="DT231" i="1"/>
  <c r="DS231" i="1"/>
  <c r="DR231" i="1"/>
  <c r="DQ231" i="1"/>
  <c r="V231" i="1"/>
  <c r="T231" i="1"/>
  <c r="Z231" i="1" s="1"/>
  <c r="R231" i="1"/>
  <c r="M231" i="1"/>
  <c r="N231" i="1" s="1"/>
  <c r="J231" i="1"/>
  <c r="K231" i="1" s="1"/>
  <c r="H231" i="1"/>
  <c r="E231" i="1"/>
  <c r="D231" i="1"/>
  <c r="DT230" i="1"/>
  <c r="DS230" i="1"/>
  <c r="DR230" i="1"/>
  <c r="DQ230" i="1"/>
  <c r="V230" i="1"/>
  <c r="T230" i="1"/>
  <c r="Z230" i="1" s="1"/>
  <c r="M230" i="1"/>
  <c r="N230" i="1" s="1"/>
  <c r="J230" i="1"/>
  <c r="K230" i="1" s="1"/>
  <c r="E230" i="1"/>
  <c r="D230" i="1"/>
  <c r="DT229" i="1"/>
  <c r="DS229" i="1"/>
  <c r="DR229" i="1"/>
  <c r="DQ229" i="1"/>
  <c r="V229" i="1"/>
  <c r="T229" i="1"/>
  <c r="M229" i="1"/>
  <c r="N229" i="1" s="1"/>
  <c r="J229" i="1"/>
  <c r="H229" i="1"/>
  <c r="E229" i="1"/>
  <c r="D229" i="1"/>
  <c r="DS228" i="1"/>
  <c r="DR228" i="1"/>
  <c r="DT228" i="1" s="1"/>
  <c r="DQ228" i="1"/>
  <c r="V228" i="1"/>
  <c r="T228" i="1"/>
  <c r="M228" i="1"/>
  <c r="N228" i="1" s="1"/>
  <c r="J228" i="1"/>
  <c r="K228" i="1" s="1"/>
  <c r="H228" i="1"/>
  <c r="E228" i="1"/>
  <c r="D228" i="1"/>
  <c r="DS227" i="1"/>
  <c r="DR227" i="1"/>
  <c r="DT227" i="1" s="1"/>
  <c r="DQ227" i="1"/>
  <c r="V227" i="1"/>
  <c r="T227" i="1"/>
  <c r="Z227" i="1" s="1"/>
  <c r="R227" i="1"/>
  <c r="M227" i="1"/>
  <c r="N227" i="1" s="1"/>
  <c r="J227" i="1"/>
  <c r="K227" i="1" s="1"/>
  <c r="E227" i="1"/>
  <c r="D227" i="1"/>
  <c r="DS226" i="1"/>
  <c r="DR226" i="1"/>
  <c r="DT226" i="1" s="1"/>
  <c r="DQ226" i="1"/>
  <c r="AL226" i="1"/>
  <c r="AG226" i="1"/>
  <c r="V226" i="1"/>
  <c r="T226" i="1"/>
  <c r="X226" i="1" s="1"/>
  <c r="R226" i="1"/>
  <c r="N226" i="1"/>
  <c r="J226" i="1"/>
  <c r="K226" i="1" s="1"/>
  <c r="H226" i="1"/>
  <c r="M226" i="1" s="1"/>
  <c r="E226" i="1"/>
  <c r="D226" i="1"/>
  <c r="DT225" i="1"/>
  <c r="DS225" i="1"/>
  <c r="DR225" i="1"/>
  <c r="DQ225" i="1"/>
  <c r="AM225" i="1"/>
  <c r="AL225" i="1"/>
  <c r="AL227" i="1" s="1"/>
  <c r="AC225" i="1"/>
  <c r="Z225" i="1"/>
  <c r="X225" i="1"/>
  <c r="V225" i="1"/>
  <c r="T225" i="1"/>
  <c r="R225" i="1"/>
  <c r="M225" i="1"/>
  <c r="H225" i="1"/>
  <c r="E225" i="1"/>
  <c r="D225" i="1"/>
  <c r="DS224" i="1"/>
  <c r="DR224" i="1"/>
  <c r="DT224" i="1" s="1"/>
  <c r="DQ224" i="1"/>
  <c r="V224" i="1"/>
  <c r="T224" i="1"/>
  <c r="X224" i="1" s="1"/>
  <c r="R224" i="1"/>
  <c r="H224" i="1"/>
  <c r="E224" i="1"/>
  <c r="D224" i="1"/>
  <c r="DS223" i="1"/>
  <c r="DR223" i="1"/>
  <c r="DT223" i="1" s="1"/>
  <c r="DQ223" i="1"/>
  <c r="BU223" i="1"/>
  <c r="BP223" i="1"/>
  <c r="BM223" i="1"/>
  <c r="BA223" i="1"/>
  <c r="AV223" i="1"/>
  <c r="AV225" i="1" s="1"/>
  <c r="AV227" i="1" s="1"/>
  <c r="AL223" i="1"/>
  <c r="AL224" i="1" s="1"/>
  <c r="AI223" i="1"/>
  <c r="AG223" i="1"/>
  <c r="AG225" i="1" s="1"/>
  <c r="AG227" i="1" s="1"/>
  <c r="AB223" i="1"/>
  <c r="V223" i="1"/>
  <c r="T223" i="1"/>
  <c r="R223" i="1"/>
  <c r="H223" i="1"/>
  <c r="E223" i="1"/>
  <c r="D223" i="1"/>
  <c r="CA221" i="1"/>
  <c r="CA223" i="1" s="1"/>
  <c r="BZ221" i="1"/>
  <c r="BZ223" i="1" s="1"/>
  <c r="BZ224" i="1" s="1"/>
  <c r="BV221" i="1"/>
  <c r="BV223" i="1" s="1"/>
  <c r="BU221" i="1"/>
  <c r="BQ221" i="1"/>
  <c r="BQ223" i="1" s="1"/>
  <c r="BQ225" i="1" s="1"/>
  <c r="BP221" i="1"/>
  <c r="BL221" i="1"/>
  <c r="BL223" i="1" s="1"/>
  <c r="BL224" i="1" s="1"/>
  <c r="BK221" i="1"/>
  <c r="BK223" i="1" s="1"/>
  <c r="BG221" i="1"/>
  <c r="BG223" i="1" s="1"/>
  <c r="BF221" i="1"/>
  <c r="BB221" i="1"/>
  <c r="BB223" i="1" s="1"/>
  <c r="BA221" i="1"/>
  <c r="AW221" i="1"/>
  <c r="AW223" i="1" s="1"/>
  <c r="AW224" i="1" s="1"/>
  <c r="AV221" i="1"/>
  <c r="AR221" i="1"/>
  <c r="AR223" i="1" s="1"/>
  <c r="AS223" i="1" s="1"/>
  <c r="AQ221" i="1"/>
  <c r="AQ223" i="1" s="1"/>
  <c r="AM221" i="1"/>
  <c r="AM223" i="1" s="1"/>
  <c r="AM224" i="1" s="1"/>
  <c r="AN224" i="1" s="1"/>
  <c r="AL221" i="1"/>
  <c r="AH221" i="1"/>
  <c r="AH223" i="1" s="1"/>
  <c r="AG221" i="1"/>
  <c r="AC221" i="1"/>
  <c r="AC223" i="1" s="1"/>
  <c r="AC224" i="1" s="1"/>
  <c r="AB221" i="1"/>
  <c r="B221" i="1"/>
  <c r="DT208" i="1"/>
  <c r="DS208" i="1"/>
  <c r="DR208" i="1"/>
  <c r="DQ208" i="1"/>
  <c r="DT207" i="1"/>
  <c r="DS207" i="1"/>
  <c r="DR207" i="1"/>
  <c r="DQ207" i="1"/>
  <c r="CB207" i="1"/>
  <c r="BW207" i="1"/>
  <c r="BR207" i="1"/>
  <c r="BM207" i="1"/>
  <c r="BH207" i="1"/>
  <c r="BC207" i="1"/>
  <c r="AX207" i="1"/>
  <c r="AS207" i="1"/>
  <c r="AN207" i="1"/>
  <c r="AI207" i="1"/>
  <c r="AD207" i="1"/>
  <c r="V207" i="1"/>
  <c r="T207" i="1"/>
  <c r="R207" i="1"/>
  <c r="N207" i="1"/>
  <c r="M207" i="1"/>
  <c r="K207" i="1"/>
  <c r="J207" i="1"/>
  <c r="E207" i="1"/>
  <c r="D207" i="1"/>
  <c r="B207" i="1"/>
  <c r="DT206" i="1"/>
  <c r="DS206" i="1"/>
  <c r="DR206" i="1"/>
  <c r="DQ206" i="1"/>
  <c r="CB206" i="1"/>
  <c r="BW206" i="1"/>
  <c r="BR206" i="1"/>
  <c r="BM206" i="1"/>
  <c r="BH206" i="1"/>
  <c r="BC206" i="1"/>
  <c r="AX206" i="1"/>
  <c r="AS206" i="1"/>
  <c r="AN206" i="1"/>
  <c r="AI206" i="1"/>
  <c r="AD206" i="1"/>
  <c r="X206" i="1"/>
  <c r="V206" i="1"/>
  <c r="T206" i="1"/>
  <c r="Z206" i="1" s="1"/>
  <c r="R206" i="1"/>
  <c r="N206" i="1"/>
  <c r="M206" i="1"/>
  <c r="K206" i="1"/>
  <c r="J206" i="1"/>
  <c r="E206" i="1"/>
  <c r="D206" i="1"/>
  <c r="B206" i="1"/>
  <c r="DT205" i="1"/>
  <c r="DS205" i="1"/>
  <c r="DR205" i="1"/>
  <c r="DQ205" i="1"/>
  <c r="CB205" i="1"/>
  <c r="BW205" i="1"/>
  <c r="BR205" i="1"/>
  <c r="BM205" i="1"/>
  <c r="BH205" i="1"/>
  <c r="BC205" i="1"/>
  <c r="AX205" i="1"/>
  <c r="AS205" i="1"/>
  <c r="AN205" i="1"/>
  <c r="AI205" i="1"/>
  <c r="AD205" i="1"/>
  <c r="Z205" i="1"/>
  <c r="X205" i="1"/>
  <c r="V205" i="1"/>
  <c r="T205" i="1"/>
  <c r="R205" i="1"/>
  <c r="N205" i="1"/>
  <c r="M205" i="1"/>
  <c r="K205" i="1"/>
  <c r="J205" i="1"/>
  <c r="E205" i="1"/>
  <c r="D205" i="1"/>
  <c r="B205" i="1"/>
  <c r="DT204" i="1"/>
  <c r="DS204" i="1"/>
  <c r="DR204" i="1"/>
  <c r="DQ204" i="1"/>
  <c r="CB204" i="1"/>
  <c r="BW204" i="1"/>
  <c r="BR204" i="1"/>
  <c r="BM204" i="1"/>
  <c r="BH204" i="1"/>
  <c r="BC204" i="1"/>
  <c r="AX204" i="1"/>
  <c r="AS204" i="1"/>
  <c r="AN204" i="1"/>
  <c r="AI204" i="1"/>
  <c r="AD204" i="1"/>
  <c r="V204" i="1"/>
  <c r="T204" i="1"/>
  <c r="R204" i="1"/>
  <c r="N204" i="1"/>
  <c r="M204" i="1"/>
  <c r="K204" i="1"/>
  <c r="J204" i="1"/>
  <c r="E204" i="1"/>
  <c r="D204" i="1"/>
  <c r="B204" i="1"/>
  <c r="DT203" i="1"/>
  <c r="DS203" i="1"/>
  <c r="DR203" i="1"/>
  <c r="DQ203" i="1"/>
  <c r="CB203" i="1"/>
  <c r="BW203" i="1"/>
  <c r="BR203" i="1"/>
  <c r="BM203" i="1"/>
  <c r="BH203" i="1"/>
  <c r="BC203" i="1"/>
  <c r="AX203" i="1"/>
  <c r="AS203" i="1"/>
  <c r="AN203" i="1"/>
  <c r="AI203" i="1"/>
  <c r="AD203" i="1"/>
  <c r="V203" i="1"/>
  <c r="T203" i="1"/>
  <c r="Z203" i="1" s="1"/>
  <c r="R203" i="1"/>
  <c r="N203" i="1"/>
  <c r="M203" i="1"/>
  <c r="K203" i="1"/>
  <c r="J203" i="1"/>
  <c r="E203" i="1"/>
  <c r="D203" i="1"/>
  <c r="B203" i="1"/>
  <c r="DS202" i="1"/>
  <c r="DR202" i="1"/>
  <c r="DT202" i="1" s="1"/>
  <c r="DQ202" i="1"/>
  <c r="CB202" i="1"/>
  <c r="BW202" i="1"/>
  <c r="BR202" i="1"/>
  <c r="BM202" i="1"/>
  <c r="BH202" i="1"/>
  <c r="BC202" i="1"/>
  <c r="AX202" i="1"/>
  <c r="AS202" i="1"/>
  <c r="AN202" i="1"/>
  <c r="AI202" i="1"/>
  <c r="AD202" i="1"/>
  <c r="V202" i="1"/>
  <c r="T202" i="1"/>
  <c r="Z202" i="1" s="1"/>
  <c r="R202" i="1"/>
  <c r="N202" i="1"/>
  <c r="M202" i="1"/>
  <c r="K202" i="1"/>
  <c r="J202" i="1"/>
  <c r="E202" i="1"/>
  <c r="D202" i="1"/>
  <c r="B202" i="1"/>
  <c r="DT201" i="1"/>
  <c r="DS201" i="1"/>
  <c r="DR201" i="1"/>
  <c r="DQ201" i="1"/>
  <c r="CB201" i="1"/>
  <c r="BW201" i="1"/>
  <c r="BR201" i="1"/>
  <c r="BM201" i="1"/>
  <c r="BH201" i="1"/>
  <c r="BC201" i="1"/>
  <c r="AX201" i="1"/>
  <c r="AS201" i="1"/>
  <c r="AN201" i="1"/>
  <c r="AI201" i="1"/>
  <c r="AD201" i="1"/>
  <c r="V201" i="1"/>
  <c r="T201" i="1"/>
  <c r="R201" i="1"/>
  <c r="N201" i="1"/>
  <c r="M201" i="1"/>
  <c r="K201" i="1"/>
  <c r="J201" i="1"/>
  <c r="E201" i="1"/>
  <c r="D201" i="1"/>
  <c r="B201" i="1"/>
  <c r="DS200" i="1"/>
  <c r="DR200" i="1"/>
  <c r="DT200" i="1" s="1"/>
  <c r="DQ200" i="1"/>
  <c r="CB200" i="1"/>
  <c r="BW200" i="1"/>
  <c r="BR200" i="1"/>
  <c r="BM200" i="1"/>
  <c r="BH200" i="1"/>
  <c r="BC200" i="1"/>
  <c r="AX200" i="1"/>
  <c r="AS200" i="1"/>
  <c r="AN200" i="1"/>
  <c r="AI200" i="1"/>
  <c r="AD200" i="1"/>
  <c r="V200" i="1"/>
  <c r="T200" i="1"/>
  <c r="R200" i="1"/>
  <c r="N200" i="1"/>
  <c r="M200" i="1"/>
  <c r="K200" i="1"/>
  <c r="J200" i="1"/>
  <c r="E200" i="1"/>
  <c r="D200" i="1"/>
  <c r="B200" i="1"/>
  <c r="DT199" i="1"/>
  <c r="DS199" i="1"/>
  <c r="DR199" i="1"/>
  <c r="DQ199" i="1"/>
  <c r="CB199" i="1"/>
  <c r="BW199" i="1"/>
  <c r="BR199" i="1"/>
  <c r="BM199" i="1"/>
  <c r="BH199" i="1"/>
  <c r="BC199" i="1"/>
  <c r="AX199" i="1"/>
  <c r="AS199" i="1"/>
  <c r="AN199" i="1"/>
  <c r="AI199" i="1"/>
  <c r="AD199" i="1"/>
  <c r="V199" i="1"/>
  <c r="T199" i="1"/>
  <c r="R199" i="1"/>
  <c r="N199" i="1"/>
  <c r="M199" i="1"/>
  <c r="K199" i="1"/>
  <c r="J199" i="1"/>
  <c r="E199" i="1"/>
  <c r="D199" i="1"/>
  <c r="B199" i="1"/>
  <c r="DS198" i="1"/>
  <c r="DR198" i="1"/>
  <c r="DT198" i="1" s="1"/>
  <c r="DQ198" i="1"/>
  <c r="CB198" i="1"/>
  <c r="BW198" i="1"/>
  <c r="BR198" i="1"/>
  <c r="BM198" i="1"/>
  <c r="BH198" i="1"/>
  <c r="BC198" i="1"/>
  <c r="AX198" i="1"/>
  <c r="AS198" i="1"/>
  <c r="AN198" i="1"/>
  <c r="AI198" i="1"/>
  <c r="AD198" i="1"/>
  <c r="V198" i="1"/>
  <c r="T198" i="1"/>
  <c r="R198" i="1"/>
  <c r="N198" i="1"/>
  <c r="M198" i="1"/>
  <c r="K198" i="1"/>
  <c r="J198" i="1"/>
  <c r="E198" i="1"/>
  <c r="D198" i="1"/>
  <c r="B198" i="1"/>
  <c r="DT197" i="1"/>
  <c r="DS197" i="1"/>
  <c r="DR197" i="1"/>
  <c r="DQ197" i="1"/>
  <c r="CB197" i="1"/>
  <c r="BW197" i="1"/>
  <c r="BR197" i="1"/>
  <c r="BM197" i="1"/>
  <c r="BH197" i="1"/>
  <c r="BC197" i="1"/>
  <c r="AX197" i="1"/>
  <c r="AS197" i="1"/>
  <c r="AN197" i="1"/>
  <c r="AI197" i="1"/>
  <c r="AD197" i="1"/>
  <c r="V197" i="1"/>
  <c r="T197" i="1"/>
  <c r="Z197" i="1" s="1"/>
  <c r="R197" i="1"/>
  <c r="N197" i="1"/>
  <c r="M197" i="1"/>
  <c r="K197" i="1"/>
  <c r="J197" i="1"/>
  <c r="E197" i="1"/>
  <c r="D197" i="1"/>
  <c r="B197" i="1"/>
  <c r="DS196" i="1"/>
  <c r="DR196" i="1"/>
  <c r="DT196" i="1" s="1"/>
  <c r="DQ196" i="1"/>
  <c r="CB196" i="1"/>
  <c r="BW196" i="1"/>
  <c r="BR196" i="1"/>
  <c r="BM196" i="1"/>
  <c r="BH196" i="1"/>
  <c r="BC196" i="1"/>
  <c r="AX196" i="1"/>
  <c r="AS196" i="1"/>
  <c r="AN196" i="1"/>
  <c r="AI196" i="1"/>
  <c r="AD196" i="1"/>
  <c r="V196" i="1"/>
  <c r="T196" i="1"/>
  <c r="X196" i="1" s="1"/>
  <c r="R196" i="1"/>
  <c r="N196" i="1"/>
  <c r="M196" i="1"/>
  <c r="K196" i="1"/>
  <c r="J196" i="1"/>
  <c r="E196" i="1"/>
  <c r="D196" i="1"/>
  <c r="B196" i="1"/>
  <c r="DS195" i="1"/>
  <c r="DR195" i="1"/>
  <c r="DT195" i="1" s="1"/>
  <c r="DQ195" i="1"/>
  <c r="CB195" i="1"/>
  <c r="BW195" i="1"/>
  <c r="BR195" i="1"/>
  <c r="BM195" i="1"/>
  <c r="BH195" i="1"/>
  <c r="BC195" i="1"/>
  <c r="AX195" i="1"/>
  <c r="AS195" i="1"/>
  <c r="AN195" i="1"/>
  <c r="AI195" i="1"/>
  <c r="AD195" i="1"/>
  <c r="V195" i="1"/>
  <c r="T195" i="1"/>
  <c r="Z195" i="1" s="1"/>
  <c r="R195" i="1"/>
  <c r="N195" i="1"/>
  <c r="M195" i="1"/>
  <c r="K195" i="1"/>
  <c r="J195" i="1"/>
  <c r="E195" i="1"/>
  <c r="D195" i="1"/>
  <c r="B195" i="1"/>
  <c r="DT194" i="1"/>
  <c r="DS194" i="1"/>
  <c r="DR194" i="1"/>
  <c r="DQ194" i="1"/>
  <c r="CB194" i="1"/>
  <c r="BW194" i="1"/>
  <c r="BR194" i="1"/>
  <c r="BM194" i="1"/>
  <c r="BH194" i="1"/>
  <c r="BC194" i="1"/>
  <c r="AX194" i="1"/>
  <c r="AS194" i="1"/>
  <c r="AN194" i="1"/>
  <c r="AI194" i="1"/>
  <c r="AD194" i="1"/>
  <c r="Z194" i="1"/>
  <c r="V194" i="1"/>
  <c r="T194" i="1"/>
  <c r="X194" i="1" s="1"/>
  <c r="R194" i="1"/>
  <c r="N194" i="1"/>
  <c r="M194" i="1"/>
  <c r="K194" i="1"/>
  <c r="J194" i="1"/>
  <c r="E194" i="1"/>
  <c r="D194" i="1"/>
  <c r="B194" i="1"/>
  <c r="DT193" i="1"/>
  <c r="DS193" i="1"/>
  <c r="DR193" i="1"/>
  <c r="DQ193" i="1"/>
  <c r="CB193" i="1"/>
  <c r="BW193" i="1"/>
  <c r="BR193" i="1"/>
  <c r="BM193" i="1"/>
  <c r="BH193" i="1"/>
  <c r="BC193" i="1"/>
  <c r="AX193" i="1"/>
  <c r="AS193" i="1"/>
  <c r="AN193" i="1"/>
  <c r="AI193" i="1"/>
  <c r="AD193" i="1"/>
  <c r="Z193" i="1"/>
  <c r="V193" i="1"/>
  <c r="X193" i="1" s="1"/>
  <c r="T193" i="1"/>
  <c r="R193" i="1"/>
  <c r="N193" i="1"/>
  <c r="M193" i="1"/>
  <c r="K193" i="1"/>
  <c r="J193" i="1"/>
  <c r="E193" i="1"/>
  <c r="D193" i="1"/>
  <c r="B193" i="1"/>
  <c r="DS192" i="1"/>
  <c r="DR192" i="1"/>
  <c r="DT192" i="1" s="1"/>
  <c r="DQ192" i="1"/>
  <c r="CB192" i="1"/>
  <c r="BW192" i="1"/>
  <c r="BR192" i="1"/>
  <c r="BM192" i="1"/>
  <c r="BH192" i="1"/>
  <c r="BC192" i="1"/>
  <c r="AX192" i="1"/>
  <c r="AS192" i="1"/>
  <c r="AN192" i="1"/>
  <c r="AI192" i="1"/>
  <c r="AD192" i="1"/>
  <c r="Z192" i="1"/>
  <c r="V192" i="1"/>
  <c r="T192" i="1"/>
  <c r="X192" i="1" s="1"/>
  <c r="R192" i="1"/>
  <c r="N192" i="1"/>
  <c r="M192" i="1"/>
  <c r="K192" i="1"/>
  <c r="J192" i="1"/>
  <c r="E192" i="1"/>
  <c r="D192" i="1"/>
  <c r="B192" i="1"/>
  <c r="DT191" i="1"/>
  <c r="DS191" i="1"/>
  <c r="DR191" i="1"/>
  <c r="DQ191" i="1"/>
  <c r="CB191" i="1"/>
  <c r="BW191" i="1"/>
  <c r="BR191" i="1"/>
  <c r="BM191" i="1"/>
  <c r="BH191" i="1"/>
  <c r="BC191" i="1"/>
  <c r="AX191" i="1"/>
  <c r="AS191" i="1"/>
  <c r="AN191" i="1"/>
  <c r="AI191" i="1"/>
  <c r="AD191" i="1"/>
  <c r="V191" i="1"/>
  <c r="X191" i="1" s="1"/>
  <c r="T191" i="1"/>
  <c r="Z191" i="1" s="1"/>
  <c r="R191" i="1"/>
  <c r="N191" i="1"/>
  <c r="M191" i="1"/>
  <c r="K191" i="1"/>
  <c r="J191" i="1"/>
  <c r="E191" i="1"/>
  <c r="D191" i="1"/>
  <c r="B191" i="1"/>
  <c r="DS190" i="1"/>
  <c r="DR190" i="1"/>
  <c r="DT190" i="1" s="1"/>
  <c r="DQ190" i="1"/>
  <c r="CB190" i="1"/>
  <c r="BW190" i="1"/>
  <c r="BR190" i="1"/>
  <c r="BM190" i="1"/>
  <c r="BH190" i="1"/>
  <c r="BC190" i="1"/>
  <c r="AX190" i="1"/>
  <c r="AS190" i="1"/>
  <c r="AN190" i="1"/>
  <c r="AI190" i="1"/>
  <c r="AD190" i="1"/>
  <c r="V190" i="1"/>
  <c r="T190" i="1"/>
  <c r="Z190" i="1" s="1"/>
  <c r="R190" i="1"/>
  <c r="N190" i="1"/>
  <c r="M190" i="1"/>
  <c r="K190" i="1"/>
  <c r="J190" i="1"/>
  <c r="E190" i="1"/>
  <c r="D190" i="1"/>
  <c r="B190" i="1"/>
  <c r="DS189" i="1"/>
  <c r="DR189" i="1"/>
  <c r="DT189" i="1" s="1"/>
  <c r="DQ189" i="1"/>
  <c r="CB189" i="1"/>
  <c r="BW189" i="1"/>
  <c r="BR189" i="1"/>
  <c r="BM189" i="1"/>
  <c r="BH189" i="1"/>
  <c r="BC189" i="1"/>
  <c r="AX189" i="1"/>
  <c r="AS189" i="1"/>
  <c r="AN189" i="1"/>
  <c r="AI189" i="1"/>
  <c r="AD189" i="1"/>
  <c r="V189" i="1"/>
  <c r="T189" i="1"/>
  <c r="R189" i="1"/>
  <c r="N189" i="1"/>
  <c r="M189" i="1"/>
  <c r="K189" i="1"/>
  <c r="J189" i="1"/>
  <c r="E189" i="1"/>
  <c r="D189" i="1"/>
  <c r="B189" i="1"/>
  <c r="DT188" i="1"/>
  <c r="DS188" i="1"/>
  <c r="DR188" i="1"/>
  <c r="DQ188" i="1"/>
  <c r="X188" i="1"/>
  <c r="V188" i="1"/>
  <c r="T188" i="1"/>
  <c r="Z188" i="1" s="1"/>
  <c r="M188" i="1"/>
  <c r="N188" i="1" s="1"/>
  <c r="R188" i="1" s="1"/>
  <c r="J188" i="1"/>
  <c r="K188" i="1" s="1"/>
  <c r="E188" i="1"/>
  <c r="D188" i="1"/>
  <c r="DT187" i="1"/>
  <c r="DS187" i="1"/>
  <c r="DR187" i="1"/>
  <c r="DQ187" i="1"/>
  <c r="V187" i="1"/>
  <c r="T187" i="1"/>
  <c r="Z187" i="1" s="1"/>
  <c r="M187" i="1"/>
  <c r="N187" i="1" s="1"/>
  <c r="R187" i="1" s="1"/>
  <c r="K187" i="1"/>
  <c r="J187" i="1"/>
  <c r="E187" i="1"/>
  <c r="D187" i="1"/>
  <c r="DS186" i="1"/>
  <c r="DR186" i="1"/>
  <c r="DT186" i="1" s="1"/>
  <c r="DQ186" i="1"/>
  <c r="V186" i="1"/>
  <c r="T186" i="1"/>
  <c r="M186" i="1"/>
  <c r="N186" i="1" s="1"/>
  <c r="R186" i="1" s="1"/>
  <c r="J186" i="1"/>
  <c r="K186" i="1" s="1"/>
  <c r="E186" i="1"/>
  <c r="D186" i="1"/>
  <c r="DT185" i="1"/>
  <c r="DS185" i="1"/>
  <c r="DR185" i="1"/>
  <c r="DQ185" i="1"/>
  <c r="V185" i="1"/>
  <c r="X185" i="1" s="1"/>
  <c r="T185" i="1"/>
  <c r="Z185" i="1" s="1"/>
  <c r="M185" i="1"/>
  <c r="N185" i="1" s="1"/>
  <c r="R185" i="1" s="1"/>
  <c r="J185" i="1"/>
  <c r="K185" i="1" s="1"/>
  <c r="E185" i="1"/>
  <c r="D185" i="1"/>
  <c r="DS184" i="1"/>
  <c r="DR184" i="1"/>
  <c r="DT184" i="1" s="1"/>
  <c r="DQ184" i="1"/>
  <c r="Z184" i="1"/>
  <c r="V184" i="1"/>
  <c r="X184" i="1" s="1"/>
  <c r="T184" i="1"/>
  <c r="M184" i="1"/>
  <c r="N184" i="1" s="1"/>
  <c r="J184" i="1"/>
  <c r="K184" i="1" s="1"/>
  <c r="E184" i="1"/>
  <c r="D184" i="1"/>
  <c r="DS183" i="1"/>
  <c r="DR183" i="1"/>
  <c r="DT183" i="1" s="1"/>
  <c r="DQ183" i="1"/>
  <c r="Z183" i="1"/>
  <c r="X183" i="1"/>
  <c r="V183" i="1"/>
  <c r="T183" i="1"/>
  <c r="M183" i="1"/>
  <c r="N183" i="1" s="1"/>
  <c r="R183" i="1" s="1"/>
  <c r="J183" i="1"/>
  <c r="K183" i="1" s="1"/>
  <c r="E183" i="1"/>
  <c r="D183" i="1"/>
  <c r="DS182" i="1"/>
  <c r="DR182" i="1"/>
  <c r="DT182" i="1" s="1"/>
  <c r="DQ182" i="1"/>
  <c r="Z182" i="1"/>
  <c r="V182" i="1"/>
  <c r="X182" i="1" s="1"/>
  <c r="T182" i="1"/>
  <c r="M182" i="1"/>
  <c r="N182" i="1" s="1"/>
  <c r="R182" i="1" s="1"/>
  <c r="J182" i="1"/>
  <c r="K182" i="1" s="1"/>
  <c r="E182" i="1"/>
  <c r="D182" i="1"/>
  <c r="DS181" i="1"/>
  <c r="DR181" i="1"/>
  <c r="DT181" i="1" s="1"/>
  <c r="DQ181" i="1"/>
  <c r="X181" i="1"/>
  <c r="V181" i="1"/>
  <c r="T181" i="1"/>
  <c r="Z181" i="1" s="1"/>
  <c r="M181" i="1"/>
  <c r="N181" i="1" s="1"/>
  <c r="J181" i="1"/>
  <c r="K181" i="1" s="1"/>
  <c r="E181" i="1"/>
  <c r="D181" i="1"/>
  <c r="DS180" i="1"/>
  <c r="DR180" i="1"/>
  <c r="DT180" i="1" s="1"/>
  <c r="DQ180" i="1"/>
  <c r="V180" i="1"/>
  <c r="T180" i="1"/>
  <c r="R180" i="1"/>
  <c r="M180" i="1"/>
  <c r="N180" i="1" s="1"/>
  <c r="J180" i="1"/>
  <c r="K180" i="1" s="1"/>
  <c r="H180" i="1"/>
  <c r="E180" i="1"/>
  <c r="D180" i="1"/>
  <c r="DS179" i="1"/>
  <c r="DR179" i="1"/>
  <c r="DT179" i="1" s="1"/>
  <c r="DQ179" i="1"/>
  <c r="V179" i="1"/>
  <c r="T179" i="1"/>
  <c r="X179" i="1" s="1"/>
  <c r="M179" i="1"/>
  <c r="N179" i="1" s="1"/>
  <c r="R179" i="1" s="1"/>
  <c r="J179" i="1"/>
  <c r="K179" i="1" s="1"/>
  <c r="H179" i="1"/>
  <c r="E179" i="1"/>
  <c r="D179" i="1"/>
  <c r="DT178" i="1"/>
  <c r="DS178" i="1"/>
  <c r="DR178" i="1"/>
  <c r="DQ178" i="1"/>
  <c r="V178" i="1"/>
  <c r="T178" i="1"/>
  <c r="Z178" i="1" s="1"/>
  <c r="J178" i="1"/>
  <c r="K178" i="1" s="1"/>
  <c r="H178" i="1"/>
  <c r="M178" i="1" s="1"/>
  <c r="N178" i="1" s="1"/>
  <c r="E178" i="1"/>
  <c r="D178" i="1"/>
  <c r="DS177" i="1"/>
  <c r="DR177" i="1"/>
  <c r="DT177" i="1" s="1"/>
  <c r="DQ177" i="1"/>
  <c r="V177" i="1"/>
  <c r="T177" i="1"/>
  <c r="X177" i="1" s="1"/>
  <c r="K177" i="1"/>
  <c r="J177" i="1"/>
  <c r="H177" i="1"/>
  <c r="M177" i="1" s="1"/>
  <c r="N177" i="1" s="1"/>
  <c r="E177" i="1"/>
  <c r="D177" i="1"/>
  <c r="DT176" i="1"/>
  <c r="DS176" i="1"/>
  <c r="DR176" i="1"/>
  <c r="DQ176" i="1"/>
  <c r="V176" i="1"/>
  <c r="T176" i="1"/>
  <c r="J176" i="1"/>
  <c r="H176" i="1"/>
  <c r="E176" i="1"/>
  <c r="D176" i="1"/>
  <c r="DS175" i="1"/>
  <c r="DR175" i="1"/>
  <c r="DT175" i="1" s="1"/>
  <c r="DQ175" i="1"/>
  <c r="V175" i="1"/>
  <c r="T175" i="1"/>
  <c r="Z175" i="1" s="1"/>
  <c r="M175" i="1"/>
  <c r="N175" i="1" s="1"/>
  <c r="R175" i="1" s="1"/>
  <c r="K175" i="1"/>
  <c r="J175" i="1"/>
  <c r="E175" i="1"/>
  <c r="D175" i="1"/>
  <c r="DS174" i="1"/>
  <c r="DR174" i="1"/>
  <c r="DT174" i="1" s="1"/>
  <c r="DQ174" i="1"/>
  <c r="AV174" i="1"/>
  <c r="V174" i="1"/>
  <c r="T174" i="1"/>
  <c r="J174" i="1"/>
  <c r="H174" i="1"/>
  <c r="H166" i="1" s="1"/>
  <c r="E174" i="1"/>
  <c r="D174" i="1"/>
  <c r="DS173" i="1"/>
  <c r="DR173" i="1"/>
  <c r="DT173" i="1" s="1"/>
  <c r="DQ173" i="1"/>
  <c r="V173" i="1"/>
  <c r="T173" i="1"/>
  <c r="J173" i="1"/>
  <c r="H173" i="1"/>
  <c r="E173" i="1"/>
  <c r="D173" i="1"/>
  <c r="DS172" i="1"/>
  <c r="DR172" i="1"/>
  <c r="DT172" i="1" s="1"/>
  <c r="DQ172" i="1"/>
  <c r="BA172" i="1"/>
  <c r="BA173" i="1" s="1"/>
  <c r="AV172" i="1"/>
  <c r="AV173" i="1" s="1"/>
  <c r="V172" i="1"/>
  <c r="T172" i="1"/>
  <c r="Z172" i="1" s="1"/>
  <c r="M172" i="1"/>
  <c r="N172" i="1" s="1"/>
  <c r="J172" i="1"/>
  <c r="K172" i="1" s="1"/>
  <c r="E172" i="1"/>
  <c r="D172" i="1"/>
  <c r="DS171" i="1"/>
  <c r="DR171" i="1"/>
  <c r="DT171" i="1" s="1"/>
  <c r="DQ171" i="1"/>
  <c r="V171" i="1"/>
  <c r="T171" i="1"/>
  <c r="X171" i="1" s="1"/>
  <c r="J171" i="1"/>
  <c r="K171" i="1" s="1"/>
  <c r="H171" i="1"/>
  <c r="E171" i="1"/>
  <c r="D171" i="1"/>
  <c r="DT170" i="1"/>
  <c r="DS170" i="1"/>
  <c r="DR170" i="1"/>
  <c r="DQ170" i="1"/>
  <c r="BA170" i="1"/>
  <c r="BA171" i="1" s="1"/>
  <c r="AV170" i="1"/>
  <c r="AV171" i="1" s="1"/>
  <c r="V170" i="1"/>
  <c r="T170" i="1"/>
  <c r="J170" i="1"/>
  <c r="K170" i="1" s="1"/>
  <c r="H170" i="1"/>
  <c r="E170" i="1"/>
  <c r="D170" i="1"/>
  <c r="DT169" i="1"/>
  <c r="DS169" i="1"/>
  <c r="DR169" i="1"/>
  <c r="DQ169" i="1"/>
  <c r="CA169" i="1"/>
  <c r="BZ169" i="1"/>
  <c r="BV169" i="1"/>
  <c r="AQ169" i="1"/>
  <c r="AL169" i="1"/>
  <c r="X169" i="1"/>
  <c r="V169" i="1"/>
  <c r="T169" i="1"/>
  <c r="Z169" i="1" s="1"/>
  <c r="M169" i="1"/>
  <c r="N169" i="1" s="1"/>
  <c r="J169" i="1"/>
  <c r="K169" i="1" s="1"/>
  <c r="H169" i="1"/>
  <c r="E169" i="1"/>
  <c r="D169" i="1"/>
  <c r="DT168" i="1"/>
  <c r="DS168" i="1"/>
  <c r="DR168" i="1"/>
  <c r="DQ168" i="1"/>
  <c r="CA168" i="1"/>
  <c r="CA170" i="1" s="1"/>
  <c r="CA172" i="1" s="1"/>
  <c r="CA174" i="1" s="1"/>
  <c r="BZ168" i="1"/>
  <c r="BZ170" i="1" s="1"/>
  <c r="BK168" i="1"/>
  <c r="BG168" i="1"/>
  <c r="AW168" i="1"/>
  <c r="AV168" i="1"/>
  <c r="AV169" i="1" s="1"/>
  <c r="AR168" i="1"/>
  <c r="AR169" i="1" s="1"/>
  <c r="AC168" i="1"/>
  <c r="V168" i="1"/>
  <c r="T168" i="1"/>
  <c r="Z168" i="1" s="1"/>
  <c r="M168" i="1"/>
  <c r="N168" i="1" s="1"/>
  <c r="K168" i="1"/>
  <c r="J168" i="1"/>
  <c r="H168" i="1"/>
  <c r="E168" i="1"/>
  <c r="D168" i="1"/>
  <c r="CA166" i="1"/>
  <c r="BZ166" i="1"/>
  <c r="BV166" i="1"/>
  <c r="BV168" i="1" s="1"/>
  <c r="BV170" i="1" s="1"/>
  <c r="BU166" i="1"/>
  <c r="BU168" i="1" s="1"/>
  <c r="BU170" i="1" s="1"/>
  <c r="BU171" i="1" s="1"/>
  <c r="BQ166" i="1"/>
  <c r="BQ168" i="1" s="1"/>
  <c r="BP166" i="1"/>
  <c r="BP168" i="1" s="1"/>
  <c r="BL166" i="1"/>
  <c r="BL168" i="1" s="1"/>
  <c r="BK166" i="1"/>
  <c r="BG166" i="1"/>
  <c r="BF166" i="1"/>
  <c r="BF168" i="1" s="1"/>
  <c r="BB166" i="1"/>
  <c r="BB168" i="1" s="1"/>
  <c r="BA166" i="1"/>
  <c r="BA168" i="1" s="1"/>
  <c r="BA169" i="1" s="1"/>
  <c r="AW166" i="1"/>
  <c r="AV166" i="1"/>
  <c r="AR166" i="1"/>
  <c r="AQ166" i="1"/>
  <c r="AQ168" i="1" s="1"/>
  <c r="AQ170" i="1" s="1"/>
  <c r="AM166" i="1"/>
  <c r="AM168" i="1" s="1"/>
  <c r="AL166" i="1"/>
  <c r="AL168" i="1" s="1"/>
  <c r="AL170" i="1" s="1"/>
  <c r="AL172" i="1" s="1"/>
  <c r="AH166" i="1"/>
  <c r="AH168" i="1" s="1"/>
  <c r="AH169" i="1" s="1"/>
  <c r="AG166" i="1"/>
  <c r="AG168" i="1" s="1"/>
  <c r="AC166" i="1"/>
  <c r="AB166" i="1"/>
  <c r="CF166" i="1" s="1"/>
  <c r="B166" i="1"/>
  <c r="DU154" i="1"/>
  <c r="DS154" i="1"/>
  <c r="DR154" i="1"/>
  <c r="DT154" i="1" s="1"/>
  <c r="DQ154" i="1"/>
  <c r="B154" i="1"/>
  <c r="DS153" i="1"/>
  <c r="DR153" i="1"/>
  <c r="DT153" i="1" s="1"/>
  <c r="DQ153" i="1"/>
  <c r="DU153" i="1" s="1"/>
  <c r="CB153" i="1"/>
  <c r="BW153" i="1"/>
  <c r="BR153" i="1"/>
  <c r="BM153" i="1"/>
  <c r="BH153" i="1"/>
  <c r="BC153" i="1"/>
  <c r="AX153" i="1"/>
  <c r="AS153" i="1"/>
  <c r="AN153" i="1"/>
  <c r="AI153" i="1"/>
  <c r="AD153" i="1"/>
  <c r="V153" i="1"/>
  <c r="T153" i="1"/>
  <c r="X153" i="1" s="1"/>
  <c r="R153" i="1"/>
  <c r="N153" i="1"/>
  <c r="M153" i="1"/>
  <c r="K153" i="1"/>
  <c r="J153" i="1"/>
  <c r="E153" i="1"/>
  <c r="D153" i="1"/>
  <c r="B153" i="1"/>
  <c r="DT152" i="1"/>
  <c r="DS152" i="1"/>
  <c r="DR152" i="1"/>
  <c r="DQ152" i="1"/>
  <c r="CB152" i="1"/>
  <c r="BW152" i="1"/>
  <c r="BR152" i="1"/>
  <c r="BM152" i="1"/>
  <c r="BH152" i="1"/>
  <c r="BC152" i="1"/>
  <c r="AX152" i="1"/>
  <c r="AS152" i="1"/>
  <c r="AN152" i="1"/>
  <c r="AI152" i="1"/>
  <c r="AD152" i="1"/>
  <c r="V152" i="1"/>
  <c r="T152" i="1"/>
  <c r="X152" i="1" s="1"/>
  <c r="R152" i="1"/>
  <c r="N152" i="1"/>
  <c r="M152" i="1"/>
  <c r="K152" i="1"/>
  <c r="J152" i="1"/>
  <c r="DU152" i="1" s="1"/>
  <c r="E152" i="1"/>
  <c r="D152" i="1"/>
  <c r="B152" i="1"/>
  <c r="DS151" i="1"/>
  <c r="DR151" i="1"/>
  <c r="DT151" i="1" s="1"/>
  <c r="DQ151" i="1"/>
  <c r="CB151" i="1"/>
  <c r="BW151" i="1"/>
  <c r="BR151" i="1"/>
  <c r="BM151" i="1"/>
  <c r="BH151" i="1"/>
  <c r="BC151" i="1"/>
  <c r="AX151" i="1"/>
  <c r="AS151" i="1"/>
  <c r="AN151" i="1"/>
  <c r="AI151" i="1"/>
  <c r="AD151" i="1"/>
  <c r="Z151" i="1"/>
  <c r="V151" i="1"/>
  <c r="T151" i="1"/>
  <c r="X151" i="1" s="1"/>
  <c r="R151" i="1"/>
  <c r="N151" i="1"/>
  <c r="M151" i="1"/>
  <c r="K151" i="1"/>
  <c r="J151" i="1"/>
  <c r="DU151" i="1" s="1"/>
  <c r="E151" i="1"/>
  <c r="D151" i="1"/>
  <c r="B151" i="1"/>
  <c r="DU150" i="1"/>
  <c r="DT150" i="1"/>
  <c r="DS150" i="1"/>
  <c r="DR150" i="1"/>
  <c r="DQ150" i="1"/>
  <c r="CB150" i="1"/>
  <c r="BW150" i="1"/>
  <c r="BR150" i="1"/>
  <c r="BM150" i="1"/>
  <c r="BH150" i="1"/>
  <c r="BC150" i="1"/>
  <c r="AX150" i="1"/>
  <c r="AS150" i="1"/>
  <c r="AN150" i="1"/>
  <c r="AI150" i="1"/>
  <c r="AD150" i="1"/>
  <c r="V150" i="1"/>
  <c r="T150" i="1"/>
  <c r="Z150" i="1" s="1"/>
  <c r="R150" i="1"/>
  <c r="N150" i="1"/>
  <c r="M150" i="1"/>
  <c r="K150" i="1"/>
  <c r="J150" i="1"/>
  <c r="E150" i="1"/>
  <c r="D150" i="1"/>
  <c r="B150" i="1"/>
  <c r="DS149" i="1"/>
  <c r="DR149" i="1"/>
  <c r="DT149" i="1" s="1"/>
  <c r="DQ149" i="1"/>
  <c r="CB149" i="1"/>
  <c r="BW149" i="1"/>
  <c r="BR149" i="1"/>
  <c r="BM149" i="1"/>
  <c r="BH149" i="1"/>
  <c r="BC149" i="1"/>
  <c r="AX149" i="1"/>
  <c r="AS149" i="1"/>
  <c r="AN149" i="1"/>
  <c r="AI149" i="1"/>
  <c r="AD149" i="1"/>
  <c r="Z149" i="1"/>
  <c r="V149" i="1"/>
  <c r="T149" i="1"/>
  <c r="R149" i="1"/>
  <c r="N149" i="1"/>
  <c r="M149" i="1"/>
  <c r="K149" i="1"/>
  <c r="J149" i="1"/>
  <c r="E149" i="1"/>
  <c r="D149" i="1"/>
  <c r="B149" i="1"/>
  <c r="DU148" i="1"/>
  <c r="DS148" i="1"/>
  <c r="DR148" i="1"/>
  <c r="DT148" i="1" s="1"/>
  <c r="DQ148" i="1"/>
  <c r="CB148" i="1"/>
  <c r="BW148" i="1"/>
  <c r="BR148" i="1"/>
  <c r="BM148" i="1"/>
  <c r="BH148" i="1"/>
  <c r="BC148" i="1"/>
  <c r="AX148" i="1"/>
  <c r="AS148" i="1"/>
  <c r="AN148" i="1"/>
  <c r="AI148" i="1"/>
  <c r="AD148" i="1"/>
  <c r="Z148" i="1"/>
  <c r="V148" i="1"/>
  <c r="T148" i="1"/>
  <c r="R148" i="1"/>
  <c r="N148" i="1"/>
  <c r="M148" i="1"/>
  <c r="K148" i="1"/>
  <c r="J148" i="1"/>
  <c r="E148" i="1"/>
  <c r="D148" i="1"/>
  <c r="B148" i="1"/>
  <c r="DU147" i="1"/>
  <c r="DS147" i="1"/>
  <c r="DR147" i="1"/>
  <c r="DT147" i="1" s="1"/>
  <c r="DQ147" i="1"/>
  <c r="CB147" i="1"/>
  <c r="BW147" i="1"/>
  <c r="BR147" i="1"/>
  <c r="BM147" i="1"/>
  <c r="BH147" i="1"/>
  <c r="BC147" i="1"/>
  <c r="AX147" i="1"/>
  <c r="AS147" i="1"/>
  <c r="AN147" i="1"/>
  <c r="AI147" i="1"/>
  <c r="AD147" i="1"/>
  <c r="V147" i="1"/>
  <c r="T147" i="1"/>
  <c r="Z147" i="1" s="1"/>
  <c r="R147" i="1"/>
  <c r="N147" i="1"/>
  <c r="M147" i="1"/>
  <c r="K147" i="1"/>
  <c r="J147" i="1"/>
  <c r="E147" i="1"/>
  <c r="D147" i="1"/>
  <c r="B147" i="1"/>
  <c r="DT146" i="1"/>
  <c r="DS146" i="1"/>
  <c r="DR146" i="1"/>
  <c r="DQ146" i="1"/>
  <c r="CB146" i="1"/>
  <c r="BW146" i="1"/>
  <c r="BR146" i="1"/>
  <c r="BM146" i="1"/>
  <c r="BH146" i="1"/>
  <c r="BC146" i="1"/>
  <c r="AX146" i="1"/>
  <c r="AS146" i="1"/>
  <c r="AN146" i="1"/>
  <c r="AI146" i="1"/>
  <c r="AD146" i="1"/>
  <c r="V146" i="1"/>
  <c r="T146" i="1"/>
  <c r="Z146" i="1" s="1"/>
  <c r="R146" i="1"/>
  <c r="N146" i="1"/>
  <c r="M146" i="1"/>
  <c r="K146" i="1"/>
  <c r="J146" i="1"/>
  <c r="DU146" i="1" s="1"/>
  <c r="E146" i="1"/>
  <c r="D146" i="1"/>
  <c r="B146" i="1"/>
  <c r="DT145" i="1"/>
  <c r="DS145" i="1"/>
  <c r="DR145" i="1"/>
  <c r="DQ145" i="1"/>
  <c r="CB145" i="1"/>
  <c r="BW145" i="1"/>
  <c r="BR145" i="1"/>
  <c r="BM145" i="1"/>
  <c r="BH145" i="1"/>
  <c r="BC145" i="1"/>
  <c r="AX145" i="1"/>
  <c r="AS145" i="1"/>
  <c r="AN145" i="1"/>
  <c r="AI145" i="1"/>
  <c r="AD145" i="1"/>
  <c r="Z145" i="1"/>
  <c r="V145" i="1"/>
  <c r="X145" i="1" s="1"/>
  <c r="T145" i="1"/>
  <c r="R145" i="1"/>
  <c r="N145" i="1"/>
  <c r="M145" i="1"/>
  <c r="K145" i="1"/>
  <c r="J145" i="1"/>
  <c r="E145" i="1"/>
  <c r="D145" i="1"/>
  <c r="B145" i="1"/>
  <c r="DT144" i="1"/>
  <c r="DS144" i="1"/>
  <c r="DR144" i="1"/>
  <c r="DQ144" i="1"/>
  <c r="CB144" i="1"/>
  <c r="BW144" i="1"/>
  <c r="BR144" i="1"/>
  <c r="BM144" i="1"/>
  <c r="BH144" i="1"/>
  <c r="BC144" i="1"/>
  <c r="AX144" i="1"/>
  <c r="AS144" i="1"/>
  <c r="AN144" i="1"/>
  <c r="AI144" i="1"/>
  <c r="AD144" i="1"/>
  <c r="V144" i="1"/>
  <c r="T144" i="1"/>
  <c r="Z144" i="1" s="1"/>
  <c r="R144" i="1"/>
  <c r="N144" i="1"/>
  <c r="M144" i="1"/>
  <c r="K144" i="1"/>
  <c r="J144" i="1"/>
  <c r="DU144" i="1" s="1"/>
  <c r="E144" i="1"/>
  <c r="D144" i="1"/>
  <c r="B144" i="1"/>
  <c r="DU143" i="1"/>
  <c r="DT143" i="1"/>
  <c r="DS143" i="1"/>
  <c r="DR143" i="1"/>
  <c r="DQ143" i="1"/>
  <c r="CB143" i="1"/>
  <c r="BW143" i="1"/>
  <c r="BR143" i="1"/>
  <c r="BM143" i="1"/>
  <c r="BH143" i="1"/>
  <c r="BC143" i="1"/>
  <c r="AX143" i="1"/>
  <c r="AS143" i="1"/>
  <c r="AN143" i="1"/>
  <c r="AI143" i="1"/>
  <c r="AD143" i="1"/>
  <c r="V143" i="1"/>
  <c r="T143" i="1"/>
  <c r="Z143" i="1" s="1"/>
  <c r="R143" i="1"/>
  <c r="N143" i="1"/>
  <c r="M143" i="1"/>
  <c r="K143" i="1"/>
  <c r="J143" i="1"/>
  <c r="E143" i="1"/>
  <c r="D143" i="1"/>
  <c r="B143" i="1"/>
  <c r="DS142" i="1"/>
  <c r="DR142" i="1"/>
  <c r="DT142" i="1" s="1"/>
  <c r="DQ142" i="1"/>
  <c r="CB142" i="1"/>
  <c r="BW142" i="1"/>
  <c r="BR142" i="1"/>
  <c r="BM142" i="1"/>
  <c r="BH142" i="1"/>
  <c r="BC142" i="1"/>
  <c r="AX142" i="1"/>
  <c r="AS142" i="1"/>
  <c r="AN142" i="1"/>
  <c r="AI142" i="1"/>
  <c r="AD142" i="1"/>
  <c r="V142" i="1"/>
  <c r="T142" i="1"/>
  <c r="Z142" i="1" s="1"/>
  <c r="R142" i="1"/>
  <c r="N142" i="1"/>
  <c r="M142" i="1"/>
  <c r="K142" i="1"/>
  <c r="J142" i="1"/>
  <c r="E142" i="1"/>
  <c r="D142" i="1"/>
  <c r="B142" i="1"/>
  <c r="DS141" i="1"/>
  <c r="DR141" i="1"/>
  <c r="DT141" i="1" s="1"/>
  <c r="DQ141" i="1"/>
  <c r="CB141" i="1"/>
  <c r="BW141" i="1"/>
  <c r="BR141" i="1"/>
  <c r="BM141" i="1"/>
  <c r="BH141" i="1"/>
  <c r="BC141" i="1"/>
  <c r="AX141" i="1"/>
  <c r="AS141" i="1"/>
  <c r="AN141" i="1"/>
  <c r="AI141" i="1"/>
  <c r="AD141" i="1"/>
  <c r="X141" i="1"/>
  <c r="V141" i="1"/>
  <c r="T141" i="1"/>
  <c r="Z141" i="1" s="1"/>
  <c r="R141" i="1"/>
  <c r="N141" i="1"/>
  <c r="M141" i="1"/>
  <c r="K141" i="1"/>
  <c r="J141" i="1"/>
  <c r="E141" i="1"/>
  <c r="D141" i="1"/>
  <c r="B141" i="1"/>
  <c r="DT140" i="1"/>
  <c r="DS140" i="1"/>
  <c r="DR140" i="1"/>
  <c r="DQ140" i="1"/>
  <c r="DU140" i="1" s="1"/>
  <c r="CB140" i="1"/>
  <c r="BW140" i="1"/>
  <c r="BR140" i="1"/>
  <c r="BM140" i="1"/>
  <c r="BH140" i="1"/>
  <c r="BC140" i="1"/>
  <c r="AX140" i="1"/>
  <c r="AS140" i="1"/>
  <c r="AN140" i="1"/>
  <c r="AI140" i="1"/>
  <c r="AD140" i="1"/>
  <c r="V140" i="1"/>
  <c r="T140" i="1"/>
  <c r="X140" i="1" s="1"/>
  <c r="R140" i="1"/>
  <c r="N140" i="1"/>
  <c r="M140" i="1"/>
  <c r="K140" i="1"/>
  <c r="J140" i="1"/>
  <c r="E140" i="1"/>
  <c r="D140" i="1"/>
  <c r="B140" i="1"/>
  <c r="DT139" i="1"/>
  <c r="DS139" i="1"/>
  <c r="DR139" i="1"/>
  <c r="DQ139" i="1"/>
  <c r="CB139" i="1"/>
  <c r="BW139" i="1"/>
  <c r="BR139" i="1"/>
  <c r="BM139" i="1"/>
  <c r="BH139" i="1"/>
  <c r="BC139" i="1"/>
  <c r="AX139" i="1"/>
  <c r="AS139" i="1"/>
  <c r="AN139" i="1"/>
  <c r="AI139" i="1"/>
  <c r="AD139" i="1"/>
  <c r="V139" i="1"/>
  <c r="T139" i="1"/>
  <c r="X139" i="1" s="1"/>
  <c r="R139" i="1"/>
  <c r="N139" i="1"/>
  <c r="M139" i="1"/>
  <c r="K139" i="1"/>
  <c r="J139" i="1"/>
  <c r="DU139" i="1" s="1"/>
  <c r="E139" i="1"/>
  <c r="D139" i="1"/>
  <c r="B139" i="1"/>
  <c r="DS138" i="1"/>
  <c r="DR138" i="1"/>
  <c r="DT138" i="1" s="1"/>
  <c r="DQ138" i="1"/>
  <c r="CB138" i="1"/>
  <c r="BW138" i="1"/>
  <c r="BR138" i="1"/>
  <c r="BM138" i="1"/>
  <c r="BH138" i="1"/>
  <c r="BC138" i="1"/>
  <c r="AX138" i="1"/>
  <c r="AS138" i="1"/>
  <c r="AN138" i="1"/>
  <c r="AI138" i="1"/>
  <c r="AD138" i="1"/>
  <c r="V138" i="1"/>
  <c r="T138" i="1"/>
  <c r="X138" i="1" s="1"/>
  <c r="R138" i="1"/>
  <c r="N138" i="1"/>
  <c r="M138" i="1"/>
  <c r="K138" i="1"/>
  <c r="J138" i="1"/>
  <c r="DU138" i="1" s="1"/>
  <c r="E138" i="1"/>
  <c r="D138" i="1"/>
  <c r="B138" i="1"/>
  <c r="DU137" i="1"/>
  <c r="DS137" i="1"/>
  <c r="DR137" i="1"/>
  <c r="DT137" i="1" s="1"/>
  <c r="DQ137" i="1"/>
  <c r="CB137" i="1"/>
  <c r="BW137" i="1"/>
  <c r="BR137" i="1"/>
  <c r="BM137" i="1"/>
  <c r="BH137" i="1"/>
  <c r="BC137" i="1"/>
  <c r="AX137" i="1"/>
  <c r="AS137" i="1"/>
  <c r="AN137" i="1"/>
  <c r="AI137" i="1"/>
  <c r="AD137" i="1"/>
  <c r="V137" i="1"/>
  <c r="T137" i="1"/>
  <c r="Z137" i="1" s="1"/>
  <c r="R137" i="1"/>
  <c r="N137" i="1"/>
  <c r="M137" i="1"/>
  <c r="K137" i="1"/>
  <c r="J137" i="1"/>
  <c r="E137" i="1"/>
  <c r="D137" i="1"/>
  <c r="B137" i="1"/>
  <c r="DS136" i="1"/>
  <c r="DR136" i="1"/>
  <c r="DT136" i="1" s="1"/>
  <c r="DQ136" i="1"/>
  <c r="DU136" i="1" s="1"/>
  <c r="CB136" i="1"/>
  <c r="BW136" i="1"/>
  <c r="BR136" i="1"/>
  <c r="BM136" i="1"/>
  <c r="BH136" i="1"/>
  <c r="BC136" i="1"/>
  <c r="AX136" i="1"/>
  <c r="AS136" i="1"/>
  <c r="AN136" i="1"/>
  <c r="AI136" i="1"/>
  <c r="AD136" i="1"/>
  <c r="V136" i="1"/>
  <c r="T136" i="1"/>
  <c r="R136" i="1"/>
  <c r="N136" i="1"/>
  <c r="M136" i="1"/>
  <c r="K136" i="1"/>
  <c r="J136" i="1"/>
  <c r="E136" i="1"/>
  <c r="D136" i="1"/>
  <c r="B136" i="1"/>
  <c r="DS135" i="1"/>
  <c r="DR135" i="1"/>
  <c r="DT135" i="1" s="1"/>
  <c r="DQ135" i="1"/>
  <c r="CB135" i="1"/>
  <c r="BW135" i="1"/>
  <c r="BR135" i="1"/>
  <c r="BM135" i="1"/>
  <c r="BH135" i="1"/>
  <c r="BC135" i="1"/>
  <c r="AX135" i="1"/>
  <c r="AS135" i="1"/>
  <c r="AN135" i="1"/>
  <c r="AI135" i="1"/>
  <c r="AD135" i="1"/>
  <c r="V135" i="1"/>
  <c r="T135" i="1"/>
  <c r="Z135" i="1" s="1"/>
  <c r="R135" i="1"/>
  <c r="N135" i="1"/>
  <c r="M135" i="1"/>
  <c r="K135" i="1"/>
  <c r="J135" i="1"/>
  <c r="DU135" i="1" s="1"/>
  <c r="E135" i="1"/>
  <c r="D135" i="1"/>
  <c r="B135" i="1"/>
  <c r="DT134" i="1"/>
  <c r="DS134" i="1"/>
  <c r="DR134" i="1"/>
  <c r="DQ134" i="1"/>
  <c r="DU134" i="1" s="1"/>
  <c r="CB134" i="1"/>
  <c r="BW134" i="1"/>
  <c r="BR134" i="1"/>
  <c r="BM134" i="1"/>
  <c r="BH134" i="1"/>
  <c r="BC134" i="1"/>
  <c r="AX134" i="1"/>
  <c r="AS134" i="1"/>
  <c r="AN134" i="1"/>
  <c r="AI134" i="1"/>
  <c r="AD134" i="1"/>
  <c r="Z134" i="1"/>
  <c r="V134" i="1"/>
  <c r="T134" i="1"/>
  <c r="X134" i="1" s="1"/>
  <c r="R134" i="1"/>
  <c r="N134" i="1"/>
  <c r="M134" i="1"/>
  <c r="K134" i="1"/>
  <c r="J134" i="1"/>
  <c r="E134" i="1"/>
  <c r="D134" i="1"/>
  <c r="B134" i="1"/>
  <c r="DT133" i="1"/>
  <c r="DS133" i="1"/>
  <c r="DR133" i="1"/>
  <c r="DQ133" i="1"/>
  <c r="Z133" i="1"/>
  <c r="V133" i="1"/>
  <c r="T133" i="1"/>
  <c r="X133" i="1" s="1"/>
  <c r="N133" i="1"/>
  <c r="R133" i="1" s="1"/>
  <c r="M133" i="1"/>
  <c r="J133" i="1"/>
  <c r="K133" i="1" s="1"/>
  <c r="E133" i="1"/>
  <c r="D133" i="1"/>
  <c r="DS132" i="1"/>
  <c r="DR132" i="1"/>
  <c r="DT132" i="1" s="1"/>
  <c r="DQ132" i="1"/>
  <c r="V132" i="1"/>
  <c r="T132" i="1"/>
  <c r="M132" i="1"/>
  <c r="N132" i="1" s="1"/>
  <c r="J132" i="1"/>
  <c r="K132" i="1" s="1"/>
  <c r="E132" i="1"/>
  <c r="D132" i="1"/>
  <c r="DT131" i="1"/>
  <c r="DS131" i="1"/>
  <c r="DR131" i="1"/>
  <c r="DQ131" i="1"/>
  <c r="V131" i="1"/>
  <c r="T131" i="1"/>
  <c r="Z131" i="1" s="1"/>
  <c r="M131" i="1"/>
  <c r="N131" i="1" s="1"/>
  <c r="R131" i="1" s="1"/>
  <c r="J131" i="1"/>
  <c r="K131" i="1" s="1"/>
  <c r="E131" i="1"/>
  <c r="D131" i="1"/>
  <c r="DS130" i="1"/>
  <c r="DR130" i="1"/>
  <c r="DT130" i="1" s="1"/>
  <c r="DQ130" i="1"/>
  <c r="V130" i="1"/>
  <c r="T130" i="1"/>
  <c r="M130" i="1"/>
  <c r="N130" i="1" s="1"/>
  <c r="R130" i="1" s="1"/>
  <c r="J130" i="1"/>
  <c r="K130" i="1" s="1"/>
  <c r="E130" i="1"/>
  <c r="D130" i="1"/>
  <c r="DS129" i="1"/>
  <c r="DR129" i="1"/>
  <c r="DT129" i="1" s="1"/>
  <c r="DQ129" i="1"/>
  <c r="V129" i="1"/>
  <c r="T129" i="1"/>
  <c r="Z129" i="1" s="1"/>
  <c r="M129" i="1"/>
  <c r="N129" i="1" s="1"/>
  <c r="J129" i="1"/>
  <c r="K129" i="1" s="1"/>
  <c r="E129" i="1"/>
  <c r="D129" i="1"/>
  <c r="DS128" i="1"/>
  <c r="DR128" i="1"/>
  <c r="DT128" i="1" s="1"/>
  <c r="DQ128" i="1"/>
  <c r="V128" i="1"/>
  <c r="X128" i="1" s="1"/>
  <c r="T128" i="1"/>
  <c r="Z128" i="1" s="1"/>
  <c r="M128" i="1"/>
  <c r="N128" i="1" s="1"/>
  <c r="R128" i="1" s="1"/>
  <c r="J128" i="1"/>
  <c r="K128" i="1" s="1"/>
  <c r="E128" i="1"/>
  <c r="D128" i="1"/>
  <c r="DS127" i="1"/>
  <c r="DR127" i="1"/>
  <c r="DT127" i="1" s="1"/>
  <c r="DQ127" i="1"/>
  <c r="V127" i="1"/>
  <c r="T127" i="1"/>
  <c r="N127" i="1"/>
  <c r="M127" i="1"/>
  <c r="J127" i="1"/>
  <c r="K127" i="1" s="1"/>
  <c r="E127" i="1"/>
  <c r="D127" i="1"/>
  <c r="DS126" i="1"/>
  <c r="DR126" i="1"/>
  <c r="DT126" i="1" s="1"/>
  <c r="DQ126" i="1"/>
  <c r="T126" i="1"/>
  <c r="M126" i="1"/>
  <c r="N126" i="1" s="1"/>
  <c r="J126" i="1"/>
  <c r="K126" i="1" s="1"/>
  <c r="E126" i="1"/>
  <c r="D126" i="1"/>
  <c r="DS125" i="1"/>
  <c r="DR125" i="1"/>
  <c r="DT125" i="1" s="1"/>
  <c r="DQ125" i="1"/>
  <c r="T125" i="1"/>
  <c r="M125" i="1"/>
  <c r="N125" i="1" s="1"/>
  <c r="J125" i="1"/>
  <c r="K125" i="1" s="1"/>
  <c r="E125" i="1"/>
  <c r="D125" i="1"/>
  <c r="DS124" i="1"/>
  <c r="DR124" i="1"/>
  <c r="DT124" i="1" s="1"/>
  <c r="DQ124" i="1"/>
  <c r="T124" i="1"/>
  <c r="N124" i="1"/>
  <c r="M124" i="1"/>
  <c r="J124" i="1"/>
  <c r="K124" i="1" s="1"/>
  <c r="E124" i="1"/>
  <c r="D124" i="1"/>
  <c r="DT123" i="1"/>
  <c r="DS123" i="1"/>
  <c r="DR123" i="1"/>
  <c r="DQ123" i="1"/>
  <c r="T123" i="1"/>
  <c r="Z123" i="1" s="1"/>
  <c r="M123" i="1"/>
  <c r="N123" i="1" s="1"/>
  <c r="K123" i="1"/>
  <c r="J123" i="1"/>
  <c r="DU123" i="1" s="1"/>
  <c r="E123" i="1"/>
  <c r="D123" i="1"/>
  <c r="DU122" i="1"/>
  <c r="DS122" i="1"/>
  <c r="DR122" i="1"/>
  <c r="DT122" i="1" s="1"/>
  <c r="DQ122" i="1"/>
  <c r="T122" i="1"/>
  <c r="Z122" i="1" s="1"/>
  <c r="M122" i="1"/>
  <c r="N122" i="1" s="1"/>
  <c r="K122" i="1"/>
  <c r="J122" i="1"/>
  <c r="E122" i="1"/>
  <c r="D122" i="1"/>
  <c r="DT121" i="1"/>
  <c r="DS121" i="1"/>
  <c r="DR121" i="1"/>
  <c r="DQ121" i="1"/>
  <c r="Z121" i="1"/>
  <c r="T121" i="1"/>
  <c r="V121" i="1" s="1"/>
  <c r="N121" i="1"/>
  <c r="M121" i="1"/>
  <c r="K121" i="1"/>
  <c r="J121" i="1"/>
  <c r="DU121" i="1" s="1"/>
  <c r="E121" i="1"/>
  <c r="D121" i="1"/>
  <c r="DU120" i="1"/>
  <c r="DT120" i="1"/>
  <c r="DS120" i="1"/>
  <c r="DR120" i="1"/>
  <c r="DQ120" i="1"/>
  <c r="T120" i="1"/>
  <c r="N120" i="1"/>
  <c r="M120" i="1"/>
  <c r="K120" i="1"/>
  <c r="J120" i="1"/>
  <c r="E120" i="1"/>
  <c r="D120" i="1"/>
  <c r="DS119" i="1"/>
  <c r="DR119" i="1"/>
  <c r="DT119" i="1" s="1"/>
  <c r="DQ119" i="1"/>
  <c r="Z119" i="1"/>
  <c r="T119" i="1"/>
  <c r="N119" i="1"/>
  <c r="M119" i="1"/>
  <c r="J119" i="1"/>
  <c r="DU119" i="1" s="1"/>
  <c r="E119" i="1"/>
  <c r="D119" i="1"/>
  <c r="DU118" i="1"/>
  <c r="DS118" i="1"/>
  <c r="DR118" i="1"/>
  <c r="DT118" i="1" s="1"/>
  <c r="DQ118" i="1"/>
  <c r="T118" i="1"/>
  <c r="M118" i="1"/>
  <c r="N118" i="1" s="1"/>
  <c r="K118" i="1"/>
  <c r="J118" i="1"/>
  <c r="E118" i="1"/>
  <c r="D118" i="1"/>
  <c r="DS117" i="1"/>
  <c r="DR117" i="1"/>
  <c r="DT117" i="1" s="1"/>
  <c r="DQ117" i="1"/>
  <c r="DU117" i="1" s="1"/>
  <c r="T117" i="1"/>
  <c r="Z117" i="1" s="1"/>
  <c r="M117" i="1"/>
  <c r="N117" i="1" s="1"/>
  <c r="J117" i="1"/>
  <c r="K117" i="1" s="1"/>
  <c r="E117" i="1"/>
  <c r="D117" i="1"/>
  <c r="DT116" i="1"/>
  <c r="DS116" i="1"/>
  <c r="DR116" i="1"/>
  <c r="DQ116" i="1"/>
  <c r="BA116" i="1"/>
  <c r="T116" i="1"/>
  <c r="Z116" i="1" s="1"/>
  <c r="N116" i="1"/>
  <c r="R116" i="1" s="1"/>
  <c r="M116" i="1"/>
  <c r="J116" i="1"/>
  <c r="K116" i="1" s="1"/>
  <c r="E116" i="1"/>
  <c r="D116" i="1"/>
  <c r="DS115" i="1"/>
  <c r="DR115" i="1"/>
  <c r="DT115" i="1" s="1"/>
  <c r="DQ115" i="1"/>
  <c r="DU115" i="1" s="1"/>
  <c r="BQ115" i="1"/>
  <c r="BK115" i="1"/>
  <c r="AM115" i="1"/>
  <c r="AL115" i="1"/>
  <c r="T115" i="1"/>
  <c r="Z115" i="1" s="1"/>
  <c r="N115" i="1"/>
  <c r="M115" i="1"/>
  <c r="J115" i="1"/>
  <c r="K115" i="1" s="1"/>
  <c r="E115" i="1"/>
  <c r="D115" i="1"/>
  <c r="DT114" i="1"/>
  <c r="DS114" i="1"/>
  <c r="DR114" i="1"/>
  <c r="DQ114" i="1"/>
  <c r="BP114" i="1"/>
  <c r="BB114" i="1"/>
  <c r="BB115" i="1" s="1"/>
  <c r="BA114" i="1"/>
  <c r="BA115" i="1" s="1"/>
  <c r="AQ114" i="1"/>
  <c r="AL114" i="1"/>
  <c r="AL116" i="1" s="1"/>
  <c r="T114" i="1"/>
  <c r="M114" i="1"/>
  <c r="N114" i="1" s="1"/>
  <c r="J114" i="1"/>
  <c r="K114" i="1" s="1"/>
  <c r="E114" i="1"/>
  <c r="D114" i="1"/>
  <c r="CA112" i="1"/>
  <c r="CA114" i="1" s="1"/>
  <c r="BZ112" i="1"/>
  <c r="BZ114" i="1" s="1"/>
  <c r="BZ115" i="1" s="1"/>
  <c r="BV112" i="1"/>
  <c r="BV114" i="1" s="1"/>
  <c r="BV115" i="1" s="1"/>
  <c r="BU112" i="1"/>
  <c r="BU114" i="1" s="1"/>
  <c r="BQ112" i="1"/>
  <c r="BQ114" i="1" s="1"/>
  <c r="BQ116" i="1" s="1"/>
  <c r="BP112" i="1"/>
  <c r="BL112" i="1"/>
  <c r="BL114" i="1" s="1"/>
  <c r="BK112" i="1"/>
  <c r="BK114" i="1" s="1"/>
  <c r="BK116" i="1" s="1"/>
  <c r="BG112" i="1"/>
  <c r="BG114" i="1" s="1"/>
  <c r="BF112" i="1"/>
  <c r="BF114" i="1" s="1"/>
  <c r="BB112" i="1"/>
  <c r="BA112" i="1"/>
  <c r="AW112" i="1"/>
  <c r="AW114" i="1" s="1"/>
  <c r="AW115" i="1" s="1"/>
  <c r="AV112" i="1"/>
  <c r="AV114" i="1" s="1"/>
  <c r="AV116" i="1" s="1"/>
  <c r="AR112" i="1"/>
  <c r="AR114" i="1" s="1"/>
  <c r="AQ112" i="1"/>
  <c r="AM112" i="1"/>
  <c r="AM114" i="1" s="1"/>
  <c r="AM116" i="1" s="1"/>
  <c r="AL112" i="1"/>
  <c r="AH112" i="1"/>
  <c r="AH114" i="1" s="1"/>
  <c r="AG112" i="1"/>
  <c r="AG114" i="1" s="1"/>
  <c r="AC112" i="1"/>
  <c r="AC114" i="1" s="1"/>
  <c r="AB112" i="1"/>
  <c r="H112" i="1"/>
  <c r="B112" i="1"/>
  <c r="CB98" i="1"/>
  <c r="BW98" i="1"/>
  <c r="BR98" i="1"/>
  <c r="BM98" i="1"/>
  <c r="BH98" i="1"/>
  <c r="BC98" i="1"/>
  <c r="AX98" i="1"/>
  <c r="AS98" i="1"/>
  <c r="AN98" i="1"/>
  <c r="AI98" i="1"/>
  <c r="AD98" i="1"/>
  <c r="X98" i="1"/>
  <c r="V98" i="1"/>
  <c r="T98" i="1"/>
  <c r="Z98" i="1" s="1"/>
  <c r="R98" i="1"/>
  <c r="N98" i="1"/>
  <c r="M98" i="1"/>
  <c r="K98" i="1"/>
  <c r="J98" i="1"/>
  <c r="E98" i="1"/>
  <c r="D98" i="1"/>
  <c r="B98" i="1"/>
  <c r="DT97" i="1"/>
  <c r="DS97" i="1"/>
  <c r="DR97" i="1"/>
  <c r="DQ97" i="1"/>
  <c r="CB97" i="1"/>
  <c r="BW97" i="1"/>
  <c r="BR97" i="1"/>
  <c r="BM97" i="1"/>
  <c r="BH97" i="1"/>
  <c r="BC97" i="1"/>
  <c r="AX97" i="1"/>
  <c r="AS97" i="1"/>
  <c r="AN97" i="1"/>
  <c r="AI97" i="1"/>
  <c r="AD97" i="1"/>
  <c r="V97" i="1"/>
  <c r="T97" i="1"/>
  <c r="Z97" i="1" s="1"/>
  <c r="R97" i="1"/>
  <c r="N97" i="1"/>
  <c r="M97" i="1"/>
  <c r="K97" i="1"/>
  <c r="J97" i="1"/>
  <c r="E97" i="1"/>
  <c r="D97" i="1"/>
  <c r="B97" i="1"/>
  <c r="DS96" i="1"/>
  <c r="DR96" i="1"/>
  <c r="DT96" i="1" s="1"/>
  <c r="DQ96" i="1"/>
  <c r="V96" i="1"/>
  <c r="T96" i="1"/>
  <c r="Z96" i="1" s="1"/>
  <c r="M96" i="1"/>
  <c r="N96" i="1" s="1"/>
  <c r="J96" i="1"/>
  <c r="E96" i="1"/>
  <c r="D96" i="1"/>
  <c r="DU95" i="1"/>
  <c r="DS95" i="1"/>
  <c r="DR95" i="1"/>
  <c r="DT95" i="1" s="1"/>
  <c r="DQ95" i="1"/>
  <c r="Z95" i="1"/>
  <c r="V95" i="1"/>
  <c r="T95" i="1"/>
  <c r="X95" i="1" s="1"/>
  <c r="M95" i="1"/>
  <c r="E95" i="1"/>
  <c r="D95" i="1"/>
  <c r="DT94" i="1"/>
  <c r="DS94" i="1"/>
  <c r="DR94" i="1"/>
  <c r="DQ94" i="1"/>
  <c r="DU94" i="1" s="1"/>
  <c r="Z94" i="1"/>
  <c r="X94" i="1"/>
  <c r="V94" i="1"/>
  <c r="T94" i="1"/>
  <c r="M94" i="1"/>
  <c r="E94" i="1"/>
  <c r="D94" i="1"/>
  <c r="DS93" i="1"/>
  <c r="DR93" i="1"/>
  <c r="DT93" i="1" s="1"/>
  <c r="DQ93" i="1"/>
  <c r="Z93" i="1"/>
  <c r="V93" i="1"/>
  <c r="T93" i="1"/>
  <c r="M93" i="1"/>
  <c r="J93" i="1"/>
  <c r="K93" i="1" s="1"/>
  <c r="E93" i="1"/>
  <c r="D93" i="1"/>
  <c r="DU92" i="1"/>
  <c r="DT92" i="1"/>
  <c r="DS92" i="1"/>
  <c r="DR92" i="1"/>
  <c r="DQ92" i="1"/>
  <c r="Z92" i="1"/>
  <c r="V92" i="1"/>
  <c r="T92" i="1"/>
  <c r="R92" i="1"/>
  <c r="N92" i="1"/>
  <c r="M92" i="1"/>
  <c r="J92" i="1"/>
  <c r="K92" i="1" s="1"/>
  <c r="E92" i="1"/>
  <c r="D92" i="1"/>
  <c r="DS91" i="1"/>
  <c r="DR91" i="1"/>
  <c r="DT91" i="1" s="1"/>
  <c r="DQ91" i="1"/>
  <c r="DU91" i="1" s="1"/>
  <c r="V91" i="1"/>
  <c r="T91" i="1"/>
  <c r="N91" i="1"/>
  <c r="M91" i="1"/>
  <c r="J91" i="1"/>
  <c r="K91" i="1" s="1"/>
  <c r="E91" i="1"/>
  <c r="D91" i="1"/>
  <c r="DS90" i="1"/>
  <c r="DR90" i="1"/>
  <c r="DT90" i="1" s="1"/>
  <c r="DQ90" i="1"/>
  <c r="V90" i="1"/>
  <c r="T90" i="1"/>
  <c r="M90" i="1"/>
  <c r="N90" i="1" s="1"/>
  <c r="R90" i="1" s="1"/>
  <c r="J90" i="1"/>
  <c r="K90" i="1" s="1"/>
  <c r="E90" i="1"/>
  <c r="D90" i="1"/>
  <c r="DT89" i="1"/>
  <c r="DS89" i="1"/>
  <c r="DR89" i="1"/>
  <c r="DQ89" i="1"/>
  <c r="T89" i="1"/>
  <c r="M89" i="1"/>
  <c r="N89" i="1" s="1"/>
  <c r="J89" i="1"/>
  <c r="K89" i="1" s="1"/>
  <c r="E89" i="1"/>
  <c r="D89" i="1"/>
  <c r="DT88" i="1"/>
  <c r="DS88" i="1"/>
  <c r="DR88" i="1"/>
  <c r="DQ88" i="1"/>
  <c r="T88" i="1"/>
  <c r="Z88" i="1" s="1"/>
  <c r="M88" i="1"/>
  <c r="N88" i="1" s="1"/>
  <c r="J88" i="1"/>
  <c r="K88" i="1" s="1"/>
  <c r="E88" i="1"/>
  <c r="D88" i="1"/>
  <c r="DS87" i="1"/>
  <c r="DR87" i="1"/>
  <c r="DT87" i="1" s="1"/>
  <c r="DQ87" i="1"/>
  <c r="Z87" i="1"/>
  <c r="V87" i="1"/>
  <c r="T87" i="1"/>
  <c r="M87" i="1"/>
  <c r="N87" i="1" s="1"/>
  <c r="J87" i="1"/>
  <c r="K87" i="1" s="1"/>
  <c r="E87" i="1"/>
  <c r="D87" i="1"/>
  <c r="DU86" i="1"/>
  <c r="DS86" i="1"/>
  <c r="DR86" i="1"/>
  <c r="DT86" i="1" s="1"/>
  <c r="DQ86" i="1"/>
  <c r="Z86" i="1"/>
  <c r="V86" i="1"/>
  <c r="T86" i="1"/>
  <c r="M86" i="1"/>
  <c r="N86" i="1" s="1"/>
  <c r="J86" i="1"/>
  <c r="K86" i="1" s="1"/>
  <c r="E86" i="1"/>
  <c r="D86" i="1"/>
  <c r="DS85" i="1"/>
  <c r="DR85" i="1"/>
  <c r="DT85" i="1" s="1"/>
  <c r="DQ85" i="1"/>
  <c r="DU85" i="1" s="1"/>
  <c r="T85" i="1"/>
  <c r="V85" i="1" s="1"/>
  <c r="N85" i="1"/>
  <c r="M85" i="1"/>
  <c r="J85" i="1"/>
  <c r="K85" i="1" s="1"/>
  <c r="E85" i="1"/>
  <c r="D85" i="1"/>
  <c r="DS84" i="1"/>
  <c r="DR84" i="1"/>
  <c r="DT84" i="1" s="1"/>
  <c r="DQ84" i="1"/>
  <c r="DU84" i="1" s="1"/>
  <c r="T84" i="1"/>
  <c r="M84" i="1"/>
  <c r="N84" i="1" s="1"/>
  <c r="J84" i="1"/>
  <c r="K84" i="1" s="1"/>
  <c r="E84" i="1"/>
  <c r="D84" i="1"/>
  <c r="DS83" i="1"/>
  <c r="DR83" i="1"/>
  <c r="DT83" i="1" s="1"/>
  <c r="DQ83" i="1"/>
  <c r="BA83" i="1"/>
  <c r="T83" i="1"/>
  <c r="M83" i="1"/>
  <c r="N83" i="1" s="1"/>
  <c r="J83" i="1"/>
  <c r="K83" i="1" s="1"/>
  <c r="E83" i="1"/>
  <c r="D83" i="1"/>
  <c r="DS82" i="1"/>
  <c r="DR82" i="1"/>
  <c r="DT82" i="1" s="1"/>
  <c r="DQ82" i="1"/>
  <c r="BA82" i="1"/>
  <c r="BA84" i="1" s="1"/>
  <c r="T82" i="1"/>
  <c r="M82" i="1"/>
  <c r="N82" i="1" s="1"/>
  <c r="J82" i="1"/>
  <c r="K82" i="1" s="1"/>
  <c r="E82" i="1"/>
  <c r="D82" i="1"/>
  <c r="DU81" i="1"/>
  <c r="DS81" i="1"/>
  <c r="DR81" i="1"/>
  <c r="DT81" i="1" s="1"/>
  <c r="DQ81" i="1"/>
  <c r="T81" i="1"/>
  <c r="M81" i="1"/>
  <c r="N81" i="1" s="1"/>
  <c r="J81" i="1"/>
  <c r="K81" i="1" s="1"/>
  <c r="E81" i="1"/>
  <c r="D81" i="1"/>
  <c r="DT80" i="1"/>
  <c r="DS80" i="1"/>
  <c r="DR80" i="1"/>
  <c r="DQ80" i="1"/>
  <c r="BA80" i="1"/>
  <c r="AL80" i="1"/>
  <c r="T80" i="1"/>
  <c r="M80" i="1"/>
  <c r="N80" i="1" s="1"/>
  <c r="J80" i="1"/>
  <c r="K80" i="1" s="1"/>
  <c r="E80" i="1"/>
  <c r="D80" i="1"/>
  <c r="DS79" i="1"/>
  <c r="DR79" i="1"/>
  <c r="DT79" i="1" s="1"/>
  <c r="DQ79" i="1"/>
  <c r="BV79" i="1"/>
  <c r="BK79" i="1"/>
  <c r="BK81" i="1" s="1"/>
  <c r="BF79" i="1"/>
  <c r="AL79" i="1"/>
  <c r="AL81" i="1" s="1"/>
  <c r="T79" i="1"/>
  <c r="Z79" i="1" s="1"/>
  <c r="M79" i="1"/>
  <c r="N79" i="1" s="1"/>
  <c r="K79" i="1"/>
  <c r="J79" i="1"/>
  <c r="DU79" i="1" s="1"/>
  <c r="E79" i="1"/>
  <c r="D79" i="1"/>
  <c r="DT78" i="1"/>
  <c r="DS78" i="1"/>
  <c r="DR78" i="1"/>
  <c r="DQ78" i="1"/>
  <c r="BU78" i="1"/>
  <c r="BA78" i="1"/>
  <c r="T78" i="1"/>
  <c r="V78" i="1" s="1"/>
  <c r="M78" i="1"/>
  <c r="N78" i="1" s="1"/>
  <c r="J78" i="1"/>
  <c r="K78" i="1" s="1"/>
  <c r="E78" i="1"/>
  <c r="D78" i="1"/>
  <c r="DT77" i="1"/>
  <c r="DS77" i="1"/>
  <c r="DR77" i="1"/>
  <c r="DQ77" i="1"/>
  <c r="BZ77" i="1"/>
  <c r="BZ79" i="1" s="1"/>
  <c r="BZ81" i="1" s="1"/>
  <c r="BZ82" i="1" s="1"/>
  <c r="BZ84" i="1" s="1"/>
  <c r="BL77" i="1"/>
  <c r="BL79" i="1" s="1"/>
  <c r="BK77" i="1"/>
  <c r="BK78" i="1" s="1"/>
  <c r="BG77" i="1"/>
  <c r="BG78" i="1" s="1"/>
  <c r="AL77" i="1"/>
  <c r="AL78" i="1" s="1"/>
  <c r="T77" i="1"/>
  <c r="M77" i="1"/>
  <c r="N77" i="1" s="1"/>
  <c r="J77" i="1"/>
  <c r="K77" i="1" s="1"/>
  <c r="E77" i="1"/>
  <c r="D77" i="1"/>
  <c r="CA75" i="1"/>
  <c r="CA77" i="1" s="1"/>
  <c r="BZ75" i="1"/>
  <c r="BV75" i="1"/>
  <c r="BV77" i="1" s="1"/>
  <c r="BV78" i="1" s="1"/>
  <c r="BU75" i="1"/>
  <c r="BU77" i="1" s="1"/>
  <c r="BU79" i="1" s="1"/>
  <c r="BU80" i="1" s="1"/>
  <c r="BQ75" i="1"/>
  <c r="BQ77" i="1" s="1"/>
  <c r="BP75" i="1"/>
  <c r="BP77" i="1" s="1"/>
  <c r="BL75" i="1"/>
  <c r="BK75" i="1"/>
  <c r="BG75" i="1"/>
  <c r="BF75" i="1"/>
  <c r="BF77" i="1" s="1"/>
  <c r="BF78" i="1" s="1"/>
  <c r="BB75" i="1"/>
  <c r="BB77" i="1" s="1"/>
  <c r="BB78" i="1" s="1"/>
  <c r="BA75" i="1"/>
  <c r="BA77" i="1" s="1"/>
  <c r="BA79" i="1" s="1"/>
  <c r="BA81" i="1" s="1"/>
  <c r="AW75" i="1"/>
  <c r="AW77" i="1" s="1"/>
  <c r="AW78" i="1" s="1"/>
  <c r="AV75" i="1"/>
  <c r="AR75" i="1"/>
  <c r="AR77" i="1" s="1"/>
  <c r="AQ75" i="1"/>
  <c r="AQ77" i="1" s="1"/>
  <c r="AM75" i="1"/>
  <c r="AM77" i="1" s="1"/>
  <c r="AL75" i="1"/>
  <c r="AH75" i="1"/>
  <c r="AH77" i="1" s="1"/>
  <c r="AH79" i="1" s="1"/>
  <c r="AG75" i="1"/>
  <c r="AG77" i="1" s="1"/>
  <c r="AG78" i="1" s="1"/>
  <c r="AC75" i="1"/>
  <c r="AC77" i="1" s="1"/>
  <c r="AB75" i="1"/>
  <c r="H75" i="1"/>
  <c r="B75" i="1"/>
  <c r="DT62" i="1"/>
  <c r="DS62" i="1"/>
  <c r="DR62" i="1"/>
  <c r="DQ62" i="1"/>
  <c r="CB62" i="1"/>
  <c r="BW62" i="1"/>
  <c r="BR62" i="1"/>
  <c r="BM62" i="1"/>
  <c r="BH62" i="1"/>
  <c r="BC62" i="1"/>
  <c r="AX62" i="1"/>
  <c r="AS62" i="1"/>
  <c r="AN62" i="1"/>
  <c r="AI62" i="1"/>
  <c r="AD62" i="1"/>
  <c r="V62" i="1"/>
  <c r="T62" i="1"/>
  <c r="R62" i="1"/>
  <c r="N62" i="1"/>
  <c r="M62" i="1"/>
  <c r="K62" i="1"/>
  <c r="J62" i="1"/>
  <c r="DU62" i="1" s="1"/>
  <c r="E62" i="1"/>
  <c r="D62" i="1"/>
  <c r="B62" i="1"/>
  <c r="DU61" i="1"/>
  <c r="DS61" i="1"/>
  <c r="DR61" i="1"/>
  <c r="DT61" i="1" s="1"/>
  <c r="DQ61" i="1"/>
  <c r="CB61" i="1"/>
  <c r="BW61" i="1"/>
  <c r="BR61" i="1"/>
  <c r="BM61" i="1"/>
  <c r="BH61" i="1"/>
  <c r="BC61" i="1"/>
  <c r="AX61" i="1"/>
  <c r="AS61" i="1"/>
  <c r="AN61" i="1"/>
  <c r="AI61" i="1"/>
  <c r="AD61" i="1"/>
  <c r="Z61" i="1"/>
  <c r="V61" i="1"/>
  <c r="T61" i="1"/>
  <c r="R61" i="1"/>
  <c r="N61" i="1"/>
  <c r="M61" i="1"/>
  <c r="K61" i="1"/>
  <c r="J61" i="1"/>
  <c r="E61" i="1"/>
  <c r="D61" i="1"/>
  <c r="B61" i="1"/>
  <c r="DS60" i="1"/>
  <c r="DR60" i="1"/>
  <c r="DT60" i="1" s="1"/>
  <c r="DQ60" i="1"/>
  <c r="CB60" i="1"/>
  <c r="BW60" i="1"/>
  <c r="BR60" i="1"/>
  <c r="BM60" i="1"/>
  <c r="BH60" i="1"/>
  <c r="BC60" i="1"/>
  <c r="AX60" i="1"/>
  <c r="AS60" i="1"/>
  <c r="AN60" i="1"/>
  <c r="AI60" i="1"/>
  <c r="AD60" i="1"/>
  <c r="V60" i="1"/>
  <c r="T60" i="1"/>
  <c r="X60" i="1" s="1"/>
  <c r="R60" i="1"/>
  <c r="N60" i="1"/>
  <c r="M60" i="1"/>
  <c r="K60" i="1"/>
  <c r="J60" i="1"/>
  <c r="E60" i="1"/>
  <c r="D60" i="1"/>
  <c r="B60" i="1"/>
  <c r="DT59" i="1"/>
  <c r="DS59" i="1"/>
  <c r="DR59" i="1"/>
  <c r="DQ59" i="1"/>
  <c r="CB59" i="1"/>
  <c r="BW59" i="1"/>
  <c r="BR59" i="1"/>
  <c r="BM59" i="1"/>
  <c r="BH59" i="1"/>
  <c r="BC59" i="1"/>
  <c r="AX59" i="1"/>
  <c r="AS59" i="1"/>
  <c r="AN59" i="1"/>
  <c r="AI59" i="1"/>
  <c r="AD59" i="1"/>
  <c r="V59" i="1"/>
  <c r="T59" i="1"/>
  <c r="Z59" i="1" s="1"/>
  <c r="R59" i="1"/>
  <c r="N59" i="1"/>
  <c r="M59" i="1"/>
  <c r="K59" i="1"/>
  <c r="J59" i="1"/>
  <c r="E59" i="1"/>
  <c r="D59" i="1"/>
  <c r="B59" i="1"/>
  <c r="DU58" i="1"/>
  <c r="DT58" i="1"/>
  <c r="DS58" i="1"/>
  <c r="DR58" i="1"/>
  <c r="DQ58" i="1"/>
  <c r="CB58" i="1"/>
  <c r="BW58" i="1"/>
  <c r="BR58" i="1"/>
  <c r="BM58" i="1"/>
  <c r="BH58" i="1"/>
  <c r="BC58" i="1"/>
  <c r="AX58" i="1"/>
  <c r="AS58" i="1"/>
  <c r="AN58" i="1"/>
  <c r="AI58" i="1"/>
  <c r="AD58" i="1"/>
  <c r="V58" i="1"/>
  <c r="T58" i="1"/>
  <c r="Z58" i="1" s="1"/>
  <c r="R58" i="1"/>
  <c r="N58" i="1"/>
  <c r="M58" i="1"/>
  <c r="K58" i="1"/>
  <c r="J58" i="1"/>
  <c r="E58" i="1"/>
  <c r="D58" i="1"/>
  <c r="B58" i="1"/>
  <c r="DU57" i="1"/>
  <c r="DT57" i="1"/>
  <c r="DS57" i="1"/>
  <c r="DR57" i="1"/>
  <c r="DQ57" i="1"/>
  <c r="CB57" i="1"/>
  <c r="BW57" i="1"/>
  <c r="BR57" i="1"/>
  <c r="BM57" i="1"/>
  <c r="BH57" i="1"/>
  <c r="BC57" i="1"/>
  <c r="AX57" i="1"/>
  <c r="AS57" i="1"/>
  <c r="AN57" i="1"/>
  <c r="AI57" i="1"/>
  <c r="AD57" i="1"/>
  <c r="V57" i="1"/>
  <c r="T57" i="1"/>
  <c r="Z57" i="1" s="1"/>
  <c r="R57" i="1"/>
  <c r="N57" i="1"/>
  <c r="M57" i="1"/>
  <c r="K57" i="1"/>
  <c r="J57" i="1"/>
  <c r="E57" i="1"/>
  <c r="D57" i="1"/>
  <c r="B57" i="1"/>
  <c r="DS56" i="1"/>
  <c r="DR56" i="1"/>
  <c r="DT56" i="1" s="1"/>
  <c r="DQ56" i="1"/>
  <c r="CB56" i="1"/>
  <c r="BW56" i="1"/>
  <c r="BR56" i="1"/>
  <c r="BM56" i="1"/>
  <c r="BH56" i="1"/>
  <c r="BC56" i="1"/>
  <c r="AX56" i="1"/>
  <c r="AS56" i="1"/>
  <c r="AN56" i="1"/>
  <c r="AI56" i="1"/>
  <c r="AD56" i="1"/>
  <c r="Z56" i="1"/>
  <c r="V56" i="1"/>
  <c r="X56" i="1" s="1"/>
  <c r="T56" i="1"/>
  <c r="R56" i="1"/>
  <c r="N56" i="1"/>
  <c r="M56" i="1"/>
  <c r="K56" i="1"/>
  <c r="J56" i="1"/>
  <c r="DU56" i="1" s="1"/>
  <c r="E56" i="1"/>
  <c r="D56" i="1"/>
  <c r="B56" i="1"/>
  <c r="DT55" i="1"/>
  <c r="DS55" i="1"/>
  <c r="DR55" i="1"/>
  <c r="DQ55" i="1"/>
  <c r="CB55" i="1"/>
  <c r="BW55" i="1"/>
  <c r="BR55" i="1"/>
  <c r="BM55" i="1"/>
  <c r="BH55" i="1"/>
  <c r="BC55" i="1"/>
  <c r="AX55" i="1"/>
  <c r="AS55" i="1"/>
  <c r="AN55" i="1"/>
  <c r="AI55" i="1"/>
  <c r="AD55" i="1"/>
  <c r="Z55" i="1"/>
  <c r="V55" i="1"/>
  <c r="T55" i="1"/>
  <c r="X55" i="1" s="1"/>
  <c r="R55" i="1"/>
  <c r="N55" i="1"/>
  <c r="M55" i="1"/>
  <c r="K55" i="1"/>
  <c r="J55" i="1"/>
  <c r="DU55" i="1" s="1"/>
  <c r="E55" i="1"/>
  <c r="D55" i="1"/>
  <c r="B55" i="1"/>
  <c r="DU54" i="1"/>
  <c r="DT54" i="1"/>
  <c r="DS54" i="1"/>
  <c r="DR54" i="1"/>
  <c r="DQ54" i="1"/>
  <c r="CB54" i="1"/>
  <c r="BW54" i="1"/>
  <c r="BR54" i="1"/>
  <c r="BM54" i="1"/>
  <c r="BH54" i="1"/>
  <c r="BC54" i="1"/>
  <c r="AX54" i="1"/>
  <c r="AS54" i="1"/>
  <c r="AN54" i="1"/>
  <c r="AI54" i="1"/>
  <c r="AD54" i="1"/>
  <c r="V54" i="1"/>
  <c r="T54" i="1"/>
  <c r="Z54" i="1" s="1"/>
  <c r="R54" i="1"/>
  <c r="N54" i="1"/>
  <c r="M54" i="1"/>
  <c r="K54" i="1"/>
  <c r="J54" i="1"/>
  <c r="E54" i="1"/>
  <c r="D54" i="1"/>
  <c r="B54" i="1"/>
  <c r="DS53" i="1"/>
  <c r="DR53" i="1"/>
  <c r="DT53" i="1" s="1"/>
  <c r="DQ53" i="1"/>
  <c r="CB53" i="1"/>
  <c r="BW53" i="1"/>
  <c r="BR53" i="1"/>
  <c r="BM53" i="1"/>
  <c r="BH53" i="1"/>
  <c r="BC53" i="1"/>
  <c r="AX53" i="1"/>
  <c r="AS53" i="1"/>
  <c r="AN53" i="1"/>
  <c r="AI53" i="1"/>
  <c r="AD53" i="1"/>
  <c r="V53" i="1"/>
  <c r="T53" i="1"/>
  <c r="X53" i="1" s="1"/>
  <c r="R53" i="1"/>
  <c r="N53" i="1"/>
  <c r="M53" i="1"/>
  <c r="K53" i="1"/>
  <c r="J53" i="1"/>
  <c r="DU53" i="1" s="1"/>
  <c r="E53" i="1"/>
  <c r="D53" i="1"/>
  <c r="B53" i="1"/>
  <c r="DS52" i="1"/>
  <c r="DR52" i="1"/>
  <c r="DT52" i="1" s="1"/>
  <c r="DQ52" i="1"/>
  <c r="CB52" i="1"/>
  <c r="BW52" i="1"/>
  <c r="BR52" i="1"/>
  <c r="BM52" i="1"/>
  <c r="BH52" i="1"/>
  <c r="BC52" i="1"/>
  <c r="AX52" i="1"/>
  <c r="AS52" i="1"/>
  <c r="AN52" i="1"/>
  <c r="AI52" i="1"/>
  <c r="AD52" i="1"/>
  <c r="V52" i="1"/>
  <c r="T52" i="1"/>
  <c r="Z52" i="1" s="1"/>
  <c r="R52" i="1"/>
  <c r="N52" i="1"/>
  <c r="M52" i="1"/>
  <c r="K52" i="1"/>
  <c r="J52" i="1"/>
  <c r="DU52" i="1" s="1"/>
  <c r="E52" i="1"/>
  <c r="D52" i="1"/>
  <c r="B52" i="1"/>
  <c r="DU51" i="1"/>
  <c r="DS51" i="1"/>
  <c r="DR51" i="1"/>
  <c r="DT51" i="1" s="1"/>
  <c r="DQ51" i="1"/>
  <c r="CB51" i="1"/>
  <c r="BW51" i="1"/>
  <c r="BR51" i="1"/>
  <c r="BM51" i="1"/>
  <c r="BH51" i="1"/>
  <c r="BC51" i="1"/>
  <c r="AX51" i="1"/>
  <c r="AS51" i="1"/>
  <c r="AN51" i="1"/>
  <c r="AI51" i="1"/>
  <c r="AD51" i="1"/>
  <c r="Z51" i="1"/>
  <c r="V51" i="1"/>
  <c r="T51" i="1"/>
  <c r="R51" i="1"/>
  <c r="N51" i="1"/>
  <c r="M51" i="1"/>
  <c r="K51" i="1"/>
  <c r="J51" i="1"/>
  <c r="E51" i="1"/>
  <c r="D51" i="1"/>
  <c r="B51" i="1"/>
  <c r="DU50" i="1"/>
  <c r="DS50" i="1"/>
  <c r="DR50" i="1"/>
  <c r="DT50" i="1" s="1"/>
  <c r="DQ50" i="1"/>
  <c r="CB50" i="1"/>
  <c r="BW50" i="1"/>
  <c r="BR50" i="1"/>
  <c r="BM50" i="1"/>
  <c r="BH50" i="1"/>
  <c r="BC50" i="1"/>
  <c r="AX50" i="1"/>
  <c r="AS50" i="1"/>
  <c r="AN50" i="1"/>
  <c r="AI50" i="1"/>
  <c r="AD50" i="1"/>
  <c r="V50" i="1"/>
  <c r="T50" i="1"/>
  <c r="Z50" i="1" s="1"/>
  <c r="R50" i="1"/>
  <c r="N50" i="1"/>
  <c r="M50" i="1"/>
  <c r="K50" i="1"/>
  <c r="J50" i="1"/>
  <c r="E50" i="1"/>
  <c r="D50" i="1"/>
  <c r="B50" i="1"/>
  <c r="DT49" i="1"/>
  <c r="DS49" i="1"/>
  <c r="DR49" i="1"/>
  <c r="DQ49" i="1"/>
  <c r="CB49" i="1"/>
  <c r="BW49" i="1"/>
  <c r="BR49" i="1"/>
  <c r="BM49" i="1"/>
  <c r="BH49" i="1"/>
  <c r="BC49" i="1"/>
  <c r="AX49" i="1"/>
  <c r="AS49" i="1"/>
  <c r="AN49" i="1"/>
  <c r="AI49" i="1"/>
  <c r="AD49" i="1"/>
  <c r="V49" i="1"/>
  <c r="T49" i="1"/>
  <c r="Z49" i="1" s="1"/>
  <c r="R49" i="1"/>
  <c r="N49" i="1"/>
  <c r="M49" i="1"/>
  <c r="K49" i="1"/>
  <c r="J49" i="1"/>
  <c r="DU49" i="1" s="1"/>
  <c r="E49" i="1"/>
  <c r="D49" i="1"/>
  <c r="B49" i="1"/>
  <c r="DS48" i="1"/>
  <c r="DR48" i="1"/>
  <c r="DT48" i="1" s="1"/>
  <c r="DQ48" i="1"/>
  <c r="CB48" i="1"/>
  <c r="BW48" i="1"/>
  <c r="BR48" i="1"/>
  <c r="BM48" i="1"/>
  <c r="BH48" i="1"/>
  <c r="BC48" i="1"/>
  <c r="AX48" i="1"/>
  <c r="AS48" i="1"/>
  <c r="AN48" i="1"/>
  <c r="AI48" i="1"/>
  <c r="AD48" i="1"/>
  <c r="V48" i="1"/>
  <c r="T48" i="1"/>
  <c r="R48" i="1"/>
  <c r="N48" i="1"/>
  <c r="M48" i="1"/>
  <c r="K48" i="1"/>
  <c r="J48" i="1"/>
  <c r="DU48" i="1" s="1"/>
  <c r="E48" i="1"/>
  <c r="D48" i="1"/>
  <c r="B48" i="1"/>
  <c r="DS47" i="1"/>
  <c r="DR47" i="1"/>
  <c r="DT47" i="1" s="1"/>
  <c r="DQ47" i="1"/>
  <c r="DU47" i="1" s="1"/>
  <c r="CB47" i="1"/>
  <c r="BW47" i="1"/>
  <c r="BR47" i="1"/>
  <c r="BM47" i="1"/>
  <c r="BH47" i="1"/>
  <c r="BC47" i="1"/>
  <c r="AX47" i="1"/>
  <c r="AS47" i="1"/>
  <c r="AN47" i="1"/>
  <c r="AI47" i="1"/>
  <c r="AD47" i="1"/>
  <c r="Z47" i="1"/>
  <c r="V47" i="1"/>
  <c r="T47" i="1"/>
  <c r="R47" i="1"/>
  <c r="N47" i="1"/>
  <c r="M47" i="1"/>
  <c r="K47" i="1"/>
  <c r="J47" i="1"/>
  <c r="E47" i="1"/>
  <c r="D47" i="1"/>
  <c r="B47" i="1"/>
  <c r="DZ46" i="1"/>
  <c r="DT46" i="1"/>
  <c r="DS46" i="1"/>
  <c r="DR46" i="1"/>
  <c r="DQ46" i="1"/>
  <c r="CB46" i="1"/>
  <c r="BW46" i="1"/>
  <c r="BR46" i="1"/>
  <c r="BM46" i="1"/>
  <c r="BH46" i="1"/>
  <c r="BC46" i="1"/>
  <c r="AX46" i="1"/>
  <c r="AS46" i="1"/>
  <c r="AN46" i="1"/>
  <c r="AI46" i="1"/>
  <c r="AD46" i="1"/>
  <c r="Z46" i="1"/>
  <c r="V46" i="1"/>
  <c r="T46" i="1"/>
  <c r="X46" i="1" s="1"/>
  <c r="R46" i="1"/>
  <c r="N46" i="1"/>
  <c r="M46" i="1"/>
  <c r="K46" i="1"/>
  <c r="J46" i="1"/>
  <c r="E46" i="1"/>
  <c r="D46" i="1"/>
  <c r="B46" i="1"/>
  <c r="DZ45" i="1"/>
  <c r="DX45" i="1"/>
  <c r="DS45" i="1"/>
  <c r="DR45" i="1"/>
  <c r="DT45" i="1" s="1"/>
  <c r="DQ45" i="1"/>
  <c r="CB45" i="1"/>
  <c r="BW45" i="1"/>
  <c r="BR45" i="1"/>
  <c r="BM45" i="1"/>
  <c r="BH45" i="1"/>
  <c r="BC45" i="1"/>
  <c r="AX45" i="1"/>
  <c r="AS45" i="1"/>
  <c r="AN45" i="1"/>
  <c r="AI45" i="1"/>
  <c r="AD45" i="1"/>
  <c r="Z45" i="1"/>
  <c r="V45" i="1"/>
  <c r="T45" i="1"/>
  <c r="R45" i="1"/>
  <c r="N45" i="1"/>
  <c r="M45" i="1"/>
  <c r="K45" i="1"/>
  <c r="J45" i="1"/>
  <c r="E45" i="1"/>
  <c r="D45" i="1"/>
  <c r="B45" i="1"/>
  <c r="DX44" i="1"/>
  <c r="DS44" i="1"/>
  <c r="DR44" i="1"/>
  <c r="DT44" i="1" s="1"/>
  <c r="DQ44" i="1"/>
  <c r="CB44" i="1"/>
  <c r="BW44" i="1"/>
  <c r="BR44" i="1"/>
  <c r="BM44" i="1"/>
  <c r="BH44" i="1"/>
  <c r="BC44" i="1"/>
  <c r="AX44" i="1"/>
  <c r="AS44" i="1"/>
  <c r="AN44" i="1"/>
  <c r="AI44" i="1"/>
  <c r="AD44" i="1"/>
  <c r="V44" i="1"/>
  <c r="T44" i="1"/>
  <c r="R44" i="1"/>
  <c r="N44" i="1"/>
  <c r="M44" i="1"/>
  <c r="K44" i="1"/>
  <c r="J44" i="1"/>
  <c r="E44" i="1"/>
  <c r="D44" i="1"/>
  <c r="B44" i="1"/>
  <c r="DZ43" i="1"/>
  <c r="DX43" i="1"/>
  <c r="DU43" i="1"/>
  <c r="DS43" i="1"/>
  <c r="DR43" i="1"/>
  <c r="DT43" i="1" s="1"/>
  <c r="DQ43" i="1"/>
  <c r="CB43" i="1"/>
  <c r="BW43" i="1"/>
  <c r="BR43" i="1"/>
  <c r="BM43" i="1"/>
  <c r="BH43" i="1"/>
  <c r="BC43" i="1"/>
  <c r="AX43" i="1"/>
  <c r="AS43" i="1"/>
  <c r="AN43" i="1"/>
  <c r="AI43" i="1"/>
  <c r="AD43" i="1"/>
  <c r="V43" i="1"/>
  <c r="T43" i="1"/>
  <c r="R43" i="1"/>
  <c r="N43" i="1"/>
  <c r="M43" i="1"/>
  <c r="K43" i="1"/>
  <c r="J43" i="1"/>
  <c r="E43" i="1"/>
  <c r="D43" i="1"/>
  <c r="B43" i="1"/>
  <c r="DZ42" i="1"/>
  <c r="DX42" i="1"/>
  <c r="DT42" i="1"/>
  <c r="DS42" i="1"/>
  <c r="DR42" i="1"/>
  <c r="DQ42" i="1"/>
  <c r="CB42" i="1"/>
  <c r="BW42" i="1"/>
  <c r="BR42" i="1"/>
  <c r="BM42" i="1"/>
  <c r="BH42" i="1"/>
  <c r="BC42" i="1"/>
  <c r="AX42" i="1"/>
  <c r="AS42" i="1"/>
  <c r="AN42" i="1"/>
  <c r="AI42" i="1"/>
  <c r="AD42" i="1"/>
  <c r="V42" i="1"/>
  <c r="X42" i="1" s="1"/>
  <c r="T42" i="1"/>
  <c r="Z42" i="1" s="1"/>
  <c r="R42" i="1"/>
  <c r="N42" i="1"/>
  <c r="M42" i="1"/>
  <c r="K42" i="1"/>
  <c r="J42" i="1"/>
  <c r="DU42" i="1" s="1"/>
  <c r="E42" i="1"/>
  <c r="D42" i="1"/>
  <c r="B42" i="1"/>
  <c r="DU41" i="1"/>
  <c r="DT41" i="1"/>
  <c r="DS41" i="1"/>
  <c r="DR41" i="1"/>
  <c r="DQ41" i="1"/>
  <c r="V41" i="1"/>
  <c r="T41" i="1"/>
  <c r="Z41" i="1" s="1"/>
  <c r="M41" i="1"/>
  <c r="N41" i="1" s="1"/>
  <c r="J41" i="1"/>
  <c r="K41" i="1" s="1"/>
  <c r="E41" i="1"/>
  <c r="D41" i="1"/>
  <c r="DT40" i="1"/>
  <c r="DS40" i="1"/>
  <c r="DR40" i="1"/>
  <c r="DQ40" i="1"/>
  <c r="DU40" i="1" s="1"/>
  <c r="V40" i="1"/>
  <c r="T40" i="1"/>
  <c r="M40" i="1"/>
  <c r="N40" i="1" s="1"/>
  <c r="K40" i="1"/>
  <c r="J40" i="1"/>
  <c r="E40" i="1"/>
  <c r="D40" i="1"/>
  <c r="DS39" i="1"/>
  <c r="DR39" i="1"/>
  <c r="DT39" i="1" s="1"/>
  <c r="DQ39" i="1"/>
  <c r="Z39" i="1"/>
  <c r="V39" i="1"/>
  <c r="T39" i="1"/>
  <c r="M39" i="1"/>
  <c r="N39" i="1" s="1"/>
  <c r="J39" i="1"/>
  <c r="K39" i="1" s="1"/>
  <c r="E39" i="1"/>
  <c r="D39" i="1"/>
  <c r="DS38" i="1"/>
  <c r="DR38" i="1"/>
  <c r="DT38" i="1" s="1"/>
  <c r="DQ38" i="1"/>
  <c r="Z38" i="1"/>
  <c r="V38" i="1"/>
  <c r="X38" i="1" s="1"/>
  <c r="T38" i="1"/>
  <c r="M38" i="1"/>
  <c r="N38" i="1" s="1"/>
  <c r="J38" i="1"/>
  <c r="DU38" i="1" s="1"/>
  <c r="E38" i="1"/>
  <c r="D38" i="1"/>
  <c r="DS37" i="1"/>
  <c r="DR37" i="1"/>
  <c r="DT37" i="1" s="1"/>
  <c r="DQ37" i="1"/>
  <c r="V37" i="1"/>
  <c r="T37" i="1"/>
  <c r="X37" i="1" s="1"/>
  <c r="M37" i="1"/>
  <c r="N37" i="1" s="1"/>
  <c r="J37" i="1"/>
  <c r="DU37" i="1" s="1"/>
  <c r="E37" i="1"/>
  <c r="D37" i="1"/>
  <c r="DS36" i="1"/>
  <c r="DR36" i="1"/>
  <c r="DT36" i="1" s="1"/>
  <c r="DQ36" i="1"/>
  <c r="Z36" i="1"/>
  <c r="V36" i="1"/>
  <c r="T36" i="1"/>
  <c r="X36" i="1" s="1"/>
  <c r="M36" i="1"/>
  <c r="N36" i="1" s="1"/>
  <c r="J36" i="1"/>
  <c r="DU36" i="1" s="1"/>
  <c r="E36" i="1"/>
  <c r="D36" i="1"/>
  <c r="DS35" i="1"/>
  <c r="DR35" i="1"/>
  <c r="DT35" i="1" s="1"/>
  <c r="DQ35" i="1"/>
  <c r="V35" i="1"/>
  <c r="T35" i="1"/>
  <c r="Z35" i="1" s="1"/>
  <c r="M35" i="1"/>
  <c r="N35" i="1" s="1"/>
  <c r="J35" i="1"/>
  <c r="E35" i="1"/>
  <c r="D35" i="1"/>
  <c r="DS34" i="1"/>
  <c r="DR34" i="1"/>
  <c r="DT34" i="1" s="1"/>
  <c r="DQ34" i="1"/>
  <c r="T34" i="1"/>
  <c r="M34" i="1"/>
  <c r="N34" i="1" s="1"/>
  <c r="J34" i="1"/>
  <c r="K34" i="1" s="1"/>
  <c r="E34" i="1"/>
  <c r="D34" i="1"/>
  <c r="DU33" i="1"/>
  <c r="DT33" i="1"/>
  <c r="DS33" i="1"/>
  <c r="DR33" i="1"/>
  <c r="DQ33" i="1"/>
  <c r="T33" i="1"/>
  <c r="Z33" i="1" s="1"/>
  <c r="M33" i="1"/>
  <c r="N33" i="1" s="1"/>
  <c r="J33" i="1"/>
  <c r="K33" i="1" s="1"/>
  <c r="E33" i="1"/>
  <c r="D33" i="1"/>
  <c r="DU32" i="1"/>
  <c r="DT32" i="1"/>
  <c r="DS32" i="1"/>
  <c r="DR32" i="1"/>
  <c r="DQ32" i="1"/>
  <c r="T32" i="1"/>
  <c r="Z32" i="1" s="1"/>
  <c r="M32" i="1"/>
  <c r="N32" i="1" s="1"/>
  <c r="J32" i="1"/>
  <c r="K32" i="1" s="1"/>
  <c r="E32" i="1"/>
  <c r="D32" i="1"/>
  <c r="DU31" i="1"/>
  <c r="DT31" i="1"/>
  <c r="DS31" i="1"/>
  <c r="DR31" i="1"/>
  <c r="DQ31" i="1"/>
  <c r="Z31" i="1"/>
  <c r="T31" i="1"/>
  <c r="V31" i="1" s="1"/>
  <c r="X31" i="1" s="1"/>
  <c r="M31" i="1"/>
  <c r="N31" i="1" s="1"/>
  <c r="J31" i="1"/>
  <c r="K31" i="1" s="1"/>
  <c r="E31" i="1"/>
  <c r="D31" i="1"/>
  <c r="DU30" i="1"/>
  <c r="DS30" i="1"/>
  <c r="DR30" i="1"/>
  <c r="DT30" i="1" s="1"/>
  <c r="DQ30" i="1"/>
  <c r="Z30" i="1"/>
  <c r="X30" i="1"/>
  <c r="T30" i="1"/>
  <c r="V30" i="1" s="1"/>
  <c r="M30" i="1"/>
  <c r="N30" i="1" s="1"/>
  <c r="R30" i="1" s="1"/>
  <c r="J30" i="1"/>
  <c r="K30" i="1" s="1"/>
  <c r="E30" i="1"/>
  <c r="D30" i="1"/>
  <c r="DT29" i="1"/>
  <c r="DS29" i="1"/>
  <c r="DR29" i="1"/>
  <c r="DQ29" i="1"/>
  <c r="T29" i="1"/>
  <c r="Z29" i="1" s="1"/>
  <c r="M29" i="1"/>
  <c r="N29" i="1" s="1"/>
  <c r="J29" i="1"/>
  <c r="E29" i="1"/>
  <c r="D29" i="1"/>
  <c r="DS28" i="1"/>
  <c r="DR28" i="1"/>
  <c r="DT28" i="1" s="1"/>
  <c r="DQ28" i="1"/>
  <c r="AV28" i="1"/>
  <c r="AV29" i="1" s="1"/>
  <c r="AV30" i="1" s="1"/>
  <c r="AV31" i="1" s="1"/>
  <c r="AV32" i="1" s="1"/>
  <c r="AV33" i="1" s="1"/>
  <c r="AV34" i="1" s="1"/>
  <c r="AV35" i="1" s="1"/>
  <c r="AV36" i="1" s="1"/>
  <c r="AV37" i="1" s="1"/>
  <c r="AV38" i="1" s="1"/>
  <c r="AV39" i="1" s="1"/>
  <c r="AV40" i="1" s="1"/>
  <c r="AV41" i="1" s="1"/>
  <c r="AV42" i="1" s="1"/>
  <c r="AV43" i="1" s="1"/>
  <c r="AV44" i="1" s="1"/>
  <c r="AV45" i="1" s="1"/>
  <c r="AV46" i="1" s="1"/>
  <c r="AV47" i="1" s="1"/>
  <c r="AV48" i="1" s="1"/>
  <c r="AV49" i="1" s="1"/>
  <c r="AV50" i="1" s="1"/>
  <c r="AV51" i="1" s="1"/>
  <c r="AV52" i="1" s="1"/>
  <c r="AV53" i="1" s="1"/>
  <c r="AV54" i="1" s="1"/>
  <c r="AV55" i="1" s="1"/>
  <c r="AV56" i="1" s="1"/>
  <c r="AV57" i="1" s="1"/>
  <c r="AV58" i="1" s="1"/>
  <c r="AV59" i="1" s="1"/>
  <c r="AV60" i="1" s="1"/>
  <c r="AV61" i="1" s="1"/>
  <c r="AV62" i="1" s="1"/>
  <c r="Z28" i="1"/>
  <c r="V28" i="1"/>
  <c r="X28" i="1" s="1"/>
  <c r="T28" i="1"/>
  <c r="M28" i="1"/>
  <c r="N28" i="1" s="1"/>
  <c r="J28" i="1"/>
  <c r="K28" i="1" s="1"/>
  <c r="E28" i="1"/>
  <c r="D28" i="1"/>
  <c r="DT27" i="1"/>
  <c r="DS27" i="1"/>
  <c r="DR27" i="1"/>
  <c r="DQ27" i="1"/>
  <c r="AV27" i="1"/>
  <c r="Z27" i="1"/>
  <c r="T27" i="1"/>
  <c r="V27" i="1" s="1"/>
  <c r="N27" i="1"/>
  <c r="M27" i="1"/>
  <c r="J27" i="1"/>
  <c r="K27" i="1" s="1"/>
  <c r="E27" i="1"/>
  <c r="D27" i="1"/>
  <c r="DZ26" i="1"/>
  <c r="DT26" i="1"/>
  <c r="DS26" i="1"/>
  <c r="DR26" i="1"/>
  <c r="DQ26" i="1"/>
  <c r="AV26" i="1"/>
  <c r="T26" i="1"/>
  <c r="Z26" i="1" s="1"/>
  <c r="M26" i="1"/>
  <c r="N26" i="1" s="1"/>
  <c r="J26" i="1"/>
  <c r="K26" i="1" s="1"/>
  <c r="E26" i="1"/>
  <c r="D26" i="1"/>
  <c r="DZ25" i="1"/>
  <c r="DT25" i="1"/>
  <c r="DS25" i="1"/>
  <c r="DR25" i="1"/>
  <c r="DQ25" i="1"/>
  <c r="T25" i="1"/>
  <c r="Z25" i="1" s="1"/>
  <c r="M25" i="1"/>
  <c r="N25" i="1" s="1"/>
  <c r="J25" i="1"/>
  <c r="K25" i="1" s="1"/>
  <c r="E25" i="1"/>
  <c r="D25" i="1"/>
  <c r="DZ24" i="1"/>
  <c r="DT24" i="1"/>
  <c r="DS24" i="1"/>
  <c r="DR24" i="1"/>
  <c r="DQ24" i="1"/>
  <c r="BP24" i="1"/>
  <c r="BP25" i="1" s="1"/>
  <c r="BP26" i="1" s="1"/>
  <c r="BP27" i="1" s="1"/>
  <c r="BP28" i="1" s="1"/>
  <c r="BP29" i="1" s="1"/>
  <c r="BP30" i="1" s="1"/>
  <c r="BP31" i="1" s="1"/>
  <c r="BP32" i="1" s="1"/>
  <c r="BP33" i="1" s="1"/>
  <c r="BP34" i="1" s="1"/>
  <c r="BP35" i="1" s="1"/>
  <c r="BP36" i="1" s="1"/>
  <c r="BP37" i="1" s="1"/>
  <c r="BP38" i="1" s="1"/>
  <c r="BP39" i="1" s="1"/>
  <c r="BP40" i="1" s="1"/>
  <c r="BP41" i="1" s="1"/>
  <c r="BP42" i="1" s="1"/>
  <c r="BP43" i="1" s="1"/>
  <c r="BP44" i="1" s="1"/>
  <c r="BP45" i="1" s="1"/>
  <c r="BP46" i="1" s="1"/>
  <c r="BP47" i="1" s="1"/>
  <c r="BP48" i="1" s="1"/>
  <c r="BP49" i="1" s="1"/>
  <c r="BP50" i="1" s="1"/>
  <c r="BP51" i="1" s="1"/>
  <c r="BP52" i="1" s="1"/>
  <c r="BP53" i="1" s="1"/>
  <c r="BP54" i="1" s="1"/>
  <c r="BP55" i="1" s="1"/>
  <c r="BP56" i="1" s="1"/>
  <c r="BP57" i="1" s="1"/>
  <c r="BP58" i="1" s="1"/>
  <c r="BP59" i="1" s="1"/>
  <c r="BP60" i="1" s="1"/>
  <c r="BP61" i="1" s="1"/>
  <c r="BP62" i="1" s="1"/>
  <c r="AV24" i="1"/>
  <c r="AV25" i="1" s="1"/>
  <c r="AB24" i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Z24" i="1"/>
  <c r="T24" i="1"/>
  <c r="V24" i="1" s="1"/>
  <c r="X24" i="1" s="1"/>
  <c r="M24" i="1"/>
  <c r="N24" i="1" s="1"/>
  <c r="J24" i="1"/>
  <c r="E24" i="1"/>
  <c r="D24" i="1"/>
  <c r="B24" i="1"/>
  <c r="DZ23" i="1"/>
  <c r="DT23" i="1"/>
  <c r="DS23" i="1"/>
  <c r="DR23" i="1"/>
  <c r="DQ23" i="1"/>
  <c r="DU23" i="1" s="1"/>
  <c r="BZ23" i="1"/>
  <c r="BZ24" i="1" s="1"/>
  <c r="BZ25" i="1" s="1"/>
  <c r="BZ26" i="1" s="1"/>
  <c r="BZ27" i="1" s="1"/>
  <c r="BZ28" i="1" s="1"/>
  <c r="BZ29" i="1" s="1"/>
  <c r="BZ30" i="1" s="1"/>
  <c r="BZ31" i="1" s="1"/>
  <c r="BZ32" i="1" s="1"/>
  <c r="BZ33" i="1" s="1"/>
  <c r="BZ34" i="1" s="1"/>
  <c r="BZ35" i="1" s="1"/>
  <c r="BZ36" i="1" s="1"/>
  <c r="BZ37" i="1" s="1"/>
  <c r="BZ38" i="1" s="1"/>
  <c r="BZ39" i="1" s="1"/>
  <c r="BZ40" i="1" s="1"/>
  <c r="BZ41" i="1" s="1"/>
  <c r="BZ42" i="1" s="1"/>
  <c r="BZ43" i="1" s="1"/>
  <c r="BZ44" i="1" s="1"/>
  <c r="BZ45" i="1" s="1"/>
  <c r="BZ46" i="1" s="1"/>
  <c r="BZ47" i="1" s="1"/>
  <c r="BZ48" i="1" s="1"/>
  <c r="BZ49" i="1" s="1"/>
  <c r="BZ50" i="1" s="1"/>
  <c r="BZ51" i="1" s="1"/>
  <c r="BZ52" i="1" s="1"/>
  <c r="BZ53" i="1" s="1"/>
  <c r="BZ54" i="1" s="1"/>
  <c r="BZ55" i="1" s="1"/>
  <c r="BZ56" i="1" s="1"/>
  <c r="BZ57" i="1" s="1"/>
  <c r="BZ58" i="1" s="1"/>
  <c r="BZ59" i="1" s="1"/>
  <c r="BZ60" i="1" s="1"/>
  <c r="BZ61" i="1" s="1"/>
  <c r="BZ62" i="1" s="1"/>
  <c r="AQ23" i="1"/>
  <c r="AQ24" i="1" s="1"/>
  <c r="AQ25" i="1" s="1"/>
  <c r="AQ26" i="1" s="1"/>
  <c r="AQ27" i="1" s="1"/>
  <c r="AQ28" i="1" s="1"/>
  <c r="AQ29" i="1" s="1"/>
  <c r="AQ30" i="1" s="1"/>
  <c r="AQ31" i="1" s="1"/>
  <c r="AQ32" i="1" s="1"/>
  <c r="AQ33" i="1" s="1"/>
  <c r="AQ34" i="1" s="1"/>
  <c r="AQ35" i="1" s="1"/>
  <c r="AQ36" i="1" s="1"/>
  <c r="AQ37" i="1" s="1"/>
  <c r="AQ38" i="1" s="1"/>
  <c r="AQ39" i="1" s="1"/>
  <c r="AQ40" i="1" s="1"/>
  <c r="AQ41" i="1" s="1"/>
  <c r="AQ42" i="1" s="1"/>
  <c r="AQ43" i="1" s="1"/>
  <c r="AQ44" i="1" s="1"/>
  <c r="AQ45" i="1" s="1"/>
  <c r="AQ46" i="1" s="1"/>
  <c r="AQ47" i="1" s="1"/>
  <c r="AQ48" i="1" s="1"/>
  <c r="AQ49" i="1" s="1"/>
  <c r="AQ50" i="1" s="1"/>
  <c r="AQ51" i="1" s="1"/>
  <c r="AQ52" i="1" s="1"/>
  <c r="AQ53" i="1" s="1"/>
  <c r="AQ54" i="1" s="1"/>
  <c r="AQ55" i="1" s="1"/>
  <c r="AQ56" i="1" s="1"/>
  <c r="AQ57" i="1" s="1"/>
  <c r="AQ58" i="1" s="1"/>
  <c r="AQ59" i="1" s="1"/>
  <c r="AQ60" i="1" s="1"/>
  <c r="AQ61" i="1" s="1"/>
  <c r="AQ62" i="1" s="1"/>
  <c r="T23" i="1"/>
  <c r="Z23" i="1" s="1"/>
  <c r="M23" i="1"/>
  <c r="N23" i="1" s="1"/>
  <c r="J23" i="1"/>
  <c r="K23" i="1" s="1"/>
  <c r="E23" i="1"/>
  <c r="D23" i="1"/>
  <c r="B23" i="1"/>
  <c r="DZ22" i="1"/>
  <c r="DS22" i="1"/>
  <c r="DR22" i="1"/>
  <c r="DT22" i="1" s="1"/>
  <c r="DQ22" i="1"/>
  <c r="DQ1" i="1" s="1"/>
  <c r="BZ22" i="1"/>
  <c r="BP22" i="1"/>
  <c r="BP23" i="1" s="1"/>
  <c r="BL22" i="1"/>
  <c r="BL23" i="1" s="1"/>
  <c r="BL24" i="1" s="1"/>
  <c r="BK22" i="1"/>
  <c r="BK23" i="1" s="1"/>
  <c r="BK24" i="1" s="1"/>
  <c r="BK25" i="1" s="1"/>
  <c r="BK26" i="1" s="1"/>
  <c r="BK27" i="1" s="1"/>
  <c r="BK28" i="1" s="1"/>
  <c r="BK29" i="1" s="1"/>
  <c r="BK30" i="1" s="1"/>
  <c r="BK31" i="1" s="1"/>
  <c r="BK32" i="1" s="1"/>
  <c r="BK33" i="1" s="1"/>
  <c r="BK34" i="1" s="1"/>
  <c r="BK35" i="1" s="1"/>
  <c r="BK36" i="1" s="1"/>
  <c r="BK37" i="1" s="1"/>
  <c r="BK38" i="1" s="1"/>
  <c r="BK39" i="1" s="1"/>
  <c r="BK40" i="1" s="1"/>
  <c r="BK41" i="1" s="1"/>
  <c r="BK42" i="1" s="1"/>
  <c r="BK43" i="1" s="1"/>
  <c r="BK44" i="1" s="1"/>
  <c r="BK45" i="1" s="1"/>
  <c r="BK46" i="1" s="1"/>
  <c r="BK47" i="1" s="1"/>
  <c r="BK48" i="1" s="1"/>
  <c r="BK49" i="1" s="1"/>
  <c r="BK50" i="1" s="1"/>
  <c r="BK51" i="1" s="1"/>
  <c r="BK52" i="1" s="1"/>
  <c r="BK53" i="1" s="1"/>
  <c r="BK54" i="1" s="1"/>
  <c r="BK55" i="1" s="1"/>
  <c r="BK56" i="1" s="1"/>
  <c r="BK57" i="1" s="1"/>
  <c r="BK58" i="1" s="1"/>
  <c r="BK59" i="1" s="1"/>
  <c r="BK60" i="1" s="1"/>
  <c r="BK61" i="1" s="1"/>
  <c r="BK62" i="1" s="1"/>
  <c r="BF22" i="1"/>
  <c r="BF23" i="1" s="1"/>
  <c r="BF24" i="1" s="1"/>
  <c r="BF25" i="1" s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AV22" i="1"/>
  <c r="AV23" i="1" s="1"/>
  <c r="AQ22" i="1"/>
  <c r="AG22" i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s="1"/>
  <c r="AG37" i="1" s="1"/>
  <c r="AG38" i="1" s="1"/>
  <c r="AG39" i="1" s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AG58" i="1" s="1"/>
  <c r="AG59" i="1" s="1"/>
  <c r="AG60" i="1" s="1"/>
  <c r="AG61" i="1" s="1"/>
  <c r="AG62" i="1" s="1"/>
  <c r="AC22" i="1"/>
  <c r="AD22" i="1" s="1"/>
  <c r="AB22" i="1"/>
  <c r="AB23" i="1" s="1"/>
  <c r="T22" i="1"/>
  <c r="Z22" i="1" s="1"/>
  <c r="M22" i="1"/>
  <c r="N22" i="1" s="1"/>
  <c r="J22" i="1"/>
  <c r="K22" i="1" s="1"/>
  <c r="E22" i="1"/>
  <c r="D22" i="1"/>
  <c r="CA20" i="1"/>
  <c r="CA22" i="1" s="1"/>
  <c r="CA23" i="1" s="1"/>
  <c r="CA24" i="1" s="1"/>
  <c r="CA25" i="1" s="1"/>
  <c r="CA26" i="1" s="1"/>
  <c r="BZ20" i="1"/>
  <c r="BV20" i="1"/>
  <c r="BV22" i="1" s="1"/>
  <c r="BV23" i="1" s="1"/>
  <c r="BV24" i="1" s="1"/>
  <c r="BV25" i="1" s="1"/>
  <c r="BV26" i="1" s="1"/>
  <c r="BU20" i="1"/>
  <c r="BU22" i="1" s="1"/>
  <c r="BU23" i="1" s="1"/>
  <c r="BU24" i="1" s="1"/>
  <c r="BU25" i="1" s="1"/>
  <c r="BU26" i="1" s="1"/>
  <c r="BU27" i="1" s="1"/>
  <c r="BU28" i="1" s="1"/>
  <c r="BU29" i="1" s="1"/>
  <c r="BU30" i="1" s="1"/>
  <c r="BU31" i="1" s="1"/>
  <c r="BU32" i="1" s="1"/>
  <c r="BU33" i="1" s="1"/>
  <c r="BU34" i="1" s="1"/>
  <c r="BU35" i="1" s="1"/>
  <c r="BU36" i="1" s="1"/>
  <c r="BU37" i="1" s="1"/>
  <c r="BU38" i="1" s="1"/>
  <c r="BU39" i="1" s="1"/>
  <c r="BU40" i="1" s="1"/>
  <c r="BU41" i="1" s="1"/>
  <c r="BU42" i="1" s="1"/>
  <c r="BU43" i="1" s="1"/>
  <c r="BU44" i="1" s="1"/>
  <c r="BU45" i="1" s="1"/>
  <c r="BU46" i="1" s="1"/>
  <c r="BU47" i="1" s="1"/>
  <c r="BU48" i="1" s="1"/>
  <c r="BU49" i="1" s="1"/>
  <c r="BU50" i="1" s="1"/>
  <c r="BU51" i="1" s="1"/>
  <c r="BU52" i="1" s="1"/>
  <c r="BU53" i="1" s="1"/>
  <c r="BU54" i="1" s="1"/>
  <c r="BU55" i="1" s="1"/>
  <c r="BU56" i="1" s="1"/>
  <c r="BU57" i="1" s="1"/>
  <c r="BU58" i="1" s="1"/>
  <c r="BU59" i="1" s="1"/>
  <c r="BU60" i="1" s="1"/>
  <c r="BU61" i="1" s="1"/>
  <c r="BU62" i="1" s="1"/>
  <c r="BQ20" i="1"/>
  <c r="BQ22" i="1" s="1"/>
  <c r="BQ23" i="1" s="1"/>
  <c r="BQ24" i="1" s="1"/>
  <c r="BP20" i="1"/>
  <c r="BL20" i="1"/>
  <c r="BK20" i="1"/>
  <c r="BG20" i="1"/>
  <c r="BG22" i="1" s="1"/>
  <c r="BG23" i="1" s="1"/>
  <c r="BG24" i="1" s="1"/>
  <c r="BG25" i="1" s="1"/>
  <c r="BG26" i="1" s="1"/>
  <c r="BG27" i="1" s="1"/>
  <c r="BG28" i="1" s="1"/>
  <c r="BG29" i="1" s="1"/>
  <c r="BG30" i="1" s="1"/>
  <c r="BG31" i="1" s="1"/>
  <c r="BG32" i="1" s="1"/>
  <c r="BG33" i="1" s="1"/>
  <c r="BG34" i="1" s="1"/>
  <c r="BG35" i="1" s="1"/>
  <c r="BG36" i="1" s="1"/>
  <c r="BG37" i="1" s="1"/>
  <c r="BG38" i="1" s="1"/>
  <c r="BG39" i="1" s="1"/>
  <c r="BF20" i="1"/>
  <c r="BB20" i="1"/>
  <c r="BB22" i="1" s="1"/>
  <c r="BB23" i="1" s="1"/>
  <c r="BB24" i="1" s="1"/>
  <c r="BB25" i="1" s="1"/>
  <c r="BB26" i="1" s="1"/>
  <c r="BB27" i="1" s="1"/>
  <c r="BA20" i="1"/>
  <c r="CH41" i="1" s="1"/>
  <c r="AW20" i="1"/>
  <c r="AW22" i="1" s="1"/>
  <c r="AW23" i="1" s="1"/>
  <c r="AW24" i="1" s="1"/>
  <c r="AW25" i="1" s="1"/>
  <c r="AW26" i="1" s="1"/>
  <c r="AV20" i="1"/>
  <c r="AR20" i="1"/>
  <c r="AR22" i="1" s="1"/>
  <c r="AR23" i="1" s="1"/>
  <c r="AR24" i="1" s="1"/>
  <c r="AR25" i="1" s="1"/>
  <c r="AR26" i="1" s="1"/>
  <c r="AR27" i="1" s="1"/>
  <c r="AQ20" i="1"/>
  <c r="AM20" i="1"/>
  <c r="AM22" i="1" s="1"/>
  <c r="AM23" i="1" s="1"/>
  <c r="AM24" i="1" s="1"/>
  <c r="AM25" i="1" s="1"/>
  <c r="AM26" i="1" s="1"/>
  <c r="AM27" i="1" s="1"/>
  <c r="AM28" i="1" s="1"/>
  <c r="AM29" i="1" s="1"/>
  <c r="AM30" i="1" s="1"/>
  <c r="AL20" i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AL62" i="1" s="1"/>
  <c r="AH20" i="1"/>
  <c r="AH22" i="1" s="1"/>
  <c r="AH23" i="1" s="1"/>
  <c r="AH24" i="1" s="1"/>
  <c r="AH25" i="1" s="1"/>
  <c r="AH26" i="1" s="1"/>
  <c r="AG20" i="1"/>
  <c r="AC20" i="1"/>
  <c r="AB20" i="1"/>
  <c r="CF20" i="1" s="1"/>
  <c r="H20" i="1"/>
  <c r="B20" i="1"/>
  <c r="C6" i="1"/>
  <c r="C5" i="1"/>
  <c r="DY24" i="1" s="1"/>
  <c r="DU4" i="1"/>
  <c r="M19" i="2" l="1"/>
  <c r="M99" i="2"/>
  <c r="M93" i="2"/>
  <c r="M67" i="2"/>
  <c r="M61" i="2"/>
  <c r="M55" i="2"/>
  <c r="M98" i="2"/>
  <c r="M92" i="2"/>
  <c r="M66" i="2"/>
  <c r="M60" i="2"/>
  <c r="M103" i="2"/>
  <c r="M97" i="2"/>
  <c r="M91" i="2"/>
  <c r="M65" i="2"/>
  <c r="M59" i="2"/>
  <c r="M102" i="2"/>
  <c r="M96" i="2"/>
  <c r="M64" i="2"/>
  <c r="M58" i="2"/>
  <c r="M101" i="2"/>
  <c r="M95" i="2"/>
  <c r="M63" i="2"/>
  <c r="M57" i="2"/>
  <c r="M100" i="2"/>
  <c r="M94" i="2"/>
  <c r="M62" i="2"/>
  <c r="M56" i="2"/>
  <c r="M29" i="2"/>
  <c r="M27" i="2"/>
  <c r="M26" i="2"/>
  <c r="M25" i="2"/>
  <c r="M24" i="2"/>
  <c r="M23" i="2"/>
  <c r="M22" i="2"/>
  <c r="M21" i="2"/>
  <c r="M20" i="2"/>
  <c r="M17" i="2"/>
  <c r="M18" i="2"/>
  <c r="M28" i="2"/>
  <c r="AM79" i="1"/>
  <c r="AM78" i="1"/>
  <c r="CA78" i="1"/>
  <c r="CA79" i="1"/>
  <c r="CB79" i="1" s="1"/>
  <c r="BB170" i="1"/>
  <c r="BB169" i="1"/>
  <c r="BW168" i="1"/>
  <c r="AI168" i="1"/>
  <c r="R168" i="1"/>
  <c r="AH115" i="1"/>
  <c r="AH116" i="1"/>
  <c r="DU77" i="1"/>
  <c r="BB116" i="1"/>
  <c r="K24" i="1"/>
  <c r="DU24" i="1"/>
  <c r="DU59" i="1"/>
  <c r="V22" i="1"/>
  <c r="X22" i="1" s="1"/>
  <c r="V34" i="1"/>
  <c r="X34" i="1" s="1"/>
  <c r="Z34" i="1"/>
  <c r="BG79" i="1"/>
  <c r="BG81" i="1" s="1"/>
  <c r="BG83" i="1" s="1"/>
  <c r="Z80" i="1"/>
  <c r="V80" i="1"/>
  <c r="X80" i="1" s="1"/>
  <c r="DU89" i="1"/>
  <c r="X147" i="1"/>
  <c r="Z153" i="1"/>
  <c r="V32" i="1"/>
  <c r="X32" i="1" s="1"/>
  <c r="V33" i="1"/>
  <c r="X33" i="1" s="1"/>
  <c r="Z60" i="1"/>
  <c r="Z140" i="1"/>
  <c r="X62" i="1"/>
  <c r="V88" i="1"/>
  <c r="X88" i="1" s="1"/>
  <c r="Z132" i="1"/>
  <c r="X132" i="1"/>
  <c r="BQ169" i="1"/>
  <c r="BQ170" i="1"/>
  <c r="X174" i="1"/>
  <c r="Z177" i="1"/>
  <c r="Z207" i="1"/>
  <c r="X207" i="1"/>
  <c r="Z241" i="1"/>
  <c r="X241" i="1"/>
  <c r="AM278" i="1"/>
  <c r="AM279" i="1"/>
  <c r="BQ278" i="1"/>
  <c r="BR277" i="1"/>
  <c r="BQ279" i="1"/>
  <c r="CA115" i="1"/>
  <c r="CA116" i="1"/>
  <c r="X124" i="1"/>
  <c r="Z124" i="1"/>
  <c r="DU132" i="1"/>
  <c r="DU149" i="1"/>
  <c r="X119" i="1"/>
  <c r="V124" i="1"/>
  <c r="DU129" i="1"/>
  <c r="DU130" i="1"/>
  <c r="DU133" i="1"/>
  <c r="X144" i="1"/>
  <c r="X150" i="1"/>
  <c r="X175" i="1"/>
  <c r="X195" i="1"/>
  <c r="X284" i="1"/>
  <c r="Z284" i="1"/>
  <c r="X43" i="1"/>
  <c r="Z43" i="1"/>
  <c r="V116" i="1"/>
  <c r="V119" i="1"/>
  <c r="X121" i="1"/>
  <c r="V122" i="1"/>
  <c r="X122" i="1" s="1"/>
  <c r="Z171" i="1"/>
  <c r="X197" i="1"/>
  <c r="Z199" i="1"/>
  <c r="X199" i="1"/>
  <c r="DU25" i="1"/>
  <c r="DU35" i="1"/>
  <c r="K35" i="1"/>
  <c r="X58" i="1"/>
  <c r="Z91" i="1"/>
  <c r="X91" i="1"/>
  <c r="X230" i="1"/>
  <c r="Z138" i="1"/>
  <c r="AW170" i="1"/>
  <c r="AW172" i="1" s="1"/>
  <c r="AW169" i="1"/>
  <c r="BL78" i="1"/>
  <c r="V79" i="1"/>
  <c r="X79" i="1" s="1"/>
  <c r="T112" i="1"/>
  <c r="X189" i="1"/>
  <c r="Z189" i="1"/>
  <c r="X59" i="1"/>
  <c r="BB79" i="1"/>
  <c r="BB80" i="1" s="1"/>
  <c r="K29" i="1"/>
  <c r="DU29" i="1"/>
  <c r="X44" i="1"/>
  <c r="Z44" i="1"/>
  <c r="V117" i="1"/>
  <c r="X117" i="1" s="1"/>
  <c r="Z152" i="1"/>
  <c r="X187" i="1"/>
  <c r="X35" i="1"/>
  <c r="V221" i="1"/>
  <c r="DU145" i="1"/>
  <c r="BM77" i="1"/>
  <c r="DU87" i="1"/>
  <c r="X96" i="1"/>
  <c r="X203" i="1"/>
  <c r="AN277" i="1"/>
  <c r="X282" i="1"/>
  <c r="V25" i="1"/>
  <c r="X25" i="1" s="1"/>
  <c r="X27" i="1"/>
  <c r="X48" i="1"/>
  <c r="X61" i="1"/>
  <c r="T75" i="1"/>
  <c r="X85" i="1"/>
  <c r="DU116" i="1"/>
  <c r="DU131" i="1"/>
  <c r="X146" i="1"/>
  <c r="X246" i="1"/>
  <c r="X252" i="1"/>
  <c r="X258" i="1"/>
  <c r="X280" i="1"/>
  <c r="DU370" i="1"/>
  <c r="R331" i="1"/>
  <c r="DU332" i="1"/>
  <c r="Z335" i="1"/>
  <c r="K350" i="1"/>
  <c r="X307" i="1"/>
  <c r="BV333" i="1"/>
  <c r="V338" i="1"/>
  <c r="X338" i="1" s="1"/>
  <c r="X39" i="1"/>
  <c r="X41" i="1"/>
  <c r="DU44" i="1"/>
  <c r="X45" i="1"/>
  <c r="X51" i="1"/>
  <c r="X93" i="1"/>
  <c r="DU127" i="1"/>
  <c r="DU141" i="1"/>
  <c r="DU142" i="1"/>
  <c r="X231" i="1"/>
  <c r="X309" i="1"/>
  <c r="V331" i="1"/>
  <c r="Z295" i="1"/>
  <c r="X296" i="1"/>
  <c r="X255" i="1"/>
  <c r="X261" i="1"/>
  <c r="X299" i="1"/>
  <c r="X300" i="1"/>
  <c r="X350" i="1"/>
  <c r="Z287" i="1"/>
  <c r="Z288" i="1"/>
  <c r="X291" i="1"/>
  <c r="DU349" i="1"/>
  <c r="X251" i="1"/>
  <c r="DU333" i="1"/>
  <c r="V342" i="1"/>
  <c r="X342" i="1" s="1"/>
  <c r="X344" i="1"/>
  <c r="DU347" i="1"/>
  <c r="X348" i="1"/>
  <c r="Z351" i="1"/>
  <c r="X301" i="1"/>
  <c r="N329" i="1"/>
  <c r="BH331" i="1"/>
  <c r="DU348" i="1"/>
  <c r="T329" i="1"/>
  <c r="DU340" i="1"/>
  <c r="DU344" i="1"/>
  <c r="X353" i="1"/>
  <c r="X368" i="1"/>
  <c r="BZ86" i="1"/>
  <c r="BZ85" i="1"/>
  <c r="AM31" i="1"/>
  <c r="AM32" i="1" s="1"/>
  <c r="AM33" i="1" s="1"/>
  <c r="AM34" i="1" s="1"/>
  <c r="AM35" i="1" s="1"/>
  <c r="AM36" i="1" s="1"/>
  <c r="AM37" i="1" s="1"/>
  <c r="AM38" i="1" s="1"/>
  <c r="AM39" i="1" s="1"/>
  <c r="AM40" i="1" s="1"/>
  <c r="AM41" i="1" s="1"/>
  <c r="AM42" i="1" s="1"/>
  <c r="AM43" i="1" s="1"/>
  <c r="AM44" i="1" s="1"/>
  <c r="AM45" i="1" s="1"/>
  <c r="AM46" i="1" s="1"/>
  <c r="AM47" i="1" s="1"/>
  <c r="AM48" i="1" s="1"/>
  <c r="AM49" i="1" s="1"/>
  <c r="AM50" i="1" s="1"/>
  <c r="AM51" i="1" s="1"/>
  <c r="AM52" i="1" s="1"/>
  <c r="AM53" i="1" s="1"/>
  <c r="AM54" i="1" s="1"/>
  <c r="AM55" i="1" s="1"/>
  <c r="AM56" i="1" s="1"/>
  <c r="AM57" i="1" s="1"/>
  <c r="AM58" i="1" s="1"/>
  <c r="AM59" i="1" s="1"/>
  <c r="AM60" i="1" s="1"/>
  <c r="AM61" i="1" s="1"/>
  <c r="AM62" i="1" s="1"/>
  <c r="AN30" i="1"/>
  <c r="BQ25" i="1"/>
  <c r="BQ26" i="1" s="1"/>
  <c r="BR24" i="1"/>
  <c r="AR28" i="1"/>
  <c r="AS27" i="1"/>
  <c r="BW26" i="1"/>
  <c r="BV27" i="1"/>
  <c r="DS3" i="1"/>
  <c r="CA27" i="1"/>
  <c r="CA28" i="1" s="1"/>
  <c r="CA29" i="1" s="1"/>
  <c r="CA30" i="1" s="1"/>
  <c r="CA31" i="1" s="1"/>
  <c r="CA32" i="1" s="1"/>
  <c r="CA33" i="1" s="1"/>
  <c r="CA34" i="1" s="1"/>
  <c r="CA35" i="1" s="1"/>
  <c r="CB26" i="1"/>
  <c r="AW27" i="1"/>
  <c r="AX26" i="1"/>
  <c r="CK60" i="1"/>
  <c r="CK59" i="1"/>
  <c r="CK58" i="1"/>
  <c r="CK57" i="1"/>
  <c r="CK52" i="1"/>
  <c r="CK51" i="1"/>
  <c r="CK50" i="1"/>
  <c r="CK49" i="1"/>
  <c r="CK46" i="1"/>
  <c r="CK61" i="1"/>
  <c r="CK48" i="1"/>
  <c r="CK37" i="1"/>
  <c r="CK34" i="1"/>
  <c r="CK30" i="1"/>
  <c r="CK36" i="1"/>
  <c r="CK33" i="1"/>
  <c r="CK26" i="1"/>
  <c r="CK43" i="1"/>
  <c r="CK38" i="1"/>
  <c r="CK35" i="1"/>
  <c r="CK55" i="1"/>
  <c r="CK47" i="1"/>
  <c r="CK29" i="1"/>
  <c r="CK31" i="1"/>
  <c r="CK27" i="1"/>
  <c r="CK62" i="1"/>
  <c r="CK42" i="1"/>
  <c r="CK41" i="1"/>
  <c r="CK28" i="1"/>
  <c r="CK32" i="1"/>
  <c r="CK54" i="1"/>
  <c r="CK40" i="1"/>
  <c r="CK53" i="1"/>
  <c r="CK39" i="1"/>
  <c r="CJ20" i="1"/>
  <c r="CK22" i="1"/>
  <c r="CJ18" i="1"/>
  <c r="CK56" i="1"/>
  <c r="CK45" i="1"/>
  <c r="CK25" i="1"/>
  <c r="CK24" i="1"/>
  <c r="CK23" i="1"/>
  <c r="CK44" i="1"/>
  <c r="BB28" i="1"/>
  <c r="BB29" i="1" s="1"/>
  <c r="BB30" i="1" s="1"/>
  <c r="BB31" i="1" s="1"/>
  <c r="BB32" i="1" s="1"/>
  <c r="BM25" i="1"/>
  <c r="AS25" i="1"/>
  <c r="BR25" i="1"/>
  <c r="AX25" i="1"/>
  <c r="BW25" i="1"/>
  <c r="BH25" i="1"/>
  <c r="R25" i="1"/>
  <c r="AN25" i="1"/>
  <c r="CB25" i="1"/>
  <c r="AI25" i="1"/>
  <c r="CH26" i="1"/>
  <c r="DU2" i="1"/>
  <c r="BG40" i="1"/>
  <c r="BG41" i="1" s="1"/>
  <c r="BG42" i="1" s="1"/>
  <c r="BG43" i="1" s="1"/>
  <c r="BG44" i="1" s="1"/>
  <c r="BG45" i="1" s="1"/>
  <c r="BG46" i="1" s="1"/>
  <c r="BG47" i="1" s="1"/>
  <c r="BG48" i="1" s="1"/>
  <c r="BG49" i="1" s="1"/>
  <c r="BG50" i="1" s="1"/>
  <c r="BG51" i="1" s="1"/>
  <c r="BG52" i="1" s="1"/>
  <c r="BG53" i="1" s="1"/>
  <c r="BG54" i="1" s="1"/>
  <c r="BG55" i="1" s="1"/>
  <c r="BG56" i="1" s="1"/>
  <c r="BG57" i="1" s="1"/>
  <c r="BG58" i="1" s="1"/>
  <c r="BG59" i="1" s="1"/>
  <c r="BG60" i="1" s="1"/>
  <c r="BG61" i="1" s="1"/>
  <c r="BG62" i="1" s="1"/>
  <c r="BH39" i="1"/>
  <c r="AX22" i="1"/>
  <c r="BH35" i="1"/>
  <c r="AL83" i="1"/>
  <c r="AL82" i="1"/>
  <c r="AL84" i="1" s="1"/>
  <c r="AI26" i="1"/>
  <c r="AH27" i="1"/>
  <c r="BL25" i="1"/>
  <c r="BL26" i="1" s="1"/>
  <c r="BL27" i="1" s="1"/>
  <c r="BM24" i="1"/>
  <c r="BM23" i="1"/>
  <c r="AS23" i="1"/>
  <c r="BR23" i="1"/>
  <c r="AX23" i="1"/>
  <c r="N20" i="1"/>
  <c r="M20" i="1" s="1"/>
  <c r="R23" i="1"/>
  <c r="BW23" i="1"/>
  <c r="AN23" i="1"/>
  <c r="AI23" i="1"/>
  <c r="BH23" i="1"/>
  <c r="CB23" i="1"/>
  <c r="R40" i="1"/>
  <c r="BH40" i="1"/>
  <c r="CH35" i="1"/>
  <c r="T20" i="1"/>
  <c r="AC78" i="1"/>
  <c r="AC79" i="1"/>
  <c r="BZ78" i="1"/>
  <c r="CB78" i="1" s="1"/>
  <c r="CN9" i="1"/>
  <c r="BR22" i="1"/>
  <c r="AC23" i="1"/>
  <c r="K37" i="1"/>
  <c r="BH33" i="1"/>
  <c r="AN33" i="1"/>
  <c r="R33" i="1"/>
  <c r="R39" i="1"/>
  <c r="AN39" i="1"/>
  <c r="DU46" i="1"/>
  <c r="X50" i="1"/>
  <c r="BW78" i="1"/>
  <c r="BH78" i="1"/>
  <c r="BC78" i="1"/>
  <c r="R78" i="1"/>
  <c r="AN78" i="1"/>
  <c r="BM78" i="1"/>
  <c r="AG79" i="1"/>
  <c r="BM22" i="1"/>
  <c r="DU22" i="1"/>
  <c r="V23" i="1"/>
  <c r="AN35" i="1"/>
  <c r="R35" i="1"/>
  <c r="BH41" i="1"/>
  <c r="AN41" i="1"/>
  <c r="DY22" i="1"/>
  <c r="BW24" i="1"/>
  <c r="AI24" i="1"/>
  <c r="CB24" i="1"/>
  <c r="BH24" i="1"/>
  <c r="AN24" i="1"/>
  <c r="R24" i="1"/>
  <c r="CN10" i="1"/>
  <c r="AN26" i="1"/>
  <c r="R26" i="1"/>
  <c r="BH26" i="1"/>
  <c r="AS26" i="1"/>
  <c r="BM26" i="1"/>
  <c r="AX24" i="1"/>
  <c r="DU27" i="1"/>
  <c r="DU34" i="1"/>
  <c r="X47" i="1"/>
  <c r="DU60" i="1"/>
  <c r="BL81" i="1"/>
  <c r="BL80" i="1"/>
  <c r="BM80" i="1" s="1"/>
  <c r="BZ80" i="1"/>
  <c r="R89" i="1"/>
  <c r="BW22" i="1"/>
  <c r="AI22" i="1"/>
  <c r="CB22" i="1"/>
  <c r="BH22" i="1"/>
  <c r="AN22" i="1"/>
  <c r="R22" i="1"/>
  <c r="CB27" i="1"/>
  <c r="DU28" i="1"/>
  <c r="BA22" i="1"/>
  <c r="DY23" i="1"/>
  <c r="DY26" i="1"/>
  <c r="AN29" i="1"/>
  <c r="R29" i="1"/>
  <c r="BH29" i="1"/>
  <c r="CB29" i="1"/>
  <c r="DU45" i="1"/>
  <c r="BP78" i="1"/>
  <c r="BP79" i="1"/>
  <c r="AH78" i="1"/>
  <c r="AI78" i="1" s="1"/>
  <c r="R82" i="1"/>
  <c r="AX77" i="1"/>
  <c r="BC77" i="1"/>
  <c r="N75" i="1"/>
  <c r="M75" i="1" s="1"/>
  <c r="CB77" i="1"/>
  <c r="R77" i="1"/>
  <c r="BW77" i="1"/>
  <c r="BR77" i="1"/>
  <c r="AN77" i="1"/>
  <c r="BH77" i="1"/>
  <c r="BF81" i="1"/>
  <c r="BF80" i="1"/>
  <c r="V29" i="1"/>
  <c r="X29" i="1" s="1"/>
  <c r="CB32" i="1"/>
  <c r="K36" i="1"/>
  <c r="K38" i="1"/>
  <c r="AR79" i="1"/>
  <c r="AR78" i="1"/>
  <c r="R85" i="1"/>
  <c r="R87" i="1"/>
  <c r="AN36" i="1"/>
  <c r="R36" i="1"/>
  <c r="BH36" i="1"/>
  <c r="AN38" i="1"/>
  <c r="AV77" i="1"/>
  <c r="CH96" i="1"/>
  <c r="AI77" i="1"/>
  <c r="BK82" i="1"/>
  <c r="BK84" i="1" s="1"/>
  <c r="BK83" i="1"/>
  <c r="X83" i="1"/>
  <c r="X52" i="1"/>
  <c r="BA85" i="1"/>
  <c r="BA86" i="1"/>
  <c r="R96" i="1"/>
  <c r="Z40" i="1"/>
  <c r="X40" i="1"/>
  <c r="AM81" i="1"/>
  <c r="AM80" i="1"/>
  <c r="AN80" i="1" s="1"/>
  <c r="BH79" i="1"/>
  <c r="AN79" i="1"/>
  <c r="R79" i="1"/>
  <c r="AS79" i="1"/>
  <c r="BW79" i="1"/>
  <c r="BM79" i="1"/>
  <c r="BC79" i="1"/>
  <c r="DY43" i="1"/>
  <c r="DY45" i="1"/>
  <c r="DY25" i="1"/>
  <c r="DU39" i="1"/>
  <c r="R41" i="1"/>
  <c r="CH90" i="1"/>
  <c r="CF75" i="1"/>
  <c r="AB77" i="1"/>
  <c r="AD77" i="1" s="1"/>
  <c r="AS77" i="1"/>
  <c r="BZ83" i="1"/>
  <c r="CB31" i="1"/>
  <c r="AS24" i="1"/>
  <c r="AS22" i="1"/>
  <c r="BH34" i="1"/>
  <c r="AN34" i="1"/>
  <c r="R34" i="1"/>
  <c r="AN37" i="1"/>
  <c r="R37" i="1"/>
  <c r="BH37" i="1"/>
  <c r="X54" i="1"/>
  <c r="AH80" i="1"/>
  <c r="AH81" i="1"/>
  <c r="CH81" i="1"/>
  <c r="BK80" i="1"/>
  <c r="R81" i="1"/>
  <c r="AN81" i="1"/>
  <c r="Z48" i="1"/>
  <c r="AQ78" i="1"/>
  <c r="AQ79" i="1"/>
  <c r="X78" i="1"/>
  <c r="DU78" i="1"/>
  <c r="AW79" i="1"/>
  <c r="BC80" i="1"/>
  <c r="DU80" i="1"/>
  <c r="Z81" i="1"/>
  <c r="V81" i="1"/>
  <c r="X81" i="1" s="1"/>
  <c r="BU116" i="1"/>
  <c r="BU115" i="1"/>
  <c r="BW115" i="1" s="1"/>
  <c r="AL117" i="1"/>
  <c r="AL118" i="1"/>
  <c r="BB118" i="1"/>
  <c r="BC116" i="1"/>
  <c r="BB117" i="1"/>
  <c r="BH27" i="1"/>
  <c r="BH31" i="1"/>
  <c r="DY44" i="1"/>
  <c r="V26" i="1"/>
  <c r="X26" i="1" s="1"/>
  <c r="R27" i="1"/>
  <c r="AN27" i="1"/>
  <c r="R28" i="1"/>
  <c r="AN28" i="1"/>
  <c r="CB30" i="1"/>
  <c r="R31" i="1"/>
  <c r="AN31" i="1"/>
  <c r="R32" i="1"/>
  <c r="AN32" i="1"/>
  <c r="DZ44" i="1"/>
  <c r="X49" i="1"/>
  <c r="Z78" i="1"/>
  <c r="BG82" i="1"/>
  <c r="BG84" i="1" s="1"/>
  <c r="R86" i="1"/>
  <c r="R91" i="1"/>
  <c r="AQ115" i="1"/>
  <c r="AQ116" i="1"/>
  <c r="BZ116" i="1"/>
  <c r="DU26" i="1"/>
  <c r="BH28" i="1"/>
  <c r="BH32" i="1"/>
  <c r="BH30" i="1"/>
  <c r="Z37" i="1"/>
  <c r="Z53" i="1"/>
  <c r="BG80" i="1"/>
  <c r="BH80" i="1" s="1"/>
  <c r="V89" i="1"/>
  <c r="X89" i="1" s="1"/>
  <c r="Z89" i="1"/>
  <c r="Z118" i="1"/>
  <c r="V118" i="1"/>
  <c r="X118" i="1" s="1"/>
  <c r="R125" i="1"/>
  <c r="BQ79" i="1"/>
  <c r="BQ78" i="1"/>
  <c r="DU88" i="1"/>
  <c r="K96" i="1"/>
  <c r="DU96" i="1"/>
  <c r="CF112" i="1"/>
  <c r="AB114" i="1"/>
  <c r="CH127" i="1"/>
  <c r="DU90" i="1"/>
  <c r="AC116" i="1"/>
  <c r="AC115" i="1"/>
  <c r="BF116" i="1"/>
  <c r="BF115" i="1"/>
  <c r="R88" i="1"/>
  <c r="BG116" i="1"/>
  <c r="BG115" i="1"/>
  <c r="BH115" i="1" s="1"/>
  <c r="K75" i="1"/>
  <c r="BU81" i="1"/>
  <c r="R83" i="1"/>
  <c r="R84" i="1"/>
  <c r="V84" i="1"/>
  <c r="X84" i="1" s="1"/>
  <c r="Z84" i="1"/>
  <c r="BH38" i="1"/>
  <c r="BV80" i="1"/>
  <c r="BW80" i="1" s="1"/>
  <c r="BV81" i="1"/>
  <c r="V83" i="1"/>
  <c r="DU83" i="1"/>
  <c r="X90" i="1"/>
  <c r="AM117" i="1"/>
  <c r="AN117" i="1" s="1"/>
  <c r="AM118" i="1"/>
  <c r="R114" i="1"/>
  <c r="N112" i="1"/>
  <c r="M112" i="1" s="1"/>
  <c r="BM114" i="1"/>
  <c r="BC114" i="1"/>
  <c r="CB114" i="1"/>
  <c r="BW114" i="1"/>
  <c r="AX114" i="1"/>
  <c r="AN114" i="1"/>
  <c r="AI114" i="1"/>
  <c r="BH114" i="1"/>
  <c r="AS114" i="1"/>
  <c r="BR114" i="1"/>
  <c r="R80" i="1"/>
  <c r="Z83" i="1"/>
  <c r="R38" i="1"/>
  <c r="Z77" i="1"/>
  <c r="B25" i="1"/>
  <c r="CB28" i="1"/>
  <c r="Z62" i="1"/>
  <c r="V77" i="1"/>
  <c r="BB81" i="1"/>
  <c r="DU82" i="1"/>
  <c r="Z90" i="1"/>
  <c r="BA118" i="1"/>
  <c r="BA117" i="1"/>
  <c r="DU97" i="1"/>
  <c r="BK117" i="1"/>
  <c r="BK118" i="1"/>
  <c r="AR115" i="1"/>
  <c r="AS115" i="1" s="1"/>
  <c r="AR116" i="1"/>
  <c r="BL115" i="1"/>
  <c r="BM115" i="1" s="1"/>
  <c r="BL116" i="1"/>
  <c r="AM170" i="1"/>
  <c r="AM169" i="1"/>
  <c r="AN169" i="1" s="1"/>
  <c r="DY42" i="1"/>
  <c r="X86" i="1"/>
  <c r="X92" i="1"/>
  <c r="AG116" i="1"/>
  <c r="AG115" i="1"/>
  <c r="AI115" i="1" s="1"/>
  <c r="R129" i="1"/>
  <c r="R117" i="1"/>
  <c r="V82" i="1"/>
  <c r="X82" i="1" s="1"/>
  <c r="Z82" i="1"/>
  <c r="X87" i="1"/>
  <c r="CA118" i="1"/>
  <c r="CB116" i="1"/>
  <c r="CA117" i="1"/>
  <c r="BQ118" i="1"/>
  <c r="BQ117" i="1"/>
  <c r="DU114" i="1"/>
  <c r="V115" i="1"/>
  <c r="X115" i="1" s="1"/>
  <c r="DU128" i="1"/>
  <c r="BV171" i="1"/>
  <c r="BV172" i="1"/>
  <c r="BW172" i="1" s="1"/>
  <c r="BK170" i="1"/>
  <c r="BK169" i="1"/>
  <c r="X57" i="1"/>
  <c r="Z85" i="1"/>
  <c r="AN116" i="1"/>
  <c r="Z139" i="1"/>
  <c r="BC115" i="1"/>
  <c r="CB115" i="1"/>
  <c r="AX116" i="1"/>
  <c r="BR116" i="1"/>
  <c r="R122" i="1"/>
  <c r="DU124" i="1"/>
  <c r="AS169" i="1"/>
  <c r="CB169" i="1"/>
  <c r="BC169" i="1"/>
  <c r="R169" i="1"/>
  <c r="AX169" i="1"/>
  <c r="AX172" i="1"/>
  <c r="R172" i="1"/>
  <c r="CB172" i="1"/>
  <c r="M174" i="1"/>
  <c r="N174" i="1" s="1"/>
  <c r="Z174" i="1"/>
  <c r="K174" i="1"/>
  <c r="CK174" i="1"/>
  <c r="BV116" i="1"/>
  <c r="Z136" i="1"/>
  <c r="X136" i="1"/>
  <c r="CK206" i="1"/>
  <c r="CK204" i="1"/>
  <c r="CK198" i="1"/>
  <c r="CK192" i="1"/>
  <c r="CK201" i="1"/>
  <c r="CK190" i="1"/>
  <c r="CK196" i="1"/>
  <c r="CK193" i="1"/>
  <c r="CK199" i="1"/>
  <c r="CK195" i="1"/>
  <c r="CK203" i="1"/>
  <c r="CK194" i="1"/>
  <c r="CK197" i="1"/>
  <c r="CK186" i="1"/>
  <c r="CK208" i="1"/>
  <c r="CK200" i="1"/>
  <c r="CK183" i="1"/>
  <c r="CK207" i="1"/>
  <c r="CK205" i="1"/>
  <c r="CK189" i="1"/>
  <c r="CJ166" i="1"/>
  <c r="CK187" i="1"/>
  <c r="CK202" i="1"/>
  <c r="CK191" i="1"/>
  <c r="CK181" i="1"/>
  <c r="CJ164" i="1"/>
  <c r="CK180" i="1"/>
  <c r="CK188" i="1"/>
  <c r="CK185" i="1"/>
  <c r="CK171" i="1"/>
  <c r="CK168" i="1"/>
  <c r="CK169" i="1"/>
  <c r="CK184" i="1"/>
  <c r="CK175" i="1"/>
  <c r="CK172" i="1"/>
  <c r="CK179" i="1"/>
  <c r="AC170" i="1"/>
  <c r="AC169" i="1"/>
  <c r="BP116" i="1"/>
  <c r="BP115" i="1"/>
  <c r="BR115" i="1" s="1"/>
  <c r="X116" i="1"/>
  <c r="AW116" i="1"/>
  <c r="R118" i="1"/>
  <c r="R127" i="1"/>
  <c r="R132" i="1"/>
  <c r="BF169" i="1"/>
  <c r="BF170" i="1"/>
  <c r="BZ172" i="1"/>
  <c r="BZ171" i="1"/>
  <c r="X173" i="1"/>
  <c r="Z173" i="1"/>
  <c r="R120" i="1"/>
  <c r="R123" i="1"/>
  <c r="X131" i="1"/>
  <c r="CA175" i="1"/>
  <c r="CA176" i="1"/>
  <c r="V120" i="1"/>
  <c r="X120" i="1" s="1"/>
  <c r="R126" i="1"/>
  <c r="CH133" i="1"/>
  <c r="Z114" i="1"/>
  <c r="V114" i="1"/>
  <c r="K119" i="1"/>
  <c r="Z120" i="1"/>
  <c r="Z126" i="1"/>
  <c r="V126" i="1"/>
  <c r="X126" i="1" s="1"/>
  <c r="DU126" i="1"/>
  <c r="AN115" i="1"/>
  <c r="AL174" i="1"/>
  <c r="AL173" i="1"/>
  <c r="AV176" i="1"/>
  <c r="AV175" i="1"/>
  <c r="AV118" i="1"/>
  <c r="AV117" i="1"/>
  <c r="R124" i="1"/>
  <c r="Z125" i="1"/>
  <c r="V125" i="1"/>
  <c r="X125" i="1" s="1"/>
  <c r="DU125" i="1"/>
  <c r="X97" i="1"/>
  <c r="R115" i="1"/>
  <c r="AI116" i="1"/>
  <c r="R119" i="1"/>
  <c r="AQ171" i="1"/>
  <c r="AQ172" i="1"/>
  <c r="V166" i="1"/>
  <c r="X170" i="1"/>
  <c r="BA174" i="1"/>
  <c r="CK182" i="1"/>
  <c r="DU93" i="1"/>
  <c r="AV115" i="1"/>
  <c r="AX115" i="1" s="1"/>
  <c r="R121" i="1"/>
  <c r="AB168" i="1"/>
  <c r="BG170" i="1"/>
  <c r="BG169" i="1"/>
  <c r="BH169" i="1" s="1"/>
  <c r="BU169" i="1"/>
  <c r="BW169" i="1" s="1"/>
  <c r="Z170" i="1"/>
  <c r="M170" i="1"/>
  <c r="N170" i="1" s="1"/>
  <c r="N166" i="1" s="1"/>
  <c r="M166" i="1" s="1"/>
  <c r="CK170" i="1"/>
  <c r="X180" i="1"/>
  <c r="Z180" i="1"/>
  <c r="BL170" i="1"/>
  <c r="BL169" i="1"/>
  <c r="CH181" i="1"/>
  <c r="BB171" i="1"/>
  <c r="BB172" i="1"/>
  <c r="X127" i="1"/>
  <c r="X130" i="1"/>
  <c r="X135" i="1"/>
  <c r="T166" i="1"/>
  <c r="AL171" i="1"/>
  <c r="R178" i="1"/>
  <c r="AS168" i="1"/>
  <c r="BQ172" i="1"/>
  <c r="BQ171" i="1"/>
  <c r="AB225" i="1"/>
  <c r="AB224" i="1"/>
  <c r="AD224" i="1" s="1"/>
  <c r="Z127" i="1"/>
  <c r="X129" i="1"/>
  <c r="Z130" i="1"/>
  <c r="X137" i="1"/>
  <c r="X143" i="1"/>
  <c r="BR168" i="1"/>
  <c r="AX168" i="1"/>
  <c r="AD168" i="1"/>
  <c r="BH168" i="1"/>
  <c r="BM168" i="1"/>
  <c r="AN168" i="1"/>
  <c r="CB168" i="1"/>
  <c r="CA171" i="1"/>
  <c r="CA173" i="1"/>
  <c r="BQ226" i="1"/>
  <c r="BQ227" i="1"/>
  <c r="CH187" i="1"/>
  <c r="AH170" i="1"/>
  <c r="X172" i="1"/>
  <c r="CK173" i="1"/>
  <c r="K173" i="1"/>
  <c r="CH172" i="1" s="1"/>
  <c r="CK176" i="1"/>
  <c r="M176" i="1"/>
  <c r="N176" i="1" s="1"/>
  <c r="K176" i="1"/>
  <c r="X178" i="1"/>
  <c r="CK178" i="1"/>
  <c r="V123" i="1"/>
  <c r="X123" i="1" s="1"/>
  <c r="X142" i="1"/>
  <c r="X149" i="1"/>
  <c r="X168" i="1"/>
  <c r="M171" i="1"/>
  <c r="N171" i="1" s="1"/>
  <c r="BU172" i="1"/>
  <c r="CK177" i="1"/>
  <c r="BC168" i="1"/>
  <c r="AR170" i="1"/>
  <c r="AW171" i="1"/>
  <c r="M173" i="1"/>
  <c r="N173" i="1" s="1"/>
  <c r="Z176" i="1"/>
  <c r="X176" i="1"/>
  <c r="Z179" i="1"/>
  <c r="AG170" i="1"/>
  <c r="AG169" i="1"/>
  <c r="AI169" i="1" s="1"/>
  <c r="BP169" i="1"/>
  <c r="BR169" i="1" s="1"/>
  <c r="BP170" i="1"/>
  <c r="R177" i="1"/>
  <c r="X148" i="1"/>
  <c r="R181" i="1"/>
  <c r="X186" i="1"/>
  <c r="Z186" i="1"/>
  <c r="BV224" i="1"/>
  <c r="BW223" i="1"/>
  <c r="BV225" i="1"/>
  <c r="BC223" i="1"/>
  <c r="BB225" i="1"/>
  <c r="BB224" i="1"/>
  <c r="BU225" i="1"/>
  <c r="BU224" i="1"/>
  <c r="R184" i="1"/>
  <c r="AX224" i="1"/>
  <c r="AV228" i="1"/>
  <c r="AV229" i="1"/>
  <c r="X204" i="1"/>
  <c r="Z204" i="1"/>
  <c r="CA225" i="1"/>
  <c r="CA224" i="1"/>
  <c r="CB224" i="1" s="1"/>
  <c r="CB223" i="1"/>
  <c r="BA225" i="1"/>
  <c r="BA224" i="1"/>
  <c r="BH223" i="1"/>
  <c r="BG225" i="1"/>
  <c r="AV226" i="1"/>
  <c r="Z228" i="1"/>
  <c r="X228" i="1"/>
  <c r="R229" i="1"/>
  <c r="R230" i="1"/>
  <c r="Z196" i="1"/>
  <c r="AN223" i="1"/>
  <c r="X229" i="1"/>
  <c r="Z229" i="1"/>
  <c r="X190" i="1"/>
  <c r="X202" i="1"/>
  <c r="AN226" i="1"/>
  <c r="Z201" i="1"/>
  <c r="X201" i="1"/>
  <c r="AQ225" i="1"/>
  <c r="AQ224" i="1"/>
  <c r="AC226" i="1"/>
  <c r="AC227" i="1"/>
  <c r="AD225" i="1"/>
  <c r="BZ225" i="1"/>
  <c r="AR224" i="1"/>
  <c r="AR225" i="1"/>
  <c r="M223" i="1"/>
  <c r="H221" i="1"/>
  <c r="AX223" i="1"/>
  <c r="AV224" i="1"/>
  <c r="AL229" i="1"/>
  <c r="AL228" i="1"/>
  <c r="AN225" i="1"/>
  <c r="AM226" i="1"/>
  <c r="Z239" i="1"/>
  <c r="BQ224" i="1"/>
  <c r="BR223" i="1"/>
  <c r="X223" i="1"/>
  <c r="T221" i="1"/>
  <c r="AW225" i="1"/>
  <c r="M235" i="1"/>
  <c r="N235" i="1" s="1"/>
  <c r="K235" i="1"/>
  <c r="K221" i="1" s="1"/>
  <c r="Z281" i="1"/>
  <c r="X281" i="1"/>
  <c r="X198" i="1"/>
  <c r="Z198" i="1"/>
  <c r="Z223" i="1"/>
  <c r="BP225" i="1"/>
  <c r="BP224" i="1"/>
  <c r="BW278" i="1"/>
  <c r="BK281" i="1"/>
  <c r="BK280" i="1"/>
  <c r="BG224" i="1"/>
  <c r="X227" i="1"/>
  <c r="Z235" i="1"/>
  <c r="R238" i="1"/>
  <c r="AV279" i="1"/>
  <c r="AV278" i="1"/>
  <c r="AH225" i="1"/>
  <c r="AH224" i="1"/>
  <c r="AG229" i="1"/>
  <c r="AG228" i="1"/>
  <c r="K229" i="1"/>
  <c r="Z200" i="1"/>
  <c r="X200" i="1"/>
  <c r="BF223" i="1"/>
  <c r="CH242" i="1"/>
  <c r="Z224" i="1"/>
  <c r="AM227" i="1"/>
  <c r="R228" i="1"/>
  <c r="M232" i="1"/>
  <c r="N232" i="1" s="1"/>
  <c r="Z232" i="1"/>
  <c r="R234" i="1"/>
  <c r="R237" i="1"/>
  <c r="AW278" i="1"/>
  <c r="AX278" i="1" s="1"/>
  <c r="AX277" i="1"/>
  <c r="AW279" i="1"/>
  <c r="M224" i="1"/>
  <c r="R240" i="1"/>
  <c r="R239" i="1"/>
  <c r="AB279" i="1"/>
  <c r="AB278" i="1"/>
  <c r="X238" i="1"/>
  <c r="R242" i="1"/>
  <c r="AC278" i="1"/>
  <c r="AD278" i="1" s="1"/>
  <c r="AC279" i="1"/>
  <c r="AD277" i="1"/>
  <c r="AI277" i="1"/>
  <c r="AH279" i="1"/>
  <c r="AH278" i="1"/>
  <c r="AI278" i="1" s="1"/>
  <c r="CF221" i="1"/>
  <c r="CH236" i="1"/>
  <c r="BK225" i="1"/>
  <c r="BK224" i="1"/>
  <c r="BM224" i="1" s="1"/>
  <c r="AD223" i="1"/>
  <c r="AG224" i="1"/>
  <c r="Z226" i="1"/>
  <c r="R241" i="1"/>
  <c r="BL225" i="1"/>
  <c r="BU278" i="1"/>
  <c r="BU279" i="1"/>
  <c r="BZ278" i="1"/>
  <c r="CB278" i="1" s="1"/>
  <c r="V275" i="1"/>
  <c r="K286" i="1"/>
  <c r="Z286" i="1"/>
  <c r="M286" i="1"/>
  <c r="N286" i="1" s="1"/>
  <c r="R287" i="1"/>
  <c r="X240" i="1"/>
  <c r="X242" i="1"/>
  <c r="AL278" i="1"/>
  <c r="AN278" i="1" s="1"/>
  <c r="AG279" i="1"/>
  <c r="Z285" i="1"/>
  <c r="X285" i="1"/>
  <c r="BG278" i="1"/>
  <c r="BH278" i="1" s="1"/>
  <c r="BG279" i="1"/>
  <c r="BP279" i="1"/>
  <c r="BP278" i="1"/>
  <c r="BR278" i="1" s="1"/>
  <c r="AL279" i="1"/>
  <c r="AN279" i="1" s="1"/>
  <c r="AM281" i="1"/>
  <c r="AM280" i="1"/>
  <c r="BZ285" i="1"/>
  <c r="BZ284" i="1"/>
  <c r="R288" i="1"/>
  <c r="R289" i="1"/>
  <c r="X237" i="1"/>
  <c r="R243" i="1"/>
  <c r="AQ279" i="1"/>
  <c r="Z243" i="1"/>
  <c r="X243" i="1"/>
  <c r="X257" i="1"/>
  <c r="Z259" i="1"/>
  <c r="X259" i="1"/>
  <c r="AR279" i="1"/>
  <c r="AS277" i="1"/>
  <c r="AR278" i="1"/>
  <c r="AS278" i="1" s="1"/>
  <c r="BL279" i="1"/>
  <c r="BM277" i="1"/>
  <c r="BL278" i="1"/>
  <c r="BM278" i="1" s="1"/>
  <c r="BA278" i="1"/>
  <c r="BF282" i="1"/>
  <c r="BF283" i="1"/>
  <c r="M282" i="1"/>
  <c r="N282" i="1" s="1"/>
  <c r="K282" i="1"/>
  <c r="CH281" i="1" s="1"/>
  <c r="R283" i="1"/>
  <c r="Z253" i="1"/>
  <c r="X253" i="1"/>
  <c r="BW277" i="1"/>
  <c r="BV279" i="1"/>
  <c r="BC278" i="1"/>
  <c r="Z247" i="1"/>
  <c r="X247" i="1"/>
  <c r="CH290" i="1"/>
  <c r="CF275" i="1"/>
  <c r="CK277" i="1" s="1"/>
  <c r="CH296" i="1"/>
  <c r="Z278" i="1"/>
  <c r="X278" i="1"/>
  <c r="R281" i="1"/>
  <c r="M279" i="1"/>
  <c r="BQ280" i="1"/>
  <c r="BQ281" i="1"/>
  <c r="BA280" i="1"/>
  <c r="BA281" i="1"/>
  <c r="Z277" i="1"/>
  <c r="X277" i="1"/>
  <c r="T275" i="1"/>
  <c r="BC277" i="1"/>
  <c r="BB279" i="1"/>
  <c r="CA279" i="1"/>
  <c r="Z282" i="1"/>
  <c r="R293" i="1"/>
  <c r="AM334" i="1"/>
  <c r="AN334" i="1" s="1"/>
  <c r="AM335" i="1"/>
  <c r="BQ335" i="1"/>
  <c r="BQ334" i="1"/>
  <c r="CK287" i="1"/>
  <c r="Z289" i="1"/>
  <c r="R295" i="1"/>
  <c r="AQ333" i="1"/>
  <c r="AS333" i="1" s="1"/>
  <c r="AQ332" i="1"/>
  <c r="M280" i="1"/>
  <c r="R294" i="1"/>
  <c r="AR335" i="1"/>
  <c r="AR334" i="1"/>
  <c r="CA332" i="1"/>
  <c r="CB332" i="1" s="1"/>
  <c r="CA333" i="1"/>
  <c r="CB333" i="1" s="1"/>
  <c r="K287" i="1"/>
  <c r="X294" i="1"/>
  <c r="CK288" i="1"/>
  <c r="R292" i="1"/>
  <c r="X279" i="1"/>
  <c r="CK289" i="1"/>
  <c r="AH332" i="1"/>
  <c r="AH333" i="1"/>
  <c r="AI331" i="1"/>
  <c r="X305" i="1"/>
  <c r="AD332" i="1"/>
  <c r="BQ332" i="1"/>
  <c r="BR332" i="1" s="1"/>
  <c r="R333" i="1"/>
  <c r="Z311" i="1"/>
  <c r="AG331" i="1"/>
  <c r="CH344" i="1"/>
  <c r="AB332" i="1"/>
  <c r="AB333" i="1"/>
  <c r="BV335" i="1"/>
  <c r="BV334" i="1"/>
  <c r="R290" i="1"/>
  <c r="X304" i="1"/>
  <c r="AC332" i="1"/>
  <c r="AC333" i="1"/>
  <c r="V332" i="1"/>
  <c r="BW333" i="1"/>
  <c r="X293" i="1"/>
  <c r="R296" i="1"/>
  <c r="X302" i="1"/>
  <c r="BF332" i="1"/>
  <c r="BF333" i="1"/>
  <c r="Z332" i="1"/>
  <c r="DU339" i="1"/>
  <c r="R297" i="1"/>
  <c r="AM332" i="1"/>
  <c r="AN332" i="1" s="1"/>
  <c r="X312" i="1"/>
  <c r="Z312" i="1"/>
  <c r="M329" i="1"/>
  <c r="BL332" i="1"/>
  <c r="BM332" i="1" s="1"/>
  <c r="BL333" i="1"/>
  <c r="BM333" i="1" s="1"/>
  <c r="BB332" i="1"/>
  <c r="BC332" i="1" s="1"/>
  <c r="BB333" i="1"/>
  <c r="AR332" i="1"/>
  <c r="AS332" i="1" s="1"/>
  <c r="X308" i="1"/>
  <c r="BG332" i="1"/>
  <c r="BH332" i="1" s="1"/>
  <c r="BG333" i="1"/>
  <c r="AW333" i="1"/>
  <c r="AL336" i="1"/>
  <c r="AL337" i="1"/>
  <c r="R336" i="1"/>
  <c r="CB331" i="1"/>
  <c r="X298" i="1"/>
  <c r="Z308" i="1"/>
  <c r="K334" i="1"/>
  <c r="CH335" i="1" s="1"/>
  <c r="DU334" i="1"/>
  <c r="CF329" i="1"/>
  <c r="BA332" i="1"/>
  <c r="BA333" i="1"/>
  <c r="BU332" i="1"/>
  <c r="BW332" i="1" s="1"/>
  <c r="BU333" i="1"/>
  <c r="AN333" i="1"/>
  <c r="BK337" i="1"/>
  <c r="BK336" i="1"/>
  <c r="BZ335" i="1"/>
  <c r="AN331" i="1"/>
  <c r="R334" i="1"/>
  <c r="V336" i="1"/>
  <c r="X336" i="1" s="1"/>
  <c r="X315" i="1"/>
  <c r="V334" i="1"/>
  <c r="X334" i="1" s="1"/>
  <c r="R335" i="1"/>
  <c r="R342" i="1"/>
  <c r="AS331" i="1"/>
  <c r="CH350" i="1"/>
  <c r="X331" i="1"/>
  <c r="AV331" i="1"/>
  <c r="AX331" i="1" s="1"/>
  <c r="BR331" i="1"/>
  <c r="BP333" i="1"/>
  <c r="BR333" i="1" s="1"/>
  <c r="DU335" i="1"/>
  <c r="R337" i="1"/>
  <c r="X306" i="1"/>
  <c r="AD331" i="1"/>
  <c r="BC331" i="1"/>
  <c r="R343" i="1"/>
  <c r="DU346" i="1"/>
  <c r="DU342" i="1"/>
  <c r="V343" i="1"/>
  <c r="X343" i="1" s="1"/>
  <c r="Z341" i="1"/>
  <c r="X341" i="1"/>
  <c r="Z352" i="1"/>
  <c r="X352" i="1"/>
  <c r="R344" i="1"/>
  <c r="DU345" i="1"/>
  <c r="Z356" i="1"/>
  <c r="X357" i="1"/>
  <c r="Z362" i="1"/>
  <c r="X363" i="1"/>
  <c r="Z368" i="1"/>
  <c r="R349" i="1"/>
  <c r="DU369" i="1"/>
  <c r="Z358" i="1"/>
  <c r="X359" i="1"/>
  <c r="Z364" i="1"/>
  <c r="X365" i="1"/>
  <c r="R347" i="1"/>
  <c r="X349" i="1"/>
  <c r="X354" i="1"/>
  <c r="Z359" i="1"/>
  <c r="X360" i="1"/>
  <c r="Z365" i="1"/>
  <c r="X366" i="1"/>
  <c r="X346" i="1"/>
  <c r="R350" i="1"/>
  <c r="Z354" i="1"/>
  <c r="X355" i="1"/>
  <c r="Z360" i="1"/>
  <c r="X361" i="1"/>
  <c r="Z366" i="1"/>
  <c r="X367" i="1"/>
  <c r="Z369" i="1"/>
  <c r="X369" i="1"/>
  <c r="X370" i="1"/>
  <c r="K329" i="1" l="1"/>
  <c r="CH338" i="1" s="1"/>
  <c r="AN118" i="1"/>
  <c r="AH118" i="1"/>
  <c r="AH117" i="1"/>
  <c r="Z329" i="1"/>
  <c r="BM169" i="1"/>
  <c r="CK279" i="1"/>
  <c r="CH227" i="1"/>
  <c r="CB34" i="1"/>
  <c r="DU5" i="1"/>
  <c r="K20" i="1"/>
  <c r="CH29" i="1" s="1"/>
  <c r="CH24" i="1" s="1"/>
  <c r="CA80" i="1"/>
  <c r="CB80" i="1" s="1"/>
  <c r="CA81" i="1"/>
  <c r="CK280" i="1"/>
  <c r="CK286" i="1"/>
  <c r="Z166" i="1"/>
  <c r="CB33" i="1"/>
  <c r="AW173" i="1"/>
  <c r="AW174" i="1"/>
  <c r="BR335" i="1"/>
  <c r="CH27" i="1"/>
  <c r="CH28" i="1"/>
  <c r="J20" i="1"/>
  <c r="BA282" i="1"/>
  <c r="BA283" i="1"/>
  <c r="BF285" i="1"/>
  <c r="BF284" i="1"/>
  <c r="V329" i="1"/>
  <c r="AG332" i="1"/>
  <c r="AI332" i="1" s="1"/>
  <c r="AG333" i="1"/>
  <c r="BZ287" i="1"/>
  <c r="BZ286" i="1"/>
  <c r="BG281" i="1"/>
  <c r="BG280" i="1"/>
  <c r="BH280" i="1" s="1"/>
  <c r="BH279" i="1"/>
  <c r="BK227" i="1"/>
  <c r="BK226" i="1"/>
  <c r="Z221" i="1"/>
  <c r="AS224" i="1"/>
  <c r="R176" i="1"/>
  <c r="BA175" i="1"/>
  <c r="BA176" i="1"/>
  <c r="BK120" i="1"/>
  <c r="BK119" i="1"/>
  <c r="B26" i="1"/>
  <c r="BU117" i="1"/>
  <c r="BU118" i="1"/>
  <c r="BL28" i="1"/>
  <c r="BM27" i="1"/>
  <c r="BP281" i="1"/>
  <c r="BP280" i="1"/>
  <c r="BP226" i="1"/>
  <c r="BP227" i="1"/>
  <c r="AR226" i="1"/>
  <c r="AS226" i="1" s="1"/>
  <c r="AS225" i="1"/>
  <c r="AR227" i="1"/>
  <c r="CH230" i="1"/>
  <c r="CH229" i="1"/>
  <c r="CH225" i="1" s="1"/>
  <c r="CH228" i="1"/>
  <c r="J221" i="1"/>
  <c r="AB116" i="1"/>
  <c r="AD116" i="1" s="1"/>
  <c r="AB115" i="1"/>
  <c r="AD115" i="1" s="1"/>
  <c r="AD114" i="1"/>
  <c r="AL338" i="1"/>
  <c r="AL339" i="1"/>
  <c r="X332" i="1"/>
  <c r="X329" i="1" s="1"/>
  <c r="AR337" i="1"/>
  <c r="AR336" i="1"/>
  <c r="AQ281" i="1"/>
  <c r="AQ280" i="1"/>
  <c r="AW281" i="1"/>
  <c r="AX279" i="1"/>
  <c r="AW280" i="1"/>
  <c r="AX280" i="1" s="1"/>
  <c r="AG231" i="1"/>
  <c r="AG230" i="1"/>
  <c r="X221" i="1"/>
  <c r="BA227" i="1"/>
  <c r="BA226" i="1"/>
  <c r="Z75" i="1"/>
  <c r="BF83" i="1"/>
  <c r="BH83" i="1" s="1"/>
  <c r="BF82" i="1"/>
  <c r="BH81" i="1"/>
  <c r="AG80" i="1"/>
  <c r="AI80" i="1" s="1"/>
  <c r="AG81" i="1"/>
  <c r="AI79" i="1"/>
  <c r="AC81" i="1"/>
  <c r="AC80" i="1"/>
  <c r="AH28" i="1"/>
  <c r="AI27" i="1"/>
  <c r="BZ336" i="1"/>
  <c r="BZ337" i="1"/>
  <c r="AC335" i="1"/>
  <c r="AC334" i="1"/>
  <c r="AD333" i="1"/>
  <c r="CA281" i="1"/>
  <c r="CA280" i="1"/>
  <c r="CB280" i="1" s="1"/>
  <c r="CB279" i="1"/>
  <c r="CK260" i="1"/>
  <c r="CK254" i="1"/>
  <c r="CK248" i="1"/>
  <c r="CK243" i="1"/>
  <c r="CK255" i="1"/>
  <c r="CK245" i="1"/>
  <c r="CK241" i="1"/>
  <c r="CK251" i="1"/>
  <c r="CK247" i="1"/>
  <c r="CK239" i="1"/>
  <c r="CK257" i="1"/>
  <c r="CK253" i="1"/>
  <c r="CK263" i="1"/>
  <c r="CK246" i="1"/>
  <c r="CK238" i="1"/>
  <c r="CK234" i="1"/>
  <c r="CK230" i="1"/>
  <c r="CK252" i="1"/>
  <c r="CK258" i="1"/>
  <c r="CK250" i="1"/>
  <c r="CK256" i="1"/>
  <c r="CK244" i="1"/>
  <c r="CK242" i="1"/>
  <c r="CK237" i="1"/>
  <c r="CK233" i="1"/>
  <c r="CJ221" i="1"/>
  <c r="CJ219" i="1"/>
  <c r="CK262" i="1"/>
  <c r="CK236" i="1"/>
  <c r="CK249" i="1"/>
  <c r="CK240" i="1"/>
  <c r="CK259" i="1"/>
  <c r="CK231" i="1"/>
  <c r="CK261" i="1"/>
  <c r="CK226" i="1"/>
  <c r="CK225" i="1"/>
  <c r="CK227" i="1"/>
  <c r="CK224" i="1"/>
  <c r="AM228" i="1"/>
  <c r="AN228" i="1" s="1"/>
  <c r="AM229" i="1"/>
  <c r="AI224" i="1"/>
  <c r="AX173" i="1"/>
  <c r="R173" i="1"/>
  <c r="BU82" i="1"/>
  <c r="BU84" i="1" s="1"/>
  <c r="BU83" i="1"/>
  <c r="BA23" i="1"/>
  <c r="BC22" i="1"/>
  <c r="AW335" i="1"/>
  <c r="AW334" i="1"/>
  <c r="BB281" i="1"/>
  <c r="BC279" i="1"/>
  <c r="BB280" i="1"/>
  <c r="BC280" i="1" s="1"/>
  <c r="BQ283" i="1"/>
  <c r="BQ282" i="1"/>
  <c r="K275" i="1"/>
  <c r="BU281" i="1"/>
  <c r="BU280" i="1"/>
  <c r="AI225" i="1"/>
  <c r="AH226" i="1"/>
  <c r="AI226" i="1" s="1"/>
  <c r="AH227" i="1"/>
  <c r="AQ173" i="1"/>
  <c r="AQ174" i="1"/>
  <c r="AW117" i="1"/>
  <c r="AX117" i="1" s="1"/>
  <c r="AW118" i="1"/>
  <c r="BF118" i="1"/>
  <c r="BF117" i="1"/>
  <c r="AQ117" i="1"/>
  <c r="AQ118" i="1"/>
  <c r="AS116" i="1"/>
  <c r="AR81" i="1"/>
  <c r="AR80" i="1"/>
  <c r="AL86" i="1"/>
  <c r="AL85" i="1"/>
  <c r="BK338" i="1"/>
  <c r="BK339" i="1"/>
  <c r="BU334" i="1"/>
  <c r="BW334" i="1" s="1"/>
  <c r="BU335" i="1"/>
  <c r="BG334" i="1"/>
  <c r="BG335" i="1"/>
  <c r="R329" i="1"/>
  <c r="P329" i="1" s="1"/>
  <c r="AH335" i="1"/>
  <c r="AH334" i="1"/>
  <c r="BR280" i="1"/>
  <c r="BM279" i="1"/>
  <c r="BL280" i="1"/>
  <c r="BM280" i="1" s="1"/>
  <c r="BL281" i="1"/>
  <c r="AG280" i="1"/>
  <c r="AG281" i="1"/>
  <c r="AI279" i="1"/>
  <c r="AH280" i="1"/>
  <c r="AH281" i="1"/>
  <c r="CK232" i="1"/>
  <c r="AL231" i="1"/>
  <c r="AL230" i="1"/>
  <c r="CB225" i="1"/>
  <c r="CA227" i="1"/>
  <c r="CA226" i="1"/>
  <c r="AV119" i="1"/>
  <c r="AV120" i="1"/>
  <c r="BA120" i="1"/>
  <c r="BA119" i="1"/>
  <c r="CH82" i="1"/>
  <c r="CH79" i="1" s="1"/>
  <c r="CH83" i="1"/>
  <c r="J75" i="1"/>
  <c r="CH84" i="1"/>
  <c r="BR279" i="1"/>
  <c r="AB280" i="1"/>
  <c r="AB281" i="1"/>
  <c r="R232" i="1"/>
  <c r="R221" i="1" s="1"/>
  <c r="BZ227" i="1"/>
  <c r="BZ226" i="1"/>
  <c r="BP171" i="1"/>
  <c r="BR171" i="1" s="1"/>
  <c r="BP172" i="1"/>
  <c r="X166" i="1"/>
  <c r="AH171" i="1"/>
  <c r="AH172" i="1"/>
  <c r="AC118" i="1"/>
  <c r="AC117" i="1"/>
  <c r="BQ81" i="1"/>
  <c r="BQ80" i="1"/>
  <c r="BR80" i="1" s="1"/>
  <c r="BR79" i="1"/>
  <c r="BP80" i="1"/>
  <c r="BP81" i="1"/>
  <c r="BP334" i="1"/>
  <c r="BR334" i="1" s="1"/>
  <c r="BP335" i="1"/>
  <c r="BA334" i="1"/>
  <c r="BA335" i="1"/>
  <c r="X275" i="1"/>
  <c r="BW279" i="1"/>
  <c r="BV280" i="1"/>
  <c r="BW280" i="1" s="1"/>
  <c r="BV281" i="1"/>
  <c r="R286" i="1"/>
  <c r="AV280" i="1"/>
  <c r="AV281" i="1"/>
  <c r="R235" i="1"/>
  <c r="AN227" i="1"/>
  <c r="K166" i="1"/>
  <c r="BQ174" i="1"/>
  <c r="BQ173" i="1"/>
  <c r="BR172" i="1"/>
  <c r="CB170" i="1"/>
  <c r="BH170" i="1"/>
  <c r="AN170" i="1"/>
  <c r="R170" i="1"/>
  <c r="R166" i="1" s="1"/>
  <c r="P166" i="1" s="1"/>
  <c r="AI170" i="1"/>
  <c r="BM170" i="1"/>
  <c r="AD170" i="1"/>
  <c r="AS170" i="1"/>
  <c r="BW170" i="1"/>
  <c r="BR170" i="1"/>
  <c r="BC170" i="1"/>
  <c r="AX170" i="1"/>
  <c r="AV177" i="1"/>
  <c r="AV178" i="1"/>
  <c r="BC118" i="1"/>
  <c r="BG118" i="1"/>
  <c r="BH116" i="1"/>
  <c r="BG117" i="1"/>
  <c r="BH117" i="1" s="1"/>
  <c r="BC117" i="1"/>
  <c r="R75" i="1"/>
  <c r="P75" i="1" s="1"/>
  <c r="BL83" i="1"/>
  <c r="BM83" i="1" s="1"/>
  <c r="BL82" i="1"/>
  <c r="BM81" i="1"/>
  <c r="CA334" i="1"/>
  <c r="CB334" i="1" s="1"/>
  <c r="CA335" i="1"/>
  <c r="Z275" i="1"/>
  <c r="AS279" i="1"/>
  <c r="AR280" i="1"/>
  <c r="AS280" i="1" s="1"/>
  <c r="AR281" i="1"/>
  <c r="CK235" i="1"/>
  <c r="AC229" i="1"/>
  <c r="AC228" i="1"/>
  <c r="BG226" i="1"/>
  <c r="BG227" i="1"/>
  <c r="CK97" i="1"/>
  <c r="CK89" i="1"/>
  <c r="CK85" i="1"/>
  <c r="CJ75" i="1"/>
  <c r="CK95" i="1"/>
  <c r="CK94" i="1"/>
  <c r="CK93" i="1"/>
  <c r="CK86" i="1"/>
  <c r="CK81" i="1"/>
  <c r="CJ73" i="1"/>
  <c r="CK91" i="1"/>
  <c r="CK90" i="1"/>
  <c r="CK78" i="1"/>
  <c r="CK80" i="1"/>
  <c r="CK77" i="1"/>
  <c r="CK98" i="1"/>
  <c r="CK82" i="1"/>
  <c r="CK87" i="1"/>
  <c r="CK84" i="1"/>
  <c r="CK83" i="1"/>
  <c r="CK96" i="1"/>
  <c r="CK92" i="1"/>
  <c r="CK88" i="1"/>
  <c r="CK79" i="1"/>
  <c r="K6" i="1"/>
  <c r="K3" i="1"/>
  <c r="K4" i="1"/>
  <c r="CK351" i="1"/>
  <c r="CK370" i="1"/>
  <c r="CK369" i="1"/>
  <c r="CK346" i="1"/>
  <c r="CK368" i="1"/>
  <c r="CK349" i="1"/>
  <c r="CK366" i="1"/>
  <c r="CK360" i="1"/>
  <c r="CK354" i="1"/>
  <c r="CK347" i="1"/>
  <c r="CK344" i="1"/>
  <c r="CK365" i="1"/>
  <c r="CK359" i="1"/>
  <c r="CK353" i="1"/>
  <c r="CK364" i="1"/>
  <c r="CK358" i="1"/>
  <c r="CK348" i="1"/>
  <c r="CK352" i="1"/>
  <c r="CK350" i="1"/>
  <c r="CK363" i="1"/>
  <c r="CK357" i="1"/>
  <c r="CK362" i="1"/>
  <c r="CK356" i="1"/>
  <c r="CK355" i="1"/>
  <c r="CK339" i="1"/>
  <c r="CK337" i="1"/>
  <c r="CK336" i="1"/>
  <c r="CK345" i="1"/>
  <c r="CK367" i="1"/>
  <c r="CK343" i="1"/>
  <c r="CK340" i="1"/>
  <c r="CK342" i="1"/>
  <c r="CK361" i="1"/>
  <c r="CK341" i="1"/>
  <c r="CJ327" i="1"/>
  <c r="CK338" i="1"/>
  <c r="CK334" i="1"/>
  <c r="CK335" i="1"/>
  <c r="CK333" i="1"/>
  <c r="CK331" i="1"/>
  <c r="CJ329" i="1"/>
  <c r="CK332" i="1"/>
  <c r="BB335" i="1"/>
  <c r="BB334" i="1"/>
  <c r="BV337" i="1"/>
  <c r="BV336" i="1"/>
  <c r="BW335" i="1"/>
  <c r="BQ336" i="1"/>
  <c r="BQ337" i="1"/>
  <c r="BK282" i="1"/>
  <c r="BK283" i="1"/>
  <c r="AW226" i="1"/>
  <c r="AX226" i="1" s="1"/>
  <c r="AX225" i="1"/>
  <c r="AW227" i="1"/>
  <c r="CK223" i="1"/>
  <c r="BU227" i="1"/>
  <c r="BU226" i="1"/>
  <c r="BR225" i="1"/>
  <c r="BB174" i="1"/>
  <c r="BB173" i="1"/>
  <c r="BC173" i="1" s="1"/>
  <c r="AL176" i="1"/>
  <c r="AL175" i="1"/>
  <c r="CH118" i="1"/>
  <c r="K112" i="1"/>
  <c r="BF171" i="1"/>
  <c r="BF172" i="1"/>
  <c r="BW116" i="1"/>
  <c r="BV117" i="1"/>
  <c r="BW117" i="1" s="1"/>
  <c r="BV118" i="1"/>
  <c r="BC172" i="1"/>
  <c r="BL117" i="1"/>
  <c r="BM117" i="1" s="1"/>
  <c r="BL118" i="1"/>
  <c r="BM116" i="1"/>
  <c r="BF335" i="1"/>
  <c r="BF334" i="1"/>
  <c r="AB334" i="1"/>
  <c r="AB335" i="1"/>
  <c r="AQ335" i="1"/>
  <c r="AQ334" i="1"/>
  <c r="AS334" i="1" s="1"/>
  <c r="AM337" i="1"/>
  <c r="AM336" i="1"/>
  <c r="AN336" i="1" s="1"/>
  <c r="AL280" i="1"/>
  <c r="AN280" i="1" s="1"/>
  <c r="AL281" i="1"/>
  <c r="BM225" i="1"/>
  <c r="BL227" i="1"/>
  <c r="BL226" i="1"/>
  <c r="AV230" i="1"/>
  <c r="AV231" i="1"/>
  <c r="BW225" i="1"/>
  <c r="BV226" i="1"/>
  <c r="BV227" i="1"/>
  <c r="BQ228" i="1"/>
  <c r="BQ229" i="1"/>
  <c r="V112" i="1"/>
  <c r="V75" i="1" s="1"/>
  <c r="X114" i="1"/>
  <c r="X112" i="1" s="1"/>
  <c r="X77" i="1"/>
  <c r="Z20" i="1"/>
  <c r="AL119" i="1"/>
  <c r="AL120" i="1"/>
  <c r="AC24" i="1"/>
  <c r="AD23" i="1"/>
  <c r="K5" i="1"/>
  <c r="AV332" i="1"/>
  <c r="AX332" i="1" s="1"/>
  <c r="AV333" i="1"/>
  <c r="AN335" i="1"/>
  <c r="BH333" i="1"/>
  <c r="BL334" i="1"/>
  <c r="BM334" i="1" s="1"/>
  <c r="BL335" i="1"/>
  <c r="BC333" i="1"/>
  <c r="CK317" i="1"/>
  <c r="CK311" i="1"/>
  <c r="CK304" i="1"/>
  <c r="CK301" i="1"/>
  <c r="CK307" i="1"/>
  <c r="CK299" i="1"/>
  <c r="CK295" i="1"/>
  <c r="CK313" i="1"/>
  <c r="CK306" i="1"/>
  <c r="CK294" i="1"/>
  <c r="CK314" i="1"/>
  <c r="CK303" i="1"/>
  <c r="CK302" i="1"/>
  <c r="CK310" i="1"/>
  <c r="CK308" i="1"/>
  <c r="CK305" i="1"/>
  <c r="CK316" i="1"/>
  <c r="CK297" i="1"/>
  <c r="CK315" i="1"/>
  <c r="CK309" i="1"/>
  <c r="CK298" i="1"/>
  <c r="CK312" i="1"/>
  <c r="CK300" i="1"/>
  <c r="CK290" i="1"/>
  <c r="CK284" i="1"/>
  <c r="CK292" i="1"/>
  <c r="CK291" i="1"/>
  <c r="CK293" i="1"/>
  <c r="CJ275" i="1"/>
  <c r="CJ273" i="1"/>
  <c r="CK285" i="1"/>
  <c r="CK296" i="1"/>
  <c r="CK281" i="1"/>
  <c r="CK283" i="1"/>
  <c r="CK278" i="1"/>
  <c r="CK282" i="1"/>
  <c r="N275" i="1"/>
  <c r="M275" i="1" s="1"/>
  <c r="R282" i="1"/>
  <c r="AC280" i="1"/>
  <c r="AD280" i="1" s="1"/>
  <c r="AC281" i="1"/>
  <c r="AD279" i="1"/>
  <c r="CK228" i="1"/>
  <c r="CK229" i="1"/>
  <c r="BR227" i="1"/>
  <c r="N221" i="1"/>
  <c r="M221" i="1" s="1"/>
  <c r="BR226" i="1"/>
  <c r="BG171" i="1"/>
  <c r="BG172" i="1"/>
  <c r="V20" i="1"/>
  <c r="X23" i="1"/>
  <c r="X20" i="1" s="1"/>
  <c r="BW27" i="1"/>
  <c r="BV28" i="1"/>
  <c r="AM283" i="1"/>
  <c r="AM282" i="1"/>
  <c r="BF224" i="1"/>
  <c r="BH224" i="1" s="1"/>
  <c r="BF225" i="1"/>
  <c r="BH225" i="1" s="1"/>
  <c r="AQ226" i="1"/>
  <c r="AQ227" i="1"/>
  <c r="BC224" i="1"/>
  <c r="BW224" i="1"/>
  <c r="AG171" i="1"/>
  <c r="AG172" i="1"/>
  <c r="BU174" i="1"/>
  <c r="BU173" i="1"/>
  <c r="AB169" i="1"/>
  <c r="AD169" i="1" s="1"/>
  <c r="AB170" i="1"/>
  <c r="Z112" i="1"/>
  <c r="CA177" i="1"/>
  <c r="CA178" i="1"/>
  <c r="BP117" i="1"/>
  <c r="BR117" i="1" s="1"/>
  <c r="BP118" i="1"/>
  <c r="BQ119" i="1"/>
  <c r="BQ120" i="1"/>
  <c r="AR118" i="1"/>
  <c r="AR117" i="1"/>
  <c r="AS117" i="1" s="1"/>
  <c r="CK151" i="1"/>
  <c r="CK147" i="1"/>
  <c r="CK143" i="1"/>
  <c r="CK139" i="1"/>
  <c r="CK154" i="1"/>
  <c r="CK153" i="1"/>
  <c r="CK152" i="1"/>
  <c r="CK150" i="1"/>
  <c r="CK134" i="1"/>
  <c r="CK130" i="1"/>
  <c r="CK127" i="1"/>
  <c r="CK138" i="1"/>
  <c r="CK148" i="1"/>
  <c r="CK140" i="1"/>
  <c r="CK122" i="1"/>
  <c r="CK121" i="1"/>
  <c r="CK141" i="1"/>
  <c r="CK124" i="1"/>
  <c r="CK142" i="1"/>
  <c r="CK136" i="1"/>
  <c r="CK149" i="1"/>
  <c r="CK128" i="1"/>
  <c r="CK120" i="1"/>
  <c r="CK114" i="1"/>
  <c r="CJ112" i="1"/>
  <c r="CK118" i="1"/>
  <c r="CK123" i="1"/>
  <c r="CK116" i="1"/>
  <c r="CK146" i="1"/>
  <c r="CK125" i="1"/>
  <c r="CJ110" i="1"/>
  <c r="CK133" i="1"/>
  <c r="CK132" i="1"/>
  <c r="CK126" i="1"/>
  <c r="CK144" i="1"/>
  <c r="CK131" i="1"/>
  <c r="CK119" i="1"/>
  <c r="CK129" i="1"/>
  <c r="CK117" i="1"/>
  <c r="CK115" i="1"/>
  <c r="CK137" i="1"/>
  <c r="CK135" i="1"/>
  <c r="CK145" i="1"/>
  <c r="AW81" i="1"/>
  <c r="AW80" i="1"/>
  <c r="BB33" i="1"/>
  <c r="BR224" i="1"/>
  <c r="BC225" i="1"/>
  <c r="BB226" i="1"/>
  <c r="BC226" i="1" s="1"/>
  <c r="BB227" i="1"/>
  <c r="AR171" i="1"/>
  <c r="AS171" i="1" s="1"/>
  <c r="AR172" i="1"/>
  <c r="CB171" i="1"/>
  <c r="BH171" i="1"/>
  <c r="AX171" i="1"/>
  <c r="R171" i="1"/>
  <c r="BW171" i="1"/>
  <c r="BC171" i="1"/>
  <c r="AI171" i="1"/>
  <c r="AB226" i="1"/>
  <c r="AD226" i="1" s="1"/>
  <c r="AB227" i="1"/>
  <c r="BZ174" i="1"/>
  <c r="BZ173" i="1"/>
  <c r="CB173" i="1" s="1"/>
  <c r="AG118" i="1"/>
  <c r="AG117" i="1"/>
  <c r="AI117" i="1" s="1"/>
  <c r="BK85" i="1"/>
  <c r="BK86" i="1"/>
  <c r="R20" i="1"/>
  <c r="P20" i="1" s="1"/>
  <c r="AS28" i="1"/>
  <c r="AR29" i="1"/>
  <c r="BL172" i="1"/>
  <c r="BL171" i="1"/>
  <c r="BM171" i="1" s="1"/>
  <c r="AC172" i="1"/>
  <c r="AC171" i="1"/>
  <c r="BC174" i="1"/>
  <c r="CB174" i="1"/>
  <c r="AX174" i="1"/>
  <c r="R174" i="1"/>
  <c r="CA120" i="1"/>
  <c r="CA119" i="1"/>
  <c r="AQ80" i="1"/>
  <c r="AQ81" i="1"/>
  <c r="BH20" i="1"/>
  <c r="BI20" i="1" s="1"/>
  <c r="AN40" i="1"/>
  <c r="AN20" i="1" s="1"/>
  <c r="AO20" i="1" s="1"/>
  <c r="BB82" i="1"/>
  <c r="BB83" i="1"/>
  <c r="BC83" i="1" s="1"/>
  <c r="BR78" i="1"/>
  <c r="BZ117" i="1"/>
  <c r="CB117" i="1" s="1"/>
  <c r="BZ118" i="1"/>
  <c r="AM83" i="1"/>
  <c r="AN83" i="1" s="1"/>
  <c r="AM82" i="1"/>
  <c r="AV78" i="1"/>
  <c r="AX78" i="1" s="1"/>
  <c r="AV79" i="1"/>
  <c r="AX27" i="1"/>
  <c r="AW28" i="1"/>
  <c r="BR26" i="1"/>
  <c r="BQ27" i="1"/>
  <c r="BK172" i="1"/>
  <c r="BK171" i="1"/>
  <c r="AM172" i="1"/>
  <c r="AM171" i="1"/>
  <c r="AN171" i="1" s="1"/>
  <c r="R112" i="1"/>
  <c r="P112" i="1" s="1"/>
  <c r="BG86" i="1"/>
  <c r="BG85" i="1"/>
  <c r="BC81" i="1"/>
  <c r="AH82" i="1"/>
  <c r="AH83" i="1"/>
  <c r="DU1" i="1"/>
  <c r="DU3" i="1"/>
  <c r="CB35" i="1"/>
  <c r="CA36" i="1"/>
  <c r="BV174" i="1"/>
  <c r="BV173" i="1"/>
  <c r="AM119" i="1"/>
  <c r="AM120" i="1"/>
  <c r="BV82" i="1"/>
  <c r="BV83" i="1"/>
  <c r="BW83" i="1" s="1"/>
  <c r="BW81" i="1"/>
  <c r="BB120" i="1"/>
  <c r="BB119" i="1"/>
  <c r="BC119" i="1" s="1"/>
  <c r="AB78" i="1"/>
  <c r="AD78" i="1" s="1"/>
  <c r="AB79" i="1"/>
  <c r="BA87" i="1"/>
  <c r="BA88" i="1"/>
  <c r="AS78" i="1"/>
  <c r="BZ87" i="1"/>
  <c r="BZ88" i="1"/>
  <c r="CK1" i="1" l="1"/>
  <c r="P221" i="1"/>
  <c r="BW173" i="1"/>
  <c r="AW175" i="1"/>
  <c r="AX175" i="1" s="1"/>
  <c r="AW176" i="1"/>
  <c r="R275" i="1"/>
  <c r="P275" i="1" s="1"/>
  <c r="K2" i="1"/>
  <c r="J329" i="1"/>
  <c r="CH336" i="1"/>
  <c r="CH337" i="1"/>
  <c r="X75" i="1"/>
  <c r="CA82" i="1"/>
  <c r="CA83" i="1"/>
  <c r="CB83" i="1" s="1"/>
  <c r="CB81" i="1"/>
  <c r="AH120" i="1"/>
  <c r="AH119" i="1"/>
  <c r="H2" i="1"/>
  <c r="CK2" i="1" s="1"/>
  <c r="AN119" i="1"/>
  <c r="AH84" i="1"/>
  <c r="AW29" i="1"/>
  <c r="AX28" i="1"/>
  <c r="AC174" i="1"/>
  <c r="AC173" i="1"/>
  <c r="BB229" i="1"/>
  <c r="BB228" i="1"/>
  <c r="BC227" i="1"/>
  <c r="AC283" i="1"/>
  <c r="AC282" i="1"/>
  <c r="AD281" i="1"/>
  <c r="BM226" i="1"/>
  <c r="BF337" i="1"/>
  <c r="BF336" i="1"/>
  <c r="CH120" i="1"/>
  <c r="J112" i="1"/>
  <c r="CH119" i="1"/>
  <c r="CH121" i="1"/>
  <c r="CH116" i="1" s="1"/>
  <c r="AW229" i="1"/>
  <c r="AW228" i="1"/>
  <c r="AX228" i="1" s="1"/>
  <c r="AX227" i="1"/>
  <c r="BA122" i="1"/>
  <c r="BA121" i="1"/>
  <c r="BH334" i="1"/>
  <c r="AQ120" i="1"/>
  <c r="AQ119" i="1"/>
  <c r="BU282" i="1"/>
  <c r="BU283" i="1"/>
  <c r="AQ283" i="1"/>
  <c r="AQ282" i="1"/>
  <c r="BM28" i="1"/>
  <c r="BL29" i="1"/>
  <c r="BB84" i="1"/>
  <c r="BC82" i="1"/>
  <c r="AQ229" i="1"/>
  <c r="AQ228" i="1"/>
  <c r="AC25" i="1"/>
  <c r="AD24" i="1"/>
  <c r="BL229" i="1"/>
  <c r="BL228" i="1"/>
  <c r="BM227" i="1"/>
  <c r="BG228" i="1"/>
  <c r="BG229" i="1"/>
  <c r="CA336" i="1"/>
  <c r="CB336" i="1" s="1"/>
  <c r="CA337" i="1"/>
  <c r="CB335" i="1"/>
  <c r="BG119" i="1"/>
  <c r="BH119" i="1" s="1"/>
  <c r="BG120" i="1"/>
  <c r="BH118" i="1"/>
  <c r="AV283" i="1"/>
  <c r="AV282" i="1"/>
  <c r="AC119" i="1"/>
  <c r="AC120" i="1"/>
  <c r="AV121" i="1"/>
  <c r="AV122" i="1"/>
  <c r="AG282" i="1"/>
  <c r="AG283" i="1"/>
  <c r="BU337" i="1"/>
  <c r="BU336" i="1"/>
  <c r="AC82" i="1"/>
  <c r="AC83" i="1"/>
  <c r="AD81" i="1"/>
  <c r="BU119" i="1"/>
  <c r="BU120" i="1"/>
  <c r="BA89" i="1"/>
  <c r="BA91" i="1" s="1"/>
  <c r="BA90" i="1"/>
  <c r="BL173" i="1"/>
  <c r="BL174" i="1"/>
  <c r="BM172" i="1"/>
  <c r="AB172" i="1"/>
  <c r="AD172" i="1" s="1"/>
  <c r="AB171" i="1"/>
  <c r="AD171" i="1" s="1"/>
  <c r="BH226" i="1"/>
  <c r="BP337" i="1"/>
  <c r="BP336" i="1"/>
  <c r="AH173" i="1"/>
  <c r="AH174" i="1"/>
  <c r="AI172" i="1"/>
  <c r="CH283" i="1"/>
  <c r="CH284" i="1"/>
  <c r="CH282" i="1"/>
  <c r="CH279" i="1" s="1"/>
  <c r="J275" i="1"/>
  <c r="BA24" i="1"/>
  <c r="BC23" i="1"/>
  <c r="AR339" i="1"/>
  <c r="AR338" i="1"/>
  <c r="BV175" i="1"/>
  <c r="BV176" i="1"/>
  <c r="BG88" i="1"/>
  <c r="BG87" i="1"/>
  <c r="AG120" i="1"/>
  <c r="AG119" i="1"/>
  <c r="AI119" i="1" s="1"/>
  <c r="AI118" i="1"/>
  <c r="BG173" i="1"/>
  <c r="BG174" i="1"/>
  <c r="BH172" i="1"/>
  <c r="BQ230" i="1"/>
  <c r="BQ231" i="1"/>
  <c r="AL282" i="1"/>
  <c r="AN282" i="1" s="1"/>
  <c r="AL283" i="1"/>
  <c r="AN281" i="1"/>
  <c r="AL178" i="1"/>
  <c r="AL177" i="1"/>
  <c r="BK285" i="1"/>
  <c r="BK284" i="1"/>
  <c r="AV179" i="1"/>
  <c r="AV180" i="1"/>
  <c r="BL283" i="1"/>
  <c r="BL282" i="1"/>
  <c r="BM282" i="1" s="1"/>
  <c r="BM281" i="1"/>
  <c r="BK340" i="1"/>
  <c r="BK341" i="1"/>
  <c r="BF120" i="1"/>
  <c r="BF119" i="1"/>
  <c r="CA282" i="1"/>
  <c r="CB282" i="1" s="1"/>
  <c r="CA283" i="1"/>
  <c r="CB281" i="1"/>
  <c r="AG82" i="1"/>
  <c r="AG84" i="1" s="1"/>
  <c r="AG83" i="1"/>
  <c r="AI81" i="1"/>
  <c r="BA229" i="1"/>
  <c r="BA228" i="1"/>
  <c r="BF286" i="1"/>
  <c r="BF287" i="1"/>
  <c r="AB81" i="1"/>
  <c r="AB80" i="1"/>
  <c r="AD80" i="1" s="1"/>
  <c r="AD79" i="1"/>
  <c r="CA37" i="1"/>
  <c r="CB36" i="1"/>
  <c r="AV81" i="1"/>
  <c r="AV80" i="1"/>
  <c r="AX79" i="1"/>
  <c r="AR30" i="1"/>
  <c r="AS29" i="1"/>
  <c r="BB34" i="1"/>
  <c r="BF227" i="1"/>
  <c r="BF226" i="1"/>
  <c r="AL121" i="1"/>
  <c r="AL122" i="1"/>
  <c r="BR228" i="1"/>
  <c r="BL120" i="1"/>
  <c r="BL119" i="1"/>
  <c r="BM119" i="1" s="1"/>
  <c r="BM118" i="1"/>
  <c r="AD228" i="1"/>
  <c r="BV283" i="1"/>
  <c r="BV282" i="1"/>
  <c r="BW282" i="1" s="1"/>
  <c r="BW281" i="1"/>
  <c r="CB226" i="1"/>
  <c r="AW119" i="1"/>
  <c r="AX119" i="1" s="1"/>
  <c r="AW120" i="1"/>
  <c r="AX118" i="1"/>
  <c r="BQ285" i="1"/>
  <c r="BQ284" i="1"/>
  <c r="BR283" i="1"/>
  <c r="BU86" i="1"/>
  <c r="BU85" i="1"/>
  <c r="AL341" i="1"/>
  <c r="AL340" i="1"/>
  <c r="AR229" i="1"/>
  <c r="AR228" i="1"/>
  <c r="AS228" i="1" s="1"/>
  <c r="AS227" i="1"/>
  <c r="BK229" i="1"/>
  <c r="BK228" i="1"/>
  <c r="BA284" i="1"/>
  <c r="BA285" i="1"/>
  <c r="BZ175" i="1"/>
  <c r="CB175" i="1" s="1"/>
  <c r="BZ176" i="1"/>
  <c r="BL336" i="1"/>
  <c r="BM336" i="1" s="1"/>
  <c r="BM335" i="1"/>
  <c r="BL337" i="1"/>
  <c r="BV229" i="1"/>
  <c r="BV228" i="1"/>
  <c r="BW227" i="1"/>
  <c r="BB175" i="1"/>
  <c r="BC175" i="1" s="1"/>
  <c r="BB176" i="1"/>
  <c r="BQ339" i="1"/>
  <c r="BQ338" i="1"/>
  <c r="AC231" i="1"/>
  <c r="AC230" i="1"/>
  <c r="BL84" i="1"/>
  <c r="BM82" i="1"/>
  <c r="CA228" i="1"/>
  <c r="CB228" i="1" s="1"/>
  <c r="CA229" i="1"/>
  <c r="CB227" i="1"/>
  <c r="AD334" i="1"/>
  <c r="AM84" i="1"/>
  <c r="AN82" i="1"/>
  <c r="AQ82" i="1"/>
  <c r="AQ84" i="1" s="1"/>
  <c r="AQ83" i="1"/>
  <c r="AR119" i="1"/>
  <c r="AS119" i="1" s="1"/>
  <c r="AR120" i="1"/>
  <c r="AS118" i="1"/>
  <c r="BW226" i="1"/>
  <c r="AM339" i="1"/>
  <c r="AM338" i="1"/>
  <c r="AN338" i="1" s="1"/>
  <c r="AN337" i="1"/>
  <c r="BR336" i="1"/>
  <c r="BP83" i="1"/>
  <c r="BP82" i="1"/>
  <c r="BP84" i="1" s="1"/>
  <c r="BP174" i="1"/>
  <c r="BR174" i="1" s="1"/>
  <c r="BP173" i="1"/>
  <c r="BR173" i="1" s="1"/>
  <c r="AQ176" i="1"/>
  <c r="AQ175" i="1"/>
  <c r="AC336" i="1"/>
  <c r="AC337" i="1"/>
  <c r="AD335" i="1"/>
  <c r="BF84" i="1"/>
  <c r="BH82" i="1"/>
  <c r="AG232" i="1"/>
  <c r="AG233" i="1"/>
  <c r="BB122" i="1"/>
  <c r="BB121" i="1"/>
  <c r="BC121" i="1" s="1"/>
  <c r="BC120" i="1"/>
  <c r="AM174" i="1"/>
  <c r="AM173" i="1"/>
  <c r="AN173" i="1" s="1"/>
  <c r="AN172" i="1"/>
  <c r="AB229" i="1"/>
  <c r="AB228" i="1"/>
  <c r="AD227" i="1"/>
  <c r="AX80" i="1"/>
  <c r="BQ122" i="1"/>
  <c r="BQ121" i="1"/>
  <c r="AM285" i="1"/>
  <c r="AM284" i="1"/>
  <c r="AN283" i="1"/>
  <c r="BV119" i="1"/>
  <c r="BV120" i="1"/>
  <c r="BW118" i="1"/>
  <c r="AR283" i="1"/>
  <c r="AR282" i="1"/>
  <c r="AS282" i="1" s="1"/>
  <c r="AS281" i="1"/>
  <c r="BQ175" i="1"/>
  <c r="BQ176" i="1"/>
  <c r="AL87" i="1"/>
  <c r="AL88" i="1"/>
  <c r="BB283" i="1"/>
  <c r="BB282" i="1"/>
  <c r="BC282" i="1" s="1"/>
  <c r="BC281" i="1"/>
  <c r="BZ339" i="1"/>
  <c r="BZ338" i="1"/>
  <c r="BP229" i="1"/>
  <c r="BR229" i="1" s="1"/>
  <c r="BP228" i="1"/>
  <c r="B27" i="1"/>
  <c r="BG282" i="1"/>
  <c r="BH282" i="1" s="1"/>
  <c r="BG283" i="1"/>
  <c r="BH281" i="1"/>
  <c r="BZ120" i="1"/>
  <c r="BZ119" i="1"/>
  <c r="CB119" i="1" s="1"/>
  <c r="CB118" i="1"/>
  <c r="AW83" i="1"/>
  <c r="AW82" i="1"/>
  <c r="AX81" i="1"/>
  <c r="BU175" i="1"/>
  <c r="BU176" i="1"/>
  <c r="BV29" i="1"/>
  <c r="BW28" i="1"/>
  <c r="AV233" i="1"/>
  <c r="AV232" i="1"/>
  <c r="AQ336" i="1"/>
  <c r="AS336" i="1" s="1"/>
  <c r="AQ337" i="1"/>
  <c r="AS337" i="1" s="1"/>
  <c r="AS335" i="1"/>
  <c r="BW336" i="1"/>
  <c r="BA337" i="1"/>
  <c r="BA336" i="1"/>
  <c r="AL233" i="1"/>
  <c r="AL232" i="1"/>
  <c r="AI334" i="1"/>
  <c r="AH229" i="1"/>
  <c r="AH228" i="1"/>
  <c r="AI228" i="1" s="1"/>
  <c r="AI227" i="1"/>
  <c r="AM230" i="1"/>
  <c r="AN230" i="1" s="1"/>
  <c r="AM231" i="1"/>
  <c r="AN229" i="1"/>
  <c r="BZ90" i="1"/>
  <c r="BZ89" i="1"/>
  <c r="BZ91" i="1" s="1"/>
  <c r="BK173" i="1"/>
  <c r="BK174" i="1"/>
  <c r="BP120" i="1"/>
  <c r="BP119" i="1"/>
  <c r="BR119" i="1" s="1"/>
  <c r="BR118" i="1"/>
  <c r="AG174" i="1"/>
  <c r="AG173" i="1"/>
  <c r="AV334" i="1"/>
  <c r="AV335" i="1"/>
  <c r="AB337" i="1"/>
  <c r="AB336" i="1"/>
  <c r="BU229" i="1"/>
  <c r="BU228" i="1"/>
  <c r="BV339" i="1"/>
  <c r="BV338" i="1"/>
  <c r="BW337" i="1"/>
  <c r="CH173" i="1"/>
  <c r="CH174" i="1"/>
  <c r="J166" i="1"/>
  <c r="CH175" i="1"/>
  <c r="AH336" i="1"/>
  <c r="AH337" i="1"/>
  <c r="AI335" i="1"/>
  <c r="AS80" i="1"/>
  <c r="AX333" i="1"/>
  <c r="AW283" i="1"/>
  <c r="AW282" i="1"/>
  <c r="AX282" i="1" s="1"/>
  <c r="AX281" i="1"/>
  <c r="BK122" i="1"/>
  <c r="BK121" i="1"/>
  <c r="BZ289" i="1"/>
  <c r="BZ288" i="1"/>
  <c r="BV84" i="1"/>
  <c r="BW82" i="1"/>
  <c r="BR27" i="1"/>
  <c r="BQ28" i="1"/>
  <c r="CA122" i="1"/>
  <c r="CA121" i="1"/>
  <c r="CB120" i="1"/>
  <c r="BW174" i="1"/>
  <c r="AR173" i="1"/>
  <c r="AS173" i="1" s="1"/>
  <c r="AR174" i="1"/>
  <c r="AS172" i="1"/>
  <c r="BF174" i="1"/>
  <c r="BF173" i="1"/>
  <c r="BC334" i="1"/>
  <c r="BQ82" i="1"/>
  <c r="BQ83" i="1"/>
  <c r="BR83" i="1" s="1"/>
  <c r="BR81" i="1"/>
  <c r="BZ229" i="1"/>
  <c r="BZ228" i="1"/>
  <c r="AH282" i="1"/>
  <c r="AI282" i="1" s="1"/>
  <c r="AH283" i="1"/>
  <c r="AI281" i="1"/>
  <c r="AR82" i="1"/>
  <c r="AR83" i="1"/>
  <c r="AS83" i="1" s="1"/>
  <c r="AS81" i="1"/>
  <c r="AX334" i="1"/>
  <c r="AB118" i="1"/>
  <c r="AB117" i="1"/>
  <c r="BP282" i="1"/>
  <c r="BR282" i="1" s="1"/>
  <c r="BP283" i="1"/>
  <c r="BR281" i="1"/>
  <c r="BA177" i="1"/>
  <c r="BA178" i="1"/>
  <c r="AG335" i="1"/>
  <c r="AG334" i="1"/>
  <c r="AI333" i="1"/>
  <c r="AM122" i="1"/>
  <c r="AM121" i="1"/>
  <c r="AN121" i="1" s="1"/>
  <c r="AN120" i="1"/>
  <c r="AI83" i="1"/>
  <c r="BK88" i="1"/>
  <c r="BK87" i="1"/>
  <c r="CA180" i="1"/>
  <c r="CA179" i="1"/>
  <c r="BB337" i="1"/>
  <c r="BB336" i="1"/>
  <c r="BC335" i="1"/>
  <c r="AD117" i="1"/>
  <c r="AB283" i="1"/>
  <c r="AB282" i="1"/>
  <c r="AI280" i="1"/>
  <c r="BG336" i="1"/>
  <c r="BH336" i="1" s="1"/>
  <c r="BG337" i="1"/>
  <c r="BH335" i="1"/>
  <c r="AW337" i="1"/>
  <c r="AW336" i="1"/>
  <c r="AX335" i="1"/>
  <c r="AH29" i="1"/>
  <c r="AI28" i="1"/>
  <c r="CA84" i="1" l="1"/>
  <c r="CB82" i="1"/>
  <c r="CH333" i="1"/>
  <c r="CH170" i="1"/>
  <c r="AW178" i="1"/>
  <c r="AW177" i="1"/>
  <c r="AX177" i="1" s="1"/>
  <c r="AX176" i="1"/>
  <c r="AH122" i="1"/>
  <c r="AH121" i="1"/>
  <c r="AH30" i="1"/>
  <c r="AI29" i="1"/>
  <c r="BC336" i="1"/>
  <c r="AH339" i="1"/>
  <c r="AI337" i="1"/>
  <c r="AH338" i="1"/>
  <c r="AB339" i="1"/>
  <c r="AB338" i="1"/>
  <c r="BZ122" i="1"/>
  <c r="BZ121" i="1"/>
  <c r="CB121" i="1" s="1"/>
  <c r="BZ340" i="1"/>
  <c r="BZ341" i="1"/>
  <c r="BP86" i="1"/>
  <c r="BP85" i="1"/>
  <c r="BL85" i="1"/>
  <c r="BM85" i="1" s="1"/>
  <c r="BL86" i="1"/>
  <c r="BM84" i="1"/>
  <c r="BL339" i="1"/>
  <c r="BL338" i="1"/>
  <c r="BM338" i="1" s="1"/>
  <c r="BM337" i="1"/>
  <c r="AL124" i="1"/>
  <c r="AL123" i="1"/>
  <c r="AL180" i="1"/>
  <c r="AL179" i="1"/>
  <c r="AG122" i="1"/>
  <c r="AG121" i="1"/>
  <c r="AI121" i="1" s="1"/>
  <c r="AI120" i="1"/>
  <c r="AH175" i="1"/>
  <c r="AH176" i="1"/>
  <c r="AI174" i="1"/>
  <c r="BA92" i="1"/>
  <c r="BA93" i="1"/>
  <c r="BU285" i="1"/>
  <c r="BU284" i="1"/>
  <c r="BB339" i="1"/>
  <c r="BB338" i="1"/>
  <c r="BC337" i="1"/>
  <c r="BP285" i="1"/>
  <c r="BP284" i="1"/>
  <c r="BZ231" i="1"/>
  <c r="BZ230" i="1"/>
  <c r="AI336" i="1"/>
  <c r="AV337" i="1"/>
  <c r="AX337" i="1" s="1"/>
  <c r="AV336" i="1"/>
  <c r="AX336" i="1" s="1"/>
  <c r="AV235" i="1"/>
  <c r="AV234" i="1"/>
  <c r="BV121" i="1"/>
  <c r="BV122" i="1"/>
  <c r="BW120" i="1"/>
  <c r="AB230" i="1"/>
  <c r="AB231" i="1"/>
  <c r="BF86" i="1"/>
  <c r="BF85" i="1"/>
  <c r="BH85" i="1" s="1"/>
  <c r="BH84" i="1"/>
  <c r="AM85" i="1"/>
  <c r="AN85" i="1" s="1"/>
  <c r="AM86" i="1"/>
  <c r="AN84" i="1"/>
  <c r="AD229" i="1"/>
  <c r="AW122" i="1"/>
  <c r="AW121" i="1"/>
  <c r="AX121" i="1" s="1"/>
  <c r="AX120" i="1"/>
  <c r="AV82" i="1"/>
  <c r="AV84" i="1" s="1"/>
  <c r="AV83" i="1"/>
  <c r="BF122" i="1"/>
  <c r="BF121" i="1"/>
  <c r="AI173" i="1"/>
  <c r="AC84" i="1"/>
  <c r="AV285" i="1"/>
  <c r="AV284" i="1"/>
  <c r="BM228" i="1"/>
  <c r="AG337" i="1"/>
  <c r="AG336" i="1"/>
  <c r="CA124" i="1"/>
  <c r="CA123" i="1"/>
  <c r="B28" i="1"/>
  <c r="AH230" i="1"/>
  <c r="AI230" i="1" s="1"/>
  <c r="AH231" i="1"/>
  <c r="AI229" i="1"/>
  <c r="BG285" i="1"/>
  <c r="BG284" i="1"/>
  <c r="BH284" i="1" s="1"/>
  <c r="BH283" i="1"/>
  <c r="BW119" i="1"/>
  <c r="AD230" i="1"/>
  <c r="BK343" i="1"/>
  <c r="BK342" i="1"/>
  <c r="AL285" i="1"/>
  <c r="AL284" i="1"/>
  <c r="AN284" i="1" s="1"/>
  <c r="BL231" i="1"/>
  <c r="BL230" i="1"/>
  <c r="BM229" i="1"/>
  <c r="BC228" i="1"/>
  <c r="AW339" i="1"/>
  <c r="AW338" i="1"/>
  <c r="BA179" i="1"/>
  <c r="BA180" i="1"/>
  <c r="BQ29" i="1"/>
  <c r="BR28" i="1"/>
  <c r="BV30" i="1"/>
  <c r="BW29" i="1"/>
  <c r="AC339" i="1"/>
  <c r="AC338" i="1"/>
  <c r="AD337" i="1"/>
  <c r="AC232" i="1"/>
  <c r="AC233" i="1"/>
  <c r="AD231" i="1"/>
  <c r="BZ178" i="1"/>
  <c r="BZ177" i="1"/>
  <c r="CB177" i="1" s="1"/>
  <c r="CB176" i="1"/>
  <c r="BF229" i="1"/>
  <c r="BF228" i="1"/>
  <c r="BH228" i="1" s="1"/>
  <c r="CA38" i="1"/>
  <c r="CB37" i="1"/>
  <c r="BG90" i="1"/>
  <c r="BG89" i="1"/>
  <c r="AR341" i="1"/>
  <c r="AR340" i="1"/>
  <c r="AS339" i="1"/>
  <c r="BP339" i="1"/>
  <c r="BR339" i="1" s="1"/>
  <c r="BP338" i="1"/>
  <c r="BR338" i="1" s="1"/>
  <c r="BG122" i="1"/>
  <c r="BG121" i="1"/>
  <c r="BH120" i="1"/>
  <c r="AQ122" i="1"/>
  <c r="AQ121" i="1"/>
  <c r="BF338" i="1"/>
  <c r="BF339" i="1"/>
  <c r="BB230" i="1"/>
  <c r="BC230" i="1" s="1"/>
  <c r="BB231" i="1"/>
  <c r="BC229" i="1"/>
  <c r="AB120" i="1"/>
  <c r="AB119" i="1"/>
  <c r="BQ84" i="1"/>
  <c r="BR82" i="1"/>
  <c r="AG175" i="1"/>
  <c r="AG176" i="1"/>
  <c r="BU178" i="1"/>
  <c r="BU177" i="1"/>
  <c r="BB285" i="1"/>
  <c r="BB284" i="1"/>
  <c r="BC284" i="1" s="1"/>
  <c r="BC283" i="1"/>
  <c r="AM175" i="1"/>
  <c r="AN175" i="1" s="1"/>
  <c r="AM176" i="1"/>
  <c r="AN174" i="1"/>
  <c r="AD336" i="1"/>
  <c r="BR337" i="1"/>
  <c r="AR231" i="1"/>
  <c r="AR230" i="1"/>
  <c r="AS229" i="1"/>
  <c r="BV178" i="1"/>
  <c r="BV177" i="1"/>
  <c r="BW177" i="1" s="1"/>
  <c r="BW176" i="1"/>
  <c r="BU339" i="1"/>
  <c r="BU338" i="1"/>
  <c r="BW338" i="1" s="1"/>
  <c r="AC26" i="1"/>
  <c r="AD25" i="1"/>
  <c r="BG338" i="1"/>
  <c r="BG339" i="1"/>
  <c r="BH337" i="1"/>
  <c r="CA182" i="1"/>
  <c r="CA181" i="1"/>
  <c r="AL235" i="1"/>
  <c r="AL234" i="1"/>
  <c r="AL90" i="1"/>
  <c r="AL89" i="1"/>
  <c r="AL91" i="1" s="1"/>
  <c r="B29" i="1"/>
  <c r="AM340" i="1"/>
  <c r="AN340" i="1" s="1"/>
  <c r="AM341" i="1"/>
  <c r="AN339" i="1"/>
  <c r="BA286" i="1"/>
  <c r="BA287" i="1"/>
  <c r="BA231" i="1"/>
  <c r="BA230" i="1"/>
  <c r="BQ233" i="1"/>
  <c r="BQ232" i="1"/>
  <c r="BW175" i="1"/>
  <c r="BA25" i="1"/>
  <c r="BC24" i="1"/>
  <c r="AG285" i="1"/>
  <c r="AG284" i="1"/>
  <c r="BM29" i="1"/>
  <c r="BL30" i="1"/>
  <c r="BV86" i="1"/>
  <c r="BW84" i="1"/>
  <c r="BV85" i="1"/>
  <c r="BW85" i="1" s="1"/>
  <c r="AM287" i="1"/>
  <c r="AM286" i="1"/>
  <c r="AN285" i="1"/>
  <c r="AQ177" i="1"/>
  <c r="AQ178" i="1"/>
  <c r="BQ340" i="1"/>
  <c r="BQ341" i="1"/>
  <c r="AL343" i="1"/>
  <c r="AL342" i="1"/>
  <c r="BV285" i="1"/>
  <c r="BV284" i="1"/>
  <c r="BW283" i="1"/>
  <c r="AB83" i="1"/>
  <c r="AD83" i="1" s="1"/>
  <c r="AB82" i="1"/>
  <c r="AB84" i="1" s="1"/>
  <c r="BL284" i="1"/>
  <c r="BM284" i="1" s="1"/>
  <c r="BL285" i="1"/>
  <c r="BM283" i="1"/>
  <c r="BR230" i="1"/>
  <c r="AB174" i="1"/>
  <c r="AB173" i="1"/>
  <c r="AD173" i="1" s="1"/>
  <c r="CA338" i="1"/>
  <c r="CB338" i="1" s="1"/>
  <c r="CA339" i="1"/>
  <c r="CB337" i="1"/>
  <c r="AQ231" i="1"/>
  <c r="AQ230" i="1"/>
  <c r="BA124" i="1"/>
  <c r="BA123" i="1"/>
  <c r="AC175" i="1"/>
  <c r="AC176" i="1"/>
  <c r="AD174" i="1"/>
  <c r="BK89" i="1"/>
  <c r="BK91" i="1" s="1"/>
  <c r="BK90" i="1"/>
  <c r="BF176" i="1"/>
  <c r="BF175" i="1"/>
  <c r="BP122" i="1"/>
  <c r="BP121" i="1"/>
  <c r="BA339" i="1"/>
  <c r="BA338" i="1"/>
  <c r="BQ177" i="1"/>
  <c r="BQ178" i="1"/>
  <c r="BR176" i="1"/>
  <c r="BR120" i="1"/>
  <c r="BB123" i="1"/>
  <c r="BC122" i="1"/>
  <c r="BB124" i="1"/>
  <c r="BB178" i="1"/>
  <c r="BB177" i="1"/>
  <c r="BC177" i="1" s="1"/>
  <c r="BC176" i="1"/>
  <c r="BB35" i="1"/>
  <c r="BF289" i="1"/>
  <c r="BF288" i="1"/>
  <c r="AV182" i="1"/>
  <c r="AV181" i="1"/>
  <c r="AV124" i="1"/>
  <c r="AV123" i="1"/>
  <c r="AR84" i="1"/>
  <c r="AS82" i="1"/>
  <c r="BZ291" i="1"/>
  <c r="BZ290" i="1"/>
  <c r="AW284" i="1"/>
  <c r="AW285" i="1"/>
  <c r="AX283" i="1"/>
  <c r="BV341" i="1"/>
  <c r="BV340" i="1"/>
  <c r="AW84" i="1"/>
  <c r="AX82" i="1"/>
  <c r="BR121" i="1"/>
  <c r="AR121" i="1"/>
  <c r="AS121" i="1" s="1"/>
  <c r="AR122" i="1"/>
  <c r="AS120" i="1"/>
  <c r="CA230" i="1"/>
  <c r="CB230" i="1" s="1"/>
  <c r="CA231" i="1"/>
  <c r="CB229" i="1"/>
  <c r="BK230" i="1"/>
  <c r="BK231" i="1"/>
  <c r="BU87" i="1"/>
  <c r="BU88" i="1"/>
  <c r="AG86" i="1"/>
  <c r="AG85" i="1"/>
  <c r="BG176" i="1"/>
  <c r="BG175" i="1"/>
  <c r="BH175" i="1" s="1"/>
  <c r="BH174" i="1"/>
  <c r="BL176" i="1"/>
  <c r="BL175" i="1"/>
  <c r="BM175" i="1" s="1"/>
  <c r="BM174" i="1"/>
  <c r="BU121" i="1"/>
  <c r="BU122" i="1"/>
  <c r="BH227" i="1"/>
  <c r="BB85" i="1"/>
  <c r="BC85" i="1" s="1"/>
  <c r="BB86" i="1"/>
  <c r="BC84" i="1"/>
  <c r="AQ285" i="1"/>
  <c r="AQ284" i="1"/>
  <c r="AW30" i="1"/>
  <c r="AX29" i="1"/>
  <c r="AB284" i="1"/>
  <c r="AB285" i="1"/>
  <c r="AR176" i="1"/>
  <c r="AR175" i="1"/>
  <c r="AS175" i="1" s="1"/>
  <c r="AS174" i="1"/>
  <c r="BK175" i="1"/>
  <c r="BK176" i="1"/>
  <c r="AX83" i="1"/>
  <c r="BQ124" i="1"/>
  <c r="BQ123" i="1"/>
  <c r="BR122" i="1"/>
  <c r="BH173" i="1"/>
  <c r="BM173" i="1"/>
  <c r="AD118" i="1"/>
  <c r="BG230" i="1"/>
  <c r="BG231" i="1"/>
  <c r="BH229" i="1"/>
  <c r="AW231" i="1"/>
  <c r="AW230" i="1"/>
  <c r="AX230" i="1" s="1"/>
  <c r="AX229" i="1"/>
  <c r="AI82" i="1"/>
  <c r="AH285" i="1"/>
  <c r="AH284" i="1"/>
  <c r="AI284" i="1" s="1"/>
  <c r="AI283" i="1"/>
  <c r="BK123" i="1"/>
  <c r="BK124" i="1"/>
  <c r="BU231" i="1"/>
  <c r="BU230" i="1"/>
  <c r="AM233" i="1"/>
  <c r="AM232" i="1"/>
  <c r="AN232" i="1" s="1"/>
  <c r="AN231" i="1"/>
  <c r="AQ339" i="1"/>
  <c r="AQ338" i="1"/>
  <c r="AS338" i="1" s="1"/>
  <c r="BP230" i="1"/>
  <c r="BP231" i="1"/>
  <c r="BR231" i="1" s="1"/>
  <c r="AG235" i="1"/>
  <c r="AG234" i="1"/>
  <c r="BW228" i="1"/>
  <c r="BR284" i="1"/>
  <c r="BL122" i="1"/>
  <c r="BL121" i="1"/>
  <c r="BM121" i="1" s="1"/>
  <c r="BM120" i="1"/>
  <c r="AR31" i="1"/>
  <c r="AS30" i="1"/>
  <c r="CA285" i="1"/>
  <c r="CA284" i="1"/>
  <c r="CB284" i="1" s="1"/>
  <c r="CB283" i="1"/>
  <c r="BK287" i="1"/>
  <c r="BK286" i="1"/>
  <c r="AC122" i="1"/>
  <c r="AC121" i="1"/>
  <c r="AD120" i="1"/>
  <c r="AD282" i="1"/>
  <c r="AH86" i="1"/>
  <c r="AH85" i="1"/>
  <c r="AI85" i="1" s="1"/>
  <c r="AI84" i="1"/>
  <c r="AM124" i="1"/>
  <c r="AM123" i="1"/>
  <c r="AN123" i="1" s="1"/>
  <c r="AN122" i="1"/>
  <c r="BZ93" i="1"/>
  <c r="BZ92" i="1"/>
  <c r="AR284" i="1"/>
  <c r="AR285" i="1"/>
  <c r="AS283" i="1"/>
  <c r="BP175" i="1"/>
  <c r="BR175" i="1" s="1"/>
  <c r="BP176" i="1"/>
  <c r="AQ85" i="1"/>
  <c r="AQ86" i="1"/>
  <c r="BV230" i="1"/>
  <c r="BW230" i="1" s="1"/>
  <c r="BV231" i="1"/>
  <c r="BW229" i="1"/>
  <c r="BQ287" i="1"/>
  <c r="BQ286" i="1"/>
  <c r="BR285" i="1"/>
  <c r="AD119" i="1"/>
  <c r="AC285" i="1"/>
  <c r="AC284" i="1"/>
  <c r="AD283" i="1"/>
  <c r="CA86" i="1" l="1"/>
  <c r="CA85" i="1"/>
  <c r="CB85" i="1" s="1"/>
  <c r="CB84" i="1"/>
  <c r="AH124" i="1"/>
  <c r="AH123" i="1"/>
  <c r="AW179" i="1"/>
  <c r="AX179" i="1" s="1"/>
  <c r="AX178" i="1"/>
  <c r="AW180" i="1"/>
  <c r="AR287" i="1"/>
  <c r="AR286" i="1"/>
  <c r="AS286" i="1" s="1"/>
  <c r="AS285" i="1"/>
  <c r="AS31" i="1"/>
  <c r="AR32" i="1"/>
  <c r="AH286" i="1"/>
  <c r="AI285" i="1"/>
  <c r="AH287" i="1"/>
  <c r="AG87" i="1"/>
  <c r="AG88" i="1"/>
  <c r="AW287" i="1"/>
  <c r="AW286" i="1"/>
  <c r="AX285" i="1"/>
  <c r="AV126" i="1"/>
  <c r="AV125" i="1"/>
  <c r="BB179" i="1"/>
  <c r="BC179" i="1" s="1"/>
  <c r="BB180" i="1"/>
  <c r="BC178" i="1"/>
  <c r="BL287" i="1"/>
  <c r="BL286" i="1"/>
  <c r="BM286" i="1" s="1"/>
  <c r="BM285" i="1"/>
  <c r="AL345" i="1"/>
  <c r="AL344" i="1"/>
  <c r="AN286" i="1"/>
  <c r="BA288" i="1"/>
  <c r="BA289" i="1"/>
  <c r="AR233" i="1"/>
  <c r="AR232" i="1"/>
  <c r="AS231" i="1"/>
  <c r="BA181" i="1"/>
  <c r="BA182" i="1"/>
  <c r="AM88" i="1"/>
  <c r="AM87" i="1"/>
  <c r="AN87" i="1" s="1"/>
  <c r="AN86" i="1"/>
  <c r="BV124" i="1"/>
  <c r="BV123" i="1"/>
  <c r="BW122" i="1"/>
  <c r="AH178" i="1"/>
  <c r="AH177" i="1"/>
  <c r="AI176" i="1"/>
  <c r="AS284" i="1"/>
  <c r="AQ341" i="1"/>
  <c r="AQ340" i="1"/>
  <c r="BU90" i="1"/>
  <c r="BU89" i="1"/>
  <c r="BU91" i="1" s="1"/>
  <c r="AX284" i="1"/>
  <c r="BB125" i="1"/>
  <c r="BB126" i="1"/>
  <c r="BC124" i="1"/>
  <c r="AM289" i="1"/>
  <c r="AM288" i="1"/>
  <c r="AN287" i="1"/>
  <c r="B31" i="1"/>
  <c r="AL93" i="1"/>
  <c r="AL92" i="1"/>
  <c r="BB286" i="1"/>
  <c r="BC286" i="1" s="1"/>
  <c r="BB287" i="1"/>
  <c r="BC285" i="1"/>
  <c r="AB122" i="1"/>
  <c r="AB121" i="1"/>
  <c r="AG339" i="1"/>
  <c r="AG338" i="1"/>
  <c r="AI338" i="1" s="1"/>
  <c r="BW121" i="1"/>
  <c r="BP287" i="1"/>
  <c r="BP286" i="1"/>
  <c r="BR286" i="1" s="1"/>
  <c r="AI175" i="1"/>
  <c r="AD121" i="1"/>
  <c r="BU124" i="1"/>
  <c r="BU123" i="1"/>
  <c r="BF178" i="1"/>
  <c r="BF177" i="1"/>
  <c r="AQ233" i="1"/>
  <c r="AQ232" i="1"/>
  <c r="BQ343" i="1"/>
  <c r="BQ342" i="1"/>
  <c r="BR341" i="1"/>
  <c r="AG286" i="1"/>
  <c r="AG287" i="1"/>
  <c r="AD26" i="1"/>
  <c r="AC27" i="1"/>
  <c r="BH121" i="1"/>
  <c r="AD338" i="1"/>
  <c r="AL287" i="1"/>
  <c r="AL286" i="1"/>
  <c r="BF123" i="1"/>
  <c r="BF124" i="1"/>
  <c r="BL341" i="1"/>
  <c r="BL340" i="1"/>
  <c r="BM340" i="1" s="1"/>
  <c r="BM339" i="1"/>
  <c r="BZ343" i="1"/>
  <c r="BZ342" i="1"/>
  <c r="BQ288" i="1"/>
  <c r="BQ289" i="1"/>
  <c r="BZ94" i="1"/>
  <c r="BZ95" i="1"/>
  <c r="AC123" i="1"/>
  <c r="AD122" i="1"/>
  <c r="AC124" i="1"/>
  <c r="BL123" i="1"/>
  <c r="BM123" i="1" s="1"/>
  <c r="BL124" i="1"/>
  <c r="BM122" i="1"/>
  <c r="AR177" i="1"/>
  <c r="AS177" i="1" s="1"/>
  <c r="AR178" i="1"/>
  <c r="AS176" i="1"/>
  <c r="BK233" i="1"/>
  <c r="BK232" i="1"/>
  <c r="BZ293" i="1"/>
  <c r="BZ292" i="1"/>
  <c r="BC123" i="1"/>
  <c r="AB86" i="1"/>
  <c r="AB85" i="1"/>
  <c r="BR340" i="1"/>
  <c r="BG124" i="1"/>
  <c r="BG123" i="1"/>
  <c r="BH123" i="1" s="1"/>
  <c r="BH122" i="1"/>
  <c r="CA39" i="1"/>
  <c r="CB38" i="1"/>
  <c r="AC340" i="1"/>
  <c r="AD340" i="1" s="1"/>
  <c r="AC341" i="1"/>
  <c r="AD339" i="1"/>
  <c r="BG286" i="1"/>
  <c r="BH286" i="1" s="1"/>
  <c r="BH285" i="1"/>
  <c r="BG287" i="1"/>
  <c r="AV237" i="1"/>
  <c r="AV236" i="1"/>
  <c r="BC338" i="1"/>
  <c r="AH31" i="1"/>
  <c r="AI30" i="1"/>
  <c r="AM234" i="1"/>
  <c r="AN234" i="1" s="1"/>
  <c r="AN233" i="1"/>
  <c r="AM235" i="1"/>
  <c r="AW232" i="1"/>
  <c r="AX232" i="1" s="1"/>
  <c r="AX231" i="1"/>
  <c r="AW233" i="1"/>
  <c r="AB287" i="1"/>
  <c r="AB286" i="1"/>
  <c r="BK93" i="1"/>
  <c r="BK92" i="1"/>
  <c r="CA341" i="1"/>
  <c r="CA340" i="1"/>
  <c r="CB340" i="1" s="1"/>
  <c r="CB339" i="1"/>
  <c r="BA26" i="1"/>
  <c r="BC25" i="1"/>
  <c r="BU341" i="1"/>
  <c r="BU340" i="1"/>
  <c r="BU180" i="1"/>
  <c r="BU179" i="1"/>
  <c r="AW340" i="1"/>
  <c r="AW341" i="1"/>
  <c r="BK344" i="1"/>
  <c r="BK345" i="1"/>
  <c r="BF88" i="1"/>
  <c r="BF87" i="1"/>
  <c r="BH87" i="1" s="1"/>
  <c r="BH86" i="1"/>
  <c r="BB341" i="1"/>
  <c r="BC339" i="1"/>
  <c r="BB340" i="1"/>
  <c r="BL87" i="1"/>
  <c r="BM87" i="1" s="1"/>
  <c r="BL88" i="1"/>
  <c r="BM86" i="1"/>
  <c r="BV232" i="1"/>
  <c r="BW231" i="1"/>
  <c r="BV233" i="1"/>
  <c r="AR85" i="1"/>
  <c r="AS85" i="1" s="1"/>
  <c r="AR86" i="1"/>
  <c r="AS84" i="1"/>
  <c r="AV183" i="1"/>
  <c r="AV184" i="1"/>
  <c r="AQ179" i="1"/>
  <c r="AQ180" i="1"/>
  <c r="AM342" i="1"/>
  <c r="AN342" i="1" s="1"/>
  <c r="AM343" i="1"/>
  <c r="AN341" i="1"/>
  <c r="AL236" i="1"/>
  <c r="AL237" i="1"/>
  <c r="BF231" i="1"/>
  <c r="BF230" i="1"/>
  <c r="AH233" i="1"/>
  <c r="AI231" i="1"/>
  <c r="AH232" i="1"/>
  <c r="AI232" i="1" s="1"/>
  <c r="AV85" i="1"/>
  <c r="AV86" i="1"/>
  <c r="AG123" i="1"/>
  <c r="AI123" i="1" s="1"/>
  <c r="AG124" i="1"/>
  <c r="AI122" i="1"/>
  <c r="BZ124" i="1"/>
  <c r="BZ123" i="1"/>
  <c r="CB123" i="1" s="1"/>
  <c r="AN124" i="1"/>
  <c r="AM125" i="1"/>
  <c r="AM126" i="1"/>
  <c r="BK289" i="1"/>
  <c r="BK288" i="1"/>
  <c r="BU232" i="1"/>
  <c r="BU233" i="1"/>
  <c r="BL178" i="1"/>
  <c r="BL177" i="1"/>
  <c r="BM177" i="1" s="1"/>
  <c r="BM176" i="1"/>
  <c r="CA233" i="1"/>
  <c r="CA232" i="1"/>
  <c r="CB231" i="1"/>
  <c r="BQ180" i="1"/>
  <c r="BQ179" i="1"/>
  <c r="BR178" i="1"/>
  <c r="BR232" i="1"/>
  <c r="AG178" i="1"/>
  <c r="AG177" i="1"/>
  <c r="BB233" i="1"/>
  <c r="BB232" i="1"/>
  <c r="BC231" i="1"/>
  <c r="BP340" i="1"/>
  <c r="BP341" i="1"/>
  <c r="AV338" i="1"/>
  <c r="AX338" i="1" s="1"/>
  <c r="AV339" i="1"/>
  <c r="AX339" i="1" s="1"/>
  <c r="BU286" i="1"/>
  <c r="BU287" i="1"/>
  <c r="AQ87" i="1"/>
  <c r="AQ88" i="1"/>
  <c r="BG232" i="1"/>
  <c r="BG233" i="1"/>
  <c r="AW31" i="1"/>
  <c r="AX30" i="1"/>
  <c r="AW86" i="1"/>
  <c r="AW85" i="1"/>
  <c r="AX85" i="1" s="1"/>
  <c r="AX84" i="1"/>
  <c r="BF291" i="1"/>
  <c r="BF290" i="1"/>
  <c r="BR177" i="1"/>
  <c r="AC177" i="1"/>
  <c r="AC178" i="1"/>
  <c r="B33" i="1"/>
  <c r="B34" i="1"/>
  <c r="B30" i="1"/>
  <c r="AV287" i="1"/>
  <c r="AV286" i="1"/>
  <c r="AL181" i="1"/>
  <c r="AL182" i="1"/>
  <c r="AB341" i="1"/>
  <c r="AB340" i="1"/>
  <c r="BK126" i="1"/>
  <c r="BK125" i="1"/>
  <c r="BH230" i="1"/>
  <c r="BQ126" i="1"/>
  <c r="BQ125" i="1"/>
  <c r="BR124" i="1"/>
  <c r="BW340" i="1"/>
  <c r="AD175" i="1"/>
  <c r="AB175" i="1"/>
  <c r="AB176" i="1"/>
  <c r="AD176" i="1" s="1"/>
  <c r="BV88" i="1"/>
  <c r="BV87" i="1"/>
  <c r="BW87" i="1" s="1"/>
  <c r="BW86" i="1"/>
  <c r="BQ235" i="1"/>
  <c r="BQ234" i="1"/>
  <c r="BR233" i="1"/>
  <c r="CA184" i="1"/>
  <c r="CA183" i="1"/>
  <c r="BV179" i="1"/>
  <c r="BV180" i="1"/>
  <c r="BW178" i="1"/>
  <c r="BF340" i="1"/>
  <c r="BF341" i="1"/>
  <c r="AS340" i="1"/>
  <c r="BZ180" i="1"/>
  <c r="BZ179" i="1"/>
  <c r="CB179" i="1" s="1"/>
  <c r="CB178" i="1"/>
  <c r="BM230" i="1"/>
  <c r="AD82" i="1"/>
  <c r="AW124" i="1"/>
  <c r="AW123" i="1"/>
  <c r="AX123" i="1" s="1"/>
  <c r="AX122" i="1"/>
  <c r="BP88" i="1"/>
  <c r="BP87" i="1"/>
  <c r="AD284" i="1"/>
  <c r="BP177" i="1"/>
  <c r="BP178" i="1"/>
  <c r="AH88" i="1"/>
  <c r="AH87" i="1"/>
  <c r="AI87" i="1" s="1"/>
  <c r="AI86" i="1"/>
  <c r="CA286" i="1"/>
  <c r="CB286" i="1" s="1"/>
  <c r="CA287" i="1"/>
  <c r="CB285" i="1"/>
  <c r="AG237" i="1"/>
  <c r="AG236" i="1"/>
  <c r="AQ287" i="1"/>
  <c r="AQ286" i="1"/>
  <c r="AR123" i="1"/>
  <c r="AR124" i="1"/>
  <c r="AS122" i="1"/>
  <c r="BW339" i="1"/>
  <c r="BB36" i="1"/>
  <c r="BA341" i="1"/>
  <c r="BA340" i="1"/>
  <c r="BW284" i="1"/>
  <c r="AM177" i="1"/>
  <c r="AN177" i="1" s="1"/>
  <c r="AM178" i="1"/>
  <c r="AN176" i="1"/>
  <c r="AR343" i="1"/>
  <c r="AR342" i="1"/>
  <c r="AS341" i="1"/>
  <c r="BV31" i="1"/>
  <c r="BW30" i="1"/>
  <c r="BL232" i="1"/>
  <c r="BM232" i="1" s="1"/>
  <c r="BL233" i="1"/>
  <c r="BM231" i="1"/>
  <c r="CB122" i="1"/>
  <c r="AC85" i="1"/>
  <c r="AD85" i="1" s="1"/>
  <c r="AC86" i="1"/>
  <c r="AD84" i="1"/>
  <c r="AB233" i="1"/>
  <c r="AD233" i="1" s="1"/>
  <c r="AB232" i="1"/>
  <c r="BA94" i="1"/>
  <c r="BA95" i="1"/>
  <c r="AC287" i="1"/>
  <c r="AC286" i="1"/>
  <c r="AD285" i="1"/>
  <c r="BP233" i="1"/>
  <c r="BP232" i="1"/>
  <c r="BG177" i="1"/>
  <c r="BH177" i="1" s="1"/>
  <c r="BG178" i="1"/>
  <c r="BH176" i="1"/>
  <c r="BV343" i="1"/>
  <c r="BV342" i="1"/>
  <c r="BW341" i="1"/>
  <c r="BV286" i="1"/>
  <c r="BV287" i="1"/>
  <c r="BW285" i="1"/>
  <c r="BL31" i="1"/>
  <c r="BM30" i="1"/>
  <c r="BA232" i="1"/>
  <c r="BA233" i="1"/>
  <c r="BG341" i="1"/>
  <c r="BG340" i="1"/>
  <c r="BH340" i="1" s="1"/>
  <c r="BH339" i="1"/>
  <c r="AC235" i="1"/>
  <c r="AC234" i="1"/>
  <c r="AL125" i="1"/>
  <c r="AL126" i="1"/>
  <c r="AH340" i="1"/>
  <c r="AH341" i="1"/>
  <c r="AI339" i="1"/>
  <c r="BK178" i="1"/>
  <c r="BK177" i="1"/>
  <c r="BB87" i="1"/>
  <c r="BC87" i="1" s="1"/>
  <c r="BB88" i="1"/>
  <c r="BC86" i="1"/>
  <c r="B32" i="1"/>
  <c r="BP124" i="1"/>
  <c r="BP123" i="1"/>
  <c r="BR123" i="1" s="1"/>
  <c r="BA125" i="1"/>
  <c r="BA126" i="1"/>
  <c r="BH338" i="1"/>
  <c r="AS230" i="1"/>
  <c r="BQ85" i="1"/>
  <c r="BR85" i="1" s="1"/>
  <c r="BQ86" i="1"/>
  <c r="BR84" i="1"/>
  <c r="AQ123" i="1"/>
  <c r="AQ124" i="1"/>
  <c r="BG91" i="1"/>
  <c r="AD232" i="1"/>
  <c r="BQ30" i="1"/>
  <c r="BR29" i="1"/>
  <c r="CA125" i="1"/>
  <c r="CA126" i="1"/>
  <c r="CB124" i="1"/>
  <c r="BZ233" i="1"/>
  <c r="BZ232" i="1"/>
  <c r="CA88" i="1" l="1"/>
  <c r="CA87" i="1"/>
  <c r="CB87" i="1" s="1"/>
  <c r="CB86" i="1"/>
  <c r="AW181" i="1"/>
  <c r="AX181" i="1" s="1"/>
  <c r="AW182" i="1"/>
  <c r="AX180" i="1"/>
  <c r="AH125" i="1"/>
  <c r="AH126" i="1"/>
  <c r="CA128" i="1"/>
  <c r="CA127" i="1"/>
  <c r="CB126" i="1"/>
  <c r="AS123" i="1"/>
  <c r="BW179" i="1"/>
  <c r="BF293" i="1"/>
  <c r="BF292" i="1"/>
  <c r="BH232" i="1"/>
  <c r="BC232" i="1"/>
  <c r="BU342" i="1"/>
  <c r="BU343" i="1"/>
  <c r="BQ291" i="1"/>
  <c r="BQ290" i="1"/>
  <c r="BR289" i="1"/>
  <c r="BQ345" i="1"/>
  <c r="BQ344" i="1"/>
  <c r="BW123" i="1"/>
  <c r="AR234" i="1"/>
  <c r="AR235" i="1"/>
  <c r="AS233" i="1"/>
  <c r="BB181" i="1"/>
  <c r="BC181" i="1" s="1"/>
  <c r="BB182" i="1"/>
  <c r="BC180" i="1"/>
  <c r="AI286" i="1"/>
  <c r="BK180" i="1"/>
  <c r="BK179" i="1"/>
  <c r="BV289" i="1"/>
  <c r="BV288" i="1"/>
  <c r="BW287" i="1"/>
  <c r="AD286" i="1"/>
  <c r="B35" i="1"/>
  <c r="AQ89" i="1"/>
  <c r="AQ91" i="1" s="1"/>
  <c r="AQ90" i="1"/>
  <c r="BB234" i="1"/>
  <c r="BB235" i="1"/>
  <c r="BC233" i="1"/>
  <c r="CB232" i="1"/>
  <c r="AQ181" i="1"/>
  <c r="AQ182" i="1"/>
  <c r="BW232" i="1"/>
  <c r="BK347" i="1"/>
  <c r="BK346" i="1"/>
  <c r="AM237" i="1"/>
  <c r="AM236" i="1"/>
  <c r="AN236" i="1" s="1"/>
  <c r="AN235" i="1"/>
  <c r="AR180" i="1"/>
  <c r="AR179" i="1"/>
  <c r="AS179" i="1" s="1"/>
  <c r="AS178" i="1"/>
  <c r="BR288" i="1"/>
  <c r="BV125" i="1"/>
  <c r="BW125" i="1" s="1"/>
  <c r="BV126" i="1"/>
  <c r="BW124" i="1"/>
  <c r="AR33" i="1"/>
  <c r="AS32" i="1"/>
  <c r="BW286" i="1"/>
  <c r="AC289" i="1"/>
  <c r="AC288" i="1"/>
  <c r="AD287" i="1"/>
  <c r="BL234" i="1"/>
  <c r="BL235" i="1"/>
  <c r="BM233" i="1"/>
  <c r="AQ289" i="1"/>
  <c r="AQ288" i="1"/>
  <c r="CA234" i="1"/>
  <c r="CA235" i="1"/>
  <c r="CB233" i="1"/>
  <c r="BZ125" i="1"/>
  <c r="CB125" i="1" s="1"/>
  <c r="BZ126" i="1"/>
  <c r="BA27" i="1"/>
  <c r="BC26" i="1"/>
  <c r="AQ234" i="1"/>
  <c r="AQ235" i="1"/>
  <c r="BU93" i="1"/>
  <c r="BU92" i="1"/>
  <c r="BA290" i="1"/>
  <c r="BA291" i="1"/>
  <c r="AC237" i="1"/>
  <c r="AC236" i="1"/>
  <c r="BA96" i="1"/>
  <c r="BA98" i="1" s="1"/>
  <c r="BA97" i="1"/>
  <c r="CA185" i="1"/>
  <c r="CA186" i="1"/>
  <c r="BU288" i="1"/>
  <c r="BU289" i="1"/>
  <c r="AG179" i="1"/>
  <c r="AG180" i="1"/>
  <c r="BF233" i="1"/>
  <c r="BF232" i="1"/>
  <c r="AV186" i="1"/>
  <c r="AV185" i="1"/>
  <c r="BL90" i="1"/>
  <c r="BM90" i="1" s="1"/>
  <c r="BL89" i="1"/>
  <c r="BM88" i="1"/>
  <c r="AC343" i="1"/>
  <c r="AC342" i="1"/>
  <c r="AD342" i="1" s="1"/>
  <c r="AD341" i="1"/>
  <c r="BZ344" i="1"/>
  <c r="BZ345" i="1"/>
  <c r="BP289" i="1"/>
  <c r="BP288" i="1"/>
  <c r="AL94" i="1"/>
  <c r="AL95" i="1"/>
  <c r="AV128" i="1"/>
  <c r="AV127" i="1"/>
  <c r="BQ31" i="1"/>
  <c r="BR30" i="1"/>
  <c r="BA128" i="1"/>
  <c r="BA127" i="1"/>
  <c r="BW342" i="1"/>
  <c r="AG238" i="1"/>
  <c r="AG239" i="1"/>
  <c r="BP89" i="1"/>
  <c r="BP91" i="1" s="1"/>
  <c r="BP90" i="1"/>
  <c r="AV288" i="1"/>
  <c r="AV289" i="1"/>
  <c r="AG126" i="1"/>
  <c r="AG125" i="1"/>
  <c r="AI125" i="1" s="1"/>
  <c r="AI124" i="1"/>
  <c r="AW343" i="1"/>
  <c r="AW342" i="1"/>
  <c r="AX341" i="1"/>
  <c r="BL126" i="1"/>
  <c r="BL125" i="1"/>
  <c r="BM125" i="1" s="1"/>
  <c r="BM124" i="1"/>
  <c r="AD27" i="1"/>
  <c r="AC28" i="1"/>
  <c r="BF180" i="1"/>
  <c r="BF179" i="1"/>
  <c r="AM90" i="1"/>
  <c r="AN90" i="1" s="1"/>
  <c r="AM89" i="1"/>
  <c r="AN88" i="1"/>
  <c r="BV345" i="1"/>
  <c r="BV344" i="1"/>
  <c r="BW343" i="1"/>
  <c r="BW31" i="1"/>
  <c r="BV32" i="1"/>
  <c r="BZ182" i="1"/>
  <c r="BZ181" i="1"/>
  <c r="CB181" i="1" s="1"/>
  <c r="CB180" i="1"/>
  <c r="BQ128" i="1"/>
  <c r="BQ127" i="1"/>
  <c r="BR126" i="1"/>
  <c r="AV341" i="1"/>
  <c r="AV340" i="1"/>
  <c r="AX340" i="1" s="1"/>
  <c r="BL179" i="1"/>
  <c r="BL180" i="1"/>
  <c r="BM178" i="1"/>
  <c r="BC340" i="1"/>
  <c r="CA342" i="1"/>
  <c r="CB342" i="1" s="1"/>
  <c r="CB341" i="1"/>
  <c r="CA343" i="1"/>
  <c r="AH32" i="1"/>
  <c r="AI31" i="1"/>
  <c r="AB88" i="1"/>
  <c r="AB87" i="1"/>
  <c r="AQ342" i="1"/>
  <c r="AQ343" i="1"/>
  <c r="AS343" i="1" s="1"/>
  <c r="BA184" i="1"/>
  <c r="BA183" i="1"/>
  <c r="AX286" i="1"/>
  <c r="AR289" i="1"/>
  <c r="AR288" i="1"/>
  <c r="AS287" i="1"/>
  <c r="AH343" i="1"/>
  <c r="AH342" i="1"/>
  <c r="BG342" i="1"/>
  <c r="BG343" i="1"/>
  <c r="BH341" i="1"/>
  <c r="AB235" i="1"/>
  <c r="AB234" i="1"/>
  <c r="AD234" i="1" s="1"/>
  <c r="BA343" i="1"/>
  <c r="BA342" i="1"/>
  <c r="CA289" i="1"/>
  <c r="CA288" i="1"/>
  <c r="CB288" i="1" s="1"/>
  <c r="CB287" i="1"/>
  <c r="BQ237" i="1"/>
  <c r="BQ236" i="1"/>
  <c r="AW88" i="1"/>
  <c r="AW87" i="1"/>
  <c r="AX86" i="1"/>
  <c r="BU235" i="1"/>
  <c r="BU234" i="1"/>
  <c r="AR87" i="1"/>
  <c r="AS87" i="1" s="1"/>
  <c r="AR88" i="1"/>
  <c r="AS86" i="1"/>
  <c r="CA40" i="1"/>
  <c r="CB39" i="1"/>
  <c r="AC126" i="1"/>
  <c r="AC125" i="1"/>
  <c r="AD124" i="1"/>
  <c r="BL343" i="1"/>
  <c r="BL342" i="1"/>
  <c r="BM342" i="1" s="1"/>
  <c r="BM341" i="1"/>
  <c r="AG289" i="1"/>
  <c r="AG288" i="1"/>
  <c r="AG341" i="1"/>
  <c r="AG340" i="1"/>
  <c r="AW288" i="1"/>
  <c r="AW289" i="1"/>
  <c r="AX287" i="1"/>
  <c r="BG93" i="1"/>
  <c r="BG92" i="1"/>
  <c r="BP126" i="1"/>
  <c r="BP125" i="1"/>
  <c r="BR125" i="1" s="1"/>
  <c r="AI340" i="1"/>
  <c r="BG180" i="1"/>
  <c r="BG179" i="1"/>
  <c r="BH179" i="1" s="1"/>
  <c r="BH178" i="1"/>
  <c r="AS342" i="1"/>
  <c r="BF343" i="1"/>
  <c r="BF342" i="1"/>
  <c r="AV88" i="1"/>
  <c r="AV87" i="1"/>
  <c r="AL238" i="1"/>
  <c r="AL239" i="1"/>
  <c r="BB343" i="1"/>
  <c r="BB342" i="1"/>
  <c r="BC342" i="1" s="1"/>
  <c r="BC341" i="1"/>
  <c r="BK95" i="1"/>
  <c r="BK94" i="1"/>
  <c r="AM290" i="1"/>
  <c r="AM291" i="1"/>
  <c r="AL347" i="1"/>
  <c r="AL346" i="1"/>
  <c r="AQ125" i="1"/>
  <c r="AQ126" i="1"/>
  <c r="BA235" i="1"/>
  <c r="BA234" i="1"/>
  <c r="AR344" i="1"/>
  <c r="AR345" i="1"/>
  <c r="BB37" i="1"/>
  <c r="BK127" i="1"/>
  <c r="BK128" i="1"/>
  <c r="AC180" i="1"/>
  <c r="AC179" i="1"/>
  <c r="AX31" i="1"/>
  <c r="AW32" i="1"/>
  <c r="AV238" i="1"/>
  <c r="AV239" i="1"/>
  <c r="BZ295" i="1"/>
  <c r="BZ294" i="1"/>
  <c r="AD123" i="1"/>
  <c r="BF125" i="1"/>
  <c r="BF126" i="1"/>
  <c r="BU125" i="1"/>
  <c r="BU126" i="1"/>
  <c r="AG90" i="1"/>
  <c r="AG89" i="1"/>
  <c r="AG91" i="1" s="1"/>
  <c r="AL128" i="1"/>
  <c r="AL127" i="1"/>
  <c r="AC88" i="1"/>
  <c r="AC87" i="1"/>
  <c r="AD87" i="1" s="1"/>
  <c r="AD86" i="1"/>
  <c r="BV89" i="1"/>
  <c r="BV90" i="1"/>
  <c r="BW90" i="1" s="1"/>
  <c r="BW88" i="1"/>
  <c r="BP342" i="1"/>
  <c r="BR342" i="1" s="1"/>
  <c r="BP343" i="1"/>
  <c r="BR343" i="1" s="1"/>
  <c r="BK290" i="1"/>
  <c r="BK291" i="1"/>
  <c r="BU182" i="1"/>
  <c r="BU181" i="1"/>
  <c r="AB288" i="1"/>
  <c r="AB289" i="1"/>
  <c r="BG125" i="1"/>
  <c r="BH125" i="1" s="1"/>
  <c r="BG126" i="1"/>
  <c r="BH124" i="1"/>
  <c r="BZ97" i="1"/>
  <c r="BZ96" i="1"/>
  <c r="BZ98" i="1" s="1"/>
  <c r="AB123" i="1"/>
  <c r="AB124" i="1"/>
  <c r="BB127" i="1"/>
  <c r="BB128" i="1"/>
  <c r="BC126" i="1"/>
  <c r="AI177" i="1"/>
  <c r="BZ235" i="1"/>
  <c r="BZ234" i="1"/>
  <c r="BB90" i="1"/>
  <c r="BC90" i="1" s="1"/>
  <c r="BB89" i="1"/>
  <c r="BC88" i="1"/>
  <c r="BP235" i="1"/>
  <c r="BP234" i="1"/>
  <c r="BR234" i="1" s="1"/>
  <c r="AM179" i="1"/>
  <c r="AN179" i="1" s="1"/>
  <c r="AM180" i="1"/>
  <c r="AN178" i="1"/>
  <c r="AH90" i="1"/>
  <c r="AI90" i="1" s="1"/>
  <c r="AH89" i="1"/>
  <c r="AI88" i="1"/>
  <c r="AW126" i="1"/>
  <c r="AW125" i="1"/>
  <c r="AX125" i="1" s="1"/>
  <c r="AX124" i="1"/>
  <c r="AB178" i="1"/>
  <c r="AD178" i="1" s="1"/>
  <c r="AB177" i="1"/>
  <c r="AD177" i="1" s="1"/>
  <c r="AB343" i="1"/>
  <c r="AB342" i="1"/>
  <c r="BH231" i="1"/>
  <c r="BR179" i="1"/>
  <c r="AM128" i="1"/>
  <c r="AM127" i="1"/>
  <c r="AN127" i="1" s="1"/>
  <c r="AN126" i="1"/>
  <c r="AM345" i="1"/>
  <c r="AM344" i="1"/>
  <c r="AN344" i="1" s="1"/>
  <c r="AN343" i="1"/>
  <c r="AW235" i="1"/>
  <c r="AW234" i="1"/>
  <c r="AX234" i="1" s="1"/>
  <c r="AX233" i="1"/>
  <c r="BG288" i="1"/>
  <c r="BH288" i="1" s="1"/>
  <c r="BG289" i="1"/>
  <c r="BH287" i="1"/>
  <c r="BC125" i="1"/>
  <c r="AH179" i="1"/>
  <c r="AI179" i="1" s="1"/>
  <c r="AH180" i="1"/>
  <c r="AI178" i="1"/>
  <c r="BL289" i="1"/>
  <c r="BL288" i="1"/>
  <c r="BM288" i="1" s="1"/>
  <c r="BM287" i="1"/>
  <c r="AH289" i="1"/>
  <c r="AH288" i="1"/>
  <c r="AI288" i="1" s="1"/>
  <c r="AI287" i="1"/>
  <c r="BQ88" i="1"/>
  <c r="BQ87" i="1"/>
  <c r="BR87" i="1" s="1"/>
  <c r="BR86" i="1"/>
  <c r="BL32" i="1"/>
  <c r="BM31" i="1"/>
  <c r="AR126" i="1"/>
  <c r="AR125" i="1"/>
  <c r="AS124" i="1"/>
  <c r="BP179" i="1"/>
  <c r="BP180" i="1"/>
  <c r="BV181" i="1"/>
  <c r="BV182" i="1"/>
  <c r="BW180" i="1"/>
  <c r="AL183" i="1"/>
  <c r="AL184" i="1"/>
  <c r="BG235" i="1"/>
  <c r="BG234" i="1"/>
  <c r="BH233" i="1"/>
  <c r="BQ181" i="1"/>
  <c r="BQ182" i="1"/>
  <c r="BR180" i="1"/>
  <c r="AN125" i="1"/>
  <c r="AH235" i="1"/>
  <c r="AH234" i="1"/>
  <c r="AI234" i="1" s="1"/>
  <c r="AI233" i="1"/>
  <c r="BV234" i="1"/>
  <c r="BV235" i="1"/>
  <c r="BW233" i="1"/>
  <c r="BF90" i="1"/>
  <c r="BH90" i="1" s="1"/>
  <c r="BF89" i="1"/>
  <c r="BH88" i="1"/>
  <c r="BK234" i="1"/>
  <c r="BK235" i="1"/>
  <c r="BR287" i="1"/>
  <c r="AL289" i="1"/>
  <c r="AN289" i="1" s="1"/>
  <c r="AL288" i="1"/>
  <c r="AN288" i="1" s="1"/>
  <c r="BB288" i="1"/>
  <c r="BC288" i="1" s="1"/>
  <c r="BB289" i="1"/>
  <c r="BC287" i="1"/>
  <c r="AS232" i="1"/>
  <c r="AH127" i="1" l="1"/>
  <c r="AH128" i="1"/>
  <c r="AW183" i="1"/>
  <c r="AX183" i="1" s="1"/>
  <c r="AW184" i="1"/>
  <c r="AX182" i="1"/>
  <c r="CA89" i="1"/>
  <c r="CA90" i="1"/>
  <c r="CB90" i="1" s="1"/>
  <c r="CB88" i="1"/>
  <c r="BU128" i="1"/>
  <c r="BU127" i="1"/>
  <c r="BB291" i="1"/>
  <c r="BB290" i="1"/>
  <c r="BC290" i="1" s="1"/>
  <c r="BC289" i="1"/>
  <c r="BV236" i="1"/>
  <c r="BV237" i="1"/>
  <c r="BW235" i="1"/>
  <c r="AW237" i="1"/>
  <c r="AW236" i="1"/>
  <c r="AX236" i="1" s="1"/>
  <c r="AX235" i="1"/>
  <c r="AM182" i="1"/>
  <c r="AM181" i="1"/>
  <c r="AN181" i="1" s="1"/>
  <c r="AN180" i="1"/>
  <c r="BC127" i="1"/>
  <c r="AX288" i="1"/>
  <c r="AC128" i="1"/>
  <c r="AC127" i="1"/>
  <c r="AD126" i="1"/>
  <c r="AX87" i="1"/>
  <c r="AR290" i="1"/>
  <c r="AR291" i="1"/>
  <c r="AS289" i="1"/>
  <c r="BQ129" i="1"/>
  <c r="BQ130" i="1"/>
  <c r="BR128" i="1"/>
  <c r="AM91" i="1"/>
  <c r="AN89" i="1"/>
  <c r="AG241" i="1"/>
  <c r="AG240" i="1"/>
  <c r="BP290" i="1"/>
  <c r="BP291" i="1"/>
  <c r="BF235" i="1"/>
  <c r="BF234" i="1"/>
  <c r="AD236" i="1"/>
  <c r="AC291" i="1"/>
  <c r="AC290" i="1"/>
  <c r="AD289" i="1"/>
  <c r="AR181" i="1"/>
  <c r="AS181" i="1" s="1"/>
  <c r="AS180" i="1"/>
  <c r="AR182" i="1"/>
  <c r="AS234" i="1"/>
  <c r="BW234" i="1"/>
  <c r="AB125" i="1"/>
  <c r="AB126" i="1"/>
  <c r="BF128" i="1"/>
  <c r="BF127" i="1"/>
  <c r="AR346" i="1"/>
  <c r="AR347" i="1"/>
  <c r="AM292" i="1"/>
  <c r="AM293" i="1"/>
  <c r="BG181" i="1"/>
  <c r="BG182" i="1"/>
  <c r="BH180" i="1"/>
  <c r="AW89" i="1"/>
  <c r="AW90" i="1"/>
  <c r="AX88" i="1"/>
  <c r="BA345" i="1"/>
  <c r="BA344" i="1"/>
  <c r="BZ347" i="1"/>
  <c r="BZ346" i="1"/>
  <c r="AG182" i="1"/>
  <c r="AG181" i="1"/>
  <c r="AC238" i="1"/>
  <c r="AC239" i="1"/>
  <c r="BA28" i="1"/>
  <c r="BC27" i="1"/>
  <c r="BB236" i="1"/>
  <c r="BC236" i="1" s="1"/>
  <c r="BB237" i="1"/>
  <c r="BC235" i="1"/>
  <c r="BW288" i="1"/>
  <c r="AS125" i="1"/>
  <c r="BL290" i="1"/>
  <c r="BM290" i="1" s="1"/>
  <c r="BL291" i="1"/>
  <c r="BM289" i="1"/>
  <c r="AB345" i="1"/>
  <c r="AB344" i="1"/>
  <c r="BV91" i="1"/>
  <c r="BW89" i="1"/>
  <c r="AG127" i="1"/>
  <c r="AG128" i="1"/>
  <c r="AI126" i="1"/>
  <c r="BA292" i="1"/>
  <c r="BA293" i="1"/>
  <c r="BZ128" i="1"/>
  <c r="BZ127" i="1"/>
  <c r="BC234" i="1"/>
  <c r="BV291" i="1"/>
  <c r="BV290" i="1"/>
  <c r="BW290" i="1" s="1"/>
  <c r="BW289" i="1"/>
  <c r="AR127" i="1"/>
  <c r="AR128" i="1"/>
  <c r="AS126" i="1"/>
  <c r="AM346" i="1"/>
  <c r="AN346" i="1" s="1"/>
  <c r="AM347" i="1"/>
  <c r="AN345" i="1"/>
  <c r="BP237" i="1"/>
  <c r="BP236" i="1"/>
  <c r="BK292" i="1"/>
  <c r="BK293" i="1"/>
  <c r="AC182" i="1"/>
  <c r="AC181" i="1"/>
  <c r="AG343" i="1"/>
  <c r="AG342" i="1"/>
  <c r="AI342" i="1" s="1"/>
  <c r="CA41" i="1"/>
  <c r="CB40" i="1"/>
  <c r="AB236" i="1"/>
  <c r="AB237" i="1"/>
  <c r="AD237" i="1" s="1"/>
  <c r="BA185" i="1"/>
  <c r="BA186" i="1"/>
  <c r="BF182" i="1"/>
  <c r="BF181" i="1"/>
  <c r="BU291" i="1"/>
  <c r="BU290" i="1"/>
  <c r="AL291" i="1"/>
  <c r="AN291" i="1" s="1"/>
  <c r="AL290" i="1"/>
  <c r="AN290" i="1" s="1"/>
  <c r="AH236" i="1"/>
  <c r="AI236" i="1" s="1"/>
  <c r="AH237" i="1"/>
  <c r="AI235" i="1"/>
  <c r="AH182" i="1"/>
  <c r="AH181" i="1"/>
  <c r="AI181" i="1" s="1"/>
  <c r="AI180" i="1"/>
  <c r="AB180" i="1"/>
  <c r="AD180" i="1" s="1"/>
  <c r="AB179" i="1"/>
  <c r="AD179" i="1" s="1"/>
  <c r="BA237" i="1"/>
  <c r="BA236" i="1"/>
  <c r="BK97" i="1"/>
  <c r="BK96" i="1"/>
  <c r="BK98" i="1" s="1"/>
  <c r="AQ345" i="1"/>
  <c r="AS345" i="1" s="1"/>
  <c r="AQ344" i="1"/>
  <c r="AS344" i="1" s="1"/>
  <c r="BZ183" i="1"/>
  <c r="CB183" i="1" s="1"/>
  <c r="BZ184" i="1"/>
  <c r="CB182" i="1"/>
  <c r="AC29" i="1"/>
  <c r="AD28" i="1"/>
  <c r="BA130" i="1"/>
  <c r="BA129" i="1"/>
  <c r="AR34" i="1"/>
  <c r="AS33" i="1"/>
  <c r="AM239" i="1"/>
  <c r="AM238" i="1"/>
  <c r="AN238" i="1" s="1"/>
  <c r="AN237" i="1"/>
  <c r="AQ93" i="1"/>
  <c r="AQ92" i="1"/>
  <c r="BK182" i="1"/>
  <c r="BK181" i="1"/>
  <c r="BL33" i="1"/>
  <c r="BM32" i="1"/>
  <c r="BB91" i="1"/>
  <c r="BC89" i="1"/>
  <c r="BP344" i="1"/>
  <c r="BP345" i="1"/>
  <c r="AC90" i="1"/>
  <c r="AD90" i="1" s="1"/>
  <c r="AC89" i="1"/>
  <c r="AD88" i="1"/>
  <c r="BZ297" i="1"/>
  <c r="BZ296" i="1"/>
  <c r="BP127" i="1"/>
  <c r="BP128" i="1"/>
  <c r="BG344" i="1"/>
  <c r="BH344" i="1" s="1"/>
  <c r="BG345" i="1"/>
  <c r="BH343" i="1"/>
  <c r="BL182" i="1"/>
  <c r="BL181" i="1"/>
  <c r="BM181" i="1" s="1"/>
  <c r="BM180" i="1"/>
  <c r="BV33" i="1"/>
  <c r="BW32" i="1"/>
  <c r="AC345" i="1"/>
  <c r="AC344" i="1"/>
  <c r="AD344" i="1" s="1"/>
  <c r="AD343" i="1"/>
  <c r="CA237" i="1"/>
  <c r="CA236" i="1"/>
  <c r="CB236" i="1" s="1"/>
  <c r="CB235" i="1"/>
  <c r="AQ290" i="1"/>
  <c r="AQ291" i="1"/>
  <c r="BR344" i="1"/>
  <c r="CB127" i="1"/>
  <c r="BK236" i="1"/>
  <c r="BK237" i="1"/>
  <c r="AL186" i="1"/>
  <c r="AL185" i="1"/>
  <c r="AN128" i="1"/>
  <c r="AM130" i="1"/>
  <c r="AM129" i="1"/>
  <c r="AN129" i="1" s="1"/>
  <c r="BG127" i="1"/>
  <c r="BG128" i="1"/>
  <c r="BH126" i="1"/>
  <c r="AV241" i="1"/>
  <c r="AV240" i="1"/>
  <c r="AQ127" i="1"/>
  <c r="AQ128" i="1"/>
  <c r="AG290" i="1"/>
  <c r="AG291" i="1"/>
  <c r="AR89" i="1"/>
  <c r="AR90" i="1"/>
  <c r="AS90" i="1" s="1"/>
  <c r="AS88" i="1"/>
  <c r="BR235" i="1"/>
  <c r="BH342" i="1"/>
  <c r="BM179" i="1"/>
  <c r="BQ32" i="1"/>
  <c r="BR31" i="1"/>
  <c r="BU94" i="1"/>
  <c r="BU95" i="1"/>
  <c r="CB234" i="1"/>
  <c r="BV128" i="1"/>
  <c r="BV127" i="1"/>
  <c r="BW126" i="1"/>
  <c r="BK348" i="1"/>
  <c r="BK349" i="1"/>
  <c r="BQ347" i="1"/>
  <c r="BQ346" i="1"/>
  <c r="BR345" i="1"/>
  <c r="BF295" i="1"/>
  <c r="BF294" i="1"/>
  <c r="CB128" i="1"/>
  <c r="CA130" i="1"/>
  <c r="CA129" i="1"/>
  <c r="BQ184" i="1"/>
  <c r="BQ183" i="1"/>
  <c r="BR182" i="1"/>
  <c r="AW128" i="1"/>
  <c r="AW127" i="1"/>
  <c r="AX127" i="1" s="1"/>
  <c r="AX126" i="1"/>
  <c r="AL130" i="1"/>
  <c r="AL129" i="1"/>
  <c r="BB345" i="1"/>
  <c r="BB344" i="1"/>
  <c r="BC344" i="1" s="1"/>
  <c r="BC343" i="1"/>
  <c r="BR236" i="1"/>
  <c r="AI341" i="1"/>
  <c r="AB89" i="1"/>
  <c r="AB91" i="1" s="1"/>
  <c r="AB90" i="1"/>
  <c r="AV291" i="1"/>
  <c r="AV290" i="1"/>
  <c r="BL91" i="1"/>
  <c r="BM89" i="1"/>
  <c r="CA188" i="1"/>
  <c r="CA187" i="1"/>
  <c r="AQ236" i="1"/>
  <c r="AQ237" i="1"/>
  <c r="B36" i="1"/>
  <c r="BR181" i="1"/>
  <c r="BQ89" i="1"/>
  <c r="BQ90" i="1"/>
  <c r="BR90" i="1" s="1"/>
  <c r="BR88" i="1"/>
  <c r="BG290" i="1"/>
  <c r="BH290" i="1" s="1"/>
  <c r="BG291" i="1"/>
  <c r="BH289" i="1"/>
  <c r="BZ236" i="1"/>
  <c r="BZ237" i="1"/>
  <c r="AB291" i="1"/>
  <c r="AB290" i="1"/>
  <c r="AG93" i="1"/>
  <c r="AG92" i="1"/>
  <c r="BK129" i="1"/>
  <c r="BK130" i="1"/>
  <c r="AL241" i="1"/>
  <c r="AL240" i="1"/>
  <c r="BF344" i="1"/>
  <c r="BF345" i="1"/>
  <c r="BG95" i="1"/>
  <c r="BG94" i="1"/>
  <c r="BQ238" i="1"/>
  <c r="BQ239" i="1"/>
  <c r="BR237" i="1"/>
  <c r="AV343" i="1"/>
  <c r="AV342" i="1"/>
  <c r="BW344" i="1"/>
  <c r="BL127" i="1"/>
  <c r="BM127" i="1" s="1"/>
  <c r="BL128" i="1"/>
  <c r="BM126" i="1"/>
  <c r="AV129" i="1"/>
  <c r="AV130" i="1"/>
  <c r="BL237" i="1"/>
  <c r="BL236" i="1"/>
  <c r="BM235" i="1"/>
  <c r="AQ184" i="1"/>
  <c r="AQ183" i="1"/>
  <c r="BB184" i="1"/>
  <c r="BB183" i="1"/>
  <c r="BC183" i="1" s="1"/>
  <c r="BC182" i="1"/>
  <c r="BF91" i="1"/>
  <c r="BH89" i="1"/>
  <c r="BV183" i="1"/>
  <c r="BW183" i="1" s="1"/>
  <c r="BV184" i="1"/>
  <c r="BW182" i="1"/>
  <c r="AH91" i="1"/>
  <c r="AI89" i="1"/>
  <c r="BL345" i="1"/>
  <c r="BL344" i="1"/>
  <c r="BM344" i="1" s="1"/>
  <c r="BM343" i="1"/>
  <c r="AH345" i="1"/>
  <c r="AH344" i="1"/>
  <c r="AI343" i="1"/>
  <c r="AH33" i="1"/>
  <c r="AI32" i="1"/>
  <c r="BV347" i="1"/>
  <c r="BV346" i="1"/>
  <c r="AL97" i="1"/>
  <c r="AL96" i="1"/>
  <c r="AL98" i="1" s="1"/>
  <c r="BM234" i="1"/>
  <c r="BR290" i="1"/>
  <c r="BH234" i="1"/>
  <c r="BW181" i="1"/>
  <c r="BB38" i="1"/>
  <c r="AL349" i="1"/>
  <c r="AL348" i="1"/>
  <c r="BU237" i="1"/>
  <c r="BU236" i="1"/>
  <c r="CA344" i="1"/>
  <c r="CB344" i="1" s="1"/>
  <c r="CA345" i="1"/>
  <c r="CB343" i="1"/>
  <c r="AX342" i="1"/>
  <c r="AV187" i="1"/>
  <c r="AV188" i="1"/>
  <c r="BQ292" i="1"/>
  <c r="BQ293" i="1"/>
  <c r="BG237" i="1"/>
  <c r="BG236" i="1"/>
  <c r="BH235" i="1"/>
  <c r="BP182" i="1"/>
  <c r="BP181" i="1"/>
  <c r="AH290" i="1"/>
  <c r="AI290" i="1" s="1"/>
  <c r="AH291" i="1"/>
  <c r="AI289" i="1"/>
  <c r="BB130" i="1"/>
  <c r="BB129" i="1"/>
  <c r="BC129" i="1" s="1"/>
  <c r="BC128" i="1"/>
  <c r="BU184" i="1"/>
  <c r="BU183" i="1"/>
  <c r="AX32" i="1"/>
  <c r="AW33" i="1"/>
  <c r="AV89" i="1"/>
  <c r="AV91" i="1" s="1"/>
  <c r="AV90" i="1"/>
  <c r="AW290" i="1"/>
  <c r="AX290" i="1" s="1"/>
  <c r="AW291" i="1"/>
  <c r="AX289" i="1"/>
  <c r="AD125" i="1"/>
  <c r="CA290" i="1"/>
  <c r="CB290" i="1" s="1"/>
  <c r="CA291" i="1"/>
  <c r="CB289" i="1"/>
  <c r="AS288" i="1"/>
  <c r="BR127" i="1"/>
  <c r="AW345" i="1"/>
  <c r="AW344" i="1"/>
  <c r="AX343" i="1"/>
  <c r="BP92" i="1"/>
  <c r="BP93" i="1"/>
  <c r="AD235" i="1"/>
  <c r="AD288" i="1"/>
  <c r="AR237" i="1"/>
  <c r="AR236" i="1"/>
  <c r="AS236" i="1" s="1"/>
  <c r="AS235" i="1"/>
  <c r="BU345" i="1"/>
  <c r="BU344" i="1"/>
  <c r="AH129" i="1" l="1"/>
  <c r="AH130" i="1"/>
  <c r="AI127" i="1"/>
  <c r="CA91" i="1"/>
  <c r="CB89" i="1"/>
  <c r="AW186" i="1"/>
  <c r="AW185" i="1"/>
  <c r="AX185" i="1" s="1"/>
  <c r="AX184" i="1"/>
  <c r="AV93" i="1"/>
  <c r="AV92" i="1"/>
  <c r="BZ238" i="1"/>
  <c r="BZ239" i="1"/>
  <c r="AV293" i="1"/>
  <c r="AV292" i="1"/>
  <c r="BQ349" i="1"/>
  <c r="BQ348" i="1"/>
  <c r="BG130" i="1"/>
  <c r="BG129" i="1"/>
  <c r="BH129" i="1" s="1"/>
  <c r="BH128" i="1"/>
  <c r="AR35" i="1"/>
  <c r="AS34" i="1"/>
  <c r="AS127" i="1"/>
  <c r="AB128" i="1"/>
  <c r="AB127" i="1"/>
  <c r="AD127" i="1" s="1"/>
  <c r="AS291" i="1"/>
  <c r="AR292" i="1"/>
  <c r="AR293" i="1"/>
  <c r="AW347" i="1"/>
  <c r="AW346" i="1"/>
  <c r="AW34" i="1"/>
  <c r="AX33" i="1"/>
  <c r="BP184" i="1"/>
  <c r="BP183" i="1"/>
  <c r="CB345" i="1"/>
  <c r="CA347" i="1"/>
  <c r="CA346" i="1"/>
  <c r="CB346" i="1" s="1"/>
  <c r="AH346" i="1"/>
  <c r="AH347" i="1"/>
  <c r="BG97" i="1"/>
  <c r="BG96" i="1"/>
  <c r="AW129" i="1"/>
  <c r="AX129" i="1" s="1"/>
  <c r="AW130" i="1"/>
  <c r="AX128" i="1"/>
  <c r="BK350" i="1"/>
  <c r="BK351" i="1"/>
  <c r="BH127" i="1"/>
  <c r="BG347" i="1"/>
  <c r="BG346" i="1"/>
  <c r="BH345" i="1"/>
  <c r="BB92" i="1"/>
  <c r="BC92" i="1" s="1"/>
  <c r="BB93" i="1"/>
  <c r="BC91" i="1"/>
  <c r="BA238" i="1"/>
  <c r="BA239" i="1"/>
  <c r="BU292" i="1"/>
  <c r="BU293" i="1"/>
  <c r="AD181" i="1"/>
  <c r="AB347" i="1"/>
  <c r="AB346" i="1"/>
  <c r="AC240" i="1"/>
  <c r="AC241" i="1"/>
  <c r="BG184" i="1"/>
  <c r="BG183" i="1"/>
  <c r="BH182" i="1"/>
  <c r="BF236" i="1"/>
  <c r="BH236" i="1" s="1"/>
  <c r="BF237" i="1"/>
  <c r="BH237" i="1" s="1"/>
  <c r="AS290" i="1"/>
  <c r="AW238" i="1"/>
  <c r="AX238" i="1" s="1"/>
  <c r="AW239" i="1"/>
  <c r="AX237" i="1"/>
  <c r="BU347" i="1"/>
  <c r="BU346" i="1"/>
  <c r="BL130" i="1"/>
  <c r="BL129" i="1"/>
  <c r="BM129" i="1" s="1"/>
  <c r="BM128" i="1"/>
  <c r="BF347" i="1"/>
  <c r="BF346" i="1"/>
  <c r="AB93" i="1"/>
  <c r="AB92" i="1"/>
  <c r="BA132" i="1"/>
  <c r="BA131" i="1"/>
  <c r="AC183" i="1"/>
  <c r="AC184" i="1"/>
  <c r="AD238" i="1"/>
  <c r="BH181" i="1"/>
  <c r="BP293" i="1"/>
  <c r="BP292" i="1"/>
  <c r="BB185" i="1"/>
  <c r="BC185" i="1" s="1"/>
  <c r="BB186" i="1"/>
  <c r="BC184" i="1"/>
  <c r="BG292" i="1"/>
  <c r="BH292" i="1" s="1"/>
  <c r="BG293" i="1"/>
  <c r="BH291" i="1"/>
  <c r="B37" i="1"/>
  <c r="BR183" i="1"/>
  <c r="AM132" i="1"/>
  <c r="AN130" i="1"/>
  <c r="AM131" i="1"/>
  <c r="CA239" i="1"/>
  <c r="CA238" i="1"/>
  <c r="CB237" i="1"/>
  <c r="BP129" i="1"/>
  <c r="BP130" i="1"/>
  <c r="BR130" i="1" s="1"/>
  <c r="BL34" i="1"/>
  <c r="BM33" i="1"/>
  <c r="AB182" i="1"/>
  <c r="AB181" i="1"/>
  <c r="BF183" i="1"/>
  <c r="BF184" i="1"/>
  <c r="BK295" i="1"/>
  <c r="BK294" i="1"/>
  <c r="BV292" i="1"/>
  <c r="BV293" i="1"/>
  <c r="BW291" i="1"/>
  <c r="BM291" i="1"/>
  <c r="BL292" i="1"/>
  <c r="BM292" i="1" s="1"/>
  <c r="BL293" i="1"/>
  <c r="BU186" i="1"/>
  <c r="BU185" i="1"/>
  <c r="BU238" i="1"/>
  <c r="BU239" i="1"/>
  <c r="BL346" i="1"/>
  <c r="BM346" i="1" s="1"/>
  <c r="BL347" i="1"/>
  <c r="BM345" i="1"/>
  <c r="AQ239" i="1"/>
  <c r="AQ238" i="1"/>
  <c r="BQ186" i="1"/>
  <c r="BQ185" i="1"/>
  <c r="BR184" i="1"/>
  <c r="BW127" i="1"/>
  <c r="AR91" i="1"/>
  <c r="AS89" i="1"/>
  <c r="AD29" i="1"/>
  <c r="AC30" i="1"/>
  <c r="BA188" i="1"/>
  <c r="BA187" i="1"/>
  <c r="AG184" i="1"/>
  <c r="AG183" i="1"/>
  <c r="AM295" i="1"/>
  <c r="AM294" i="1"/>
  <c r="AN293" i="1"/>
  <c r="BV239" i="1"/>
  <c r="BV238" i="1"/>
  <c r="BW238" i="1" s="1"/>
  <c r="BW237" i="1"/>
  <c r="AR239" i="1"/>
  <c r="AR238" i="1"/>
  <c r="AS238" i="1" s="1"/>
  <c r="AS237" i="1"/>
  <c r="CA293" i="1"/>
  <c r="CA292" i="1"/>
  <c r="CB292" i="1" s="1"/>
  <c r="CB291" i="1"/>
  <c r="BG239" i="1"/>
  <c r="BG238" i="1"/>
  <c r="AQ186" i="1"/>
  <c r="AQ185" i="1"/>
  <c r="AL242" i="1"/>
  <c r="AL243" i="1"/>
  <c r="CB129" i="1"/>
  <c r="BV130" i="1"/>
  <c r="BV129" i="1"/>
  <c r="BW129" i="1" s="1"/>
  <c r="BW128" i="1"/>
  <c r="AG292" i="1"/>
  <c r="AG293" i="1"/>
  <c r="BK183" i="1"/>
  <c r="BK184" i="1"/>
  <c r="AR184" i="1"/>
  <c r="AR183" i="1"/>
  <c r="AS183" i="1" s="1"/>
  <c r="AS182" i="1"/>
  <c r="AG243" i="1"/>
  <c r="AG242" i="1"/>
  <c r="AC129" i="1"/>
  <c r="AC130" i="1"/>
  <c r="AD128" i="1"/>
  <c r="BW236" i="1"/>
  <c r="BR291" i="1"/>
  <c r="AL350" i="1"/>
  <c r="AL351" i="1"/>
  <c r="BW345" i="1"/>
  <c r="AH92" i="1"/>
  <c r="AI92" i="1" s="1"/>
  <c r="AH93" i="1"/>
  <c r="AI91" i="1"/>
  <c r="AV345" i="1"/>
  <c r="AV344" i="1"/>
  <c r="AX344" i="1" s="1"/>
  <c r="BK132" i="1"/>
  <c r="BK131" i="1"/>
  <c r="CA132" i="1"/>
  <c r="CA131" i="1"/>
  <c r="AL187" i="1"/>
  <c r="AL188" i="1"/>
  <c r="AC347" i="1"/>
  <c r="AC346" i="1"/>
  <c r="AD346" i="1" s="1"/>
  <c r="AD345" i="1"/>
  <c r="BZ299" i="1"/>
  <c r="BZ298" i="1"/>
  <c r="BZ186" i="1"/>
  <c r="BZ185" i="1"/>
  <c r="CB185" i="1" s="1"/>
  <c r="CB184" i="1"/>
  <c r="AH183" i="1"/>
  <c r="AI183" i="1" s="1"/>
  <c r="AH184" i="1"/>
  <c r="AI182" i="1"/>
  <c r="AB238" i="1"/>
  <c r="AB239" i="1"/>
  <c r="BP238" i="1"/>
  <c r="BP239" i="1"/>
  <c r="BR239" i="1" s="1"/>
  <c r="BZ130" i="1"/>
  <c r="CB130" i="1" s="1"/>
  <c r="BZ129" i="1"/>
  <c r="BZ349" i="1"/>
  <c r="BZ348" i="1"/>
  <c r="BB131" i="1"/>
  <c r="BC131" i="1" s="1"/>
  <c r="BB132" i="1"/>
  <c r="BC130" i="1"/>
  <c r="BQ295" i="1"/>
  <c r="BQ294" i="1"/>
  <c r="BW346" i="1"/>
  <c r="BM236" i="1"/>
  <c r="BQ91" i="1"/>
  <c r="BR89" i="1"/>
  <c r="BU97" i="1"/>
  <c r="BU96" i="1"/>
  <c r="BU98" i="1" s="1"/>
  <c r="AQ130" i="1"/>
  <c r="AQ129" i="1"/>
  <c r="BK239" i="1"/>
  <c r="BK238" i="1"/>
  <c r="AQ95" i="1"/>
  <c r="AQ94" i="1"/>
  <c r="BA294" i="1"/>
  <c r="BA295" i="1"/>
  <c r="AM93" i="1"/>
  <c r="AM92" i="1"/>
  <c r="AN92" i="1" s="1"/>
  <c r="AN91" i="1"/>
  <c r="BR292" i="1"/>
  <c r="BB39" i="1"/>
  <c r="BV349" i="1"/>
  <c r="BV348" i="1"/>
  <c r="BV186" i="1"/>
  <c r="BV185" i="1"/>
  <c r="BW185" i="1" s="1"/>
  <c r="BW184" i="1"/>
  <c r="BL239" i="1"/>
  <c r="BL238" i="1"/>
  <c r="BM238" i="1" s="1"/>
  <c r="BM237" i="1"/>
  <c r="CA189" i="1"/>
  <c r="CA190" i="1"/>
  <c r="BB347" i="1"/>
  <c r="BC345" i="1"/>
  <c r="BB346" i="1"/>
  <c r="BV34" i="1"/>
  <c r="BW33" i="1"/>
  <c r="AC91" i="1"/>
  <c r="AD89" i="1"/>
  <c r="AH239" i="1"/>
  <c r="AH238" i="1"/>
  <c r="AI238" i="1" s="1"/>
  <c r="AI237" i="1"/>
  <c r="AM348" i="1"/>
  <c r="AN348" i="1" s="1"/>
  <c r="AM349" i="1"/>
  <c r="AN347" i="1"/>
  <c r="BV93" i="1"/>
  <c r="BV92" i="1"/>
  <c r="BW92" i="1" s="1"/>
  <c r="BW91" i="1"/>
  <c r="BB239" i="1"/>
  <c r="BB238" i="1"/>
  <c r="BC238" i="1" s="1"/>
  <c r="BC237" i="1"/>
  <c r="BA347" i="1"/>
  <c r="BA346" i="1"/>
  <c r="AR348" i="1"/>
  <c r="AR349" i="1"/>
  <c r="BB293" i="1"/>
  <c r="BB292" i="1"/>
  <c r="BC292" i="1" s="1"/>
  <c r="BC291" i="1"/>
  <c r="BP95" i="1"/>
  <c r="BP94" i="1"/>
  <c r="AX291" i="1"/>
  <c r="AW293" i="1"/>
  <c r="AW292" i="1"/>
  <c r="AX292" i="1" s="1"/>
  <c r="AV189" i="1"/>
  <c r="AV190" i="1"/>
  <c r="BQ241" i="1"/>
  <c r="BQ240" i="1"/>
  <c r="AG94" i="1"/>
  <c r="AG95" i="1"/>
  <c r="BF297" i="1"/>
  <c r="BF296" i="1"/>
  <c r="AQ346" i="1"/>
  <c r="AQ347" i="1"/>
  <c r="AS347" i="1" s="1"/>
  <c r="CA42" i="1"/>
  <c r="CA43" i="1" s="1"/>
  <c r="CA44" i="1" s="1"/>
  <c r="CA45" i="1" s="1"/>
  <c r="CA46" i="1" s="1"/>
  <c r="CA47" i="1" s="1"/>
  <c r="CA48" i="1" s="1"/>
  <c r="CA49" i="1" s="1"/>
  <c r="CA50" i="1" s="1"/>
  <c r="CA51" i="1" s="1"/>
  <c r="CA52" i="1" s="1"/>
  <c r="CA53" i="1" s="1"/>
  <c r="CA54" i="1" s="1"/>
  <c r="CA55" i="1" s="1"/>
  <c r="CA56" i="1" s="1"/>
  <c r="CA57" i="1" s="1"/>
  <c r="CA58" i="1" s="1"/>
  <c r="CA59" i="1" s="1"/>
  <c r="CA60" i="1" s="1"/>
  <c r="CA61" i="1" s="1"/>
  <c r="CA62" i="1" s="1"/>
  <c r="CB41" i="1"/>
  <c r="CB20" i="1" s="1"/>
  <c r="CC20" i="1" s="1"/>
  <c r="AS346" i="1"/>
  <c r="AD290" i="1"/>
  <c r="BQ132" i="1"/>
  <c r="BQ131" i="1"/>
  <c r="AH293" i="1"/>
  <c r="AH292" i="1"/>
  <c r="AI292" i="1" s="1"/>
  <c r="AI291" i="1"/>
  <c r="AI33" i="1"/>
  <c r="AH34" i="1"/>
  <c r="BR238" i="1"/>
  <c r="BL93" i="1"/>
  <c r="BL92" i="1"/>
  <c r="BM92" i="1" s="1"/>
  <c r="BM91" i="1"/>
  <c r="AL131" i="1"/>
  <c r="AL132" i="1"/>
  <c r="BQ33" i="1"/>
  <c r="BR32" i="1"/>
  <c r="AV242" i="1"/>
  <c r="AV243" i="1"/>
  <c r="BP347" i="1"/>
  <c r="BR347" i="1" s="1"/>
  <c r="BP346" i="1"/>
  <c r="AM241" i="1"/>
  <c r="AM240" i="1"/>
  <c r="AN240" i="1" s="1"/>
  <c r="AN239" i="1"/>
  <c r="AG130" i="1"/>
  <c r="AG129" i="1"/>
  <c r="AI129" i="1" s="1"/>
  <c r="AI128" i="1"/>
  <c r="AX90" i="1"/>
  <c r="AC292" i="1"/>
  <c r="AD292" i="1" s="1"/>
  <c r="AC293" i="1"/>
  <c r="AD291" i="1"/>
  <c r="BR129" i="1"/>
  <c r="AM184" i="1"/>
  <c r="AM183" i="1"/>
  <c r="AN183" i="1" s="1"/>
  <c r="AN182" i="1"/>
  <c r="BU130" i="1"/>
  <c r="BU129" i="1"/>
  <c r="BF93" i="1"/>
  <c r="BF92" i="1"/>
  <c r="BH92" i="1" s="1"/>
  <c r="BH91" i="1"/>
  <c r="AV132" i="1"/>
  <c r="AV131" i="1"/>
  <c r="AB293" i="1"/>
  <c r="AB292" i="1"/>
  <c r="BR346" i="1"/>
  <c r="AQ292" i="1"/>
  <c r="AQ293" i="1"/>
  <c r="BL184" i="1"/>
  <c r="BL183" i="1"/>
  <c r="BM182" i="1"/>
  <c r="AL293" i="1"/>
  <c r="AL292" i="1"/>
  <c r="AN292" i="1" s="1"/>
  <c r="AG345" i="1"/>
  <c r="AI345" i="1" s="1"/>
  <c r="AG344" i="1"/>
  <c r="AI344" i="1" s="1"/>
  <c r="AR130" i="1"/>
  <c r="AS128" i="1"/>
  <c r="AR129" i="1"/>
  <c r="AS129" i="1" s="1"/>
  <c r="BA29" i="1"/>
  <c r="BC28" i="1"/>
  <c r="AW91" i="1"/>
  <c r="AX89" i="1"/>
  <c r="BF130" i="1"/>
  <c r="BF129" i="1"/>
  <c r="AW188" i="1" l="1"/>
  <c r="AX186" i="1"/>
  <c r="AW187" i="1"/>
  <c r="AX187" i="1" s="1"/>
  <c r="CA92" i="1"/>
  <c r="CB92" i="1" s="1"/>
  <c r="CA93" i="1"/>
  <c r="CB91" i="1"/>
  <c r="AH132" i="1"/>
  <c r="AH131" i="1"/>
  <c r="BF131" i="1"/>
  <c r="BF132" i="1"/>
  <c r="BF94" i="1"/>
  <c r="BH94" i="1" s="1"/>
  <c r="BF95" i="1"/>
  <c r="BH93" i="1"/>
  <c r="BR33" i="1"/>
  <c r="BQ34" i="1"/>
  <c r="BV94" i="1"/>
  <c r="BW94" i="1" s="1"/>
  <c r="BV95" i="1"/>
  <c r="BW93" i="1"/>
  <c r="AL189" i="1"/>
  <c r="AL190" i="1"/>
  <c r="AR185" i="1"/>
  <c r="AS185" i="1" s="1"/>
  <c r="AR186" i="1"/>
  <c r="AS184" i="1"/>
  <c r="BW292" i="1"/>
  <c r="CB238" i="1"/>
  <c r="AC186" i="1"/>
  <c r="AC185" i="1"/>
  <c r="AC242" i="1"/>
  <c r="AC243" i="1"/>
  <c r="AW349" i="1"/>
  <c r="AW348" i="1"/>
  <c r="BM183" i="1"/>
  <c r="AL133" i="1"/>
  <c r="AL134" i="1"/>
  <c r="BR131" i="1"/>
  <c r="BB295" i="1"/>
  <c r="BB294" i="1"/>
  <c r="BC294" i="1" s="1"/>
  <c r="BC293" i="1"/>
  <c r="BB349" i="1"/>
  <c r="BB348" i="1"/>
  <c r="BC347" i="1"/>
  <c r="BV351" i="1"/>
  <c r="BV350" i="1"/>
  <c r="BW349" i="1"/>
  <c r="BK241" i="1"/>
  <c r="BK240" i="1"/>
  <c r="BQ297" i="1"/>
  <c r="BQ296" i="1"/>
  <c r="AL352" i="1"/>
  <c r="AL353" i="1"/>
  <c r="AQ188" i="1"/>
  <c r="AQ187" i="1"/>
  <c r="BV240" i="1"/>
  <c r="BW240" i="1" s="1"/>
  <c r="BV241" i="1"/>
  <c r="BW239" i="1"/>
  <c r="AR93" i="1"/>
  <c r="AR92" i="1"/>
  <c r="AS92" i="1" s="1"/>
  <c r="AS91" i="1"/>
  <c r="CA240" i="1"/>
  <c r="CA241" i="1"/>
  <c r="CB239" i="1"/>
  <c r="BB188" i="1"/>
  <c r="BC186" i="1"/>
  <c r="BB187" i="1"/>
  <c r="BC187" i="1" s="1"/>
  <c r="BU349" i="1"/>
  <c r="BU348" i="1"/>
  <c r="BW348" i="1" s="1"/>
  <c r="BH346" i="1"/>
  <c r="AH348" i="1"/>
  <c r="AH349" i="1"/>
  <c r="AR295" i="1"/>
  <c r="AR294" i="1"/>
  <c r="AS293" i="1"/>
  <c r="AW93" i="1"/>
  <c r="AW92" i="1"/>
  <c r="AX92" i="1" s="1"/>
  <c r="AX91" i="1"/>
  <c r="BL185" i="1"/>
  <c r="BM185" i="1" s="1"/>
  <c r="BL186" i="1"/>
  <c r="BM184" i="1"/>
  <c r="BU132" i="1"/>
  <c r="BU131" i="1"/>
  <c r="BQ134" i="1"/>
  <c r="BQ133" i="1"/>
  <c r="AM351" i="1"/>
  <c r="AM350" i="1"/>
  <c r="AN350" i="1" s="1"/>
  <c r="AN349" i="1"/>
  <c r="AH185" i="1"/>
  <c r="AH186" i="1"/>
  <c r="AI184" i="1"/>
  <c r="BK185" i="1"/>
  <c r="BK186" i="1"/>
  <c r="BK297" i="1"/>
  <c r="BK296" i="1"/>
  <c r="AN131" i="1"/>
  <c r="BG348" i="1"/>
  <c r="BG349" i="1"/>
  <c r="BH347" i="1"/>
  <c r="AS292" i="1"/>
  <c r="BQ350" i="1"/>
  <c r="BQ351" i="1"/>
  <c r="AQ295" i="1"/>
  <c r="AQ294" i="1"/>
  <c r="AG132" i="1"/>
  <c r="AG131" i="1"/>
  <c r="AI131" i="1" s="1"/>
  <c r="AI130" i="1"/>
  <c r="BQ242" i="1"/>
  <c r="BQ243" i="1"/>
  <c r="AR351" i="1"/>
  <c r="AR350" i="1"/>
  <c r="CA191" i="1"/>
  <c r="CA192" i="1"/>
  <c r="BB40" i="1"/>
  <c r="AQ132" i="1"/>
  <c r="AQ131" i="1"/>
  <c r="BB134" i="1"/>
  <c r="BB133" i="1"/>
  <c r="BC133" i="1" s="1"/>
  <c r="BC132" i="1"/>
  <c r="BU188" i="1"/>
  <c r="BU187" i="1"/>
  <c r="BF185" i="1"/>
  <c r="BF186" i="1"/>
  <c r="BA134" i="1"/>
  <c r="BA133" i="1"/>
  <c r="AW241" i="1"/>
  <c r="AW240" i="1"/>
  <c r="AX240" i="1" s="1"/>
  <c r="AX239" i="1"/>
  <c r="AB349" i="1"/>
  <c r="AB348" i="1"/>
  <c r="BA30" i="1"/>
  <c r="BC29" i="1"/>
  <c r="AV191" i="1"/>
  <c r="AV192" i="1"/>
  <c r="CA133" i="1"/>
  <c r="CA134" i="1"/>
  <c r="AG294" i="1"/>
  <c r="AG295" i="1"/>
  <c r="BG241" i="1"/>
  <c r="BG240" i="1"/>
  <c r="BR185" i="1"/>
  <c r="BL295" i="1"/>
  <c r="BL294" i="1"/>
  <c r="BM294" i="1" s="1"/>
  <c r="BM293" i="1"/>
  <c r="AM134" i="1"/>
  <c r="AM133" i="1"/>
  <c r="AN133" i="1" s="1"/>
  <c r="AN132" i="1"/>
  <c r="BK353" i="1"/>
  <c r="BK352" i="1"/>
  <c r="CA349" i="1"/>
  <c r="CA348" i="1"/>
  <c r="CB348" i="1" s="1"/>
  <c r="CB347" i="1"/>
  <c r="AV295" i="1"/>
  <c r="AV294" i="1"/>
  <c r="AM186" i="1"/>
  <c r="AM185" i="1"/>
  <c r="AN185" i="1" s="1"/>
  <c r="AN184" i="1"/>
  <c r="BL95" i="1"/>
  <c r="BM93" i="1"/>
  <c r="BL94" i="1"/>
  <c r="BM94" i="1" s="1"/>
  <c r="AM296" i="1"/>
  <c r="AM297" i="1"/>
  <c r="BQ187" i="1"/>
  <c r="BQ188" i="1"/>
  <c r="AB94" i="1"/>
  <c r="AB95" i="1"/>
  <c r="BU294" i="1"/>
  <c r="BU295" i="1"/>
  <c r="AB129" i="1"/>
  <c r="AB130" i="1"/>
  <c r="BZ240" i="1"/>
  <c r="BZ241" i="1"/>
  <c r="AM242" i="1"/>
  <c r="AN242" i="1" s="1"/>
  <c r="AM243" i="1"/>
  <c r="AN241" i="1"/>
  <c r="BA349" i="1"/>
  <c r="BA348" i="1"/>
  <c r="AH240" i="1"/>
  <c r="AI240" i="1" s="1"/>
  <c r="AH241" i="1"/>
  <c r="AI239" i="1"/>
  <c r="BZ351" i="1"/>
  <c r="BZ350" i="1"/>
  <c r="BZ188" i="1"/>
  <c r="BZ187" i="1"/>
  <c r="CB187" i="1" s="1"/>
  <c r="CB186" i="1"/>
  <c r="BK134" i="1"/>
  <c r="BK133" i="1"/>
  <c r="AC132" i="1"/>
  <c r="AC131" i="1"/>
  <c r="AD130" i="1"/>
  <c r="AB183" i="1"/>
  <c r="AD183" i="1" s="1"/>
  <c r="AB184" i="1"/>
  <c r="AD184" i="1" s="1"/>
  <c r="B38" i="1"/>
  <c r="B39" i="1" s="1"/>
  <c r="B40" i="1" s="1"/>
  <c r="B41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F238" i="1"/>
  <c r="BH238" i="1" s="1"/>
  <c r="BF239" i="1"/>
  <c r="AR132" i="1"/>
  <c r="AR131" i="1"/>
  <c r="AS130" i="1"/>
  <c r="AB295" i="1"/>
  <c r="AB294" i="1"/>
  <c r="AI34" i="1"/>
  <c r="AH35" i="1"/>
  <c r="AQ348" i="1"/>
  <c r="AS348" i="1" s="1"/>
  <c r="AQ349" i="1"/>
  <c r="AS349" i="1" s="1"/>
  <c r="AW295" i="1"/>
  <c r="AW294" i="1"/>
  <c r="AX294" i="1" s="1"/>
  <c r="AX293" i="1"/>
  <c r="BL241" i="1"/>
  <c r="BL240" i="1"/>
  <c r="BM239" i="1"/>
  <c r="AM95" i="1"/>
  <c r="AM94" i="1"/>
  <c r="AN94" i="1" s="1"/>
  <c r="AN93" i="1"/>
  <c r="AD129" i="1"/>
  <c r="CA295" i="1"/>
  <c r="CA294" i="1"/>
  <c r="CB294" i="1" s="1"/>
  <c r="CB293" i="1"/>
  <c r="AG186" i="1"/>
  <c r="AG185" i="1"/>
  <c r="AQ241" i="1"/>
  <c r="AQ240" i="1"/>
  <c r="BP295" i="1"/>
  <c r="BR295" i="1" s="1"/>
  <c r="BP294" i="1"/>
  <c r="BR294" i="1" s="1"/>
  <c r="BF349" i="1"/>
  <c r="BF348" i="1"/>
  <c r="BA240" i="1"/>
  <c r="BA241" i="1"/>
  <c r="AW132" i="1"/>
  <c r="AW131" i="1"/>
  <c r="AX131" i="1" s="1"/>
  <c r="AX130" i="1"/>
  <c r="BP185" i="1"/>
  <c r="BP186" i="1"/>
  <c r="AC295" i="1"/>
  <c r="AC294" i="1"/>
  <c r="AD294" i="1" s="1"/>
  <c r="AD293" i="1"/>
  <c r="BP348" i="1"/>
  <c r="BR348" i="1" s="1"/>
  <c r="BP349" i="1"/>
  <c r="BR349" i="1" s="1"/>
  <c r="AC92" i="1"/>
  <c r="AD92" i="1" s="1"/>
  <c r="AC93" i="1"/>
  <c r="AD91" i="1"/>
  <c r="BA297" i="1"/>
  <c r="BA296" i="1"/>
  <c r="BQ92" i="1"/>
  <c r="BR92" i="1" s="1"/>
  <c r="BQ93" i="1"/>
  <c r="BR91" i="1"/>
  <c r="BZ131" i="1"/>
  <c r="CB131" i="1" s="1"/>
  <c r="BZ132" i="1"/>
  <c r="BZ301" i="1"/>
  <c r="BZ300" i="1"/>
  <c r="AV347" i="1"/>
  <c r="AV346" i="1"/>
  <c r="AX346" i="1" s="1"/>
  <c r="BV131" i="1"/>
  <c r="BW131" i="1" s="1"/>
  <c r="BV132" i="1"/>
  <c r="BW130" i="1"/>
  <c r="BL35" i="1"/>
  <c r="BM34" i="1"/>
  <c r="AR36" i="1"/>
  <c r="AS35" i="1"/>
  <c r="AG347" i="1"/>
  <c r="AI347" i="1" s="1"/>
  <c r="AG346" i="1"/>
  <c r="AI346" i="1" s="1"/>
  <c r="AV133" i="1"/>
  <c r="AV134" i="1"/>
  <c r="AV244" i="1"/>
  <c r="AV245" i="1"/>
  <c r="BB241" i="1"/>
  <c r="BB240" i="1"/>
  <c r="BC239" i="1"/>
  <c r="BP240" i="1"/>
  <c r="BR240" i="1" s="1"/>
  <c r="BP241" i="1"/>
  <c r="BR241" i="1" s="1"/>
  <c r="AG245" i="1"/>
  <c r="AG244" i="1"/>
  <c r="BA190" i="1"/>
  <c r="BA189" i="1"/>
  <c r="BL348" i="1"/>
  <c r="BM348" i="1" s="1"/>
  <c r="BL349" i="1"/>
  <c r="BM347" i="1"/>
  <c r="BP132" i="1"/>
  <c r="BP131" i="1"/>
  <c r="BH183" i="1"/>
  <c r="BG98" i="1"/>
  <c r="AW35" i="1"/>
  <c r="AX34" i="1"/>
  <c r="BF299" i="1"/>
  <c r="BF298" i="1"/>
  <c r="BP97" i="1"/>
  <c r="BP96" i="1"/>
  <c r="BP98" i="1" s="1"/>
  <c r="BW34" i="1"/>
  <c r="BV35" i="1"/>
  <c r="BV188" i="1"/>
  <c r="BV187" i="1"/>
  <c r="BW186" i="1"/>
  <c r="AH95" i="1"/>
  <c r="AH94" i="1"/>
  <c r="AI94" i="1" s="1"/>
  <c r="AI93" i="1"/>
  <c r="AL244" i="1"/>
  <c r="AL245" i="1"/>
  <c r="AR241" i="1"/>
  <c r="AR240" i="1"/>
  <c r="AS240" i="1" s="1"/>
  <c r="AS239" i="1"/>
  <c r="AD30" i="1"/>
  <c r="AC31" i="1"/>
  <c r="BG295" i="1"/>
  <c r="BG294" i="1"/>
  <c r="BH294" i="1" s="1"/>
  <c r="BH293" i="1"/>
  <c r="BL132" i="1"/>
  <c r="BL131" i="1"/>
  <c r="BM131" i="1" s="1"/>
  <c r="BM130" i="1"/>
  <c r="BG186" i="1"/>
  <c r="BG185" i="1"/>
  <c r="BH185" i="1" s="1"/>
  <c r="BH184" i="1"/>
  <c r="BB94" i="1"/>
  <c r="BC94" i="1" s="1"/>
  <c r="BC93" i="1"/>
  <c r="BB95" i="1"/>
  <c r="AX345" i="1"/>
  <c r="AV95" i="1"/>
  <c r="AV94" i="1"/>
  <c r="AL294" i="1"/>
  <c r="AN294" i="1" s="1"/>
  <c r="AL295" i="1"/>
  <c r="AN295" i="1" s="1"/>
  <c r="AH295" i="1"/>
  <c r="AH294" i="1"/>
  <c r="AI294" i="1" s="1"/>
  <c r="AI293" i="1"/>
  <c r="AG96" i="1"/>
  <c r="AG98" i="1" s="1"/>
  <c r="AG97" i="1"/>
  <c r="BC346" i="1"/>
  <c r="BW347" i="1"/>
  <c r="AQ96" i="1"/>
  <c r="AQ98" i="1" s="1"/>
  <c r="AQ97" i="1"/>
  <c r="BR293" i="1"/>
  <c r="AB241" i="1"/>
  <c r="AB240" i="1"/>
  <c r="AD240" i="1" s="1"/>
  <c r="AC349" i="1"/>
  <c r="AC348" i="1"/>
  <c r="AD348" i="1" s="1"/>
  <c r="AD347" i="1"/>
  <c r="BU241" i="1"/>
  <c r="BU240" i="1"/>
  <c r="BV295" i="1"/>
  <c r="BV294" i="1"/>
  <c r="BW293" i="1"/>
  <c r="AD182" i="1"/>
  <c r="AD239" i="1"/>
  <c r="BG131" i="1"/>
  <c r="BH131" i="1" s="1"/>
  <c r="BG132" i="1"/>
  <c r="BH130" i="1"/>
  <c r="AW189" i="1" l="1"/>
  <c r="AW190" i="1"/>
  <c r="AX188" i="1"/>
  <c r="AX166" i="1" s="1"/>
  <c r="AY166" i="1" s="1"/>
  <c r="AH133" i="1"/>
  <c r="AH134" i="1"/>
  <c r="CA94" i="1"/>
  <c r="CB94" i="1" s="1"/>
  <c r="CA95" i="1"/>
  <c r="CB93" i="1"/>
  <c r="BW294" i="1"/>
  <c r="BB96" i="1"/>
  <c r="BB97" i="1"/>
  <c r="BC95" i="1"/>
  <c r="AD31" i="1"/>
  <c r="AC32" i="1"/>
  <c r="BV189" i="1"/>
  <c r="BV190" i="1"/>
  <c r="BW188" i="1"/>
  <c r="BC240" i="1"/>
  <c r="BR93" i="1"/>
  <c r="BQ94" i="1"/>
  <c r="BR94" i="1" s="1"/>
  <c r="BQ95" i="1"/>
  <c r="BP187" i="1"/>
  <c r="BP188" i="1"/>
  <c r="BR186" i="1"/>
  <c r="CB133" i="1"/>
  <c r="BA136" i="1"/>
  <c r="BA135" i="1"/>
  <c r="AG134" i="1"/>
  <c r="AG133" i="1"/>
  <c r="AI133" i="1" s="1"/>
  <c r="AI132" i="1"/>
  <c r="AS294" i="1"/>
  <c r="BB189" i="1"/>
  <c r="BB190" i="1"/>
  <c r="BC188" i="1"/>
  <c r="BC166" i="1" s="1"/>
  <c r="AL355" i="1"/>
  <c r="AL354" i="1"/>
  <c r="BB351" i="1"/>
  <c r="BB350" i="1"/>
  <c r="BC350" i="1" s="1"/>
  <c r="BC349" i="1"/>
  <c r="AC244" i="1"/>
  <c r="AC245" i="1"/>
  <c r="BV297" i="1"/>
  <c r="BV296" i="1"/>
  <c r="BW295" i="1"/>
  <c r="BV36" i="1"/>
  <c r="BW35" i="1"/>
  <c r="BP133" i="1"/>
  <c r="BR133" i="1" s="1"/>
  <c r="BR112" i="1" s="1"/>
  <c r="BS112" i="1" s="1"/>
  <c r="BP134" i="1"/>
  <c r="BB242" i="1"/>
  <c r="BC242" i="1" s="1"/>
  <c r="BB243" i="1"/>
  <c r="BC241" i="1"/>
  <c r="BM240" i="1"/>
  <c r="AS131" i="1"/>
  <c r="BK135" i="1"/>
  <c r="BK136" i="1"/>
  <c r="AM244" i="1"/>
  <c r="AM245" i="1"/>
  <c r="AN243" i="1"/>
  <c r="AN221" i="1" s="1"/>
  <c r="AO221" i="1" s="1"/>
  <c r="BQ190" i="1"/>
  <c r="BQ189" i="1"/>
  <c r="AV296" i="1"/>
  <c r="AV297" i="1"/>
  <c r="BF187" i="1"/>
  <c r="BF188" i="1"/>
  <c r="BB41" i="1"/>
  <c r="BK299" i="1"/>
  <c r="BK298" i="1"/>
  <c r="BQ136" i="1"/>
  <c r="BQ135" i="1"/>
  <c r="AR297" i="1"/>
  <c r="AR296" i="1"/>
  <c r="AS296" i="1" s="1"/>
  <c r="AS295" i="1"/>
  <c r="AV247" i="1"/>
  <c r="AV246" i="1"/>
  <c r="AQ243" i="1"/>
  <c r="AQ242" i="1"/>
  <c r="BL243" i="1"/>
  <c r="BL242" i="1"/>
  <c r="BM242" i="1" s="1"/>
  <c r="BM241" i="1"/>
  <c r="AR134" i="1"/>
  <c r="AR133" i="1"/>
  <c r="AS133" i="1" s="1"/>
  <c r="AS132" i="1"/>
  <c r="BR187" i="1"/>
  <c r="BL296" i="1"/>
  <c r="BM296" i="1" s="1"/>
  <c r="BL297" i="1"/>
  <c r="BM295" i="1"/>
  <c r="AV193" i="1"/>
  <c r="AV194" i="1"/>
  <c r="CA193" i="1"/>
  <c r="CA194" i="1"/>
  <c r="AQ297" i="1"/>
  <c r="AQ296" i="1"/>
  <c r="BK188" i="1"/>
  <c r="BK187" i="1"/>
  <c r="CA243" i="1"/>
  <c r="CA242" i="1"/>
  <c r="CB241" i="1"/>
  <c r="BU242" i="1"/>
  <c r="BU243" i="1"/>
  <c r="BL351" i="1"/>
  <c r="BL350" i="1"/>
  <c r="BM350" i="1" s="1"/>
  <c r="BM349" i="1"/>
  <c r="BV134" i="1"/>
  <c r="BV133" i="1"/>
  <c r="BW133" i="1" s="1"/>
  <c r="BW132" i="1"/>
  <c r="BA299" i="1"/>
  <c r="BA298" i="1"/>
  <c r="BF241" i="1"/>
  <c r="BF240" i="1"/>
  <c r="BZ243" i="1"/>
  <c r="BZ242" i="1"/>
  <c r="BU134" i="1"/>
  <c r="BU133" i="1"/>
  <c r="AH351" i="1"/>
  <c r="AH350" i="1"/>
  <c r="CB240" i="1"/>
  <c r="BR296" i="1"/>
  <c r="BB297" i="1"/>
  <c r="BB296" i="1"/>
  <c r="BC296" i="1" s="1"/>
  <c r="BC295" i="1"/>
  <c r="BV96" i="1"/>
  <c r="BV97" i="1"/>
  <c r="BW95" i="1"/>
  <c r="AR243" i="1"/>
  <c r="AR242" i="1"/>
  <c r="AS241" i="1"/>
  <c r="AV136" i="1"/>
  <c r="AV135" i="1"/>
  <c r="AW134" i="1"/>
  <c r="AW133" i="1"/>
  <c r="AX133" i="1" s="1"/>
  <c r="AX112" i="1" s="1"/>
  <c r="AX132" i="1"/>
  <c r="AG188" i="1"/>
  <c r="AG187" i="1"/>
  <c r="BZ189" i="1"/>
  <c r="BZ190" i="1"/>
  <c r="CB188" i="1"/>
  <c r="CB166" i="1" s="1"/>
  <c r="CC166" i="1" s="1"/>
  <c r="AM298" i="1"/>
  <c r="AM299" i="1"/>
  <c r="AN297" i="1"/>
  <c r="AN275" i="1" s="1"/>
  <c r="AO275" i="1" s="1"/>
  <c r="CA351" i="1"/>
  <c r="CA350" i="1"/>
  <c r="CB350" i="1" s="1"/>
  <c r="CB329" i="1" s="1"/>
  <c r="CC329" i="1" s="1"/>
  <c r="CB349" i="1"/>
  <c r="BU190" i="1"/>
  <c r="BU189" i="1"/>
  <c r="BQ353" i="1"/>
  <c r="BQ352" i="1"/>
  <c r="AI348" i="1"/>
  <c r="BQ298" i="1"/>
  <c r="BQ299" i="1"/>
  <c r="AC188" i="1"/>
  <c r="AC187" i="1"/>
  <c r="BG188" i="1"/>
  <c r="BH186" i="1"/>
  <c r="BG187" i="1"/>
  <c r="BH187" i="1" s="1"/>
  <c r="AL247" i="1"/>
  <c r="AL246" i="1"/>
  <c r="AC94" i="1"/>
  <c r="AD94" i="1" s="1"/>
  <c r="AD93" i="1"/>
  <c r="AC95" i="1"/>
  <c r="BA243" i="1"/>
  <c r="BA242" i="1"/>
  <c r="AW297" i="1"/>
  <c r="AW296" i="1"/>
  <c r="AX296" i="1" s="1"/>
  <c r="AX295" i="1"/>
  <c r="AB132" i="1"/>
  <c r="AB131" i="1"/>
  <c r="AN296" i="1"/>
  <c r="BH239" i="1"/>
  <c r="BA31" i="1"/>
  <c r="BC30" i="1"/>
  <c r="BR350" i="1"/>
  <c r="BR329" i="1" s="1"/>
  <c r="BS329" i="1" s="1"/>
  <c r="AH188" i="1"/>
  <c r="AH187" i="1"/>
  <c r="AI187" i="1" s="1"/>
  <c r="AI186" i="1"/>
  <c r="BL187" i="1"/>
  <c r="BL188" i="1"/>
  <c r="BM186" i="1"/>
  <c r="AL136" i="1"/>
  <c r="AL135" i="1"/>
  <c r="BQ35" i="1"/>
  <c r="BR34" i="1"/>
  <c r="BG133" i="1"/>
  <c r="BG134" i="1"/>
  <c r="BH132" i="1"/>
  <c r="AC351" i="1"/>
  <c r="AC350" i="1"/>
  <c r="AD349" i="1"/>
  <c r="AH297" i="1"/>
  <c r="AH296" i="1"/>
  <c r="AI295" i="1"/>
  <c r="BF301" i="1"/>
  <c r="BF300" i="1"/>
  <c r="BA192" i="1"/>
  <c r="BA191" i="1"/>
  <c r="AV349" i="1"/>
  <c r="AX349" i="1" s="1"/>
  <c r="AV348" i="1"/>
  <c r="AX348" i="1" s="1"/>
  <c r="AQ350" i="1"/>
  <c r="AS350" i="1" s="1"/>
  <c r="AS329" i="1" s="1"/>
  <c r="AT329" i="1" s="1"/>
  <c r="AQ351" i="1"/>
  <c r="BZ352" i="1"/>
  <c r="BZ353" i="1"/>
  <c r="BK355" i="1"/>
  <c r="BK354" i="1"/>
  <c r="BH240" i="1"/>
  <c r="AR352" i="1"/>
  <c r="AR353" i="1"/>
  <c r="AI185" i="1"/>
  <c r="AR95" i="1"/>
  <c r="AS93" i="1"/>
  <c r="AR94" i="1"/>
  <c r="AS94" i="1" s="1"/>
  <c r="BK243" i="1"/>
  <c r="BK242" i="1"/>
  <c r="AL297" i="1"/>
  <c r="AL296" i="1"/>
  <c r="AG348" i="1"/>
  <c r="AG349" i="1"/>
  <c r="AI349" i="1" s="1"/>
  <c r="BP350" i="1"/>
  <c r="BP351" i="1"/>
  <c r="CA296" i="1"/>
  <c r="CB296" i="1" s="1"/>
  <c r="CA297" i="1"/>
  <c r="CB295" i="1"/>
  <c r="AB185" i="1"/>
  <c r="AD185" i="1" s="1"/>
  <c r="AB186" i="1"/>
  <c r="BU297" i="1"/>
  <c r="BU296" i="1"/>
  <c r="BG243" i="1"/>
  <c r="BG242" i="1"/>
  <c r="BH241" i="1"/>
  <c r="AB351" i="1"/>
  <c r="AB350" i="1"/>
  <c r="AB242" i="1"/>
  <c r="AD242" i="1" s="1"/>
  <c r="AB243" i="1"/>
  <c r="AD243" i="1" s="1"/>
  <c r="BL133" i="1"/>
  <c r="BM133" i="1" s="1"/>
  <c r="BM112" i="1" s="1"/>
  <c r="BN112" i="1" s="1"/>
  <c r="BL134" i="1"/>
  <c r="BM132" i="1"/>
  <c r="AX35" i="1"/>
  <c r="AW36" i="1"/>
  <c r="AG247" i="1"/>
  <c r="AG246" i="1"/>
  <c r="BZ302" i="1"/>
  <c r="BZ303" i="1"/>
  <c r="BF351" i="1"/>
  <c r="BF350" i="1"/>
  <c r="AH36" i="1"/>
  <c r="AI35" i="1"/>
  <c r="AH243" i="1"/>
  <c r="AH242" i="1"/>
  <c r="AI242" i="1" s="1"/>
  <c r="AI241" i="1"/>
  <c r="BL96" i="1"/>
  <c r="BM95" i="1"/>
  <c r="BL97" i="1"/>
  <c r="AG296" i="1"/>
  <c r="AG297" i="1"/>
  <c r="BC112" i="1"/>
  <c r="BD112" i="1" s="1"/>
  <c r="BQ244" i="1"/>
  <c r="BQ245" i="1"/>
  <c r="AN329" i="1"/>
  <c r="AO329" i="1" s="1"/>
  <c r="BU350" i="1"/>
  <c r="BU351" i="1"/>
  <c r="BV242" i="1"/>
  <c r="BW242" i="1" s="1"/>
  <c r="BV243" i="1"/>
  <c r="BW241" i="1"/>
  <c r="BW350" i="1"/>
  <c r="BW329" i="1" s="1"/>
  <c r="BX329" i="1" s="1"/>
  <c r="AX347" i="1"/>
  <c r="AR187" i="1"/>
  <c r="AS187" i="1" s="1"/>
  <c r="AR188" i="1"/>
  <c r="AS186" i="1"/>
  <c r="BF97" i="1"/>
  <c r="BF96" i="1"/>
  <c r="BH95" i="1"/>
  <c r="AH96" i="1"/>
  <c r="AH97" i="1"/>
  <c r="AI95" i="1"/>
  <c r="BP242" i="1"/>
  <c r="BR242" i="1" s="1"/>
  <c r="BP243" i="1"/>
  <c r="BR243" i="1" s="1"/>
  <c r="BR221" i="1" s="1"/>
  <c r="BS221" i="1" s="1"/>
  <c r="AR37" i="1"/>
  <c r="AS36" i="1"/>
  <c r="BZ134" i="1"/>
  <c r="BZ133" i="1"/>
  <c r="AB97" i="1"/>
  <c r="AB96" i="1"/>
  <c r="AB98" i="1" s="1"/>
  <c r="BB135" i="1"/>
  <c r="BB136" i="1"/>
  <c r="BG351" i="1"/>
  <c r="BG350" i="1"/>
  <c r="BH349" i="1"/>
  <c r="AM352" i="1"/>
  <c r="AM353" i="1"/>
  <c r="AX93" i="1"/>
  <c r="AW94" i="1"/>
  <c r="AX94" i="1" s="1"/>
  <c r="AW95" i="1"/>
  <c r="BV353" i="1"/>
  <c r="BV352" i="1"/>
  <c r="AV97" i="1"/>
  <c r="AV96" i="1"/>
  <c r="AV98" i="1" s="1"/>
  <c r="BP296" i="1"/>
  <c r="BP297" i="1"/>
  <c r="BR297" i="1" s="1"/>
  <c r="BR275" i="1" s="1"/>
  <c r="BS275" i="1" s="1"/>
  <c r="AD131" i="1"/>
  <c r="AN112" i="1"/>
  <c r="AO112" i="1" s="1"/>
  <c r="CB132" i="1"/>
  <c r="AW242" i="1"/>
  <c r="AX242" i="1" s="1"/>
  <c r="AW243" i="1"/>
  <c r="AX241" i="1"/>
  <c r="BH348" i="1"/>
  <c r="AW351" i="1"/>
  <c r="AW350" i="1"/>
  <c r="AL192" i="1"/>
  <c r="AL191" i="1"/>
  <c r="BF133" i="1"/>
  <c r="BF134" i="1"/>
  <c r="BG296" i="1"/>
  <c r="BH296" i="1" s="1"/>
  <c r="BG297" i="1"/>
  <c r="BH295" i="1"/>
  <c r="BW187" i="1"/>
  <c r="BL36" i="1"/>
  <c r="BM35" i="1"/>
  <c r="AC297" i="1"/>
  <c r="AC296" i="1"/>
  <c r="AD295" i="1"/>
  <c r="AN95" i="1"/>
  <c r="AM97" i="1"/>
  <c r="AM96" i="1"/>
  <c r="AB297" i="1"/>
  <c r="AB296" i="1"/>
  <c r="AC134" i="1"/>
  <c r="AC133" i="1"/>
  <c r="AD132" i="1"/>
  <c r="BA351" i="1"/>
  <c r="BA350" i="1"/>
  <c r="AM187" i="1"/>
  <c r="AN187" i="1" s="1"/>
  <c r="AM188" i="1"/>
  <c r="AN186" i="1"/>
  <c r="AM136" i="1"/>
  <c r="AM135" i="1"/>
  <c r="CA136" i="1"/>
  <c r="CA135" i="1"/>
  <c r="AQ134" i="1"/>
  <c r="AQ133" i="1"/>
  <c r="BR132" i="1"/>
  <c r="AQ189" i="1"/>
  <c r="AQ190" i="1"/>
  <c r="BC348" i="1"/>
  <c r="AD241" i="1"/>
  <c r="BW112" i="1" l="1"/>
  <c r="BX112" i="1" s="1"/>
  <c r="CB95" i="1"/>
  <c r="CA96" i="1"/>
  <c r="CA97" i="1"/>
  <c r="AI112" i="1"/>
  <c r="AJ112" i="1" s="1"/>
  <c r="BW166" i="1"/>
  <c r="BX166" i="1" s="1"/>
  <c r="AH135" i="1"/>
  <c r="AH136" i="1"/>
  <c r="AD221" i="1"/>
  <c r="AW192" i="1"/>
  <c r="AW191" i="1"/>
  <c r="CB112" i="1"/>
  <c r="CC112" i="1" s="1"/>
  <c r="AE221" i="1"/>
  <c r="BV37" i="1"/>
  <c r="BW36" i="1"/>
  <c r="BL37" i="1"/>
  <c r="BM36" i="1"/>
  <c r="BL98" i="1"/>
  <c r="BM96" i="1"/>
  <c r="BM75" i="1" s="1"/>
  <c r="BN75" i="1" s="1"/>
  <c r="AW37" i="1"/>
  <c r="AX36" i="1"/>
  <c r="AL298" i="1"/>
  <c r="AL299" i="1"/>
  <c r="BZ355" i="1"/>
  <c r="BZ354" i="1"/>
  <c r="AH298" i="1"/>
  <c r="AH299" i="1"/>
  <c r="AI297" i="1"/>
  <c r="BL190" i="1"/>
  <c r="BL189" i="1"/>
  <c r="BM188" i="1"/>
  <c r="BM166" i="1" s="1"/>
  <c r="BN166" i="1" s="1"/>
  <c r="AB133" i="1"/>
  <c r="AB134" i="1"/>
  <c r="BU192" i="1"/>
  <c r="BU191" i="1"/>
  <c r="BL299" i="1"/>
  <c r="BL298" i="1"/>
  <c r="BM297" i="1"/>
  <c r="BM275" i="1" s="1"/>
  <c r="BN275" i="1" s="1"/>
  <c r="AV249" i="1"/>
  <c r="AV248" i="1"/>
  <c r="BV299" i="1"/>
  <c r="BV298" i="1"/>
  <c r="BW297" i="1"/>
  <c r="BP189" i="1"/>
  <c r="BP190" i="1"/>
  <c r="AD133" i="1"/>
  <c r="AD112" i="1" s="1"/>
  <c r="BV355" i="1"/>
  <c r="BV354" i="1"/>
  <c r="BF98" i="1"/>
  <c r="BH96" i="1"/>
  <c r="BH75" i="1" s="1"/>
  <c r="BI75" i="1" s="1"/>
  <c r="BU298" i="1"/>
  <c r="BU299" i="1"/>
  <c r="BM187" i="1"/>
  <c r="BG189" i="1"/>
  <c r="BG190" i="1"/>
  <c r="BH188" i="1"/>
  <c r="BH166" i="1" s="1"/>
  <c r="BI166" i="1" s="1"/>
  <c r="AY112" i="1"/>
  <c r="BF243" i="1"/>
  <c r="BF242" i="1"/>
  <c r="CB242" i="1"/>
  <c r="AV298" i="1"/>
  <c r="AV299" i="1"/>
  <c r="BD166" i="1"/>
  <c r="AQ136" i="1"/>
  <c r="AQ135" i="1"/>
  <c r="AC136" i="1"/>
  <c r="AC135" i="1"/>
  <c r="AW244" i="1"/>
  <c r="AW245" i="1"/>
  <c r="AX243" i="1"/>
  <c r="AX221" i="1" s="1"/>
  <c r="AW97" i="1"/>
  <c r="AX95" i="1"/>
  <c r="AW96" i="1"/>
  <c r="AB187" i="1"/>
  <c r="AD187" i="1" s="1"/>
  <c r="AB188" i="1"/>
  <c r="BK244" i="1"/>
  <c r="BK245" i="1"/>
  <c r="AQ352" i="1"/>
  <c r="AQ353" i="1"/>
  <c r="AD350" i="1"/>
  <c r="AD329" i="1" s="1"/>
  <c r="AD186" i="1"/>
  <c r="AW136" i="1"/>
  <c r="AW135" i="1"/>
  <c r="BB299" i="1"/>
  <c r="BB298" i="1"/>
  <c r="BC297" i="1"/>
  <c r="BC275" i="1" s="1"/>
  <c r="BD275" i="1" s="1"/>
  <c r="CA244" i="1"/>
  <c r="CA245" i="1"/>
  <c r="CB243" i="1"/>
  <c r="CB221" i="1" s="1"/>
  <c r="CC221" i="1" s="1"/>
  <c r="AC246" i="1"/>
  <c r="AC247" i="1"/>
  <c r="BG298" i="1"/>
  <c r="BG299" i="1"/>
  <c r="BH297" i="1"/>
  <c r="BH275" i="1" s="1"/>
  <c r="BI275" i="1" s="1"/>
  <c r="BQ246" i="1"/>
  <c r="BQ247" i="1"/>
  <c r="AH245" i="1"/>
  <c r="AH244" i="1"/>
  <c r="AI243" i="1"/>
  <c r="AI221" i="1" s="1"/>
  <c r="AJ221" i="1" s="1"/>
  <c r="BL136" i="1"/>
  <c r="BL135" i="1"/>
  <c r="AC353" i="1"/>
  <c r="AC352" i="1"/>
  <c r="AW298" i="1"/>
  <c r="AW299" i="1"/>
  <c r="AX297" i="1"/>
  <c r="AX275" i="1" s="1"/>
  <c r="CA353" i="1"/>
  <c r="CA352" i="1"/>
  <c r="BA301" i="1"/>
  <c r="BA300" i="1"/>
  <c r="BR188" i="1"/>
  <c r="BR166" i="1" s="1"/>
  <c r="BS166" i="1" s="1"/>
  <c r="CA137" i="1"/>
  <c r="CA138" i="1"/>
  <c r="AB298" i="1"/>
  <c r="AB299" i="1"/>
  <c r="BZ136" i="1"/>
  <c r="BZ135" i="1"/>
  <c r="AR190" i="1"/>
  <c r="AR189" i="1"/>
  <c r="AS188" i="1"/>
  <c r="AS166" i="1" s="1"/>
  <c r="AT166" i="1" s="1"/>
  <c r="AH189" i="1"/>
  <c r="AH190" i="1"/>
  <c r="AI188" i="1"/>
  <c r="AI166" i="1" s="1"/>
  <c r="AJ166" i="1" s="1"/>
  <c r="AC189" i="1"/>
  <c r="AC190" i="1"/>
  <c r="AV138" i="1"/>
  <c r="AV137" i="1"/>
  <c r="BK190" i="1"/>
  <c r="BK189" i="1"/>
  <c r="AS112" i="1"/>
  <c r="AT112" i="1" s="1"/>
  <c r="AR299" i="1"/>
  <c r="AR298" i="1"/>
  <c r="AS297" i="1"/>
  <c r="AS275" i="1" s="1"/>
  <c r="AT275" i="1" s="1"/>
  <c r="BB245" i="1"/>
  <c r="BB244" i="1"/>
  <c r="BC243" i="1"/>
  <c r="BC221" i="1" s="1"/>
  <c r="BD221" i="1" s="1"/>
  <c r="AG135" i="1"/>
  <c r="AG136" i="1"/>
  <c r="BV192" i="1"/>
  <c r="BV191" i="1"/>
  <c r="AH37" i="1"/>
  <c r="AI36" i="1"/>
  <c r="AB245" i="1"/>
  <c r="AB244" i="1"/>
  <c r="CA299" i="1"/>
  <c r="CA298" i="1"/>
  <c r="CB297" i="1"/>
  <c r="CB275" i="1" s="1"/>
  <c r="CC275" i="1" s="1"/>
  <c r="AS95" i="1"/>
  <c r="AR96" i="1"/>
  <c r="AR97" i="1"/>
  <c r="AV351" i="1"/>
  <c r="AV350" i="1"/>
  <c r="BG136" i="1"/>
  <c r="BG135" i="1"/>
  <c r="BA245" i="1"/>
  <c r="BA244" i="1"/>
  <c r="AM300" i="1"/>
  <c r="AM301" i="1"/>
  <c r="AR136" i="1"/>
  <c r="AR135" i="1"/>
  <c r="BQ191" i="1"/>
  <c r="BQ192" i="1"/>
  <c r="BC329" i="1"/>
  <c r="BD329" i="1" s="1"/>
  <c r="AM98" i="1"/>
  <c r="AN96" i="1"/>
  <c r="AN75" i="1" s="1"/>
  <c r="AO75" i="1" s="1"/>
  <c r="BF135" i="1"/>
  <c r="BF136" i="1"/>
  <c r="AM355" i="1"/>
  <c r="AM354" i="1"/>
  <c r="AM138" i="1"/>
  <c r="AM137" i="1"/>
  <c r="AR38" i="1"/>
  <c r="AS37" i="1"/>
  <c r="AG299" i="1"/>
  <c r="AG298" i="1"/>
  <c r="BH133" i="1"/>
  <c r="BH112" i="1" s="1"/>
  <c r="BI112" i="1" s="1"/>
  <c r="AC96" i="1"/>
  <c r="AC97" i="1"/>
  <c r="AD95" i="1"/>
  <c r="BQ301" i="1"/>
  <c r="BQ300" i="1"/>
  <c r="AS242" i="1"/>
  <c r="BV136" i="1"/>
  <c r="BV135" i="1"/>
  <c r="AQ299" i="1"/>
  <c r="AQ298" i="1"/>
  <c r="BQ137" i="1"/>
  <c r="BQ138" i="1"/>
  <c r="BP136" i="1"/>
  <c r="BP135" i="1"/>
  <c r="BB352" i="1"/>
  <c r="BB353" i="1"/>
  <c r="BA137" i="1"/>
  <c r="BA138" i="1"/>
  <c r="AC33" i="1"/>
  <c r="AD32" i="1"/>
  <c r="BP298" i="1"/>
  <c r="BP299" i="1"/>
  <c r="BP245" i="1"/>
  <c r="BP244" i="1"/>
  <c r="BF352" i="1"/>
  <c r="BF353" i="1"/>
  <c r="BP352" i="1"/>
  <c r="BP353" i="1"/>
  <c r="AR355" i="1"/>
  <c r="AR354" i="1"/>
  <c r="BA193" i="1"/>
  <c r="BA194" i="1"/>
  <c r="AR245" i="1"/>
  <c r="AR244" i="1"/>
  <c r="AS243" i="1"/>
  <c r="AS221" i="1" s="1"/>
  <c r="AT221" i="1" s="1"/>
  <c r="AH352" i="1"/>
  <c r="AH353" i="1"/>
  <c r="CA195" i="1"/>
  <c r="CA196" i="1"/>
  <c r="AM246" i="1"/>
  <c r="AM247" i="1"/>
  <c r="AM190" i="1"/>
  <c r="AM189" i="1"/>
  <c r="AN188" i="1"/>
  <c r="AN166" i="1" s="1"/>
  <c r="AO166" i="1" s="1"/>
  <c r="AL194" i="1"/>
  <c r="AL193" i="1"/>
  <c r="BH350" i="1"/>
  <c r="BH329" i="1" s="1"/>
  <c r="BI329" i="1" s="1"/>
  <c r="BZ304" i="1"/>
  <c r="BZ305" i="1"/>
  <c r="AB352" i="1"/>
  <c r="AB353" i="1"/>
  <c r="BQ36" i="1"/>
  <c r="BR35" i="1"/>
  <c r="BA32" i="1"/>
  <c r="BC31" i="1"/>
  <c r="BZ192" i="1"/>
  <c r="BZ191" i="1"/>
  <c r="BM329" i="1"/>
  <c r="BN329" i="1" s="1"/>
  <c r="BL244" i="1"/>
  <c r="BL245" i="1"/>
  <c r="BM243" i="1"/>
  <c r="BM221" i="1" s="1"/>
  <c r="BN221" i="1" s="1"/>
  <c r="BK301" i="1"/>
  <c r="BK300" i="1"/>
  <c r="AL357" i="1"/>
  <c r="AL356" i="1"/>
  <c r="AD296" i="1"/>
  <c r="BV245" i="1"/>
  <c r="BV244" i="1"/>
  <c r="BW243" i="1"/>
  <c r="BW221" i="1" s="1"/>
  <c r="BX221" i="1" s="1"/>
  <c r="AG350" i="1"/>
  <c r="AI350" i="1" s="1"/>
  <c r="AI329" i="1" s="1"/>
  <c r="AJ329" i="1" s="1"/>
  <c r="AG351" i="1"/>
  <c r="BF302" i="1"/>
  <c r="BF303" i="1"/>
  <c r="BU136" i="1"/>
  <c r="BU135" i="1"/>
  <c r="BL353" i="1"/>
  <c r="BL352" i="1"/>
  <c r="AV195" i="1"/>
  <c r="AV196" i="1"/>
  <c r="AQ192" i="1"/>
  <c r="AQ191" i="1"/>
  <c r="AC298" i="1"/>
  <c r="AC299" i="1"/>
  <c r="AD297" i="1"/>
  <c r="AD275" i="1" s="1"/>
  <c r="AX350" i="1"/>
  <c r="AX329" i="1" s="1"/>
  <c r="BH242" i="1"/>
  <c r="AL138" i="1"/>
  <c r="AL137" i="1"/>
  <c r="AL249" i="1"/>
  <c r="AL248" i="1"/>
  <c r="BQ354" i="1"/>
  <c r="BQ355" i="1"/>
  <c r="BV98" i="1"/>
  <c r="BW96" i="1"/>
  <c r="BW75" i="1" s="1"/>
  <c r="BX75" i="1" s="1"/>
  <c r="BU245" i="1"/>
  <c r="BU244" i="1"/>
  <c r="AQ244" i="1"/>
  <c r="AQ245" i="1"/>
  <c r="BB42" i="1"/>
  <c r="BB43" i="1" s="1"/>
  <c r="BB44" i="1" s="1"/>
  <c r="BB45" i="1" s="1"/>
  <c r="BB46" i="1" s="1"/>
  <c r="BB47" i="1" s="1"/>
  <c r="BB48" i="1" s="1"/>
  <c r="BB49" i="1" s="1"/>
  <c r="BB50" i="1" s="1"/>
  <c r="BB51" i="1" s="1"/>
  <c r="BB52" i="1" s="1"/>
  <c r="BB53" i="1" s="1"/>
  <c r="BB54" i="1" s="1"/>
  <c r="BB55" i="1" s="1"/>
  <c r="BB56" i="1" s="1"/>
  <c r="BB57" i="1" s="1"/>
  <c r="BB58" i="1" s="1"/>
  <c r="BB59" i="1" s="1"/>
  <c r="BB60" i="1" s="1"/>
  <c r="BB61" i="1" s="1"/>
  <c r="BB62" i="1" s="1"/>
  <c r="BB191" i="1"/>
  <c r="BB192" i="1"/>
  <c r="BB98" i="1"/>
  <c r="BC96" i="1"/>
  <c r="BC75" i="1" s="1"/>
  <c r="BD75" i="1" s="1"/>
  <c r="BG353" i="1"/>
  <c r="BG352" i="1"/>
  <c r="BK137" i="1"/>
  <c r="BK138" i="1"/>
  <c r="BA352" i="1"/>
  <c r="BA353" i="1"/>
  <c r="AW353" i="1"/>
  <c r="AW352" i="1"/>
  <c r="BB137" i="1"/>
  <c r="BB138" i="1"/>
  <c r="AH98" i="1"/>
  <c r="AI96" i="1"/>
  <c r="AI75" i="1" s="1"/>
  <c r="AJ75" i="1" s="1"/>
  <c r="BU352" i="1"/>
  <c r="BU353" i="1"/>
  <c r="AG248" i="1"/>
  <c r="AG249" i="1"/>
  <c r="BG244" i="1"/>
  <c r="BG245" i="1"/>
  <c r="BH243" i="1"/>
  <c r="BK357" i="1"/>
  <c r="BK356" i="1"/>
  <c r="AI296" i="1"/>
  <c r="AG190" i="1"/>
  <c r="AG189" i="1"/>
  <c r="BZ244" i="1"/>
  <c r="BZ245" i="1"/>
  <c r="BF189" i="1"/>
  <c r="BF190" i="1"/>
  <c r="BW296" i="1"/>
  <c r="BQ96" i="1"/>
  <c r="BR95" i="1"/>
  <c r="BQ97" i="1"/>
  <c r="AW194" i="1" l="1"/>
  <c r="AW193" i="1"/>
  <c r="AH138" i="1"/>
  <c r="AH137" i="1"/>
  <c r="CH188" i="1"/>
  <c r="CH190" i="1" s="1"/>
  <c r="AI275" i="1"/>
  <c r="AJ275" i="1" s="1"/>
  <c r="CA98" i="1"/>
  <c r="CB96" i="1"/>
  <c r="CB75" i="1" s="1"/>
  <c r="CC75" i="1" s="1"/>
  <c r="AL250" i="1"/>
  <c r="AL251" i="1"/>
  <c r="BV247" i="1"/>
  <c r="BV246" i="1"/>
  <c r="AD33" i="1"/>
  <c r="AC34" i="1"/>
  <c r="BV137" i="1"/>
  <c r="BV138" i="1"/>
  <c r="AR39" i="1"/>
  <c r="AS38" i="1"/>
  <c r="AC191" i="1"/>
  <c r="AC192" i="1"/>
  <c r="CA139" i="1"/>
  <c r="CA141" i="1" s="1"/>
  <c r="CA143" i="1" s="1"/>
  <c r="CA145" i="1" s="1"/>
  <c r="CA147" i="1" s="1"/>
  <c r="CA149" i="1" s="1"/>
  <c r="CA151" i="1" s="1"/>
  <c r="CA153" i="1" s="1"/>
  <c r="CA140" i="1"/>
  <c r="CA142" i="1" s="1"/>
  <c r="CA144" i="1" s="1"/>
  <c r="CA146" i="1" s="1"/>
  <c r="CA148" i="1" s="1"/>
  <c r="CA150" i="1" s="1"/>
  <c r="CA152" i="1" s="1"/>
  <c r="AC354" i="1"/>
  <c r="AC355" i="1"/>
  <c r="CH345" i="1"/>
  <c r="AE329" i="1"/>
  <c r="CG329" i="1"/>
  <c r="CH134" i="1"/>
  <c r="CH128" i="1"/>
  <c r="CG112" i="1"/>
  <c r="AE112" i="1"/>
  <c r="BU193" i="1"/>
  <c r="BU194" i="1"/>
  <c r="BK358" i="1"/>
  <c r="BK359" i="1"/>
  <c r="BL355" i="1"/>
  <c r="BL354" i="1"/>
  <c r="BA33" i="1"/>
  <c r="BC32" i="1"/>
  <c r="AM192" i="1"/>
  <c r="AM191" i="1"/>
  <c r="BA140" i="1"/>
  <c r="BA142" i="1" s="1"/>
  <c r="BA144" i="1" s="1"/>
  <c r="BA146" i="1" s="1"/>
  <c r="BA148" i="1" s="1"/>
  <c r="BA150" i="1" s="1"/>
  <c r="BA152" i="1" s="1"/>
  <c r="BA139" i="1"/>
  <c r="BA141" i="1" s="1"/>
  <c r="BA143" i="1" s="1"/>
  <c r="BA145" i="1" s="1"/>
  <c r="BA147" i="1" s="1"/>
  <c r="BA149" i="1" s="1"/>
  <c r="BA151" i="1" s="1"/>
  <c r="BA153" i="1" s="1"/>
  <c r="AR137" i="1"/>
  <c r="AR138" i="1"/>
  <c r="AQ355" i="1"/>
  <c r="AQ354" i="1"/>
  <c r="BP191" i="1"/>
  <c r="BP192" i="1"/>
  <c r="AB136" i="1"/>
  <c r="AB135" i="1"/>
  <c r="BH221" i="1"/>
  <c r="BI221" i="1" s="1"/>
  <c r="AW354" i="1"/>
  <c r="AW355" i="1"/>
  <c r="AL140" i="1"/>
  <c r="AL142" i="1" s="1"/>
  <c r="AL144" i="1" s="1"/>
  <c r="AL146" i="1" s="1"/>
  <c r="AL148" i="1" s="1"/>
  <c r="AL150" i="1" s="1"/>
  <c r="AL152" i="1" s="1"/>
  <c r="AL139" i="1"/>
  <c r="AL141" i="1" s="1"/>
  <c r="AL143" i="1" s="1"/>
  <c r="AL145" i="1" s="1"/>
  <c r="AL147" i="1" s="1"/>
  <c r="AL149" i="1" s="1"/>
  <c r="AL151" i="1" s="1"/>
  <c r="AL153" i="1" s="1"/>
  <c r="AM249" i="1"/>
  <c r="AM248" i="1"/>
  <c r="AR357" i="1"/>
  <c r="AR356" i="1"/>
  <c r="AM139" i="1"/>
  <c r="AM141" i="1" s="1"/>
  <c r="AM143" i="1" s="1"/>
  <c r="AM145" i="1" s="1"/>
  <c r="AM147" i="1" s="1"/>
  <c r="AM149" i="1" s="1"/>
  <c r="AM151" i="1" s="1"/>
  <c r="AM153" i="1" s="1"/>
  <c r="AM140" i="1"/>
  <c r="AM142" i="1" s="1"/>
  <c r="AM144" i="1" s="1"/>
  <c r="AM146" i="1" s="1"/>
  <c r="AM148" i="1" s="1"/>
  <c r="AM150" i="1" s="1"/>
  <c r="AM152" i="1" s="1"/>
  <c r="AM303" i="1"/>
  <c r="AM302" i="1"/>
  <c r="BB247" i="1"/>
  <c r="BB246" i="1"/>
  <c r="BL137" i="1"/>
  <c r="BL138" i="1"/>
  <c r="AC137" i="1"/>
  <c r="AC138" i="1"/>
  <c r="AW38" i="1"/>
  <c r="AX37" i="1"/>
  <c r="BQ98" i="1"/>
  <c r="BR96" i="1"/>
  <c r="BR75" i="1" s="1"/>
  <c r="BS75" i="1" s="1"/>
  <c r="BG247" i="1"/>
  <c r="BG246" i="1"/>
  <c r="BA354" i="1"/>
  <c r="BA355" i="1"/>
  <c r="AQ246" i="1"/>
  <c r="AQ247" i="1"/>
  <c r="BU137" i="1"/>
  <c r="BU138" i="1"/>
  <c r="AL359" i="1"/>
  <c r="AL358" i="1"/>
  <c r="BQ37" i="1"/>
  <c r="BR36" i="1"/>
  <c r="BP355" i="1"/>
  <c r="BP354" i="1"/>
  <c r="BB355" i="1"/>
  <c r="BB354" i="1"/>
  <c r="CA300" i="1"/>
  <c r="CA301" i="1"/>
  <c r="AH191" i="1"/>
  <c r="AH192" i="1"/>
  <c r="BK246" i="1"/>
  <c r="BK247" i="1"/>
  <c r="BG191" i="1"/>
  <c r="BG192" i="1"/>
  <c r="BW275" i="1"/>
  <c r="BX275" i="1" s="1"/>
  <c r="CH351" i="1"/>
  <c r="AY329" i="1"/>
  <c r="BF305" i="1"/>
  <c r="BF304" i="1"/>
  <c r="AB355" i="1"/>
  <c r="AB354" i="1"/>
  <c r="CA198" i="1"/>
  <c r="CA197" i="1"/>
  <c r="BQ302" i="1"/>
  <c r="BQ303" i="1"/>
  <c r="AM356" i="1"/>
  <c r="AM357" i="1"/>
  <c r="BA302" i="1"/>
  <c r="BA303" i="1"/>
  <c r="CA246" i="1"/>
  <c r="CA247" i="1"/>
  <c r="AQ138" i="1"/>
  <c r="AQ137" i="1"/>
  <c r="BF192" i="1"/>
  <c r="BF191" i="1"/>
  <c r="AG251" i="1"/>
  <c r="AG250" i="1"/>
  <c r="BK139" i="1"/>
  <c r="BK141" i="1" s="1"/>
  <c r="BK143" i="1" s="1"/>
  <c r="BK145" i="1" s="1"/>
  <c r="BK147" i="1" s="1"/>
  <c r="BK149" i="1" s="1"/>
  <c r="BK151" i="1" s="1"/>
  <c r="BK153" i="1" s="1"/>
  <c r="BK140" i="1"/>
  <c r="BK142" i="1" s="1"/>
  <c r="BK144" i="1" s="1"/>
  <c r="BK146" i="1" s="1"/>
  <c r="BK148" i="1" s="1"/>
  <c r="BK150" i="1" s="1"/>
  <c r="BK152" i="1" s="1"/>
  <c r="CH291" i="1"/>
  <c r="AE275" i="1"/>
  <c r="BK302" i="1"/>
  <c r="BK303" i="1"/>
  <c r="BF355" i="1"/>
  <c r="BF354" i="1"/>
  <c r="BF138" i="1"/>
  <c r="BF137" i="1"/>
  <c r="BA246" i="1"/>
  <c r="BA247" i="1"/>
  <c r="AB247" i="1"/>
  <c r="AB246" i="1"/>
  <c r="AR300" i="1"/>
  <c r="AR301" i="1"/>
  <c r="AH246" i="1"/>
  <c r="AH247" i="1"/>
  <c r="AB189" i="1"/>
  <c r="AB190" i="1"/>
  <c r="CH189" i="1"/>
  <c r="BV301" i="1"/>
  <c r="BV300" i="1"/>
  <c r="BL192" i="1"/>
  <c r="BL191" i="1"/>
  <c r="BU247" i="1"/>
  <c r="BU246" i="1"/>
  <c r="AC301" i="1"/>
  <c r="AC300" i="1"/>
  <c r="AG352" i="1"/>
  <c r="AG353" i="1"/>
  <c r="BZ307" i="1"/>
  <c r="BZ306" i="1"/>
  <c r="AH355" i="1"/>
  <c r="AH354" i="1"/>
  <c r="BP138" i="1"/>
  <c r="BP137" i="1"/>
  <c r="CA355" i="1"/>
  <c r="CA354" i="1"/>
  <c r="BQ248" i="1"/>
  <c r="BQ249" i="1"/>
  <c r="BU301" i="1"/>
  <c r="BU300" i="1"/>
  <c r="BL38" i="1"/>
  <c r="BM37" i="1"/>
  <c r="BZ247" i="1"/>
  <c r="BZ246" i="1"/>
  <c r="BU355" i="1"/>
  <c r="BU354" i="1"/>
  <c r="BL247" i="1"/>
  <c r="BL246" i="1"/>
  <c r="BQ140" i="1"/>
  <c r="BQ142" i="1" s="1"/>
  <c r="BQ144" i="1" s="1"/>
  <c r="BQ146" i="1" s="1"/>
  <c r="BQ148" i="1" s="1"/>
  <c r="BQ150" i="1" s="1"/>
  <c r="BQ152" i="1" s="1"/>
  <c r="BQ139" i="1"/>
  <c r="BQ141" i="1" s="1"/>
  <c r="BQ143" i="1" s="1"/>
  <c r="BQ145" i="1" s="1"/>
  <c r="BQ147" i="1" s="1"/>
  <c r="BQ149" i="1" s="1"/>
  <c r="BQ151" i="1" s="1"/>
  <c r="BQ153" i="1" s="1"/>
  <c r="AC98" i="1"/>
  <c r="AD96" i="1"/>
  <c r="AD75" i="1" s="1"/>
  <c r="BG138" i="1"/>
  <c r="BG137" i="1"/>
  <c r="AI37" i="1"/>
  <c r="AH38" i="1"/>
  <c r="AR192" i="1"/>
  <c r="AR191" i="1"/>
  <c r="AW98" i="1"/>
  <c r="AX96" i="1"/>
  <c r="AX75" i="1" s="1"/>
  <c r="AV300" i="1"/>
  <c r="AV301" i="1"/>
  <c r="AV250" i="1"/>
  <c r="AV251" i="1"/>
  <c r="AH301" i="1"/>
  <c r="AH300" i="1"/>
  <c r="BG355" i="1"/>
  <c r="BG354" i="1"/>
  <c r="BP247" i="1"/>
  <c r="BP246" i="1"/>
  <c r="BK192" i="1"/>
  <c r="BK191" i="1"/>
  <c r="AY275" i="1"/>
  <c r="BB301" i="1"/>
  <c r="BB300" i="1"/>
  <c r="BW37" i="1"/>
  <c r="BV38" i="1"/>
  <c r="BQ357" i="1"/>
  <c r="BQ356" i="1"/>
  <c r="AQ194" i="1"/>
  <c r="AQ193" i="1"/>
  <c r="BP301" i="1"/>
  <c r="BP300" i="1"/>
  <c r="AV352" i="1"/>
  <c r="AV353" i="1"/>
  <c r="BV193" i="1"/>
  <c r="BV194" i="1"/>
  <c r="BZ138" i="1"/>
  <c r="BZ137" i="1"/>
  <c r="AW301" i="1"/>
  <c r="AW300" i="1"/>
  <c r="BG300" i="1"/>
  <c r="BG301" i="1"/>
  <c r="CH237" i="1"/>
  <c r="AG192" i="1"/>
  <c r="AG191" i="1"/>
  <c r="AV197" i="1"/>
  <c r="AV198" i="1"/>
  <c r="AL196" i="1"/>
  <c r="AL195" i="1"/>
  <c r="AR247" i="1"/>
  <c r="AR246" i="1"/>
  <c r="AQ301" i="1"/>
  <c r="AQ300" i="1"/>
  <c r="AG301" i="1"/>
  <c r="AG300" i="1"/>
  <c r="BQ193" i="1"/>
  <c r="BQ194" i="1"/>
  <c r="AG137" i="1"/>
  <c r="AG138" i="1"/>
  <c r="AV139" i="1"/>
  <c r="AV141" i="1" s="1"/>
  <c r="AV143" i="1" s="1"/>
  <c r="AV145" i="1" s="1"/>
  <c r="AV147" i="1" s="1"/>
  <c r="AV149" i="1" s="1"/>
  <c r="AV151" i="1" s="1"/>
  <c r="AV153" i="1" s="1"/>
  <c r="AV140" i="1"/>
  <c r="AV142" i="1" s="1"/>
  <c r="AV144" i="1" s="1"/>
  <c r="AV146" i="1" s="1"/>
  <c r="AV148" i="1" s="1"/>
  <c r="AV150" i="1" s="1"/>
  <c r="AV152" i="1" s="1"/>
  <c r="AB301" i="1"/>
  <c r="AB300" i="1"/>
  <c r="AW137" i="1"/>
  <c r="AW138" i="1"/>
  <c r="AY221" i="1"/>
  <c r="BL301" i="1"/>
  <c r="BL300" i="1"/>
  <c r="BZ357" i="1"/>
  <c r="BZ356" i="1"/>
  <c r="BB140" i="1"/>
  <c r="BB142" i="1" s="1"/>
  <c r="BB144" i="1" s="1"/>
  <c r="BB146" i="1" s="1"/>
  <c r="BB148" i="1" s="1"/>
  <c r="BB150" i="1" s="1"/>
  <c r="BB152" i="1" s="1"/>
  <c r="BB139" i="1"/>
  <c r="BB141" i="1" s="1"/>
  <c r="BB143" i="1" s="1"/>
  <c r="BB145" i="1" s="1"/>
  <c r="BB147" i="1" s="1"/>
  <c r="BB149" i="1" s="1"/>
  <c r="BB151" i="1" s="1"/>
  <c r="BB153" i="1" s="1"/>
  <c r="BB193" i="1"/>
  <c r="BB194" i="1"/>
  <c r="BZ194" i="1"/>
  <c r="BZ193" i="1"/>
  <c r="BA195" i="1"/>
  <c r="BA196" i="1"/>
  <c r="AR98" i="1"/>
  <c r="AS96" i="1"/>
  <c r="AS75" i="1" s="1"/>
  <c r="AT75" i="1" s="1"/>
  <c r="AD188" i="1"/>
  <c r="AD166" i="1" s="1"/>
  <c r="AC249" i="1"/>
  <c r="AC248" i="1"/>
  <c r="AW246" i="1"/>
  <c r="AW247" i="1"/>
  <c r="BF244" i="1"/>
  <c r="BF245" i="1"/>
  <c r="BV357" i="1"/>
  <c r="BV356" i="1"/>
  <c r="AL301" i="1"/>
  <c r="AL300" i="1"/>
  <c r="CG221" i="1"/>
  <c r="AH140" i="1" l="1"/>
  <c r="AH142" i="1" s="1"/>
  <c r="AH144" i="1" s="1"/>
  <c r="AH146" i="1" s="1"/>
  <c r="AH148" i="1" s="1"/>
  <c r="AH150" i="1" s="1"/>
  <c r="AH152" i="1" s="1"/>
  <c r="AH139" i="1"/>
  <c r="AH141" i="1" s="1"/>
  <c r="AH143" i="1" s="1"/>
  <c r="AH145" i="1" s="1"/>
  <c r="AH147" i="1" s="1"/>
  <c r="AH149" i="1" s="1"/>
  <c r="AH151" i="1" s="1"/>
  <c r="AH153" i="1" s="1"/>
  <c r="AW196" i="1"/>
  <c r="AW195" i="1"/>
  <c r="BL303" i="1"/>
  <c r="BL302" i="1"/>
  <c r="AG193" i="1"/>
  <c r="AG194" i="1"/>
  <c r="CH97" i="1"/>
  <c r="AY75" i="1"/>
  <c r="AR302" i="1"/>
  <c r="AR303" i="1"/>
  <c r="CG275" i="1"/>
  <c r="BF306" i="1"/>
  <c r="BF307" i="1"/>
  <c r="BA357" i="1"/>
  <c r="BA356" i="1"/>
  <c r="BL139" i="1"/>
  <c r="BL141" i="1" s="1"/>
  <c r="BL143" i="1" s="1"/>
  <c r="BL145" i="1" s="1"/>
  <c r="BL147" i="1" s="1"/>
  <c r="BL149" i="1" s="1"/>
  <c r="BL151" i="1" s="1"/>
  <c r="BL153" i="1" s="1"/>
  <c r="BL140" i="1"/>
  <c r="BL142" i="1" s="1"/>
  <c r="BL144" i="1" s="1"/>
  <c r="BL146" i="1" s="1"/>
  <c r="BL148" i="1" s="1"/>
  <c r="BL150" i="1" s="1"/>
  <c r="BL152" i="1" s="1"/>
  <c r="AC194" i="1"/>
  <c r="AC193" i="1"/>
  <c r="AL302" i="1"/>
  <c r="AL303" i="1"/>
  <c r="BA198" i="1"/>
  <c r="BA197" i="1"/>
  <c r="CH238" i="1"/>
  <c r="CH239" i="1" s="1"/>
  <c r="BP302" i="1"/>
  <c r="BP303" i="1"/>
  <c r="BK193" i="1"/>
  <c r="BK194" i="1"/>
  <c r="BL248" i="1"/>
  <c r="BL249" i="1"/>
  <c r="CA356" i="1"/>
  <c r="CA357" i="1"/>
  <c r="BU248" i="1"/>
  <c r="BU249" i="1"/>
  <c r="BA305" i="1"/>
  <c r="BA304" i="1"/>
  <c r="BB357" i="1"/>
  <c r="BB356" i="1"/>
  <c r="CH243" i="1"/>
  <c r="AG302" i="1"/>
  <c r="AG303" i="1"/>
  <c r="BG303" i="1"/>
  <c r="BG302" i="1"/>
  <c r="CH292" i="1"/>
  <c r="CH293" i="1" s="1"/>
  <c r="CH353" i="1"/>
  <c r="CH352" i="1"/>
  <c r="AW357" i="1"/>
  <c r="AW356" i="1"/>
  <c r="CH112" i="1"/>
  <c r="CH115" i="1"/>
  <c r="BV359" i="1"/>
  <c r="BV358" i="1"/>
  <c r="AW140" i="1"/>
  <c r="AW142" i="1" s="1"/>
  <c r="AW144" i="1" s="1"/>
  <c r="AW146" i="1" s="1"/>
  <c r="AW148" i="1" s="1"/>
  <c r="AW150" i="1" s="1"/>
  <c r="AW152" i="1" s="1"/>
  <c r="AW139" i="1"/>
  <c r="AW141" i="1" s="1"/>
  <c r="AW143" i="1" s="1"/>
  <c r="AW145" i="1" s="1"/>
  <c r="AW147" i="1" s="1"/>
  <c r="AW149" i="1" s="1"/>
  <c r="AW151" i="1" s="1"/>
  <c r="AW153" i="1" s="1"/>
  <c r="AQ196" i="1"/>
  <c r="AQ195" i="1"/>
  <c r="BP248" i="1"/>
  <c r="BP249" i="1"/>
  <c r="AR194" i="1"/>
  <c r="AR193" i="1"/>
  <c r="BU356" i="1"/>
  <c r="BU357" i="1"/>
  <c r="BP140" i="1"/>
  <c r="BP142" i="1" s="1"/>
  <c r="BP144" i="1" s="1"/>
  <c r="BP146" i="1" s="1"/>
  <c r="BP148" i="1" s="1"/>
  <c r="BP150" i="1" s="1"/>
  <c r="BP152" i="1" s="1"/>
  <c r="BP139" i="1"/>
  <c r="BP141" i="1" s="1"/>
  <c r="BP143" i="1" s="1"/>
  <c r="BP145" i="1" s="1"/>
  <c r="BP147" i="1" s="1"/>
  <c r="BP149" i="1" s="1"/>
  <c r="BP151" i="1" s="1"/>
  <c r="BP153" i="1" s="1"/>
  <c r="BL194" i="1"/>
  <c r="BL193" i="1"/>
  <c r="AB249" i="1"/>
  <c r="AB248" i="1"/>
  <c r="AM359" i="1"/>
  <c r="AM358" i="1"/>
  <c r="BP357" i="1"/>
  <c r="BP356" i="1"/>
  <c r="BG249" i="1"/>
  <c r="BG248" i="1"/>
  <c r="BB248" i="1"/>
  <c r="BB249" i="1"/>
  <c r="CH129" i="1"/>
  <c r="CH130" i="1" s="1"/>
  <c r="AR40" i="1"/>
  <c r="AS39" i="1"/>
  <c r="BF247" i="1"/>
  <c r="BF246" i="1"/>
  <c r="BZ195" i="1"/>
  <c r="BZ196" i="1"/>
  <c r="AQ303" i="1"/>
  <c r="AQ302" i="1"/>
  <c r="AI38" i="1"/>
  <c r="AH39" i="1"/>
  <c r="BA249" i="1"/>
  <c r="BA248" i="1"/>
  <c r="BG193" i="1"/>
  <c r="BG194" i="1"/>
  <c r="AM193" i="1"/>
  <c r="AM194" i="1"/>
  <c r="CH135" i="1"/>
  <c r="CH136" i="1" s="1"/>
  <c r="BV139" i="1"/>
  <c r="BV141" i="1" s="1"/>
  <c r="BV143" i="1" s="1"/>
  <c r="BV145" i="1" s="1"/>
  <c r="BV147" i="1" s="1"/>
  <c r="BV149" i="1" s="1"/>
  <c r="BV151" i="1" s="1"/>
  <c r="BV153" i="1" s="1"/>
  <c r="BV140" i="1"/>
  <c r="BV142" i="1" s="1"/>
  <c r="BV144" i="1" s="1"/>
  <c r="BV146" i="1" s="1"/>
  <c r="BV148" i="1" s="1"/>
  <c r="BV150" i="1" s="1"/>
  <c r="BV152" i="1" s="1"/>
  <c r="BB195" i="1"/>
  <c r="BB196" i="1"/>
  <c r="AW303" i="1"/>
  <c r="AW302" i="1"/>
  <c r="BQ358" i="1"/>
  <c r="BQ359" i="1"/>
  <c r="BG356" i="1"/>
  <c r="BG357" i="1"/>
  <c r="BZ249" i="1"/>
  <c r="BZ248" i="1"/>
  <c r="AH357" i="1"/>
  <c r="AH356" i="1"/>
  <c r="BV303" i="1"/>
  <c r="BV302" i="1"/>
  <c r="BQ304" i="1"/>
  <c r="BQ305" i="1"/>
  <c r="BQ38" i="1"/>
  <c r="BR37" i="1"/>
  <c r="AM304" i="1"/>
  <c r="AM305" i="1"/>
  <c r="CH332" i="1"/>
  <c r="CH329" i="1"/>
  <c r="AW248" i="1"/>
  <c r="AW249" i="1"/>
  <c r="AB303" i="1"/>
  <c r="AB302" i="1"/>
  <c r="AR248" i="1"/>
  <c r="AR249" i="1"/>
  <c r="BV39" i="1"/>
  <c r="BW38" i="1"/>
  <c r="AG253" i="1"/>
  <c r="AG252" i="1"/>
  <c r="BK248" i="1"/>
  <c r="BK249" i="1"/>
  <c r="AB138" i="1"/>
  <c r="AB137" i="1"/>
  <c r="BA34" i="1"/>
  <c r="BC33" i="1"/>
  <c r="AD34" i="1"/>
  <c r="AC35" i="1"/>
  <c r="BZ140" i="1"/>
  <c r="BZ142" i="1" s="1"/>
  <c r="BZ144" i="1" s="1"/>
  <c r="BZ146" i="1" s="1"/>
  <c r="BZ148" i="1" s="1"/>
  <c r="BZ150" i="1" s="1"/>
  <c r="BZ152" i="1" s="1"/>
  <c r="BZ139" i="1"/>
  <c r="BZ141" i="1" s="1"/>
  <c r="BZ143" i="1" s="1"/>
  <c r="BZ145" i="1" s="1"/>
  <c r="BZ147" i="1" s="1"/>
  <c r="BZ149" i="1" s="1"/>
  <c r="BZ151" i="1" s="1"/>
  <c r="BZ153" i="1" s="1"/>
  <c r="AH303" i="1"/>
  <c r="AH302" i="1"/>
  <c r="BG139" i="1"/>
  <c r="BG141" i="1" s="1"/>
  <c r="BG143" i="1" s="1"/>
  <c r="BG145" i="1" s="1"/>
  <c r="BG147" i="1" s="1"/>
  <c r="BG149" i="1" s="1"/>
  <c r="BG151" i="1" s="1"/>
  <c r="BG153" i="1" s="1"/>
  <c r="BG140" i="1"/>
  <c r="BG142" i="1" s="1"/>
  <c r="BG144" i="1" s="1"/>
  <c r="BG146" i="1" s="1"/>
  <c r="BG148" i="1" s="1"/>
  <c r="BG150" i="1" s="1"/>
  <c r="BG152" i="1" s="1"/>
  <c r="BL39" i="1"/>
  <c r="BM38" i="1"/>
  <c r="BZ308" i="1"/>
  <c r="BZ309" i="1"/>
  <c r="BF140" i="1"/>
  <c r="BF142" i="1" s="1"/>
  <c r="BF144" i="1" s="1"/>
  <c r="BF146" i="1" s="1"/>
  <c r="BF148" i="1" s="1"/>
  <c r="BF150" i="1" s="1"/>
  <c r="BF152" i="1" s="1"/>
  <c r="BF139" i="1"/>
  <c r="BF141" i="1" s="1"/>
  <c r="BF143" i="1" s="1"/>
  <c r="BF145" i="1" s="1"/>
  <c r="BF147" i="1" s="1"/>
  <c r="BF149" i="1" s="1"/>
  <c r="BF151" i="1" s="1"/>
  <c r="BF153" i="1" s="1"/>
  <c r="AL361" i="1"/>
  <c r="AL360" i="1"/>
  <c r="AX38" i="1"/>
  <c r="AW39" i="1"/>
  <c r="BP193" i="1"/>
  <c r="BP194" i="1"/>
  <c r="CH346" i="1"/>
  <c r="CH347" i="1"/>
  <c r="AL198" i="1"/>
  <c r="AL197" i="1"/>
  <c r="BV195" i="1"/>
  <c r="BV196" i="1"/>
  <c r="AV253" i="1"/>
  <c r="AV252" i="1"/>
  <c r="AE75" i="1"/>
  <c r="CG75" i="1"/>
  <c r="CH91" i="1"/>
  <c r="AG355" i="1"/>
  <c r="AG354" i="1"/>
  <c r="AB191" i="1"/>
  <c r="AB192" i="1"/>
  <c r="BF194" i="1"/>
  <c r="BF193" i="1"/>
  <c r="CA199" i="1"/>
  <c r="CA200" i="1"/>
  <c r="AH193" i="1"/>
  <c r="AH194" i="1"/>
  <c r="BU139" i="1"/>
  <c r="BU141" i="1" s="1"/>
  <c r="BU143" i="1" s="1"/>
  <c r="BU145" i="1" s="1"/>
  <c r="BU147" i="1" s="1"/>
  <c r="BU149" i="1" s="1"/>
  <c r="BU151" i="1" s="1"/>
  <c r="BU153" i="1" s="1"/>
  <c r="BU140" i="1"/>
  <c r="BU142" i="1" s="1"/>
  <c r="BU144" i="1" s="1"/>
  <c r="BU146" i="1" s="1"/>
  <c r="BU148" i="1" s="1"/>
  <c r="BU150" i="1" s="1"/>
  <c r="BU152" i="1" s="1"/>
  <c r="AC139" i="1"/>
  <c r="AC141" i="1" s="1"/>
  <c r="AC143" i="1" s="1"/>
  <c r="AC145" i="1" s="1"/>
  <c r="AC147" i="1" s="1"/>
  <c r="AC149" i="1" s="1"/>
  <c r="AC151" i="1" s="1"/>
  <c r="AC153" i="1" s="1"/>
  <c r="AC140" i="1"/>
  <c r="AC142" i="1" s="1"/>
  <c r="AC144" i="1" s="1"/>
  <c r="AC146" i="1" s="1"/>
  <c r="AC148" i="1" s="1"/>
  <c r="AC150" i="1" s="1"/>
  <c r="AC152" i="1" s="1"/>
  <c r="BL357" i="1"/>
  <c r="BL356" i="1"/>
  <c r="AC357" i="1"/>
  <c r="AC356" i="1"/>
  <c r="AC251" i="1"/>
  <c r="AC250" i="1"/>
  <c r="AG140" i="1"/>
  <c r="AG142" i="1" s="1"/>
  <c r="AG144" i="1" s="1"/>
  <c r="AG146" i="1" s="1"/>
  <c r="AG148" i="1" s="1"/>
  <c r="AG150" i="1" s="1"/>
  <c r="AG152" i="1" s="1"/>
  <c r="AG139" i="1"/>
  <c r="AG141" i="1" s="1"/>
  <c r="AG143" i="1" s="1"/>
  <c r="AG145" i="1" s="1"/>
  <c r="AG147" i="1" s="1"/>
  <c r="AG149" i="1" s="1"/>
  <c r="AG151" i="1" s="1"/>
  <c r="AG153" i="1" s="1"/>
  <c r="AV200" i="1"/>
  <c r="AV199" i="1"/>
  <c r="BB303" i="1"/>
  <c r="BB302" i="1"/>
  <c r="BU302" i="1"/>
  <c r="BU303" i="1"/>
  <c r="BF357" i="1"/>
  <c r="BF356" i="1"/>
  <c r="AR359" i="1"/>
  <c r="AR358" i="1"/>
  <c r="BK361" i="1"/>
  <c r="BK360" i="1"/>
  <c r="BV248" i="1"/>
  <c r="BV249" i="1"/>
  <c r="AE166" i="1"/>
  <c r="CH182" i="1"/>
  <c r="CG166" i="1"/>
  <c r="BZ359" i="1"/>
  <c r="BZ358" i="1"/>
  <c r="AV355" i="1"/>
  <c r="AV354" i="1"/>
  <c r="AV302" i="1"/>
  <c r="AV303" i="1"/>
  <c r="BQ250" i="1"/>
  <c r="BQ251" i="1"/>
  <c r="AH248" i="1"/>
  <c r="AH249" i="1"/>
  <c r="BK305" i="1"/>
  <c r="BK304" i="1"/>
  <c r="AQ139" i="1"/>
  <c r="AQ141" i="1" s="1"/>
  <c r="AQ143" i="1" s="1"/>
  <c r="AQ145" i="1" s="1"/>
  <c r="AQ147" i="1" s="1"/>
  <c r="AQ149" i="1" s="1"/>
  <c r="AQ151" i="1" s="1"/>
  <c r="AQ153" i="1" s="1"/>
  <c r="AQ140" i="1"/>
  <c r="AQ142" i="1" s="1"/>
  <c r="AQ144" i="1" s="1"/>
  <c r="AQ146" i="1" s="1"/>
  <c r="AQ148" i="1" s="1"/>
  <c r="AQ150" i="1" s="1"/>
  <c r="AQ152" i="1" s="1"/>
  <c r="AB357" i="1"/>
  <c r="AB356" i="1"/>
  <c r="CA302" i="1"/>
  <c r="CA303" i="1"/>
  <c r="AQ248" i="1"/>
  <c r="AQ249" i="1"/>
  <c r="AQ356" i="1"/>
  <c r="AQ357" i="1"/>
  <c r="AL253" i="1"/>
  <c r="AL252" i="1"/>
  <c r="CH224" i="1"/>
  <c r="CH221" i="1"/>
  <c r="BQ196" i="1"/>
  <c r="BQ195" i="1"/>
  <c r="CH297" i="1"/>
  <c r="AC302" i="1"/>
  <c r="AC303" i="1"/>
  <c r="CA249" i="1"/>
  <c r="CA248" i="1"/>
  <c r="AM250" i="1"/>
  <c r="AM251" i="1"/>
  <c r="AR140" i="1"/>
  <c r="AR142" i="1" s="1"/>
  <c r="AR144" i="1" s="1"/>
  <c r="AR146" i="1" s="1"/>
  <c r="AR148" i="1" s="1"/>
  <c r="AR150" i="1" s="1"/>
  <c r="AR152" i="1" s="1"/>
  <c r="AR139" i="1"/>
  <c r="AR141" i="1" s="1"/>
  <c r="AR143" i="1" s="1"/>
  <c r="AR145" i="1" s="1"/>
  <c r="AR147" i="1" s="1"/>
  <c r="AR149" i="1" s="1"/>
  <c r="AR151" i="1" s="1"/>
  <c r="AR153" i="1" s="1"/>
  <c r="BU195" i="1"/>
  <c r="BU196" i="1"/>
  <c r="AW197" i="1" l="1"/>
  <c r="AW198" i="1"/>
  <c r="CA250" i="1"/>
  <c r="CA251" i="1"/>
  <c r="AH251" i="1"/>
  <c r="AH250" i="1"/>
  <c r="BB305" i="1"/>
  <c r="BB304" i="1"/>
  <c r="AG357" i="1"/>
  <c r="AG356" i="1"/>
  <c r="BP195" i="1"/>
  <c r="BP196" i="1"/>
  <c r="BK251" i="1"/>
  <c r="BK250" i="1"/>
  <c r="BZ198" i="1"/>
  <c r="BZ197" i="1"/>
  <c r="BB359" i="1"/>
  <c r="BB358" i="1"/>
  <c r="BA359" i="1"/>
  <c r="BA358" i="1"/>
  <c r="AC304" i="1"/>
  <c r="AC305" i="1"/>
  <c r="BV251" i="1"/>
  <c r="BV250" i="1"/>
  <c r="CH92" i="1"/>
  <c r="CH93" i="1"/>
  <c r="BZ250" i="1"/>
  <c r="BZ251" i="1"/>
  <c r="BP359" i="1"/>
  <c r="BP358" i="1"/>
  <c r="AR196" i="1"/>
  <c r="AR195" i="1"/>
  <c r="AW358" i="1"/>
  <c r="AW359" i="1"/>
  <c r="BF308" i="1"/>
  <c r="BF309" i="1"/>
  <c r="AQ250" i="1"/>
  <c r="AQ251" i="1"/>
  <c r="BQ252" i="1"/>
  <c r="BQ253" i="1"/>
  <c r="AV201" i="1"/>
  <c r="AV202" i="1"/>
  <c r="CH78" i="1"/>
  <c r="CH75" i="1"/>
  <c r="AW40" i="1"/>
  <c r="AX39" i="1"/>
  <c r="AM306" i="1"/>
  <c r="AM307" i="1"/>
  <c r="BG359" i="1"/>
  <c r="BG358" i="1"/>
  <c r="AM196" i="1"/>
  <c r="AM195" i="1"/>
  <c r="BP250" i="1"/>
  <c r="BP251" i="1"/>
  <c r="BA306" i="1"/>
  <c r="BA307" i="1"/>
  <c r="CH298" i="1"/>
  <c r="CH299" i="1" s="1"/>
  <c r="AH195" i="1"/>
  <c r="AH196" i="1"/>
  <c r="AH305" i="1"/>
  <c r="AH304" i="1"/>
  <c r="AG255" i="1"/>
  <c r="AG254" i="1"/>
  <c r="BF249" i="1"/>
  <c r="BF248" i="1"/>
  <c r="AM360" i="1"/>
  <c r="AM361" i="1"/>
  <c r="BU251" i="1"/>
  <c r="BU250" i="1"/>
  <c r="CH278" i="1"/>
  <c r="CH275" i="1"/>
  <c r="CA305" i="1"/>
  <c r="CA304" i="1"/>
  <c r="AV305" i="1"/>
  <c r="AV304" i="1"/>
  <c r="BK363" i="1"/>
  <c r="BK362" i="1"/>
  <c r="BQ361" i="1"/>
  <c r="BQ360" i="1"/>
  <c r="BG196" i="1"/>
  <c r="BG195" i="1"/>
  <c r="BA199" i="1"/>
  <c r="BA200" i="1"/>
  <c r="AR304" i="1"/>
  <c r="AR305" i="1"/>
  <c r="BU198" i="1"/>
  <c r="BU197" i="1"/>
  <c r="BQ197" i="1"/>
  <c r="BQ198" i="1"/>
  <c r="CA201" i="1"/>
  <c r="CA202" i="1"/>
  <c r="AV254" i="1"/>
  <c r="AV255" i="1"/>
  <c r="AL363" i="1"/>
  <c r="AL362" i="1"/>
  <c r="BV40" i="1"/>
  <c r="BW39" i="1"/>
  <c r="BQ39" i="1"/>
  <c r="BR38" i="1"/>
  <c r="AR41" i="1"/>
  <c r="AS40" i="1"/>
  <c r="AB250" i="1"/>
  <c r="AB251" i="1"/>
  <c r="AQ198" i="1"/>
  <c r="AQ197" i="1"/>
  <c r="CA359" i="1"/>
  <c r="CA358" i="1"/>
  <c r="AL304" i="1"/>
  <c r="AL305" i="1"/>
  <c r="AR361" i="1"/>
  <c r="AR360" i="1"/>
  <c r="AC252" i="1"/>
  <c r="AC253" i="1"/>
  <c r="BV198" i="1"/>
  <c r="BV197" i="1"/>
  <c r="AC36" i="1"/>
  <c r="AD35" i="1"/>
  <c r="AR251" i="1"/>
  <c r="AR250" i="1"/>
  <c r="BQ306" i="1"/>
  <c r="BQ307" i="1"/>
  <c r="AB359" i="1"/>
  <c r="AB358" i="1"/>
  <c r="AV357" i="1"/>
  <c r="AV356" i="1"/>
  <c r="AW305" i="1"/>
  <c r="AW304" i="1"/>
  <c r="BA251" i="1"/>
  <c r="BA250" i="1"/>
  <c r="BL196" i="1"/>
  <c r="BL195" i="1"/>
  <c r="BG304" i="1"/>
  <c r="BG305" i="1"/>
  <c r="BL251" i="1"/>
  <c r="BL250" i="1"/>
  <c r="CH98" i="1"/>
  <c r="CH99" i="1" s="1"/>
  <c r="BF359" i="1"/>
  <c r="BF358" i="1"/>
  <c r="AC358" i="1"/>
  <c r="AC359" i="1"/>
  <c r="BF196" i="1"/>
  <c r="BF195" i="1"/>
  <c r="BZ311" i="1"/>
  <c r="BZ310" i="1"/>
  <c r="BB198" i="1"/>
  <c r="BB197" i="1"/>
  <c r="AH40" i="1"/>
  <c r="AI39" i="1"/>
  <c r="BB251" i="1"/>
  <c r="BB250" i="1"/>
  <c r="AG305" i="1"/>
  <c r="AG304" i="1"/>
  <c r="AC196" i="1"/>
  <c r="AC195" i="1"/>
  <c r="AG195" i="1"/>
  <c r="AG196" i="1"/>
  <c r="AM253" i="1"/>
  <c r="AM252" i="1"/>
  <c r="AL255" i="1"/>
  <c r="AL254" i="1"/>
  <c r="BZ361" i="1"/>
  <c r="BZ360" i="1"/>
  <c r="BU304" i="1"/>
  <c r="BU305" i="1"/>
  <c r="AB193" i="1"/>
  <c r="AB194" i="1"/>
  <c r="AL200" i="1"/>
  <c r="AL199" i="1"/>
  <c r="BA35" i="1"/>
  <c r="BC34" i="1"/>
  <c r="AB305" i="1"/>
  <c r="AB304" i="1"/>
  <c r="BV304" i="1"/>
  <c r="BV305" i="1"/>
  <c r="BV361" i="1"/>
  <c r="BV360" i="1"/>
  <c r="BK196" i="1"/>
  <c r="BK195" i="1"/>
  <c r="AQ359" i="1"/>
  <c r="AQ358" i="1"/>
  <c r="CH169" i="1"/>
  <c r="CH166" i="1"/>
  <c r="BL359" i="1"/>
  <c r="BL358" i="1"/>
  <c r="AW251" i="1"/>
  <c r="AW250" i="1"/>
  <c r="BU359" i="1"/>
  <c r="BU358" i="1"/>
  <c r="CH244" i="1"/>
  <c r="CH245" i="1" s="1"/>
  <c r="BK307" i="1"/>
  <c r="BK306" i="1"/>
  <c r="CH183" i="1"/>
  <c r="CH184" i="1" s="1"/>
  <c r="BL40" i="1"/>
  <c r="BM39" i="1"/>
  <c r="AB139" i="1"/>
  <c r="AB141" i="1" s="1"/>
  <c r="AB143" i="1" s="1"/>
  <c r="AB145" i="1" s="1"/>
  <c r="AB147" i="1" s="1"/>
  <c r="AB149" i="1" s="1"/>
  <c r="AB151" i="1" s="1"/>
  <c r="AB153" i="1" s="1"/>
  <c r="AB140" i="1"/>
  <c r="AB142" i="1" s="1"/>
  <c r="AB144" i="1" s="1"/>
  <c r="AB146" i="1" s="1"/>
  <c r="AB148" i="1" s="1"/>
  <c r="AB150" i="1" s="1"/>
  <c r="AB152" i="1" s="1"/>
  <c r="AH359" i="1"/>
  <c r="AH358" i="1"/>
  <c r="AQ304" i="1"/>
  <c r="AQ305" i="1"/>
  <c r="BG251" i="1"/>
  <c r="BG250" i="1"/>
  <c r="BP305" i="1"/>
  <c r="BP304" i="1"/>
  <c r="BL304" i="1"/>
  <c r="BL305" i="1"/>
  <c r="AW199" i="1" l="1"/>
  <c r="AW200" i="1"/>
  <c r="AQ307" i="1"/>
  <c r="AQ306" i="1"/>
  <c r="AB195" i="1"/>
  <c r="AB196" i="1"/>
  <c r="BA201" i="1"/>
  <c r="BA202" i="1"/>
  <c r="AH197" i="1"/>
  <c r="AH198" i="1"/>
  <c r="AM308" i="1"/>
  <c r="AM309" i="1"/>
  <c r="BF311" i="1"/>
  <c r="BF310" i="1"/>
  <c r="BK198" i="1"/>
  <c r="BK197" i="1"/>
  <c r="AC198" i="1"/>
  <c r="AC197" i="1"/>
  <c r="BF198" i="1"/>
  <c r="BF197" i="1"/>
  <c r="BL198" i="1"/>
  <c r="BL197" i="1"/>
  <c r="AR253" i="1"/>
  <c r="AR252" i="1"/>
  <c r="CA360" i="1"/>
  <c r="CA361" i="1"/>
  <c r="AL365" i="1"/>
  <c r="AL364" i="1"/>
  <c r="BV253" i="1"/>
  <c r="BV252" i="1"/>
  <c r="BK253" i="1"/>
  <c r="BK252" i="1"/>
  <c r="BU307" i="1"/>
  <c r="BU306" i="1"/>
  <c r="AC361" i="1"/>
  <c r="AC360" i="1"/>
  <c r="AV256" i="1"/>
  <c r="AV257" i="1"/>
  <c r="AW361" i="1"/>
  <c r="AW360" i="1"/>
  <c r="BP197" i="1"/>
  <c r="BP198" i="1"/>
  <c r="AH361" i="1"/>
  <c r="AH360" i="1"/>
  <c r="BU361" i="1"/>
  <c r="BU360" i="1"/>
  <c r="BV363" i="1"/>
  <c r="BV362" i="1"/>
  <c r="AG306" i="1"/>
  <c r="AG307" i="1"/>
  <c r="BA253" i="1"/>
  <c r="BA252" i="1"/>
  <c r="AC37" i="1"/>
  <c r="AD36" i="1"/>
  <c r="AQ199" i="1"/>
  <c r="AQ200" i="1"/>
  <c r="BG197" i="1"/>
  <c r="BG198" i="1"/>
  <c r="BU253" i="1"/>
  <c r="BU252" i="1"/>
  <c r="AW41" i="1"/>
  <c r="AX40" i="1"/>
  <c r="BV307" i="1"/>
  <c r="BV306" i="1"/>
  <c r="AB253" i="1"/>
  <c r="AB252" i="1"/>
  <c r="CA204" i="1"/>
  <c r="CA203" i="1"/>
  <c r="AM363" i="1"/>
  <c r="AM362" i="1"/>
  <c r="BA308" i="1"/>
  <c r="BA309" i="1"/>
  <c r="AC306" i="1"/>
  <c r="AC307" i="1"/>
  <c r="AW252" i="1"/>
  <c r="AW253" i="1"/>
  <c r="BZ363" i="1"/>
  <c r="BZ362" i="1"/>
  <c r="BB252" i="1"/>
  <c r="BB253" i="1"/>
  <c r="BF361" i="1"/>
  <c r="BF360" i="1"/>
  <c r="AW307" i="1"/>
  <c r="AW306" i="1"/>
  <c r="BV199" i="1"/>
  <c r="BV200" i="1"/>
  <c r="BQ362" i="1"/>
  <c r="BQ363" i="1"/>
  <c r="AR198" i="1"/>
  <c r="AR197" i="1"/>
  <c r="AG358" i="1"/>
  <c r="AG359" i="1"/>
  <c r="BL306" i="1"/>
  <c r="BL307" i="1"/>
  <c r="AC255" i="1"/>
  <c r="AC254" i="1"/>
  <c r="BQ200" i="1"/>
  <c r="BQ199" i="1"/>
  <c r="BP253" i="1"/>
  <c r="BP252" i="1"/>
  <c r="AV203" i="1"/>
  <c r="AV204" i="1"/>
  <c r="BL41" i="1"/>
  <c r="BM40" i="1"/>
  <c r="BL361" i="1"/>
  <c r="BL360" i="1"/>
  <c r="AB307" i="1"/>
  <c r="AB306" i="1"/>
  <c r="AL256" i="1"/>
  <c r="AL257" i="1"/>
  <c r="AH41" i="1"/>
  <c r="AI40" i="1"/>
  <c r="AV359" i="1"/>
  <c r="AV358" i="1"/>
  <c r="AR42" i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S41" i="1"/>
  <c r="AS20" i="1" s="1"/>
  <c r="AT20" i="1" s="1"/>
  <c r="BK364" i="1"/>
  <c r="BK365" i="1"/>
  <c r="BF250" i="1"/>
  <c r="BF251" i="1"/>
  <c r="BP361" i="1"/>
  <c r="BP360" i="1"/>
  <c r="BA360" i="1"/>
  <c r="BA361" i="1"/>
  <c r="BB307" i="1"/>
  <c r="BB306" i="1"/>
  <c r="BQ254" i="1"/>
  <c r="BQ255" i="1"/>
  <c r="BZ253" i="1"/>
  <c r="BZ252" i="1"/>
  <c r="BP307" i="1"/>
  <c r="BP306" i="1"/>
  <c r="BA36" i="1"/>
  <c r="BC35" i="1"/>
  <c r="AM255" i="1"/>
  <c r="AM254" i="1"/>
  <c r="BB199" i="1"/>
  <c r="BB200" i="1"/>
  <c r="BL253" i="1"/>
  <c r="BL252" i="1"/>
  <c r="AB361" i="1"/>
  <c r="AB360" i="1"/>
  <c r="AR363" i="1"/>
  <c r="AR362" i="1"/>
  <c r="BQ40" i="1"/>
  <c r="BR39" i="1"/>
  <c r="BU200" i="1"/>
  <c r="BU199" i="1"/>
  <c r="AV307" i="1"/>
  <c r="AV306" i="1"/>
  <c r="AG257" i="1"/>
  <c r="AG256" i="1"/>
  <c r="AM197" i="1"/>
  <c r="AM198" i="1"/>
  <c r="BB361" i="1"/>
  <c r="BB360" i="1"/>
  <c r="AH253" i="1"/>
  <c r="AH252" i="1"/>
  <c r="AG198" i="1"/>
  <c r="AG197" i="1"/>
  <c r="BG306" i="1"/>
  <c r="BG307" i="1"/>
  <c r="BQ309" i="1"/>
  <c r="BQ308" i="1"/>
  <c r="AL306" i="1"/>
  <c r="AL307" i="1"/>
  <c r="AR306" i="1"/>
  <c r="AR307" i="1"/>
  <c r="AQ252" i="1"/>
  <c r="AQ253" i="1"/>
  <c r="CA253" i="1"/>
  <c r="CA252" i="1"/>
  <c r="BG253" i="1"/>
  <c r="BG252" i="1"/>
  <c r="BK308" i="1"/>
  <c r="BK309" i="1"/>
  <c r="AQ361" i="1"/>
  <c r="AQ360" i="1"/>
  <c r="AL202" i="1"/>
  <c r="AL201" i="1"/>
  <c r="BZ313" i="1"/>
  <c r="BZ312" i="1"/>
  <c r="BV41" i="1"/>
  <c r="BW40" i="1"/>
  <c r="CA306" i="1"/>
  <c r="CA307" i="1"/>
  <c r="AH306" i="1"/>
  <c r="AH307" i="1"/>
  <c r="BG360" i="1"/>
  <c r="BG361" i="1"/>
  <c r="BZ200" i="1"/>
  <c r="BZ199" i="1"/>
  <c r="AW202" i="1" l="1"/>
  <c r="AW201" i="1"/>
  <c r="AR309" i="1"/>
  <c r="AR308" i="1"/>
  <c r="BF253" i="1"/>
  <c r="BF252" i="1"/>
  <c r="BA310" i="1"/>
  <c r="BA311" i="1"/>
  <c r="AG308" i="1"/>
  <c r="AG309" i="1"/>
  <c r="AV259" i="1"/>
  <c r="AV258" i="1"/>
  <c r="CA363" i="1"/>
  <c r="CA362" i="1"/>
  <c r="BZ202" i="1"/>
  <c r="BZ201" i="1"/>
  <c r="AL204" i="1"/>
  <c r="AL203" i="1"/>
  <c r="BB363" i="1"/>
  <c r="BB362" i="1"/>
  <c r="AR365" i="1"/>
  <c r="AR364" i="1"/>
  <c r="BP309" i="1"/>
  <c r="BP308" i="1"/>
  <c r="AB309" i="1"/>
  <c r="AB308" i="1"/>
  <c r="AC257" i="1"/>
  <c r="AC256" i="1"/>
  <c r="AW309" i="1"/>
  <c r="AW308" i="1"/>
  <c r="AW42" i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AW53" i="1" s="1"/>
  <c r="AW54" i="1" s="1"/>
  <c r="AW55" i="1" s="1"/>
  <c r="AW56" i="1" s="1"/>
  <c r="AW57" i="1" s="1"/>
  <c r="AW58" i="1" s="1"/>
  <c r="AW59" i="1" s="1"/>
  <c r="AW60" i="1" s="1"/>
  <c r="AW61" i="1" s="1"/>
  <c r="AW62" i="1" s="1"/>
  <c r="AX41" i="1"/>
  <c r="AX20" i="1" s="1"/>
  <c r="BF313" i="1"/>
  <c r="BF312" i="1"/>
  <c r="BG363" i="1"/>
  <c r="BG362" i="1"/>
  <c r="AL308" i="1"/>
  <c r="AL309" i="1"/>
  <c r="AM199" i="1"/>
  <c r="AM200" i="1"/>
  <c r="BK367" i="1"/>
  <c r="BK366" i="1"/>
  <c r="BL308" i="1"/>
  <c r="BL309" i="1"/>
  <c r="AM311" i="1"/>
  <c r="AM310" i="1"/>
  <c r="AQ362" i="1"/>
  <c r="AQ363" i="1"/>
  <c r="AB363" i="1"/>
  <c r="AB362" i="1"/>
  <c r="BZ255" i="1"/>
  <c r="BZ254" i="1"/>
  <c r="BL363" i="1"/>
  <c r="BL362" i="1"/>
  <c r="BF363" i="1"/>
  <c r="BF362" i="1"/>
  <c r="AM364" i="1"/>
  <c r="AM365" i="1"/>
  <c r="BU254" i="1"/>
  <c r="BU255" i="1"/>
  <c r="BV365" i="1"/>
  <c r="BV364" i="1"/>
  <c r="AC362" i="1"/>
  <c r="AC363" i="1"/>
  <c r="AR254" i="1"/>
  <c r="AR255" i="1"/>
  <c r="AH309" i="1"/>
  <c r="AH308" i="1"/>
  <c r="BK311" i="1"/>
  <c r="BK310" i="1"/>
  <c r="BQ256" i="1"/>
  <c r="BQ257" i="1"/>
  <c r="AG361" i="1"/>
  <c r="AG360" i="1"/>
  <c r="BB254" i="1"/>
  <c r="BB255" i="1"/>
  <c r="BG199" i="1"/>
  <c r="BG200" i="1"/>
  <c r="AH199" i="1"/>
  <c r="AH200" i="1"/>
  <c r="BQ310" i="1"/>
  <c r="BQ311" i="1"/>
  <c r="AG259" i="1"/>
  <c r="AG258" i="1"/>
  <c r="BL254" i="1"/>
  <c r="BL255" i="1"/>
  <c r="BL42" i="1"/>
  <c r="BL43" i="1" s="1"/>
  <c r="BL44" i="1" s="1"/>
  <c r="BL45" i="1" s="1"/>
  <c r="BL46" i="1" s="1"/>
  <c r="BL47" i="1" s="1"/>
  <c r="BL48" i="1" s="1"/>
  <c r="BL49" i="1" s="1"/>
  <c r="BL50" i="1" s="1"/>
  <c r="BL51" i="1" s="1"/>
  <c r="BL52" i="1" s="1"/>
  <c r="BL53" i="1" s="1"/>
  <c r="BL54" i="1" s="1"/>
  <c r="BL55" i="1" s="1"/>
  <c r="BL56" i="1" s="1"/>
  <c r="BL57" i="1" s="1"/>
  <c r="BL58" i="1" s="1"/>
  <c r="BL59" i="1" s="1"/>
  <c r="BL60" i="1" s="1"/>
  <c r="BL61" i="1" s="1"/>
  <c r="BL62" i="1" s="1"/>
  <c r="BM41" i="1"/>
  <c r="BM20" i="1" s="1"/>
  <c r="BN20" i="1" s="1"/>
  <c r="CA205" i="1"/>
  <c r="CA206" i="1"/>
  <c r="CA207" i="1" s="1"/>
  <c r="BU362" i="1"/>
  <c r="BU363" i="1"/>
  <c r="BU308" i="1"/>
  <c r="BU309" i="1"/>
  <c r="BL199" i="1"/>
  <c r="BL200" i="1"/>
  <c r="CA308" i="1"/>
  <c r="CA309" i="1"/>
  <c r="BG308" i="1"/>
  <c r="BG309" i="1"/>
  <c r="BB201" i="1"/>
  <c r="BB202" i="1"/>
  <c r="AV205" i="1"/>
  <c r="AV206" i="1"/>
  <c r="AV207" i="1" s="1"/>
  <c r="AQ202" i="1"/>
  <c r="AQ201" i="1"/>
  <c r="BA203" i="1"/>
  <c r="BA204" i="1"/>
  <c r="BG255" i="1"/>
  <c r="BG254" i="1"/>
  <c r="AV308" i="1"/>
  <c r="AV309" i="1"/>
  <c r="BB309" i="1"/>
  <c r="BB308" i="1"/>
  <c r="AV361" i="1"/>
  <c r="AV360" i="1"/>
  <c r="AR200" i="1"/>
  <c r="AR199" i="1"/>
  <c r="BZ365" i="1"/>
  <c r="BZ364" i="1"/>
  <c r="AB254" i="1"/>
  <c r="AB255" i="1"/>
  <c r="AH363" i="1"/>
  <c r="AH362" i="1"/>
  <c r="BK254" i="1"/>
  <c r="BK255" i="1"/>
  <c r="BF200" i="1"/>
  <c r="BF199" i="1"/>
  <c r="BA363" i="1"/>
  <c r="BA362" i="1"/>
  <c r="BQ365" i="1"/>
  <c r="BQ364" i="1"/>
  <c r="AW255" i="1"/>
  <c r="AW254" i="1"/>
  <c r="BP200" i="1"/>
  <c r="BP199" i="1"/>
  <c r="AB197" i="1"/>
  <c r="AB198" i="1"/>
  <c r="BV42" i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W41" i="1"/>
  <c r="BW20" i="1" s="1"/>
  <c r="BX20" i="1" s="1"/>
  <c r="CA255" i="1"/>
  <c r="CA254" i="1"/>
  <c r="AG200" i="1"/>
  <c r="AG199" i="1"/>
  <c r="BU201" i="1"/>
  <c r="BU202" i="1"/>
  <c r="AM257" i="1"/>
  <c r="AM256" i="1"/>
  <c r="AH42" i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I41" i="1"/>
  <c r="AI20" i="1" s="1"/>
  <c r="AJ20" i="1" s="1"/>
  <c r="BP255" i="1"/>
  <c r="BP254" i="1"/>
  <c r="BV309" i="1"/>
  <c r="BV308" i="1"/>
  <c r="AD37" i="1"/>
  <c r="AC38" i="1"/>
  <c r="BV254" i="1"/>
  <c r="BV255" i="1"/>
  <c r="AC200" i="1"/>
  <c r="AC199" i="1"/>
  <c r="AQ254" i="1"/>
  <c r="AQ255" i="1"/>
  <c r="AL259" i="1"/>
  <c r="AL258" i="1"/>
  <c r="BV201" i="1"/>
  <c r="BV202" i="1"/>
  <c r="AC309" i="1"/>
  <c r="AC308" i="1"/>
  <c r="BZ314" i="1"/>
  <c r="BZ315" i="1"/>
  <c r="BZ316" i="1" s="1"/>
  <c r="AH254" i="1"/>
  <c r="AH255" i="1"/>
  <c r="BQ41" i="1"/>
  <c r="BR40" i="1"/>
  <c r="BA37" i="1"/>
  <c r="BC36" i="1"/>
  <c r="BP363" i="1"/>
  <c r="BP362" i="1"/>
  <c r="BQ202" i="1"/>
  <c r="BQ201" i="1"/>
  <c r="BA255" i="1"/>
  <c r="BA254" i="1"/>
  <c r="AW362" i="1"/>
  <c r="AW363" i="1"/>
  <c r="AL367" i="1"/>
  <c r="AL366" i="1"/>
  <c r="BK199" i="1"/>
  <c r="BK200" i="1"/>
  <c r="AQ308" i="1"/>
  <c r="AQ309" i="1"/>
  <c r="AW203" i="1" l="1"/>
  <c r="AW204" i="1"/>
  <c r="BV257" i="1"/>
  <c r="BV256" i="1"/>
  <c r="BU203" i="1"/>
  <c r="BU204" i="1"/>
  <c r="AB256" i="1"/>
  <c r="AB257" i="1"/>
  <c r="CA311" i="1"/>
  <c r="CA310" i="1"/>
  <c r="BL257" i="1"/>
  <c r="BL256" i="1"/>
  <c r="AL311" i="1"/>
  <c r="AL310" i="1"/>
  <c r="BQ204" i="1"/>
  <c r="BQ203" i="1"/>
  <c r="AW257" i="1"/>
  <c r="AW256" i="1"/>
  <c r="BG257" i="1"/>
  <c r="BG256" i="1"/>
  <c r="AG363" i="1"/>
  <c r="AG362" i="1"/>
  <c r="BV367" i="1"/>
  <c r="BV366" i="1"/>
  <c r="AB365" i="1"/>
  <c r="AB364" i="1"/>
  <c r="AB311" i="1"/>
  <c r="AB310" i="1"/>
  <c r="CA364" i="1"/>
  <c r="CA365" i="1"/>
  <c r="AQ311" i="1"/>
  <c r="AQ310" i="1"/>
  <c r="AC39" i="1"/>
  <c r="AD38" i="1"/>
  <c r="BA206" i="1"/>
  <c r="BA207" i="1" s="1"/>
  <c r="BA205" i="1"/>
  <c r="BL202" i="1"/>
  <c r="BL201" i="1"/>
  <c r="BQ258" i="1"/>
  <c r="BQ259" i="1"/>
  <c r="BU257" i="1"/>
  <c r="BU256" i="1"/>
  <c r="AQ365" i="1"/>
  <c r="AQ364" i="1"/>
  <c r="BP365" i="1"/>
  <c r="BP364" i="1"/>
  <c r="AC311" i="1"/>
  <c r="AC310" i="1"/>
  <c r="AG201" i="1"/>
  <c r="AG202" i="1"/>
  <c r="BQ366" i="1"/>
  <c r="BQ367" i="1"/>
  <c r="BZ367" i="1"/>
  <c r="BZ366" i="1"/>
  <c r="AG261" i="1"/>
  <c r="AG262" i="1" s="1"/>
  <c r="AG260" i="1"/>
  <c r="BG364" i="1"/>
  <c r="BG365" i="1"/>
  <c r="BP311" i="1"/>
  <c r="BP310" i="1"/>
  <c r="AV260" i="1"/>
  <c r="AV261" i="1"/>
  <c r="AV262" i="1" s="1"/>
  <c r="BK202" i="1"/>
  <c r="BK201" i="1"/>
  <c r="BV203" i="1"/>
  <c r="BV204" i="1"/>
  <c r="BU310" i="1"/>
  <c r="BU311" i="1"/>
  <c r="BQ312" i="1"/>
  <c r="BQ313" i="1"/>
  <c r="AM367" i="1"/>
  <c r="AM366" i="1"/>
  <c r="AG311" i="1"/>
  <c r="AG310" i="1"/>
  <c r="BA38" i="1"/>
  <c r="BC37" i="1"/>
  <c r="BV310" i="1"/>
  <c r="BV311" i="1"/>
  <c r="CA257" i="1"/>
  <c r="CA256" i="1"/>
  <c r="BA365" i="1"/>
  <c r="BA364" i="1"/>
  <c r="AR202" i="1"/>
  <c r="AR201" i="1"/>
  <c r="AQ204" i="1"/>
  <c r="AQ203" i="1"/>
  <c r="BK313" i="1"/>
  <c r="BK312" i="1"/>
  <c r="AM312" i="1"/>
  <c r="AM313" i="1"/>
  <c r="BF314" i="1"/>
  <c r="BF315" i="1"/>
  <c r="BF316" i="1" s="1"/>
  <c r="AR367" i="1"/>
  <c r="AR366" i="1"/>
  <c r="BU365" i="1"/>
  <c r="BU364" i="1"/>
  <c r="AH201" i="1"/>
  <c r="AH202" i="1"/>
  <c r="BL311" i="1"/>
  <c r="BL310" i="1"/>
  <c r="AY20" i="1"/>
  <c r="BA313" i="1"/>
  <c r="BA312" i="1"/>
  <c r="AL369" i="1"/>
  <c r="AL370" i="1" s="1"/>
  <c r="AL368" i="1"/>
  <c r="BQ42" i="1"/>
  <c r="BQ43" i="1" s="1"/>
  <c r="BQ44" i="1" s="1"/>
  <c r="BQ45" i="1" s="1"/>
  <c r="BQ46" i="1" s="1"/>
  <c r="BQ47" i="1" s="1"/>
  <c r="BQ48" i="1" s="1"/>
  <c r="BQ49" i="1" s="1"/>
  <c r="BQ50" i="1" s="1"/>
  <c r="BQ51" i="1" s="1"/>
  <c r="BQ52" i="1" s="1"/>
  <c r="BQ53" i="1" s="1"/>
  <c r="BQ54" i="1" s="1"/>
  <c r="BQ55" i="1" s="1"/>
  <c r="BQ56" i="1" s="1"/>
  <c r="BQ57" i="1" s="1"/>
  <c r="BQ58" i="1" s="1"/>
  <c r="BQ59" i="1" s="1"/>
  <c r="BQ60" i="1" s="1"/>
  <c r="BQ61" i="1" s="1"/>
  <c r="BQ62" i="1" s="1"/>
  <c r="BR41" i="1"/>
  <c r="BR20" i="1" s="1"/>
  <c r="BS20" i="1" s="1"/>
  <c r="AL261" i="1"/>
  <c r="AL262" i="1" s="1"/>
  <c r="AL260" i="1"/>
  <c r="BP256" i="1"/>
  <c r="BP257" i="1"/>
  <c r="BF201" i="1"/>
  <c r="BF202" i="1"/>
  <c r="AV363" i="1"/>
  <c r="AV362" i="1"/>
  <c r="AH311" i="1"/>
  <c r="AH310" i="1"/>
  <c r="BF365" i="1"/>
  <c r="BF364" i="1"/>
  <c r="BB365" i="1"/>
  <c r="BB364" i="1"/>
  <c r="AW365" i="1"/>
  <c r="AW364" i="1"/>
  <c r="AH257" i="1"/>
  <c r="AH256" i="1"/>
  <c r="AQ256" i="1"/>
  <c r="AQ257" i="1"/>
  <c r="AB199" i="1"/>
  <c r="AB200" i="1"/>
  <c r="BK256" i="1"/>
  <c r="BK257" i="1"/>
  <c r="BB204" i="1"/>
  <c r="BB203" i="1"/>
  <c r="BG202" i="1"/>
  <c r="BG201" i="1"/>
  <c r="AR257" i="1"/>
  <c r="AR256" i="1"/>
  <c r="BB310" i="1"/>
  <c r="BB311" i="1"/>
  <c r="BL365" i="1"/>
  <c r="BL364" i="1"/>
  <c r="BK369" i="1"/>
  <c r="BK370" i="1" s="1"/>
  <c r="BK368" i="1"/>
  <c r="AW311" i="1"/>
  <c r="AW310" i="1"/>
  <c r="AL206" i="1"/>
  <c r="AL207" i="1" s="1"/>
  <c r="AL205" i="1"/>
  <c r="BF255" i="1"/>
  <c r="BF254" i="1"/>
  <c r="AV311" i="1"/>
  <c r="AV310" i="1"/>
  <c r="BG310" i="1"/>
  <c r="BG311" i="1"/>
  <c r="BB257" i="1"/>
  <c r="BB256" i="1"/>
  <c r="AC365" i="1"/>
  <c r="AC364" i="1"/>
  <c r="AM202" i="1"/>
  <c r="AM201" i="1"/>
  <c r="BA257" i="1"/>
  <c r="BA256" i="1"/>
  <c r="AC202" i="1"/>
  <c r="AC201" i="1"/>
  <c r="AM258" i="1"/>
  <c r="AM259" i="1"/>
  <c r="BP201" i="1"/>
  <c r="BP202" i="1"/>
  <c r="AH365" i="1"/>
  <c r="AH364" i="1"/>
  <c r="BZ256" i="1"/>
  <c r="BZ257" i="1"/>
  <c r="AC258" i="1"/>
  <c r="AC259" i="1"/>
  <c r="BZ204" i="1"/>
  <c r="BZ203" i="1"/>
  <c r="AR311" i="1"/>
  <c r="AR310" i="1"/>
  <c r="AW206" i="1" l="1"/>
  <c r="AW207" i="1" s="1"/>
  <c r="AW205" i="1"/>
  <c r="AH367" i="1"/>
  <c r="AH366" i="1"/>
  <c r="AC366" i="1"/>
  <c r="AC367" i="1"/>
  <c r="AW312" i="1"/>
  <c r="AW313" i="1"/>
  <c r="BB205" i="1"/>
  <c r="BB206" i="1"/>
  <c r="BB207" i="1" s="1"/>
  <c r="BB367" i="1"/>
  <c r="BB366" i="1"/>
  <c r="AH204" i="1"/>
  <c r="AH203" i="1"/>
  <c r="AG204" i="1"/>
  <c r="AG203" i="1"/>
  <c r="BP203" i="1"/>
  <c r="BP204" i="1"/>
  <c r="BK259" i="1"/>
  <c r="BK258" i="1"/>
  <c r="AQ206" i="1"/>
  <c r="AQ207" i="1" s="1"/>
  <c r="AQ205" i="1"/>
  <c r="AG312" i="1"/>
  <c r="AG313" i="1"/>
  <c r="BL204" i="1"/>
  <c r="BL203" i="1"/>
  <c r="AB367" i="1"/>
  <c r="AB366" i="1"/>
  <c r="AL312" i="1"/>
  <c r="AL313" i="1"/>
  <c r="BB259" i="1"/>
  <c r="BB258" i="1"/>
  <c r="BF367" i="1"/>
  <c r="BF366" i="1"/>
  <c r="AM261" i="1"/>
  <c r="AM262" i="1" s="1"/>
  <c r="AM260" i="1"/>
  <c r="BG312" i="1"/>
  <c r="BG313" i="1"/>
  <c r="AB201" i="1"/>
  <c r="AB202" i="1"/>
  <c r="BU367" i="1"/>
  <c r="BU366" i="1"/>
  <c r="AR204" i="1"/>
  <c r="AR203" i="1"/>
  <c r="AM368" i="1"/>
  <c r="AM369" i="1"/>
  <c r="AM370" i="1" s="1"/>
  <c r="BP312" i="1"/>
  <c r="BP313" i="1"/>
  <c r="AC313" i="1"/>
  <c r="AC312" i="1"/>
  <c r="BV369" i="1"/>
  <c r="BV370" i="1" s="1"/>
  <c r="BV368" i="1"/>
  <c r="BL259" i="1"/>
  <c r="BL258" i="1"/>
  <c r="AR312" i="1"/>
  <c r="AR313" i="1"/>
  <c r="BL367" i="1"/>
  <c r="BL366" i="1"/>
  <c r="AH312" i="1"/>
  <c r="AH313" i="1"/>
  <c r="BQ315" i="1"/>
  <c r="BQ316" i="1" s="1"/>
  <c r="BQ314" i="1"/>
  <c r="BG367" i="1"/>
  <c r="BG366" i="1"/>
  <c r="BB313" i="1"/>
  <c r="BB312" i="1"/>
  <c r="AQ258" i="1"/>
  <c r="AQ259" i="1"/>
  <c r="AR369" i="1"/>
  <c r="AR370" i="1" s="1"/>
  <c r="AR368" i="1"/>
  <c r="BA366" i="1"/>
  <c r="BA367" i="1"/>
  <c r="BP367" i="1"/>
  <c r="BP366" i="1"/>
  <c r="AC40" i="1"/>
  <c r="AD39" i="1"/>
  <c r="AG364" i="1"/>
  <c r="AG365" i="1"/>
  <c r="CA312" i="1"/>
  <c r="CA313" i="1"/>
  <c r="BZ206" i="1"/>
  <c r="BZ207" i="1" s="1"/>
  <c r="BZ205" i="1"/>
  <c r="AC203" i="1"/>
  <c r="AC204" i="1"/>
  <c r="AV313" i="1"/>
  <c r="AV312" i="1"/>
  <c r="AV365" i="1"/>
  <c r="AV364" i="1"/>
  <c r="BA314" i="1"/>
  <c r="BA315" i="1"/>
  <c r="BA316" i="1" s="1"/>
  <c r="BU312" i="1"/>
  <c r="BU313" i="1"/>
  <c r="AB259" i="1"/>
  <c r="AB258" i="1"/>
  <c r="AC260" i="1"/>
  <c r="AC261" i="1"/>
  <c r="AC262" i="1" s="1"/>
  <c r="BF204" i="1"/>
  <c r="BF203" i="1"/>
  <c r="CA259" i="1"/>
  <c r="CA258" i="1"/>
  <c r="AQ367" i="1"/>
  <c r="AQ366" i="1"/>
  <c r="AQ312" i="1"/>
  <c r="AQ313" i="1"/>
  <c r="BG259" i="1"/>
  <c r="BG258" i="1"/>
  <c r="BA259" i="1"/>
  <c r="BA258" i="1"/>
  <c r="BF256" i="1"/>
  <c r="BF257" i="1"/>
  <c r="AR259" i="1"/>
  <c r="AR258" i="1"/>
  <c r="AH259" i="1"/>
  <c r="AH258" i="1"/>
  <c r="AM314" i="1"/>
  <c r="AM315" i="1"/>
  <c r="AM316" i="1" s="1"/>
  <c r="BV313" i="1"/>
  <c r="BV312" i="1"/>
  <c r="BV205" i="1"/>
  <c r="BV206" i="1"/>
  <c r="BV207" i="1" s="1"/>
  <c r="CA367" i="1"/>
  <c r="CA366" i="1"/>
  <c r="BU206" i="1"/>
  <c r="BU207" i="1" s="1"/>
  <c r="BU205" i="1"/>
  <c r="BZ259" i="1"/>
  <c r="BZ258" i="1"/>
  <c r="BP259" i="1"/>
  <c r="BP258" i="1"/>
  <c r="BZ369" i="1"/>
  <c r="BZ370" i="1" s="1"/>
  <c r="BZ368" i="1"/>
  <c r="BU258" i="1"/>
  <c r="BU259" i="1"/>
  <c r="AW258" i="1"/>
  <c r="AW259" i="1"/>
  <c r="AM204" i="1"/>
  <c r="AM203" i="1"/>
  <c r="BG204" i="1"/>
  <c r="BG203" i="1"/>
  <c r="AW366" i="1"/>
  <c r="AW367" i="1"/>
  <c r="BQ369" i="1"/>
  <c r="BQ370" i="1" s="1"/>
  <c r="BQ368" i="1"/>
  <c r="BQ261" i="1"/>
  <c r="BQ262" i="1" s="1"/>
  <c r="BQ260" i="1"/>
  <c r="BL312" i="1"/>
  <c r="BL313" i="1"/>
  <c r="BK314" i="1"/>
  <c r="BK315" i="1"/>
  <c r="BK316" i="1" s="1"/>
  <c r="BA39" i="1"/>
  <c r="BC38" i="1"/>
  <c r="BK204" i="1"/>
  <c r="BK203" i="1"/>
  <c r="AB313" i="1"/>
  <c r="AB312" i="1"/>
  <c r="BQ205" i="1"/>
  <c r="BQ206" i="1"/>
  <c r="BQ207" i="1" s="1"/>
  <c r="BV259" i="1"/>
  <c r="BV258" i="1"/>
  <c r="BL314" i="1" l="1"/>
  <c r="BL315" i="1"/>
  <c r="BL316" i="1" s="1"/>
  <c r="AW260" i="1"/>
  <c r="AW261" i="1"/>
  <c r="AW262" i="1" s="1"/>
  <c r="BF259" i="1"/>
  <c r="BF258" i="1"/>
  <c r="BG315" i="1"/>
  <c r="BG316" i="1" s="1"/>
  <c r="BG314" i="1"/>
  <c r="BV260" i="1"/>
  <c r="BV261" i="1"/>
  <c r="BV262" i="1" s="1"/>
  <c r="CA368" i="1"/>
  <c r="CA369" i="1"/>
  <c r="CA370" i="1" s="1"/>
  <c r="BF206" i="1"/>
  <c r="BF207" i="1" s="1"/>
  <c r="BF205" i="1"/>
  <c r="AV315" i="1"/>
  <c r="AV316" i="1" s="1"/>
  <c r="AV314" i="1"/>
  <c r="BP368" i="1"/>
  <c r="BP369" i="1"/>
  <c r="BP370" i="1" s="1"/>
  <c r="AC315" i="1"/>
  <c r="AC316" i="1" s="1"/>
  <c r="AC314" i="1"/>
  <c r="BL206" i="1"/>
  <c r="BL207" i="1" s="1"/>
  <c r="BL205" i="1"/>
  <c r="AH205" i="1"/>
  <c r="AH206" i="1"/>
  <c r="AH207" i="1" s="1"/>
  <c r="BU260" i="1"/>
  <c r="BU261" i="1"/>
  <c r="BU262" i="1" s="1"/>
  <c r="AC206" i="1"/>
  <c r="AC207" i="1" s="1"/>
  <c r="AC205" i="1"/>
  <c r="BA369" i="1"/>
  <c r="BA370" i="1" s="1"/>
  <c r="BA368" i="1"/>
  <c r="AH315" i="1"/>
  <c r="AH316" i="1" s="1"/>
  <c r="AH314" i="1"/>
  <c r="BP314" i="1"/>
  <c r="BP315" i="1"/>
  <c r="BP316" i="1" s="1"/>
  <c r="AG314" i="1"/>
  <c r="AG315" i="1"/>
  <c r="AG316" i="1" s="1"/>
  <c r="BA261" i="1"/>
  <c r="BA262" i="1" s="1"/>
  <c r="BA260" i="1"/>
  <c r="BB369" i="1"/>
  <c r="BB370" i="1" s="1"/>
  <c r="BB368" i="1"/>
  <c r="AB314" i="1"/>
  <c r="AB315" i="1"/>
  <c r="AB316" i="1" s="1"/>
  <c r="BV315" i="1"/>
  <c r="BV316" i="1" s="1"/>
  <c r="BV314" i="1"/>
  <c r="BG261" i="1"/>
  <c r="BG262" i="1" s="1"/>
  <c r="BG260" i="1"/>
  <c r="AB261" i="1"/>
  <c r="AB262" i="1" s="1"/>
  <c r="AB260" i="1"/>
  <c r="BL369" i="1"/>
  <c r="BL370" i="1" s="1"/>
  <c r="BL368" i="1"/>
  <c r="BF369" i="1"/>
  <c r="BF370" i="1" s="1"/>
  <c r="BF368" i="1"/>
  <c r="AW369" i="1"/>
  <c r="AW370" i="1" s="1"/>
  <c r="AW368" i="1"/>
  <c r="AQ314" i="1"/>
  <c r="AQ315" i="1"/>
  <c r="AQ316" i="1" s="1"/>
  <c r="BU314" i="1"/>
  <c r="BU315" i="1"/>
  <c r="BU316" i="1" s="1"/>
  <c r="CA315" i="1"/>
  <c r="CA316" i="1" s="1"/>
  <c r="CA314" i="1"/>
  <c r="AQ260" i="1"/>
  <c r="AQ261" i="1"/>
  <c r="AQ262" i="1" s="1"/>
  <c r="AR314" i="1"/>
  <c r="AR315" i="1"/>
  <c r="AR316" i="1" s="1"/>
  <c r="AW315" i="1"/>
  <c r="AW316" i="1" s="1"/>
  <c r="AW314" i="1"/>
  <c r="BK206" i="1"/>
  <c r="BK207" i="1" s="1"/>
  <c r="BK205" i="1"/>
  <c r="BP260" i="1"/>
  <c r="BP261" i="1"/>
  <c r="BP262" i="1" s="1"/>
  <c r="AR205" i="1"/>
  <c r="AR206" i="1"/>
  <c r="AR207" i="1" s="1"/>
  <c r="BB260" i="1"/>
  <c r="BB261" i="1"/>
  <c r="BB262" i="1" s="1"/>
  <c r="BK260" i="1"/>
  <c r="BK261" i="1"/>
  <c r="BK262" i="1" s="1"/>
  <c r="AG367" i="1"/>
  <c r="AG366" i="1"/>
  <c r="AL314" i="1"/>
  <c r="AL315" i="1"/>
  <c r="AL316" i="1" s="1"/>
  <c r="BP205" i="1"/>
  <c r="BP206" i="1"/>
  <c r="BP207" i="1" s="1"/>
  <c r="AC369" i="1"/>
  <c r="AC370" i="1" s="1"/>
  <c r="AC368" i="1"/>
  <c r="BA40" i="1"/>
  <c r="BC39" i="1"/>
  <c r="BG205" i="1"/>
  <c r="BG206" i="1"/>
  <c r="BG207" i="1" s="1"/>
  <c r="BZ261" i="1"/>
  <c r="BZ262" i="1" s="1"/>
  <c r="BZ260" i="1"/>
  <c r="AH260" i="1"/>
  <c r="AH261" i="1"/>
  <c r="AH262" i="1" s="1"/>
  <c r="AQ369" i="1"/>
  <c r="AQ370" i="1" s="1"/>
  <c r="AQ368" i="1"/>
  <c r="BB315" i="1"/>
  <c r="BB316" i="1" s="1"/>
  <c r="BB314" i="1"/>
  <c r="BL261" i="1"/>
  <c r="BL262" i="1" s="1"/>
  <c r="BL260" i="1"/>
  <c r="BU368" i="1"/>
  <c r="BU369" i="1"/>
  <c r="BU370" i="1" s="1"/>
  <c r="AB203" i="1"/>
  <c r="AB204" i="1"/>
  <c r="AM205" i="1"/>
  <c r="AM206" i="1"/>
  <c r="AM207" i="1" s="1"/>
  <c r="AR261" i="1"/>
  <c r="AR262" i="1" s="1"/>
  <c r="AR260" i="1"/>
  <c r="CA261" i="1"/>
  <c r="CA262" i="1" s="1"/>
  <c r="CA260" i="1"/>
  <c r="AV367" i="1"/>
  <c r="AV366" i="1"/>
  <c r="AC41" i="1"/>
  <c r="AD40" i="1"/>
  <c r="BG368" i="1"/>
  <c r="BG369" i="1"/>
  <c r="BG370" i="1" s="1"/>
  <c r="AB368" i="1"/>
  <c r="AB369" i="1"/>
  <c r="AB370" i="1" s="1"/>
  <c r="AG206" i="1"/>
  <c r="AG207" i="1" s="1"/>
  <c r="AG205" i="1"/>
  <c r="AH369" i="1"/>
  <c r="AH370" i="1" s="1"/>
  <c r="AH368" i="1"/>
  <c r="AB206" i="1" l="1"/>
  <c r="AB207" i="1" s="1"/>
  <c r="AB205" i="1"/>
  <c r="AG368" i="1"/>
  <c r="AG369" i="1"/>
  <c r="AG370" i="1" s="1"/>
  <c r="BF261" i="1"/>
  <c r="BF262" i="1" s="1"/>
  <c r="BF260" i="1"/>
  <c r="AC42" i="1"/>
  <c r="AC43" i="1" s="1"/>
  <c r="AC44" i="1" s="1"/>
  <c r="AC45" i="1" s="1"/>
  <c r="AC46" i="1" s="1"/>
  <c r="AC47" i="1" s="1"/>
  <c r="AC48" i="1" s="1"/>
  <c r="AC49" i="1" s="1"/>
  <c r="AC50" i="1" s="1"/>
  <c r="AC51" i="1" s="1"/>
  <c r="AC52" i="1" s="1"/>
  <c r="AC53" i="1" s="1"/>
  <c r="AC54" i="1" s="1"/>
  <c r="AC55" i="1" s="1"/>
  <c r="AC56" i="1" s="1"/>
  <c r="AC57" i="1" s="1"/>
  <c r="AC58" i="1" s="1"/>
  <c r="AC59" i="1" s="1"/>
  <c r="AC60" i="1" s="1"/>
  <c r="AC61" i="1" s="1"/>
  <c r="AC62" i="1" s="1"/>
  <c r="AD41" i="1"/>
  <c r="AD20" i="1" s="1"/>
  <c r="AV368" i="1"/>
  <c r="AV369" i="1"/>
  <c r="AV370" i="1" s="1"/>
  <c r="BA41" i="1"/>
  <c r="BC40" i="1"/>
  <c r="BA42" i="1" l="1"/>
  <c r="BA43" i="1" s="1"/>
  <c r="BA44" i="1" s="1"/>
  <c r="BA45" i="1" s="1"/>
  <c r="BA46" i="1" s="1"/>
  <c r="BA47" i="1" s="1"/>
  <c r="BA48" i="1" s="1"/>
  <c r="BA49" i="1" s="1"/>
  <c r="BA50" i="1" s="1"/>
  <c r="BA51" i="1" s="1"/>
  <c r="BA52" i="1" s="1"/>
  <c r="BA53" i="1" s="1"/>
  <c r="BA54" i="1" s="1"/>
  <c r="BA55" i="1" s="1"/>
  <c r="BA56" i="1" s="1"/>
  <c r="BA57" i="1" s="1"/>
  <c r="BA58" i="1" s="1"/>
  <c r="BA59" i="1" s="1"/>
  <c r="BA60" i="1" s="1"/>
  <c r="BA61" i="1" s="1"/>
  <c r="BA62" i="1" s="1"/>
  <c r="BC41" i="1"/>
  <c r="BC20" i="1" s="1"/>
  <c r="CH36" i="1"/>
  <c r="CO9" i="1"/>
  <c r="AE20" i="1"/>
  <c r="CG20" i="1"/>
  <c r="CG3" i="1" l="1"/>
  <c r="CH20" i="1"/>
  <c r="CH23" i="1"/>
  <c r="CH37" i="1"/>
  <c r="CH38" i="1" s="1"/>
  <c r="CP9" i="1" s="1"/>
  <c r="BD20" i="1"/>
  <c r="CH42" i="1"/>
  <c r="CO10" i="1"/>
  <c r="CH43" i="1" l="1"/>
  <c r="CH44" i="1" s="1"/>
  <c r="CP10" i="1" s="1"/>
  <c r="G20" i="2" l="1"/>
  <c r="G36" i="2"/>
  <c r="G24" i="2"/>
  <c r="G30" i="2"/>
  <c r="G29" i="2"/>
  <c r="G34" i="2"/>
  <c r="G18" i="2"/>
  <c r="G31" i="2"/>
  <c r="G23" i="2"/>
  <c r="G28" i="2"/>
  <c r="G22" i="2"/>
  <c r="G27" i="2"/>
  <c r="G21" i="2"/>
  <c r="G35" i="2"/>
  <c r="G25" i="2"/>
  <c r="G33" i="2"/>
  <c r="G17" i="2"/>
  <c r="G19" i="2"/>
  <c r="G26" i="2"/>
  <c r="G32" i="2"/>
  <c r="G15" i="2" l="1"/>
  <c r="I15" i="2"/>
  <c r="L53" i="2"/>
  <c r="L55" i="2"/>
  <c r="L73" i="2"/>
  <c r="J73" i="2"/>
  <c r="K121" i="2"/>
  <c r="K123" i="2"/>
  <c r="L121" i="2"/>
  <c r="L123" i="2"/>
  <c r="L32" i="2"/>
  <c r="J32" i="2"/>
  <c r="C152" i="2"/>
  <c r="B152" i="2"/>
  <c r="L70" i="2"/>
  <c r="J70" i="2"/>
  <c r="C94" i="2"/>
  <c r="K15" i="2"/>
  <c r="K17" i="2"/>
  <c r="B162" i="2"/>
  <c r="C162" i="2"/>
  <c r="L23" i="2"/>
  <c r="J23" i="2"/>
  <c r="K23" i="2"/>
  <c r="L89" i="2"/>
  <c r="L91" i="2"/>
  <c r="L141" i="2"/>
  <c r="J141" i="2"/>
  <c r="L61" i="2"/>
  <c r="J61" i="2"/>
  <c r="K61" i="2"/>
  <c r="C163" i="2"/>
  <c r="B163" i="2"/>
  <c r="L109" i="2"/>
  <c r="J109" i="2"/>
  <c r="L71" i="2"/>
  <c r="J71" i="2"/>
  <c r="AD93" i="2"/>
  <c r="AD95" i="2"/>
  <c r="K89" i="2"/>
  <c r="K91" i="2"/>
  <c r="AD57" i="2"/>
  <c r="AD59" i="2"/>
  <c r="L30" i="2"/>
  <c r="J30" i="2"/>
  <c r="C95" i="2"/>
  <c r="K94" i="2"/>
  <c r="B94" i="2"/>
  <c r="J94" i="2"/>
  <c r="L94" i="2"/>
  <c r="K32" i="2"/>
  <c r="C32" i="2"/>
  <c r="B32" i="2"/>
  <c r="M32" i="2"/>
  <c r="K124" i="2"/>
  <c r="J124" i="2"/>
  <c r="L124" i="2"/>
  <c r="C62" i="2"/>
  <c r="L57" i="2"/>
  <c r="J57" i="2"/>
  <c r="K57" i="2"/>
  <c r="K102" i="2"/>
  <c r="J102" i="2"/>
  <c r="L102" i="2"/>
  <c r="J15" i="2"/>
  <c r="J53" i="2"/>
  <c r="L96" i="2"/>
  <c r="J96" i="2"/>
  <c r="K96" i="2"/>
  <c r="L69" i="2"/>
  <c r="J69" i="2"/>
  <c r="K95" i="2"/>
  <c r="B95" i="2"/>
  <c r="J95" i="2"/>
  <c r="L95" i="2"/>
  <c r="L101" i="2"/>
  <c r="J101" i="2"/>
  <c r="K101" i="2"/>
  <c r="L36" i="2"/>
  <c r="J36" i="2"/>
  <c r="B161" i="2"/>
  <c r="C161" i="2"/>
  <c r="L126" i="2"/>
  <c r="J126" i="2"/>
  <c r="K126" i="2"/>
  <c r="K25" i="2"/>
  <c r="J25" i="2"/>
  <c r="L25" i="2"/>
  <c r="B25" i="2"/>
  <c r="C25" i="2"/>
  <c r="L105" i="2"/>
  <c r="J105" i="2"/>
  <c r="B23" i="2"/>
  <c r="C23" i="2"/>
  <c r="L104" i="2"/>
  <c r="J104" i="2"/>
  <c r="AD53" i="2"/>
  <c r="N53" i="2"/>
  <c r="L62" i="2"/>
  <c r="B62" i="2"/>
  <c r="J62" i="2"/>
  <c r="K62" i="2"/>
  <c r="L68" i="2"/>
  <c r="J68" i="2"/>
  <c r="C125" i="2"/>
  <c r="L139" i="2"/>
  <c r="J139" i="2"/>
  <c r="N15" i="2"/>
  <c r="AD15" i="2"/>
  <c r="L137" i="2"/>
  <c r="J137" i="2"/>
  <c r="J17" i="2"/>
  <c r="L17" i="2"/>
  <c r="L15" i="2"/>
  <c r="B101" i="2"/>
  <c r="C101" i="2"/>
  <c r="C156" i="2"/>
  <c r="B156" i="2"/>
  <c r="C137" i="2"/>
  <c r="B137" i="2"/>
  <c r="K137" i="2"/>
  <c r="B149" i="2"/>
  <c r="C149" i="2"/>
  <c r="K93" i="2"/>
  <c r="J93" i="2"/>
  <c r="L93" i="2"/>
  <c r="L132" i="2"/>
  <c r="J132" i="2"/>
  <c r="K132" i="2"/>
  <c r="B132" i="2"/>
  <c r="C132" i="2"/>
  <c r="C123" i="2"/>
  <c r="L136" i="2"/>
  <c r="J136" i="2"/>
  <c r="L34" i="2"/>
  <c r="J34" i="2"/>
  <c r="L66" i="2"/>
  <c r="J66" i="2"/>
  <c r="K66" i="2"/>
  <c r="K27" i="2"/>
  <c r="J27" i="2"/>
  <c r="L27" i="2"/>
  <c r="AD89" i="2"/>
  <c r="N89" i="2"/>
  <c r="K131" i="2"/>
  <c r="J131" i="2"/>
  <c r="L131" i="2"/>
  <c r="B154" i="2"/>
  <c r="C154" i="2"/>
  <c r="C18" i="2"/>
  <c r="B66" i="2"/>
  <c r="C66" i="2"/>
  <c r="C168" i="2"/>
  <c r="B168" i="2"/>
  <c r="L31" i="2"/>
  <c r="J31" i="2"/>
  <c r="B167" i="2"/>
  <c r="C167" i="2"/>
  <c r="L72" i="2"/>
  <c r="J72" i="2"/>
  <c r="AD19" i="2"/>
  <c r="AD21" i="2"/>
  <c r="C73" i="2"/>
  <c r="M73" i="2"/>
  <c r="B73" i="2"/>
  <c r="K73" i="2"/>
  <c r="B157" i="2"/>
  <c r="C157" i="2"/>
  <c r="L58" i="2"/>
  <c r="J58" i="2"/>
  <c r="K58" i="2"/>
  <c r="C24" i="2"/>
  <c r="M105" i="2"/>
  <c r="K105" i="2"/>
  <c r="B105" i="2"/>
  <c r="C105" i="2"/>
  <c r="AD56" i="2"/>
  <c r="M68" i="2"/>
  <c r="M53" i="2"/>
  <c r="AC53" i="2"/>
  <c r="C134" i="2"/>
  <c r="B27" i="2"/>
  <c r="C27" i="2"/>
  <c r="K18" i="2"/>
  <c r="B18" i="2"/>
  <c r="J18" i="2"/>
  <c r="L18" i="2"/>
  <c r="C98" i="2"/>
  <c r="L106" i="2"/>
  <c r="J106" i="2"/>
  <c r="K139" i="2"/>
  <c r="B139" i="2"/>
  <c r="C139" i="2"/>
  <c r="L98" i="2"/>
  <c r="B98" i="2"/>
  <c r="J98" i="2"/>
  <c r="K98" i="2"/>
  <c r="C135" i="2"/>
  <c r="M104" i="2"/>
  <c r="M89" i="2"/>
  <c r="AC89" i="2"/>
  <c r="AD92" i="2"/>
  <c r="L135" i="2"/>
  <c r="B135" i="2"/>
  <c r="J135" i="2"/>
  <c r="K135" i="2"/>
  <c r="K107" i="2"/>
  <c r="C107" i="2"/>
  <c r="M107" i="2"/>
  <c r="C142" i="2"/>
  <c r="K142" i="2"/>
  <c r="C141" i="2"/>
  <c r="B141" i="2"/>
  <c r="K141" i="2"/>
  <c r="K110" i="2"/>
  <c r="M110" i="2"/>
  <c r="C110" i="2"/>
  <c r="B17" i="2"/>
  <c r="C17" i="2"/>
  <c r="B126" i="2"/>
  <c r="C126" i="2"/>
  <c r="K100" i="2"/>
  <c r="J100" i="2"/>
  <c r="L100" i="2"/>
  <c r="L24" i="2"/>
  <c r="B24" i="2"/>
  <c r="J24" i="2"/>
  <c r="K24" i="2"/>
  <c r="B61" i="2"/>
  <c r="C61" i="2"/>
  <c r="L133" i="2"/>
  <c r="J133" i="2"/>
  <c r="K133" i="2"/>
  <c r="B159" i="2"/>
  <c r="C159" i="2"/>
  <c r="C34" i="2"/>
  <c r="M34" i="2"/>
  <c r="B34" i="2"/>
  <c r="K34" i="2"/>
  <c r="L134" i="2"/>
  <c r="B134" i="2"/>
  <c r="J134" i="2"/>
  <c r="K134" i="2"/>
  <c r="K35" i="2"/>
  <c r="C35" i="2"/>
  <c r="M35" i="2"/>
  <c r="B124" i="2"/>
  <c r="C124" i="2"/>
  <c r="C33" i="2"/>
  <c r="K33" i="2"/>
  <c r="M33" i="2"/>
  <c r="M106" i="2"/>
  <c r="K106" i="2"/>
  <c r="B106" i="2"/>
  <c r="C106" i="2"/>
  <c r="B164" i="2"/>
  <c r="C164" i="2"/>
  <c r="K64" i="2"/>
  <c r="J64" i="2"/>
  <c r="L64" i="2"/>
  <c r="C103" i="2"/>
  <c r="K70" i="2"/>
  <c r="C70" i="2"/>
  <c r="B70" i="2"/>
  <c r="M70" i="2"/>
  <c r="C160" i="2"/>
  <c r="B160" i="2"/>
  <c r="B107" i="2"/>
  <c r="J107" i="2"/>
  <c r="L107" i="2"/>
  <c r="B142" i="2"/>
  <c r="J142" i="2"/>
  <c r="L142" i="2"/>
  <c r="K19" i="2"/>
  <c r="J19" i="2"/>
  <c r="L19" i="2"/>
  <c r="J55" i="2"/>
  <c r="K55" i="2"/>
  <c r="K53" i="2"/>
  <c r="B57" i="2"/>
  <c r="C57" i="2"/>
  <c r="M69" i="2"/>
  <c r="K69" i="2"/>
  <c r="B69" i="2"/>
  <c r="C69" i="2"/>
  <c r="B19" i="2"/>
  <c r="C19" i="2"/>
  <c r="C166" i="2"/>
  <c r="B166" i="2"/>
  <c r="B100" i="2"/>
  <c r="C100" i="2"/>
  <c r="B123" i="2"/>
  <c r="J123" i="2"/>
  <c r="J121" i="2"/>
  <c r="C30" i="2"/>
  <c r="K30" i="2"/>
  <c r="C60" i="2"/>
  <c r="C22" i="2"/>
  <c r="L129" i="2"/>
  <c r="J129" i="2"/>
  <c r="K129" i="2"/>
  <c r="B58" i="2"/>
  <c r="C58" i="2"/>
  <c r="K60" i="2"/>
  <c r="B60" i="2"/>
  <c r="J60" i="2"/>
  <c r="L60" i="2"/>
  <c r="B55" i="2"/>
  <c r="C55" i="2"/>
  <c r="L22" i="2"/>
  <c r="B22" i="2"/>
  <c r="J22" i="2"/>
  <c r="K22" i="2"/>
  <c r="L138" i="2"/>
  <c r="J138" i="2"/>
  <c r="K59" i="2"/>
  <c r="J59" i="2"/>
  <c r="L59" i="2"/>
  <c r="C127" i="2"/>
  <c r="L65" i="2"/>
  <c r="J65" i="2"/>
  <c r="K65" i="2"/>
  <c r="L92" i="2"/>
  <c r="J92" i="2"/>
  <c r="K92" i="2"/>
  <c r="K130" i="2"/>
  <c r="J130" i="2"/>
  <c r="L130" i="2"/>
  <c r="C21" i="2"/>
  <c r="B129" i="2"/>
  <c r="C129" i="2"/>
  <c r="B131" i="2"/>
  <c r="C131" i="2"/>
  <c r="K63" i="2"/>
  <c r="J63" i="2"/>
  <c r="L63" i="2"/>
  <c r="B35" i="2"/>
  <c r="J35" i="2"/>
  <c r="L35" i="2"/>
  <c r="B33" i="2"/>
  <c r="J33" i="2"/>
  <c r="L33" i="2"/>
  <c r="L20" i="2"/>
  <c r="J20" i="2"/>
  <c r="K20" i="2"/>
  <c r="L128" i="2"/>
  <c r="J128" i="2"/>
  <c r="K128" i="2"/>
  <c r="C99" i="2"/>
  <c r="C97" i="2"/>
  <c r="K103" i="2"/>
  <c r="B103" i="2"/>
  <c r="J103" i="2"/>
  <c r="L103" i="2"/>
  <c r="C29" i="2"/>
  <c r="L28" i="2"/>
  <c r="J28" i="2"/>
  <c r="K28" i="2"/>
  <c r="K72" i="2"/>
  <c r="C72" i="2"/>
  <c r="B72" i="2"/>
  <c r="M72" i="2"/>
  <c r="C67" i="2"/>
  <c r="B155" i="2"/>
  <c r="C155" i="2"/>
  <c r="L26" i="2"/>
  <c r="J26" i="2"/>
  <c r="K26" i="2"/>
  <c r="B102" i="2"/>
  <c r="C102" i="2"/>
  <c r="K74" i="2"/>
  <c r="M74" i="2"/>
  <c r="C74" i="2"/>
  <c r="C56" i="2"/>
  <c r="J91" i="2"/>
  <c r="J89" i="2"/>
  <c r="C140" i="2"/>
  <c r="K140" i="2"/>
  <c r="B133" i="2"/>
  <c r="C133" i="2"/>
  <c r="L108" i="2"/>
  <c r="J108" i="2"/>
  <c r="B59" i="2"/>
  <c r="C59" i="2"/>
  <c r="L127" i="2"/>
  <c r="B127" i="2"/>
  <c r="J127" i="2"/>
  <c r="K127" i="2"/>
  <c r="M31" i="2"/>
  <c r="K31" i="2"/>
  <c r="B31" i="2"/>
  <c r="C31" i="2"/>
  <c r="B93" i="2"/>
  <c r="C93" i="2"/>
  <c r="B65" i="2"/>
  <c r="C65" i="2"/>
  <c r="B92" i="2"/>
  <c r="C92" i="2"/>
  <c r="C71" i="2"/>
  <c r="K71" i="2"/>
  <c r="B71" i="2"/>
  <c r="M71" i="2"/>
  <c r="K138" i="2"/>
  <c r="B138" i="2"/>
  <c r="C138" i="2"/>
  <c r="K108" i="2"/>
  <c r="M108" i="2"/>
  <c r="B108" i="2"/>
  <c r="C108" i="2"/>
  <c r="B150" i="2"/>
  <c r="C150" i="2"/>
  <c r="B130" i="2"/>
  <c r="C130" i="2"/>
  <c r="L21" i="2"/>
  <c r="B21" i="2"/>
  <c r="J21" i="2"/>
  <c r="K21" i="2"/>
  <c r="K136" i="2"/>
  <c r="B136" i="2"/>
  <c r="C136" i="2"/>
  <c r="K68" i="2"/>
  <c r="B68" i="2"/>
  <c r="C68" i="2"/>
  <c r="B140" i="2"/>
  <c r="J140" i="2"/>
  <c r="L140" i="2"/>
  <c r="L56" i="2"/>
  <c r="B56" i="2"/>
  <c r="J56" i="2"/>
  <c r="K56" i="2"/>
  <c r="K104" i="2"/>
  <c r="B104" i="2"/>
  <c r="C104" i="2"/>
  <c r="B151" i="2"/>
  <c r="C151" i="2"/>
  <c r="K36" i="2"/>
  <c r="M36" i="2"/>
  <c r="B36" i="2"/>
  <c r="C36" i="2"/>
  <c r="B96" i="2"/>
  <c r="C96" i="2"/>
  <c r="B63" i="2"/>
  <c r="C63" i="2"/>
  <c r="B110" i="2"/>
  <c r="J110" i="2"/>
  <c r="L110" i="2"/>
  <c r="M109" i="2"/>
  <c r="C109" i="2"/>
  <c r="B109" i="2"/>
  <c r="K109" i="2"/>
  <c r="B91" i="2"/>
  <c r="C91" i="2"/>
  <c r="B20" i="2"/>
  <c r="C20" i="2"/>
  <c r="B128" i="2"/>
  <c r="C128" i="2"/>
  <c r="K99" i="2"/>
  <c r="B99" i="2"/>
  <c r="J99" i="2"/>
  <c r="L99" i="2"/>
  <c r="B64" i="2"/>
  <c r="C64" i="2"/>
  <c r="K97" i="2"/>
  <c r="B97" i="2"/>
  <c r="J97" i="2"/>
  <c r="L97" i="2"/>
  <c r="L125" i="2"/>
  <c r="B125" i="2"/>
  <c r="J125" i="2"/>
  <c r="K125" i="2"/>
  <c r="L29" i="2"/>
  <c r="B29" i="2"/>
  <c r="J29" i="2"/>
  <c r="K29" i="2"/>
  <c r="B28" i="2"/>
  <c r="C28" i="2"/>
  <c r="B165" i="2"/>
  <c r="C165" i="2"/>
  <c r="L67" i="2"/>
  <c r="B67" i="2"/>
  <c r="J67" i="2"/>
  <c r="K67" i="2"/>
  <c r="B153" i="2"/>
  <c r="C153" i="2"/>
  <c r="B26" i="2"/>
  <c r="C26" i="2"/>
  <c r="AD97" i="2"/>
  <c r="AD22" i="2"/>
  <c r="AD23" i="2"/>
  <c r="AD98" i="2"/>
  <c r="AD18" i="2"/>
  <c r="AD60" i="2"/>
  <c r="AD96" i="2"/>
  <c r="AD62" i="2"/>
  <c r="AD61" i="2"/>
  <c r="B30" i="2"/>
  <c r="M30" i="2"/>
  <c r="M15" i="2"/>
  <c r="AC15" i="2"/>
  <c r="AD24" i="2"/>
  <c r="C158" i="2"/>
  <c r="B158" i="2"/>
  <c r="B74" i="2"/>
  <c r="J74" i="2"/>
  <c r="L74" i="2"/>
</calcChain>
</file>

<file path=xl/sharedStrings.xml><?xml version="1.0" encoding="utf-8"?>
<sst xmlns="http://schemas.openxmlformats.org/spreadsheetml/2006/main" count="1825" uniqueCount="172">
  <si>
    <t>Nbrs Offres planifiées</t>
  </si>
  <si>
    <t>CA</t>
  </si>
  <si>
    <t>Marges</t>
  </si>
  <si>
    <t>670 offres budgétées en 2025 / 457 offres réalisées --&gt; 730 offres en 2026 (+10%)</t>
  </si>
  <si>
    <t>Retail</t>
  </si>
  <si>
    <t>REGENERANTS 1 - Premium</t>
  </si>
  <si>
    <t>Panachage 50 unités // Remise 15% pour BRI conso 10€ sur 4 produits : Sérum J/N, CDJR, CDJRI, sérum nuit RI (-10€ = prix plancher, à imprimer sur 1 SR sur le présentoir)</t>
  </si>
  <si>
    <t>Institut</t>
  </si>
  <si>
    <t>Tarif Retail</t>
  </si>
  <si>
    <t>Tarif Institut</t>
  </si>
  <si>
    <t>Autres</t>
  </si>
  <si>
    <t>Tous réseaux</t>
  </si>
  <si>
    <t>Additionnelle</t>
  </si>
  <si>
    <t>Ambassadeur</t>
  </si>
  <si>
    <t>Compagnon</t>
  </si>
  <si>
    <t>Challenger</t>
  </si>
  <si>
    <t>Partenaire</t>
  </si>
  <si>
    <t>Rose</t>
  </si>
  <si>
    <t>Prunelier</t>
  </si>
  <si>
    <t>Anthylide</t>
  </si>
  <si>
    <t>Calendula</t>
  </si>
  <si>
    <t>Bourrache</t>
  </si>
  <si>
    <t>Herbacée</t>
  </si>
  <si>
    <t>Total</t>
  </si>
  <si>
    <t>Pdt dans offre</t>
  </si>
  <si>
    <t>PA x Unit.</t>
  </si>
  <si>
    <t>Coûts Achats</t>
  </si>
  <si>
    <t>Tarif Rev.  x Unit.</t>
  </si>
  <si>
    <t>Tarif Rev.</t>
  </si>
  <si>
    <t>Remise Offres x Prod.</t>
  </si>
  <si>
    <t>Tarif Rev. Remisé</t>
  </si>
  <si>
    <r>
      <t xml:space="preserve">PPC </t>
    </r>
    <r>
      <rPr>
        <b/>
        <sz val="10"/>
        <color theme="4"/>
        <rFont val="Viacultura-Normal"/>
      </rPr>
      <t xml:space="preserve">Unitaire </t>
    </r>
    <r>
      <rPr>
        <b/>
        <sz val="10"/>
        <color rgb="FF354A5D"/>
        <rFont val="Viacultura-Normal"/>
      </rPr>
      <t>Indicatif</t>
    </r>
  </si>
  <si>
    <r>
      <t xml:space="preserve">PPC </t>
    </r>
    <r>
      <rPr>
        <b/>
        <sz val="10"/>
        <color theme="4"/>
        <rFont val="Viacultura-Normal"/>
      </rPr>
      <t xml:space="preserve">Unitaire </t>
    </r>
    <r>
      <rPr>
        <b/>
        <sz val="10"/>
        <color rgb="FF354A5D"/>
        <rFont val="Viacultura-Normal"/>
      </rPr>
      <t>Remisé</t>
    </r>
  </si>
  <si>
    <t>Montant BRI</t>
  </si>
  <si>
    <r>
      <t xml:space="preserve">PPC </t>
    </r>
    <r>
      <rPr>
        <b/>
        <sz val="10"/>
        <color theme="5"/>
        <rFont val="Viacultura-Normal"/>
      </rPr>
      <t>global</t>
    </r>
    <r>
      <rPr>
        <b/>
        <sz val="10"/>
        <color theme="4"/>
        <rFont val="Viacultura-Normal"/>
      </rPr>
      <t xml:space="preserve"> </t>
    </r>
    <r>
      <rPr>
        <b/>
        <sz val="10"/>
        <color rgb="FF354A5D"/>
        <rFont val="Viacultura-Normal"/>
      </rPr>
      <t>Indicatif</t>
    </r>
  </si>
  <si>
    <t>Remise Statut</t>
  </si>
  <si>
    <t>Marketing</t>
  </si>
  <si>
    <t>Commerce</t>
  </si>
  <si>
    <t>Diététiques</t>
  </si>
  <si>
    <t>Instituts</t>
  </si>
  <si>
    <t>Pharmacies</t>
  </si>
  <si>
    <t>Grands Magasins</t>
  </si>
  <si>
    <t>Pures Players</t>
  </si>
  <si>
    <t>Dont total GC</t>
  </si>
  <si>
    <t>Proj CA eshop</t>
  </si>
  <si>
    <t>Proj CA GC</t>
  </si>
  <si>
    <t>Total coûts</t>
  </si>
  <si>
    <t>BESOIN TOTAL POUR COMMANDE ALLEMAGNE</t>
  </si>
  <si>
    <t xml:space="preserve">MAJ le </t>
  </si>
  <si>
    <t>Code article</t>
  </si>
  <si>
    <t>Libellé article</t>
  </si>
  <si>
    <t>Code à barres (EAN)</t>
  </si>
  <si>
    <t>Typ. Prod</t>
  </si>
  <si>
    <t>'#</t>
  </si>
  <si>
    <t>'€</t>
  </si>
  <si>
    <t>&lt;</t>
  </si>
  <si>
    <t>Synthèse</t>
  </si>
  <si>
    <t>Réassort</t>
  </si>
  <si>
    <t>Eshop</t>
  </si>
  <si>
    <t>Opé Marketing / Communication</t>
  </si>
  <si>
    <t>Devis</t>
  </si>
  <si>
    <t>Formation</t>
  </si>
  <si>
    <t>Maison DRH</t>
  </si>
  <si>
    <t>Dotation Commerciaux</t>
  </si>
  <si>
    <t>Animation</t>
  </si>
  <si>
    <t>Cadeau Acheteur GC</t>
  </si>
  <si>
    <t>Biocoop</t>
  </si>
  <si>
    <t>Mlle Bio</t>
  </si>
  <si>
    <t>Pharm'O Naturel</t>
  </si>
  <si>
    <t>Anton &amp; Willem</t>
  </si>
  <si>
    <t>Elsie Santé</t>
  </si>
  <si>
    <t>Printemps &amp; Soprintours</t>
  </si>
  <si>
    <t>Samaritaine</t>
  </si>
  <si>
    <t>Galeries Lafayette</t>
  </si>
  <si>
    <t>Place des Tendances</t>
  </si>
  <si>
    <t>Nocibé</t>
  </si>
  <si>
    <t>Monoprix</t>
  </si>
  <si>
    <t>Nuoo</t>
  </si>
  <si>
    <t>Jolimoi</t>
  </si>
  <si>
    <t>La Belle Vie</t>
  </si>
  <si>
    <t>Easypara</t>
  </si>
  <si>
    <t>New Pharma</t>
  </si>
  <si>
    <t>My Origins</t>
  </si>
  <si>
    <t>Le Monde du Bio</t>
  </si>
  <si>
    <t>Onatera</t>
  </si>
  <si>
    <t>Boutique Nature</t>
  </si>
  <si>
    <t>CODE ARTICLE</t>
  </si>
  <si>
    <t>LIBELLE ARTICLE</t>
  </si>
  <si>
    <t>BESOIN</t>
  </si>
  <si>
    <t>COMMANDE VALIDÉE</t>
  </si>
  <si>
    <t>Produit Vente</t>
  </si>
  <si>
    <t>Prix Offre Moy. Remisé :</t>
  </si>
  <si>
    <t>Poids Gratuités achats :</t>
  </si>
  <si>
    <t>UG</t>
  </si>
  <si>
    <t>PLV</t>
  </si>
  <si>
    <t>Echantillon</t>
  </si>
  <si>
    <t>Testeur</t>
  </si>
  <si>
    <t>PANNEAU REGE</t>
  </si>
  <si>
    <t>PLV (vitrine)</t>
  </si>
  <si>
    <t>PRESENTOIR REGE</t>
  </si>
  <si>
    <t>PLV (PDC ou autre)</t>
  </si>
  <si>
    <t>BESOIN TOTAL POUR COMMANDE FRANCE</t>
  </si>
  <si>
    <t>MAJ le</t>
  </si>
  <si>
    <t>Marges €</t>
  </si>
  <si>
    <t>COMMANDE</t>
  </si>
  <si>
    <t>SR REGE RETAIL 1</t>
  </si>
  <si>
    <t>REGENERANTS 1 - Standard</t>
  </si>
  <si>
    <t>Panachage 24 unités // Remise 10% pour BRI conso 10€ sur 4 produits : Sérum J/N, CDJR, CDJRI, sérum nuit RI (-10€ = prix plancher, à imprimer sur 1 SR sur le présentoir)</t>
  </si>
  <si>
    <t>REGENERANTS 1 - Essentiel</t>
  </si>
  <si>
    <t>Panachage 12 unités // Remise 5% pour BRI conso 6€ sur 4 produits : Sérum J/N, CDJR, CDJRI, sérum nuit RI (-10€ = prix plancher)</t>
  </si>
  <si>
    <t>SR REGE RETAIL 2</t>
  </si>
  <si>
    <t>Panachage 50 unités // Mécanique sell-out : pour 2 régé achetés = 1 baume lacté 75 ml offert</t>
  </si>
  <si>
    <t>SR REGE INSTITUT</t>
  </si>
  <si>
    <t>Panachage 24 unités // Mécanique sell-out : pour 2 régé achetés = 1 baume lacté 75 ml offert</t>
  </si>
  <si>
    <t>Panachage 12 unités // Mécanique sell-out : pour 2 régé achetés = 1 baume lacté 75 ml offert</t>
  </si>
  <si>
    <t>REGENERANTS 1 - TG VIP Retail</t>
  </si>
  <si>
    <t>Panachage 90 unités // Remise 15% pour BRI conso 10€ sur 4 produits : Sérum J/N, CDJR, CDJRI, sérum nuit RI (-10€ = prix plancher, à imprimer sur 1 SR sur le présentoir)</t>
  </si>
  <si>
    <t>TG 3D</t>
  </si>
  <si>
    <t>Coût achat unitaire</t>
  </si>
  <si>
    <t>Coûts achats total</t>
  </si>
  <si>
    <t>Remise additionnelle</t>
  </si>
  <si>
    <t>Tarif revendeur unitaire</t>
  </si>
  <si>
    <t>Campagne répétée</t>
  </si>
  <si>
    <t>Oui/Non</t>
  </si>
  <si>
    <t>Si campagne répétée, entrez le nom</t>
  </si>
  <si>
    <t>Oui/non</t>
  </si>
  <si>
    <t>calcul mathématique</t>
  </si>
  <si>
    <t>RP/Comm/Opé</t>
  </si>
  <si>
    <t>PPC Remisé</t>
  </si>
  <si>
    <t>PPC</t>
  </si>
  <si>
    <t>BIOCOOP</t>
  </si>
  <si>
    <t>BIO</t>
  </si>
  <si>
    <t>Non-Alimentaire</t>
  </si>
  <si>
    <t>Qtités</t>
  </si>
  <si>
    <t>Printemps</t>
  </si>
  <si>
    <t>PURE PLAYERS</t>
  </si>
  <si>
    <t>Place des tendances</t>
  </si>
  <si>
    <t>Retail + Institut</t>
  </si>
  <si>
    <t>Remise</t>
  </si>
  <si>
    <t>Données sur Odoo</t>
  </si>
  <si>
    <t>Augmentation du % d'offres par palier vs N-1</t>
  </si>
  <si>
    <t>Je veux entrer moi-même les paliers et les articles</t>
  </si>
  <si>
    <t>Nombre d'offres</t>
  </si>
  <si>
    <t>Modifier la data comme on le souhaite une fois que c'est pré-rempli</t>
  </si>
  <si>
    <t>Nombre de produits</t>
  </si>
  <si>
    <t>REGENERANTS 3 - Essentiel</t>
  </si>
  <si>
    <t>Besoins logistiques</t>
  </si>
  <si>
    <t>GC</t>
  </si>
  <si>
    <t>ESHOP</t>
  </si>
  <si>
    <t>Date de démarrage campagne</t>
  </si>
  <si>
    <t>Date de fin de campagne</t>
  </si>
  <si>
    <t>Si campagne répétée, je veux une recommandation du nombre d'offre par palier et par statut client (hors grands comptes), de quantités de produits et le mix produits par palier</t>
  </si>
  <si>
    <t>Je veux modifier la liste des produits par palier</t>
  </si>
  <si>
    <t>Je veux ajouter un palier supplémentaire</t>
  </si>
  <si>
    <t>GRANDS COMPTES</t>
  </si>
  <si>
    <t>Nb Offres</t>
  </si>
  <si>
    <t>% Offres</t>
  </si>
  <si>
    <t>INSTITUT</t>
  </si>
  <si>
    <t>RETAIL</t>
  </si>
  <si>
    <t>REGENERANTS 2 - Standard</t>
  </si>
  <si>
    <t>Panachage 12 unités // 5% de remise</t>
  </si>
  <si>
    <t>NewPharma</t>
  </si>
  <si>
    <t>à compléter automatiquement en fonction de la reco Claude (ou manuellement)</t>
  </si>
  <si>
    <t>Un fichier de synthèse avec toutes les campagnes (Ca total; phasing du CA par mois et besoins produits par mois)</t>
  </si>
  <si>
    <t>Qtités totale</t>
  </si>
  <si>
    <t>Livraison M1</t>
  </si>
  <si>
    <t>Livraison M2</t>
  </si>
  <si>
    <t>Livraison M3</t>
  </si>
  <si>
    <t>M1 = Mois avant le début de la campagne</t>
  </si>
  <si>
    <t>M2 =Mois de la campagne</t>
  </si>
  <si>
    <t>M3= 2 mois après le début de la campagne</t>
  </si>
  <si>
    <t>remplissage 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</si>
</sst>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&quot; - &quot;"/>
    <numFmt numFmtId="165" formatCode="0.0%"/>
    <numFmt numFmtId="166" formatCode="#,##0.0;\(#,##0.0\);&quot; - &quot;"/>
    <numFmt numFmtId="167" formatCode="#,##0.0%;\(#,##0.0\)%;&quot; - &quot;"/>
    <numFmt numFmtId="168" formatCode="#,##0.00;\(#,##0.00\);&quot; - &quot;"/>
    <numFmt numFmtId="169" formatCode="#,##0.0_);\(#,##0.0\)"/>
    <numFmt numFmtId="170" formatCode="#,##0.000;\(#,##0.000\);&quot; - &quot;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54A5D"/>
      <name val="Viacultura-Normal"/>
    </font>
    <font>
      <b/>
      <sz val="10"/>
      <color rgb="FFA6A6A6"/>
      <name val="Viacultura-Normal"/>
    </font>
    <font>
      <b/>
      <sz val="10"/>
      <color rgb="FF354A5D"/>
      <name val="Viacultura-Normal"/>
    </font>
    <font>
      <b/>
      <sz val="10"/>
      <color theme="0"/>
      <name val="Viacultura-Normal"/>
    </font>
    <font>
      <sz val="10"/>
      <color theme="0"/>
      <name val="Viacultura-Normal"/>
    </font>
    <font>
      <b/>
      <sz val="10"/>
      <color theme="7"/>
      <name val="Viacultura-Normal"/>
    </font>
    <font>
      <b/>
      <sz val="10"/>
      <color theme="8"/>
      <name val="Viacultura-Normal"/>
    </font>
    <font>
      <b/>
      <sz val="10"/>
      <color theme="6"/>
      <name val="Viacultura-Normal"/>
    </font>
    <font>
      <b/>
      <sz val="10"/>
      <color rgb="FFC00000"/>
      <name val="Viacultura-Normal"/>
    </font>
    <font>
      <b/>
      <sz val="10"/>
      <color theme="4"/>
      <name val="Viacultura-Normal"/>
    </font>
    <font>
      <b/>
      <sz val="10"/>
      <color theme="5"/>
      <name val="Viacultura-Normal"/>
    </font>
    <font>
      <sz val="10"/>
      <name val="Agfa Rotis Semisans"/>
      <family val="2"/>
    </font>
    <font>
      <b/>
      <sz val="10"/>
      <color theme="3"/>
      <name val="Viacultura-Normal"/>
    </font>
    <font>
      <sz val="12"/>
      <color rgb="FF354A5D"/>
      <name val="Viacultura-Normal"/>
    </font>
    <font>
      <b/>
      <i/>
      <sz val="10"/>
      <color rgb="FF354A5D"/>
      <name val="Viacultura-Normal"/>
    </font>
    <font>
      <b/>
      <sz val="11"/>
      <color rgb="FF354A5D"/>
      <name val="Viacultura-Normal"/>
    </font>
    <font>
      <sz val="10"/>
      <color rgb="FF00B050"/>
      <name val="Viacultura-Normal"/>
    </font>
    <font>
      <i/>
      <sz val="10"/>
      <color rgb="FF354A5D"/>
      <name val="Viacultura-Normal"/>
    </font>
    <font>
      <i/>
      <sz val="10"/>
      <color theme="0" tint="-0.249977111117893"/>
      <name val="Viacultura-Normal"/>
    </font>
    <font>
      <sz val="10"/>
      <color theme="1"/>
      <name val="Viacultura-Normal"/>
    </font>
    <font>
      <sz val="11"/>
      <color theme="1"/>
      <name val="Viacultura-Normal"/>
    </font>
    <font>
      <sz val="11"/>
      <color theme="9" tint="-0.249977111117893"/>
      <name val="Viacultura-Normal"/>
    </font>
    <font>
      <sz val="10"/>
      <color theme="9" tint="-0.249977111117893"/>
      <name val="Viacultura-Normal"/>
    </font>
    <font>
      <b/>
      <i/>
      <sz val="10"/>
      <color theme="0" tint="-0.249977111117893"/>
      <name val="Viacultura-Normal"/>
    </font>
    <font>
      <b/>
      <sz val="10"/>
      <name val="Viacultura-Normal"/>
    </font>
  </fonts>
  <fills count="2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D9E1"/>
        <bgColor indexed="64"/>
      </patternFill>
    </fill>
    <fill>
      <patternFill patternType="solid">
        <fgColor rgb="FFCAF6DB"/>
        <bgColor indexed="64"/>
      </patternFill>
    </fill>
    <fill>
      <patternFill patternType="solid">
        <fgColor rgb="FFFFEBD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838CF"/>
        <bgColor indexed="64"/>
      </patternFill>
    </fill>
    <fill>
      <patternFill patternType="solid">
        <fgColor rgb="FF7B39E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2A2E8"/>
        <bgColor indexed="64"/>
      </patternFill>
    </fill>
    <fill>
      <patternFill patternType="solid">
        <fgColor rgb="FF0070C0"/>
        <bgColor indexed="64"/>
      </patternFill>
    </fill>
  </fills>
  <borders count="8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354A5D"/>
      </bottom>
      <diagonal/>
    </border>
    <border>
      <left style="thin">
        <color rgb="FFC43E67"/>
      </left>
      <right/>
      <top style="thin">
        <color rgb="FFC43E67"/>
      </top>
      <bottom/>
      <diagonal/>
    </border>
    <border>
      <left/>
      <right/>
      <top style="thin">
        <color rgb="FFC43E67"/>
      </top>
      <bottom/>
      <diagonal/>
    </border>
    <border>
      <left/>
      <right style="thin">
        <color rgb="FFC43E67"/>
      </right>
      <top style="thin">
        <color rgb="FFC43E67"/>
      </top>
      <bottom/>
      <diagonal/>
    </border>
    <border>
      <left style="thin">
        <color rgb="FFC43E67"/>
      </left>
      <right/>
      <top/>
      <bottom/>
      <diagonal/>
    </border>
    <border>
      <left/>
      <right style="thin">
        <color rgb="FFC43E67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3"/>
      </bottom>
      <diagonal/>
    </border>
    <border>
      <left style="hair">
        <color rgb="FF354A5D"/>
      </left>
      <right style="hair">
        <color rgb="FF354A5D"/>
      </right>
      <top style="hair">
        <color rgb="FF354A5D"/>
      </top>
      <bottom style="hair">
        <color rgb="FF354A5D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hair">
        <color theme="3"/>
      </left>
      <right style="thin">
        <color theme="3"/>
      </right>
      <top style="hair">
        <color theme="3"/>
      </top>
      <bottom style="hair">
        <color theme="3"/>
      </bottom>
      <diagonal/>
    </border>
    <border>
      <left style="thin">
        <color indexed="64"/>
      </left>
      <right style="thin">
        <color indexed="64"/>
      </right>
      <top style="hair">
        <color theme="3"/>
      </top>
      <bottom style="hair">
        <color theme="3"/>
      </bottom>
      <diagonal/>
    </border>
    <border>
      <left style="thin">
        <color theme="3"/>
      </left>
      <right style="thin">
        <color theme="3"/>
      </right>
      <top style="hair">
        <color theme="3"/>
      </top>
      <bottom style="hair">
        <color theme="3"/>
      </bottom>
      <diagonal/>
    </border>
    <border>
      <left/>
      <right style="hair">
        <color theme="3"/>
      </right>
      <top style="hair">
        <color theme="3"/>
      </top>
      <bottom style="hair">
        <color theme="3"/>
      </bottom>
      <diagonal/>
    </border>
    <border>
      <left style="hair">
        <color theme="3"/>
      </left>
      <right style="thin">
        <color indexed="64"/>
      </right>
      <top style="hair">
        <color theme="3"/>
      </top>
      <bottom style="hair">
        <color theme="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hair">
        <color theme="3"/>
      </left>
      <right style="hair">
        <color theme="3"/>
      </right>
      <top style="hair">
        <color theme="3"/>
      </top>
      <bottom/>
      <diagonal/>
    </border>
    <border>
      <left style="thin">
        <color theme="3"/>
      </left>
      <right style="thin">
        <color theme="3"/>
      </right>
      <top style="hair">
        <color theme="3"/>
      </top>
      <bottom/>
      <diagonal/>
    </border>
    <border>
      <left style="thin">
        <color theme="3"/>
      </left>
      <right style="hair">
        <color theme="3"/>
      </right>
      <top style="hair">
        <color theme="3"/>
      </top>
      <bottom/>
      <diagonal/>
    </border>
    <border>
      <left style="hair">
        <color theme="3"/>
      </left>
      <right style="thin">
        <color theme="3"/>
      </right>
      <top style="hair">
        <color theme="3"/>
      </top>
      <bottom/>
      <diagonal/>
    </border>
    <border>
      <left style="hair">
        <color theme="3"/>
      </left>
      <right style="thin">
        <color theme="3"/>
      </right>
      <top/>
      <bottom style="hair">
        <color theme="3"/>
      </bottom>
      <diagonal/>
    </border>
    <border>
      <left style="thin">
        <color indexed="64"/>
      </left>
      <right style="thin">
        <color indexed="64"/>
      </right>
      <top style="hair">
        <color theme="3"/>
      </top>
      <bottom/>
      <diagonal/>
    </border>
    <border>
      <left style="hair">
        <color theme="3"/>
      </left>
      <right style="thin">
        <color indexed="64"/>
      </right>
      <top style="hair">
        <color theme="3"/>
      </top>
      <bottom/>
      <diagonal/>
    </border>
    <border>
      <left/>
      <right style="hair">
        <color theme="3"/>
      </right>
      <top style="hair">
        <color theme="3"/>
      </top>
      <bottom/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theme="3"/>
      </left>
      <right style="hair">
        <color theme="3"/>
      </right>
      <top/>
      <bottom style="hair">
        <color theme="3"/>
      </bottom>
      <diagonal/>
    </border>
    <border>
      <left style="hair">
        <color theme="3"/>
      </left>
      <right style="hair">
        <color theme="3"/>
      </right>
      <top/>
      <bottom style="hair">
        <color theme="3"/>
      </bottom>
      <diagonal/>
    </border>
    <border>
      <left style="hair">
        <color theme="3"/>
      </left>
      <right style="thin">
        <color indexed="64"/>
      </right>
      <top/>
      <bottom style="hair">
        <color theme="3"/>
      </bottom>
      <diagonal/>
    </border>
    <border>
      <left/>
      <right style="hair">
        <color theme="3"/>
      </right>
      <top/>
      <bottom style="hair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3"/>
      </left>
      <right/>
      <top style="hair">
        <color theme="3"/>
      </top>
      <bottom style="hair">
        <color theme="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354A5D"/>
      </bottom>
      <diagonal/>
    </border>
    <border>
      <left/>
      <right style="medium">
        <color indexed="64"/>
      </right>
      <top/>
      <bottom style="medium">
        <color rgb="FF354A5D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theme="3"/>
      </left>
      <right/>
      <top style="hair">
        <color theme="3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theme="3"/>
      </right>
      <top style="hair">
        <color theme="3"/>
      </top>
      <bottom style="medium">
        <color indexed="64"/>
      </bottom>
      <diagonal/>
    </border>
    <border>
      <left style="medium">
        <color indexed="64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medium">
        <color indexed="64"/>
      </left>
      <right style="hair">
        <color theme="3"/>
      </right>
      <top style="hair">
        <color theme="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4" fillId="0" borderId="0"/>
  </cellStyleXfs>
  <cellXfs count="33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1" fontId="3" fillId="0" borderId="0" xfId="0" applyNumberFormat="1" applyFont="1"/>
    <xf numFmtId="0" fontId="3" fillId="0" borderId="0" xfId="0" applyFont="1" applyProtection="1">
      <protection locked="0"/>
    </xf>
    <xf numFmtId="1" fontId="3" fillId="2" borderId="0" xfId="0" applyNumberFormat="1" applyFont="1" applyFill="1"/>
    <xf numFmtId="1" fontId="3" fillId="3" borderId="0" xfId="0" applyNumberFormat="1" applyFon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3" fillId="3" borderId="0" xfId="0" applyFont="1" applyFill="1" applyProtection="1">
      <protection locked="0"/>
    </xf>
    <xf numFmtId="0" fontId="4" fillId="4" borderId="1" xfId="0" applyFont="1" applyFill="1" applyBorder="1" applyAlignment="1">
      <alignment horizontal="left" indent="1"/>
    </xf>
    <xf numFmtId="0" fontId="3" fillId="3" borderId="0" xfId="0" applyFont="1" applyFill="1" applyAlignment="1">
      <alignment horizontal="center"/>
    </xf>
    <xf numFmtId="0" fontId="5" fillId="4" borderId="2" xfId="0" applyFont="1" applyFill="1" applyBorder="1" applyAlignment="1">
      <alignment horizontal="left" indent="1"/>
    </xf>
    <xf numFmtId="164" fontId="3" fillId="3" borderId="0" xfId="0" applyNumberFormat="1" applyFont="1" applyFill="1"/>
    <xf numFmtId="0" fontId="2" fillId="4" borderId="3" xfId="2" applyFill="1" applyBorder="1" applyAlignment="1">
      <alignment horizontal="left" indent="1"/>
    </xf>
    <xf numFmtId="0" fontId="3" fillId="3" borderId="4" xfId="0" applyFont="1" applyFill="1" applyBorder="1"/>
    <xf numFmtId="0" fontId="3" fillId="3" borderId="4" xfId="0" applyFont="1" applyFill="1" applyBorder="1" applyAlignment="1">
      <alignment horizontal="right"/>
    </xf>
    <xf numFmtId="1" fontId="3" fillId="3" borderId="4" xfId="0" applyNumberFormat="1" applyFont="1" applyFill="1" applyBorder="1"/>
    <xf numFmtId="0" fontId="3" fillId="3" borderId="4" xfId="0" applyFont="1" applyFill="1" applyBorder="1" applyProtection="1">
      <protection locked="0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0" fontId="6" fillId="5" borderId="0" xfId="0" applyFont="1" applyFill="1" applyAlignment="1">
      <alignment horizontal="left" indent="2"/>
    </xf>
    <xf numFmtId="0" fontId="3" fillId="5" borderId="0" xfId="0" applyFont="1" applyFill="1"/>
    <xf numFmtId="0" fontId="3" fillId="5" borderId="0" xfId="0" applyFont="1" applyFill="1" applyAlignment="1">
      <alignment horizontal="right"/>
    </xf>
    <xf numFmtId="0" fontId="7" fillId="5" borderId="0" xfId="0" applyFont="1" applyFill="1"/>
    <xf numFmtId="9" fontId="3" fillId="0" borderId="0" xfId="1" applyFont="1"/>
    <xf numFmtId="0" fontId="3" fillId="4" borderId="5" xfId="0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0" fontId="6" fillId="6" borderId="0" xfId="0" applyFont="1" applyFill="1" applyAlignment="1">
      <alignment horizontal="centerContinuous" vertical="center"/>
    </xf>
    <xf numFmtId="0" fontId="6" fillId="7" borderId="0" xfId="0" applyFont="1" applyFill="1" applyAlignment="1">
      <alignment horizontal="centerContinuous" vertical="center"/>
    </xf>
    <xf numFmtId="0" fontId="6" fillId="8" borderId="0" xfId="0" applyFont="1" applyFill="1" applyAlignment="1">
      <alignment horizontal="centerContinuous" vertical="center"/>
    </xf>
    <xf numFmtId="0" fontId="3" fillId="4" borderId="8" xfId="0" applyFont="1" applyFill="1" applyBorder="1"/>
    <xf numFmtId="0" fontId="6" fillId="9" borderId="0" xfId="0" applyFont="1" applyFill="1" applyAlignment="1">
      <alignment horizontal="centerContinuous" vertical="center"/>
    </xf>
    <xf numFmtId="0" fontId="3" fillId="4" borderId="9" xfId="0" applyFont="1" applyFill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4" borderId="0" xfId="0" applyFont="1" applyFill="1"/>
    <xf numFmtId="0" fontId="3" fillId="0" borderId="13" xfId="0" applyFont="1" applyBorder="1"/>
    <xf numFmtId="0" fontId="3" fillId="0" borderId="14" xfId="0" applyFont="1" applyBorder="1"/>
    <xf numFmtId="0" fontId="8" fillId="10" borderId="0" xfId="0" applyFont="1" applyFill="1" applyAlignment="1">
      <alignment horizontal="centerContinuous" vertical="center"/>
    </xf>
    <xf numFmtId="0" fontId="9" fillId="11" borderId="0" xfId="0" applyFont="1" applyFill="1" applyAlignment="1">
      <alignment horizontal="centerContinuous" vertical="center"/>
    </xf>
    <xf numFmtId="0" fontId="10" fillId="12" borderId="0" xfId="0" applyFont="1" applyFill="1" applyAlignment="1">
      <alignment horizontal="centerContinuous" vertical="center"/>
    </xf>
    <xf numFmtId="0" fontId="11" fillId="13" borderId="0" xfId="0" applyFont="1" applyFill="1" applyAlignment="1">
      <alignment horizontal="centerContinuous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5" fillId="0" borderId="0" xfId="0" applyFont="1" applyAlignment="1">
      <alignment horizontal="center" wrapText="1"/>
    </xf>
    <xf numFmtId="0" fontId="3" fillId="4" borderId="8" xfId="0" applyFont="1" applyFill="1" applyBorder="1" applyAlignment="1">
      <alignment wrapText="1"/>
    </xf>
    <xf numFmtId="0" fontId="5" fillId="4" borderId="0" xfId="0" applyFont="1" applyFill="1" applyAlignment="1">
      <alignment horizontal="center" wrapText="1"/>
    </xf>
    <xf numFmtId="0" fontId="3" fillId="4" borderId="9" xfId="0" applyFont="1" applyFill="1" applyBorder="1" applyAlignment="1">
      <alignment wrapText="1"/>
    </xf>
    <xf numFmtId="1" fontId="3" fillId="0" borderId="0" xfId="0" applyNumberFormat="1" applyFont="1" applyAlignment="1">
      <alignment wrapText="1"/>
    </xf>
    <xf numFmtId="0" fontId="15" fillId="14" borderId="0" xfId="3" applyFont="1" applyFill="1" applyAlignment="1">
      <alignment vertical="top"/>
    </xf>
    <xf numFmtId="0" fontId="15" fillId="15" borderId="0" xfId="3" applyFont="1" applyFill="1" applyAlignment="1" applyProtection="1">
      <alignment horizontal="center" vertical="center"/>
      <protection locked="0"/>
    </xf>
    <xf numFmtId="0" fontId="15" fillId="10" borderId="0" xfId="3" applyFont="1" applyFill="1" applyAlignment="1" applyProtection="1">
      <alignment horizontal="center" vertical="center"/>
      <protection locked="0"/>
    </xf>
    <xf numFmtId="0" fontId="15" fillId="18" borderId="0" xfId="3" applyFont="1" applyFill="1" applyAlignment="1" applyProtection="1">
      <alignment horizontal="center" vertical="center"/>
      <protection locked="0"/>
    </xf>
    <xf numFmtId="0" fontId="3" fillId="0" borderId="13" xfId="0" applyFont="1" applyBorder="1" applyAlignment="1">
      <alignment wrapText="1"/>
    </xf>
    <xf numFmtId="0" fontId="16" fillId="12" borderId="15" xfId="0" applyFont="1" applyFill="1" applyBorder="1" applyAlignment="1">
      <alignment horizontal="center" wrapText="1"/>
    </xf>
    <xf numFmtId="0" fontId="3" fillId="0" borderId="14" xfId="0" applyFont="1" applyBorder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quotePrefix="1" applyFont="1" applyBorder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5" fillId="4" borderId="4" xfId="0" quotePrefix="1" applyFont="1" applyFill="1" applyBorder="1" applyAlignment="1">
      <alignment horizontal="center" vertical="center" wrapText="1"/>
    </xf>
    <xf numFmtId="0" fontId="5" fillId="0" borderId="0" xfId="0" applyFont="1"/>
    <xf numFmtId="0" fontId="5" fillId="12" borderId="16" xfId="0" applyFont="1" applyFill="1" applyBorder="1"/>
    <xf numFmtId="0" fontId="5" fillId="12" borderId="16" xfId="0" applyFont="1" applyFill="1" applyBorder="1" applyAlignment="1">
      <alignment horizontal="right"/>
    </xf>
    <xf numFmtId="164" fontId="5" fillId="12" borderId="16" xfId="0" applyNumberFormat="1" applyFont="1" applyFill="1" applyBorder="1" applyAlignment="1">
      <alignment horizontal="right" vertical="center"/>
    </xf>
    <xf numFmtId="166" fontId="5" fillId="12" borderId="16" xfId="0" applyNumberFormat="1" applyFont="1" applyFill="1" applyBorder="1" applyAlignment="1">
      <alignment horizontal="right" vertical="center"/>
    </xf>
    <xf numFmtId="167" fontId="17" fillId="12" borderId="16" xfId="0" applyNumberFormat="1" applyFont="1" applyFill="1" applyBorder="1" applyAlignment="1">
      <alignment horizontal="right" vertical="center"/>
    </xf>
    <xf numFmtId="166" fontId="5" fillId="12" borderId="0" xfId="0" applyNumberFormat="1" applyFont="1" applyFill="1" applyAlignment="1">
      <alignment horizontal="right" vertical="center"/>
    </xf>
    <xf numFmtId="164" fontId="5" fillId="2" borderId="16" xfId="0" applyNumberFormat="1" applyFont="1" applyFill="1" applyBorder="1" applyAlignment="1">
      <alignment horizontal="right" vertical="center"/>
    </xf>
    <xf numFmtId="9" fontId="5" fillId="12" borderId="16" xfId="0" applyNumberFormat="1" applyFont="1" applyFill="1" applyBorder="1"/>
    <xf numFmtId="0" fontId="5" fillId="4" borderId="8" xfId="0" applyFont="1" applyFill="1" applyBorder="1"/>
    <xf numFmtId="167" fontId="17" fillId="4" borderId="16" xfId="0" applyNumberFormat="1" applyFont="1" applyFill="1" applyBorder="1" applyAlignment="1">
      <alignment horizontal="right" vertical="center"/>
    </xf>
    <xf numFmtId="0" fontId="5" fillId="4" borderId="9" xfId="0" applyFont="1" applyFill="1" applyBorder="1"/>
    <xf numFmtId="1" fontId="5" fillId="0" borderId="0" xfId="0" applyNumberFormat="1" applyFont="1"/>
    <xf numFmtId="166" fontId="3" fillId="0" borderId="0" xfId="0" applyNumberFormat="1" applyFont="1" applyAlignment="1">
      <alignment horizontal="right" vertical="center"/>
    </xf>
    <xf numFmtId="0" fontId="5" fillId="0" borderId="17" xfId="0" applyFont="1" applyBorder="1" applyAlignment="1">
      <alignment horizontal="center" wrapText="1"/>
    </xf>
    <xf numFmtId="0" fontId="5" fillId="0" borderId="17" xfId="0" applyFont="1" applyBorder="1" applyAlignment="1" applyProtection="1">
      <alignment horizontal="center" wrapText="1"/>
      <protection locked="0"/>
    </xf>
    <xf numFmtId="0" fontId="5" fillId="0" borderId="13" xfId="0" applyFont="1" applyBorder="1"/>
    <xf numFmtId="0" fontId="18" fillId="0" borderId="0" xfId="0" applyFont="1" applyAlignment="1">
      <alignment horizontal="center"/>
    </xf>
    <xf numFmtId="0" fontId="5" fillId="0" borderId="14" xfId="0" applyFont="1" applyBorder="1"/>
    <xf numFmtId="0" fontId="19" fillId="0" borderId="0" xfId="0" applyFont="1"/>
    <xf numFmtId="0" fontId="3" fillId="2" borderId="0" xfId="0" applyFont="1" applyFill="1"/>
    <xf numFmtId="0" fontId="3" fillId="2" borderId="18" xfId="0" applyFont="1" applyFill="1" applyBorder="1" applyAlignment="1">
      <alignment horizontal="left"/>
    </xf>
    <xf numFmtId="0" fontId="3" fillId="0" borderId="0" xfId="0" applyFont="1" applyAlignment="1">
      <alignment horizontal="left" indent="1"/>
    </xf>
    <xf numFmtId="1" fontId="3" fillId="0" borderId="0" xfId="0" applyNumberFormat="1" applyFont="1" applyAlignment="1">
      <alignment horizontal="right" vertical="center"/>
    </xf>
    <xf numFmtId="164" fontId="3" fillId="2" borderId="19" xfId="0" applyNumberFormat="1" applyFont="1" applyFill="1" applyBorder="1" applyAlignment="1">
      <alignment horizontal="center" vertical="center"/>
    </xf>
    <xf numFmtId="166" fontId="3" fillId="2" borderId="19" xfId="0" applyNumberFormat="1" applyFont="1" applyFill="1" applyBorder="1" applyAlignment="1">
      <alignment horizontal="right" vertical="center"/>
    </xf>
    <xf numFmtId="168" fontId="3" fillId="0" borderId="19" xfId="0" applyNumberFormat="1" applyFont="1" applyBorder="1" applyAlignment="1">
      <alignment horizontal="right" vertical="center"/>
    </xf>
    <xf numFmtId="168" fontId="3" fillId="0" borderId="0" xfId="0" applyNumberFormat="1" applyFont="1"/>
    <xf numFmtId="167" fontId="20" fillId="2" borderId="19" xfId="0" applyNumberFormat="1" applyFont="1" applyFill="1" applyBorder="1" applyAlignment="1">
      <alignment horizontal="right" vertical="center"/>
    </xf>
    <xf numFmtId="168" fontId="3" fillId="0" borderId="0" xfId="0" applyNumberFormat="1" applyFont="1" applyAlignment="1">
      <alignment horizontal="right" vertical="center"/>
    </xf>
    <xf numFmtId="9" fontId="7" fillId="0" borderId="0" xfId="0" applyNumberFormat="1" applyFont="1"/>
    <xf numFmtId="0" fontId="3" fillId="12" borderId="20" xfId="0" applyFont="1" applyFill="1" applyBorder="1"/>
    <xf numFmtId="9" fontId="7" fillId="12" borderId="0" xfId="0" applyNumberFormat="1" applyFont="1" applyFill="1"/>
    <xf numFmtId="0" fontId="3" fillId="12" borderId="0" xfId="0" applyFont="1" applyFill="1"/>
    <xf numFmtId="0" fontId="3" fillId="12" borderId="21" xfId="0" applyFont="1" applyFill="1" applyBorder="1"/>
    <xf numFmtId="1" fontId="21" fillId="0" borderId="0" xfId="0" applyNumberFormat="1" applyFont="1"/>
    <xf numFmtId="164" fontId="3" fillId="2" borderId="22" xfId="0" applyNumberFormat="1" applyFont="1" applyFill="1" applyBorder="1" applyAlignment="1">
      <alignment horizontal="right" vertical="center"/>
    </xf>
    <xf numFmtId="164" fontId="3" fillId="2" borderId="19" xfId="0" applyNumberFormat="1" applyFont="1" applyFill="1" applyBorder="1" applyAlignment="1">
      <alignment horizontal="right" vertical="center"/>
    </xf>
    <xf numFmtId="164" fontId="3" fillId="2" borderId="23" xfId="0" applyNumberFormat="1" applyFont="1" applyFill="1" applyBorder="1" applyAlignment="1">
      <alignment horizontal="right" vertical="center"/>
    </xf>
    <xf numFmtId="164" fontId="3" fillId="2" borderId="24" xfId="0" applyNumberFormat="1" applyFont="1" applyFill="1" applyBorder="1" applyAlignment="1">
      <alignment horizontal="right" vertical="center"/>
    </xf>
    <xf numFmtId="164" fontId="3" fillId="2" borderId="19" xfId="0" applyNumberFormat="1" applyFont="1" applyFill="1" applyBorder="1" applyAlignment="1" applyProtection="1">
      <alignment horizontal="right" vertical="center"/>
      <protection locked="0"/>
    </xf>
    <xf numFmtId="164" fontId="3" fillId="2" borderId="25" xfId="0" applyNumberFormat="1" applyFont="1" applyFill="1" applyBorder="1" applyAlignment="1" applyProtection="1">
      <alignment horizontal="right" vertical="center"/>
      <protection locked="0"/>
    </xf>
    <xf numFmtId="164" fontId="3" fillId="2" borderId="26" xfId="0" applyNumberFormat="1" applyFont="1" applyFill="1" applyBorder="1" applyAlignment="1" applyProtection="1">
      <alignment horizontal="right" vertical="center"/>
      <protection locked="0"/>
    </xf>
    <xf numFmtId="164" fontId="3" fillId="2" borderId="27" xfId="0" applyNumberFormat="1" applyFont="1" applyFill="1" applyBorder="1" applyAlignment="1" applyProtection="1">
      <alignment horizontal="right" vertical="center"/>
      <protection locked="0"/>
    </xf>
    <xf numFmtId="164" fontId="3" fillId="2" borderId="22" xfId="0" applyNumberFormat="1" applyFont="1" applyFill="1" applyBorder="1" applyAlignment="1" applyProtection="1">
      <alignment horizontal="right" vertical="center"/>
      <protection locked="0"/>
    </xf>
    <xf numFmtId="164" fontId="3" fillId="2" borderId="23" xfId="0" applyNumberFormat="1" applyFont="1" applyFill="1" applyBorder="1" applyAlignment="1" applyProtection="1">
      <alignment horizontal="right" vertical="center"/>
      <protection locked="0"/>
    </xf>
    <xf numFmtId="164" fontId="22" fillId="2" borderId="19" xfId="0" applyNumberFormat="1" applyFont="1" applyFill="1" applyBorder="1" applyAlignment="1">
      <alignment horizontal="left" vertical="center"/>
    </xf>
    <xf numFmtId="0" fontId="22" fillId="0" borderId="0" xfId="0" applyFont="1"/>
    <xf numFmtId="0" fontId="23" fillId="0" borderId="0" xfId="0" applyFont="1"/>
    <xf numFmtId="0" fontId="24" fillId="0" borderId="0" xfId="0" applyFont="1"/>
    <xf numFmtId="9" fontId="15" fillId="19" borderId="28" xfId="0" applyNumberFormat="1" applyFont="1" applyFill="1" applyBorder="1"/>
    <xf numFmtId="9" fontId="15" fillId="19" borderId="29" xfId="0" applyNumberFormat="1" applyFont="1" applyFill="1" applyBorder="1" applyAlignment="1">
      <alignment horizontal="right" indent="1"/>
    </xf>
    <xf numFmtId="166" fontId="5" fillId="15" borderId="30" xfId="0" applyNumberFormat="1" applyFont="1" applyFill="1" applyBorder="1" applyAlignment="1">
      <alignment horizontal="center" vertical="center"/>
    </xf>
    <xf numFmtId="169" fontId="3" fillId="0" borderId="0" xfId="0" applyNumberFormat="1" applyFont="1"/>
    <xf numFmtId="167" fontId="17" fillId="15" borderId="30" xfId="0" applyNumberFormat="1" applyFont="1" applyFill="1" applyBorder="1" applyAlignment="1">
      <alignment horizontal="center" vertical="center"/>
    </xf>
    <xf numFmtId="0" fontId="25" fillId="0" borderId="0" xfId="0" applyFont="1"/>
    <xf numFmtId="165" fontId="20" fillId="12" borderId="0" xfId="1" applyNumberFormat="1" applyFont="1" applyFill="1"/>
    <xf numFmtId="0" fontId="3" fillId="0" borderId="31" xfId="0" applyFont="1" applyBorder="1"/>
    <xf numFmtId="0" fontId="24" fillId="0" borderId="32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/>
    <xf numFmtId="0" fontId="5" fillId="12" borderId="0" xfId="0" applyFont="1" applyFill="1"/>
    <xf numFmtId="0" fontId="3" fillId="0" borderId="37" xfId="0" applyFont="1" applyBorder="1"/>
    <xf numFmtId="0" fontId="3" fillId="0" borderId="38" xfId="0" applyFont="1" applyBorder="1"/>
    <xf numFmtId="166" fontId="3" fillId="0" borderId="19" xfId="0" applyNumberFormat="1" applyFont="1" applyBorder="1" applyAlignment="1">
      <alignment horizontal="right" vertical="center"/>
    </xf>
    <xf numFmtId="166" fontId="3" fillId="0" borderId="0" xfId="0" applyNumberFormat="1" applyFont="1"/>
    <xf numFmtId="164" fontId="3" fillId="12" borderId="0" xfId="0" applyNumberFormat="1" applyFont="1" applyFill="1"/>
    <xf numFmtId="164" fontId="3" fillId="12" borderId="0" xfId="0" applyNumberFormat="1" applyFont="1" applyFill="1" applyAlignment="1">
      <alignment horizontal="right" vertical="center"/>
    </xf>
    <xf numFmtId="165" fontId="3" fillId="12" borderId="0" xfId="1" applyNumberFormat="1" applyFont="1" applyFill="1"/>
    <xf numFmtId="164" fontId="3" fillId="2" borderId="39" xfId="0" applyNumberFormat="1" applyFont="1" applyFill="1" applyBorder="1" applyAlignment="1" applyProtection="1">
      <alignment horizontal="right" vertical="center"/>
      <protection locked="0"/>
    </xf>
    <xf numFmtId="164" fontId="3" fillId="2" borderId="40" xfId="0" applyNumberFormat="1" applyFont="1" applyFill="1" applyBorder="1" applyAlignment="1" applyProtection="1">
      <alignment horizontal="right" vertical="center"/>
      <protection locked="0"/>
    </xf>
    <xf numFmtId="164" fontId="3" fillId="2" borderId="41" xfId="0" applyNumberFormat="1" applyFont="1" applyFill="1" applyBorder="1" applyAlignment="1" applyProtection="1">
      <alignment horizontal="right" vertical="center"/>
      <protection locked="0"/>
    </xf>
    <xf numFmtId="164" fontId="3" fillId="2" borderId="42" xfId="0" applyNumberFormat="1" applyFont="1" applyFill="1" applyBorder="1" applyAlignment="1" applyProtection="1">
      <alignment horizontal="right" vertical="center"/>
      <protection locked="0"/>
    </xf>
    <xf numFmtId="0" fontId="3" fillId="0" borderId="37" xfId="0" applyFont="1" applyBorder="1" applyAlignment="1">
      <alignment wrapText="1"/>
    </xf>
    <xf numFmtId="0" fontId="3" fillId="0" borderId="38" xfId="0" applyFont="1" applyBorder="1" applyAlignment="1">
      <alignment wrapText="1"/>
    </xf>
    <xf numFmtId="0" fontId="5" fillId="0" borderId="37" xfId="0" applyFont="1" applyBorder="1"/>
    <xf numFmtId="0" fontId="5" fillId="0" borderId="38" xfId="0" applyFont="1" applyBorder="1"/>
    <xf numFmtId="164" fontId="3" fillId="2" borderId="43" xfId="0" applyNumberFormat="1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left" vertical="center"/>
    </xf>
    <xf numFmtId="164" fontId="3" fillId="2" borderId="41" xfId="0" applyNumberFormat="1" applyFont="1" applyFill="1" applyBorder="1" applyAlignment="1">
      <alignment horizontal="right" vertical="center"/>
    </xf>
    <xf numFmtId="164" fontId="3" fillId="2" borderId="39" xfId="0" applyNumberFormat="1" applyFont="1" applyFill="1" applyBorder="1" applyAlignment="1">
      <alignment horizontal="right" vertical="center"/>
    </xf>
    <xf numFmtId="164" fontId="3" fillId="2" borderId="44" xfId="0" applyNumberFormat="1" applyFont="1" applyFill="1" applyBorder="1" applyAlignment="1">
      <alignment horizontal="right" vertical="center"/>
    </xf>
    <xf numFmtId="164" fontId="3" fillId="2" borderId="45" xfId="0" applyNumberFormat="1" applyFont="1" applyFill="1" applyBorder="1" applyAlignment="1" applyProtection="1">
      <alignment horizontal="right" vertical="center"/>
      <protection locked="0"/>
    </xf>
    <xf numFmtId="164" fontId="3" fillId="2" borderId="46" xfId="0" applyNumberFormat="1" applyFont="1" applyFill="1" applyBorder="1" applyAlignment="1" applyProtection="1">
      <alignment horizontal="right" vertical="center"/>
      <protection locked="0"/>
    </xf>
    <xf numFmtId="0" fontId="3" fillId="0" borderId="47" xfId="0" applyFont="1" applyBorder="1"/>
    <xf numFmtId="0" fontId="24" fillId="0" borderId="48" xfId="0" applyFont="1" applyBorder="1"/>
    <xf numFmtId="0" fontId="3" fillId="0" borderId="48" xfId="0" applyFont="1" applyBorder="1"/>
    <xf numFmtId="0" fontId="3" fillId="0" borderId="49" xfId="0" applyFont="1" applyBorder="1"/>
    <xf numFmtId="0" fontId="3" fillId="12" borderId="50" xfId="0" applyFont="1" applyFill="1" applyBorder="1"/>
    <xf numFmtId="0" fontId="3" fillId="12" borderId="51" xfId="0" applyFont="1" applyFill="1" applyBorder="1"/>
    <xf numFmtId="0" fontId="3" fillId="12" borderId="52" xfId="0" applyFont="1" applyFill="1" applyBorder="1"/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 applyProtection="1">
      <alignment horizontal="right" vertical="center"/>
      <protection locked="0"/>
    </xf>
    <xf numFmtId="1" fontId="21" fillId="0" borderId="0" xfId="0" applyNumberFormat="1" applyFont="1" applyAlignment="1">
      <alignment wrapText="1"/>
    </xf>
    <xf numFmtId="0" fontId="5" fillId="0" borderId="4" xfId="0" applyFont="1" applyBorder="1" applyAlignment="1">
      <alignment horizontal="right" vertical="center" wrapText="1"/>
    </xf>
    <xf numFmtId="1" fontId="26" fillId="0" borderId="0" xfId="0" applyNumberFormat="1" applyFont="1"/>
    <xf numFmtId="170" fontId="3" fillId="0" borderId="19" xfId="0" applyNumberFormat="1" applyFont="1" applyBorder="1" applyAlignment="1">
      <alignment horizontal="right" vertical="center"/>
    </xf>
    <xf numFmtId="164" fontId="3" fillId="2" borderId="53" xfId="0" applyNumberFormat="1" applyFont="1" applyFill="1" applyBorder="1" applyAlignment="1">
      <alignment horizontal="right" vertical="center"/>
    </xf>
    <xf numFmtId="164" fontId="3" fillId="2" borderId="54" xfId="0" applyNumberFormat="1" applyFont="1" applyFill="1" applyBorder="1" applyAlignment="1">
      <alignment horizontal="right" vertical="center"/>
    </xf>
    <xf numFmtId="164" fontId="3" fillId="2" borderId="55" xfId="0" applyNumberFormat="1" applyFont="1" applyFill="1" applyBorder="1" applyAlignment="1">
      <alignment horizontal="right" vertical="center"/>
    </xf>
    <xf numFmtId="164" fontId="3" fillId="2" borderId="56" xfId="0" applyNumberFormat="1" applyFont="1" applyFill="1" applyBorder="1" applyAlignment="1">
      <alignment horizontal="right" vertical="center"/>
    </xf>
    <xf numFmtId="164" fontId="3" fillId="2" borderId="56" xfId="0" applyNumberFormat="1" applyFont="1" applyFill="1" applyBorder="1" applyAlignment="1" applyProtection="1">
      <alignment horizontal="right" vertical="center"/>
      <protection locked="0"/>
    </xf>
    <xf numFmtId="164" fontId="3" fillId="2" borderId="55" xfId="0" applyNumberFormat="1" applyFont="1" applyFill="1" applyBorder="1" applyAlignment="1" applyProtection="1">
      <alignment horizontal="right" vertical="center"/>
      <protection locked="0"/>
    </xf>
    <xf numFmtId="164" fontId="3" fillId="2" borderId="54" xfId="0" applyNumberFormat="1" applyFont="1" applyFill="1" applyBorder="1" applyAlignment="1" applyProtection="1">
      <alignment horizontal="right" vertical="center"/>
      <protection locked="0"/>
    </xf>
    <xf numFmtId="164" fontId="3" fillId="2" borderId="27" xfId="0" applyNumberFormat="1" applyFont="1" applyFill="1" applyBorder="1" applyAlignment="1">
      <alignment horizontal="right" vertical="center"/>
    </xf>
    <xf numFmtId="164" fontId="3" fillId="2" borderId="26" xfId="0" applyNumberFormat="1" applyFont="1" applyFill="1" applyBorder="1" applyAlignment="1">
      <alignment horizontal="right" vertical="center"/>
    </xf>
    <xf numFmtId="164" fontId="3" fillId="2" borderId="45" xfId="0" applyNumberFormat="1" applyFont="1" applyFill="1" applyBorder="1" applyAlignment="1">
      <alignment horizontal="right" vertical="center"/>
    </xf>
    <xf numFmtId="164" fontId="3" fillId="2" borderId="46" xfId="0" applyNumberFormat="1" applyFont="1" applyFill="1" applyBorder="1" applyAlignment="1">
      <alignment horizontal="right" vertical="center"/>
    </xf>
    <xf numFmtId="164" fontId="3" fillId="12" borderId="51" xfId="0" applyNumberFormat="1" applyFont="1" applyFill="1" applyBorder="1" applyAlignment="1">
      <alignment horizontal="right" vertical="center"/>
    </xf>
    <xf numFmtId="0" fontId="3" fillId="0" borderId="0" xfId="0" applyFont="1" applyAlignment="1" applyProtection="1">
      <alignment wrapText="1"/>
      <protection locked="0"/>
    </xf>
    <xf numFmtId="0" fontId="5" fillId="0" borderId="0" xfId="0" applyFont="1" applyProtection="1">
      <protection locked="0"/>
    </xf>
    <xf numFmtId="9" fontId="7" fillId="12" borderId="51" xfId="0" applyNumberFormat="1" applyFont="1" applyFill="1" applyBorder="1"/>
    <xf numFmtId="0" fontId="0" fillId="0" borderId="57" xfId="0" applyBorder="1"/>
    <xf numFmtId="0" fontId="3" fillId="19" borderId="18" xfId="0" applyFont="1" applyFill="1" applyBorder="1" applyAlignment="1">
      <alignment horizontal="left"/>
    </xf>
    <xf numFmtId="0" fontId="3" fillId="19" borderId="0" xfId="0" applyFont="1" applyFill="1" applyAlignment="1">
      <alignment horizontal="left" indent="1"/>
    </xf>
    <xf numFmtId="1" fontId="3" fillId="19" borderId="0" xfId="0" applyNumberFormat="1" applyFont="1" applyFill="1" applyAlignment="1">
      <alignment horizontal="right" vertical="center"/>
    </xf>
    <xf numFmtId="164" fontId="3" fillId="19" borderId="19" xfId="0" applyNumberFormat="1" applyFont="1" applyFill="1" applyBorder="1" applyAlignment="1">
      <alignment horizontal="center" vertical="center"/>
    </xf>
    <xf numFmtId="0" fontId="0" fillId="19" borderId="0" xfId="0" applyFill="1"/>
    <xf numFmtId="168" fontId="3" fillId="20" borderId="19" xfId="0" applyNumberFormat="1" applyFont="1" applyFill="1" applyBorder="1" applyAlignment="1">
      <alignment horizontal="right" vertical="center"/>
    </xf>
    <xf numFmtId="166" fontId="3" fillId="20" borderId="19" xfId="0" applyNumberFormat="1" applyFont="1" applyFill="1" applyBorder="1" applyAlignment="1">
      <alignment horizontal="right" vertical="center"/>
    </xf>
    <xf numFmtId="0" fontId="0" fillId="20" borderId="0" xfId="0" applyFill="1"/>
    <xf numFmtId="168" fontId="3" fillId="10" borderId="19" xfId="0" applyNumberFormat="1" applyFont="1" applyFill="1" applyBorder="1" applyAlignment="1">
      <alignment horizontal="right" vertical="center"/>
    </xf>
    <xf numFmtId="0" fontId="0" fillId="10" borderId="0" xfId="0" applyFill="1"/>
    <xf numFmtId="2" fontId="3" fillId="10" borderId="19" xfId="0" applyNumberFormat="1" applyFont="1" applyFill="1" applyBorder="1" applyAlignment="1">
      <alignment horizontal="right" vertical="center"/>
    </xf>
    <xf numFmtId="168" fontId="3" fillId="10" borderId="58" xfId="0" applyNumberFormat="1" applyFont="1" applyFill="1" applyBorder="1" applyAlignment="1">
      <alignment horizontal="right" vertical="center"/>
    </xf>
    <xf numFmtId="0" fontId="3" fillId="0" borderId="62" xfId="0" applyFont="1" applyBorder="1"/>
    <xf numFmtId="0" fontId="3" fillId="0" borderId="63" xfId="0" applyFont="1" applyBorder="1"/>
    <xf numFmtId="0" fontId="5" fillId="0" borderId="62" xfId="0" applyFont="1" applyBorder="1" applyAlignment="1">
      <alignment horizontal="center" wrapText="1"/>
    </xf>
    <xf numFmtId="0" fontId="5" fillId="0" borderId="63" xfId="0" applyFont="1" applyBorder="1" applyAlignment="1">
      <alignment horizontal="center" wrapText="1"/>
    </xf>
    <xf numFmtId="0" fontId="5" fillId="0" borderId="64" xfId="0" quotePrefix="1" applyFont="1" applyBorder="1" applyAlignment="1">
      <alignment horizontal="center" vertical="center" wrapText="1"/>
    </xf>
    <xf numFmtId="0" fontId="5" fillId="0" borderId="65" xfId="0" quotePrefix="1" applyFont="1" applyBorder="1" applyAlignment="1">
      <alignment horizontal="center" vertical="center" wrapText="1"/>
    </xf>
    <xf numFmtId="0" fontId="3" fillId="0" borderId="69" xfId="0" applyFont="1" applyBorder="1"/>
    <xf numFmtId="0" fontId="3" fillId="0" borderId="71" xfId="0" applyFont="1" applyBorder="1"/>
    <xf numFmtId="0" fontId="3" fillId="0" borderId="59" xfId="0" applyFont="1" applyBorder="1"/>
    <xf numFmtId="0" fontId="3" fillId="0" borderId="60" xfId="0" applyFont="1" applyBorder="1"/>
    <xf numFmtId="0" fontId="3" fillId="0" borderId="61" xfId="0" applyFont="1" applyBorder="1"/>
    <xf numFmtId="0" fontId="6" fillId="7" borderId="73" xfId="0" applyFont="1" applyFill="1" applyBorder="1" applyAlignment="1">
      <alignment horizontal="centerContinuous" vertical="center"/>
    </xf>
    <xf numFmtId="0" fontId="6" fillId="7" borderId="74" xfId="0" applyFont="1" applyFill="1" applyBorder="1" applyAlignment="1">
      <alignment horizontal="centerContinuous" vertical="center"/>
    </xf>
    <xf numFmtId="0" fontId="9" fillId="14" borderId="0" xfId="0" applyFont="1" applyFill="1" applyAlignment="1">
      <alignment vertical="center"/>
    </xf>
    <xf numFmtId="0" fontId="9" fillId="14" borderId="0" xfId="0" applyFont="1" applyFill="1" applyAlignment="1">
      <alignment horizontal="centerContinuous" vertical="center"/>
    </xf>
    <xf numFmtId="0" fontId="9" fillId="14" borderId="63" xfId="0" applyFont="1" applyFill="1" applyBorder="1" applyAlignment="1">
      <alignment horizontal="centerContinuous" vertical="center"/>
    </xf>
    <xf numFmtId="0" fontId="6" fillId="21" borderId="0" xfId="0" applyFont="1" applyFill="1" applyAlignment="1">
      <alignment horizontal="left" vertical="center"/>
    </xf>
    <xf numFmtId="0" fontId="6" fillId="21" borderId="0" xfId="0" applyFont="1" applyFill="1" applyAlignment="1">
      <alignment horizontal="centerContinuous" vertical="center"/>
    </xf>
    <xf numFmtId="0" fontId="6" fillId="22" borderId="0" xfId="0" applyFont="1" applyFill="1" applyAlignment="1">
      <alignment horizontal="left" vertical="center"/>
    </xf>
    <xf numFmtId="0" fontId="6" fillId="22" borderId="0" xfId="0" applyFont="1" applyFill="1" applyAlignment="1">
      <alignment horizontal="centerContinuous" vertical="center"/>
    </xf>
    <xf numFmtId="0" fontId="27" fillId="22" borderId="0" xfId="0" applyFont="1" applyFill="1" applyAlignment="1">
      <alignment vertical="center"/>
    </xf>
    <xf numFmtId="0" fontId="27" fillId="22" borderId="0" xfId="0" applyFont="1" applyFill="1" applyAlignment="1">
      <alignment horizontal="centerContinuous" vertical="center"/>
    </xf>
    <xf numFmtId="0" fontId="27" fillId="22" borderId="63" xfId="0" applyFont="1" applyFill="1" applyBorder="1" applyAlignment="1">
      <alignment horizontal="centerContinuous" vertical="center"/>
    </xf>
    <xf numFmtId="9" fontId="0" fillId="0" borderId="57" xfId="0" applyNumberFormat="1" applyBorder="1"/>
    <xf numFmtId="167" fontId="20" fillId="24" borderId="19" xfId="0" applyNumberFormat="1" applyFont="1" applyFill="1" applyBorder="1" applyAlignment="1">
      <alignment horizontal="right" vertical="center"/>
    </xf>
    <xf numFmtId="0" fontId="3" fillId="19" borderId="0" xfId="0" applyFont="1" applyFill="1"/>
    <xf numFmtId="164" fontId="5" fillId="19" borderId="16" xfId="0" applyNumberFormat="1" applyFont="1" applyFill="1" applyBorder="1" applyAlignment="1">
      <alignment horizontal="right" vertical="center"/>
    </xf>
    <xf numFmtId="0" fontId="20" fillId="19" borderId="18" xfId="0" applyFont="1" applyFill="1" applyBorder="1" applyAlignment="1">
      <alignment horizontal="left"/>
    </xf>
    <xf numFmtId="0" fontId="20" fillId="19" borderId="0" xfId="0" applyFont="1" applyFill="1" applyAlignment="1">
      <alignment horizontal="left" indent="1"/>
    </xf>
    <xf numFmtId="1" fontId="20" fillId="19" borderId="0" xfId="0" applyNumberFormat="1" applyFont="1" applyFill="1" applyAlignment="1">
      <alignment horizontal="right" vertical="center"/>
    </xf>
    <xf numFmtId="164" fontId="20" fillId="19" borderId="19" xfId="0" applyNumberFormat="1" applyFont="1" applyFill="1" applyBorder="1" applyAlignment="1">
      <alignment horizontal="center" vertical="center"/>
    </xf>
    <xf numFmtId="166" fontId="20" fillId="19" borderId="19" xfId="0" applyNumberFormat="1" applyFont="1" applyFill="1" applyBorder="1" applyAlignment="1">
      <alignment horizontal="right" vertical="center"/>
    </xf>
    <xf numFmtId="166" fontId="5" fillId="19" borderId="19" xfId="0" applyNumberFormat="1" applyFont="1" applyFill="1" applyBorder="1" applyAlignment="1">
      <alignment horizontal="right" vertical="center"/>
    </xf>
    <xf numFmtId="9" fontId="15" fillId="15" borderId="28" xfId="0" applyNumberFormat="1" applyFont="1" applyFill="1" applyBorder="1"/>
    <xf numFmtId="9" fontId="15" fillId="15" borderId="29" xfId="0" applyNumberFormat="1" applyFont="1" applyFill="1" applyBorder="1" applyAlignment="1">
      <alignment horizontal="right" indent="1"/>
    </xf>
    <xf numFmtId="0" fontId="3" fillId="4" borderId="59" xfId="0" applyFont="1" applyFill="1" applyBorder="1"/>
    <xf numFmtId="0" fontId="3" fillId="4" borderId="60" xfId="0" applyFont="1" applyFill="1" applyBorder="1"/>
    <xf numFmtId="0" fontId="3" fillId="4" borderId="61" xfId="0" applyFont="1" applyFill="1" applyBorder="1"/>
    <xf numFmtId="0" fontId="3" fillId="4" borderId="62" xfId="0" applyFont="1" applyFill="1" applyBorder="1"/>
    <xf numFmtId="0" fontId="3" fillId="4" borderId="63" xfId="0" applyFont="1" applyFill="1" applyBorder="1"/>
    <xf numFmtId="0" fontId="3" fillId="4" borderId="62" xfId="0" applyFont="1" applyFill="1" applyBorder="1" applyAlignment="1">
      <alignment wrapText="1"/>
    </xf>
    <xf numFmtId="0" fontId="3" fillId="4" borderId="63" xfId="0" applyFont="1" applyFill="1" applyBorder="1" applyAlignment="1">
      <alignment wrapText="1"/>
    </xf>
    <xf numFmtId="0" fontId="5" fillId="4" borderId="62" xfId="0" applyFont="1" applyFill="1" applyBorder="1"/>
    <xf numFmtId="0" fontId="5" fillId="4" borderId="63" xfId="0" applyFont="1" applyFill="1" applyBorder="1"/>
    <xf numFmtId="0" fontId="3" fillId="12" borderId="62" xfId="0" applyFont="1" applyFill="1" applyBorder="1"/>
    <xf numFmtId="0" fontId="3" fillId="12" borderId="63" xfId="0" applyFont="1" applyFill="1" applyBorder="1"/>
    <xf numFmtId="0" fontId="3" fillId="15" borderId="62" xfId="0" applyFont="1" applyFill="1" applyBorder="1"/>
    <xf numFmtId="165" fontId="20" fillId="12" borderId="0" xfId="1" applyNumberFormat="1" applyFont="1" applyFill="1" applyBorder="1"/>
    <xf numFmtId="165" fontId="3" fillId="12" borderId="0" xfId="1" applyNumberFormat="1" applyFont="1" applyFill="1" applyBorder="1"/>
    <xf numFmtId="0" fontId="3" fillId="12" borderId="68" xfId="0" applyFont="1" applyFill="1" applyBorder="1"/>
    <xf numFmtId="9" fontId="7" fillId="12" borderId="69" xfId="0" applyNumberFormat="1" applyFont="1" applyFill="1" applyBorder="1"/>
    <xf numFmtId="0" fontId="3" fillId="12" borderId="69" xfId="0" applyFont="1" applyFill="1" applyBorder="1"/>
    <xf numFmtId="164" fontId="3" fillId="12" borderId="69" xfId="0" applyNumberFormat="1" applyFont="1" applyFill="1" applyBorder="1"/>
    <xf numFmtId="0" fontId="3" fillId="12" borderId="71" xfId="0" applyFont="1" applyFill="1" applyBorder="1"/>
    <xf numFmtId="0" fontId="9" fillId="14" borderId="0" xfId="0" applyFont="1" applyFill="1" applyAlignment="1">
      <alignment horizontal="center" vertical="center"/>
    </xf>
    <xf numFmtId="0" fontId="9" fillId="14" borderId="63" xfId="0" applyFont="1" applyFill="1" applyBorder="1" applyAlignment="1">
      <alignment horizontal="center" vertical="center"/>
    </xf>
    <xf numFmtId="164" fontId="3" fillId="19" borderId="58" xfId="0" applyNumberFormat="1" applyFont="1" applyFill="1" applyBorder="1" applyAlignment="1">
      <alignment horizontal="center" vertical="center"/>
    </xf>
    <xf numFmtId="164" fontId="20" fillId="19" borderId="58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77" xfId="0" applyBorder="1"/>
    <xf numFmtId="0" fontId="0" fillId="0" borderId="75" xfId="0" applyBorder="1"/>
    <xf numFmtId="0" fontId="0" fillId="10" borderId="75" xfId="0" applyFill="1" applyBorder="1"/>
    <xf numFmtId="0" fontId="0" fillId="10" borderId="76" xfId="0" applyFill="1" applyBorder="1"/>
    <xf numFmtId="0" fontId="0" fillId="10" borderId="77" xfId="0" applyFill="1" applyBorder="1"/>
    <xf numFmtId="0" fontId="16" fillId="0" borderId="0" xfId="0" applyFont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0" fontId="16" fillId="12" borderId="0" xfId="0" applyFont="1" applyFill="1" applyAlignment="1">
      <alignment horizontal="center" wrapText="1"/>
    </xf>
    <xf numFmtId="0" fontId="16" fillId="12" borderId="15" xfId="0" applyFont="1" applyFill="1" applyBorder="1" applyAlignment="1">
      <alignment horizontal="center" wrapText="1"/>
    </xf>
    <xf numFmtId="0" fontId="15" fillId="2" borderId="0" xfId="3" applyFont="1" applyFill="1" applyAlignment="1">
      <alignment horizontal="center" vertical="center"/>
    </xf>
    <xf numFmtId="0" fontId="15" fillId="11" borderId="0" xfId="3" applyFont="1" applyFill="1" applyAlignment="1">
      <alignment horizontal="center" vertical="center"/>
    </xf>
    <xf numFmtId="0" fontId="15" fillId="11" borderId="0" xfId="3" applyFont="1" applyFill="1" applyAlignment="1" applyProtection="1">
      <alignment horizontal="center" vertical="center"/>
      <protection locked="0"/>
    </xf>
    <xf numFmtId="0" fontId="15" fillId="16" borderId="0" xfId="3" applyFont="1" applyFill="1" applyAlignment="1" applyProtection="1">
      <alignment horizontal="center" vertical="center"/>
      <protection locked="0"/>
    </xf>
    <xf numFmtId="0" fontId="15" fillId="17" borderId="0" xfId="3" applyFont="1" applyFill="1" applyAlignment="1" applyProtection="1">
      <alignment horizontal="center" vertical="center"/>
      <protection locked="0"/>
    </xf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0" fillId="0" borderId="0" xfId="0" applyFill="1"/>
    <xf numFmtId="0" fontId="3" fillId="0" borderId="62" xfId="0" applyFont="1" applyFill="1" applyBorder="1"/>
    <xf numFmtId="0" fontId="11" fillId="0" borderId="0" xfId="0" applyFont="1" applyFill="1" applyAlignment="1">
      <alignment horizontal="centerContinuous" vertical="center"/>
    </xf>
    <xf numFmtId="0" fontId="3" fillId="0" borderId="63" xfId="0" applyFont="1" applyFill="1" applyBorder="1"/>
    <xf numFmtId="0" fontId="3" fillId="5" borderId="62" xfId="0" applyFont="1" applyFill="1" applyBorder="1"/>
    <xf numFmtId="0" fontId="3" fillId="5" borderId="63" xfId="0" applyFont="1" applyFill="1" applyBorder="1"/>
    <xf numFmtId="0" fontId="6" fillId="7" borderId="81" xfId="0" applyFont="1" applyFill="1" applyBorder="1" applyAlignment="1">
      <alignment horizontal="centerContinuous" vertical="center"/>
    </xf>
    <xf numFmtId="0" fontId="3" fillId="4" borderId="0" xfId="0" applyFont="1" applyFill="1" applyBorder="1"/>
    <xf numFmtId="0" fontId="5" fillId="0" borderId="0" xfId="0" applyFont="1" applyBorder="1" applyAlignment="1">
      <alignment horizontal="center" wrapText="1"/>
    </xf>
    <xf numFmtId="0" fontId="5" fillId="0" borderId="68" xfId="0" quotePrefix="1" applyFont="1" applyBorder="1" applyAlignment="1">
      <alignment horizontal="center" vertical="center" wrapText="1"/>
    </xf>
    <xf numFmtId="0" fontId="5" fillId="0" borderId="71" xfId="0" quotePrefix="1" applyFont="1" applyBorder="1" applyAlignment="1">
      <alignment horizontal="center" vertical="center" wrapText="1"/>
    </xf>
    <xf numFmtId="0" fontId="3" fillId="0" borderId="62" xfId="0" applyFont="1" applyBorder="1" applyAlignment="1">
      <alignment horizontal="left"/>
    </xf>
    <xf numFmtId="9" fontId="15" fillId="19" borderId="63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9" fontId="15" fillId="19" borderId="0" xfId="0" applyNumberFormat="1" applyFont="1" applyFill="1" applyAlignment="1">
      <alignment horizontal="left" vertical="center"/>
    </xf>
    <xf numFmtId="0" fontId="9" fillId="0" borderId="62" xfId="0" applyFont="1" applyFill="1" applyBorder="1" applyAlignment="1">
      <alignment horizontal="left" vertical="center"/>
    </xf>
    <xf numFmtId="9" fontId="3" fillId="20" borderId="63" xfId="0" applyNumberFormat="1" applyFont="1" applyFill="1" applyBorder="1" applyAlignment="1">
      <alignment horizontal="left"/>
    </xf>
    <xf numFmtId="10" fontId="3" fillId="20" borderId="63" xfId="0" applyNumberFormat="1" applyFont="1" applyFill="1" applyBorder="1" applyAlignment="1">
      <alignment horizontal="left"/>
    </xf>
    <xf numFmtId="9" fontId="3" fillId="20" borderId="0" xfId="0" applyNumberFormat="1" applyFont="1" applyFill="1" applyAlignment="1">
      <alignment horizontal="left"/>
    </xf>
    <xf numFmtId="164" fontId="5" fillId="10" borderId="63" xfId="0" applyNumberFormat="1" applyFont="1" applyFill="1" applyBorder="1" applyAlignment="1">
      <alignment horizontal="left" vertical="center"/>
    </xf>
    <xf numFmtId="164" fontId="5" fillId="10" borderId="0" xfId="0" applyNumberFormat="1" applyFont="1" applyFill="1" applyBorder="1" applyAlignment="1">
      <alignment horizontal="left" vertical="center"/>
    </xf>
    <xf numFmtId="0" fontId="3" fillId="5" borderId="0" xfId="0" applyFont="1" applyFill="1" applyBorder="1"/>
    <xf numFmtId="0" fontId="6" fillId="6" borderId="81" xfId="0" applyFont="1" applyFill="1" applyBorder="1" applyAlignment="1">
      <alignment horizontal="center" vertical="center"/>
    </xf>
    <xf numFmtId="0" fontId="6" fillId="6" borderId="73" xfId="0" applyFont="1" applyFill="1" applyBorder="1" applyAlignment="1">
      <alignment horizontal="center" vertical="center"/>
    </xf>
    <xf numFmtId="0" fontId="6" fillId="6" borderId="74" xfId="0" applyFont="1" applyFill="1" applyBorder="1" applyAlignment="1">
      <alignment horizontal="center" vertical="center"/>
    </xf>
    <xf numFmtId="0" fontId="8" fillId="10" borderId="62" xfId="0" applyFont="1" applyFill="1" applyBorder="1" applyAlignment="1">
      <alignment horizontal="center" vertical="center"/>
    </xf>
    <xf numFmtId="0" fontId="8" fillId="10" borderId="63" xfId="0" applyFont="1" applyFill="1" applyBorder="1" applyAlignment="1">
      <alignment horizontal="center" vertical="center"/>
    </xf>
    <xf numFmtId="0" fontId="9" fillId="11" borderId="62" xfId="0" applyFont="1" applyFill="1" applyBorder="1" applyAlignment="1">
      <alignment horizontal="center" vertical="center"/>
    </xf>
    <xf numFmtId="0" fontId="9" fillId="11" borderId="63" xfId="0" applyFont="1" applyFill="1" applyBorder="1" applyAlignment="1">
      <alignment horizontal="center" vertical="center"/>
    </xf>
    <xf numFmtId="168" fontId="3" fillId="10" borderId="79" xfId="0" applyNumberFormat="1" applyFont="1" applyFill="1" applyBorder="1" applyAlignment="1">
      <alignment horizontal="right" vertical="center"/>
    </xf>
    <xf numFmtId="168" fontId="3" fillId="10" borderId="80" xfId="0" applyNumberFormat="1" applyFont="1" applyFill="1" applyBorder="1" applyAlignment="1">
      <alignment horizontal="right" vertical="center"/>
    </xf>
    <xf numFmtId="168" fontId="3" fillId="10" borderId="26" xfId="0" applyNumberFormat="1" applyFont="1" applyFill="1" applyBorder="1" applyAlignment="1">
      <alignment horizontal="right" vertical="center"/>
    </xf>
    <xf numFmtId="168" fontId="3" fillId="10" borderId="78" xfId="0" applyNumberFormat="1" applyFont="1" applyFill="1" applyBorder="1" applyAlignment="1">
      <alignment horizontal="right" vertical="center"/>
    </xf>
    <xf numFmtId="168" fontId="3" fillId="10" borderId="70" xfId="0" applyNumberFormat="1" applyFont="1" applyFill="1" applyBorder="1" applyAlignment="1">
      <alignment horizontal="right" vertical="center"/>
    </xf>
    <xf numFmtId="168" fontId="3" fillId="10" borderId="72" xfId="0" applyNumberFormat="1" applyFont="1" applyFill="1" applyBorder="1" applyAlignment="1">
      <alignment horizontal="right" vertical="center"/>
    </xf>
    <xf numFmtId="166" fontId="5" fillId="10" borderId="66" xfId="0" applyNumberFormat="1" applyFont="1" applyFill="1" applyBorder="1" applyAlignment="1">
      <alignment horizontal="right" vertical="center"/>
    </xf>
    <xf numFmtId="167" fontId="17" fillId="10" borderId="67" xfId="0" applyNumberFormat="1" applyFont="1" applyFill="1" applyBorder="1" applyAlignment="1">
      <alignment horizontal="right" vertical="center"/>
    </xf>
    <xf numFmtId="166" fontId="5" fillId="10" borderId="16" xfId="0" applyNumberFormat="1" applyFont="1" applyFill="1" applyBorder="1" applyAlignment="1">
      <alignment horizontal="right" vertical="center"/>
    </xf>
    <xf numFmtId="167" fontId="17" fillId="10" borderId="16" xfId="0" applyNumberFormat="1" applyFont="1" applyFill="1" applyBorder="1" applyAlignment="1">
      <alignment horizontal="right" vertical="center"/>
    </xf>
    <xf numFmtId="0" fontId="6" fillId="23" borderId="69" xfId="0" applyFont="1" applyFill="1" applyBorder="1" applyAlignment="1">
      <alignment horizontal="center" vertical="center"/>
    </xf>
    <xf numFmtId="0" fontId="6" fillId="25" borderId="69" xfId="0" applyFont="1" applyFill="1" applyBorder="1" applyAlignment="1">
      <alignment horizontal="center" vertical="center"/>
    </xf>
    <xf numFmtId="0" fontId="9" fillId="26" borderId="0" xfId="0" applyFont="1" applyFill="1" applyAlignment="1">
      <alignment vertical="center"/>
    </xf>
    <xf numFmtId="0" fontId="9" fillId="26" borderId="0" xfId="0" applyFont="1" applyFill="1" applyAlignment="1">
      <alignment horizontal="centerContinuous" vertical="center"/>
    </xf>
    <xf numFmtId="0" fontId="9" fillId="26" borderId="63" xfId="0" applyFont="1" applyFill="1" applyBorder="1" applyAlignment="1">
      <alignment horizontal="centerContinuous" vertical="center"/>
    </xf>
    <xf numFmtId="0" fontId="9" fillId="26" borderId="0" xfId="0" applyFont="1" applyFill="1" applyAlignment="1">
      <alignment horizontal="center" vertical="center"/>
    </xf>
    <xf numFmtId="0" fontId="9" fillId="26" borderId="63" xfId="0" applyFont="1" applyFill="1" applyBorder="1" applyAlignment="1">
      <alignment horizontal="center" vertical="center"/>
    </xf>
    <xf numFmtId="164" fontId="5" fillId="10" borderId="16" xfId="0" applyNumberFormat="1" applyFont="1" applyFill="1" applyBorder="1" applyAlignment="1">
      <alignment horizontal="right" vertical="center"/>
    </xf>
    <xf numFmtId="9" fontId="5" fillId="20" borderId="63" xfId="0" applyNumberFormat="1" applyFont="1" applyFill="1" applyBorder="1"/>
    <xf numFmtId="10" fontId="5" fillId="20" borderId="63" xfId="0" applyNumberFormat="1" applyFont="1" applyFill="1" applyBorder="1"/>
    <xf numFmtId="0" fontId="3" fillId="10" borderId="63" xfId="0" applyFont="1" applyFill="1" applyBorder="1"/>
    <xf numFmtId="0" fontId="3" fillId="10" borderId="71" xfId="0" applyFont="1" applyFill="1" applyBorder="1"/>
    <xf numFmtId="166" fontId="5" fillId="10" borderId="19" xfId="0" applyNumberFormat="1" applyFont="1" applyFill="1" applyBorder="1" applyAlignment="1">
      <alignment horizontal="right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4" xfId="0" quotePrefix="1" applyFont="1" applyFill="1" applyBorder="1" applyAlignment="1">
      <alignment horizontal="center" vertical="center" wrapText="1"/>
    </xf>
    <xf numFmtId="0" fontId="0" fillId="7" borderId="59" xfId="0" applyFill="1" applyBorder="1"/>
    <xf numFmtId="0" fontId="0" fillId="7" borderId="75" xfId="0" applyFill="1" applyBorder="1"/>
    <xf numFmtId="0" fontId="0" fillId="7" borderId="61" xfId="0" applyFill="1" applyBorder="1"/>
    <xf numFmtId="0" fontId="0" fillId="7" borderId="62" xfId="0" applyFill="1" applyBorder="1"/>
    <xf numFmtId="0" fontId="0" fillId="7" borderId="76" xfId="0" applyFill="1" applyBorder="1"/>
    <xf numFmtId="0" fontId="0" fillId="7" borderId="63" xfId="0" applyFill="1" applyBorder="1"/>
    <xf numFmtId="0" fontId="0" fillId="7" borderId="68" xfId="0" applyFill="1" applyBorder="1"/>
    <xf numFmtId="0" fontId="0" fillId="7" borderId="77" xfId="0" applyFill="1" applyBorder="1"/>
    <xf numFmtId="0" fontId="0" fillId="7" borderId="71" xfId="0" applyFill="1" applyBorder="1"/>
    <xf numFmtId="9" fontId="7" fillId="7" borderId="0" xfId="0" applyNumberFormat="1" applyFont="1" applyFill="1"/>
    <xf numFmtId="9" fontId="7" fillId="7" borderId="69" xfId="0" applyNumberFormat="1" applyFont="1" applyFill="1" applyBorder="1"/>
    <xf numFmtId="0" fontId="5" fillId="12" borderId="82" xfId="0" applyFont="1" applyFill="1" applyBorder="1" applyAlignment="1">
      <alignment horizontal="center"/>
    </xf>
    <xf numFmtId="9" fontId="5" fillId="0" borderId="0" xfId="0" applyNumberFormat="1" applyFont="1" applyAlignment="1">
      <alignment horizontal="center" wrapText="1"/>
    </xf>
    <xf numFmtId="166" fontId="0" fillId="0" borderId="75" xfId="0" applyNumberFormat="1" applyBorder="1"/>
    <xf numFmtId="0" fontId="5" fillId="0" borderId="83" xfId="0" applyFont="1" applyBorder="1" applyAlignment="1">
      <alignment horizontal="center" wrapText="1"/>
    </xf>
    <xf numFmtId="0" fontId="0" fillId="27" borderId="0" xfId="0" applyFill="1"/>
  </cellXfs>
  <cellStyles count="4">
    <cellStyle name="Hyperlink" xfId="2" builtinId="8"/>
    <cellStyle name="Normal" xfId="0" builtinId="0"/>
    <cellStyle name="Normal 2 2" xfId="3" xr:uid="{823C1B1D-9F34-4CF1-A740-E2AEF88580E9}"/>
    <cellStyle name="Percent" xfId="1" builtinId="5"/>
  </cellStyles>
  <dxfs count="192"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F2A2E8"/>
      <color rgb="FF7B39E7"/>
      <color rgb="FFE838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ssiGiraud\AppData\Local\Microsoft\Windows\INetCache\Content.Outlook\ALG3C49Q\Plan%20trade%20marketing%202026_Manon_SG%20(004).xlsx" TargetMode="External"/><Relationship Id="rId1" Type="http://schemas.openxmlformats.org/officeDocument/2006/relationships/externalLinkPath" Target="file:///C:\Users\SissiGiraud\AppData\Local\Microsoft\Windows\INetCache\Content.Outlook\ALG3C49Q\Plan%20trade%20marketing%202026_Manon_SG%20(00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de Garde"/>
      <sheetName val="BUDGET 2026"/>
      <sheetName val="Moteur Produits"/>
      <sheetName val="Synthèse campagnes"/>
      <sheetName val="Dates cycles"/>
      <sheetName val="Synthèse Produits"/>
      <sheetName val="Prév ventes"/>
      <sheetName val="REGENERANTS"/>
      <sheetName val="CARE &amp; GLOW"/>
      <sheetName val="JUMBOS LEVRES"/>
      <sheetName val="KITS DECOUVERTES"/>
      <sheetName val="GRANDS FORMATS"/>
      <sheetName val="CREME PURIFIANTE"/>
      <sheetName val="CREME PURIFIANTE OLD"/>
      <sheetName val="DUOS PRODUITS"/>
      <sheetName val="DEODORANTS"/>
      <sheetName val="CURES"/>
      <sheetName val="OPCA ESTIVALE"/>
      <sheetName val="SERUM HYDRA+"/>
      <sheetName val="ESSENTIELS DU QUOTIDIEN"/>
      <sheetName val="ESSENTIELS DU QUOTIDIEN 2"/>
      <sheetName val="ESSENTIELS DU QUOTIDIEN 3"/>
      <sheetName val="REGENERANTS 2"/>
      <sheetName val="CORPS"/>
      <sheetName val="NOEL"/>
      <sheetName val="LIP TO CHEEKS"/>
      <sheetName val="NOEL 2 avec MU"/>
      <sheetName val="NOEL 2 (2)"/>
      <sheetName val="NOEL retravail VR"/>
      <sheetName val="NOEL retravail ppiinitial SG"/>
      <sheetName val="qtes recap"/>
      <sheetName val="NOEL ret VR couts def prix iso"/>
      <sheetName val="NOEL ret VR couts def prix  (2)"/>
      <sheetName val="NOEL retravail 32.9)"/>
      <sheetName val="NOEL retravail 32.9) (2)"/>
      <sheetName val="NOEL retravail 32.9 et 49"/>
      <sheetName val="NOEL retravail 32.9 et 49 (2)"/>
      <sheetName val="NOEL retravail 33,9 et 49 VR"/>
      <sheetName val="NOEL retravail 33,9 et 49 (2)"/>
      <sheetName val="NOEL 3 sans MU"/>
      <sheetName val="BEST SELLERS MUP"/>
      <sheetName val="INSTITUTS"/>
      <sheetName val="MASCARA PLUM"/>
      <sheetName val="Offres SC"/>
      <sheetName val="TEMPLATE"/>
      <sheetName val="Calculatrice GC"/>
      <sheetName val="Paramètres Généraux"/>
      <sheetName val="Paramètres Articles"/>
      <sheetName val="Tarifs 2026"/>
      <sheetName val="New Base PA"/>
      <sheetName val="BDD PA Allemagne"/>
    </sheetNames>
    <sheetDataSet>
      <sheetData sheetId="0" refreshError="1"/>
      <sheetData sheetId="1" refreshError="1"/>
      <sheetData sheetId="2" refreshError="1">
        <row r="1">
          <cell r="C1" t="str">
            <v>QTES OP</v>
          </cell>
        </row>
        <row r="4">
          <cell r="B4">
            <v>1020202</v>
          </cell>
          <cell r="C4">
            <v>455</v>
          </cell>
        </row>
        <row r="5">
          <cell r="B5">
            <v>1020310</v>
          </cell>
          <cell r="C5">
            <v>260</v>
          </cell>
        </row>
        <row r="6">
          <cell r="B6">
            <v>1020401</v>
          </cell>
          <cell r="C6">
            <v>325</v>
          </cell>
        </row>
        <row r="7">
          <cell r="B7">
            <v>1020302</v>
          </cell>
          <cell r="C7">
            <v>65</v>
          </cell>
        </row>
        <row r="8">
          <cell r="B8">
            <v>1020721</v>
          </cell>
          <cell r="C8">
            <v>0</v>
          </cell>
        </row>
        <row r="9">
          <cell r="B9">
            <v>1020107</v>
          </cell>
          <cell r="C9">
            <v>195</v>
          </cell>
        </row>
        <row r="10">
          <cell r="B10">
            <v>1020102</v>
          </cell>
          <cell r="C10">
            <v>195</v>
          </cell>
        </row>
        <row r="11">
          <cell r="B11">
            <v>1020722</v>
          </cell>
          <cell r="C11">
            <v>0</v>
          </cell>
        </row>
        <row r="12">
          <cell r="B12">
            <v>1020719</v>
          </cell>
          <cell r="C12">
            <v>195</v>
          </cell>
        </row>
        <row r="13">
          <cell r="B13">
            <v>1020717</v>
          </cell>
          <cell r="C13">
            <v>195</v>
          </cell>
        </row>
        <row r="14">
          <cell r="B14">
            <v>1020718</v>
          </cell>
          <cell r="C14">
            <v>325</v>
          </cell>
        </row>
        <row r="15">
          <cell r="B15">
            <v>1020301</v>
          </cell>
          <cell r="C15">
            <v>520</v>
          </cell>
        </row>
        <row r="16">
          <cell r="B16">
            <v>1020720</v>
          </cell>
          <cell r="C16">
            <v>520</v>
          </cell>
        </row>
        <row r="17">
          <cell r="B17" t="str">
            <v>PANNEAU REGE</v>
          </cell>
          <cell r="C17">
            <v>31</v>
          </cell>
        </row>
        <row r="18">
          <cell r="B18" t="str">
            <v>PRESENTOIR REGE</v>
          </cell>
          <cell r="C18">
            <v>66</v>
          </cell>
        </row>
        <row r="19">
          <cell r="B19">
            <v>3020202</v>
          </cell>
          <cell r="C19">
            <v>65</v>
          </cell>
        </row>
        <row r="20">
          <cell r="B20">
            <v>3020301</v>
          </cell>
          <cell r="C20">
            <v>65</v>
          </cell>
        </row>
        <row r="21">
          <cell r="B21">
            <v>3020720</v>
          </cell>
          <cell r="C21">
            <v>65</v>
          </cell>
        </row>
        <row r="22">
          <cell r="B22">
            <v>3020718</v>
          </cell>
          <cell r="C22">
            <v>65</v>
          </cell>
        </row>
        <row r="23">
          <cell r="B23" t="str">
            <v>SR REGE RETAIL 1</v>
          </cell>
          <cell r="C23">
            <v>51</v>
          </cell>
        </row>
        <row r="24">
          <cell r="B24">
            <v>1020202</v>
          </cell>
          <cell r="C24">
            <v>810</v>
          </cell>
        </row>
        <row r="25">
          <cell r="B25">
            <v>1020310</v>
          </cell>
          <cell r="C25">
            <v>540</v>
          </cell>
        </row>
        <row r="26">
          <cell r="B26">
            <v>1020401</v>
          </cell>
          <cell r="C26">
            <v>540</v>
          </cell>
        </row>
        <row r="27">
          <cell r="B27">
            <v>1020302</v>
          </cell>
          <cell r="C27">
            <v>270</v>
          </cell>
        </row>
        <row r="28">
          <cell r="B28">
            <v>1020721</v>
          </cell>
          <cell r="C28">
            <v>0</v>
          </cell>
        </row>
        <row r="29">
          <cell r="B29">
            <v>1020107</v>
          </cell>
          <cell r="C29">
            <v>270</v>
          </cell>
        </row>
        <row r="30">
          <cell r="B30">
            <v>1020102</v>
          </cell>
          <cell r="C30">
            <v>270</v>
          </cell>
        </row>
        <row r="31">
          <cell r="B31">
            <v>1020722</v>
          </cell>
          <cell r="C31">
            <v>0</v>
          </cell>
        </row>
        <row r="32">
          <cell r="B32">
            <v>1020719</v>
          </cell>
          <cell r="C32">
            <v>540</v>
          </cell>
        </row>
        <row r="33">
          <cell r="B33">
            <v>1020717</v>
          </cell>
          <cell r="C33">
            <v>270</v>
          </cell>
        </row>
        <row r="34">
          <cell r="B34">
            <v>1020718</v>
          </cell>
          <cell r="C34">
            <v>810</v>
          </cell>
        </row>
        <row r="35">
          <cell r="B35">
            <v>1020301</v>
          </cell>
          <cell r="C35">
            <v>1080</v>
          </cell>
        </row>
        <row r="36">
          <cell r="B36">
            <v>1020720</v>
          </cell>
          <cell r="C36">
            <v>1080</v>
          </cell>
        </row>
        <row r="37">
          <cell r="B37" t="str">
            <v>PANNEAU REGE</v>
          </cell>
          <cell r="C37">
            <v>110</v>
          </cell>
        </row>
        <row r="38">
          <cell r="B38" t="str">
            <v>PRESENTOIR REGE</v>
          </cell>
          <cell r="C38">
            <v>190</v>
          </cell>
        </row>
        <row r="39">
          <cell r="B39">
            <v>3020202</v>
          </cell>
          <cell r="C39">
            <v>270</v>
          </cell>
        </row>
        <row r="40">
          <cell r="B40">
            <v>3020301</v>
          </cell>
          <cell r="C40">
            <v>270</v>
          </cell>
        </row>
        <row r="41">
          <cell r="B41">
            <v>3020720</v>
          </cell>
          <cell r="C41">
            <v>270</v>
          </cell>
        </row>
        <row r="42">
          <cell r="B42">
            <v>3020718</v>
          </cell>
          <cell r="C42">
            <v>270</v>
          </cell>
        </row>
        <row r="43">
          <cell r="B43" t="str">
            <v>SR REGE RETAIL 1</v>
          </cell>
          <cell r="C43">
            <v>190</v>
          </cell>
        </row>
        <row r="44">
          <cell r="B44">
            <v>1020202</v>
          </cell>
          <cell r="C44">
            <v>780</v>
          </cell>
        </row>
        <row r="45">
          <cell r="B45">
            <v>1020310</v>
          </cell>
          <cell r="C45">
            <v>390</v>
          </cell>
        </row>
        <row r="46">
          <cell r="B46">
            <v>1020401</v>
          </cell>
          <cell r="C46">
            <v>390</v>
          </cell>
        </row>
        <row r="47">
          <cell r="B47">
            <v>1020302</v>
          </cell>
          <cell r="C47">
            <v>0</v>
          </cell>
        </row>
        <row r="48">
          <cell r="B48">
            <v>1020721</v>
          </cell>
          <cell r="C48">
            <v>390</v>
          </cell>
        </row>
        <row r="49">
          <cell r="B49">
            <v>1020107</v>
          </cell>
          <cell r="C49">
            <v>0</v>
          </cell>
        </row>
        <row r="50">
          <cell r="B50">
            <v>1020102</v>
          </cell>
          <cell r="C50">
            <v>390</v>
          </cell>
        </row>
        <row r="51">
          <cell r="B51">
            <v>1020722</v>
          </cell>
          <cell r="C51">
            <v>0</v>
          </cell>
        </row>
        <row r="52">
          <cell r="B52">
            <v>1020719</v>
          </cell>
          <cell r="C52">
            <v>390</v>
          </cell>
        </row>
        <row r="53">
          <cell r="B53">
            <v>1020717</v>
          </cell>
          <cell r="C53">
            <v>390</v>
          </cell>
        </row>
        <row r="54">
          <cell r="B54">
            <v>1020718</v>
          </cell>
          <cell r="C54">
            <v>390</v>
          </cell>
        </row>
        <row r="55">
          <cell r="B55">
            <v>1020301</v>
          </cell>
          <cell r="C55">
            <v>780</v>
          </cell>
        </row>
        <row r="56">
          <cell r="B56">
            <v>1020720</v>
          </cell>
          <cell r="C56">
            <v>780</v>
          </cell>
        </row>
        <row r="57">
          <cell r="B57" t="str">
            <v>PANNEAU REGE</v>
          </cell>
          <cell r="C57">
            <v>160</v>
          </cell>
        </row>
        <row r="58">
          <cell r="B58" t="str">
            <v>PRESENTOIR REGE</v>
          </cell>
          <cell r="C58">
            <v>280</v>
          </cell>
        </row>
        <row r="59">
          <cell r="B59">
            <v>3020202</v>
          </cell>
          <cell r="C59">
            <v>390</v>
          </cell>
        </row>
        <row r="60">
          <cell r="B60">
            <v>3020301</v>
          </cell>
          <cell r="C60">
            <v>390</v>
          </cell>
        </row>
        <row r="61">
          <cell r="B61">
            <v>3020720</v>
          </cell>
          <cell r="C61">
            <v>390</v>
          </cell>
        </row>
        <row r="62">
          <cell r="B62">
            <v>3020718</v>
          </cell>
          <cell r="C62">
            <v>390</v>
          </cell>
        </row>
        <row r="63">
          <cell r="B63" t="str">
            <v>SR REGE RETAIL 2</v>
          </cell>
          <cell r="C63">
            <v>280</v>
          </cell>
        </row>
        <row r="64">
          <cell r="B64">
            <v>1020202</v>
          </cell>
          <cell r="C64">
            <v>0</v>
          </cell>
        </row>
        <row r="65">
          <cell r="B65">
            <v>1020310</v>
          </cell>
          <cell r="C65">
            <v>0</v>
          </cell>
        </row>
        <row r="66">
          <cell r="B66">
            <v>1020401</v>
          </cell>
          <cell r="C66">
            <v>0</v>
          </cell>
        </row>
        <row r="67">
          <cell r="B67">
            <v>1020302</v>
          </cell>
          <cell r="C67">
            <v>0</v>
          </cell>
        </row>
        <row r="68">
          <cell r="B68">
            <v>1020721</v>
          </cell>
          <cell r="C68">
            <v>0</v>
          </cell>
        </row>
        <row r="69">
          <cell r="B69">
            <v>1020107</v>
          </cell>
          <cell r="C69">
            <v>0</v>
          </cell>
        </row>
        <row r="70">
          <cell r="B70">
            <v>1020102</v>
          </cell>
          <cell r="C70">
            <v>0</v>
          </cell>
        </row>
        <row r="71">
          <cell r="B71">
            <v>1020722</v>
          </cell>
          <cell r="C71">
            <v>0</v>
          </cell>
        </row>
        <row r="72">
          <cell r="B72">
            <v>1020719</v>
          </cell>
          <cell r="C72">
            <v>0</v>
          </cell>
        </row>
        <row r="73">
          <cell r="B73">
            <v>1020717</v>
          </cell>
          <cell r="C73">
            <v>0</v>
          </cell>
        </row>
        <row r="74">
          <cell r="B74">
            <v>1020718</v>
          </cell>
          <cell r="C74">
            <v>0</v>
          </cell>
        </row>
        <row r="75">
          <cell r="B75">
            <v>1020301</v>
          </cell>
          <cell r="C75">
            <v>0</v>
          </cell>
        </row>
        <row r="76">
          <cell r="B76">
            <v>1020720</v>
          </cell>
          <cell r="C76">
            <v>0</v>
          </cell>
        </row>
        <row r="77">
          <cell r="B77" t="str">
            <v>PANNEAU REGE</v>
          </cell>
          <cell r="C77">
            <v>0</v>
          </cell>
        </row>
        <row r="78">
          <cell r="B78" t="str">
            <v>PRESENTOIR REGE</v>
          </cell>
          <cell r="C78">
            <v>0</v>
          </cell>
        </row>
        <row r="79">
          <cell r="B79">
            <v>3020202</v>
          </cell>
          <cell r="C79">
            <v>0</v>
          </cell>
        </row>
        <row r="80">
          <cell r="B80">
            <v>3020301</v>
          </cell>
          <cell r="C80">
            <v>0</v>
          </cell>
        </row>
        <row r="81">
          <cell r="B81">
            <v>3020720</v>
          </cell>
          <cell r="C81">
            <v>0</v>
          </cell>
        </row>
        <row r="82">
          <cell r="B82">
            <v>3020718</v>
          </cell>
          <cell r="C82">
            <v>0</v>
          </cell>
        </row>
        <row r="83">
          <cell r="B83" t="str">
            <v>SR REGE INSTITUT</v>
          </cell>
          <cell r="C83">
            <v>0</v>
          </cell>
        </row>
        <row r="84">
          <cell r="B84">
            <v>1010116</v>
          </cell>
          <cell r="C84">
            <v>0</v>
          </cell>
        </row>
        <row r="85">
          <cell r="B85">
            <v>1020202</v>
          </cell>
          <cell r="C85">
            <v>0</v>
          </cell>
        </row>
        <row r="86">
          <cell r="B86">
            <v>1020310</v>
          </cell>
          <cell r="C86">
            <v>0</v>
          </cell>
        </row>
        <row r="87">
          <cell r="B87">
            <v>1020401</v>
          </cell>
          <cell r="C87">
            <v>0</v>
          </cell>
        </row>
        <row r="88">
          <cell r="B88">
            <v>1020302</v>
          </cell>
          <cell r="C88">
            <v>0</v>
          </cell>
        </row>
        <row r="89">
          <cell r="B89">
            <v>1020721</v>
          </cell>
          <cell r="C89">
            <v>0</v>
          </cell>
        </row>
        <row r="90">
          <cell r="B90">
            <v>1020107</v>
          </cell>
          <cell r="C90">
            <v>0</v>
          </cell>
        </row>
        <row r="91">
          <cell r="B91">
            <v>1020102</v>
          </cell>
          <cell r="C91">
            <v>0</v>
          </cell>
        </row>
        <row r="92">
          <cell r="B92">
            <v>1020722</v>
          </cell>
          <cell r="C92">
            <v>0</v>
          </cell>
        </row>
        <row r="93">
          <cell r="B93">
            <v>1020719</v>
          </cell>
          <cell r="C93">
            <v>0</v>
          </cell>
        </row>
        <row r="94">
          <cell r="B94">
            <v>1020717</v>
          </cell>
          <cell r="C94">
            <v>0</v>
          </cell>
        </row>
        <row r="95">
          <cell r="B95">
            <v>1020718</v>
          </cell>
          <cell r="C95">
            <v>0</v>
          </cell>
        </row>
        <row r="96">
          <cell r="B96">
            <v>1020301</v>
          </cell>
          <cell r="C96">
            <v>0</v>
          </cell>
        </row>
        <row r="97">
          <cell r="B97">
            <v>1020720</v>
          </cell>
          <cell r="C97">
            <v>0</v>
          </cell>
        </row>
        <row r="98">
          <cell r="B98" t="str">
            <v>PANNEAU REGE</v>
          </cell>
          <cell r="C98">
            <v>0</v>
          </cell>
        </row>
        <row r="99">
          <cell r="B99" t="str">
            <v>PRESENTOIR REGE</v>
          </cell>
          <cell r="C99">
            <v>0</v>
          </cell>
        </row>
        <row r="100">
          <cell r="B100">
            <v>3020202</v>
          </cell>
          <cell r="C100">
            <v>0</v>
          </cell>
        </row>
        <row r="101">
          <cell r="B101">
            <v>3020301</v>
          </cell>
          <cell r="C101">
            <v>0</v>
          </cell>
        </row>
        <row r="102">
          <cell r="B102">
            <v>3020720</v>
          </cell>
          <cell r="C102">
            <v>0</v>
          </cell>
        </row>
        <row r="103">
          <cell r="B103">
            <v>3020718</v>
          </cell>
          <cell r="C103">
            <v>0</v>
          </cell>
        </row>
        <row r="104">
          <cell r="B104" t="str">
            <v>SR REGE INSTITUT</v>
          </cell>
          <cell r="C104">
            <v>0</v>
          </cell>
        </row>
        <row r="105">
          <cell r="B105">
            <v>1010116</v>
          </cell>
          <cell r="C105">
            <v>0</v>
          </cell>
        </row>
        <row r="106">
          <cell r="B106">
            <v>1020202</v>
          </cell>
          <cell r="C106">
            <v>0</v>
          </cell>
        </row>
        <row r="107">
          <cell r="B107">
            <v>1020310</v>
          </cell>
          <cell r="C107">
            <v>0</v>
          </cell>
        </row>
        <row r="108">
          <cell r="B108">
            <v>1020401</v>
          </cell>
          <cell r="C108">
            <v>0</v>
          </cell>
        </row>
        <row r="109">
          <cell r="B109">
            <v>1020302</v>
          </cell>
          <cell r="C109">
            <v>0</v>
          </cell>
        </row>
        <row r="110">
          <cell r="B110">
            <v>1020721</v>
          </cell>
          <cell r="C110">
            <v>0</v>
          </cell>
        </row>
        <row r="111">
          <cell r="B111">
            <v>1020107</v>
          </cell>
          <cell r="C111">
            <v>0</v>
          </cell>
        </row>
        <row r="112">
          <cell r="B112">
            <v>1020102</v>
          </cell>
          <cell r="C112">
            <v>0</v>
          </cell>
        </row>
        <row r="113">
          <cell r="B113">
            <v>1020722</v>
          </cell>
          <cell r="C113">
            <v>0</v>
          </cell>
        </row>
        <row r="114">
          <cell r="B114">
            <v>1020719</v>
          </cell>
          <cell r="C114">
            <v>0</v>
          </cell>
        </row>
        <row r="115">
          <cell r="B115">
            <v>1020717</v>
          </cell>
          <cell r="C115">
            <v>0</v>
          </cell>
        </row>
        <row r="116">
          <cell r="B116">
            <v>1020718</v>
          </cell>
          <cell r="C116">
            <v>0</v>
          </cell>
        </row>
        <row r="117">
          <cell r="B117">
            <v>1020301</v>
          </cell>
          <cell r="C117">
            <v>0</v>
          </cell>
        </row>
        <row r="118">
          <cell r="B118">
            <v>1020720</v>
          </cell>
          <cell r="C118">
            <v>0</v>
          </cell>
        </row>
        <row r="119">
          <cell r="B119" t="str">
            <v>PANNEAU REGE</v>
          </cell>
          <cell r="C119">
            <v>0</v>
          </cell>
        </row>
        <row r="120">
          <cell r="B120" t="str">
            <v>PRESENTOIR REGE</v>
          </cell>
          <cell r="C120">
            <v>0</v>
          </cell>
        </row>
        <row r="121">
          <cell r="B121">
            <v>3020202</v>
          </cell>
          <cell r="C121">
            <v>0</v>
          </cell>
        </row>
        <row r="122">
          <cell r="B122">
            <v>3020301</v>
          </cell>
          <cell r="C122">
            <v>0</v>
          </cell>
        </row>
        <row r="123">
          <cell r="B123">
            <v>3020720</v>
          </cell>
          <cell r="C123">
            <v>0</v>
          </cell>
        </row>
        <row r="124">
          <cell r="B124">
            <v>3020718</v>
          </cell>
          <cell r="C124">
            <v>0</v>
          </cell>
        </row>
        <row r="125">
          <cell r="B125" t="str">
            <v>SR REGE INSTITUT</v>
          </cell>
          <cell r="C125">
            <v>0</v>
          </cell>
        </row>
        <row r="126">
          <cell r="B126">
            <v>1010116</v>
          </cell>
          <cell r="C126">
            <v>0</v>
          </cell>
        </row>
        <row r="127">
          <cell r="B127">
            <v>1020202</v>
          </cell>
          <cell r="C127">
            <v>455</v>
          </cell>
        </row>
        <row r="128">
          <cell r="B128">
            <v>1020310</v>
          </cell>
          <cell r="C128">
            <v>210</v>
          </cell>
        </row>
        <row r="129">
          <cell r="B129">
            <v>1020401</v>
          </cell>
          <cell r="C129">
            <v>280</v>
          </cell>
        </row>
        <row r="130">
          <cell r="B130">
            <v>1020302</v>
          </cell>
          <cell r="C130">
            <v>140</v>
          </cell>
        </row>
        <row r="131">
          <cell r="B131">
            <v>1020721</v>
          </cell>
          <cell r="C131">
            <v>0</v>
          </cell>
        </row>
        <row r="132">
          <cell r="B132">
            <v>1020107</v>
          </cell>
          <cell r="C132">
            <v>105</v>
          </cell>
        </row>
        <row r="133">
          <cell r="B133">
            <v>1020102</v>
          </cell>
          <cell r="C133">
            <v>175</v>
          </cell>
        </row>
        <row r="134">
          <cell r="B134">
            <v>1020722</v>
          </cell>
          <cell r="C134">
            <v>0</v>
          </cell>
        </row>
        <row r="135">
          <cell r="B135">
            <v>1020719</v>
          </cell>
          <cell r="C135">
            <v>210</v>
          </cell>
        </row>
        <row r="136">
          <cell r="B136">
            <v>1020717</v>
          </cell>
          <cell r="C136">
            <v>175</v>
          </cell>
        </row>
        <row r="137">
          <cell r="B137">
            <v>1020718</v>
          </cell>
          <cell r="C137">
            <v>350</v>
          </cell>
        </row>
        <row r="138">
          <cell r="B138">
            <v>1020301</v>
          </cell>
          <cell r="C138">
            <v>525</v>
          </cell>
        </row>
        <row r="139">
          <cell r="B139">
            <v>1020720</v>
          </cell>
          <cell r="C139">
            <v>525</v>
          </cell>
        </row>
        <row r="140">
          <cell r="B140" t="str">
            <v>PANNEAU REGE</v>
          </cell>
          <cell r="C140">
            <v>20</v>
          </cell>
        </row>
        <row r="141">
          <cell r="B141" t="str">
            <v>PRESENTOIR REGE</v>
          </cell>
          <cell r="C141">
            <v>30</v>
          </cell>
        </row>
        <row r="142">
          <cell r="B142">
            <v>3020202</v>
          </cell>
          <cell r="C142">
            <v>70</v>
          </cell>
        </row>
        <row r="143">
          <cell r="B143">
            <v>3020301</v>
          </cell>
          <cell r="C143">
            <v>70</v>
          </cell>
        </row>
        <row r="144">
          <cell r="B144">
            <v>3020720</v>
          </cell>
          <cell r="C144">
            <v>70</v>
          </cell>
        </row>
        <row r="145">
          <cell r="B145">
            <v>3020718</v>
          </cell>
          <cell r="C145">
            <v>70</v>
          </cell>
        </row>
        <row r="146">
          <cell r="B146" t="str">
            <v>TG 3D</v>
          </cell>
          <cell r="C146">
            <v>30</v>
          </cell>
        </row>
        <row r="149">
          <cell r="B149" t="str">
            <v>ONPACK ROSE</v>
          </cell>
          <cell r="C149">
            <v>1620</v>
          </cell>
        </row>
        <row r="150">
          <cell r="B150" t="str">
            <v>ONPACK LEGERE ROSE</v>
          </cell>
          <cell r="C150">
            <v>1220</v>
          </cell>
        </row>
        <row r="151">
          <cell r="B151" t="str">
            <v>ONPACK MELISSE</v>
          </cell>
          <cell r="C151">
            <v>980</v>
          </cell>
        </row>
        <row r="152">
          <cell r="B152" t="str">
            <v>ONPACK COING</v>
          </cell>
          <cell r="C152">
            <v>980</v>
          </cell>
        </row>
        <row r="153">
          <cell r="B153" t="str">
            <v>ONPACK ABRICOT</v>
          </cell>
          <cell r="C153">
            <v>1100</v>
          </cell>
        </row>
        <row r="154">
          <cell r="B154" t="str">
            <v>PANNEAU ONPACKS 2026</v>
          </cell>
          <cell r="C154">
            <v>21</v>
          </cell>
        </row>
        <row r="155">
          <cell r="B155" t="str">
            <v>PRESENTOIR ONPACKS 2026</v>
          </cell>
          <cell r="C155">
            <v>30</v>
          </cell>
        </row>
        <row r="156">
          <cell r="B156">
            <v>3010310</v>
          </cell>
          <cell r="C156">
            <v>40</v>
          </cell>
        </row>
        <row r="157">
          <cell r="B157">
            <v>3010302</v>
          </cell>
          <cell r="C157">
            <v>40</v>
          </cell>
        </row>
        <row r="158">
          <cell r="B158">
            <v>3010305</v>
          </cell>
          <cell r="C158">
            <v>40</v>
          </cell>
        </row>
        <row r="159">
          <cell r="B159">
            <v>3010306</v>
          </cell>
          <cell r="C159">
            <v>40</v>
          </cell>
        </row>
        <row r="160">
          <cell r="B160">
            <v>3010377</v>
          </cell>
          <cell r="C160">
            <v>40</v>
          </cell>
        </row>
        <row r="161">
          <cell r="B161">
            <v>3010353</v>
          </cell>
          <cell r="C161">
            <v>40</v>
          </cell>
        </row>
        <row r="162">
          <cell r="B162" t="str">
            <v>SR ONPACKS</v>
          </cell>
          <cell r="C162">
            <v>31</v>
          </cell>
        </row>
        <row r="163">
          <cell r="B163" t="str">
            <v>ONPACK ROSE</v>
          </cell>
          <cell r="C163">
            <v>1540</v>
          </cell>
        </row>
        <row r="164">
          <cell r="B164" t="str">
            <v>ONPACK LEGERE ROSE</v>
          </cell>
          <cell r="C164">
            <v>980</v>
          </cell>
        </row>
        <row r="165">
          <cell r="B165" t="str">
            <v>ONPACK MELISSE</v>
          </cell>
          <cell r="C165">
            <v>560</v>
          </cell>
        </row>
        <row r="166">
          <cell r="B166" t="str">
            <v>ONPACK COING</v>
          </cell>
          <cell r="C166">
            <v>420</v>
          </cell>
        </row>
        <row r="167">
          <cell r="B167" t="str">
            <v>ONPACK ABRICOT</v>
          </cell>
          <cell r="C167">
            <v>700</v>
          </cell>
        </row>
        <row r="168">
          <cell r="B168" t="str">
            <v>PANNEAU ONPACKS 2026</v>
          </cell>
          <cell r="C168">
            <v>60</v>
          </cell>
        </row>
        <row r="169">
          <cell r="B169" t="str">
            <v>PRESENTOIR ONPACKS 2026</v>
          </cell>
          <cell r="C169">
            <v>100</v>
          </cell>
        </row>
        <row r="170">
          <cell r="B170">
            <v>3010310</v>
          </cell>
          <cell r="C170">
            <v>140</v>
          </cell>
        </row>
        <row r="171">
          <cell r="B171">
            <v>3010302</v>
          </cell>
          <cell r="C171">
            <v>140</v>
          </cell>
        </row>
        <row r="172">
          <cell r="B172">
            <v>3010305</v>
          </cell>
          <cell r="C172">
            <v>140</v>
          </cell>
        </row>
        <row r="173">
          <cell r="B173">
            <v>3010306</v>
          </cell>
          <cell r="C173">
            <v>140</v>
          </cell>
        </row>
        <row r="174">
          <cell r="B174">
            <v>3010377</v>
          </cell>
          <cell r="C174">
            <v>140</v>
          </cell>
        </row>
        <row r="175">
          <cell r="B175">
            <v>3010353</v>
          </cell>
          <cell r="C175">
            <v>140</v>
          </cell>
        </row>
        <row r="176">
          <cell r="B176" t="str">
            <v>SR ONPACKS</v>
          </cell>
          <cell r="C176">
            <v>100</v>
          </cell>
        </row>
        <row r="177">
          <cell r="B177" t="str">
            <v>ONPACK ROSE</v>
          </cell>
          <cell r="C177">
            <v>600</v>
          </cell>
        </row>
        <row r="178">
          <cell r="B178" t="str">
            <v>ONPACK LEGERE ROSE</v>
          </cell>
          <cell r="C178">
            <v>360</v>
          </cell>
        </row>
        <row r="179">
          <cell r="B179" t="str">
            <v>ONPACK MELISSE</v>
          </cell>
          <cell r="C179">
            <v>240</v>
          </cell>
        </row>
        <row r="180">
          <cell r="B180" t="str">
            <v>ONPACK COING</v>
          </cell>
          <cell r="C180">
            <v>240</v>
          </cell>
        </row>
        <row r="181">
          <cell r="B181" t="str">
            <v>ONPACK ABRICOT</v>
          </cell>
          <cell r="C181">
            <v>360</v>
          </cell>
        </row>
        <row r="182">
          <cell r="B182" t="str">
            <v>PANNEAU ONPACKS 2026</v>
          </cell>
          <cell r="C182">
            <v>50</v>
          </cell>
        </row>
        <row r="183">
          <cell r="B183" t="str">
            <v>PRESENTOIR ONPACKS 2026</v>
          </cell>
          <cell r="C183">
            <v>0</v>
          </cell>
        </row>
        <row r="184">
          <cell r="B184">
            <v>3010310</v>
          </cell>
          <cell r="C184">
            <v>120</v>
          </cell>
        </row>
        <row r="185">
          <cell r="B185">
            <v>3010302</v>
          </cell>
          <cell r="C185">
            <v>120</v>
          </cell>
        </row>
        <row r="186">
          <cell r="B186">
            <v>3010305</v>
          </cell>
          <cell r="C186">
            <v>120</v>
          </cell>
        </row>
        <row r="187">
          <cell r="B187">
            <v>3010306</v>
          </cell>
          <cell r="C187">
            <v>120</v>
          </cell>
        </row>
        <row r="188">
          <cell r="B188">
            <v>3010377</v>
          </cell>
          <cell r="C188">
            <v>120</v>
          </cell>
        </row>
        <row r="189">
          <cell r="B189">
            <v>3010353</v>
          </cell>
          <cell r="C189">
            <v>120</v>
          </cell>
        </row>
        <row r="190">
          <cell r="B190" t="str">
            <v>SR ONPACKS</v>
          </cell>
          <cell r="C190">
            <v>90</v>
          </cell>
        </row>
        <row r="191">
          <cell r="B191" t="str">
            <v>Non Trouvé</v>
          </cell>
          <cell r="C191" t="e">
            <v>#VALUE!</v>
          </cell>
        </row>
        <row r="192">
          <cell r="B192" t="str">
            <v>Non Trouvé</v>
          </cell>
          <cell r="C192" t="e">
            <v>#VALUE!</v>
          </cell>
        </row>
        <row r="193">
          <cell r="B193" t="str">
            <v>Non Trouvé</v>
          </cell>
          <cell r="C193" t="e">
            <v>#VALUE!</v>
          </cell>
        </row>
        <row r="194">
          <cell r="B194" t="str">
            <v>Non Trouvé</v>
          </cell>
          <cell r="C194" t="e">
            <v>#VALUE!</v>
          </cell>
        </row>
        <row r="195">
          <cell r="B195" t="str">
            <v>Non Trouvé</v>
          </cell>
          <cell r="C195" t="e">
            <v>#VALUE!</v>
          </cell>
        </row>
        <row r="196">
          <cell r="B196" t="str">
            <v>Non Trouvé</v>
          </cell>
          <cell r="C196" t="e">
            <v>#VALUE!</v>
          </cell>
        </row>
        <row r="197">
          <cell r="B197" t="str">
            <v>Non Trouvé</v>
          </cell>
          <cell r="C197" t="e">
            <v>#VALUE!</v>
          </cell>
        </row>
        <row r="198">
          <cell r="B198" t="str">
            <v>Non Trouvé</v>
          </cell>
          <cell r="C198" t="e">
            <v>#VALUE!</v>
          </cell>
        </row>
        <row r="199">
          <cell r="B199" t="str">
            <v>Non Trouvé</v>
          </cell>
          <cell r="C199" t="e">
            <v>#VALUE!</v>
          </cell>
        </row>
        <row r="200">
          <cell r="B200" t="str">
            <v>Non Trouvé</v>
          </cell>
          <cell r="C200" t="e">
            <v>#VALUE!</v>
          </cell>
        </row>
        <row r="201">
          <cell r="B201" t="str">
            <v>Non Trouvé</v>
          </cell>
          <cell r="C201" t="e">
            <v>#VALUE!</v>
          </cell>
        </row>
        <row r="202">
          <cell r="B202" t="str">
            <v>Non Trouvé</v>
          </cell>
          <cell r="C202" t="e">
            <v>#VALUE!</v>
          </cell>
        </row>
        <row r="203">
          <cell r="B203" t="str">
            <v>Non Trouvé</v>
          </cell>
          <cell r="C203" t="e">
            <v>#VALUE!</v>
          </cell>
        </row>
        <row r="204">
          <cell r="B204" t="str">
            <v>Non Trouvé</v>
          </cell>
          <cell r="C204" t="e">
            <v>#VALUE!</v>
          </cell>
        </row>
        <row r="205">
          <cell r="B205" t="str">
            <v>Non Trouvé</v>
          </cell>
          <cell r="C205" t="e">
            <v>#VALUE!</v>
          </cell>
        </row>
        <row r="206">
          <cell r="B206" t="str">
            <v>Non Trouvé</v>
          </cell>
          <cell r="C206" t="e">
            <v>#VALUE!</v>
          </cell>
        </row>
        <row r="207">
          <cell r="B207" t="str">
            <v>Non Trouvé</v>
          </cell>
          <cell r="C207" t="e">
            <v>#VALUE!</v>
          </cell>
        </row>
        <row r="208">
          <cell r="B208" t="str">
            <v>Non Trouvé</v>
          </cell>
          <cell r="C208" t="e">
            <v>#VALUE!</v>
          </cell>
        </row>
        <row r="209">
          <cell r="B209" t="str">
            <v>Non Trouvé</v>
          </cell>
          <cell r="C209" t="e">
            <v>#VALUE!</v>
          </cell>
        </row>
        <row r="210">
          <cell r="B210" t="str">
            <v>Non Trouvé</v>
          </cell>
          <cell r="C210" t="e">
            <v>#VALUE!</v>
          </cell>
        </row>
        <row r="211">
          <cell r="B211" t="str">
            <v>Non Trouvé</v>
          </cell>
          <cell r="C211" t="e">
            <v>#VALUE!</v>
          </cell>
        </row>
        <row r="212">
          <cell r="B212" t="str">
            <v>Non Trouvé</v>
          </cell>
          <cell r="C212" t="e">
            <v>#VALUE!</v>
          </cell>
        </row>
        <row r="213">
          <cell r="B213" t="str">
            <v>Non Trouvé</v>
          </cell>
          <cell r="C213" t="e">
            <v>#VALUE!</v>
          </cell>
        </row>
        <row r="214">
          <cell r="B214" t="str">
            <v>Non Trouvé</v>
          </cell>
          <cell r="C214" t="e">
            <v>#VALUE!</v>
          </cell>
        </row>
        <row r="215">
          <cell r="B215" t="str">
            <v>Non Trouvé</v>
          </cell>
          <cell r="C215" t="e">
            <v>#VALUE!</v>
          </cell>
        </row>
        <row r="216">
          <cell r="B216" t="str">
            <v>Non Trouvé</v>
          </cell>
          <cell r="C216" t="e">
            <v>#VALUE!</v>
          </cell>
        </row>
        <row r="217">
          <cell r="B217" t="str">
            <v>Non Trouvé</v>
          </cell>
          <cell r="C217" t="e">
            <v>#VALUE!</v>
          </cell>
        </row>
        <row r="218">
          <cell r="B218" t="str">
            <v>Non Trouvé</v>
          </cell>
          <cell r="C218" t="e">
            <v>#VALUE!</v>
          </cell>
        </row>
        <row r="219">
          <cell r="B219" t="str">
            <v>Non Trouvé</v>
          </cell>
          <cell r="C219" t="e">
            <v>#VALUE!</v>
          </cell>
        </row>
        <row r="220">
          <cell r="B220" t="str">
            <v>Non Trouvé</v>
          </cell>
          <cell r="C220" t="e">
            <v>#VALUE!</v>
          </cell>
        </row>
        <row r="221">
          <cell r="B221" t="str">
            <v>Non Trouvé</v>
          </cell>
          <cell r="C221" t="e">
            <v>#VALUE!</v>
          </cell>
        </row>
        <row r="222">
          <cell r="B222" t="str">
            <v>Non Trouvé</v>
          </cell>
          <cell r="C222" t="e">
            <v>#VALUE!</v>
          </cell>
        </row>
        <row r="223">
          <cell r="B223" t="str">
            <v>Non Trouvé</v>
          </cell>
          <cell r="C223" t="e">
            <v>#VALUE!</v>
          </cell>
        </row>
        <row r="224">
          <cell r="B224" t="str">
            <v>Non Trouvé</v>
          </cell>
          <cell r="C224" t="e">
            <v>#VALUE!</v>
          </cell>
        </row>
        <row r="225">
          <cell r="B225" t="str">
            <v>Non Trouvé</v>
          </cell>
          <cell r="C225" t="e">
            <v>#VALUE!</v>
          </cell>
        </row>
        <row r="226">
          <cell r="B226" t="str">
            <v>Non Trouvé</v>
          </cell>
          <cell r="C226" t="e">
            <v>#VALUE!</v>
          </cell>
        </row>
        <row r="227">
          <cell r="B227" t="str">
            <v>Non Trouvé</v>
          </cell>
          <cell r="C227" t="e">
            <v>#VALUE!</v>
          </cell>
        </row>
        <row r="228">
          <cell r="B228" t="str">
            <v>Non Trouvé</v>
          </cell>
          <cell r="C228" t="e">
            <v>#VALUE!</v>
          </cell>
        </row>
        <row r="229">
          <cell r="B229" t="str">
            <v>Non Trouvé</v>
          </cell>
          <cell r="C229" t="e">
            <v>#VALUE!</v>
          </cell>
        </row>
        <row r="230">
          <cell r="B230" t="str">
            <v>Non Trouvé</v>
          </cell>
          <cell r="C230" t="e">
            <v>#VALUE!</v>
          </cell>
        </row>
        <row r="231">
          <cell r="B231" t="str">
            <v>Non Trouvé</v>
          </cell>
          <cell r="C231" t="e">
            <v>#VALUE!</v>
          </cell>
        </row>
        <row r="232">
          <cell r="B232" t="str">
            <v>Non Trouvé</v>
          </cell>
          <cell r="C232" t="e">
            <v>#VALUE!</v>
          </cell>
        </row>
        <row r="233">
          <cell r="B233" t="str">
            <v>Non Trouvé</v>
          </cell>
          <cell r="C233" t="e">
            <v>#VALUE!</v>
          </cell>
        </row>
        <row r="234">
          <cell r="B234" t="str">
            <v>Non Trouvé</v>
          </cell>
          <cell r="C234" t="e">
            <v>#VALUE!</v>
          </cell>
        </row>
        <row r="235">
          <cell r="B235" t="str">
            <v>Non Trouvé</v>
          </cell>
          <cell r="C235" t="e">
            <v>#VALUE!</v>
          </cell>
        </row>
        <row r="236">
          <cell r="B236" t="str">
            <v>Non Trouvé</v>
          </cell>
          <cell r="C236" t="e">
            <v>#VALUE!</v>
          </cell>
        </row>
        <row r="237">
          <cell r="B237" t="str">
            <v>Non Trouvé</v>
          </cell>
          <cell r="C237" t="e">
            <v>#VALUE!</v>
          </cell>
        </row>
        <row r="238">
          <cell r="B238" t="str">
            <v>Non Trouvé</v>
          </cell>
          <cell r="C238" t="e">
            <v>#VALUE!</v>
          </cell>
        </row>
        <row r="239">
          <cell r="B239" t="str">
            <v>Non Trouvé</v>
          </cell>
          <cell r="C239" t="e">
            <v>#VALUE!</v>
          </cell>
        </row>
        <row r="240">
          <cell r="B240" t="str">
            <v>Non Trouvé</v>
          </cell>
          <cell r="C240" t="e">
            <v>#VALUE!</v>
          </cell>
        </row>
        <row r="241">
          <cell r="B241" t="str">
            <v>Non Trouvé</v>
          </cell>
          <cell r="C241" t="e">
            <v>#VALUE!</v>
          </cell>
        </row>
        <row r="242">
          <cell r="B242" t="str">
            <v>Non Trouvé</v>
          </cell>
          <cell r="C242" t="e">
            <v>#VALUE!</v>
          </cell>
        </row>
        <row r="243">
          <cell r="B243" t="str">
            <v>Non Trouvé</v>
          </cell>
          <cell r="C243" t="e">
            <v>#VALUE!</v>
          </cell>
        </row>
        <row r="244">
          <cell r="B244" t="str">
            <v>Non Trouvé</v>
          </cell>
          <cell r="C244" t="e">
            <v>#VALUE!</v>
          </cell>
        </row>
        <row r="245">
          <cell r="B245" t="str">
            <v>Non Trouvé</v>
          </cell>
          <cell r="C245" t="e">
            <v>#VALUE!</v>
          </cell>
        </row>
        <row r="246">
          <cell r="B246" t="str">
            <v>Non Trouvé</v>
          </cell>
          <cell r="C246" t="e">
            <v>#VALUE!</v>
          </cell>
        </row>
        <row r="247">
          <cell r="B247" t="str">
            <v>Non Trouvé</v>
          </cell>
          <cell r="C247" t="e">
            <v>#VALUE!</v>
          </cell>
        </row>
        <row r="248">
          <cell r="B248" t="str">
            <v>Non Trouvé</v>
          </cell>
          <cell r="C248" t="e">
            <v>#VALUE!</v>
          </cell>
        </row>
        <row r="249">
          <cell r="B249" t="str">
            <v>Non Trouvé</v>
          </cell>
          <cell r="C249" t="e">
            <v>#VALUE!</v>
          </cell>
        </row>
        <row r="250">
          <cell r="B250" t="str">
            <v>Non Trouvé</v>
          </cell>
          <cell r="C250" t="e">
            <v>#VALUE!</v>
          </cell>
        </row>
        <row r="251">
          <cell r="B251" t="str">
            <v>Non Trouvé</v>
          </cell>
          <cell r="C251" t="e">
            <v>#VALUE!</v>
          </cell>
        </row>
        <row r="252">
          <cell r="B252" t="str">
            <v>Non Trouvé</v>
          </cell>
          <cell r="C252" t="e">
            <v>#VALUE!</v>
          </cell>
        </row>
        <row r="253">
          <cell r="B253" t="str">
            <v>Non Trouvé</v>
          </cell>
          <cell r="C253" t="e">
            <v>#VALUE!</v>
          </cell>
        </row>
        <row r="254">
          <cell r="B254" t="str">
            <v>Non Trouvé</v>
          </cell>
          <cell r="C254" t="e">
            <v>#VALUE!</v>
          </cell>
        </row>
        <row r="255">
          <cell r="B255" t="str">
            <v>Non Trouvé</v>
          </cell>
          <cell r="C255" t="e">
            <v>#VALUE!</v>
          </cell>
        </row>
        <row r="256">
          <cell r="B256" t="str">
            <v>Non Trouvé</v>
          </cell>
          <cell r="C256" t="e">
            <v>#VALUE!</v>
          </cell>
        </row>
        <row r="257">
          <cell r="B257" t="str">
            <v>Non Trouvé</v>
          </cell>
          <cell r="C257" t="e">
            <v>#VALUE!</v>
          </cell>
        </row>
        <row r="258">
          <cell r="B258" t="str">
            <v>Non Trouvé</v>
          </cell>
          <cell r="C258" t="e">
            <v>#VALUE!</v>
          </cell>
        </row>
        <row r="259">
          <cell r="B259" t="str">
            <v>Non Trouvé</v>
          </cell>
          <cell r="C259" t="e">
            <v>#VALUE!</v>
          </cell>
        </row>
        <row r="260">
          <cell r="B260" t="str">
            <v>Non Trouvé</v>
          </cell>
          <cell r="C260" t="e">
            <v>#VALUE!</v>
          </cell>
        </row>
        <row r="261">
          <cell r="B261" t="str">
            <v>Non Trouvé</v>
          </cell>
          <cell r="C261" t="e">
            <v>#VALUE!</v>
          </cell>
        </row>
        <row r="262">
          <cell r="B262" t="str">
            <v>Non Trouvé</v>
          </cell>
          <cell r="C262" t="e">
            <v>#VALUE!</v>
          </cell>
        </row>
        <row r="263">
          <cell r="B263" t="str">
            <v>Non Trouvé</v>
          </cell>
          <cell r="C263" t="e">
            <v>#VALUE!</v>
          </cell>
        </row>
        <row r="264">
          <cell r="B264" t="str">
            <v>Non Trouvé</v>
          </cell>
          <cell r="C264" t="e">
            <v>#VALUE!</v>
          </cell>
        </row>
        <row r="265">
          <cell r="B265" t="str">
            <v>Non Trouvé</v>
          </cell>
          <cell r="C265" t="e">
            <v>#VALUE!</v>
          </cell>
        </row>
        <row r="266">
          <cell r="B266" t="str">
            <v>Non Trouvé</v>
          </cell>
          <cell r="C266" t="e">
            <v>#VALUE!</v>
          </cell>
        </row>
        <row r="267">
          <cell r="B267" t="str">
            <v>Non Trouvé</v>
          </cell>
          <cell r="C267" t="e">
            <v>#VALUE!</v>
          </cell>
        </row>
        <row r="268">
          <cell r="B268" t="str">
            <v>Non Trouvé</v>
          </cell>
          <cell r="C268" t="e">
            <v>#VALUE!</v>
          </cell>
        </row>
        <row r="271">
          <cell r="B271" t="str">
            <v>KIT DECOUVERTE ABRICOT</v>
          </cell>
          <cell r="C271">
            <v>4020</v>
          </cell>
        </row>
        <row r="272">
          <cell r="B272" t="str">
            <v>KIT DECOUVERTE ROSE</v>
          </cell>
          <cell r="C272">
            <v>4020</v>
          </cell>
        </row>
        <row r="273">
          <cell r="B273" t="str">
            <v>Non Trouvé</v>
          </cell>
          <cell r="C273" t="e">
            <v>#VALUE!</v>
          </cell>
        </row>
        <row r="274">
          <cell r="B274" t="str">
            <v>Non Trouvé</v>
          </cell>
          <cell r="C274" t="e">
            <v>#VALUE!</v>
          </cell>
        </row>
        <row r="275">
          <cell r="B275" t="str">
            <v>Non Trouvé</v>
          </cell>
          <cell r="C275" t="e">
            <v>#VALUE!</v>
          </cell>
        </row>
        <row r="276">
          <cell r="B276" t="str">
            <v>Non Trouvé</v>
          </cell>
          <cell r="C276" t="e">
            <v>#VALUE!</v>
          </cell>
        </row>
        <row r="277">
          <cell r="B277" t="str">
            <v>Non Trouvé</v>
          </cell>
          <cell r="C277" t="e">
            <v>#VALUE!</v>
          </cell>
        </row>
        <row r="278">
          <cell r="B278" t="str">
            <v>Non Trouvé</v>
          </cell>
          <cell r="C278" t="e">
            <v>#VALUE!</v>
          </cell>
        </row>
        <row r="279">
          <cell r="B279" t="str">
            <v>Non Trouvé</v>
          </cell>
          <cell r="C279" t="e">
            <v>#VALUE!</v>
          </cell>
        </row>
        <row r="280">
          <cell r="B280" t="str">
            <v>Non Trouvé</v>
          </cell>
          <cell r="C280" t="e">
            <v>#VALUE!</v>
          </cell>
        </row>
        <row r="281">
          <cell r="B281" t="str">
            <v>Non Trouvé</v>
          </cell>
          <cell r="C281" t="e">
            <v>#VALUE!</v>
          </cell>
        </row>
        <row r="282">
          <cell r="B282" t="str">
            <v>Non Trouvé</v>
          </cell>
          <cell r="C282" t="e">
            <v>#VALUE!</v>
          </cell>
        </row>
        <row r="283">
          <cell r="B283" t="str">
            <v>Non Trouvé</v>
          </cell>
          <cell r="C283" t="e">
            <v>#VALUE!</v>
          </cell>
        </row>
        <row r="284">
          <cell r="B284" t="str">
            <v>Non Trouvé</v>
          </cell>
          <cell r="C284" t="e">
            <v>#VALUE!</v>
          </cell>
        </row>
        <row r="285">
          <cell r="B285" t="str">
            <v>Non Trouvé</v>
          </cell>
          <cell r="C285" t="e">
            <v>#VALUE!</v>
          </cell>
        </row>
        <row r="286">
          <cell r="B286" t="str">
            <v>Non Trouvé</v>
          </cell>
          <cell r="C286" t="e">
            <v>#VALUE!</v>
          </cell>
        </row>
        <row r="287">
          <cell r="B287" t="str">
            <v>Non Trouvé</v>
          </cell>
          <cell r="C287" t="e">
            <v>#VALUE!</v>
          </cell>
        </row>
        <row r="288">
          <cell r="B288" t="str">
            <v>Non Trouvé</v>
          </cell>
          <cell r="C288" t="e">
            <v>#VALUE!</v>
          </cell>
        </row>
        <row r="289">
          <cell r="B289" t="str">
            <v>Non Trouvé</v>
          </cell>
          <cell r="C289" t="e">
            <v>#VALUE!</v>
          </cell>
        </row>
        <row r="290">
          <cell r="B290" t="str">
            <v>Non Trouvé</v>
          </cell>
          <cell r="C290" t="e">
            <v>#VALUE!</v>
          </cell>
        </row>
        <row r="291">
          <cell r="B291" t="str">
            <v>Non Trouvé</v>
          </cell>
          <cell r="C291" t="e">
            <v>#VALUE!</v>
          </cell>
        </row>
        <row r="292">
          <cell r="B292" t="str">
            <v>Non Trouvé</v>
          </cell>
          <cell r="C292" t="e">
            <v>#VALUE!</v>
          </cell>
        </row>
        <row r="293">
          <cell r="B293" t="str">
            <v>Non Trouvé</v>
          </cell>
          <cell r="C293" t="e">
            <v>#VALUE!</v>
          </cell>
        </row>
        <row r="294">
          <cell r="B294" t="str">
            <v>Non Trouvé</v>
          </cell>
          <cell r="C294" t="e">
            <v>#VALUE!</v>
          </cell>
        </row>
        <row r="295">
          <cell r="B295" t="str">
            <v>Non Trouvé</v>
          </cell>
          <cell r="C295" t="e">
            <v>#VALUE!</v>
          </cell>
        </row>
        <row r="296">
          <cell r="B296" t="str">
            <v>Non Trouvé</v>
          </cell>
          <cell r="C296" t="e">
            <v>#VALUE!</v>
          </cell>
        </row>
        <row r="297">
          <cell r="B297" t="str">
            <v>Non Trouvé</v>
          </cell>
          <cell r="C297" t="e">
            <v>#VALUE!</v>
          </cell>
        </row>
        <row r="298">
          <cell r="B298" t="str">
            <v>Non Trouvé</v>
          </cell>
          <cell r="C298" t="e">
            <v>#VALUE!</v>
          </cell>
        </row>
        <row r="299">
          <cell r="B299" t="str">
            <v>Non Trouvé</v>
          </cell>
          <cell r="C299" t="e">
            <v>#VALUE!</v>
          </cell>
        </row>
        <row r="300">
          <cell r="B300" t="str">
            <v>Non Trouvé</v>
          </cell>
          <cell r="C300" t="e">
            <v>#VALUE!</v>
          </cell>
        </row>
        <row r="301">
          <cell r="B301" t="str">
            <v>Non Trouvé</v>
          </cell>
          <cell r="C301" t="e">
            <v>#VALUE!</v>
          </cell>
        </row>
        <row r="302">
          <cell r="B302" t="str">
            <v>Non Trouvé</v>
          </cell>
          <cell r="C302" t="e">
            <v>#VALUE!</v>
          </cell>
        </row>
        <row r="303">
          <cell r="B303" t="str">
            <v>Non Trouvé</v>
          </cell>
          <cell r="C303" t="e">
            <v>#VALUE!</v>
          </cell>
        </row>
        <row r="304">
          <cell r="B304" t="str">
            <v>Non Trouvé</v>
          </cell>
          <cell r="C304" t="e">
            <v>#VALUE!</v>
          </cell>
        </row>
        <row r="305">
          <cell r="B305" t="str">
            <v>Non Trouvé</v>
          </cell>
          <cell r="C305" t="e">
            <v>#VALUE!</v>
          </cell>
        </row>
        <row r="306">
          <cell r="B306" t="str">
            <v>Non Trouvé</v>
          </cell>
          <cell r="C306" t="e">
            <v>#VALUE!</v>
          </cell>
        </row>
        <row r="307">
          <cell r="B307" t="str">
            <v>Non Trouvé</v>
          </cell>
          <cell r="C307" t="e">
            <v>#VALUE!</v>
          </cell>
        </row>
        <row r="308">
          <cell r="B308" t="str">
            <v>Non Trouvé</v>
          </cell>
          <cell r="C308" t="e">
            <v>#VALUE!</v>
          </cell>
        </row>
        <row r="309">
          <cell r="B309" t="str">
            <v>Non Trouvé</v>
          </cell>
          <cell r="C309" t="e">
            <v>#VALUE!</v>
          </cell>
        </row>
        <row r="310">
          <cell r="B310" t="str">
            <v>Non Trouvé</v>
          </cell>
          <cell r="C310" t="e">
            <v>#VALUE!</v>
          </cell>
        </row>
        <row r="311">
          <cell r="B311" t="str">
            <v>Non Trouvé</v>
          </cell>
          <cell r="C311" t="e">
            <v>#VALUE!</v>
          </cell>
        </row>
        <row r="312">
          <cell r="B312" t="str">
            <v>Non Trouvé</v>
          </cell>
          <cell r="C312" t="e">
            <v>#VALUE!</v>
          </cell>
        </row>
        <row r="313">
          <cell r="B313" t="str">
            <v>Non Trouvé</v>
          </cell>
          <cell r="C313" t="e">
            <v>#VALUE!</v>
          </cell>
        </row>
        <row r="314">
          <cell r="B314" t="str">
            <v>Non Trouvé</v>
          </cell>
          <cell r="C314" t="e">
            <v>#VALUE!</v>
          </cell>
        </row>
        <row r="315">
          <cell r="B315" t="str">
            <v>Non Trouvé</v>
          </cell>
          <cell r="C315" t="e">
            <v>#VALUE!</v>
          </cell>
        </row>
        <row r="316">
          <cell r="B316" t="str">
            <v>Non Trouvé</v>
          </cell>
          <cell r="C316" t="e">
            <v>#VALUE!</v>
          </cell>
        </row>
        <row r="317">
          <cell r="B317" t="str">
            <v>Non Trouvé</v>
          </cell>
          <cell r="C317" t="e">
            <v>#VALUE!</v>
          </cell>
        </row>
        <row r="318">
          <cell r="B318" t="str">
            <v>Non Trouvé</v>
          </cell>
          <cell r="C318" t="e">
            <v>#VALUE!</v>
          </cell>
        </row>
        <row r="319">
          <cell r="B319" t="str">
            <v>Non Trouvé</v>
          </cell>
          <cell r="C319" t="e">
            <v>#VALUE!</v>
          </cell>
        </row>
        <row r="320">
          <cell r="B320" t="str">
            <v>Non Trouvé</v>
          </cell>
          <cell r="C320" t="e">
            <v>#VALUE!</v>
          </cell>
        </row>
        <row r="321">
          <cell r="B321" t="str">
            <v>Non Trouvé</v>
          </cell>
          <cell r="C321" t="e">
            <v>#VALUE!</v>
          </cell>
        </row>
        <row r="322">
          <cell r="B322" t="str">
            <v>Non Trouvé</v>
          </cell>
          <cell r="C322" t="e">
            <v>#VALUE!</v>
          </cell>
        </row>
        <row r="323">
          <cell r="B323" t="str">
            <v>Non Trouvé</v>
          </cell>
          <cell r="C323" t="e">
            <v>#VALUE!</v>
          </cell>
        </row>
        <row r="324">
          <cell r="B324" t="str">
            <v>Non Trouvé</v>
          </cell>
          <cell r="C324" t="e">
            <v>#VALUE!</v>
          </cell>
        </row>
        <row r="325">
          <cell r="B325" t="str">
            <v>Non Trouvé</v>
          </cell>
          <cell r="C325" t="e">
            <v>#VALUE!</v>
          </cell>
        </row>
        <row r="326">
          <cell r="B326" t="str">
            <v>Non Trouvé</v>
          </cell>
          <cell r="C326" t="e">
            <v>#VALUE!</v>
          </cell>
        </row>
        <row r="327">
          <cell r="B327" t="str">
            <v>Non Trouvé</v>
          </cell>
          <cell r="C327" t="e">
            <v>#VALUE!</v>
          </cell>
        </row>
        <row r="328">
          <cell r="B328" t="str">
            <v>Non Trouvé</v>
          </cell>
          <cell r="C328" t="e">
            <v>#VALUE!</v>
          </cell>
        </row>
        <row r="329">
          <cell r="B329" t="str">
            <v>Non Trouvé</v>
          </cell>
          <cell r="C329" t="e">
            <v>#VALUE!</v>
          </cell>
        </row>
        <row r="330">
          <cell r="B330" t="str">
            <v>Non Trouvé</v>
          </cell>
          <cell r="C330" t="e">
            <v>#VALUE!</v>
          </cell>
        </row>
        <row r="331">
          <cell r="B331" t="str">
            <v>Non Trouvé</v>
          </cell>
          <cell r="C331" t="e">
            <v>#VALUE!</v>
          </cell>
        </row>
        <row r="332">
          <cell r="B332" t="str">
            <v>Non Trouvé</v>
          </cell>
          <cell r="C332" t="e">
            <v>#VALUE!</v>
          </cell>
        </row>
        <row r="333">
          <cell r="B333" t="str">
            <v>Non Trouvé</v>
          </cell>
          <cell r="C333" t="e">
            <v>#VALUE!</v>
          </cell>
        </row>
        <row r="334">
          <cell r="B334" t="str">
            <v>Non Trouvé</v>
          </cell>
          <cell r="C334" t="e">
            <v>#VALUE!</v>
          </cell>
        </row>
        <row r="335">
          <cell r="B335" t="str">
            <v>Non Trouvé</v>
          </cell>
          <cell r="C335" t="e">
            <v>#VALUE!</v>
          </cell>
        </row>
        <row r="336">
          <cell r="B336" t="str">
            <v>Non Trouvé</v>
          </cell>
          <cell r="C336" t="e">
            <v>#VALUE!</v>
          </cell>
        </row>
        <row r="337">
          <cell r="B337" t="str">
            <v>Non Trouvé</v>
          </cell>
          <cell r="C337" t="e">
            <v>#VALUE!</v>
          </cell>
        </row>
        <row r="338">
          <cell r="B338" t="str">
            <v>Non Trouvé</v>
          </cell>
          <cell r="C338" t="e">
            <v>#VALUE!</v>
          </cell>
        </row>
        <row r="339">
          <cell r="B339" t="str">
            <v>Non Trouvé</v>
          </cell>
          <cell r="C339" t="e">
            <v>#VALUE!</v>
          </cell>
        </row>
        <row r="342">
          <cell r="B342" t="str">
            <v>JUMBO PECHE</v>
          </cell>
          <cell r="C342">
            <v>1710</v>
          </cell>
        </row>
        <row r="343">
          <cell r="B343" t="str">
            <v>JUMBO CERISE</v>
          </cell>
          <cell r="C343">
            <v>1710</v>
          </cell>
        </row>
        <row r="344">
          <cell r="B344" t="str">
            <v>JUMBO RAISIN</v>
          </cell>
          <cell r="C344">
            <v>1710</v>
          </cell>
        </row>
        <row r="345">
          <cell r="B345" t="str">
            <v>JUMBO LITCHI</v>
          </cell>
          <cell r="C345">
            <v>1710</v>
          </cell>
        </row>
        <row r="346">
          <cell r="B346" t="str">
            <v>TESTEUR JUMBO PECHE</v>
          </cell>
          <cell r="C346">
            <v>265</v>
          </cell>
        </row>
        <row r="347">
          <cell r="B347" t="str">
            <v>TESTEUR JUMBO CERISE</v>
          </cell>
          <cell r="C347">
            <v>265</v>
          </cell>
        </row>
        <row r="348">
          <cell r="B348" t="str">
            <v>TESTEUR JUMBO RAISIN</v>
          </cell>
          <cell r="C348">
            <v>265</v>
          </cell>
        </row>
        <row r="349">
          <cell r="B349" t="str">
            <v>TESTEUR JUMBO LITCHI</v>
          </cell>
          <cell r="C349">
            <v>265</v>
          </cell>
        </row>
        <row r="350">
          <cell r="B350" t="str">
            <v>TAILLE CRAYON JUMBO</v>
          </cell>
          <cell r="C350">
            <v>5180</v>
          </cell>
        </row>
        <row r="351">
          <cell r="B351" t="str">
            <v>PRESENTOIR JUMBOS</v>
          </cell>
          <cell r="C351">
            <v>195</v>
          </cell>
        </row>
        <row r="352">
          <cell r="B352" t="str">
            <v>PANNEAU JUMBOS</v>
          </cell>
          <cell r="C352">
            <v>0</v>
          </cell>
        </row>
        <row r="353">
          <cell r="B353" t="str">
            <v>SR OPCA JUMBOS</v>
          </cell>
          <cell r="C353">
            <v>180</v>
          </cell>
        </row>
        <row r="354">
          <cell r="B354" t="str">
            <v>Non Trouvé</v>
          </cell>
          <cell r="C354" t="e">
            <v>#VALUE!</v>
          </cell>
        </row>
        <row r="355">
          <cell r="B355" t="str">
            <v>Non Trouvé</v>
          </cell>
          <cell r="C355" t="e">
            <v>#VALUE!</v>
          </cell>
        </row>
        <row r="356">
          <cell r="B356" t="str">
            <v>Non Trouvé</v>
          </cell>
          <cell r="C356" t="e">
            <v>#VALUE!</v>
          </cell>
        </row>
        <row r="357">
          <cell r="B357" t="str">
            <v>Non Trouvé</v>
          </cell>
          <cell r="C357" t="e">
            <v>#VALUE!</v>
          </cell>
        </row>
        <row r="358">
          <cell r="B358" t="str">
            <v>Non Trouvé</v>
          </cell>
          <cell r="C358" t="e">
            <v>#VALUE!</v>
          </cell>
        </row>
        <row r="359">
          <cell r="B359" t="str">
            <v>Non Trouvé</v>
          </cell>
          <cell r="C359" t="e">
            <v>#VALUE!</v>
          </cell>
        </row>
        <row r="360">
          <cell r="B360" t="str">
            <v>Non Trouvé</v>
          </cell>
          <cell r="C360" t="e">
            <v>#VALUE!</v>
          </cell>
        </row>
        <row r="361">
          <cell r="B361" t="str">
            <v>Non Trouvé</v>
          </cell>
          <cell r="C361" t="e">
            <v>#VALUE!</v>
          </cell>
        </row>
        <row r="362">
          <cell r="B362" t="str">
            <v>Non Trouvé</v>
          </cell>
          <cell r="C362" t="e">
            <v>#VALUE!</v>
          </cell>
        </row>
        <row r="363">
          <cell r="B363" t="str">
            <v>Non Trouvé</v>
          </cell>
          <cell r="C363" t="e">
            <v>#VALUE!</v>
          </cell>
        </row>
        <row r="364">
          <cell r="B364" t="str">
            <v>Non Trouvé</v>
          </cell>
          <cell r="C364" t="e">
            <v>#VALUE!</v>
          </cell>
        </row>
        <row r="365">
          <cell r="B365" t="str">
            <v>Non Trouvé</v>
          </cell>
          <cell r="C365" t="e">
            <v>#VALUE!</v>
          </cell>
        </row>
        <row r="366">
          <cell r="B366" t="str">
            <v>Non Trouvé</v>
          </cell>
          <cell r="C366" t="e">
            <v>#VALUE!</v>
          </cell>
        </row>
        <row r="367">
          <cell r="B367" t="str">
            <v>Non Trouvé</v>
          </cell>
          <cell r="C367" t="e">
            <v>#VALUE!</v>
          </cell>
        </row>
        <row r="368">
          <cell r="B368" t="str">
            <v>Non Trouvé</v>
          </cell>
          <cell r="C368" t="e">
            <v>#VALUE!</v>
          </cell>
        </row>
        <row r="369">
          <cell r="B369" t="str">
            <v>Non Trouvé</v>
          </cell>
          <cell r="C369" t="e">
            <v>#VALUE!</v>
          </cell>
        </row>
        <row r="370">
          <cell r="B370" t="str">
            <v>Non Trouvé</v>
          </cell>
          <cell r="C370" t="e">
            <v>#VALUE!</v>
          </cell>
        </row>
        <row r="371">
          <cell r="B371" t="str">
            <v>Non Trouvé</v>
          </cell>
          <cell r="C371" t="e">
            <v>#VALUE!</v>
          </cell>
        </row>
        <row r="372">
          <cell r="B372" t="str">
            <v>Non Trouvé</v>
          </cell>
          <cell r="C372" t="e">
            <v>#VALUE!</v>
          </cell>
        </row>
        <row r="373">
          <cell r="B373" t="str">
            <v>Non Trouvé</v>
          </cell>
          <cell r="C373" t="e">
            <v>#VALUE!</v>
          </cell>
        </row>
        <row r="374">
          <cell r="B374" t="str">
            <v>Non Trouvé</v>
          </cell>
          <cell r="C374" t="e">
            <v>#VALUE!</v>
          </cell>
        </row>
        <row r="375">
          <cell r="B375" t="str">
            <v>Non Trouvé</v>
          </cell>
          <cell r="C375" t="e">
            <v>#VALUE!</v>
          </cell>
        </row>
        <row r="376">
          <cell r="B376" t="str">
            <v>Non Trouvé</v>
          </cell>
          <cell r="C376" t="e">
            <v>#VALUE!</v>
          </cell>
        </row>
        <row r="377">
          <cell r="B377" t="str">
            <v>Non Trouvé</v>
          </cell>
          <cell r="C377" t="e">
            <v>#VALUE!</v>
          </cell>
        </row>
        <row r="378">
          <cell r="B378" t="str">
            <v>Non Trouvé</v>
          </cell>
          <cell r="C378" t="e">
            <v>#VALUE!</v>
          </cell>
        </row>
        <row r="379">
          <cell r="B379" t="str">
            <v>Non Trouvé</v>
          </cell>
          <cell r="C379" t="e">
            <v>#VALUE!</v>
          </cell>
        </row>
        <row r="380">
          <cell r="B380" t="str">
            <v>Non Trouvé</v>
          </cell>
          <cell r="C380" t="e">
            <v>#VALUE!</v>
          </cell>
        </row>
        <row r="381">
          <cell r="B381" t="str">
            <v>Non Trouvé</v>
          </cell>
          <cell r="C381" t="e">
            <v>#VALUE!</v>
          </cell>
        </row>
        <row r="382">
          <cell r="B382" t="str">
            <v>Non Trouvé</v>
          </cell>
          <cell r="C382" t="e">
            <v>#VALUE!</v>
          </cell>
        </row>
        <row r="383">
          <cell r="B383" t="str">
            <v>Non Trouvé</v>
          </cell>
          <cell r="C383" t="e">
            <v>#VALUE!</v>
          </cell>
        </row>
        <row r="384">
          <cell r="B384" t="str">
            <v>Non Trouvé</v>
          </cell>
          <cell r="C384" t="e">
            <v>#VALUE!</v>
          </cell>
        </row>
        <row r="385">
          <cell r="B385" t="str">
            <v>Non Trouvé</v>
          </cell>
          <cell r="C385" t="e">
            <v>#VALUE!</v>
          </cell>
        </row>
        <row r="386">
          <cell r="B386" t="str">
            <v>Non Trouvé</v>
          </cell>
          <cell r="C386" t="e">
            <v>#VALUE!</v>
          </cell>
        </row>
        <row r="387">
          <cell r="B387" t="str">
            <v>Non Trouvé</v>
          </cell>
          <cell r="C387" t="e">
            <v>#VALUE!</v>
          </cell>
        </row>
        <row r="388">
          <cell r="B388" t="str">
            <v>Non Trouvé</v>
          </cell>
          <cell r="C388" t="e">
            <v>#VALUE!</v>
          </cell>
        </row>
        <row r="389">
          <cell r="B389" t="str">
            <v>Non Trouvé</v>
          </cell>
          <cell r="C389" t="e">
            <v>#VALUE!</v>
          </cell>
        </row>
        <row r="390">
          <cell r="B390" t="str">
            <v>Non Trouvé</v>
          </cell>
          <cell r="C390" t="e">
            <v>#VALUE!</v>
          </cell>
        </row>
        <row r="391">
          <cell r="B391" t="str">
            <v>Non Trouvé</v>
          </cell>
          <cell r="C391" t="e">
            <v>#VALUE!</v>
          </cell>
        </row>
        <row r="392">
          <cell r="B392" t="str">
            <v>Non Trouvé</v>
          </cell>
          <cell r="C392" t="e">
            <v>#VALUE!</v>
          </cell>
        </row>
        <row r="393">
          <cell r="B393" t="str">
            <v>Non Trouvé</v>
          </cell>
          <cell r="C393" t="e">
            <v>#VALUE!</v>
          </cell>
        </row>
        <row r="394">
          <cell r="B394" t="str">
            <v>Non Trouvé</v>
          </cell>
          <cell r="C394" t="e">
            <v>#VALUE!</v>
          </cell>
        </row>
        <row r="395">
          <cell r="B395" t="str">
            <v>Non Trouvé</v>
          </cell>
          <cell r="C395" t="e">
            <v>#VALUE!</v>
          </cell>
        </row>
        <row r="396">
          <cell r="B396" t="str">
            <v>Non Trouvé</v>
          </cell>
          <cell r="C396" t="e">
            <v>#VALUE!</v>
          </cell>
        </row>
        <row r="397">
          <cell r="B397" t="str">
            <v>Non Trouvé</v>
          </cell>
          <cell r="C397" t="e">
            <v>#VALUE!</v>
          </cell>
        </row>
        <row r="398">
          <cell r="B398" t="str">
            <v>Non Trouvé</v>
          </cell>
          <cell r="C398" t="e">
            <v>#VALUE!</v>
          </cell>
        </row>
        <row r="399">
          <cell r="B399" t="str">
            <v>Non Trouvé</v>
          </cell>
          <cell r="C399" t="e">
            <v>#VALUE!</v>
          </cell>
        </row>
        <row r="400">
          <cell r="B400" t="str">
            <v>Non Trouvé</v>
          </cell>
          <cell r="C400" t="e">
            <v>#VALUE!</v>
          </cell>
        </row>
        <row r="401">
          <cell r="B401" t="str">
            <v>Non Trouvé</v>
          </cell>
          <cell r="C401" t="e">
            <v>#VALUE!</v>
          </cell>
        </row>
        <row r="402">
          <cell r="B402" t="str">
            <v>Non Trouvé</v>
          </cell>
          <cell r="C402" t="e">
            <v>#VALUE!</v>
          </cell>
        </row>
        <row r="403">
          <cell r="B403" t="str">
            <v>Non Trouvé</v>
          </cell>
          <cell r="C403" t="e">
            <v>#VALUE!</v>
          </cell>
        </row>
        <row r="404">
          <cell r="B404" t="str">
            <v>Non Trouvé</v>
          </cell>
          <cell r="C404" t="e">
            <v>#VALUE!</v>
          </cell>
        </row>
        <row r="405">
          <cell r="B405" t="str">
            <v>Non Trouvé</v>
          </cell>
          <cell r="C405" t="e">
            <v>#VALUE!</v>
          </cell>
        </row>
        <row r="406">
          <cell r="B406" t="str">
            <v>Non Trouvé</v>
          </cell>
          <cell r="C406" t="e">
            <v>#VALUE!</v>
          </cell>
        </row>
        <row r="407">
          <cell r="B407" t="str">
            <v>Non Trouvé</v>
          </cell>
          <cell r="C407" t="e">
            <v>#VALUE!</v>
          </cell>
        </row>
        <row r="408">
          <cell r="B408" t="str">
            <v>Non Trouvé</v>
          </cell>
          <cell r="C408" t="e">
            <v>#VALUE!</v>
          </cell>
        </row>
        <row r="409">
          <cell r="B409" t="str">
            <v>Non Trouvé</v>
          </cell>
          <cell r="C409" t="e">
            <v>#VALUE!</v>
          </cell>
        </row>
        <row r="410">
          <cell r="B410" t="str">
            <v>Non Trouvé</v>
          </cell>
          <cell r="C410" t="e">
            <v>#VALUE!</v>
          </cell>
        </row>
        <row r="413">
          <cell r="B413" t="str">
            <v>FLUIDE REVITALISANT SPRING PROMO 2026</v>
          </cell>
          <cell r="C413">
            <v>735</v>
          </cell>
        </row>
        <row r="414">
          <cell r="B414" t="str">
            <v>CREME PURIFIANTE SPRING PROMO 2026</v>
          </cell>
          <cell r="C414">
            <v>975</v>
          </cell>
        </row>
        <row r="415">
          <cell r="B415" t="str">
            <v>CREME MAINS SPRING PROMO 2026</v>
          </cell>
          <cell r="C415">
            <v>685</v>
          </cell>
        </row>
        <row r="416">
          <cell r="B416" t="str">
            <v>TESTEUR FLUIDE REVITALISANT SPRING PROMO 2026</v>
          </cell>
          <cell r="C416">
            <v>16</v>
          </cell>
        </row>
        <row r="417">
          <cell r="B417" t="str">
            <v>TESTEUR CREME PURIFIANTE SPRING PROMO 2026</v>
          </cell>
          <cell r="C417">
            <v>16</v>
          </cell>
        </row>
        <row r="418">
          <cell r="B418" t="str">
            <v>TESTEUR CREME MAINS SPRING PROMO 2026</v>
          </cell>
          <cell r="C418">
            <v>16</v>
          </cell>
        </row>
        <row r="419">
          <cell r="B419" t="str">
            <v>PRESENTOIR SPRING PROMO</v>
          </cell>
          <cell r="C419">
            <v>16</v>
          </cell>
        </row>
        <row r="420">
          <cell r="B420" t="str">
            <v>TRIANGLE SPRING PROMO</v>
          </cell>
          <cell r="C420">
            <v>16</v>
          </cell>
        </row>
        <row r="421">
          <cell r="B421" t="str">
            <v>FLUIDE REVITALISANT SPRING PROMO 2026</v>
          </cell>
          <cell r="C421">
            <v>1200</v>
          </cell>
        </row>
        <row r="422">
          <cell r="B422" t="str">
            <v>CREME PURIFIANTE SPRING PROMO 2026</v>
          </cell>
          <cell r="C422">
            <v>800</v>
          </cell>
        </row>
        <row r="423">
          <cell r="B423" t="str">
            <v>CREME MAINS SPRING PROMO 2026</v>
          </cell>
          <cell r="C423">
            <v>800</v>
          </cell>
        </row>
        <row r="424">
          <cell r="B424" t="str">
            <v>TESTEUR FLUIDE REVITALISANT SPRING PROMO 2026</v>
          </cell>
          <cell r="C424">
            <v>200</v>
          </cell>
        </row>
        <row r="425">
          <cell r="B425" t="str">
            <v>TESTEUR CREME PURIFIANTE SPRING PROMO 2026</v>
          </cell>
          <cell r="C425">
            <v>200</v>
          </cell>
        </row>
        <row r="426">
          <cell r="B426" t="str">
            <v>TESTEUR CREME MAINS SPRING PROMO 2026</v>
          </cell>
          <cell r="C426">
            <v>200</v>
          </cell>
        </row>
        <row r="427">
          <cell r="B427" t="str">
            <v>PRESENTOIR SPRING PROMO</v>
          </cell>
          <cell r="C427">
            <v>140</v>
          </cell>
        </row>
        <row r="428">
          <cell r="B428" t="str">
            <v>TRIANGLE SPRING PROMO</v>
          </cell>
          <cell r="C428">
            <v>140</v>
          </cell>
        </row>
        <row r="429">
          <cell r="B429" t="str">
            <v>FLUIDE REVITALISANT SPRING PROMO 2026</v>
          </cell>
          <cell r="C429">
            <v>1120</v>
          </cell>
        </row>
        <row r="430">
          <cell r="B430" t="str">
            <v>CREME PURIFIANTE SPRING PROMO 2026</v>
          </cell>
          <cell r="C430">
            <v>1120</v>
          </cell>
        </row>
        <row r="431">
          <cell r="B431" t="str">
            <v>CREME MAINS SPRING PROMO 2026</v>
          </cell>
          <cell r="C431">
            <v>1120</v>
          </cell>
        </row>
        <row r="432">
          <cell r="B432" t="str">
            <v>TESTEUR FLUIDE REVITALISANT SPRING PROMO 2026</v>
          </cell>
          <cell r="C432">
            <v>70</v>
          </cell>
        </row>
        <row r="433">
          <cell r="B433" t="str">
            <v>TESTEUR CREME PURIFIANTE SPRING PROMO 2026</v>
          </cell>
          <cell r="C433">
            <v>70</v>
          </cell>
        </row>
        <row r="434">
          <cell r="B434" t="str">
            <v>TESTEUR CREME MAINS SPRING PROMO 2026</v>
          </cell>
          <cell r="C434">
            <v>70</v>
          </cell>
        </row>
        <row r="435">
          <cell r="B435" t="str">
            <v>PRESENTOIR SPRING PROMO</v>
          </cell>
          <cell r="C435">
            <v>50</v>
          </cell>
        </row>
        <row r="436">
          <cell r="B436" t="str">
            <v>TRIANGLE SPRING PROMO</v>
          </cell>
          <cell r="C436">
            <v>50</v>
          </cell>
        </row>
        <row r="437">
          <cell r="B437" t="str">
            <v>FLUIDE REVITALISANT SPRING PROMO 2026</v>
          </cell>
          <cell r="C437">
            <v>1200</v>
          </cell>
        </row>
        <row r="438">
          <cell r="B438" t="str">
            <v>CREME PURIFIANTE SPRING PROMO 2026</v>
          </cell>
          <cell r="C438">
            <v>1200</v>
          </cell>
        </row>
        <row r="439">
          <cell r="B439" t="str">
            <v>CREME MAINS SPRING PROMO 2026</v>
          </cell>
          <cell r="C439">
            <v>1200</v>
          </cell>
        </row>
        <row r="440">
          <cell r="B440" t="str">
            <v>TESTEUR FLUIDE REVITALISANT SPRING PROMO 2026</v>
          </cell>
          <cell r="C440">
            <v>100</v>
          </cell>
        </row>
        <row r="441">
          <cell r="B441" t="str">
            <v>TESTEUR CREME PURIFIANTE SPRING PROMO 2026</v>
          </cell>
          <cell r="C441">
            <v>100</v>
          </cell>
        </row>
        <row r="442">
          <cell r="B442" t="str">
            <v>TESTEUR CREME MAINS SPRING PROMO 2026</v>
          </cell>
          <cell r="C442">
            <v>100</v>
          </cell>
        </row>
        <row r="443">
          <cell r="B443" t="str">
            <v>PRESENTOIR SPRING PROMO</v>
          </cell>
          <cell r="C443">
            <v>70</v>
          </cell>
        </row>
        <row r="444">
          <cell r="B444" t="str">
            <v>TRIANGLE SPRING PROMO</v>
          </cell>
          <cell r="C444">
            <v>70</v>
          </cell>
        </row>
        <row r="445">
          <cell r="B445" t="str">
            <v>Non Trouvé</v>
          </cell>
          <cell r="C445" t="e">
            <v>#VALUE!</v>
          </cell>
        </row>
        <row r="446">
          <cell r="B446" t="str">
            <v>Non Trouvé</v>
          </cell>
          <cell r="C446" t="e">
            <v>#VALUE!</v>
          </cell>
        </row>
        <row r="447">
          <cell r="B447" t="str">
            <v>Non Trouvé</v>
          </cell>
          <cell r="C447" t="e">
            <v>#VALUE!</v>
          </cell>
        </row>
        <row r="448">
          <cell r="B448" t="str">
            <v>Non Trouvé</v>
          </cell>
          <cell r="C448" t="e">
            <v>#VALUE!</v>
          </cell>
        </row>
        <row r="449">
          <cell r="B449" t="str">
            <v>Non Trouvé</v>
          </cell>
          <cell r="C449" t="e">
            <v>#VALUE!</v>
          </cell>
        </row>
        <row r="450">
          <cell r="B450" t="str">
            <v>Non Trouvé</v>
          </cell>
          <cell r="C450" t="e">
            <v>#VALUE!</v>
          </cell>
        </row>
        <row r="451">
          <cell r="B451" t="str">
            <v>Non Trouvé</v>
          </cell>
          <cell r="C451" t="e">
            <v>#VALUE!</v>
          </cell>
        </row>
        <row r="452">
          <cell r="B452" t="str">
            <v>Non Trouvé</v>
          </cell>
          <cell r="C452" t="e">
            <v>#VALUE!</v>
          </cell>
        </row>
        <row r="453">
          <cell r="B453" t="str">
            <v>Non Trouvé</v>
          </cell>
          <cell r="C453" t="e">
            <v>#VALUE!</v>
          </cell>
        </row>
        <row r="454">
          <cell r="B454" t="str">
            <v>Non Trouvé</v>
          </cell>
          <cell r="C454" t="e">
            <v>#VALUE!</v>
          </cell>
        </row>
        <row r="455">
          <cell r="B455" t="str">
            <v>Non Trouvé</v>
          </cell>
          <cell r="C455" t="e">
            <v>#VALUE!</v>
          </cell>
        </row>
        <row r="456">
          <cell r="B456" t="str">
            <v>Non Trouvé</v>
          </cell>
          <cell r="C456" t="e">
            <v>#VALUE!</v>
          </cell>
        </row>
        <row r="457">
          <cell r="B457" t="str">
            <v>Non Trouvé</v>
          </cell>
          <cell r="C457" t="e">
            <v>#VALUE!</v>
          </cell>
        </row>
        <row r="458">
          <cell r="B458" t="str">
            <v>Non Trouvé</v>
          </cell>
          <cell r="C458" t="e">
            <v>#VALUE!</v>
          </cell>
        </row>
        <row r="459">
          <cell r="B459" t="str">
            <v>Non Trouvé</v>
          </cell>
          <cell r="C459" t="e">
            <v>#VALUE!</v>
          </cell>
        </row>
        <row r="460">
          <cell r="B460" t="str">
            <v>Non Trouvé</v>
          </cell>
          <cell r="C460" t="e">
            <v>#VALUE!</v>
          </cell>
        </row>
        <row r="461">
          <cell r="B461" t="str">
            <v>Non Trouvé</v>
          </cell>
          <cell r="C461" t="e">
            <v>#VALUE!</v>
          </cell>
        </row>
        <row r="462">
          <cell r="B462" t="str">
            <v>Non Trouvé</v>
          </cell>
          <cell r="C462" t="e">
            <v>#VALUE!</v>
          </cell>
        </row>
        <row r="463">
          <cell r="B463" t="str">
            <v>Non Trouvé</v>
          </cell>
          <cell r="C463" t="e">
            <v>#VALUE!</v>
          </cell>
        </row>
        <row r="464">
          <cell r="B464" t="str">
            <v>Non Trouvé</v>
          </cell>
          <cell r="C464" t="e">
            <v>#VALUE!</v>
          </cell>
        </row>
        <row r="465">
          <cell r="B465" t="str">
            <v>Non Trouvé</v>
          </cell>
          <cell r="C465" t="e">
            <v>#VALUE!</v>
          </cell>
        </row>
        <row r="466">
          <cell r="B466" t="str">
            <v>Non Trouvé</v>
          </cell>
          <cell r="C466" t="e">
            <v>#VALUE!</v>
          </cell>
        </row>
        <row r="467">
          <cell r="B467" t="str">
            <v>Non Trouvé</v>
          </cell>
          <cell r="C467" t="e">
            <v>#VALUE!</v>
          </cell>
        </row>
        <row r="468">
          <cell r="B468" t="str">
            <v>Non Trouvé</v>
          </cell>
          <cell r="C468" t="e">
            <v>#VALUE!</v>
          </cell>
        </row>
        <row r="469">
          <cell r="B469" t="str">
            <v>Non Trouvé</v>
          </cell>
          <cell r="C469" t="e">
            <v>#VALUE!</v>
          </cell>
        </row>
        <row r="470">
          <cell r="B470" t="str">
            <v>Non Trouvé</v>
          </cell>
          <cell r="C470" t="e">
            <v>#VALUE!</v>
          </cell>
        </row>
        <row r="471">
          <cell r="B471" t="str">
            <v>Non Trouvé</v>
          </cell>
          <cell r="C471" t="e">
            <v>#VALUE!</v>
          </cell>
        </row>
        <row r="472">
          <cell r="B472" t="str">
            <v>Non Trouvé</v>
          </cell>
          <cell r="C472" t="e">
            <v>#VALUE!</v>
          </cell>
        </row>
        <row r="473">
          <cell r="B473" t="str">
            <v>Non Trouvé</v>
          </cell>
          <cell r="C473" t="e">
            <v>#VALUE!</v>
          </cell>
        </row>
        <row r="474">
          <cell r="B474" t="str">
            <v>Non Trouvé</v>
          </cell>
          <cell r="C474" t="e">
            <v>#VALUE!</v>
          </cell>
        </row>
        <row r="475">
          <cell r="B475" t="str">
            <v>Non Trouvé</v>
          </cell>
          <cell r="C475" t="e">
            <v>#VALUE!</v>
          </cell>
        </row>
        <row r="476">
          <cell r="B476" t="str">
            <v>Non Trouvé</v>
          </cell>
          <cell r="C476" t="e">
            <v>#VALUE!</v>
          </cell>
        </row>
        <row r="477">
          <cell r="B477" t="str">
            <v>Non Trouvé</v>
          </cell>
          <cell r="C477" t="e">
            <v>#VALUE!</v>
          </cell>
        </row>
        <row r="478">
          <cell r="B478" t="str">
            <v>Non Trouvé</v>
          </cell>
          <cell r="C478" t="e">
            <v>#VALUE!</v>
          </cell>
        </row>
        <row r="479">
          <cell r="B479" t="str">
            <v>Non Trouvé</v>
          </cell>
          <cell r="C479" t="e">
            <v>#VALUE!</v>
          </cell>
        </row>
        <row r="480">
          <cell r="B480" t="str">
            <v>Non Trouvé</v>
          </cell>
          <cell r="C480" t="e">
            <v>#VALUE!</v>
          </cell>
        </row>
        <row r="481">
          <cell r="B481" t="str">
            <v>Non Trouvé</v>
          </cell>
          <cell r="C481" t="e">
            <v>#VALUE!</v>
          </cell>
        </row>
        <row r="484">
          <cell r="B484">
            <v>1030704</v>
          </cell>
          <cell r="C484">
            <v>2580</v>
          </cell>
        </row>
        <row r="485">
          <cell r="B485">
            <v>1030703</v>
          </cell>
          <cell r="C485">
            <v>2580</v>
          </cell>
        </row>
        <row r="486">
          <cell r="B486" t="str">
            <v>PRESENTOIR DEOS</v>
          </cell>
          <cell r="C486">
            <v>326</v>
          </cell>
        </row>
        <row r="487">
          <cell r="B487">
            <v>6500106</v>
          </cell>
          <cell r="C487">
            <v>612</v>
          </cell>
        </row>
        <row r="488">
          <cell r="B488" t="str">
            <v>TESTEUR DEO SAUGE</v>
          </cell>
          <cell r="C488">
            <v>431</v>
          </cell>
        </row>
        <row r="489">
          <cell r="B489" t="str">
            <v>TESTEUR DEO ROSE</v>
          </cell>
          <cell r="C489">
            <v>431</v>
          </cell>
        </row>
        <row r="490">
          <cell r="B490">
            <v>1030704</v>
          </cell>
          <cell r="C490">
            <v>0</v>
          </cell>
        </row>
        <row r="491">
          <cell r="B491">
            <v>1030703</v>
          </cell>
          <cell r="C491">
            <v>0</v>
          </cell>
        </row>
        <row r="492">
          <cell r="B492" t="str">
            <v>PRESENTOIR DEOS</v>
          </cell>
          <cell r="C492">
            <v>0</v>
          </cell>
        </row>
        <row r="493">
          <cell r="B493">
            <v>1030704</v>
          </cell>
          <cell r="C493">
            <v>0</v>
          </cell>
        </row>
        <row r="494">
          <cell r="B494">
            <v>1030703</v>
          </cell>
          <cell r="C494">
            <v>0</v>
          </cell>
        </row>
        <row r="495">
          <cell r="B495" t="str">
            <v>TESTEUR DEO SAUGE</v>
          </cell>
          <cell r="C495">
            <v>0</v>
          </cell>
        </row>
        <row r="496">
          <cell r="B496" t="str">
            <v>TESTEUR DEO ROSE</v>
          </cell>
          <cell r="C496">
            <v>0</v>
          </cell>
        </row>
        <row r="497">
          <cell r="B497">
            <v>1030704</v>
          </cell>
          <cell r="C497">
            <v>1680</v>
          </cell>
        </row>
        <row r="498">
          <cell r="B498">
            <v>1030703</v>
          </cell>
          <cell r="C498">
            <v>1680</v>
          </cell>
        </row>
        <row r="499">
          <cell r="B499" t="str">
            <v>PRESENTOIR DEOS</v>
          </cell>
          <cell r="C499">
            <v>50</v>
          </cell>
        </row>
        <row r="500">
          <cell r="B500">
            <v>6500106</v>
          </cell>
          <cell r="C500">
            <v>100</v>
          </cell>
        </row>
        <row r="501">
          <cell r="B501" t="str">
            <v>TESTEUR DEO SAUGE</v>
          </cell>
          <cell r="C501">
            <v>70</v>
          </cell>
        </row>
        <row r="502">
          <cell r="B502" t="str">
            <v>TESTEUR DEO ROSE</v>
          </cell>
          <cell r="C502">
            <v>70</v>
          </cell>
        </row>
        <row r="503">
          <cell r="B503" t="str">
            <v>Non Trouvé</v>
          </cell>
          <cell r="C503" t="e">
            <v>#VALUE!</v>
          </cell>
        </row>
        <row r="504">
          <cell r="B504" t="str">
            <v>Non Trouvé</v>
          </cell>
          <cell r="C504" t="e">
            <v>#VALUE!</v>
          </cell>
        </row>
        <row r="505">
          <cell r="B505" t="str">
            <v>Non Trouvé</v>
          </cell>
          <cell r="C505" t="e">
            <v>#VALUE!</v>
          </cell>
        </row>
        <row r="506">
          <cell r="B506" t="str">
            <v>Non Trouvé</v>
          </cell>
          <cell r="C506" t="e">
            <v>#VALUE!</v>
          </cell>
        </row>
        <row r="507">
          <cell r="B507" t="str">
            <v>Non Trouvé</v>
          </cell>
          <cell r="C507" t="e">
            <v>#VALUE!</v>
          </cell>
        </row>
        <row r="508">
          <cell r="B508" t="str">
            <v>Non Trouvé</v>
          </cell>
          <cell r="C508" t="e">
            <v>#VALUE!</v>
          </cell>
        </row>
        <row r="509">
          <cell r="B509" t="str">
            <v>Non Trouvé</v>
          </cell>
          <cell r="C509" t="e">
            <v>#VALUE!</v>
          </cell>
        </row>
        <row r="510">
          <cell r="B510" t="str">
            <v>Non Trouvé</v>
          </cell>
          <cell r="C510" t="e">
            <v>#VALUE!</v>
          </cell>
        </row>
        <row r="511">
          <cell r="B511" t="str">
            <v>Non Trouvé</v>
          </cell>
          <cell r="C511" t="e">
            <v>#VALUE!</v>
          </cell>
        </row>
        <row r="512">
          <cell r="B512" t="str">
            <v>Non Trouvé</v>
          </cell>
          <cell r="C512" t="e">
            <v>#VALUE!</v>
          </cell>
        </row>
        <row r="513">
          <cell r="B513" t="str">
            <v>Non Trouvé</v>
          </cell>
          <cell r="C513" t="e">
            <v>#VALUE!</v>
          </cell>
        </row>
        <row r="514">
          <cell r="B514" t="str">
            <v>Non Trouvé</v>
          </cell>
          <cell r="C514" t="e">
            <v>#VALUE!</v>
          </cell>
        </row>
        <row r="515">
          <cell r="B515" t="str">
            <v>Non Trouvé</v>
          </cell>
          <cell r="C515" t="e">
            <v>#VALUE!</v>
          </cell>
        </row>
        <row r="516">
          <cell r="B516" t="str">
            <v>Non Trouvé</v>
          </cell>
          <cell r="C516" t="e">
            <v>#VALUE!</v>
          </cell>
        </row>
        <row r="517">
          <cell r="B517" t="str">
            <v>Non Trouvé</v>
          </cell>
          <cell r="C517" t="e">
            <v>#VALUE!</v>
          </cell>
        </row>
        <row r="518">
          <cell r="B518" t="str">
            <v>Non Trouvé</v>
          </cell>
          <cell r="C518" t="e">
            <v>#VALUE!</v>
          </cell>
        </row>
        <row r="519">
          <cell r="B519" t="str">
            <v>Non Trouvé</v>
          </cell>
          <cell r="C519" t="e">
            <v>#VALUE!</v>
          </cell>
        </row>
        <row r="520">
          <cell r="B520" t="str">
            <v>Non Trouvé</v>
          </cell>
          <cell r="C520" t="e">
            <v>#VALUE!</v>
          </cell>
        </row>
        <row r="521">
          <cell r="B521" t="str">
            <v>Non Trouvé</v>
          </cell>
          <cell r="C521" t="e">
            <v>#VALUE!</v>
          </cell>
        </row>
        <row r="522">
          <cell r="B522" t="str">
            <v>Non Trouvé</v>
          </cell>
          <cell r="C522" t="e">
            <v>#VALUE!</v>
          </cell>
        </row>
        <row r="523">
          <cell r="B523" t="str">
            <v>Non Trouvé</v>
          </cell>
          <cell r="C523" t="e">
            <v>#VALUE!</v>
          </cell>
        </row>
        <row r="524">
          <cell r="B524" t="str">
            <v>Non Trouvé</v>
          </cell>
          <cell r="C524" t="e">
            <v>#VALUE!</v>
          </cell>
        </row>
        <row r="525">
          <cell r="B525" t="str">
            <v>Non Trouvé</v>
          </cell>
          <cell r="C525" t="e">
            <v>#VALUE!</v>
          </cell>
        </row>
        <row r="526">
          <cell r="B526" t="str">
            <v>Non Trouvé</v>
          </cell>
          <cell r="C526" t="e">
            <v>#VALUE!</v>
          </cell>
        </row>
        <row r="527">
          <cell r="B527" t="str">
            <v>Non Trouvé</v>
          </cell>
          <cell r="C527" t="e">
            <v>#VALUE!</v>
          </cell>
        </row>
        <row r="528">
          <cell r="B528" t="str">
            <v>Non Trouvé</v>
          </cell>
          <cell r="C528" t="e">
            <v>#VALUE!</v>
          </cell>
        </row>
        <row r="529">
          <cell r="B529" t="str">
            <v>Non Trouvé</v>
          </cell>
          <cell r="C529" t="e">
            <v>#VALUE!</v>
          </cell>
        </row>
        <row r="530">
          <cell r="B530" t="str">
            <v>Non Trouvé</v>
          </cell>
          <cell r="C530" t="e">
            <v>#VALUE!</v>
          </cell>
        </row>
        <row r="531">
          <cell r="B531" t="str">
            <v>Non Trouvé</v>
          </cell>
          <cell r="C531" t="e">
            <v>#VALUE!</v>
          </cell>
        </row>
        <row r="532">
          <cell r="B532" t="str">
            <v>Non Trouvé</v>
          </cell>
          <cell r="C532" t="e">
            <v>#VALUE!</v>
          </cell>
        </row>
        <row r="533">
          <cell r="B533" t="str">
            <v>Non Trouvé</v>
          </cell>
          <cell r="C533" t="e">
            <v>#VALUE!</v>
          </cell>
        </row>
        <row r="534">
          <cell r="B534" t="str">
            <v>Non Trouvé</v>
          </cell>
          <cell r="C534" t="e">
            <v>#VALUE!</v>
          </cell>
        </row>
        <row r="535">
          <cell r="B535" t="str">
            <v>Non Trouvé</v>
          </cell>
          <cell r="C535" t="e">
            <v>#VALUE!</v>
          </cell>
        </row>
        <row r="536">
          <cell r="B536" t="str">
            <v>Non Trouvé</v>
          </cell>
          <cell r="C536" t="e">
            <v>#VALUE!</v>
          </cell>
        </row>
        <row r="537">
          <cell r="B537" t="str">
            <v>Non Trouvé</v>
          </cell>
          <cell r="C537" t="e">
            <v>#VALUE!</v>
          </cell>
        </row>
        <row r="538">
          <cell r="B538" t="str">
            <v>Non Trouvé</v>
          </cell>
          <cell r="C538" t="e">
            <v>#VALUE!</v>
          </cell>
        </row>
        <row r="539">
          <cell r="B539" t="str">
            <v>Non Trouvé</v>
          </cell>
          <cell r="C539" t="e">
            <v>#VALUE!</v>
          </cell>
        </row>
        <row r="540">
          <cell r="B540" t="str">
            <v>Non Trouvé</v>
          </cell>
          <cell r="C540" t="e">
            <v>#VALUE!</v>
          </cell>
        </row>
        <row r="541">
          <cell r="B541" t="str">
            <v>Non Trouvé</v>
          </cell>
          <cell r="C541" t="e">
            <v>#VALUE!</v>
          </cell>
        </row>
        <row r="542">
          <cell r="B542" t="str">
            <v>Non Trouvé</v>
          </cell>
          <cell r="C542" t="e">
            <v>#VALUE!</v>
          </cell>
        </row>
        <row r="543">
          <cell r="B543" t="str">
            <v>Non Trouvé</v>
          </cell>
          <cell r="C543" t="e">
            <v>#VALUE!</v>
          </cell>
        </row>
        <row r="544">
          <cell r="B544" t="str">
            <v>Non Trouvé</v>
          </cell>
          <cell r="C544" t="e">
            <v>#VALUE!</v>
          </cell>
        </row>
        <row r="545">
          <cell r="B545" t="str">
            <v>Non Trouvé</v>
          </cell>
          <cell r="C545" t="e">
            <v>#VALUE!</v>
          </cell>
        </row>
        <row r="546">
          <cell r="B546" t="str">
            <v>Non Trouvé</v>
          </cell>
          <cell r="C546" t="e">
            <v>#VALUE!</v>
          </cell>
        </row>
        <row r="547">
          <cell r="B547" t="str">
            <v>Non Trouvé</v>
          </cell>
          <cell r="C547" t="e">
            <v>#VALUE!</v>
          </cell>
        </row>
        <row r="548">
          <cell r="B548" t="str">
            <v>Non Trouvé</v>
          </cell>
          <cell r="C548" t="e">
            <v>#VALUE!</v>
          </cell>
        </row>
        <row r="549">
          <cell r="B549" t="str">
            <v>Non Trouvé</v>
          </cell>
          <cell r="C549" t="e">
            <v>#VALUE!</v>
          </cell>
        </row>
        <row r="550">
          <cell r="B550" t="str">
            <v>Non Trouvé</v>
          </cell>
          <cell r="C550" t="e">
            <v>#VALUE!</v>
          </cell>
        </row>
        <row r="551">
          <cell r="B551" t="str">
            <v>Non Trouvé</v>
          </cell>
          <cell r="C551" t="e">
            <v>#VALUE!</v>
          </cell>
        </row>
        <row r="552">
          <cell r="B552" t="str">
            <v>Non Trouvé</v>
          </cell>
          <cell r="C552" t="e">
            <v>#VALUE!</v>
          </cell>
        </row>
        <row r="555">
          <cell r="B555" t="str">
            <v>COFFRET CP</v>
          </cell>
          <cell r="C555">
            <v>5390</v>
          </cell>
        </row>
        <row r="556">
          <cell r="B556">
            <v>1010101</v>
          </cell>
          <cell r="C556">
            <v>0</v>
          </cell>
        </row>
        <row r="557">
          <cell r="B557">
            <v>1010353</v>
          </cell>
          <cell r="C557">
            <v>0</v>
          </cell>
        </row>
        <row r="558">
          <cell r="B558">
            <v>1010102</v>
          </cell>
          <cell r="C558">
            <v>0</v>
          </cell>
        </row>
        <row r="559">
          <cell r="B559">
            <v>1010116</v>
          </cell>
          <cell r="C559">
            <v>0</v>
          </cell>
        </row>
        <row r="560">
          <cell r="B560">
            <v>3010101</v>
          </cell>
          <cell r="C560">
            <v>35</v>
          </cell>
        </row>
        <row r="561">
          <cell r="B561">
            <v>3010353</v>
          </cell>
          <cell r="C561">
            <v>35</v>
          </cell>
        </row>
        <row r="562">
          <cell r="B562" t="str">
            <v>PANNEAU CP</v>
          </cell>
          <cell r="C562">
            <v>21</v>
          </cell>
        </row>
        <row r="563">
          <cell r="B563" t="str">
            <v>TG 3D</v>
          </cell>
          <cell r="C563">
            <v>30</v>
          </cell>
        </row>
        <row r="564">
          <cell r="B564" t="str">
            <v>BAR TESTEUR EMULSION TEINTEE</v>
          </cell>
          <cell r="C564">
            <v>33</v>
          </cell>
        </row>
        <row r="565">
          <cell r="B565" t="str">
            <v>COFFRET CP</v>
          </cell>
          <cell r="C565">
            <v>210</v>
          </cell>
        </row>
        <row r="566">
          <cell r="B566" t="str">
            <v>DUO BAUME LACTE</v>
          </cell>
          <cell r="C566">
            <v>1900</v>
          </cell>
        </row>
        <row r="567">
          <cell r="B567">
            <v>1010101</v>
          </cell>
          <cell r="C567">
            <v>600</v>
          </cell>
        </row>
        <row r="568">
          <cell r="B568">
            <v>1010102</v>
          </cell>
          <cell r="C568">
            <v>0</v>
          </cell>
        </row>
        <row r="569">
          <cell r="B569">
            <v>1010116</v>
          </cell>
          <cell r="C569">
            <v>0</v>
          </cell>
        </row>
        <row r="570">
          <cell r="B570">
            <v>1010353</v>
          </cell>
          <cell r="C570">
            <v>0</v>
          </cell>
        </row>
        <row r="571">
          <cell r="B571">
            <v>3010101</v>
          </cell>
          <cell r="C571">
            <v>10</v>
          </cell>
        </row>
        <row r="572">
          <cell r="B572">
            <v>3010353</v>
          </cell>
          <cell r="C572">
            <v>0</v>
          </cell>
        </row>
        <row r="573">
          <cell r="B573" t="str">
            <v>PANNEAU CP</v>
          </cell>
          <cell r="C573">
            <v>10</v>
          </cell>
        </row>
        <row r="574">
          <cell r="B574" t="str">
            <v>PRESENTOIR ECLAT</v>
          </cell>
          <cell r="C574">
            <v>0</v>
          </cell>
        </row>
        <row r="575">
          <cell r="B575">
            <v>1010205</v>
          </cell>
          <cell r="C575">
            <v>240</v>
          </cell>
        </row>
        <row r="576">
          <cell r="B576" t="str">
            <v>DUO BAUME LACTE</v>
          </cell>
          <cell r="C576">
            <v>200</v>
          </cell>
        </row>
        <row r="577">
          <cell r="B577" t="str">
            <v>COFFRET CP</v>
          </cell>
          <cell r="C577">
            <v>1500</v>
          </cell>
        </row>
        <row r="578">
          <cell r="B578">
            <v>1010101</v>
          </cell>
          <cell r="C578">
            <v>0</v>
          </cell>
        </row>
        <row r="579">
          <cell r="B579">
            <v>1010353</v>
          </cell>
          <cell r="C579">
            <v>0</v>
          </cell>
        </row>
        <row r="580">
          <cell r="B580">
            <v>1010102</v>
          </cell>
          <cell r="C580">
            <v>0</v>
          </cell>
        </row>
        <row r="581">
          <cell r="B581">
            <v>1010116</v>
          </cell>
          <cell r="C581">
            <v>0</v>
          </cell>
        </row>
        <row r="582">
          <cell r="B582">
            <v>3010101</v>
          </cell>
          <cell r="C582">
            <v>30</v>
          </cell>
        </row>
        <row r="583">
          <cell r="B583">
            <v>3010353</v>
          </cell>
          <cell r="C583">
            <v>0</v>
          </cell>
        </row>
        <row r="584">
          <cell r="B584" t="str">
            <v>PANNEAU CP</v>
          </cell>
          <cell r="C584">
            <v>20</v>
          </cell>
        </row>
        <row r="585">
          <cell r="B585" t="str">
            <v>PRESENTOIR ECLAT</v>
          </cell>
          <cell r="C585">
            <v>0</v>
          </cell>
        </row>
        <row r="586">
          <cell r="B586" t="str">
            <v>DUO BAUME LACTE</v>
          </cell>
          <cell r="C586">
            <v>300</v>
          </cell>
        </row>
        <row r="587">
          <cell r="B587" t="str">
            <v>COFFRET CP</v>
          </cell>
          <cell r="C587">
            <v>5000</v>
          </cell>
        </row>
        <row r="588">
          <cell r="B588">
            <v>1010101</v>
          </cell>
          <cell r="C588">
            <v>0</v>
          </cell>
        </row>
        <row r="589">
          <cell r="B589">
            <v>1010353</v>
          </cell>
          <cell r="C589">
            <v>0</v>
          </cell>
        </row>
        <row r="590">
          <cell r="B590">
            <v>1010102</v>
          </cell>
          <cell r="C590">
            <v>0</v>
          </cell>
        </row>
        <row r="591">
          <cell r="B591">
            <v>1010116</v>
          </cell>
          <cell r="C591">
            <v>0</v>
          </cell>
        </row>
        <row r="592">
          <cell r="B592">
            <v>3010101</v>
          </cell>
          <cell r="C592">
            <v>200</v>
          </cell>
        </row>
        <row r="593">
          <cell r="B593">
            <v>3010353</v>
          </cell>
          <cell r="C593">
            <v>0</v>
          </cell>
        </row>
        <row r="594">
          <cell r="B594" t="str">
            <v>PANNEAU CP</v>
          </cell>
          <cell r="C594">
            <v>80</v>
          </cell>
        </row>
        <row r="595">
          <cell r="B595" t="str">
            <v>PRESENTOIR ECLAT</v>
          </cell>
          <cell r="C595">
            <v>0</v>
          </cell>
        </row>
        <row r="596">
          <cell r="B596" t="str">
            <v>DUO BAUME LACTE</v>
          </cell>
          <cell r="C596">
            <v>1000</v>
          </cell>
        </row>
        <row r="597">
          <cell r="B597" t="str">
            <v>COFFRET CP</v>
          </cell>
          <cell r="C597">
            <v>800</v>
          </cell>
        </row>
        <row r="598">
          <cell r="B598">
            <v>1010101</v>
          </cell>
          <cell r="C598">
            <v>0</v>
          </cell>
        </row>
        <row r="599">
          <cell r="B599">
            <v>1010353</v>
          </cell>
          <cell r="C599">
            <v>0</v>
          </cell>
        </row>
        <row r="600">
          <cell r="B600">
            <v>1010102</v>
          </cell>
          <cell r="C600">
            <v>0</v>
          </cell>
        </row>
        <row r="601">
          <cell r="B601">
            <v>1010116</v>
          </cell>
          <cell r="C601">
            <v>0</v>
          </cell>
        </row>
        <row r="602">
          <cell r="B602">
            <v>3010101</v>
          </cell>
          <cell r="C602">
            <v>80</v>
          </cell>
        </row>
        <row r="603">
          <cell r="B603">
            <v>3010353</v>
          </cell>
          <cell r="C603">
            <v>0</v>
          </cell>
        </row>
        <row r="604">
          <cell r="B604" t="str">
            <v>PANNEAU CP</v>
          </cell>
          <cell r="C604">
            <v>40</v>
          </cell>
        </row>
        <row r="605">
          <cell r="B605" t="str">
            <v>PRESENTOIR ECLAT</v>
          </cell>
          <cell r="C605">
            <v>0</v>
          </cell>
        </row>
        <row r="606">
          <cell r="B606" t="str">
            <v>DUO BAUME LACTE</v>
          </cell>
          <cell r="C606">
            <v>400</v>
          </cell>
        </row>
        <row r="607">
          <cell r="B607">
            <v>1010101</v>
          </cell>
          <cell r="C607">
            <v>480</v>
          </cell>
        </row>
        <row r="608">
          <cell r="B608">
            <v>1010102</v>
          </cell>
          <cell r="C608">
            <v>360</v>
          </cell>
        </row>
        <row r="609">
          <cell r="B609">
            <v>1010116</v>
          </cell>
          <cell r="C609">
            <v>180</v>
          </cell>
        </row>
        <row r="610">
          <cell r="B610">
            <v>1010353</v>
          </cell>
          <cell r="C610">
            <v>180</v>
          </cell>
        </row>
        <row r="611">
          <cell r="B611">
            <v>3010101</v>
          </cell>
          <cell r="C611">
            <v>20</v>
          </cell>
        </row>
        <row r="612">
          <cell r="B612">
            <v>3010353</v>
          </cell>
          <cell r="C612">
            <v>0</v>
          </cell>
        </row>
        <row r="613">
          <cell r="B613" t="str">
            <v>PANNEAU CP</v>
          </cell>
          <cell r="C613">
            <v>10</v>
          </cell>
        </row>
        <row r="614">
          <cell r="B614" t="str">
            <v>PRESENTOIR ECLAT</v>
          </cell>
          <cell r="C614">
            <v>0</v>
          </cell>
        </row>
        <row r="615">
          <cell r="B615">
            <v>1010205</v>
          </cell>
          <cell r="C615">
            <v>480</v>
          </cell>
        </row>
        <row r="616">
          <cell r="B616">
            <v>1010101</v>
          </cell>
          <cell r="C616">
            <v>1200</v>
          </cell>
        </row>
        <row r="617">
          <cell r="B617">
            <v>1010102</v>
          </cell>
          <cell r="C617">
            <v>900</v>
          </cell>
        </row>
        <row r="618">
          <cell r="B618">
            <v>1010116</v>
          </cell>
          <cell r="C618">
            <v>500</v>
          </cell>
        </row>
        <row r="619">
          <cell r="B619">
            <v>1010353</v>
          </cell>
          <cell r="C619">
            <v>400</v>
          </cell>
        </row>
        <row r="620">
          <cell r="B620">
            <v>3010101</v>
          </cell>
          <cell r="C620">
            <v>100</v>
          </cell>
        </row>
        <row r="621">
          <cell r="B621">
            <v>3010353</v>
          </cell>
          <cell r="C621">
            <v>0</v>
          </cell>
        </row>
        <row r="622">
          <cell r="B622" t="str">
            <v>PANNEAU CP</v>
          </cell>
          <cell r="C622">
            <v>40</v>
          </cell>
        </row>
        <row r="623">
          <cell r="B623" t="str">
            <v>PRESENTOIR ECLAT</v>
          </cell>
          <cell r="C623">
            <v>0</v>
          </cell>
        </row>
        <row r="624">
          <cell r="B624">
            <v>1010205</v>
          </cell>
          <cell r="C624">
            <v>1200</v>
          </cell>
        </row>
        <row r="625">
          <cell r="B625">
            <v>1010101</v>
          </cell>
          <cell r="C625">
            <v>480</v>
          </cell>
        </row>
        <row r="626">
          <cell r="B626">
            <v>1010102</v>
          </cell>
          <cell r="C626">
            <v>400</v>
          </cell>
        </row>
        <row r="627">
          <cell r="B627">
            <v>1010116</v>
          </cell>
          <cell r="C627">
            <v>160</v>
          </cell>
        </row>
        <row r="630">
          <cell r="B630">
            <v>1010601</v>
          </cell>
          <cell r="C630">
            <v>0</v>
          </cell>
        </row>
        <row r="631">
          <cell r="B631">
            <v>1010602</v>
          </cell>
          <cell r="C631">
            <v>280</v>
          </cell>
        </row>
        <row r="632">
          <cell r="B632">
            <v>1030301</v>
          </cell>
          <cell r="C632">
            <v>224</v>
          </cell>
        </row>
        <row r="633">
          <cell r="B633">
            <v>6100084</v>
          </cell>
          <cell r="C633">
            <v>120</v>
          </cell>
        </row>
        <row r="634">
          <cell r="B634">
            <v>6500106</v>
          </cell>
          <cell r="C634">
            <v>120</v>
          </cell>
        </row>
        <row r="635">
          <cell r="B635">
            <v>3030301</v>
          </cell>
          <cell r="C635">
            <v>168</v>
          </cell>
        </row>
        <row r="636">
          <cell r="B636" t="str">
            <v>DUO STICK LEVRES</v>
          </cell>
          <cell r="C636">
            <v>5896</v>
          </cell>
        </row>
        <row r="637">
          <cell r="B637">
            <v>1010601</v>
          </cell>
          <cell r="C637">
            <v>4485</v>
          </cell>
        </row>
        <row r="638">
          <cell r="B638">
            <v>1010602</v>
          </cell>
          <cell r="C638">
            <v>1755</v>
          </cell>
        </row>
        <row r="639">
          <cell r="B639">
            <v>1030301</v>
          </cell>
          <cell r="C639">
            <v>780</v>
          </cell>
        </row>
        <row r="640">
          <cell r="B640">
            <v>6100084</v>
          </cell>
          <cell r="C640">
            <v>140</v>
          </cell>
        </row>
        <row r="641">
          <cell r="B641">
            <v>6500106</v>
          </cell>
          <cell r="C641">
            <v>410</v>
          </cell>
        </row>
        <row r="642">
          <cell r="B642">
            <v>3030301</v>
          </cell>
          <cell r="C642">
            <v>195</v>
          </cell>
        </row>
        <row r="643">
          <cell r="B643" t="str">
            <v>DUO STICK LEVRES</v>
          </cell>
          <cell r="C643">
            <v>0</v>
          </cell>
        </row>
        <row r="644">
          <cell r="B644">
            <v>1010601</v>
          </cell>
          <cell r="C644">
            <v>2250</v>
          </cell>
        </row>
        <row r="645">
          <cell r="B645">
            <v>1010602</v>
          </cell>
          <cell r="C645">
            <v>675</v>
          </cell>
        </row>
        <row r="646">
          <cell r="B646">
            <v>1030301</v>
          </cell>
          <cell r="C646">
            <v>1125</v>
          </cell>
        </row>
        <row r="647">
          <cell r="B647">
            <v>6100084</v>
          </cell>
          <cell r="C647">
            <v>160</v>
          </cell>
        </row>
        <row r="648">
          <cell r="B648">
            <v>3030301</v>
          </cell>
          <cell r="C648">
            <v>225</v>
          </cell>
        </row>
        <row r="649">
          <cell r="B649" t="str">
            <v>DUO STICK LEVRES</v>
          </cell>
          <cell r="C649">
            <v>0</v>
          </cell>
        </row>
        <row r="650">
          <cell r="B650">
            <v>1010601</v>
          </cell>
          <cell r="C650">
            <v>115</v>
          </cell>
        </row>
        <row r="651">
          <cell r="B651">
            <v>1010602</v>
          </cell>
          <cell r="C651">
            <v>45</v>
          </cell>
        </row>
        <row r="652">
          <cell r="B652">
            <v>1030301</v>
          </cell>
          <cell r="C652">
            <v>20</v>
          </cell>
        </row>
        <row r="653">
          <cell r="B653">
            <v>6100084</v>
          </cell>
          <cell r="C653">
            <v>10</v>
          </cell>
        </row>
        <row r="654">
          <cell r="B654">
            <v>6500106</v>
          </cell>
          <cell r="C654">
            <v>20</v>
          </cell>
        </row>
        <row r="655">
          <cell r="B655">
            <v>3030301</v>
          </cell>
          <cell r="C655">
            <v>5</v>
          </cell>
        </row>
        <row r="656">
          <cell r="B656" t="str">
            <v>DUO STICK LEVRES</v>
          </cell>
          <cell r="C656">
            <v>0</v>
          </cell>
        </row>
        <row r="657">
          <cell r="B657">
            <v>1010601</v>
          </cell>
          <cell r="C657">
            <v>50</v>
          </cell>
        </row>
        <row r="658">
          <cell r="B658">
            <v>1010602</v>
          </cell>
          <cell r="C658">
            <v>15</v>
          </cell>
        </row>
        <row r="659">
          <cell r="B659">
            <v>1030301</v>
          </cell>
          <cell r="C659">
            <v>25</v>
          </cell>
        </row>
        <row r="660">
          <cell r="B660">
            <v>6100084</v>
          </cell>
          <cell r="C660">
            <v>10</v>
          </cell>
        </row>
        <row r="661">
          <cell r="B661">
            <v>3030301</v>
          </cell>
          <cell r="C661">
            <v>5</v>
          </cell>
        </row>
        <row r="662">
          <cell r="B662" t="str">
            <v>DUO STICK LEVRES</v>
          </cell>
          <cell r="C662">
            <v>0</v>
          </cell>
        </row>
        <row r="663">
          <cell r="B663">
            <v>1010601</v>
          </cell>
          <cell r="C663">
            <v>742</v>
          </cell>
        </row>
        <row r="664">
          <cell r="B664">
            <v>1010602</v>
          </cell>
          <cell r="C664">
            <v>308</v>
          </cell>
        </row>
        <row r="665">
          <cell r="B665">
            <v>1030301</v>
          </cell>
          <cell r="C665">
            <v>210</v>
          </cell>
        </row>
        <row r="666">
          <cell r="B666">
            <v>6100084</v>
          </cell>
          <cell r="C666">
            <v>30</v>
          </cell>
        </row>
        <row r="667">
          <cell r="B667">
            <v>6500106</v>
          </cell>
          <cell r="C667">
            <v>30</v>
          </cell>
        </row>
        <row r="668">
          <cell r="B668">
            <v>3030301</v>
          </cell>
          <cell r="C668">
            <v>42</v>
          </cell>
        </row>
        <row r="669">
          <cell r="B669" t="str">
            <v>Non Trouvé</v>
          </cell>
          <cell r="C669" t="e">
            <v>#VALUE!</v>
          </cell>
        </row>
        <row r="670">
          <cell r="B670" t="str">
            <v>Non Trouvé</v>
          </cell>
          <cell r="C670" t="e">
            <v>#VALUE!</v>
          </cell>
        </row>
        <row r="671">
          <cell r="B671" t="str">
            <v>Non Trouvé</v>
          </cell>
          <cell r="C671" t="e">
            <v>#VALUE!</v>
          </cell>
        </row>
        <row r="672">
          <cell r="B672" t="str">
            <v>Non Trouvé</v>
          </cell>
          <cell r="C672" t="e">
            <v>#VALUE!</v>
          </cell>
        </row>
        <row r="673">
          <cell r="B673" t="str">
            <v>Non Trouvé</v>
          </cell>
          <cell r="C673" t="e">
            <v>#VALUE!</v>
          </cell>
        </row>
        <row r="674">
          <cell r="B674" t="str">
            <v>Non Trouvé</v>
          </cell>
          <cell r="C674" t="e">
            <v>#VALUE!</v>
          </cell>
        </row>
        <row r="675">
          <cell r="B675" t="str">
            <v>Non Trouvé</v>
          </cell>
          <cell r="C675" t="e">
            <v>#VALUE!</v>
          </cell>
        </row>
        <row r="676">
          <cell r="B676" t="str">
            <v>Non Trouvé</v>
          </cell>
          <cell r="C676" t="e">
            <v>#VALUE!</v>
          </cell>
        </row>
        <row r="677">
          <cell r="B677" t="str">
            <v>Non Trouvé</v>
          </cell>
          <cell r="C677" t="e">
            <v>#VALUE!</v>
          </cell>
        </row>
        <row r="678">
          <cell r="B678" t="str">
            <v>Non Trouvé</v>
          </cell>
          <cell r="C678" t="e">
            <v>#VALUE!</v>
          </cell>
        </row>
        <row r="679">
          <cell r="B679" t="str">
            <v>Non Trouvé</v>
          </cell>
          <cell r="C679" t="e">
            <v>#VALUE!</v>
          </cell>
        </row>
        <row r="680">
          <cell r="B680" t="str">
            <v>Non Trouvé</v>
          </cell>
          <cell r="C680" t="e">
            <v>#VALUE!</v>
          </cell>
        </row>
        <row r="681">
          <cell r="B681" t="str">
            <v>Non Trouvé</v>
          </cell>
          <cell r="C681" t="e">
            <v>#VALUE!</v>
          </cell>
        </row>
        <row r="682">
          <cell r="B682" t="str">
            <v>Non Trouvé</v>
          </cell>
          <cell r="C682" t="e">
            <v>#VALUE!</v>
          </cell>
        </row>
        <row r="683">
          <cell r="B683" t="str">
            <v>Non Trouvé</v>
          </cell>
          <cell r="C683" t="e">
            <v>#VALUE!</v>
          </cell>
        </row>
        <row r="684">
          <cell r="B684" t="str">
            <v>Non Trouvé</v>
          </cell>
          <cell r="C684" t="e">
            <v>#VALUE!</v>
          </cell>
        </row>
        <row r="685">
          <cell r="B685" t="str">
            <v>Non Trouvé</v>
          </cell>
          <cell r="C685" t="e">
            <v>#VALUE!</v>
          </cell>
        </row>
        <row r="686">
          <cell r="B686" t="str">
            <v>Non Trouvé</v>
          </cell>
          <cell r="C686" t="e">
            <v>#VALUE!</v>
          </cell>
        </row>
        <row r="687">
          <cell r="B687" t="str">
            <v>Non Trouvé</v>
          </cell>
          <cell r="C687" t="e">
            <v>#VALUE!</v>
          </cell>
        </row>
        <row r="688">
          <cell r="B688" t="str">
            <v>Non Trouvé</v>
          </cell>
          <cell r="C688" t="e">
            <v>#VALUE!</v>
          </cell>
        </row>
        <row r="689">
          <cell r="B689" t="str">
            <v>Non Trouvé</v>
          </cell>
          <cell r="C689" t="e">
            <v>#VALUE!</v>
          </cell>
        </row>
        <row r="690">
          <cell r="B690" t="str">
            <v>Non Trouvé</v>
          </cell>
          <cell r="C690" t="e">
            <v>#VALUE!</v>
          </cell>
        </row>
        <row r="691">
          <cell r="B691" t="str">
            <v>Non Trouvé</v>
          </cell>
          <cell r="C691" t="e">
            <v>#VALUE!</v>
          </cell>
        </row>
        <row r="692">
          <cell r="B692" t="str">
            <v>Non Trouvé</v>
          </cell>
          <cell r="C692" t="e">
            <v>#VALUE!</v>
          </cell>
        </row>
        <row r="693">
          <cell r="B693" t="str">
            <v>Non Trouvé</v>
          </cell>
          <cell r="C693" t="e">
            <v>#VALUE!</v>
          </cell>
        </row>
        <row r="694">
          <cell r="B694" t="str">
            <v>Non Trouvé</v>
          </cell>
          <cell r="C694" t="e">
            <v>#VALUE!</v>
          </cell>
        </row>
        <row r="695">
          <cell r="B695" t="str">
            <v>Non Trouvé</v>
          </cell>
          <cell r="C695" t="e">
            <v>#VALUE!</v>
          </cell>
        </row>
        <row r="696">
          <cell r="B696" t="str">
            <v>Non Trouvé</v>
          </cell>
          <cell r="C696" t="e">
            <v>#VALUE!</v>
          </cell>
        </row>
        <row r="697">
          <cell r="B697" t="str">
            <v>Non Trouvé</v>
          </cell>
          <cell r="C697" t="e">
            <v>#VALUE!</v>
          </cell>
        </row>
        <row r="698">
          <cell r="B698" t="str">
            <v>Non Trouvé</v>
          </cell>
          <cell r="C698" t="e">
            <v>#VALUE!</v>
          </cell>
        </row>
        <row r="701">
          <cell r="B701" t="str">
            <v>SERUM</v>
          </cell>
          <cell r="C701">
            <v>5050</v>
          </cell>
        </row>
        <row r="702">
          <cell r="B702" t="str">
            <v>TESTEUR SERUM</v>
          </cell>
          <cell r="C702">
            <v>319</v>
          </cell>
        </row>
        <row r="703">
          <cell r="B703">
            <v>1010377</v>
          </cell>
          <cell r="C703">
            <v>0</v>
          </cell>
        </row>
        <row r="704">
          <cell r="B704">
            <v>1010302</v>
          </cell>
          <cell r="C704">
            <v>0</v>
          </cell>
        </row>
        <row r="705">
          <cell r="B705">
            <v>1010305</v>
          </cell>
          <cell r="C705">
            <v>0</v>
          </cell>
        </row>
        <row r="706">
          <cell r="B706">
            <v>1010306</v>
          </cell>
          <cell r="C706">
            <v>0</v>
          </cell>
        </row>
        <row r="707">
          <cell r="B707">
            <v>1010310</v>
          </cell>
          <cell r="C707">
            <v>0</v>
          </cell>
        </row>
        <row r="708">
          <cell r="B708" t="str">
            <v>TG 3D SERUM</v>
          </cell>
          <cell r="C708">
            <v>30</v>
          </cell>
        </row>
        <row r="709">
          <cell r="B709" t="str">
            <v>PANNEAU SERUM</v>
          </cell>
          <cell r="C709">
            <v>20</v>
          </cell>
        </row>
        <row r="710">
          <cell r="B710" t="str">
            <v>ECHANTILLON SERUM</v>
          </cell>
          <cell r="C710">
            <v>21150</v>
          </cell>
        </row>
        <row r="711">
          <cell r="B711" t="str">
            <v>BAR TESTEUR SERUM</v>
          </cell>
          <cell r="C711">
            <v>0</v>
          </cell>
        </row>
        <row r="712">
          <cell r="B712" t="str">
            <v>SERUM</v>
          </cell>
          <cell r="C712">
            <v>1680</v>
          </cell>
        </row>
        <row r="713">
          <cell r="B713" t="str">
            <v>TESTEUR SERUM</v>
          </cell>
          <cell r="C713">
            <v>70</v>
          </cell>
        </row>
        <row r="714">
          <cell r="B714" t="str">
            <v>PRESENTOIR SERUM</v>
          </cell>
          <cell r="C714">
            <v>66</v>
          </cell>
        </row>
        <row r="715">
          <cell r="B715" t="str">
            <v>PANNEAU SERUM</v>
          </cell>
          <cell r="C715">
            <v>30</v>
          </cell>
        </row>
        <row r="716">
          <cell r="B716" t="str">
            <v>ECHANTILLON SERUM</v>
          </cell>
          <cell r="C716">
            <v>2100</v>
          </cell>
        </row>
        <row r="717">
          <cell r="B717" t="str">
            <v>SERUM</v>
          </cell>
          <cell r="C717">
            <v>2400</v>
          </cell>
        </row>
        <row r="718">
          <cell r="B718" t="str">
            <v>TESTEUR SERUM</v>
          </cell>
          <cell r="C718">
            <v>200</v>
          </cell>
        </row>
        <row r="719">
          <cell r="B719" t="str">
            <v>PRESENTOIR SERUM</v>
          </cell>
          <cell r="C719">
            <v>140</v>
          </cell>
        </row>
        <row r="720">
          <cell r="B720" t="str">
            <v>PANNEAU SERUM</v>
          </cell>
          <cell r="C720">
            <v>80</v>
          </cell>
        </row>
        <row r="721">
          <cell r="B721" t="str">
            <v>ECHANTILLON SERUM</v>
          </cell>
          <cell r="C721">
            <v>4000</v>
          </cell>
        </row>
        <row r="722">
          <cell r="B722" t="str">
            <v>SERUM</v>
          </cell>
          <cell r="C722">
            <v>1200</v>
          </cell>
        </row>
        <row r="723">
          <cell r="B723" t="str">
            <v>TESTEUR SERUM</v>
          </cell>
          <cell r="C723">
            <v>200</v>
          </cell>
        </row>
        <row r="724">
          <cell r="B724" t="str">
            <v>PRESENTOIR SERUM</v>
          </cell>
          <cell r="C724">
            <v>140</v>
          </cell>
        </row>
        <row r="725">
          <cell r="B725" t="str">
            <v>PANNEAU SERUM</v>
          </cell>
          <cell r="C725">
            <v>0</v>
          </cell>
        </row>
        <row r="726">
          <cell r="B726" t="str">
            <v>ECHANTILLON SERUM</v>
          </cell>
          <cell r="C726">
            <v>2000</v>
          </cell>
        </row>
        <row r="727">
          <cell r="B727" t="str">
            <v>SERUM</v>
          </cell>
          <cell r="C727">
            <v>300</v>
          </cell>
        </row>
        <row r="728">
          <cell r="B728" t="str">
            <v>TESTEUR SERUM</v>
          </cell>
          <cell r="C728">
            <v>100</v>
          </cell>
        </row>
        <row r="729">
          <cell r="B729" t="str">
            <v>ECHANTILLON SERUM</v>
          </cell>
          <cell r="C729">
            <v>500</v>
          </cell>
        </row>
        <row r="730">
          <cell r="B730" t="str">
            <v>Non Trouvé</v>
          </cell>
          <cell r="C730" t="e">
            <v>#VALUE!</v>
          </cell>
        </row>
        <row r="731">
          <cell r="B731" t="str">
            <v>Non Trouvé</v>
          </cell>
          <cell r="C731" t="e">
            <v>#VALUE!</v>
          </cell>
        </row>
        <row r="732">
          <cell r="B732" t="str">
            <v>Non Trouvé</v>
          </cell>
          <cell r="C732" t="e">
            <v>#VALUE!</v>
          </cell>
        </row>
        <row r="733">
          <cell r="B733" t="str">
            <v>Non Trouvé</v>
          </cell>
          <cell r="C733" t="e">
            <v>#VALUE!</v>
          </cell>
        </row>
        <row r="734">
          <cell r="B734" t="str">
            <v>Non Trouvé</v>
          </cell>
          <cell r="C734" t="e">
            <v>#VALUE!</v>
          </cell>
        </row>
        <row r="735">
          <cell r="B735" t="str">
            <v>Non Trouvé</v>
          </cell>
          <cell r="C735" t="e">
            <v>#VALUE!</v>
          </cell>
        </row>
        <row r="736">
          <cell r="B736" t="str">
            <v>Non Trouvé</v>
          </cell>
          <cell r="C736" t="e">
            <v>#VALUE!</v>
          </cell>
        </row>
        <row r="737">
          <cell r="B737" t="str">
            <v>Non Trouvé</v>
          </cell>
          <cell r="C737" t="e">
            <v>#VALUE!</v>
          </cell>
        </row>
        <row r="738">
          <cell r="B738" t="str">
            <v>Non Trouvé</v>
          </cell>
          <cell r="C738" t="e">
            <v>#VALUE!</v>
          </cell>
        </row>
        <row r="739">
          <cell r="B739" t="str">
            <v>Non Trouvé</v>
          </cell>
          <cell r="C739" t="e">
            <v>#VALUE!</v>
          </cell>
        </row>
        <row r="740">
          <cell r="B740" t="str">
            <v>Non Trouvé</v>
          </cell>
          <cell r="C740" t="e">
            <v>#VALUE!</v>
          </cell>
        </row>
        <row r="741">
          <cell r="B741" t="str">
            <v>Non Trouvé</v>
          </cell>
          <cell r="C741" t="e">
            <v>#VALUE!</v>
          </cell>
        </row>
        <row r="742">
          <cell r="B742" t="str">
            <v>Non Trouvé</v>
          </cell>
          <cell r="C742" t="e">
            <v>#VALUE!</v>
          </cell>
        </row>
        <row r="743">
          <cell r="B743" t="str">
            <v>Non Trouvé</v>
          </cell>
          <cell r="C743" t="e">
            <v>#VALUE!</v>
          </cell>
        </row>
        <row r="744">
          <cell r="B744" t="str">
            <v>Non Trouvé</v>
          </cell>
          <cell r="C744" t="e">
            <v>#VALUE!</v>
          </cell>
        </row>
        <row r="745">
          <cell r="B745" t="str">
            <v>Non Trouvé</v>
          </cell>
          <cell r="C745" t="e">
            <v>#VALUE!</v>
          </cell>
        </row>
        <row r="746">
          <cell r="B746" t="str">
            <v>Non Trouvé</v>
          </cell>
          <cell r="C746" t="e">
            <v>#VALUE!</v>
          </cell>
        </row>
        <row r="747">
          <cell r="B747" t="str">
            <v>Non Trouvé</v>
          </cell>
          <cell r="C747" t="e">
            <v>#VALUE!</v>
          </cell>
        </row>
        <row r="748">
          <cell r="B748" t="str">
            <v>Non Trouvé</v>
          </cell>
          <cell r="C748" t="e">
            <v>#VALUE!</v>
          </cell>
        </row>
        <row r="749">
          <cell r="B749" t="str">
            <v>Non Trouvé</v>
          </cell>
          <cell r="C749" t="e">
            <v>#VALUE!</v>
          </cell>
        </row>
        <row r="750">
          <cell r="B750" t="str">
            <v>Non Trouvé</v>
          </cell>
          <cell r="C750" t="e">
            <v>#VALUE!</v>
          </cell>
        </row>
        <row r="751">
          <cell r="B751" t="str">
            <v>Non Trouvé</v>
          </cell>
          <cell r="C751" t="e">
            <v>#VALUE!</v>
          </cell>
        </row>
        <row r="752">
          <cell r="B752" t="str">
            <v>Non Trouvé</v>
          </cell>
          <cell r="C752" t="e">
            <v>#VALUE!</v>
          </cell>
        </row>
        <row r="753">
          <cell r="B753" t="str">
            <v>Non Trouvé</v>
          </cell>
          <cell r="C753" t="e">
            <v>#VALUE!</v>
          </cell>
        </row>
        <row r="754">
          <cell r="B754" t="str">
            <v>Non Trouvé</v>
          </cell>
          <cell r="C754" t="e">
            <v>#VALUE!</v>
          </cell>
        </row>
        <row r="755">
          <cell r="B755" t="str">
            <v>Non Trouvé</v>
          </cell>
          <cell r="C755" t="e">
            <v>#VALUE!</v>
          </cell>
        </row>
        <row r="756">
          <cell r="B756" t="str">
            <v>Non Trouvé</v>
          </cell>
          <cell r="C756" t="e">
            <v>#VALUE!</v>
          </cell>
        </row>
        <row r="757">
          <cell r="B757" t="str">
            <v>Non Trouvé</v>
          </cell>
          <cell r="C757" t="e">
            <v>#VALUE!</v>
          </cell>
        </row>
        <row r="758">
          <cell r="B758" t="str">
            <v>Non Trouvé</v>
          </cell>
          <cell r="C758" t="e">
            <v>#VALUE!</v>
          </cell>
        </row>
        <row r="759">
          <cell r="B759" t="str">
            <v>Non Trouvé</v>
          </cell>
          <cell r="C759" t="e">
            <v>#VALUE!</v>
          </cell>
        </row>
        <row r="760">
          <cell r="B760" t="str">
            <v>Non Trouvé</v>
          </cell>
          <cell r="C760" t="e">
            <v>#VALUE!</v>
          </cell>
        </row>
        <row r="761">
          <cell r="B761" t="str">
            <v>Non Trouvé</v>
          </cell>
          <cell r="C761" t="e">
            <v>#VALUE!</v>
          </cell>
        </row>
        <row r="762">
          <cell r="B762" t="str">
            <v>Non Trouvé</v>
          </cell>
          <cell r="C762" t="e">
            <v>#VALUE!</v>
          </cell>
        </row>
        <row r="763">
          <cell r="B763" t="str">
            <v>Non Trouvé</v>
          </cell>
          <cell r="C763" t="e">
            <v>#VALUE!</v>
          </cell>
        </row>
        <row r="764">
          <cell r="B764" t="str">
            <v>Non Trouvé</v>
          </cell>
          <cell r="C764" t="e">
            <v>#VALUE!</v>
          </cell>
        </row>
        <row r="765">
          <cell r="B765" t="str">
            <v>Non Trouvé</v>
          </cell>
          <cell r="C765" t="e">
            <v>#VALUE!</v>
          </cell>
        </row>
        <row r="766">
          <cell r="B766" t="str">
            <v>Non Trouvé</v>
          </cell>
          <cell r="C766" t="e">
            <v>#VALUE!</v>
          </cell>
        </row>
        <row r="767">
          <cell r="B767" t="str">
            <v>Non Trouvé</v>
          </cell>
          <cell r="C767" t="e">
            <v>#VALUE!</v>
          </cell>
        </row>
        <row r="768">
          <cell r="B768" t="str">
            <v>Non Trouvé</v>
          </cell>
          <cell r="C768" t="e">
            <v>#VALUE!</v>
          </cell>
        </row>
        <row r="769">
          <cell r="B769" t="str">
            <v>Non Trouvé</v>
          </cell>
          <cell r="C769" t="e">
            <v>#VALUE!</v>
          </cell>
        </row>
        <row r="772">
          <cell r="B772">
            <v>1030204</v>
          </cell>
          <cell r="C772">
            <v>0</v>
          </cell>
        </row>
        <row r="773">
          <cell r="B773">
            <v>1030203</v>
          </cell>
          <cell r="C773">
            <v>0</v>
          </cell>
        </row>
        <row r="774">
          <cell r="B774">
            <v>1030206</v>
          </cell>
          <cell r="C774">
            <v>0</v>
          </cell>
        </row>
        <row r="775">
          <cell r="B775">
            <v>1030201</v>
          </cell>
          <cell r="C775">
            <v>0</v>
          </cell>
        </row>
        <row r="776">
          <cell r="B776">
            <v>1030202</v>
          </cell>
          <cell r="C776">
            <v>0</v>
          </cell>
        </row>
        <row r="777">
          <cell r="B777">
            <v>1030104</v>
          </cell>
          <cell r="C777">
            <v>0</v>
          </cell>
        </row>
        <row r="778">
          <cell r="B778">
            <v>1030105</v>
          </cell>
          <cell r="C778">
            <v>0</v>
          </cell>
        </row>
        <row r="779">
          <cell r="B779">
            <v>1030102</v>
          </cell>
          <cell r="C779">
            <v>0</v>
          </cell>
        </row>
        <row r="780">
          <cell r="B780">
            <v>1030125</v>
          </cell>
          <cell r="C780">
            <v>0</v>
          </cell>
        </row>
        <row r="781">
          <cell r="B781">
            <v>1030101</v>
          </cell>
          <cell r="C781">
            <v>0</v>
          </cell>
        </row>
        <row r="782">
          <cell r="B782" t="str">
            <v>BROSSE CORPS</v>
          </cell>
          <cell r="C782">
            <v>0</v>
          </cell>
        </row>
        <row r="783">
          <cell r="B783" t="str">
            <v>SR OPCA HUILES 2025</v>
          </cell>
          <cell r="C783">
            <v>0</v>
          </cell>
        </row>
        <row r="784">
          <cell r="B784">
            <v>1030204</v>
          </cell>
          <cell r="C784">
            <v>400</v>
          </cell>
        </row>
        <row r="785">
          <cell r="B785">
            <v>1030203</v>
          </cell>
          <cell r="C785">
            <v>200</v>
          </cell>
        </row>
        <row r="786">
          <cell r="B786">
            <v>1030206</v>
          </cell>
          <cell r="C786">
            <v>600</v>
          </cell>
        </row>
        <row r="787">
          <cell r="B787">
            <v>1030201</v>
          </cell>
          <cell r="C787">
            <v>800</v>
          </cell>
        </row>
        <row r="788">
          <cell r="B788">
            <v>1030202</v>
          </cell>
          <cell r="C788">
            <v>400</v>
          </cell>
        </row>
        <row r="789">
          <cell r="B789">
            <v>1030104</v>
          </cell>
          <cell r="C789">
            <v>600</v>
          </cell>
        </row>
        <row r="790">
          <cell r="B790">
            <v>1030105</v>
          </cell>
          <cell r="C790">
            <v>0</v>
          </cell>
        </row>
        <row r="791">
          <cell r="B791">
            <v>1030102</v>
          </cell>
          <cell r="C791">
            <v>600</v>
          </cell>
        </row>
        <row r="792">
          <cell r="B792">
            <v>1030125</v>
          </cell>
          <cell r="C792">
            <v>400</v>
          </cell>
        </row>
        <row r="793">
          <cell r="B793">
            <v>1030101</v>
          </cell>
          <cell r="C793">
            <v>800</v>
          </cell>
        </row>
        <row r="794">
          <cell r="B794" t="str">
            <v>BROSSE CORPS</v>
          </cell>
          <cell r="C794">
            <v>0</v>
          </cell>
        </row>
        <row r="795">
          <cell r="B795" t="str">
            <v>SR OPCA HUILES 2025</v>
          </cell>
          <cell r="C795">
            <v>140</v>
          </cell>
        </row>
        <row r="796">
          <cell r="B796">
            <v>1030204</v>
          </cell>
          <cell r="C796">
            <v>250</v>
          </cell>
        </row>
        <row r="797">
          <cell r="B797">
            <v>1030203</v>
          </cell>
          <cell r="C797">
            <v>250</v>
          </cell>
        </row>
        <row r="798">
          <cell r="B798">
            <v>1030206</v>
          </cell>
          <cell r="C798">
            <v>500</v>
          </cell>
        </row>
        <row r="799">
          <cell r="B799">
            <v>1030201</v>
          </cell>
          <cell r="C799">
            <v>500</v>
          </cell>
        </row>
        <row r="800">
          <cell r="B800">
            <v>1030202</v>
          </cell>
          <cell r="C800">
            <v>250</v>
          </cell>
        </row>
        <row r="801">
          <cell r="B801">
            <v>1030104</v>
          </cell>
          <cell r="C801">
            <v>250</v>
          </cell>
        </row>
        <row r="802">
          <cell r="B802">
            <v>1030105</v>
          </cell>
          <cell r="C802">
            <v>0</v>
          </cell>
        </row>
        <row r="803">
          <cell r="B803">
            <v>1030102</v>
          </cell>
          <cell r="C803">
            <v>250</v>
          </cell>
        </row>
        <row r="804">
          <cell r="B804">
            <v>1030125</v>
          </cell>
          <cell r="C804">
            <v>250</v>
          </cell>
        </row>
        <row r="805">
          <cell r="B805">
            <v>1030101</v>
          </cell>
          <cell r="C805">
            <v>500</v>
          </cell>
        </row>
        <row r="806">
          <cell r="B806" t="str">
            <v>BROSSE CORPS</v>
          </cell>
          <cell r="C806">
            <v>0</v>
          </cell>
        </row>
        <row r="807">
          <cell r="B807" t="str">
            <v>SR OPCA HUILES 2025</v>
          </cell>
          <cell r="C807">
            <v>180</v>
          </cell>
        </row>
        <row r="808">
          <cell r="B808" t="str">
            <v>Non Trouvé</v>
          </cell>
          <cell r="C808" t="e">
            <v>#VALUE!</v>
          </cell>
        </row>
        <row r="809">
          <cell r="B809" t="str">
            <v>Non Trouvé</v>
          </cell>
          <cell r="C809" t="e">
            <v>#VALUE!</v>
          </cell>
        </row>
        <row r="810">
          <cell r="B810" t="str">
            <v>Non Trouvé</v>
          </cell>
          <cell r="C810" t="e">
            <v>#VALUE!</v>
          </cell>
        </row>
        <row r="811">
          <cell r="B811" t="str">
            <v>Non Trouvé</v>
          </cell>
          <cell r="C811" t="e">
            <v>#VALUE!</v>
          </cell>
        </row>
        <row r="812">
          <cell r="B812" t="str">
            <v>Non Trouvé</v>
          </cell>
          <cell r="C812" t="e">
            <v>#VALUE!</v>
          </cell>
        </row>
        <row r="813">
          <cell r="B813" t="str">
            <v>Non Trouvé</v>
          </cell>
          <cell r="C813" t="e">
            <v>#VALUE!</v>
          </cell>
        </row>
        <row r="814">
          <cell r="B814" t="str">
            <v>Non Trouvé</v>
          </cell>
          <cell r="C814" t="e">
            <v>#VALUE!</v>
          </cell>
        </row>
        <row r="815">
          <cell r="B815" t="str">
            <v>Non Trouvé</v>
          </cell>
          <cell r="C815" t="e">
            <v>#VALUE!</v>
          </cell>
        </row>
        <row r="816">
          <cell r="B816" t="str">
            <v>Non Trouvé</v>
          </cell>
          <cell r="C816" t="e">
            <v>#VALUE!</v>
          </cell>
        </row>
        <row r="817">
          <cell r="B817" t="str">
            <v>Non Trouvé</v>
          </cell>
          <cell r="C817" t="e">
            <v>#VALUE!</v>
          </cell>
        </row>
        <row r="818">
          <cell r="B818" t="str">
            <v>Non Trouvé</v>
          </cell>
          <cell r="C818" t="e">
            <v>#VALUE!</v>
          </cell>
        </row>
        <row r="819">
          <cell r="B819" t="str">
            <v>Non Trouvé</v>
          </cell>
          <cell r="C819" t="e">
            <v>#VALUE!</v>
          </cell>
        </row>
        <row r="820">
          <cell r="B820" t="str">
            <v>Non Trouvé</v>
          </cell>
          <cell r="C820" t="e">
            <v>#VALUE!</v>
          </cell>
        </row>
        <row r="821">
          <cell r="B821" t="str">
            <v>Non Trouvé</v>
          </cell>
          <cell r="C821" t="e">
            <v>#VALUE!</v>
          </cell>
        </row>
        <row r="822">
          <cell r="B822" t="str">
            <v>Non Trouvé</v>
          </cell>
          <cell r="C822" t="e">
            <v>#VALUE!</v>
          </cell>
        </row>
        <row r="823">
          <cell r="B823" t="str">
            <v>Non Trouvé</v>
          </cell>
          <cell r="C823" t="e">
            <v>#VALUE!</v>
          </cell>
        </row>
        <row r="824">
          <cell r="B824" t="str">
            <v>Non Trouvé</v>
          </cell>
          <cell r="C824" t="e">
            <v>#VALUE!</v>
          </cell>
        </row>
        <row r="825">
          <cell r="B825" t="str">
            <v>Non Trouvé</v>
          </cell>
          <cell r="C825" t="e">
            <v>#VALUE!</v>
          </cell>
        </row>
        <row r="826">
          <cell r="B826" t="str">
            <v>Non Trouvé</v>
          </cell>
          <cell r="C826" t="e">
            <v>#VALUE!</v>
          </cell>
        </row>
        <row r="827">
          <cell r="B827" t="str">
            <v>Non Trouvé</v>
          </cell>
          <cell r="C827" t="e">
            <v>#VALUE!</v>
          </cell>
        </row>
        <row r="828">
          <cell r="B828" t="str">
            <v>Non Trouvé</v>
          </cell>
          <cell r="C828" t="e">
            <v>#VALUE!</v>
          </cell>
        </row>
        <row r="829">
          <cell r="B829" t="str">
            <v>Non Trouvé</v>
          </cell>
          <cell r="C829" t="e">
            <v>#VALUE!</v>
          </cell>
        </row>
        <row r="830">
          <cell r="B830" t="str">
            <v>Non Trouvé</v>
          </cell>
          <cell r="C830" t="e">
            <v>#VALUE!</v>
          </cell>
        </row>
        <row r="831">
          <cell r="B831" t="str">
            <v>Non Trouvé</v>
          </cell>
          <cell r="C831" t="e">
            <v>#VALUE!</v>
          </cell>
        </row>
        <row r="832">
          <cell r="B832" t="str">
            <v>Non Trouvé</v>
          </cell>
          <cell r="C832" t="e">
            <v>#VALUE!</v>
          </cell>
        </row>
        <row r="833">
          <cell r="B833" t="str">
            <v>Non Trouvé</v>
          </cell>
          <cell r="C833" t="e">
            <v>#VALUE!</v>
          </cell>
        </row>
        <row r="834">
          <cell r="B834" t="str">
            <v>Non Trouvé</v>
          </cell>
          <cell r="C834" t="e">
            <v>#VALUE!</v>
          </cell>
        </row>
        <row r="835">
          <cell r="B835" t="str">
            <v>Non Trouvé</v>
          </cell>
          <cell r="C835" t="e">
            <v>#VALUE!</v>
          </cell>
        </row>
        <row r="836">
          <cell r="B836" t="str">
            <v>Non Trouvé</v>
          </cell>
          <cell r="C836" t="e">
            <v>#VALUE!</v>
          </cell>
        </row>
        <row r="837">
          <cell r="B837" t="str">
            <v>Non Trouvé</v>
          </cell>
          <cell r="C837" t="e">
            <v>#VALUE!</v>
          </cell>
        </row>
        <row r="838">
          <cell r="B838" t="str">
            <v>Non Trouvé</v>
          </cell>
          <cell r="C838" t="e">
            <v>#VALUE!</v>
          </cell>
        </row>
        <row r="839">
          <cell r="B839" t="str">
            <v>Non Trouvé</v>
          </cell>
          <cell r="C839" t="e">
            <v>#VALUE!</v>
          </cell>
        </row>
        <row r="840">
          <cell r="B840" t="str">
            <v>Non Trouvé</v>
          </cell>
          <cell r="C840" t="e">
            <v>#VALUE!</v>
          </cell>
        </row>
        <row r="843">
          <cell r="B843" t="str">
            <v>NEW CURE NUIT</v>
          </cell>
          <cell r="C843">
            <v>330</v>
          </cell>
        </row>
        <row r="844">
          <cell r="B844" t="str">
            <v>NEW CURE PEAUX SENSIBLES 56ML</v>
          </cell>
          <cell r="C844">
            <v>90</v>
          </cell>
        </row>
        <row r="845">
          <cell r="B845" t="str">
            <v>NEW CURE PEAUX SENSIBLES 14ML</v>
          </cell>
          <cell r="C845">
            <v>30</v>
          </cell>
        </row>
        <row r="846">
          <cell r="B846">
            <v>1010724</v>
          </cell>
          <cell r="C846">
            <v>0</v>
          </cell>
        </row>
        <row r="847">
          <cell r="B847">
            <v>1010725</v>
          </cell>
          <cell r="C847">
            <v>30</v>
          </cell>
        </row>
        <row r="848">
          <cell r="B848">
            <v>1010726</v>
          </cell>
          <cell r="C848">
            <v>30</v>
          </cell>
        </row>
        <row r="849">
          <cell r="B849">
            <v>1020721</v>
          </cell>
          <cell r="C849">
            <v>150</v>
          </cell>
        </row>
        <row r="850">
          <cell r="B850">
            <v>1020722</v>
          </cell>
          <cell r="C850">
            <v>60</v>
          </cell>
        </row>
        <row r="851">
          <cell r="B851" t="str">
            <v>MASQUE NUIT</v>
          </cell>
          <cell r="C851">
            <v>1490</v>
          </cell>
        </row>
        <row r="852">
          <cell r="B852" t="str">
            <v>SR CURE</v>
          </cell>
          <cell r="C852">
            <v>46</v>
          </cell>
        </row>
        <row r="853">
          <cell r="B853" t="str">
            <v>PLV CURES</v>
          </cell>
          <cell r="C853">
            <v>46</v>
          </cell>
        </row>
        <row r="854">
          <cell r="B854" t="str">
            <v>OPEN CAT</v>
          </cell>
          <cell r="C854">
            <v>480</v>
          </cell>
        </row>
        <row r="855">
          <cell r="B855" t="str">
            <v>NEW CURE NUIT</v>
          </cell>
          <cell r="C855">
            <v>400</v>
          </cell>
        </row>
        <row r="856">
          <cell r="B856" t="str">
            <v>NEW CURE PEAUX SENSIBLES 56ML</v>
          </cell>
          <cell r="C856">
            <v>160</v>
          </cell>
        </row>
        <row r="857">
          <cell r="B857" t="str">
            <v>NEW CURE PEAUX SENSIBLES 14ML</v>
          </cell>
          <cell r="C857">
            <v>0</v>
          </cell>
        </row>
        <row r="858">
          <cell r="B858">
            <v>1010724</v>
          </cell>
          <cell r="C858">
            <v>0</v>
          </cell>
        </row>
        <row r="859">
          <cell r="B859">
            <v>1010725</v>
          </cell>
          <cell r="C859">
            <v>80</v>
          </cell>
        </row>
        <row r="860">
          <cell r="B860">
            <v>1010726</v>
          </cell>
          <cell r="C860">
            <v>80</v>
          </cell>
        </row>
        <row r="861">
          <cell r="B861">
            <v>1020721</v>
          </cell>
          <cell r="C861">
            <v>160</v>
          </cell>
        </row>
        <row r="862">
          <cell r="B862">
            <v>1020722</v>
          </cell>
          <cell r="C862">
            <v>80</v>
          </cell>
        </row>
        <row r="863">
          <cell r="B863" t="str">
            <v>MASQUE NUIT</v>
          </cell>
          <cell r="C863">
            <v>960</v>
          </cell>
        </row>
        <row r="864">
          <cell r="B864" t="str">
            <v>SR CURE</v>
          </cell>
          <cell r="C864">
            <v>60</v>
          </cell>
        </row>
        <row r="865">
          <cell r="B865" t="str">
            <v>PLV CURES</v>
          </cell>
          <cell r="C865">
            <v>60</v>
          </cell>
        </row>
        <row r="866">
          <cell r="B866" t="str">
            <v>OPEN CAT</v>
          </cell>
          <cell r="C866">
            <v>640</v>
          </cell>
        </row>
        <row r="867">
          <cell r="B867" t="str">
            <v>NEW CURE NUIT</v>
          </cell>
          <cell r="C867">
            <v>570</v>
          </cell>
        </row>
        <row r="868">
          <cell r="B868" t="str">
            <v>NEW CURE PEAUX SENSIBLES 56ML</v>
          </cell>
          <cell r="C868">
            <v>380</v>
          </cell>
        </row>
        <row r="869">
          <cell r="B869" t="str">
            <v>NEW CURE PEAUX SENSIBLES 14ML</v>
          </cell>
          <cell r="C869">
            <v>190</v>
          </cell>
        </row>
        <row r="870">
          <cell r="B870">
            <v>1010724</v>
          </cell>
          <cell r="C870">
            <v>0</v>
          </cell>
        </row>
        <row r="871">
          <cell r="B871">
            <v>1010725</v>
          </cell>
          <cell r="C871">
            <v>0</v>
          </cell>
        </row>
        <row r="872">
          <cell r="B872">
            <v>1010726</v>
          </cell>
          <cell r="C872">
            <v>0</v>
          </cell>
        </row>
        <row r="873">
          <cell r="B873">
            <v>1020721</v>
          </cell>
          <cell r="C873">
            <v>0</v>
          </cell>
        </row>
        <row r="874">
          <cell r="B874">
            <v>1020722</v>
          </cell>
          <cell r="C874">
            <v>0</v>
          </cell>
        </row>
        <row r="875">
          <cell r="B875" t="str">
            <v>MASQUE NUIT</v>
          </cell>
          <cell r="C875">
            <v>1140</v>
          </cell>
        </row>
        <row r="876">
          <cell r="B876" t="str">
            <v>SR CURE</v>
          </cell>
          <cell r="C876">
            <v>140</v>
          </cell>
        </row>
        <row r="877">
          <cell r="B877" t="str">
            <v>PLV CURES</v>
          </cell>
          <cell r="C877">
            <v>140</v>
          </cell>
        </row>
        <row r="878">
          <cell r="B878" t="str">
            <v>OPEN CAT</v>
          </cell>
          <cell r="C878">
            <v>760</v>
          </cell>
        </row>
        <row r="879">
          <cell r="B879" t="str">
            <v>Non Trouvé</v>
          </cell>
          <cell r="C879" t="e">
            <v>#VALUE!</v>
          </cell>
        </row>
        <row r="880">
          <cell r="B880" t="str">
            <v>Non Trouvé</v>
          </cell>
          <cell r="C880" t="e">
            <v>#VALUE!</v>
          </cell>
        </row>
        <row r="881">
          <cell r="B881" t="str">
            <v>Non Trouvé</v>
          </cell>
          <cell r="C881" t="e">
            <v>#VALUE!</v>
          </cell>
        </row>
        <row r="882">
          <cell r="B882" t="str">
            <v>Non Trouvé</v>
          </cell>
          <cell r="C882" t="e">
            <v>#VALUE!</v>
          </cell>
        </row>
        <row r="883">
          <cell r="B883" t="str">
            <v>Non Trouvé</v>
          </cell>
          <cell r="C883" t="e">
            <v>#VALUE!</v>
          </cell>
        </row>
        <row r="884">
          <cell r="B884" t="str">
            <v>Non Trouvé</v>
          </cell>
          <cell r="C884" t="e">
            <v>#VALUE!</v>
          </cell>
        </row>
        <row r="885">
          <cell r="B885" t="str">
            <v>Non Trouvé</v>
          </cell>
          <cell r="C885" t="e">
            <v>#VALUE!</v>
          </cell>
        </row>
        <row r="886">
          <cell r="B886" t="str">
            <v>Non Trouvé</v>
          </cell>
          <cell r="C886" t="e">
            <v>#VALUE!</v>
          </cell>
        </row>
        <row r="887">
          <cell r="B887" t="str">
            <v>Non Trouvé</v>
          </cell>
          <cell r="C887" t="e">
            <v>#VALUE!</v>
          </cell>
        </row>
        <row r="888">
          <cell r="B888" t="str">
            <v>Non Trouvé</v>
          </cell>
          <cell r="C888" t="e">
            <v>#VALUE!</v>
          </cell>
        </row>
        <row r="889">
          <cell r="B889" t="str">
            <v>Non Trouvé</v>
          </cell>
          <cell r="C889" t="e">
            <v>#VALUE!</v>
          </cell>
        </row>
        <row r="890">
          <cell r="B890" t="str">
            <v>Non Trouvé</v>
          </cell>
          <cell r="C890" t="e">
            <v>#VALUE!</v>
          </cell>
        </row>
        <row r="891">
          <cell r="B891" t="str">
            <v>Non Trouvé</v>
          </cell>
          <cell r="C891" t="e">
            <v>#VALUE!</v>
          </cell>
        </row>
        <row r="892">
          <cell r="B892" t="str">
            <v>Non Trouvé</v>
          </cell>
          <cell r="C892" t="e">
            <v>#VALUE!</v>
          </cell>
        </row>
        <row r="893">
          <cell r="B893" t="str">
            <v>Non Trouvé</v>
          </cell>
          <cell r="C893" t="e">
            <v>#VALUE!</v>
          </cell>
        </row>
        <row r="894">
          <cell r="B894" t="str">
            <v>Non Trouvé</v>
          </cell>
          <cell r="C894" t="e">
            <v>#VALUE!</v>
          </cell>
        </row>
        <row r="895">
          <cell r="B895" t="str">
            <v>Non Trouvé</v>
          </cell>
          <cell r="C895" t="e">
            <v>#VALUE!</v>
          </cell>
        </row>
        <row r="896">
          <cell r="B896" t="str">
            <v>Non Trouvé</v>
          </cell>
          <cell r="C896" t="e">
            <v>#VALUE!</v>
          </cell>
        </row>
        <row r="897">
          <cell r="B897" t="str">
            <v>Non Trouvé</v>
          </cell>
          <cell r="C897" t="e">
            <v>#VALUE!</v>
          </cell>
        </row>
        <row r="898">
          <cell r="B898" t="str">
            <v>Non Trouvé</v>
          </cell>
          <cell r="C898" t="e">
            <v>#VALUE!</v>
          </cell>
        </row>
        <row r="899">
          <cell r="B899" t="str">
            <v>Non Trouvé</v>
          </cell>
          <cell r="C899" t="e">
            <v>#VALUE!</v>
          </cell>
        </row>
        <row r="900">
          <cell r="B900" t="str">
            <v>Non Trouvé</v>
          </cell>
          <cell r="C900" t="e">
            <v>#VALUE!</v>
          </cell>
        </row>
        <row r="901">
          <cell r="B901" t="str">
            <v>Non Trouvé</v>
          </cell>
          <cell r="C901" t="e">
            <v>#VALUE!</v>
          </cell>
        </row>
        <row r="902">
          <cell r="B902" t="str">
            <v>Non Trouvé</v>
          </cell>
          <cell r="C902" t="e">
            <v>#VALUE!</v>
          </cell>
        </row>
        <row r="903">
          <cell r="B903" t="str">
            <v>Non Trouvé</v>
          </cell>
          <cell r="C903" t="e">
            <v>#VALUE!</v>
          </cell>
        </row>
        <row r="904">
          <cell r="B904" t="str">
            <v>Non Trouvé</v>
          </cell>
          <cell r="C904" t="e">
            <v>#VALUE!</v>
          </cell>
        </row>
        <row r="905">
          <cell r="B905" t="str">
            <v>Non Trouvé</v>
          </cell>
          <cell r="C905" t="e">
            <v>#VALUE!</v>
          </cell>
        </row>
        <row r="906">
          <cell r="B906" t="str">
            <v>Non Trouvé</v>
          </cell>
          <cell r="C906" t="e">
            <v>#VALUE!</v>
          </cell>
        </row>
        <row r="907">
          <cell r="B907" t="str">
            <v>Non Trouvé</v>
          </cell>
          <cell r="C907" t="e">
            <v>#VALUE!</v>
          </cell>
        </row>
        <row r="908">
          <cell r="B908" t="str">
            <v>Non Trouvé</v>
          </cell>
          <cell r="C908" t="e">
            <v>#VALUE!</v>
          </cell>
        </row>
        <row r="909">
          <cell r="B909" t="str">
            <v>Non Trouvé</v>
          </cell>
          <cell r="C909" t="e">
            <v>#VALUE!</v>
          </cell>
        </row>
        <row r="910">
          <cell r="B910" t="str">
            <v>Non Trouvé</v>
          </cell>
          <cell r="C910" t="e">
            <v>#VALUE!</v>
          </cell>
        </row>
        <row r="911">
          <cell r="B911" t="str">
            <v>Non Trouvé</v>
          </cell>
          <cell r="C911" t="e">
            <v>#VALUE!</v>
          </cell>
        </row>
        <row r="914">
          <cell r="B914" t="str">
            <v>COFFRET NOEL ROSE</v>
          </cell>
          <cell r="C914">
            <v>2410</v>
          </cell>
        </row>
        <row r="915">
          <cell r="B915" t="str">
            <v>COFFRET NOEL ABRICOT</v>
          </cell>
          <cell r="C915">
            <v>2310</v>
          </cell>
        </row>
        <row r="916">
          <cell r="B916" t="str">
            <v>CRACKER NOEL</v>
          </cell>
          <cell r="C916">
            <v>3280</v>
          </cell>
        </row>
        <row r="917">
          <cell r="B917" t="str">
            <v>CRACKER NOEL</v>
          </cell>
          <cell r="C917">
            <v>0</v>
          </cell>
        </row>
        <row r="918">
          <cell r="B918" t="str">
            <v>COFFRET NOEL ABRICOT</v>
          </cell>
          <cell r="C918">
            <v>480</v>
          </cell>
        </row>
        <row r="919">
          <cell r="B919" t="str">
            <v>COFFRET NOEL ROSE</v>
          </cell>
          <cell r="C919">
            <v>0</v>
          </cell>
        </row>
        <row r="920">
          <cell r="B920" t="str">
            <v>COFFRET NOEL ABRICOT</v>
          </cell>
          <cell r="C920">
            <v>0</v>
          </cell>
        </row>
        <row r="921">
          <cell r="B921" t="str">
            <v>CRACKER NOEL</v>
          </cell>
          <cell r="C921">
            <v>0</v>
          </cell>
        </row>
        <row r="922">
          <cell r="B922" t="str">
            <v>CRACKER NOEL</v>
          </cell>
          <cell r="C922">
            <v>0</v>
          </cell>
        </row>
        <row r="923">
          <cell r="B923" t="str">
            <v>COFFRET NOEL ABRICOT</v>
          </cell>
          <cell r="C923">
            <v>0</v>
          </cell>
        </row>
        <row r="924">
          <cell r="B924" t="str">
            <v>COFFRET NOEL ROSE</v>
          </cell>
          <cell r="C924">
            <v>510</v>
          </cell>
        </row>
        <row r="925">
          <cell r="B925" t="str">
            <v>COFFRET NOEL ABRICOT</v>
          </cell>
          <cell r="C925">
            <v>510</v>
          </cell>
        </row>
        <row r="926">
          <cell r="B926" t="str">
            <v>CRACKER NOEL</v>
          </cell>
          <cell r="C926">
            <v>1020</v>
          </cell>
        </row>
        <row r="927">
          <cell r="B927" t="str">
            <v>CRACKER NOEL</v>
          </cell>
          <cell r="C927">
            <v>0</v>
          </cell>
        </row>
        <row r="928">
          <cell r="B928" t="str">
            <v>COFFRET NOEL ABRICOT</v>
          </cell>
          <cell r="C928">
            <v>170</v>
          </cell>
        </row>
        <row r="929">
          <cell r="B929" t="str">
            <v>COFFRET NOEL ROSE</v>
          </cell>
          <cell r="C929">
            <v>120</v>
          </cell>
        </row>
        <row r="930">
          <cell r="B930" t="str">
            <v>COFFRET NOEL ABRICOT</v>
          </cell>
          <cell r="C930">
            <v>120</v>
          </cell>
        </row>
        <row r="931">
          <cell r="B931" t="str">
            <v>CRACKER NOEL</v>
          </cell>
          <cell r="C931">
            <v>180</v>
          </cell>
        </row>
        <row r="932">
          <cell r="B932" t="str">
            <v>COFFRET NOEL MUP</v>
          </cell>
          <cell r="C932">
            <v>455</v>
          </cell>
        </row>
        <row r="933">
          <cell r="B933" t="str">
            <v>COFFRET NOEL ABRICOT</v>
          </cell>
          <cell r="C933">
            <v>80</v>
          </cell>
        </row>
        <row r="934">
          <cell r="B934" t="str">
            <v>COFFRET NOEL ROSE</v>
          </cell>
          <cell r="C934">
            <v>0</v>
          </cell>
        </row>
        <row r="935">
          <cell r="B935" t="str">
            <v>COFFRET NOEL ABRICOT</v>
          </cell>
          <cell r="C935">
            <v>0</v>
          </cell>
        </row>
        <row r="936">
          <cell r="B936" t="str">
            <v>CRACKER NOEL</v>
          </cell>
          <cell r="C936">
            <v>0</v>
          </cell>
        </row>
        <row r="937">
          <cell r="B937" t="str">
            <v>COFFRET NOEL MUP</v>
          </cell>
          <cell r="C937">
            <v>0</v>
          </cell>
        </row>
        <row r="938">
          <cell r="B938" t="str">
            <v>COFFRET NOEL ABRICOT</v>
          </cell>
          <cell r="C938">
            <v>0</v>
          </cell>
        </row>
        <row r="939">
          <cell r="B939" t="str">
            <v>COFFRET NOEL ROSE</v>
          </cell>
          <cell r="C939">
            <v>390</v>
          </cell>
        </row>
        <row r="940">
          <cell r="B940" t="str">
            <v>COFFRET NOEL ABRICOT</v>
          </cell>
          <cell r="C940">
            <v>260</v>
          </cell>
        </row>
        <row r="941">
          <cell r="B941" t="str">
            <v>CRACKER NOEL</v>
          </cell>
          <cell r="C941">
            <v>780</v>
          </cell>
        </row>
        <row r="942">
          <cell r="B942" t="str">
            <v>COFFRET NOEL MUP</v>
          </cell>
          <cell r="C942">
            <v>130</v>
          </cell>
        </row>
        <row r="943">
          <cell r="B943" t="str">
            <v>COFFRET NOEL ABRICOT</v>
          </cell>
          <cell r="C943">
            <v>130</v>
          </cell>
        </row>
        <row r="944">
          <cell r="B944">
            <v>1010101</v>
          </cell>
          <cell r="C944">
            <v>600</v>
          </cell>
        </row>
        <row r="945">
          <cell r="B945">
            <v>1010102</v>
          </cell>
          <cell r="C945">
            <v>600</v>
          </cell>
        </row>
        <row r="946">
          <cell r="B946">
            <v>1010116</v>
          </cell>
          <cell r="C946">
            <v>0</v>
          </cell>
        </row>
        <row r="947">
          <cell r="B947">
            <v>1010201</v>
          </cell>
          <cell r="C947">
            <v>600</v>
          </cell>
        </row>
        <row r="948">
          <cell r="B948">
            <v>1010202</v>
          </cell>
          <cell r="C948">
            <v>0</v>
          </cell>
        </row>
        <row r="949">
          <cell r="B949">
            <v>1010209</v>
          </cell>
          <cell r="C949">
            <v>0</v>
          </cell>
        </row>
        <row r="950">
          <cell r="B950">
            <v>1010302</v>
          </cell>
          <cell r="C950">
            <v>300</v>
          </cell>
        </row>
        <row r="951">
          <cell r="B951">
            <v>1010360</v>
          </cell>
          <cell r="C951">
            <v>0</v>
          </cell>
        </row>
        <row r="952">
          <cell r="B952">
            <v>1010361</v>
          </cell>
          <cell r="C952">
            <v>0</v>
          </cell>
        </row>
        <row r="953">
          <cell r="B953">
            <v>1010359</v>
          </cell>
          <cell r="C953">
            <v>300</v>
          </cell>
        </row>
        <row r="954">
          <cell r="B954">
            <v>1010305</v>
          </cell>
          <cell r="C954">
            <v>0</v>
          </cell>
        </row>
        <row r="955">
          <cell r="B955">
            <v>1010306</v>
          </cell>
          <cell r="C955">
            <v>0</v>
          </cell>
        </row>
        <row r="956">
          <cell r="B956">
            <v>1010310</v>
          </cell>
          <cell r="C956">
            <v>600</v>
          </cell>
        </row>
        <row r="957">
          <cell r="B957">
            <v>1010377</v>
          </cell>
          <cell r="C957">
            <v>300</v>
          </cell>
        </row>
        <row r="958">
          <cell r="B958">
            <v>1010353</v>
          </cell>
          <cell r="C958">
            <v>300</v>
          </cell>
        </row>
        <row r="959">
          <cell r="B959">
            <v>1061029</v>
          </cell>
          <cell r="C959">
            <v>0</v>
          </cell>
        </row>
        <row r="960">
          <cell r="B960">
            <v>1030104</v>
          </cell>
          <cell r="C960">
            <v>0</v>
          </cell>
        </row>
        <row r="961">
          <cell r="B961">
            <v>1030101</v>
          </cell>
          <cell r="C961">
            <v>0</v>
          </cell>
        </row>
        <row r="962">
          <cell r="B962">
            <v>1030201</v>
          </cell>
          <cell r="C962">
            <v>0</v>
          </cell>
        </row>
        <row r="963">
          <cell r="B963">
            <v>1030206</v>
          </cell>
          <cell r="C963">
            <v>0</v>
          </cell>
        </row>
        <row r="964">
          <cell r="B964">
            <v>1040115</v>
          </cell>
          <cell r="C964">
            <v>0</v>
          </cell>
        </row>
        <row r="965">
          <cell r="B965">
            <v>1040201</v>
          </cell>
          <cell r="C965">
            <v>0</v>
          </cell>
        </row>
        <row r="966">
          <cell r="B966">
            <v>1040205</v>
          </cell>
          <cell r="C966">
            <v>0</v>
          </cell>
        </row>
        <row r="967">
          <cell r="B967">
            <v>1010120</v>
          </cell>
          <cell r="C967">
            <v>1000</v>
          </cell>
        </row>
        <row r="968">
          <cell r="B968">
            <v>1010205</v>
          </cell>
          <cell r="C968">
            <v>1000</v>
          </cell>
        </row>
        <row r="969">
          <cell r="B969" t="str">
            <v>COFFRET PERSONNALISABLE</v>
          </cell>
          <cell r="C969">
            <v>1900</v>
          </cell>
        </row>
        <row r="970">
          <cell r="B970" t="str">
            <v>CHEVALET NOEL</v>
          </cell>
          <cell r="C970">
            <v>210</v>
          </cell>
        </row>
        <row r="971">
          <cell r="B971" t="str">
            <v>OPCA 1000€</v>
          </cell>
          <cell r="C971">
            <v>100</v>
          </cell>
        </row>
        <row r="972">
          <cell r="B972" t="str">
            <v>CALENDRIER AVENT</v>
          </cell>
          <cell r="C972">
            <v>550</v>
          </cell>
        </row>
        <row r="973">
          <cell r="B973" t="str">
            <v>OPCA 500€</v>
          </cell>
          <cell r="C973">
            <v>100</v>
          </cell>
        </row>
        <row r="974">
          <cell r="B974" t="str">
            <v>CALENDRIER AVENT</v>
          </cell>
          <cell r="C974">
            <v>100</v>
          </cell>
        </row>
        <row r="975">
          <cell r="B975" t="str">
            <v>Non Trouvé</v>
          </cell>
          <cell r="C975" t="e">
            <v>#VALUE!</v>
          </cell>
        </row>
        <row r="976">
          <cell r="B976" t="str">
            <v>Non Trouvé</v>
          </cell>
          <cell r="C976" t="e">
            <v>#VALUE!</v>
          </cell>
        </row>
        <row r="977">
          <cell r="B977" t="str">
            <v>Non Trouvé</v>
          </cell>
          <cell r="C977" t="e">
            <v>#VALUE!</v>
          </cell>
        </row>
        <row r="978">
          <cell r="B978" t="str">
            <v>Non Trouvé</v>
          </cell>
          <cell r="C978" t="e">
            <v>#VALUE!</v>
          </cell>
        </row>
        <row r="979">
          <cell r="B979" t="str">
            <v>Non Trouvé</v>
          </cell>
          <cell r="C979" t="e">
            <v>#VALUE!</v>
          </cell>
        </row>
        <row r="980">
          <cell r="B980" t="str">
            <v>Non Trouvé</v>
          </cell>
          <cell r="C980" t="e">
            <v>#VALUE!</v>
          </cell>
        </row>
        <row r="981">
          <cell r="B981" t="str">
            <v>Non Trouvé</v>
          </cell>
          <cell r="C981" t="e">
            <v>#VALUE!</v>
          </cell>
        </row>
        <row r="982">
          <cell r="B982" t="str">
            <v>Non Trouvé</v>
          </cell>
          <cell r="C982" t="e">
            <v>#VALUE!</v>
          </cell>
        </row>
        <row r="985">
          <cell r="B985" t="str">
            <v>VANITY REGE</v>
          </cell>
          <cell r="C985">
            <v>1500</v>
          </cell>
        </row>
        <row r="986">
          <cell r="B986" t="str">
            <v>SR VANITY REGE</v>
          </cell>
          <cell r="C986">
            <v>70</v>
          </cell>
        </row>
        <row r="987">
          <cell r="B987" t="str">
            <v>Non Trouvé</v>
          </cell>
          <cell r="C987" t="e">
            <v>#VALUE!</v>
          </cell>
        </row>
        <row r="988">
          <cell r="B988" t="str">
            <v>Non Trouvé</v>
          </cell>
          <cell r="C988" t="e">
            <v>#VALUE!</v>
          </cell>
        </row>
        <row r="989">
          <cell r="B989" t="str">
            <v>Non Trouvé</v>
          </cell>
          <cell r="C989" t="e">
            <v>#VALUE!</v>
          </cell>
        </row>
        <row r="990">
          <cell r="B990" t="str">
            <v>Non Trouvé</v>
          </cell>
          <cell r="C990" t="e">
            <v>#VALUE!</v>
          </cell>
        </row>
        <row r="991">
          <cell r="B991" t="str">
            <v>Non Trouvé</v>
          </cell>
          <cell r="C991" t="e">
            <v>#VALUE!</v>
          </cell>
        </row>
        <row r="992">
          <cell r="B992" t="str">
            <v>Non Trouvé</v>
          </cell>
          <cell r="C992" t="e">
            <v>#VALUE!</v>
          </cell>
        </row>
        <row r="993">
          <cell r="B993" t="str">
            <v>Non Trouvé</v>
          </cell>
          <cell r="C993" t="e">
            <v>#VALUE!</v>
          </cell>
        </row>
        <row r="994">
          <cell r="B994" t="str">
            <v>Non Trouvé</v>
          </cell>
          <cell r="C994" t="e">
            <v>#VALUE!</v>
          </cell>
        </row>
        <row r="995">
          <cell r="B995" t="str">
            <v>Non Trouvé</v>
          </cell>
          <cell r="C995" t="e">
            <v>#VALUE!</v>
          </cell>
        </row>
        <row r="996">
          <cell r="B996" t="str">
            <v>Non Trouvé</v>
          </cell>
          <cell r="C996" t="e">
            <v>#VALUE!</v>
          </cell>
        </row>
        <row r="997">
          <cell r="B997" t="str">
            <v>Non Trouvé</v>
          </cell>
          <cell r="C997" t="e">
            <v>#VALUE!</v>
          </cell>
        </row>
        <row r="998">
          <cell r="B998" t="str">
            <v>Non Trouvé</v>
          </cell>
          <cell r="C998" t="e">
            <v>#VALUE!</v>
          </cell>
        </row>
        <row r="999">
          <cell r="B999" t="str">
            <v>Non Trouvé</v>
          </cell>
          <cell r="C999" t="e">
            <v>#VALUE!</v>
          </cell>
        </row>
        <row r="1000">
          <cell r="B1000" t="str">
            <v>Non Trouvé</v>
          </cell>
          <cell r="C1000" t="e">
            <v>#VALUE!</v>
          </cell>
        </row>
        <row r="1001">
          <cell r="B1001" t="str">
            <v>Non Trouvé</v>
          </cell>
          <cell r="C1001" t="e">
            <v>#VALUE!</v>
          </cell>
        </row>
        <row r="1002">
          <cell r="B1002" t="str">
            <v>Non Trouvé</v>
          </cell>
          <cell r="C1002" t="e">
            <v>#VALUE!</v>
          </cell>
        </row>
        <row r="1003">
          <cell r="B1003" t="str">
            <v>Non Trouvé</v>
          </cell>
          <cell r="C1003" t="e">
            <v>#VALUE!</v>
          </cell>
        </row>
        <row r="1004">
          <cell r="B1004" t="str">
            <v>Non Trouvé</v>
          </cell>
          <cell r="C1004" t="e">
            <v>#VALUE!</v>
          </cell>
        </row>
        <row r="1005">
          <cell r="B1005" t="str">
            <v>Non Trouvé</v>
          </cell>
          <cell r="C1005" t="e">
            <v>#VALUE!</v>
          </cell>
        </row>
        <row r="1006">
          <cell r="B1006" t="str">
            <v>Non Trouvé</v>
          </cell>
          <cell r="C1006" t="e">
            <v>#VALUE!</v>
          </cell>
        </row>
        <row r="1007">
          <cell r="B1007" t="str">
            <v>Non Trouvé</v>
          </cell>
          <cell r="C1007" t="e">
            <v>#VALUE!</v>
          </cell>
        </row>
        <row r="1008">
          <cell r="B1008" t="str">
            <v>Non Trouvé</v>
          </cell>
          <cell r="C1008" t="e">
            <v>#VALUE!</v>
          </cell>
        </row>
        <row r="1009">
          <cell r="B1009" t="str">
            <v>Non Trouvé</v>
          </cell>
          <cell r="C1009" t="e">
            <v>#VALUE!</v>
          </cell>
        </row>
        <row r="1010">
          <cell r="B1010" t="str">
            <v>Non Trouvé</v>
          </cell>
          <cell r="C1010" t="e">
            <v>#VALUE!</v>
          </cell>
        </row>
        <row r="1011">
          <cell r="B1011" t="str">
            <v>Non Trouvé</v>
          </cell>
          <cell r="C1011" t="e">
            <v>#VALUE!</v>
          </cell>
        </row>
        <row r="1012">
          <cell r="B1012" t="str">
            <v>Non Trouvé</v>
          </cell>
          <cell r="C1012" t="e">
            <v>#VALUE!</v>
          </cell>
        </row>
        <row r="1013">
          <cell r="B1013" t="str">
            <v>Non Trouvé</v>
          </cell>
          <cell r="C1013" t="e">
            <v>#VALUE!</v>
          </cell>
        </row>
        <row r="1014">
          <cell r="B1014" t="str">
            <v>Non Trouvé</v>
          </cell>
          <cell r="C1014" t="e">
            <v>#VALUE!</v>
          </cell>
        </row>
        <row r="1015">
          <cell r="B1015" t="str">
            <v>Non Trouvé</v>
          </cell>
          <cell r="C1015" t="e">
            <v>#VALUE!</v>
          </cell>
        </row>
        <row r="1016">
          <cell r="B1016" t="str">
            <v>Non Trouvé</v>
          </cell>
          <cell r="C1016" t="e">
            <v>#VALUE!</v>
          </cell>
        </row>
        <row r="1017">
          <cell r="B1017" t="str">
            <v>Non Trouvé</v>
          </cell>
          <cell r="C1017" t="e">
            <v>#VALUE!</v>
          </cell>
        </row>
        <row r="1018">
          <cell r="B1018" t="str">
            <v>Non Trouvé</v>
          </cell>
          <cell r="C1018" t="e">
            <v>#VALUE!</v>
          </cell>
        </row>
        <row r="1019">
          <cell r="B1019" t="str">
            <v>Non Trouvé</v>
          </cell>
          <cell r="C1019" t="e">
            <v>#VALUE!</v>
          </cell>
        </row>
        <row r="1020">
          <cell r="B1020" t="str">
            <v>Non Trouvé</v>
          </cell>
          <cell r="C1020" t="e">
            <v>#VALUE!</v>
          </cell>
        </row>
        <row r="1021">
          <cell r="B1021" t="str">
            <v>Non Trouvé</v>
          </cell>
          <cell r="C1021" t="e">
            <v>#VALUE!</v>
          </cell>
        </row>
        <row r="1022">
          <cell r="B1022" t="str">
            <v>Non Trouvé</v>
          </cell>
          <cell r="C1022" t="e">
            <v>#VALUE!</v>
          </cell>
        </row>
        <row r="1023">
          <cell r="B1023" t="str">
            <v>Non Trouvé</v>
          </cell>
          <cell r="C1023" t="e">
            <v>#VALUE!</v>
          </cell>
        </row>
        <row r="1024">
          <cell r="B1024" t="str">
            <v>Non Trouvé</v>
          </cell>
          <cell r="C1024" t="e">
            <v>#VALUE!</v>
          </cell>
        </row>
        <row r="1025">
          <cell r="B1025" t="str">
            <v>Non Trouvé</v>
          </cell>
          <cell r="C1025" t="e">
            <v>#VALUE!</v>
          </cell>
        </row>
        <row r="1026">
          <cell r="B1026" t="str">
            <v>Non Trouvé</v>
          </cell>
          <cell r="C1026" t="e">
            <v>#VALUE!</v>
          </cell>
        </row>
        <row r="1027">
          <cell r="B1027" t="str">
            <v>Non Trouvé</v>
          </cell>
          <cell r="C1027" t="e">
            <v>#VALUE!</v>
          </cell>
        </row>
        <row r="1028">
          <cell r="B1028" t="str">
            <v>Non Trouvé</v>
          </cell>
          <cell r="C1028" t="e">
            <v>#VALUE!</v>
          </cell>
        </row>
        <row r="1029">
          <cell r="B1029" t="str">
            <v>Non Trouvé</v>
          </cell>
          <cell r="C1029" t="e">
            <v>#VALUE!</v>
          </cell>
        </row>
        <row r="1030">
          <cell r="B1030" t="str">
            <v>Non Trouvé</v>
          </cell>
          <cell r="C1030" t="e">
            <v>#VALUE!</v>
          </cell>
        </row>
        <row r="1031">
          <cell r="B1031" t="str">
            <v>Non Trouvé</v>
          </cell>
          <cell r="C1031" t="e">
            <v>#VALUE!</v>
          </cell>
        </row>
        <row r="1032">
          <cell r="B1032" t="str">
            <v>Non Trouvé</v>
          </cell>
          <cell r="C1032" t="e">
            <v>#VALUE!</v>
          </cell>
        </row>
        <row r="1033">
          <cell r="B1033" t="str">
            <v>Non Trouvé</v>
          </cell>
          <cell r="C1033" t="e">
            <v>#VALUE!</v>
          </cell>
        </row>
        <row r="1034">
          <cell r="B1034" t="str">
            <v>Non Trouvé</v>
          </cell>
          <cell r="C1034" t="e">
            <v>#VALUE!</v>
          </cell>
        </row>
        <row r="1035">
          <cell r="B1035" t="str">
            <v>Non Trouvé</v>
          </cell>
          <cell r="C1035" t="e">
            <v>#VALUE!</v>
          </cell>
        </row>
        <row r="1036">
          <cell r="B1036" t="str">
            <v>Non Trouvé</v>
          </cell>
          <cell r="C1036" t="e">
            <v>#VALUE!</v>
          </cell>
        </row>
        <row r="1037">
          <cell r="B1037" t="str">
            <v>Non Trouvé</v>
          </cell>
          <cell r="C1037" t="e">
            <v>#VALUE!</v>
          </cell>
        </row>
        <row r="1038">
          <cell r="B1038" t="str">
            <v>Non Trouvé</v>
          </cell>
          <cell r="C1038" t="e">
            <v>#VALUE!</v>
          </cell>
        </row>
        <row r="1039">
          <cell r="B1039" t="str">
            <v>Non Trouvé</v>
          </cell>
          <cell r="C1039" t="e">
            <v>#VALUE!</v>
          </cell>
        </row>
        <row r="1040">
          <cell r="B1040" t="str">
            <v>Non Trouvé</v>
          </cell>
          <cell r="C1040" t="e">
            <v>#VALUE!</v>
          </cell>
        </row>
        <row r="1041">
          <cell r="B1041" t="str">
            <v>Non Trouvé</v>
          </cell>
          <cell r="C1041" t="e">
            <v>#VALUE!</v>
          </cell>
        </row>
        <row r="1042">
          <cell r="B1042" t="str">
            <v>Non Trouvé</v>
          </cell>
          <cell r="C1042" t="e">
            <v>#VALUE!</v>
          </cell>
        </row>
        <row r="1043">
          <cell r="B1043" t="str">
            <v>Non Trouvé</v>
          </cell>
          <cell r="C1043" t="e">
            <v>#VALUE!</v>
          </cell>
        </row>
        <row r="1044">
          <cell r="B1044" t="str">
            <v>Non Trouvé</v>
          </cell>
          <cell r="C1044" t="e">
            <v>#VALUE!</v>
          </cell>
        </row>
        <row r="1045">
          <cell r="B1045" t="str">
            <v>Non Trouvé</v>
          </cell>
          <cell r="C1045" t="e">
            <v>#VALUE!</v>
          </cell>
        </row>
        <row r="1046">
          <cell r="B1046" t="str">
            <v>Non Trouvé</v>
          </cell>
          <cell r="C1046" t="e">
            <v>#VALUE!</v>
          </cell>
        </row>
        <row r="1047">
          <cell r="B1047" t="str">
            <v>Non Trouvé</v>
          </cell>
          <cell r="C1047" t="e">
            <v>#VALUE!</v>
          </cell>
        </row>
        <row r="1048">
          <cell r="B1048" t="str">
            <v>Non Trouvé</v>
          </cell>
          <cell r="C1048" t="e">
            <v>#VALUE!</v>
          </cell>
        </row>
        <row r="1049">
          <cell r="B1049" t="str">
            <v>Non Trouvé</v>
          </cell>
          <cell r="C1049" t="e">
            <v>#VALUE!</v>
          </cell>
        </row>
        <row r="1050">
          <cell r="B1050" t="str">
            <v>Non Trouvé</v>
          </cell>
          <cell r="C1050" t="e">
            <v>#VALUE!</v>
          </cell>
        </row>
        <row r="1051">
          <cell r="B1051" t="str">
            <v>Non Trouvé</v>
          </cell>
          <cell r="C1051" t="e">
            <v>#VALUE!</v>
          </cell>
        </row>
        <row r="1052">
          <cell r="B1052" t="str">
            <v>Non Trouvé</v>
          </cell>
          <cell r="C1052" t="e">
            <v>#VALUE!</v>
          </cell>
        </row>
        <row r="1053">
          <cell r="B1053" t="str">
            <v>Non Trouvé</v>
          </cell>
          <cell r="C1053" t="e">
            <v>#VALUE!</v>
          </cell>
        </row>
        <row r="1056">
          <cell r="B1056" t="str">
            <v>OPCA 1200€</v>
          </cell>
          <cell r="C1056">
            <v>50</v>
          </cell>
        </row>
        <row r="1057">
          <cell r="B1057" t="str">
            <v>CABAS ESTIVAL</v>
          </cell>
          <cell r="C1057">
            <v>2300</v>
          </cell>
        </row>
        <row r="1058">
          <cell r="B1058" t="str">
            <v>OPCA 600€</v>
          </cell>
          <cell r="C1058">
            <v>100</v>
          </cell>
        </row>
        <row r="1059">
          <cell r="B1059" t="str">
            <v>CABAS ESTIVAL</v>
          </cell>
          <cell r="C1059">
            <v>500</v>
          </cell>
        </row>
        <row r="1060">
          <cell r="B1060" t="str">
            <v>Non Trouvé</v>
          </cell>
          <cell r="C1060" t="e">
            <v>#VALUE!</v>
          </cell>
        </row>
        <row r="1061">
          <cell r="B1061" t="str">
            <v>Non Trouvé</v>
          </cell>
          <cell r="C1061" t="e">
            <v>#VALUE!</v>
          </cell>
        </row>
        <row r="1062">
          <cell r="B1062" t="str">
            <v>Non Trouvé</v>
          </cell>
          <cell r="C1062" t="e">
            <v>#VALUE!</v>
          </cell>
        </row>
        <row r="1063">
          <cell r="B1063" t="str">
            <v>Non Trouvé</v>
          </cell>
          <cell r="C1063" t="e">
            <v>#VALUE!</v>
          </cell>
        </row>
        <row r="1064">
          <cell r="B1064" t="str">
            <v>Non Trouvé</v>
          </cell>
          <cell r="C1064" t="e">
            <v>#VALUE!</v>
          </cell>
        </row>
        <row r="1065">
          <cell r="B1065" t="str">
            <v>Non Trouvé</v>
          </cell>
          <cell r="C1065" t="e">
            <v>#VALUE!</v>
          </cell>
        </row>
        <row r="1066">
          <cell r="B1066" t="str">
            <v>Non Trouvé</v>
          </cell>
          <cell r="C1066" t="e">
            <v>#VALUE!</v>
          </cell>
        </row>
        <row r="1067">
          <cell r="B1067" t="str">
            <v>Non Trouvé</v>
          </cell>
          <cell r="C1067" t="e">
            <v>#VALUE!</v>
          </cell>
        </row>
        <row r="1068">
          <cell r="B1068" t="str">
            <v>Non Trouvé</v>
          </cell>
          <cell r="C1068" t="e">
            <v>#VALUE!</v>
          </cell>
        </row>
        <row r="1069">
          <cell r="B1069" t="str">
            <v>Non Trouvé</v>
          </cell>
          <cell r="C1069" t="e">
            <v>#VALUE!</v>
          </cell>
        </row>
        <row r="1070">
          <cell r="B1070" t="str">
            <v>Non Trouvé</v>
          </cell>
          <cell r="C1070" t="e">
            <v>#VALUE!</v>
          </cell>
        </row>
        <row r="1071">
          <cell r="B1071" t="str">
            <v>Non Trouvé</v>
          </cell>
          <cell r="C1071" t="e">
            <v>#VALUE!</v>
          </cell>
        </row>
        <row r="1072">
          <cell r="B1072" t="str">
            <v>Non Trouvé</v>
          </cell>
          <cell r="C1072" t="e">
            <v>#VALUE!</v>
          </cell>
        </row>
        <row r="1073">
          <cell r="B1073" t="str">
            <v>Non Trouvé</v>
          </cell>
          <cell r="C1073" t="e">
            <v>#VALUE!</v>
          </cell>
        </row>
        <row r="1074">
          <cell r="B1074" t="str">
            <v>Non Trouvé</v>
          </cell>
          <cell r="C1074" t="e">
            <v>#VALUE!</v>
          </cell>
        </row>
        <row r="1075">
          <cell r="B1075" t="str">
            <v>Non Trouvé</v>
          </cell>
          <cell r="C1075" t="e">
            <v>#VALUE!</v>
          </cell>
        </row>
        <row r="1076">
          <cell r="B1076" t="str">
            <v>Non Trouvé</v>
          </cell>
          <cell r="C1076" t="e">
            <v>#VALUE!</v>
          </cell>
        </row>
        <row r="1077">
          <cell r="B1077" t="str">
            <v>Non Trouvé</v>
          </cell>
          <cell r="C1077" t="e">
            <v>#VALUE!</v>
          </cell>
        </row>
        <row r="1078">
          <cell r="B1078" t="str">
            <v>Non Trouvé</v>
          </cell>
          <cell r="C1078" t="e">
            <v>#VALUE!</v>
          </cell>
        </row>
        <row r="1079">
          <cell r="B1079" t="str">
            <v>Non Trouvé</v>
          </cell>
          <cell r="C1079" t="e">
            <v>#VALUE!</v>
          </cell>
        </row>
        <row r="1080">
          <cell r="B1080" t="str">
            <v>Non Trouvé</v>
          </cell>
          <cell r="C1080" t="e">
            <v>#VALUE!</v>
          </cell>
        </row>
        <row r="1081">
          <cell r="B1081" t="str">
            <v>Non Trouvé</v>
          </cell>
          <cell r="C1081" t="e">
            <v>#VALUE!</v>
          </cell>
        </row>
        <row r="1082">
          <cell r="B1082" t="str">
            <v>Non Trouvé</v>
          </cell>
          <cell r="C1082" t="e">
            <v>#VALUE!</v>
          </cell>
        </row>
        <row r="1083">
          <cell r="B1083" t="str">
            <v>Non Trouvé</v>
          </cell>
          <cell r="C1083" t="e">
            <v>#VALUE!</v>
          </cell>
        </row>
        <row r="1084">
          <cell r="B1084" t="str">
            <v>Non Trouvé</v>
          </cell>
          <cell r="C1084" t="e">
            <v>#VALUE!</v>
          </cell>
        </row>
        <row r="1085">
          <cell r="B1085" t="str">
            <v>Non Trouvé</v>
          </cell>
          <cell r="C1085" t="e">
            <v>#VALUE!</v>
          </cell>
        </row>
        <row r="1086">
          <cell r="B1086" t="str">
            <v>Non Trouvé</v>
          </cell>
          <cell r="C1086" t="e">
            <v>#VALUE!</v>
          </cell>
        </row>
        <row r="1087">
          <cell r="B1087" t="str">
            <v>Non Trouvé</v>
          </cell>
          <cell r="C1087" t="e">
            <v>#VALUE!</v>
          </cell>
        </row>
        <row r="1088">
          <cell r="B1088" t="str">
            <v>Non Trouvé</v>
          </cell>
          <cell r="C1088" t="e">
            <v>#VALUE!</v>
          </cell>
        </row>
        <row r="1089">
          <cell r="B1089" t="str">
            <v>Non Trouvé</v>
          </cell>
          <cell r="C1089" t="e">
            <v>#VALUE!</v>
          </cell>
        </row>
        <row r="1090">
          <cell r="B1090" t="str">
            <v>Non Trouvé</v>
          </cell>
          <cell r="C1090" t="e">
            <v>#VALUE!</v>
          </cell>
        </row>
        <row r="1091">
          <cell r="B1091" t="str">
            <v>Non Trouvé</v>
          </cell>
          <cell r="C1091" t="e">
            <v>#VALUE!</v>
          </cell>
        </row>
        <row r="1092">
          <cell r="B1092" t="str">
            <v>Non Trouvé</v>
          </cell>
          <cell r="C1092" t="e">
            <v>#VALUE!</v>
          </cell>
        </row>
        <row r="1093">
          <cell r="B1093" t="str">
            <v>Non Trouvé</v>
          </cell>
          <cell r="C1093" t="e">
            <v>#VALUE!</v>
          </cell>
        </row>
        <row r="1094">
          <cell r="B1094" t="str">
            <v>Non Trouvé</v>
          </cell>
          <cell r="C1094" t="e">
            <v>#VALUE!</v>
          </cell>
        </row>
        <row r="1095">
          <cell r="B1095" t="str">
            <v>Non Trouvé</v>
          </cell>
          <cell r="C1095" t="e">
            <v>#VALUE!</v>
          </cell>
        </row>
        <row r="1096">
          <cell r="B1096" t="str">
            <v>Non Trouvé</v>
          </cell>
          <cell r="C1096" t="e">
            <v>#VALUE!</v>
          </cell>
        </row>
        <row r="1097">
          <cell r="B1097" t="str">
            <v>Non Trouvé</v>
          </cell>
          <cell r="C1097" t="e">
            <v>#VALUE!</v>
          </cell>
        </row>
        <row r="1098">
          <cell r="B1098" t="str">
            <v>Non Trouvé</v>
          </cell>
          <cell r="C1098" t="e">
            <v>#VALUE!</v>
          </cell>
        </row>
        <row r="1099">
          <cell r="B1099" t="str">
            <v>Non Trouvé</v>
          </cell>
          <cell r="C1099" t="e">
            <v>#VALUE!</v>
          </cell>
        </row>
        <row r="1100">
          <cell r="B1100" t="str">
            <v>Non Trouvé</v>
          </cell>
          <cell r="C1100" t="e">
            <v>#VALUE!</v>
          </cell>
        </row>
        <row r="1101">
          <cell r="B1101" t="str">
            <v>Non Trouvé</v>
          </cell>
          <cell r="C1101" t="e">
            <v>#VALUE!</v>
          </cell>
        </row>
        <row r="1102">
          <cell r="B1102" t="str">
            <v>Non Trouvé</v>
          </cell>
          <cell r="C1102" t="e">
            <v>#VALUE!</v>
          </cell>
        </row>
        <row r="1103">
          <cell r="B1103" t="str">
            <v>Non Trouvé</v>
          </cell>
          <cell r="C1103" t="e">
            <v>#VALUE!</v>
          </cell>
        </row>
        <row r="1104">
          <cell r="B1104" t="str">
            <v>Non Trouvé</v>
          </cell>
          <cell r="C1104" t="e">
            <v>#VALUE!</v>
          </cell>
        </row>
        <row r="1105">
          <cell r="B1105" t="str">
            <v>Non Trouvé</v>
          </cell>
          <cell r="C1105" t="e">
            <v>#VALUE!</v>
          </cell>
        </row>
        <row r="1106">
          <cell r="B1106" t="str">
            <v>Non Trouvé</v>
          </cell>
          <cell r="C1106" t="e">
            <v>#VALUE!</v>
          </cell>
        </row>
        <row r="1107">
          <cell r="B1107" t="str">
            <v>Non Trouvé</v>
          </cell>
          <cell r="C1107" t="e">
            <v>#VALUE!</v>
          </cell>
        </row>
        <row r="1108">
          <cell r="B1108" t="str">
            <v>Non Trouvé</v>
          </cell>
          <cell r="C1108" t="e">
            <v>#VALUE!</v>
          </cell>
        </row>
        <row r="1109">
          <cell r="B1109" t="str">
            <v>Non Trouvé</v>
          </cell>
          <cell r="C1109" t="e">
            <v>#VALUE!</v>
          </cell>
        </row>
        <row r="1110">
          <cell r="B1110" t="str">
            <v>Non Trouvé</v>
          </cell>
          <cell r="C1110" t="e">
            <v>#VALUE!</v>
          </cell>
        </row>
        <row r="1111">
          <cell r="B1111" t="str">
            <v>Non Trouvé</v>
          </cell>
          <cell r="C1111" t="e">
            <v>#VALUE!</v>
          </cell>
        </row>
        <row r="1112">
          <cell r="B1112" t="str">
            <v>Non Trouvé</v>
          </cell>
          <cell r="C1112" t="e">
            <v>#VALUE!</v>
          </cell>
        </row>
        <row r="1113">
          <cell r="B1113" t="str">
            <v>Non Trouvé</v>
          </cell>
          <cell r="C1113" t="e">
            <v>#VALUE!</v>
          </cell>
        </row>
        <row r="1114">
          <cell r="B1114" t="str">
            <v>Non Trouvé</v>
          </cell>
          <cell r="C1114" t="e">
            <v>#VALUE!</v>
          </cell>
        </row>
        <row r="1115">
          <cell r="B1115" t="str">
            <v>Non Trouvé</v>
          </cell>
          <cell r="C1115" t="e">
            <v>#VALUE!</v>
          </cell>
        </row>
        <row r="1116">
          <cell r="B1116" t="str">
            <v>Non Trouvé</v>
          </cell>
          <cell r="C1116" t="e">
            <v>#VALUE!</v>
          </cell>
        </row>
        <row r="1117">
          <cell r="B1117" t="str">
            <v>Non Trouvé</v>
          </cell>
          <cell r="C1117" t="e">
            <v>#VALUE!</v>
          </cell>
        </row>
        <row r="1118">
          <cell r="B1118" t="str">
            <v>Non Trouvé</v>
          </cell>
          <cell r="C1118" t="e">
            <v>#VALUE!</v>
          </cell>
        </row>
        <row r="1119">
          <cell r="B1119" t="str">
            <v>Non Trouvé</v>
          </cell>
          <cell r="C1119" t="e">
            <v>#VALUE!</v>
          </cell>
        </row>
        <row r="1120">
          <cell r="B1120" t="str">
            <v>Non Trouvé</v>
          </cell>
          <cell r="C1120" t="e">
            <v>#VALUE!</v>
          </cell>
        </row>
        <row r="1121">
          <cell r="B1121" t="str">
            <v>Non Trouvé</v>
          </cell>
          <cell r="C1121" t="e">
            <v>#VALUE!</v>
          </cell>
        </row>
        <row r="1122">
          <cell r="B1122" t="str">
            <v>Non Trouvé</v>
          </cell>
          <cell r="C1122" t="e">
            <v>#VALUE!</v>
          </cell>
        </row>
        <row r="1123">
          <cell r="B1123" t="str">
            <v>Non Trouvé</v>
          </cell>
          <cell r="C1123" t="e">
            <v>#VALUE!</v>
          </cell>
        </row>
        <row r="1124">
          <cell r="B1124" t="str">
            <v>Non Trouvé</v>
          </cell>
          <cell r="C1124" t="e">
            <v>#VALUE!</v>
          </cell>
        </row>
        <row r="1127">
          <cell r="B1127">
            <v>1060731</v>
          </cell>
          <cell r="C1127">
            <v>1580</v>
          </cell>
        </row>
        <row r="1128">
          <cell r="B1128">
            <v>1060732</v>
          </cell>
          <cell r="C1128">
            <v>1880</v>
          </cell>
        </row>
        <row r="1129">
          <cell r="B1129">
            <v>1060733</v>
          </cell>
          <cell r="C1129">
            <v>380</v>
          </cell>
        </row>
        <row r="1130">
          <cell r="B1130">
            <v>3060731</v>
          </cell>
          <cell r="C1130">
            <v>301</v>
          </cell>
        </row>
        <row r="1131">
          <cell r="B1131">
            <v>3060732</v>
          </cell>
          <cell r="C1131">
            <v>301</v>
          </cell>
        </row>
        <row r="1132">
          <cell r="B1132">
            <v>3060733</v>
          </cell>
          <cell r="C1132">
            <v>301</v>
          </cell>
        </row>
        <row r="1133">
          <cell r="B1133" t="str">
            <v>PRESENTOIR L2C</v>
          </cell>
          <cell r="C1133">
            <v>315</v>
          </cell>
        </row>
        <row r="1134">
          <cell r="B1134" t="str">
            <v>Non Trouvé</v>
          </cell>
          <cell r="C1134" t="e">
            <v>#VALUE!</v>
          </cell>
        </row>
        <row r="1135">
          <cell r="B1135" t="str">
            <v>Non Trouvé</v>
          </cell>
          <cell r="C1135" t="e">
            <v>#VALUE!</v>
          </cell>
        </row>
        <row r="1136">
          <cell r="B1136" t="str">
            <v>Non Trouvé</v>
          </cell>
          <cell r="C1136" t="e">
            <v>#VALUE!</v>
          </cell>
        </row>
        <row r="1137">
          <cell r="B1137" t="str">
            <v>Non Trouvé</v>
          </cell>
          <cell r="C1137" t="e">
            <v>#VALUE!</v>
          </cell>
        </row>
        <row r="1138">
          <cell r="B1138" t="str">
            <v>Non Trouvé</v>
          </cell>
          <cell r="C1138" t="e">
            <v>#VALUE!</v>
          </cell>
        </row>
        <row r="1139">
          <cell r="B1139" t="str">
            <v>Non Trouvé</v>
          </cell>
          <cell r="C1139" t="e">
            <v>#VALUE!</v>
          </cell>
        </row>
        <row r="1140">
          <cell r="B1140" t="str">
            <v>Non Trouvé</v>
          </cell>
          <cell r="C1140" t="e">
            <v>#VALUE!</v>
          </cell>
        </row>
        <row r="1141">
          <cell r="B1141" t="str">
            <v>Non Trouvé</v>
          </cell>
          <cell r="C1141" t="e">
            <v>#VALUE!</v>
          </cell>
        </row>
        <row r="1142">
          <cell r="B1142" t="str">
            <v>Non Trouvé</v>
          </cell>
          <cell r="C1142" t="e">
            <v>#VALUE!</v>
          </cell>
        </row>
        <row r="1143">
          <cell r="B1143" t="str">
            <v>Non Trouvé</v>
          </cell>
          <cell r="C1143" t="e">
            <v>#VALUE!</v>
          </cell>
        </row>
        <row r="1144">
          <cell r="B1144" t="str">
            <v>Non Trouvé</v>
          </cell>
          <cell r="C1144" t="e">
            <v>#VALUE!</v>
          </cell>
        </row>
        <row r="1145">
          <cell r="B1145" t="str">
            <v>Non Trouvé</v>
          </cell>
          <cell r="C1145" t="e">
            <v>#VALUE!</v>
          </cell>
        </row>
        <row r="1146">
          <cell r="B1146" t="str">
            <v>Non Trouvé</v>
          </cell>
          <cell r="C1146" t="e">
            <v>#VALUE!</v>
          </cell>
        </row>
        <row r="1147">
          <cell r="B1147" t="str">
            <v>Non Trouvé</v>
          </cell>
          <cell r="C1147" t="e">
            <v>#VALUE!</v>
          </cell>
        </row>
        <row r="1148">
          <cell r="B1148" t="str">
            <v>Non Trouvé</v>
          </cell>
          <cell r="C1148" t="e">
            <v>#VALUE!</v>
          </cell>
        </row>
        <row r="1149">
          <cell r="B1149" t="str">
            <v>Non Trouvé</v>
          </cell>
          <cell r="C1149" t="e">
            <v>#VALUE!</v>
          </cell>
        </row>
        <row r="1150">
          <cell r="B1150" t="str">
            <v>Non Trouvé</v>
          </cell>
          <cell r="C1150" t="e">
            <v>#VALUE!</v>
          </cell>
        </row>
        <row r="1151">
          <cell r="B1151" t="str">
            <v>Non Trouvé</v>
          </cell>
          <cell r="C1151" t="e">
            <v>#VALUE!</v>
          </cell>
        </row>
        <row r="1152">
          <cell r="B1152" t="str">
            <v>Non Trouvé</v>
          </cell>
          <cell r="C1152" t="e">
            <v>#VALUE!</v>
          </cell>
        </row>
        <row r="1153">
          <cell r="B1153" t="str">
            <v>Non Trouvé</v>
          </cell>
          <cell r="C1153" t="e">
            <v>#VALUE!</v>
          </cell>
        </row>
        <row r="1154">
          <cell r="B1154" t="str">
            <v>Non Trouvé</v>
          </cell>
          <cell r="C1154" t="e">
            <v>#VALUE!</v>
          </cell>
        </row>
        <row r="1155">
          <cell r="B1155" t="str">
            <v>Non Trouvé</v>
          </cell>
          <cell r="C1155" t="e">
            <v>#VALUE!</v>
          </cell>
        </row>
        <row r="1156">
          <cell r="B1156" t="str">
            <v>Non Trouvé</v>
          </cell>
          <cell r="C1156" t="e">
            <v>#VALUE!</v>
          </cell>
        </row>
        <row r="1157">
          <cell r="B1157" t="str">
            <v>Non Trouvé</v>
          </cell>
          <cell r="C1157" t="e">
            <v>#VALUE!</v>
          </cell>
        </row>
        <row r="1158">
          <cell r="B1158" t="str">
            <v>Non Trouvé</v>
          </cell>
          <cell r="C1158" t="e">
            <v>#VALUE!</v>
          </cell>
        </row>
        <row r="1159">
          <cell r="B1159" t="str">
            <v>Non Trouvé</v>
          </cell>
          <cell r="C1159" t="e">
            <v>#VALUE!</v>
          </cell>
        </row>
        <row r="1160">
          <cell r="B1160" t="str">
            <v>Non Trouvé</v>
          </cell>
          <cell r="C1160" t="e">
            <v>#VALUE!</v>
          </cell>
        </row>
        <row r="1161">
          <cell r="B1161" t="str">
            <v>Non Trouvé</v>
          </cell>
          <cell r="C1161" t="e">
            <v>#VALUE!</v>
          </cell>
        </row>
        <row r="1162">
          <cell r="B1162" t="str">
            <v>Non Trouvé</v>
          </cell>
          <cell r="C1162" t="e">
            <v>#VALUE!</v>
          </cell>
        </row>
        <row r="1163">
          <cell r="B1163" t="str">
            <v>Non Trouvé</v>
          </cell>
          <cell r="C1163" t="e">
            <v>#VALUE!</v>
          </cell>
        </row>
        <row r="1164">
          <cell r="B1164" t="str">
            <v>Non Trouvé</v>
          </cell>
          <cell r="C1164" t="e">
            <v>#VALUE!</v>
          </cell>
        </row>
        <row r="1165">
          <cell r="B1165" t="str">
            <v>Non Trouvé</v>
          </cell>
          <cell r="C1165" t="e">
            <v>#VALUE!</v>
          </cell>
        </row>
        <row r="1166">
          <cell r="B1166" t="str">
            <v>Non Trouvé</v>
          </cell>
          <cell r="C1166" t="e">
            <v>#VALUE!</v>
          </cell>
        </row>
        <row r="1167">
          <cell r="B1167" t="str">
            <v>Non Trouvé</v>
          </cell>
          <cell r="C1167" t="e">
            <v>#VALUE!</v>
          </cell>
        </row>
        <row r="1168">
          <cell r="B1168" t="str">
            <v>Non Trouvé</v>
          </cell>
          <cell r="C1168" t="e">
            <v>#VALUE!</v>
          </cell>
        </row>
        <row r="1169">
          <cell r="B1169" t="str">
            <v>Non Trouvé</v>
          </cell>
          <cell r="C1169" t="e">
            <v>#VALUE!</v>
          </cell>
        </row>
        <row r="1170">
          <cell r="B1170" t="str">
            <v>Non Trouvé</v>
          </cell>
          <cell r="C1170" t="e">
            <v>#VALUE!</v>
          </cell>
        </row>
        <row r="1171">
          <cell r="B1171" t="str">
            <v>Non Trouvé</v>
          </cell>
          <cell r="C1171" t="e">
            <v>#VALUE!</v>
          </cell>
        </row>
        <row r="1172">
          <cell r="B1172" t="str">
            <v>Non Trouvé</v>
          </cell>
          <cell r="C1172" t="e">
            <v>#VALUE!</v>
          </cell>
        </row>
        <row r="1173">
          <cell r="B1173" t="str">
            <v>Non Trouvé</v>
          </cell>
          <cell r="C1173" t="e">
            <v>#VALUE!</v>
          </cell>
        </row>
        <row r="1174">
          <cell r="B1174" t="str">
            <v>Non Trouvé</v>
          </cell>
          <cell r="C1174" t="e">
            <v>#VALUE!</v>
          </cell>
        </row>
        <row r="1175">
          <cell r="B1175" t="str">
            <v>Non Trouvé</v>
          </cell>
          <cell r="C1175" t="e">
            <v>#VALUE!</v>
          </cell>
        </row>
        <row r="1176">
          <cell r="B1176" t="str">
            <v>Non Trouvé</v>
          </cell>
          <cell r="C1176" t="e">
            <v>#VALUE!</v>
          </cell>
        </row>
        <row r="1177">
          <cell r="B1177" t="str">
            <v>Non Trouvé</v>
          </cell>
          <cell r="C1177" t="e">
            <v>#VALUE!</v>
          </cell>
        </row>
        <row r="1178">
          <cell r="B1178" t="str">
            <v>Non Trouvé</v>
          </cell>
          <cell r="C1178" t="e">
            <v>#VALUE!</v>
          </cell>
        </row>
        <row r="1179">
          <cell r="B1179" t="str">
            <v>Non Trouvé</v>
          </cell>
          <cell r="C1179" t="e">
            <v>#VALUE!</v>
          </cell>
        </row>
        <row r="1180">
          <cell r="B1180" t="str">
            <v>Non Trouvé</v>
          </cell>
          <cell r="C1180" t="e">
            <v>#VALUE!</v>
          </cell>
        </row>
        <row r="1181">
          <cell r="B1181" t="str">
            <v>Non Trouvé</v>
          </cell>
          <cell r="C1181" t="e">
            <v>#VALUE!</v>
          </cell>
        </row>
        <row r="1182">
          <cell r="B1182" t="str">
            <v>Non Trouvé</v>
          </cell>
          <cell r="C1182" t="e">
            <v>#VALUE!</v>
          </cell>
        </row>
        <row r="1183">
          <cell r="B1183" t="str">
            <v>Non Trouvé</v>
          </cell>
          <cell r="C1183" t="e">
            <v>#VALUE!</v>
          </cell>
        </row>
        <row r="1184">
          <cell r="B1184" t="str">
            <v>Non Trouvé</v>
          </cell>
          <cell r="C1184" t="e">
            <v>#VALUE!</v>
          </cell>
        </row>
        <row r="1185">
          <cell r="B1185" t="str">
            <v>Non Trouvé</v>
          </cell>
          <cell r="C1185" t="e">
            <v>#VALUE!</v>
          </cell>
        </row>
        <row r="1186">
          <cell r="B1186" t="str">
            <v>Non Trouvé</v>
          </cell>
          <cell r="C1186" t="e">
            <v>#VALUE!</v>
          </cell>
        </row>
        <row r="1187">
          <cell r="B1187" t="str">
            <v>Non Trouvé</v>
          </cell>
          <cell r="C1187" t="e">
            <v>#VALUE!</v>
          </cell>
        </row>
        <row r="1188">
          <cell r="B1188" t="str">
            <v>Non Trouvé</v>
          </cell>
          <cell r="C1188" t="e">
            <v>#VALUE!</v>
          </cell>
        </row>
        <row r="1189">
          <cell r="B1189" t="str">
            <v>Non Trouvé</v>
          </cell>
          <cell r="C1189" t="e">
            <v>#VALUE!</v>
          </cell>
        </row>
        <row r="1190">
          <cell r="B1190" t="str">
            <v>Non Trouvé</v>
          </cell>
          <cell r="C1190" t="e">
            <v>#VALUE!</v>
          </cell>
        </row>
        <row r="1191">
          <cell r="B1191" t="str">
            <v>Non Trouvé</v>
          </cell>
          <cell r="C1191" t="e">
            <v>#VALUE!</v>
          </cell>
        </row>
        <row r="1192">
          <cell r="B1192" t="str">
            <v>Non Trouvé</v>
          </cell>
          <cell r="C1192" t="e">
            <v>#VALUE!</v>
          </cell>
        </row>
        <row r="1193">
          <cell r="B1193" t="str">
            <v>Non Trouvé</v>
          </cell>
          <cell r="C1193" t="e">
            <v>#VALUE!</v>
          </cell>
        </row>
        <row r="1194">
          <cell r="B1194" t="str">
            <v>Non Trouvé</v>
          </cell>
          <cell r="C1194" t="e">
            <v>#VALUE!</v>
          </cell>
        </row>
        <row r="1195">
          <cell r="B1195" t="str">
            <v>Non Trouvé</v>
          </cell>
          <cell r="C1195" t="e">
            <v>#VALUE!</v>
          </cell>
        </row>
        <row r="1198">
          <cell r="B1198">
            <v>1060121</v>
          </cell>
          <cell r="C1198">
            <v>1200</v>
          </cell>
        </row>
        <row r="1199">
          <cell r="B1199">
            <v>1060731</v>
          </cell>
          <cell r="C1199">
            <v>1200</v>
          </cell>
        </row>
        <row r="1200">
          <cell r="B1200">
            <v>1060732</v>
          </cell>
          <cell r="C1200">
            <v>1200</v>
          </cell>
        </row>
        <row r="1201">
          <cell r="B1201">
            <v>1060823</v>
          </cell>
          <cell r="C1201">
            <v>1200</v>
          </cell>
        </row>
        <row r="1202">
          <cell r="B1202">
            <v>1060521</v>
          </cell>
          <cell r="C1202">
            <v>1200</v>
          </cell>
        </row>
        <row r="1203">
          <cell r="B1203">
            <v>3060121</v>
          </cell>
          <cell r="C1203">
            <v>300</v>
          </cell>
        </row>
        <row r="1204">
          <cell r="B1204">
            <v>3060731</v>
          </cell>
          <cell r="C1204">
            <v>300</v>
          </cell>
        </row>
        <row r="1205">
          <cell r="B1205">
            <v>3060732</v>
          </cell>
          <cell r="C1205">
            <v>300</v>
          </cell>
        </row>
        <row r="1206">
          <cell r="B1206">
            <v>3060823</v>
          </cell>
          <cell r="C1206">
            <v>300</v>
          </cell>
        </row>
        <row r="1207">
          <cell r="B1207">
            <v>3060521</v>
          </cell>
          <cell r="C1207">
            <v>300</v>
          </cell>
        </row>
        <row r="1208">
          <cell r="B1208" t="str">
            <v>PRESENTOIR MAQUILLAGE</v>
          </cell>
          <cell r="C1208">
            <v>240</v>
          </cell>
        </row>
        <row r="1209">
          <cell r="B1209" t="str">
            <v>Non Trouvé</v>
          </cell>
          <cell r="C1209" t="e">
            <v>#VALUE!</v>
          </cell>
        </row>
        <row r="1210">
          <cell r="B1210" t="str">
            <v>Non Trouvé</v>
          </cell>
          <cell r="C1210" t="e">
            <v>#VALUE!</v>
          </cell>
        </row>
        <row r="1211">
          <cell r="B1211" t="str">
            <v>Non Trouvé</v>
          </cell>
          <cell r="C1211" t="e">
            <v>#VALUE!</v>
          </cell>
        </row>
        <row r="1212">
          <cell r="B1212" t="str">
            <v>Non Trouvé</v>
          </cell>
          <cell r="C1212" t="e">
            <v>#VALUE!</v>
          </cell>
        </row>
        <row r="1213">
          <cell r="B1213" t="str">
            <v>Non Trouvé</v>
          </cell>
          <cell r="C1213" t="e">
            <v>#VALUE!</v>
          </cell>
        </row>
        <row r="1214">
          <cell r="B1214" t="str">
            <v>Non Trouvé</v>
          </cell>
          <cell r="C1214" t="e">
            <v>#VALUE!</v>
          </cell>
        </row>
        <row r="1215">
          <cell r="B1215" t="str">
            <v>Non Trouvé</v>
          </cell>
          <cell r="C1215" t="e">
            <v>#VALUE!</v>
          </cell>
        </row>
        <row r="1216">
          <cell r="B1216" t="str">
            <v>Non Trouvé</v>
          </cell>
          <cell r="C1216" t="e">
            <v>#VALUE!</v>
          </cell>
        </row>
        <row r="1217">
          <cell r="B1217" t="str">
            <v>Non Trouvé</v>
          </cell>
          <cell r="C1217" t="e">
            <v>#VALUE!</v>
          </cell>
        </row>
        <row r="1218">
          <cell r="B1218" t="str">
            <v>Non Trouvé</v>
          </cell>
          <cell r="C1218" t="e">
            <v>#VALUE!</v>
          </cell>
        </row>
        <row r="1219">
          <cell r="B1219" t="str">
            <v>Non Trouvé</v>
          </cell>
          <cell r="C1219" t="e">
            <v>#VALUE!</v>
          </cell>
        </row>
        <row r="1220">
          <cell r="B1220" t="str">
            <v>Non Trouvé</v>
          </cell>
          <cell r="C1220" t="e">
            <v>#VALUE!</v>
          </cell>
        </row>
        <row r="1221">
          <cell r="B1221" t="str">
            <v>Non Trouvé</v>
          </cell>
          <cell r="C1221" t="e">
            <v>#VALUE!</v>
          </cell>
        </row>
        <row r="1222">
          <cell r="B1222" t="str">
            <v>Non Trouvé</v>
          </cell>
          <cell r="C1222" t="e">
            <v>#VALUE!</v>
          </cell>
        </row>
        <row r="1223">
          <cell r="B1223" t="str">
            <v>Non Trouvé</v>
          </cell>
          <cell r="C1223" t="e">
            <v>#VALUE!</v>
          </cell>
        </row>
        <row r="1224">
          <cell r="B1224" t="str">
            <v>Non Trouvé</v>
          </cell>
          <cell r="C1224" t="e">
            <v>#VALUE!</v>
          </cell>
        </row>
        <row r="1225">
          <cell r="B1225" t="str">
            <v>Non Trouvé</v>
          </cell>
          <cell r="C1225" t="e">
            <v>#VALUE!</v>
          </cell>
        </row>
        <row r="1226">
          <cell r="B1226" t="str">
            <v>Non Trouvé</v>
          </cell>
          <cell r="C1226" t="e">
            <v>#VALUE!</v>
          </cell>
        </row>
        <row r="1227">
          <cell r="B1227" t="str">
            <v>Non Trouvé</v>
          </cell>
          <cell r="C1227" t="e">
            <v>#VALUE!</v>
          </cell>
        </row>
        <row r="1228">
          <cell r="B1228" t="str">
            <v>Non Trouvé</v>
          </cell>
          <cell r="C1228" t="e">
            <v>#VALUE!</v>
          </cell>
        </row>
        <row r="1229">
          <cell r="B1229" t="str">
            <v>Non Trouvé</v>
          </cell>
          <cell r="C1229" t="e">
            <v>#VALUE!</v>
          </cell>
        </row>
        <row r="1230">
          <cell r="B1230" t="str">
            <v>Non Trouvé</v>
          </cell>
          <cell r="C1230" t="e">
            <v>#VALUE!</v>
          </cell>
        </row>
        <row r="1231">
          <cell r="B1231" t="str">
            <v>Non Trouvé</v>
          </cell>
          <cell r="C1231" t="e">
            <v>#VALUE!</v>
          </cell>
        </row>
        <row r="1232">
          <cell r="B1232" t="str">
            <v>Non Trouvé</v>
          </cell>
          <cell r="C1232" t="e">
            <v>#VALUE!</v>
          </cell>
        </row>
        <row r="1233">
          <cell r="B1233" t="str">
            <v>Non Trouvé</v>
          </cell>
          <cell r="C1233" t="e">
            <v>#VALUE!</v>
          </cell>
        </row>
        <row r="1234">
          <cell r="B1234" t="str">
            <v>Non Trouvé</v>
          </cell>
          <cell r="C1234" t="e">
            <v>#VALUE!</v>
          </cell>
        </row>
        <row r="1235">
          <cell r="B1235" t="str">
            <v>Non Trouvé</v>
          </cell>
          <cell r="C1235" t="e">
            <v>#VALUE!</v>
          </cell>
        </row>
        <row r="1236">
          <cell r="B1236" t="str">
            <v>Non Trouvé</v>
          </cell>
          <cell r="C1236" t="e">
            <v>#VALUE!</v>
          </cell>
        </row>
        <row r="1237">
          <cell r="B1237" t="str">
            <v>Non Trouvé</v>
          </cell>
          <cell r="C1237" t="e">
            <v>#VALUE!</v>
          </cell>
        </row>
        <row r="1238">
          <cell r="B1238" t="str">
            <v>Non Trouvé</v>
          </cell>
          <cell r="C1238" t="e">
            <v>#VALUE!</v>
          </cell>
        </row>
        <row r="1239">
          <cell r="B1239" t="str">
            <v>Non Trouvé</v>
          </cell>
          <cell r="C1239" t="e">
            <v>#VALUE!</v>
          </cell>
        </row>
        <row r="1240">
          <cell r="B1240" t="str">
            <v>Non Trouvé</v>
          </cell>
          <cell r="C1240" t="e">
            <v>#VALUE!</v>
          </cell>
        </row>
        <row r="1241">
          <cell r="B1241" t="str">
            <v>Non Trouvé</v>
          </cell>
          <cell r="C1241" t="e">
            <v>#VALUE!</v>
          </cell>
        </row>
        <row r="1242">
          <cell r="B1242" t="str">
            <v>Non Trouvé</v>
          </cell>
          <cell r="C1242" t="e">
            <v>#VALUE!</v>
          </cell>
        </row>
        <row r="1243">
          <cell r="B1243" t="str">
            <v>Non Trouvé</v>
          </cell>
          <cell r="C1243" t="e">
            <v>#VALUE!</v>
          </cell>
        </row>
        <row r="1244">
          <cell r="B1244" t="str">
            <v>Non Trouvé</v>
          </cell>
          <cell r="C1244" t="e">
            <v>#VALUE!</v>
          </cell>
        </row>
        <row r="1245">
          <cell r="B1245" t="str">
            <v>Non Trouvé</v>
          </cell>
          <cell r="C1245" t="e">
            <v>#VALUE!</v>
          </cell>
        </row>
        <row r="1246">
          <cell r="B1246" t="str">
            <v>Non Trouvé</v>
          </cell>
          <cell r="C1246" t="e">
            <v>#VALUE!</v>
          </cell>
        </row>
        <row r="1247">
          <cell r="B1247" t="str">
            <v>Non Trouvé</v>
          </cell>
          <cell r="C1247" t="e">
            <v>#VALUE!</v>
          </cell>
        </row>
        <row r="1248">
          <cell r="B1248" t="str">
            <v>Non Trouvé</v>
          </cell>
          <cell r="C1248" t="e">
            <v>#VALUE!</v>
          </cell>
        </row>
        <row r="1249">
          <cell r="B1249" t="str">
            <v>Non Trouvé</v>
          </cell>
          <cell r="C1249" t="e">
            <v>#VALUE!</v>
          </cell>
        </row>
        <row r="1250">
          <cell r="B1250" t="str">
            <v>Non Trouvé</v>
          </cell>
          <cell r="C1250" t="e">
            <v>#VALUE!</v>
          </cell>
        </row>
        <row r="1251">
          <cell r="B1251" t="str">
            <v>Non Trouvé</v>
          </cell>
          <cell r="C1251" t="e">
            <v>#VALUE!</v>
          </cell>
        </row>
        <row r="1252">
          <cell r="B1252" t="str">
            <v>Non Trouvé</v>
          </cell>
          <cell r="C1252" t="e">
            <v>#VALUE!</v>
          </cell>
        </row>
        <row r="1253">
          <cell r="B1253" t="str">
            <v>Non Trouvé</v>
          </cell>
          <cell r="C1253" t="e">
            <v>#VALUE!</v>
          </cell>
        </row>
        <row r="1254">
          <cell r="B1254" t="str">
            <v>Non Trouvé</v>
          </cell>
          <cell r="C1254" t="e">
            <v>#VALUE!</v>
          </cell>
        </row>
        <row r="1255">
          <cell r="B1255" t="str">
            <v>Non Trouvé</v>
          </cell>
          <cell r="C1255" t="e">
            <v>#VALUE!</v>
          </cell>
        </row>
        <row r="1256">
          <cell r="B1256" t="str">
            <v>Non Trouvé</v>
          </cell>
          <cell r="C1256" t="e">
            <v>#VALUE!</v>
          </cell>
        </row>
        <row r="1257">
          <cell r="B1257" t="str">
            <v>Non Trouvé</v>
          </cell>
          <cell r="C1257" t="e">
            <v>#VALUE!</v>
          </cell>
        </row>
        <row r="1258">
          <cell r="B1258" t="str">
            <v>Non Trouvé</v>
          </cell>
          <cell r="C1258" t="e">
            <v>#VALUE!</v>
          </cell>
        </row>
        <row r="1259">
          <cell r="B1259" t="str">
            <v>Non Trouvé</v>
          </cell>
          <cell r="C1259" t="e">
            <v>#VALUE!</v>
          </cell>
        </row>
        <row r="1260">
          <cell r="B1260" t="str">
            <v>Non Trouvé</v>
          </cell>
          <cell r="C1260" t="e">
            <v>#VALUE!</v>
          </cell>
        </row>
        <row r="1261">
          <cell r="B1261" t="str">
            <v>Non Trouvé</v>
          </cell>
          <cell r="C1261" t="e">
            <v>#VALUE!</v>
          </cell>
        </row>
        <row r="1262">
          <cell r="B1262" t="str">
            <v>Non Trouvé</v>
          </cell>
          <cell r="C1262" t="e">
            <v>#VALUE!</v>
          </cell>
        </row>
        <row r="1263">
          <cell r="B1263" t="str">
            <v>Non Trouvé</v>
          </cell>
          <cell r="C1263" t="e">
            <v>#VALUE!</v>
          </cell>
        </row>
        <row r="1264">
          <cell r="B1264" t="str">
            <v>Non Trouvé</v>
          </cell>
          <cell r="C1264" t="e">
            <v>#VALUE!</v>
          </cell>
        </row>
        <row r="1265">
          <cell r="B1265" t="str">
            <v>Non Trouvé</v>
          </cell>
          <cell r="C1265" t="e">
            <v>#VALUE!</v>
          </cell>
        </row>
        <row r="1266">
          <cell r="B1266" t="str">
            <v>Non Trouvé</v>
          </cell>
          <cell r="C1266" t="e">
            <v>#VALUE!</v>
          </cell>
        </row>
        <row r="1269">
          <cell r="B1269" t="str">
            <v>OPCA 500€</v>
          </cell>
          <cell r="C1269">
            <v>130</v>
          </cell>
        </row>
        <row r="1270">
          <cell r="B1270">
            <v>1060254</v>
          </cell>
          <cell r="C1270">
            <v>650</v>
          </cell>
        </row>
        <row r="1271">
          <cell r="B1271">
            <v>1010122</v>
          </cell>
          <cell r="C1271">
            <v>650</v>
          </cell>
        </row>
        <row r="1272">
          <cell r="B1272" t="str">
            <v>OPCA 500€</v>
          </cell>
          <cell r="C1272">
            <v>120</v>
          </cell>
        </row>
        <row r="1273">
          <cell r="B1273">
            <v>1030503</v>
          </cell>
          <cell r="C1273">
            <v>0</v>
          </cell>
        </row>
        <row r="1274">
          <cell r="B1274">
            <v>4010201</v>
          </cell>
          <cell r="C1274">
            <v>1800</v>
          </cell>
        </row>
        <row r="1275">
          <cell r="B1275">
            <v>1061029</v>
          </cell>
          <cell r="C1275">
            <v>0</v>
          </cell>
        </row>
        <row r="1276">
          <cell r="B1276" t="str">
            <v>TROUSSE ORANGE</v>
          </cell>
          <cell r="C1276">
            <v>1800</v>
          </cell>
        </row>
        <row r="1277">
          <cell r="B1277" t="str">
            <v>Non Trouvé</v>
          </cell>
          <cell r="C1277" t="e">
            <v>#VALUE!</v>
          </cell>
        </row>
        <row r="1278">
          <cell r="B1278" t="str">
            <v>Non Trouvé</v>
          </cell>
          <cell r="C1278" t="e">
            <v>#VALUE!</v>
          </cell>
        </row>
        <row r="1279">
          <cell r="B1279" t="str">
            <v>Non Trouvé</v>
          </cell>
          <cell r="C1279" t="e">
            <v>#VALUE!</v>
          </cell>
        </row>
        <row r="1280">
          <cell r="B1280" t="str">
            <v>Non Trouvé</v>
          </cell>
          <cell r="C1280" t="e">
            <v>#VALUE!</v>
          </cell>
        </row>
        <row r="1281">
          <cell r="B1281" t="str">
            <v>Non Trouvé</v>
          </cell>
          <cell r="C1281" t="e">
            <v>#VALUE!</v>
          </cell>
        </row>
        <row r="1282">
          <cell r="B1282" t="str">
            <v>Non Trouvé</v>
          </cell>
          <cell r="C1282" t="e">
            <v>#VALUE!</v>
          </cell>
        </row>
        <row r="1283">
          <cell r="B1283" t="str">
            <v>Non Trouvé</v>
          </cell>
          <cell r="C1283" t="e">
            <v>#VALUE!</v>
          </cell>
        </row>
        <row r="1284">
          <cell r="B1284" t="str">
            <v>Non Trouvé</v>
          </cell>
          <cell r="C1284" t="e">
            <v>#VALUE!</v>
          </cell>
        </row>
        <row r="1285">
          <cell r="B1285" t="str">
            <v>Non Trouvé</v>
          </cell>
          <cell r="C1285" t="e">
            <v>#VALUE!</v>
          </cell>
        </row>
        <row r="1286">
          <cell r="B1286" t="str">
            <v>Non Trouvé</v>
          </cell>
          <cell r="C1286" t="e">
            <v>#VALUE!</v>
          </cell>
        </row>
        <row r="1287">
          <cell r="B1287" t="str">
            <v>Non Trouvé</v>
          </cell>
          <cell r="C1287" t="e">
            <v>#VALUE!</v>
          </cell>
        </row>
        <row r="1288">
          <cell r="B1288" t="str">
            <v>Non Trouvé</v>
          </cell>
          <cell r="C1288" t="e">
            <v>#VALUE!</v>
          </cell>
        </row>
        <row r="1289">
          <cell r="B1289" t="str">
            <v>Non Trouvé</v>
          </cell>
          <cell r="C1289" t="e">
            <v>#VALUE!</v>
          </cell>
        </row>
        <row r="1290">
          <cell r="B1290" t="str">
            <v>Non Trouvé</v>
          </cell>
          <cell r="C1290" t="e">
            <v>#VALUE!</v>
          </cell>
        </row>
        <row r="1291">
          <cell r="B1291" t="str">
            <v>Non Trouvé</v>
          </cell>
          <cell r="C1291" t="e">
            <v>#VALUE!</v>
          </cell>
        </row>
        <row r="1292">
          <cell r="B1292" t="str">
            <v>Non Trouvé</v>
          </cell>
          <cell r="C1292" t="e">
            <v>#VALUE!</v>
          </cell>
        </row>
        <row r="1293">
          <cell r="B1293" t="str">
            <v>Non Trouvé</v>
          </cell>
          <cell r="C1293" t="e">
            <v>#VALUE!</v>
          </cell>
        </row>
        <row r="1294">
          <cell r="B1294" t="str">
            <v>Non Trouvé</v>
          </cell>
          <cell r="C1294" t="e">
            <v>#VALUE!</v>
          </cell>
        </row>
        <row r="1295">
          <cell r="B1295" t="str">
            <v>Non Trouvé</v>
          </cell>
          <cell r="C1295" t="e">
            <v>#VALUE!</v>
          </cell>
        </row>
        <row r="1296">
          <cell r="B1296" t="str">
            <v>Non Trouvé</v>
          </cell>
          <cell r="C1296" t="e">
            <v>#VALUE!</v>
          </cell>
        </row>
        <row r="1297">
          <cell r="B1297" t="str">
            <v>Non Trouvé</v>
          </cell>
          <cell r="C1297" t="e">
            <v>#VALUE!</v>
          </cell>
        </row>
        <row r="1298">
          <cell r="B1298" t="str">
            <v>Non Trouvé</v>
          </cell>
          <cell r="C1298" t="e">
            <v>#VALUE!</v>
          </cell>
        </row>
        <row r="1299">
          <cell r="B1299" t="str">
            <v>Non Trouvé</v>
          </cell>
          <cell r="C1299" t="e">
            <v>#VALUE!</v>
          </cell>
        </row>
        <row r="1300">
          <cell r="B1300" t="str">
            <v>Non Trouvé</v>
          </cell>
          <cell r="C1300" t="e">
            <v>#VALUE!</v>
          </cell>
        </row>
        <row r="1301">
          <cell r="B1301" t="str">
            <v>Non Trouvé</v>
          </cell>
          <cell r="C1301" t="e">
            <v>#VALUE!</v>
          </cell>
        </row>
        <row r="1302">
          <cell r="B1302" t="str">
            <v>Non Trouvé</v>
          </cell>
          <cell r="C1302" t="e">
            <v>#VALUE!</v>
          </cell>
        </row>
        <row r="1303">
          <cell r="B1303" t="str">
            <v>Non Trouvé</v>
          </cell>
          <cell r="C1303" t="e">
            <v>#VALUE!</v>
          </cell>
        </row>
        <row r="1304">
          <cell r="B1304" t="str">
            <v>Non Trouvé</v>
          </cell>
          <cell r="C1304" t="e">
            <v>#VALUE!</v>
          </cell>
        </row>
        <row r="1305">
          <cell r="B1305" t="str">
            <v>Non Trouvé</v>
          </cell>
          <cell r="C1305" t="e">
            <v>#VALUE!</v>
          </cell>
        </row>
        <row r="1306">
          <cell r="B1306" t="str">
            <v>Non Trouvé</v>
          </cell>
          <cell r="C1306" t="e">
            <v>#VALUE!</v>
          </cell>
        </row>
        <row r="1307">
          <cell r="B1307" t="str">
            <v>Non Trouvé</v>
          </cell>
          <cell r="C1307" t="e">
            <v>#VALUE!</v>
          </cell>
        </row>
        <row r="1308">
          <cell r="B1308" t="str">
            <v>Non Trouvé</v>
          </cell>
          <cell r="C1308" t="e">
            <v>#VALUE!</v>
          </cell>
        </row>
        <row r="1309">
          <cell r="B1309" t="str">
            <v>Non Trouvé</v>
          </cell>
          <cell r="C1309" t="e">
            <v>#VALUE!</v>
          </cell>
        </row>
        <row r="1310">
          <cell r="B1310" t="str">
            <v>Non Trouvé</v>
          </cell>
          <cell r="C1310" t="e">
            <v>#VALUE!</v>
          </cell>
        </row>
        <row r="1311">
          <cell r="B1311" t="str">
            <v>Non Trouvé</v>
          </cell>
          <cell r="C1311" t="e">
            <v>#VALUE!</v>
          </cell>
        </row>
        <row r="1312">
          <cell r="B1312" t="str">
            <v>Non Trouvé</v>
          </cell>
          <cell r="C1312" t="e">
            <v>#VALUE!</v>
          </cell>
        </row>
        <row r="1313">
          <cell r="B1313" t="str">
            <v>Non Trouvé</v>
          </cell>
          <cell r="C1313" t="e">
            <v>#VALUE!</v>
          </cell>
        </row>
        <row r="1314">
          <cell r="B1314" t="str">
            <v>Non Trouvé</v>
          </cell>
          <cell r="C1314" t="e">
            <v>#VALUE!</v>
          </cell>
        </row>
        <row r="1315">
          <cell r="B1315" t="str">
            <v>Non Trouvé</v>
          </cell>
          <cell r="C1315" t="e">
            <v>#VALUE!</v>
          </cell>
        </row>
        <row r="1316">
          <cell r="B1316" t="str">
            <v>Non Trouvé</v>
          </cell>
          <cell r="C1316" t="e">
            <v>#VALUE!</v>
          </cell>
        </row>
        <row r="1317">
          <cell r="B1317" t="str">
            <v>Non Trouvé</v>
          </cell>
          <cell r="C1317" t="e">
            <v>#VALUE!</v>
          </cell>
        </row>
        <row r="1318">
          <cell r="B1318" t="str">
            <v>Non Trouvé</v>
          </cell>
          <cell r="C1318" t="e">
            <v>#VALUE!</v>
          </cell>
        </row>
        <row r="1319">
          <cell r="B1319" t="str">
            <v>Non Trouvé</v>
          </cell>
          <cell r="C1319" t="e">
            <v>#VALUE!</v>
          </cell>
        </row>
        <row r="1320">
          <cell r="B1320" t="str">
            <v>Non Trouvé</v>
          </cell>
          <cell r="C1320" t="e">
            <v>#VALUE!</v>
          </cell>
        </row>
        <row r="1321">
          <cell r="B1321" t="str">
            <v>Non Trouvé</v>
          </cell>
          <cell r="C1321" t="e">
            <v>#VALUE!</v>
          </cell>
        </row>
        <row r="1322">
          <cell r="B1322" t="str">
            <v>Non Trouvé</v>
          </cell>
          <cell r="C1322" t="e">
            <v>#VALUE!</v>
          </cell>
        </row>
        <row r="1323">
          <cell r="B1323" t="str">
            <v>Non Trouvé</v>
          </cell>
          <cell r="C1323" t="e">
            <v>#VALUE!</v>
          </cell>
        </row>
        <row r="1324">
          <cell r="B1324" t="str">
            <v>Non Trouvé</v>
          </cell>
          <cell r="C1324" t="e">
            <v>#VALUE!</v>
          </cell>
        </row>
        <row r="1325">
          <cell r="B1325" t="str">
            <v>Non Trouvé</v>
          </cell>
          <cell r="C1325" t="e">
            <v>#VALUE!</v>
          </cell>
        </row>
        <row r="1326">
          <cell r="B1326" t="str">
            <v>Non Trouvé</v>
          </cell>
          <cell r="C1326" t="e">
            <v>#VALUE!</v>
          </cell>
        </row>
        <row r="1327">
          <cell r="B1327" t="str">
            <v>Non Trouvé</v>
          </cell>
          <cell r="C1327" t="e">
            <v>#VALUE!</v>
          </cell>
        </row>
        <row r="1328">
          <cell r="B1328" t="str">
            <v>Non Trouvé</v>
          </cell>
          <cell r="C1328" t="e">
            <v>#VALUE!</v>
          </cell>
        </row>
        <row r="1329">
          <cell r="B1329" t="str">
            <v>Non Trouvé</v>
          </cell>
          <cell r="C1329" t="e">
            <v>#VALUE!</v>
          </cell>
        </row>
        <row r="1330">
          <cell r="B1330" t="str">
            <v>Non Trouvé</v>
          </cell>
          <cell r="C1330" t="e">
            <v>#VALUE!</v>
          </cell>
        </row>
        <row r="1331">
          <cell r="B1331" t="str">
            <v>Non Trouvé</v>
          </cell>
          <cell r="C1331" t="e">
            <v>#VALUE!</v>
          </cell>
        </row>
        <row r="1332">
          <cell r="B1332" t="str">
            <v>Non Trouvé</v>
          </cell>
          <cell r="C1332" t="e">
            <v>#VALUE!</v>
          </cell>
        </row>
        <row r="1333">
          <cell r="B1333" t="str">
            <v>Non Trouvé</v>
          </cell>
          <cell r="C1333" t="e">
            <v>#VALUE!</v>
          </cell>
        </row>
        <row r="1334">
          <cell r="B1334" t="str">
            <v>Non Trouvé</v>
          </cell>
          <cell r="C1334" t="e">
            <v>#VALUE!</v>
          </cell>
        </row>
        <row r="1335">
          <cell r="B1335" t="str">
            <v>Non Trouvé</v>
          </cell>
          <cell r="C1335" t="e">
            <v>#VALUE!</v>
          </cell>
        </row>
        <row r="1336">
          <cell r="B1336" t="str">
            <v>Non Trouvé</v>
          </cell>
          <cell r="C1336" t="e">
            <v>#VALUE!</v>
          </cell>
        </row>
        <row r="1337">
          <cell r="B1337" t="str">
            <v>Non Trouvé</v>
          </cell>
          <cell r="C1337" t="e">
            <v>#VALUE!</v>
          </cell>
        </row>
        <row r="1340">
          <cell r="B1340" t="str">
            <v>DUO BAUME LACTE</v>
          </cell>
          <cell r="C1340">
            <v>0</v>
          </cell>
        </row>
        <row r="1341">
          <cell r="B1341" t="str">
            <v>DUO STICK LEVRES</v>
          </cell>
          <cell r="C1341">
            <v>0</v>
          </cell>
        </row>
        <row r="1342">
          <cell r="B1342" t="str">
            <v>Non Trouvé</v>
          </cell>
          <cell r="C1342" t="e">
            <v>#VALUE!</v>
          </cell>
        </row>
        <row r="1343">
          <cell r="B1343" t="str">
            <v>Non Trouvé</v>
          </cell>
          <cell r="C1343" t="e">
            <v>#VALUE!</v>
          </cell>
        </row>
        <row r="1344">
          <cell r="B1344" t="str">
            <v>Non Trouvé</v>
          </cell>
          <cell r="C1344" t="e">
            <v>#VALUE!</v>
          </cell>
        </row>
        <row r="1345">
          <cell r="B1345" t="str">
            <v>Non Trouvé</v>
          </cell>
          <cell r="C1345" t="e">
            <v>#VALUE!</v>
          </cell>
        </row>
        <row r="1346">
          <cell r="B1346" t="str">
            <v>Non Trouvé</v>
          </cell>
          <cell r="C1346" t="e">
            <v>#VALUE!</v>
          </cell>
        </row>
        <row r="1347">
          <cell r="B1347" t="str">
            <v>Non Trouvé</v>
          </cell>
          <cell r="C1347" t="e">
            <v>#VALUE!</v>
          </cell>
        </row>
        <row r="1348">
          <cell r="B1348" t="str">
            <v>Non Trouvé</v>
          </cell>
          <cell r="C1348" t="e">
            <v>#VALUE!</v>
          </cell>
        </row>
        <row r="1349">
          <cell r="B1349" t="str">
            <v>Non Trouvé</v>
          </cell>
          <cell r="C1349" t="e">
            <v>#VALUE!</v>
          </cell>
        </row>
        <row r="1350">
          <cell r="B1350" t="str">
            <v>Non Trouvé</v>
          </cell>
          <cell r="C1350" t="e">
            <v>#VALUE!</v>
          </cell>
        </row>
        <row r="1351">
          <cell r="B1351" t="str">
            <v>Non Trouvé</v>
          </cell>
          <cell r="C1351" t="e">
            <v>#VALUE!</v>
          </cell>
        </row>
        <row r="1352">
          <cell r="B1352" t="str">
            <v>Non Trouvé</v>
          </cell>
          <cell r="C1352" t="e">
            <v>#VALUE!</v>
          </cell>
        </row>
        <row r="1353">
          <cell r="B1353" t="str">
            <v>Non Trouvé</v>
          </cell>
          <cell r="C1353" t="e">
            <v>#VALUE!</v>
          </cell>
        </row>
        <row r="1354">
          <cell r="B1354" t="str">
            <v>Non Trouvé</v>
          </cell>
          <cell r="C1354" t="e">
            <v>#VALUE!</v>
          </cell>
        </row>
        <row r="1355">
          <cell r="B1355" t="str">
            <v>Non Trouvé</v>
          </cell>
          <cell r="C1355" t="e">
            <v>#VALUE!</v>
          </cell>
        </row>
        <row r="1356">
          <cell r="B1356" t="str">
            <v>Non Trouvé</v>
          </cell>
          <cell r="C1356" t="e">
            <v>#VALUE!</v>
          </cell>
        </row>
        <row r="1357">
          <cell r="B1357" t="str">
            <v>Non Trouvé</v>
          </cell>
          <cell r="C1357" t="e">
            <v>#VALUE!</v>
          </cell>
        </row>
        <row r="1358">
          <cell r="B1358" t="str">
            <v>Non Trouvé</v>
          </cell>
          <cell r="C1358" t="e">
            <v>#VALUE!</v>
          </cell>
        </row>
        <row r="1359">
          <cell r="B1359" t="str">
            <v>Non Trouvé</v>
          </cell>
          <cell r="C1359" t="e">
            <v>#VALUE!</v>
          </cell>
        </row>
        <row r="1360">
          <cell r="B1360" t="str">
            <v>Non Trouvé</v>
          </cell>
          <cell r="C1360" t="e">
            <v>#VALUE!</v>
          </cell>
        </row>
        <row r="1361">
          <cell r="B1361" t="str">
            <v>Non Trouvé</v>
          </cell>
          <cell r="C1361" t="e">
            <v>#VALUE!</v>
          </cell>
        </row>
        <row r="1362">
          <cell r="B1362" t="str">
            <v>Non Trouvé</v>
          </cell>
          <cell r="C1362" t="e">
            <v>#VALUE!</v>
          </cell>
        </row>
        <row r="1363">
          <cell r="B1363" t="str">
            <v>Non Trouvé</v>
          </cell>
          <cell r="C1363" t="e">
            <v>#VALUE!</v>
          </cell>
        </row>
        <row r="1364">
          <cell r="B1364" t="str">
            <v>Non Trouvé</v>
          </cell>
          <cell r="C1364" t="e">
            <v>#VALUE!</v>
          </cell>
        </row>
        <row r="1365">
          <cell r="B1365" t="str">
            <v>Non Trouvé</v>
          </cell>
          <cell r="C1365" t="e">
            <v>#VALUE!</v>
          </cell>
        </row>
        <row r="1366">
          <cell r="B1366" t="str">
            <v>Non Trouvé</v>
          </cell>
          <cell r="C1366" t="e">
            <v>#VALUE!</v>
          </cell>
        </row>
        <row r="1367">
          <cell r="B1367" t="str">
            <v>Non Trouvé</v>
          </cell>
          <cell r="C1367" t="e">
            <v>#VALUE!</v>
          </cell>
        </row>
        <row r="1368">
          <cell r="B1368" t="str">
            <v>Non Trouvé</v>
          </cell>
          <cell r="C1368" t="e">
            <v>#VALUE!</v>
          </cell>
        </row>
        <row r="1369">
          <cell r="B1369" t="str">
            <v>Non Trouvé</v>
          </cell>
          <cell r="C1369" t="e">
            <v>#VALUE!</v>
          </cell>
        </row>
        <row r="1370">
          <cell r="B1370" t="str">
            <v>Non Trouvé</v>
          </cell>
          <cell r="C1370" t="e">
            <v>#VALUE!</v>
          </cell>
        </row>
        <row r="1371">
          <cell r="B1371" t="str">
            <v>Non Trouvé</v>
          </cell>
          <cell r="C1371" t="e">
            <v>#VALUE!</v>
          </cell>
        </row>
        <row r="1372">
          <cell r="B1372" t="str">
            <v>Non Trouvé</v>
          </cell>
          <cell r="C1372" t="e">
            <v>#VALUE!</v>
          </cell>
        </row>
        <row r="1373">
          <cell r="B1373" t="str">
            <v>Non Trouvé</v>
          </cell>
          <cell r="C1373" t="e">
            <v>#VALUE!</v>
          </cell>
        </row>
        <row r="1374">
          <cell r="B1374" t="str">
            <v>Non Trouvé</v>
          </cell>
          <cell r="C1374" t="e">
            <v>#VALUE!</v>
          </cell>
        </row>
        <row r="1375">
          <cell r="B1375" t="str">
            <v>Non Trouvé</v>
          </cell>
          <cell r="C1375" t="e">
            <v>#VALUE!</v>
          </cell>
        </row>
        <row r="1376">
          <cell r="B1376" t="str">
            <v>Non Trouvé</v>
          </cell>
          <cell r="C1376" t="e">
            <v>#VALUE!</v>
          </cell>
        </row>
        <row r="1377">
          <cell r="B1377" t="str">
            <v>Non Trouvé</v>
          </cell>
          <cell r="C1377" t="e">
            <v>#VALUE!</v>
          </cell>
        </row>
        <row r="1378">
          <cell r="B1378" t="str">
            <v>Non Trouvé</v>
          </cell>
          <cell r="C1378" t="e">
            <v>#VALUE!</v>
          </cell>
        </row>
        <row r="1379">
          <cell r="B1379" t="str">
            <v>Non Trouvé</v>
          </cell>
          <cell r="C1379" t="e">
            <v>#VALUE!</v>
          </cell>
        </row>
        <row r="1380">
          <cell r="B1380" t="str">
            <v>Non Trouvé</v>
          </cell>
          <cell r="C1380" t="e">
            <v>#VALUE!</v>
          </cell>
        </row>
        <row r="1381">
          <cell r="B1381" t="str">
            <v>Non Trouvé</v>
          </cell>
          <cell r="C1381" t="e">
            <v>#VALUE!</v>
          </cell>
        </row>
        <row r="1382">
          <cell r="B1382" t="str">
            <v>Non Trouvé</v>
          </cell>
          <cell r="C1382" t="e">
            <v>#VALUE!</v>
          </cell>
        </row>
        <row r="1383">
          <cell r="B1383" t="str">
            <v>Non Trouvé</v>
          </cell>
          <cell r="C1383" t="e">
            <v>#VALUE!</v>
          </cell>
        </row>
        <row r="1384">
          <cell r="B1384" t="str">
            <v>Non Trouvé</v>
          </cell>
          <cell r="C1384" t="e">
            <v>#VALUE!</v>
          </cell>
        </row>
        <row r="1385">
          <cell r="B1385" t="str">
            <v>Non Trouvé</v>
          </cell>
          <cell r="C1385" t="e">
            <v>#VALUE!</v>
          </cell>
        </row>
        <row r="1386">
          <cell r="B1386" t="str">
            <v>Non Trouvé</v>
          </cell>
          <cell r="C1386" t="e">
            <v>#VALUE!</v>
          </cell>
        </row>
        <row r="1387">
          <cell r="B1387" t="str">
            <v>Non Trouvé</v>
          </cell>
          <cell r="C1387" t="e">
            <v>#VALUE!</v>
          </cell>
        </row>
        <row r="1388">
          <cell r="B1388" t="str">
            <v>Non Trouvé</v>
          </cell>
          <cell r="C1388" t="e">
            <v>#VALUE!</v>
          </cell>
        </row>
        <row r="1389">
          <cell r="B1389" t="str">
            <v>Non Trouvé</v>
          </cell>
          <cell r="C1389" t="e">
            <v>#VALUE!</v>
          </cell>
        </row>
        <row r="1390">
          <cell r="B1390" t="str">
            <v>Non Trouvé</v>
          </cell>
          <cell r="C1390" t="e">
            <v>#VALUE!</v>
          </cell>
        </row>
        <row r="1391">
          <cell r="B1391" t="str">
            <v>Non Trouvé</v>
          </cell>
          <cell r="C1391" t="e">
            <v>#VALUE!</v>
          </cell>
        </row>
        <row r="1392">
          <cell r="B1392" t="str">
            <v>Non Trouvé</v>
          </cell>
          <cell r="C1392" t="e">
            <v>#VALUE!</v>
          </cell>
        </row>
        <row r="1393">
          <cell r="B1393" t="str">
            <v>Non Trouvé</v>
          </cell>
          <cell r="C1393" t="e">
            <v>#VALUE!</v>
          </cell>
        </row>
        <row r="1394">
          <cell r="B1394" t="str">
            <v>Non Trouvé</v>
          </cell>
          <cell r="C1394" t="e">
            <v>#VALUE!</v>
          </cell>
        </row>
        <row r="1395">
          <cell r="B1395" t="str">
            <v>Non Trouvé</v>
          </cell>
          <cell r="C1395" t="e">
            <v>#VALUE!</v>
          </cell>
        </row>
        <row r="1396">
          <cell r="B1396" t="str">
            <v>Non Trouvé</v>
          </cell>
          <cell r="C1396" t="e">
            <v>#VALUE!</v>
          </cell>
        </row>
        <row r="1397">
          <cell r="B1397" t="str">
            <v>Non Trouvé</v>
          </cell>
          <cell r="C1397" t="e">
            <v>#VALUE!</v>
          </cell>
        </row>
        <row r="1398">
          <cell r="B1398" t="str">
            <v>Non Trouvé</v>
          </cell>
          <cell r="C1398" t="e">
            <v>#VALUE!</v>
          </cell>
        </row>
        <row r="1399">
          <cell r="B1399" t="str">
            <v>Non Trouvé</v>
          </cell>
          <cell r="C1399" t="e">
            <v>#VALUE!</v>
          </cell>
        </row>
        <row r="1400">
          <cell r="B1400" t="str">
            <v>Non Trouvé</v>
          </cell>
          <cell r="C1400" t="e">
            <v>#VALUE!</v>
          </cell>
        </row>
        <row r="1401">
          <cell r="B1401" t="str">
            <v>Non Trouvé</v>
          </cell>
          <cell r="C1401" t="e">
            <v>#VALUE!</v>
          </cell>
        </row>
        <row r="1402">
          <cell r="B1402" t="str">
            <v>Non Trouvé</v>
          </cell>
          <cell r="C1402" t="e">
            <v>#VALUE!</v>
          </cell>
        </row>
        <row r="1403">
          <cell r="B1403" t="str">
            <v>Non Trouvé</v>
          </cell>
          <cell r="C1403" t="e">
            <v>#VALUE!</v>
          </cell>
        </row>
        <row r="1404">
          <cell r="B1404" t="str">
            <v>Non Trouvé</v>
          </cell>
          <cell r="C1404" t="e">
            <v>#VALUE!</v>
          </cell>
        </row>
        <row r="1405">
          <cell r="B1405" t="str">
            <v>Non Trouvé</v>
          </cell>
          <cell r="C1405" t="e">
            <v>#VALUE!</v>
          </cell>
        </row>
        <row r="1406">
          <cell r="B1406" t="str">
            <v>Non Trouvé</v>
          </cell>
          <cell r="C1406" t="e">
            <v>#VALUE!</v>
          </cell>
        </row>
        <row r="1407">
          <cell r="B1407" t="str">
            <v>Non Trouvé</v>
          </cell>
          <cell r="C1407" t="e">
            <v>#VALUE!</v>
          </cell>
        </row>
        <row r="1408">
          <cell r="B1408" t="str">
            <v>Non Trouvé</v>
          </cell>
          <cell r="C1408" t="e">
            <v>#VALUE!</v>
          </cell>
        </row>
        <row r="1411">
          <cell r="B1411" t="str">
            <v>MASCARA PLUM</v>
          </cell>
          <cell r="C1411">
            <v>400</v>
          </cell>
        </row>
        <row r="1412">
          <cell r="B1412" t="str">
            <v>PODIUM MASCARA PLUM</v>
          </cell>
          <cell r="C1412">
            <v>80</v>
          </cell>
        </row>
        <row r="1413">
          <cell r="B1413" t="str">
            <v>Non Trouvé</v>
          </cell>
          <cell r="C1413" t="e">
            <v>#VALUE!</v>
          </cell>
        </row>
        <row r="1414">
          <cell r="B1414" t="str">
            <v>Non Trouvé</v>
          </cell>
          <cell r="C1414" t="e">
            <v>#VALUE!</v>
          </cell>
        </row>
        <row r="1415">
          <cell r="B1415" t="str">
            <v>Non Trouvé</v>
          </cell>
          <cell r="C1415" t="e">
            <v>#VALUE!</v>
          </cell>
        </row>
        <row r="1416">
          <cell r="B1416" t="str">
            <v>Non Trouvé</v>
          </cell>
          <cell r="C1416" t="e">
            <v>#VALUE!</v>
          </cell>
        </row>
        <row r="1417">
          <cell r="B1417" t="str">
            <v>Non Trouvé</v>
          </cell>
          <cell r="C1417" t="e">
            <v>#VALUE!</v>
          </cell>
        </row>
        <row r="1418">
          <cell r="B1418" t="str">
            <v>Non Trouvé</v>
          </cell>
          <cell r="C1418" t="e">
            <v>#VALUE!</v>
          </cell>
        </row>
        <row r="1419">
          <cell r="B1419" t="str">
            <v>Non Trouvé</v>
          </cell>
          <cell r="C1419" t="e">
            <v>#VALUE!</v>
          </cell>
        </row>
        <row r="1420">
          <cell r="B1420" t="str">
            <v>Non Trouvé</v>
          </cell>
          <cell r="C1420" t="e">
            <v>#VALUE!</v>
          </cell>
        </row>
        <row r="1421">
          <cell r="B1421" t="str">
            <v>Non Trouvé</v>
          </cell>
          <cell r="C1421" t="e">
            <v>#VALUE!</v>
          </cell>
        </row>
        <row r="1422">
          <cell r="B1422" t="str">
            <v>Non Trouvé</v>
          </cell>
          <cell r="C1422" t="e">
            <v>#VALUE!</v>
          </cell>
        </row>
        <row r="1423">
          <cell r="B1423" t="str">
            <v>Non Trouvé</v>
          </cell>
          <cell r="C1423" t="e">
            <v>#VALUE!</v>
          </cell>
        </row>
        <row r="1424">
          <cell r="B1424" t="str">
            <v>Non Trouvé</v>
          </cell>
          <cell r="C1424" t="e">
            <v>#VALUE!</v>
          </cell>
        </row>
        <row r="1425">
          <cell r="B1425" t="str">
            <v>Non Trouvé</v>
          </cell>
          <cell r="C1425" t="e">
            <v>#VALUE!</v>
          </cell>
        </row>
        <row r="1426">
          <cell r="B1426" t="str">
            <v>Non Trouvé</v>
          </cell>
          <cell r="C1426" t="e">
            <v>#VALUE!</v>
          </cell>
        </row>
        <row r="1427">
          <cell r="B1427" t="str">
            <v>Non Trouvé</v>
          </cell>
          <cell r="C1427" t="e">
            <v>#VALUE!</v>
          </cell>
        </row>
        <row r="1428">
          <cell r="B1428" t="str">
            <v>Non Trouvé</v>
          </cell>
          <cell r="C1428" t="e">
            <v>#VALUE!</v>
          </cell>
        </row>
        <row r="1429">
          <cell r="B1429" t="str">
            <v>Non Trouvé</v>
          </cell>
          <cell r="C1429" t="e">
            <v>#VALUE!</v>
          </cell>
        </row>
        <row r="1430">
          <cell r="B1430" t="str">
            <v>Non Trouvé</v>
          </cell>
          <cell r="C1430" t="e">
            <v>#VALUE!</v>
          </cell>
        </row>
        <row r="1431">
          <cell r="B1431" t="str">
            <v>Non Trouvé</v>
          </cell>
          <cell r="C1431" t="e">
            <v>#VALUE!</v>
          </cell>
        </row>
        <row r="1432">
          <cell r="B1432" t="str">
            <v>Non Trouvé</v>
          </cell>
          <cell r="C1432" t="e">
            <v>#VALUE!</v>
          </cell>
        </row>
        <row r="1433">
          <cell r="B1433" t="str">
            <v>Non Trouvé</v>
          </cell>
          <cell r="C1433" t="e">
            <v>#VALUE!</v>
          </cell>
        </row>
        <row r="1434">
          <cell r="B1434" t="str">
            <v>Non Trouvé</v>
          </cell>
          <cell r="C1434" t="e">
            <v>#VALUE!</v>
          </cell>
        </row>
        <row r="1435">
          <cell r="B1435" t="str">
            <v>Non Trouvé</v>
          </cell>
          <cell r="C1435" t="e">
            <v>#VALUE!</v>
          </cell>
        </row>
        <row r="1436">
          <cell r="B1436" t="str">
            <v>Non Trouvé</v>
          </cell>
          <cell r="C1436" t="e">
            <v>#VALUE!</v>
          </cell>
        </row>
        <row r="1437">
          <cell r="B1437" t="str">
            <v>Non Trouvé</v>
          </cell>
          <cell r="C1437" t="e">
            <v>#VALUE!</v>
          </cell>
        </row>
        <row r="1438">
          <cell r="B1438" t="str">
            <v>Non Trouvé</v>
          </cell>
          <cell r="C1438" t="e">
            <v>#VALUE!</v>
          </cell>
        </row>
        <row r="1439">
          <cell r="B1439" t="str">
            <v>Non Trouvé</v>
          </cell>
          <cell r="C1439" t="e">
            <v>#VALUE!</v>
          </cell>
        </row>
        <row r="1440">
          <cell r="B1440" t="str">
            <v>Non Trouvé</v>
          </cell>
          <cell r="C1440" t="e">
            <v>#VALUE!</v>
          </cell>
        </row>
        <row r="1441">
          <cell r="B1441" t="str">
            <v>Non Trouvé</v>
          </cell>
          <cell r="C1441" t="e">
            <v>#VALUE!</v>
          </cell>
        </row>
        <row r="1442">
          <cell r="B1442" t="str">
            <v>Non Trouvé</v>
          </cell>
          <cell r="C1442" t="e">
            <v>#VALUE!</v>
          </cell>
        </row>
        <row r="1443">
          <cell r="B1443" t="str">
            <v>Non Trouvé</v>
          </cell>
          <cell r="C1443" t="e">
            <v>#VALUE!</v>
          </cell>
        </row>
        <row r="1444">
          <cell r="B1444" t="str">
            <v>Non Trouvé</v>
          </cell>
          <cell r="C1444" t="e">
            <v>#VALUE!</v>
          </cell>
        </row>
        <row r="1445">
          <cell r="B1445" t="str">
            <v>Non Trouvé</v>
          </cell>
          <cell r="C1445" t="e">
            <v>#VALUE!</v>
          </cell>
        </row>
        <row r="1446">
          <cell r="B1446" t="str">
            <v>Non Trouvé</v>
          </cell>
          <cell r="C1446" t="e">
            <v>#VALUE!</v>
          </cell>
        </row>
        <row r="1447">
          <cell r="B1447" t="str">
            <v>Non Trouvé</v>
          </cell>
          <cell r="C1447" t="e">
            <v>#VALUE!</v>
          </cell>
        </row>
        <row r="1448">
          <cell r="B1448" t="str">
            <v>Non Trouvé</v>
          </cell>
          <cell r="C1448" t="e">
            <v>#VALUE!</v>
          </cell>
        </row>
        <row r="1449">
          <cell r="B1449" t="str">
            <v>Non Trouvé</v>
          </cell>
          <cell r="C1449" t="e">
            <v>#VALUE!</v>
          </cell>
        </row>
        <row r="1450">
          <cell r="B1450" t="str">
            <v>Non Trouvé</v>
          </cell>
          <cell r="C1450" t="e">
            <v>#VALUE!</v>
          </cell>
        </row>
        <row r="1451">
          <cell r="B1451" t="str">
            <v>Non Trouvé</v>
          </cell>
          <cell r="C1451" t="e">
            <v>#VALUE!</v>
          </cell>
        </row>
        <row r="1452">
          <cell r="B1452" t="str">
            <v>Non Trouvé</v>
          </cell>
          <cell r="C1452" t="e">
            <v>#VALUE!</v>
          </cell>
        </row>
        <row r="1453">
          <cell r="B1453" t="str">
            <v>Non Trouvé</v>
          </cell>
          <cell r="C1453" t="e">
            <v>#VALUE!</v>
          </cell>
        </row>
        <row r="1454">
          <cell r="B1454" t="str">
            <v>Non Trouvé</v>
          </cell>
          <cell r="C1454" t="e">
            <v>#VALUE!</v>
          </cell>
        </row>
        <row r="1455">
          <cell r="B1455" t="str">
            <v>Non Trouvé</v>
          </cell>
          <cell r="C1455" t="e">
            <v>#VALUE!</v>
          </cell>
        </row>
        <row r="1456">
          <cell r="B1456" t="str">
            <v>Non Trouvé</v>
          </cell>
          <cell r="C1456" t="e">
            <v>#VALUE!</v>
          </cell>
        </row>
        <row r="1457">
          <cell r="B1457" t="str">
            <v>Non Trouvé</v>
          </cell>
          <cell r="C1457" t="e">
            <v>#VALUE!</v>
          </cell>
        </row>
        <row r="1458">
          <cell r="B1458" t="str">
            <v>Non Trouvé</v>
          </cell>
          <cell r="C1458" t="e">
            <v>#VALUE!</v>
          </cell>
        </row>
        <row r="1459">
          <cell r="B1459" t="str">
            <v>Non Trouvé</v>
          </cell>
          <cell r="C1459" t="e">
            <v>#VALUE!</v>
          </cell>
        </row>
        <row r="1460">
          <cell r="B1460" t="str">
            <v>Non Trouvé</v>
          </cell>
          <cell r="C1460" t="e">
            <v>#VALUE!</v>
          </cell>
        </row>
        <row r="1461">
          <cell r="B1461" t="str">
            <v>Non Trouvé</v>
          </cell>
          <cell r="C1461" t="e">
            <v>#VALUE!</v>
          </cell>
        </row>
        <row r="1462">
          <cell r="B1462" t="str">
            <v>Non Trouvé</v>
          </cell>
          <cell r="C1462" t="e">
            <v>#VALUE!</v>
          </cell>
        </row>
        <row r="1463">
          <cell r="B1463" t="str">
            <v>Non Trouvé</v>
          </cell>
          <cell r="C1463" t="e">
            <v>#VALUE!</v>
          </cell>
        </row>
        <row r="1464">
          <cell r="B1464" t="str">
            <v>Non Trouvé</v>
          </cell>
          <cell r="C1464" t="e">
            <v>#VALUE!</v>
          </cell>
        </row>
        <row r="1465">
          <cell r="B1465" t="str">
            <v>Non Trouvé</v>
          </cell>
          <cell r="C1465" t="e">
            <v>#VALUE!</v>
          </cell>
        </row>
        <row r="1466">
          <cell r="B1466" t="str">
            <v>Non Trouvé</v>
          </cell>
          <cell r="C1466" t="e">
            <v>#VALUE!</v>
          </cell>
        </row>
        <row r="1467">
          <cell r="B1467" t="str">
            <v>Non Trouvé</v>
          </cell>
          <cell r="C1467" t="e">
            <v>#VALUE!</v>
          </cell>
        </row>
        <row r="1468">
          <cell r="B1468" t="str">
            <v>Non Trouvé</v>
          </cell>
          <cell r="C1468" t="e">
            <v>#VALUE!</v>
          </cell>
        </row>
        <row r="1469">
          <cell r="B1469" t="str">
            <v>Non Trouvé</v>
          </cell>
          <cell r="C1469" t="e">
            <v>#VALUE!</v>
          </cell>
        </row>
        <row r="1470">
          <cell r="B1470" t="str">
            <v>Non Trouvé</v>
          </cell>
          <cell r="C1470" t="e">
            <v>#VALUE!</v>
          </cell>
        </row>
        <row r="1471">
          <cell r="B1471" t="str">
            <v>Non Trouvé</v>
          </cell>
          <cell r="C1471" t="e">
            <v>#VALUE!</v>
          </cell>
        </row>
        <row r="1472">
          <cell r="B1472" t="str">
            <v>Non Trouvé</v>
          </cell>
          <cell r="C1472" t="e">
            <v>#VALUE!</v>
          </cell>
        </row>
        <row r="1473">
          <cell r="B1473" t="str">
            <v>Non Trouvé</v>
          </cell>
          <cell r="C1473" t="e">
            <v>#VALUE!</v>
          </cell>
        </row>
        <row r="1474">
          <cell r="B1474" t="str">
            <v>Non Trouvé</v>
          </cell>
          <cell r="C1474" t="e">
            <v>#VALUE!</v>
          </cell>
        </row>
        <row r="1475">
          <cell r="B1475" t="str">
            <v>Non Trouvé</v>
          </cell>
          <cell r="C1475" t="e">
            <v>#VALUE!</v>
          </cell>
        </row>
        <row r="1476">
          <cell r="B1476" t="str">
            <v>Non Trouvé</v>
          </cell>
          <cell r="C1476" t="e">
            <v>#VALUE!</v>
          </cell>
        </row>
        <row r="1477">
          <cell r="B1477" t="str">
            <v>Non Trouvé</v>
          </cell>
          <cell r="C1477" t="e">
            <v>#VALUE!</v>
          </cell>
        </row>
        <row r="1478">
          <cell r="B1478" t="str">
            <v>Non Trouvé</v>
          </cell>
          <cell r="C1478" t="e">
            <v>#VALUE!</v>
          </cell>
        </row>
        <row r="1479">
          <cell r="B1479" t="str">
            <v>Non Trouvé</v>
          </cell>
          <cell r="C1479" t="e">
            <v>#VALUE!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9">
          <cell r="O9" t="str">
            <v>Statut</v>
          </cell>
          <cell r="P9" t="str">
            <v>Remise</v>
          </cell>
        </row>
        <row r="10">
          <cell r="O10" t="str">
            <v>Ambassadeur</v>
          </cell>
          <cell r="P10">
            <v>0.17</v>
          </cell>
        </row>
        <row r="11">
          <cell r="O11" t="str">
            <v>Compagnon</v>
          </cell>
          <cell r="P11">
            <v>0.13</v>
          </cell>
        </row>
        <row r="12">
          <cell r="K12" t="str">
            <v>PLV (PDC ou autre)</v>
          </cell>
          <cell r="M12">
            <v>0.7</v>
          </cell>
          <cell r="O12" t="str">
            <v>Challenger</v>
          </cell>
          <cell r="P12">
            <v>0.08</v>
          </cell>
        </row>
        <row r="13">
          <cell r="O13" t="str">
            <v>Partenaire</v>
          </cell>
          <cell r="P13">
            <v>0.05</v>
          </cell>
        </row>
        <row r="14">
          <cell r="O14" t="str">
            <v>Rose</v>
          </cell>
          <cell r="P14">
            <v>0.32500000000000001</v>
          </cell>
        </row>
        <row r="15">
          <cell r="K15" t="str">
            <v>PLV (vitrine)</v>
          </cell>
          <cell r="M15">
            <v>0.4</v>
          </cell>
          <cell r="O15" t="str">
            <v>Prunelier</v>
          </cell>
          <cell r="P15">
            <v>0.29499999999999998</v>
          </cell>
        </row>
        <row r="16">
          <cell r="O16" t="str">
            <v>Anthylide</v>
          </cell>
          <cell r="P16">
            <v>0.27500000000000002</v>
          </cell>
        </row>
        <row r="17">
          <cell r="O17" t="str">
            <v>Calendula</v>
          </cell>
          <cell r="P17">
            <v>0.245</v>
          </cell>
        </row>
        <row r="18">
          <cell r="O18" t="str">
            <v>Bourrache</v>
          </cell>
          <cell r="P18">
            <v>0.22500000000000001</v>
          </cell>
        </row>
        <row r="19">
          <cell r="O19" t="str">
            <v>Herbacée</v>
          </cell>
          <cell r="P19">
            <v>0.17499999999999999</v>
          </cell>
        </row>
        <row r="20">
          <cell r="O20" t="str">
            <v>Autres</v>
          </cell>
          <cell r="P20">
            <v>0.15</v>
          </cell>
        </row>
      </sheetData>
      <sheetData sheetId="47" refreshError="1">
        <row r="3">
          <cell r="C3" t="str">
            <v>Paramètres Articles</v>
          </cell>
        </row>
        <row r="4">
          <cell r="C4" t="str">
            <v>&lt;&lt;</v>
          </cell>
        </row>
        <row r="9">
          <cell r="B9" t="str">
            <v>Code article</v>
          </cell>
          <cell r="C9" t="str">
            <v>Libellé article</v>
          </cell>
          <cell r="D9" t="str">
            <v>Code fournisseur</v>
          </cell>
          <cell r="E9" t="str">
            <v>Code à barres</v>
          </cell>
          <cell r="G9" t="str">
            <v>Prix Revendeurs non remisé 2026</v>
          </cell>
          <cell r="H9" t="str">
            <v>PPC 2026</v>
          </cell>
        </row>
        <row r="10">
          <cell r="B10" t="str">
            <v>ONPACK ROSE</v>
          </cell>
          <cell r="C10" t="str">
            <v>OnPack Crème de Jour à la Rose + mini Émulsion Teintée 2,5ml 2026</v>
          </cell>
          <cell r="E10">
            <v>4020829116863</v>
          </cell>
          <cell r="G10">
            <v>18.824126984126984</v>
          </cell>
          <cell r="H10">
            <v>32</v>
          </cell>
        </row>
        <row r="11">
          <cell r="B11" t="str">
            <v>ONPACK LEGERE ROSE</v>
          </cell>
          <cell r="C11" t="str">
            <v>OnPack Crème de Jour Légère à la Rose + mini Émulsion Teintée 2,5ml 2026</v>
          </cell>
          <cell r="E11">
            <v>4020829116559</v>
          </cell>
          <cell r="G11">
            <v>18.824126984126984</v>
          </cell>
          <cell r="H11">
            <v>32</v>
          </cell>
        </row>
        <row r="12">
          <cell r="B12" t="str">
            <v>ONPACK MELISSE</v>
          </cell>
          <cell r="C12" t="str">
            <v>OnPack Crème de Jour à la Mélisse + mini Émulsion Teintée 2,5ml 2026</v>
          </cell>
          <cell r="E12">
            <v>4020829116795</v>
          </cell>
          <cell r="G12">
            <v>17.588825503355704</v>
          </cell>
          <cell r="H12">
            <v>29.9</v>
          </cell>
        </row>
        <row r="13">
          <cell r="B13" t="str">
            <v>ONPACK COING</v>
          </cell>
          <cell r="C13" t="str">
            <v>OnPack Crème de Jour au Coing + mini Émulsion Teintée 2,5ml 2026</v>
          </cell>
          <cell r="E13">
            <v>4020829116719</v>
          </cell>
          <cell r="G13">
            <v>17.058214285714286</v>
          </cell>
          <cell r="H13">
            <v>29</v>
          </cell>
        </row>
        <row r="14">
          <cell r="B14" t="str">
            <v>ONPACK ABRICOT</v>
          </cell>
          <cell r="C14" t="str">
            <v>OnPack Crème de Jour à l'Abricot + mini Émulsion Teintée 2,5ml 2026</v>
          </cell>
          <cell r="E14">
            <v>4020829116627</v>
          </cell>
          <cell r="G14">
            <v>17.589448275862065</v>
          </cell>
          <cell r="H14">
            <v>29.9</v>
          </cell>
        </row>
        <row r="15">
          <cell r="B15" t="str">
            <v>PANNEAU ONPACKS 2026</v>
          </cell>
          <cell r="C15" t="str">
            <v>Panneau A1 OnPacks 2026</v>
          </cell>
        </row>
        <row r="16">
          <cell r="B16" t="str">
            <v>PRESENTOIR ONPACKS 2026</v>
          </cell>
          <cell r="C16" t="str">
            <v>Présentoir OnPacks 2026</v>
          </cell>
        </row>
        <row r="17">
          <cell r="B17" t="str">
            <v>TG 3D</v>
          </cell>
          <cell r="C17" t="str">
            <v>TG 3D 2026</v>
          </cell>
        </row>
        <row r="18">
          <cell r="B18" t="str">
            <v>FLUIDE REVITALISANT SPRING PROMO 2026</v>
          </cell>
          <cell r="C18" t="str">
            <v>Fluide de Jour Revitalisant 75 ml Édition Limitée 2026</v>
          </cell>
          <cell r="G18">
            <v>17.59</v>
          </cell>
          <cell r="H18">
            <v>29.9</v>
          </cell>
        </row>
        <row r="19">
          <cell r="B19" t="str">
            <v>CREME PURIFIANTE SPRING PROMO 2026</v>
          </cell>
          <cell r="C19" t="str">
            <v>Crème Purifiante pour le Visage 75 ml Édition Limitée 2026</v>
          </cell>
          <cell r="G19">
            <v>10.29</v>
          </cell>
          <cell r="H19">
            <v>17.5</v>
          </cell>
        </row>
        <row r="20">
          <cell r="B20" t="str">
            <v>CREME MAINS SPRING PROMO 2026</v>
          </cell>
          <cell r="C20" t="str">
            <v>Crème pour les Mains 75 ml Édition Limitée 2026</v>
          </cell>
          <cell r="G20">
            <v>9.7100000000000009</v>
          </cell>
          <cell r="H20">
            <v>16.5</v>
          </cell>
        </row>
        <row r="21">
          <cell r="B21" t="str">
            <v>TESTEUR FLUIDE REVITALISANT SPRING PROMO 2026</v>
          </cell>
          <cell r="C21" t="str">
            <v>Testeur - Fluide de Jour Revitalisant 75 ml Édition Limitée 2026</v>
          </cell>
        </row>
        <row r="22">
          <cell r="B22" t="str">
            <v>TESTEUR CREME PURIFIANTE SPRING PROMO 2026</v>
          </cell>
          <cell r="C22" t="str">
            <v>Testeur - Crème Purifiante pour le Visage 75 ml Édition Limitée 2026</v>
          </cell>
        </row>
        <row r="23">
          <cell r="B23" t="str">
            <v>TESTEUR CREME MAINS SPRING PROMO 2026</v>
          </cell>
          <cell r="C23" t="str">
            <v>Testeur - Crème pour les Mains 75 ml Édition Limitée 2026</v>
          </cell>
        </row>
        <row r="24">
          <cell r="B24" t="str">
            <v>PRESENTOIR SPRING PROMO</v>
          </cell>
          <cell r="C24" t="str">
            <v>Présentoir Édition Limitée 2026</v>
          </cell>
        </row>
        <row r="25">
          <cell r="B25" t="str">
            <v>TRIANGLE SPRING PROMO</v>
          </cell>
          <cell r="C25" t="str">
            <v>Triangle de communication Édition Limitée 2026</v>
          </cell>
        </row>
        <row r="26">
          <cell r="B26" t="str">
            <v>JUMBO PECHE</v>
          </cell>
          <cell r="C26" t="str">
            <v>Crayon à Lèvres Jumbo 01 pêche - Édition Limitée 2026</v>
          </cell>
          <cell r="G26">
            <v>11.71</v>
          </cell>
          <cell r="H26">
            <v>19.899999999999999</v>
          </cell>
        </row>
        <row r="27">
          <cell r="B27" t="str">
            <v>JUMBO CERISE</v>
          </cell>
          <cell r="C27" t="str">
            <v>Crayon à Lèvres Jumbo 02 cerise - Édition Limitée 2026</v>
          </cell>
          <cell r="G27">
            <v>11.71</v>
          </cell>
          <cell r="H27">
            <v>19.899999999999999</v>
          </cell>
        </row>
        <row r="28">
          <cell r="B28" t="str">
            <v>JUMBO RAISIN</v>
          </cell>
          <cell r="C28" t="str">
            <v>Crayon à Lèvres Jumbo 03 raisin - Édition Limitée 2026</v>
          </cell>
          <cell r="G28">
            <v>11.71</v>
          </cell>
          <cell r="H28">
            <v>19.899999999999999</v>
          </cell>
        </row>
        <row r="29">
          <cell r="B29" t="str">
            <v>JUMBO LITCHI</v>
          </cell>
          <cell r="C29" t="str">
            <v>Crayon à Lèvres Jumbo 04 litchi - Édition Limitée 2026</v>
          </cell>
          <cell r="G29">
            <v>11.71</v>
          </cell>
          <cell r="H29">
            <v>19.899999999999999</v>
          </cell>
        </row>
        <row r="30">
          <cell r="B30" t="str">
            <v>TESTEUR JUMBO PECHE</v>
          </cell>
          <cell r="C30" t="str">
            <v>Testeur - Crayon à Lèvres Jumbo 01 pêche - Édition Limitée 2026</v>
          </cell>
          <cell r="G30">
            <v>5.6776470588235295</v>
          </cell>
          <cell r="H30">
            <v>9.6519999999999992</v>
          </cell>
        </row>
        <row r="31">
          <cell r="B31" t="str">
            <v>TESTEUR JUMBO CERISE</v>
          </cell>
          <cell r="C31" t="str">
            <v>Testeur - Crayon à Lèvres Jumbo 02 cerise - Édition Limitée 2026</v>
          </cell>
          <cell r="G31">
            <v>5.6776470588235295</v>
          </cell>
          <cell r="H31">
            <v>9.6519999999999992</v>
          </cell>
        </row>
        <row r="32">
          <cell r="B32" t="str">
            <v>TESTEUR JUMBO RAISIN</v>
          </cell>
          <cell r="C32" t="str">
            <v>Testeur - Crayon à Lèvres Jumbo 03 raisin - Édition Limitée 2026</v>
          </cell>
          <cell r="G32">
            <v>5.6776470588235295</v>
          </cell>
          <cell r="H32">
            <v>9.6519999999999992</v>
          </cell>
        </row>
        <row r="33">
          <cell r="B33" t="str">
            <v>TESTEUR JUMBO LITCHI</v>
          </cell>
          <cell r="C33" t="str">
            <v>Testeur - Crayon à Lèvres Jumbo 04 litchi - Édition Limitée 2026</v>
          </cell>
          <cell r="G33">
            <v>5.6776470588235295</v>
          </cell>
          <cell r="H33">
            <v>9.6519999999999992</v>
          </cell>
        </row>
        <row r="34">
          <cell r="B34" t="str">
            <v>TAILLE CRAYON JUMBO</v>
          </cell>
          <cell r="C34" t="str">
            <v>Taille-crayon Crayon à Lèvres Jumbo - Édition Limitée 2026</v>
          </cell>
        </row>
        <row r="35">
          <cell r="B35" t="str">
            <v>PRESENTOIR JUMBOS</v>
          </cell>
          <cell r="C35" t="str">
            <v>Présentoir Crayons à Lèvres Jumbos - Édition Limitée 2026</v>
          </cell>
        </row>
        <row r="36">
          <cell r="B36" t="str">
            <v>PANNEAU JUMBOS</v>
          </cell>
          <cell r="C36" t="str">
            <v>Panneau Crayons à Lèvres Jumbos - Édition Limitée 2026</v>
          </cell>
        </row>
        <row r="37">
          <cell r="B37" t="str">
            <v>SR OPCA JUMBOS</v>
          </cell>
          <cell r="C37" t="str">
            <v>Stop-rayon Crayons à Lèvres Jumbos - Édition Limitée 2026</v>
          </cell>
        </row>
        <row r="38">
          <cell r="B38" t="str">
            <v>DUO CDJ REGE COMPAL</v>
          </cell>
          <cell r="C38" t="str">
            <v>Duo Crème de Jour - Régénérant + Complément Alimentaire 2026</v>
          </cell>
        </row>
        <row r="39">
          <cell r="B39" t="str">
            <v>DUO CDJ REGE INTENSIF COMPAL</v>
          </cell>
          <cell r="C39" t="str">
            <v>Duo Crème de Jour - Régénérant Intensif + Complément Alimentaire 2026</v>
          </cell>
        </row>
        <row r="40">
          <cell r="B40" t="str">
            <v>PANNEAU REGE</v>
          </cell>
          <cell r="C40" t="str">
            <v>Panneau vitrine Régénérants 2026</v>
          </cell>
        </row>
        <row r="41">
          <cell r="B41" t="str">
            <v>PRESENTOIR REGE</v>
          </cell>
          <cell r="C41" t="str">
            <v>Présentoir Régénérants 2026</v>
          </cell>
        </row>
        <row r="42">
          <cell r="B42" t="str">
            <v>SR REGE RETAIL 1</v>
          </cell>
          <cell r="C42" t="str">
            <v>Stop-rayon promo Régénérants 2026 -10€</v>
          </cell>
        </row>
        <row r="43">
          <cell r="B43" t="str">
            <v>SR REGE RETAIL 2</v>
          </cell>
          <cell r="C43" t="str">
            <v>Stop-rayon promo Régénérants 2026 vierge</v>
          </cell>
        </row>
        <row r="44">
          <cell r="B44" t="str">
            <v>PRESENTOIR NETTOYANTS</v>
          </cell>
          <cell r="C44" t="str">
            <v>Présentoir Nettoyants Visage 2026</v>
          </cell>
        </row>
        <row r="45">
          <cell r="B45" t="str">
            <v>KIT LINGETTES</v>
          </cell>
          <cell r="C45" t="str">
            <v>Kit Lingettes démaquillantes lavables + filet</v>
          </cell>
        </row>
        <row r="46">
          <cell r="B46" t="str">
            <v>SR OPCA NETTOYANTS</v>
          </cell>
          <cell r="C46" t="str">
            <v>Stop-rayon OPCA Nettoyants Visage 2026</v>
          </cell>
        </row>
        <row r="47">
          <cell r="B47" t="str">
            <v>PRESENTOIR DEOS</v>
          </cell>
          <cell r="C47" t="str">
            <v>Présentoir déodorants 2026</v>
          </cell>
        </row>
        <row r="48">
          <cell r="B48" t="str">
            <v>SERUM</v>
          </cell>
          <cell r="C48" t="str">
            <v>Sérum Hydra+ 30 ml</v>
          </cell>
          <cell r="G48">
            <v>22.94</v>
          </cell>
          <cell r="H48">
            <v>39</v>
          </cell>
        </row>
        <row r="49">
          <cell r="B49" t="str">
            <v>TESTEUR SERUM</v>
          </cell>
          <cell r="C49" t="str">
            <v>Testeur - Sérum Hydra+ 30 ml</v>
          </cell>
          <cell r="G49">
            <v>17.64</v>
          </cell>
        </row>
        <row r="50">
          <cell r="B50" t="str">
            <v>MINIATURE SERUM</v>
          </cell>
          <cell r="C50" t="str">
            <v>Miniature - Sérum Hydra+ 2,5 ml</v>
          </cell>
        </row>
        <row r="51">
          <cell r="B51" t="str">
            <v>ECHANTILLON SERUM</v>
          </cell>
          <cell r="C51" t="str">
            <v>Échantillon - Sérum Hydra+ 1,5 ml</v>
          </cell>
        </row>
        <row r="52">
          <cell r="B52" t="str">
            <v>PRESENTOIR SERUM</v>
          </cell>
          <cell r="C52" t="str">
            <v>Présentoir Sérum Hydra+</v>
          </cell>
        </row>
        <row r="53">
          <cell r="B53" t="str">
            <v>PANNEAU SERUM</v>
          </cell>
          <cell r="C53" t="str">
            <v>Panneau vitrine Sérum Hydra+ 2026</v>
          </cell>
        </row>
        <row r="54">
          <cell r="B54" t="str">
            <v>TROUSSE SERUM HYDRA+</v>
          </cell>
          <cell r="C54" t="str">
            <v>Trousse Découverte Sérum Hydra+</v>
          </cell>
        </row>
        <row r="55">
          <cell r="B55" t="str">
            <v>SR ONPACKS</v>
          </cell>
          <cell r="C55" t="str">
            <v>Stop-rayon promo Onpacks 2026</v>
          </cell>
        </row>
        <row r="56">
          <cell r="B56" t="str">
            <v>VANITY REGE</v>
          </cell>
          <cell r="C56" t="str">
            <v>Vanity Régénérants 2026</v>
          </cell>
          <cell r="G56">
            <v>41.12</v>
          </cell>
          <cell r="H56">
            <v>69.900000000000006</v>
          </cell>
        </row>
        <row r="57">
          <cell r="B57" t="str">
            <v>COFFRET CP</v>
          </cell>
          <cell r="C57" t="str">
            <v>Coffret Crème Purifiante pour le Visage 2026</v>
          </cell>
          <cell r="G57">
            <v>10.58</v>
          </cell>
          <cell r="H57">
            <v>18</v>
          </cell>
        </row>
        <row r="58">
          <cell r="B58" t="str">
            <v>ACCESSOIRE ECLAT</v>
          </cell>
          <cell r="C58" t="str">
            <v>Accessoire éclat 2026</v>
          </cell>
        </row>
        <row r="59">
          <cell r="B59" t="str">
            <v>NEW CURE NUIT</v>
          </cell>
          <cell r="C59" t="str">
            <v>Cure Revitalisante et Stimulante - nouveau format 56 ml</v>
          </cell>
          <cell r="G59">
            <v>47.941176470588239</v>
          </cell>
          <cell r="H59">
            <v>81.5</v>
          </cell>
        </row>
        <row r="60">
          <cell r="B60" t="str">
            <v>NEW CURE PEAUX SENSIBLES 56ML</v>
          </cell>
          <cell r="C60" t="str">
            <v>Cure Apaisante et Équilibrante - nouveau format 56 ml</v>
          </cell>
          <cell r="G60">
            <v>50.529411764705884</v>
          </cell>
          <cell r="H60">
            <v>85.9</v>
          </cell>
        </row>
        <row r="61">
          <cell r="B61" t="str">
            <v>NEW CURE PEAUX SENSIBLES 14ML</v>
          </cell>
          <cell r="C61" t="str">
            <v>Cure Apaisante et Équilibrante - nouveau format 14 ml</v>
          </cell>
          <cell r="G61">
            <v>16.176470588235293</v>
          </cell>
          <cell r="H61">
            <v>27.5</v>
          </cell>
        </row>
        <row r="62">
          <cell r="B62" t="str">
            <v>SR CURE</v>
          </cell>
          <cell r="C62" t="str">
            <v>Stop-rayon Cures 2026</v>
          </cell>
        </row>
        <row r="63">
          <cell r="B63" t="str">
            <v>MASQUE NUIT</v>
          </cell>
          <cell r="C63" t="str">
            <v>Masque de nuit en soie 2026</v>
          </cell>
        </row>
        <row r="64">
          <cell r="B64" t="str">
            <v>PLV CURES</v>
          </cell>
          <cell r="C64" t="str">
            <v>PLV linéaire Cures 2026</v>
          </cell>
        </row>
        <row r="65">
          <cell r="B65" t="str">
            <v>KIT DECOUVERTE ABRICOT</v>
          </cell>
          <cell r="C65" t="str">
            <v>Trousse Découverte Peaux sèches et ternes</v>
          </cell>
          <cell r="G65">
            <v>10.53</v>
          </cell>
          <cell r="H65">
            <v>17.899999999999999</v>
          </cell>
        </row>
        <row r="66">
          <cell r="B66" t="str">
            <v>KIT DECOUVERTE ROSE</v>
          </cell>
          <cell r="C66" t="str">
            <v>Trousse Découverte Peaux sèches et sensibles</v>
          </cell>
          <cell r="G66">
            <v>10.53</v>
          </cell>
          <cell r="H66">
            <v>17.899999999999999</v>
          </cell>
        </row>
        <row r="67">
          <cell r="B67" t="str">
            <v>PRESENTOIR ECLAT</v>
          </cell>
          <cell r="C67" t="str">
            <v>Présentoir Éclat 2026</v>
          </cell>
        </row>
        <row r="68">
          <cell r="B68" t="str">
            <v>PANNEAU CP</v>
          </cell>
          <cell r="C68" t="str">
            <v>Panneau vitrine Crème Purifiante pour le Visage 2026</v>
          </cell>
        </row>
        <row r="69">
          <cell r="B69" t="str">
            <v>SR OPCA HUILES 2025</v>
          </cell>
          <cell r="C69" t="str">
            <v>Stop-rayon OPCA Huiles</v>
          </cell>
        </row>
        <row r="70">
          <cell r="B70" t="str">
            <v>POCHON COTON MINI HUILES</v>
          </cell>
          <cell r="C70" t="str">
            <v>Pochon coton mini huiles</v>
          </cell>
        </row>
        <row r="71">
          <cell r="B71" t="str">
            <v>COFFRET NOEL ROSE</v>
          </cell>
          <cell r="C71" t="str">
            <v>Coffret Noël 2026 Autour de la Rose</v>
          </cell>
          <cell r="G71">
            <v>27.59</v>
          </cell>
          <cell r="H71">
            <v>46.9</v>
          </cell>
        </row>
        <row r="72">
          <cell r="B72" t="str">
            <v>COFFRET NOEL ABRICOT</v>
          </cell>
          <cell r="C72" t="str">
            <v>Coffret Noël 2026 La Force de l'Abricot</v>
          </cell>
          <cell r="G72">
            <v>23.47</v>
          </cell>
          <cell r="H72">
            <v>39.9</v>
          </cell>
        </row>
        <row r="73">
          <cell r="B73" t="str">
            <v>COFFRET NOEL MUP</v>
          </cell>
          <cell r="C73" t="str">
            <v>Coffret Noël 2026 Maquillage</v>
          </cell>
          <cell r="G73">
            <v>19.941176470588236</v>
          </cell>
          <cell r="H73">
            <v>33.9</v>
          </cell>
        </row>
        <row r="74">
          <cell r="B74" t="str">
            <v>CRACKER NOEL</v>
          </cell>
          <cell r="C74" t="str">
            <v>Cracker Noël 2026 Duo Lèvres &amp; Mains</v>
          </cell>
          <cell r="G74">
            <v>8.76</v>
          </cell>
          <cell r="H74">
            <v>14.9</v>
          </cell>
        </row>
        <row r="75">
          <cell r="B75" t="str">
            <v>COFFRET PERSONNALISABLE</v>
          </cell>
          <cell r="C75" t="str">
            <v>Coffret Noël personnalisable 2026</v>
          </cell>
        </row>
        <row r="76">
          <cell r="B76" t="str">
            <v>CHEVALET NOEL</v>
          </cell>
          <cell r="C76" t="str">
            <v>Chevalet Noël 2026</v>
          </cell>
        </row>
        <row r="77">
          <cell r="B77" t="str">
            <v>PANNEAU NOEL</v>
          </cell>
          <cell r="C77" t="str">
            <v>Panneau vitrine Noël 2026</v>
          </cell>
        </row>
        <row r="78">
          <cell r="B78" t="str">
            <v>CALENDRIER AVENT</v>
          </cell>
          <cell r="C78" t="str">
            <v>Calendrier de l'Avent 2026</v>
          </cell>
          <cell r="G78">
            <v>58.764705882352949</v>
          </cell>
          <cell r="H78">
            <v>99.9</v>
          </cell>
        </row>
        <row r="79">
          <cell r="B79" t="str">
            <v>OPCA 1000€</v>
          </cell>
          <cell r="C79" t="str">
            <v>OPCA 1000€</v>
          </cell>
          <cell r="G79">
            <v>1000</v>
          </cell>
        </row>
        <row r="80">
          <cell r="B80" t="str">
            <v>OPCA 500€</v>
          </cell>
          <cell r="C80" t="str">
            <v>OPCA 500€</v>
          </cell>
          <cell r="G80">
            <v>500</v>
          </cell>
        </row>
        <row r="81">
          <cell r="B81" t="str">
            <v>SR VANITY REGE</v>
          </cell>
          <cell r="C81" t="str">
            <v>Stop-rayon Vanity Régénérants 2026</v>
          </cell>
        </row>
        <row r="82">
          <cell r="B82" t="str">
            <v>OPCA 600€</v>
          </cell>
          <cell r="C82" t="str">
            <v>OPCA 600€</v>
          </cell>
          <cell r="G82">
            <v>600</v>
          </cell>
        </row>
        <row r="83">
          <cell r="B83" t="str">
            <v>OPCA 1200€</v>
          </cell>
          <cell r="C83" t="str">
            <v>OPCA 1200€</v>
          </cell>
          <cell r="G83">
            <v>1200</v>
          </cell>
        </row>
        <row r="84">
          <cell r="B84" t="str">
            <v>CABAS ESTIVAL</v>
          </cell>
          <cell r="C84" t="str">
            <v>Cabas estival 2026</v>
          </cell>
        </row>
        <row r="85">
          <cell r="B85" t="str">
            <v>TG 3D SERUM</v>
          </cell>
          <cell r="C85" t="str">
            <v>TG 3D Sérum Hydra+</v>
          </cell>
        </row>
        <row r="86">
          <cell r="B86" t="str">
            <v>PRESENTOIR L2C</v>
          </cell>
          <cell r="C86" t="str">
            <v>Présentoir Baumes Sticks Lèvres et Joues 2026</v>
          </cell>
        </row>
        <row r="87">
          <cell r="B87" t="str">
            <v>PRESENTOIR MAQUILLAGE</v>
          </cell>
          <cell r="C87" t="str">
            <v>Présentoir best-sellers maquillage 2026</v>
          </cell>
        </row>
        <row r="88">
          <cell r="B88" t="str">
            <v>BOITE CADEAU</v>
          </cell>
          <cell r="C88" t="str">
            <v>Boîte cadeau + nœud 2026</v>
          </cell>
          <cell r="G88">
            <v>3.53</v>
          </cell>
          <cell r="H88">
            <v>6</v>
          </cell>
        </row>
        <row r="89">
          <cell r="B89" t="str">
            <v>BROSSE CORPS</v>
          </cell>
          <cell r="C89" t="str">
            <v>Brosse corps 2026</v>
          </cell>
        </row>
        <row r="90">
          <cell r="B90" t="str">
            <v>OPEN CAT</v>
          </cell>
          <cell r="C90" t="str">
            <v>Open catalogue (prix moyen revendeur 15€ hors remise)</v>
          </cell>
          <cell r="G90">
            <v>15</v>
          </cell>
        </row>
        <row r="91">
          <cell r="B91" t="str">
            <v>SR CP</v>
          </cell>
          <cell r="C91" t="str">
            <v>Stop-rayon promo Crème Purifiante</v>
          </cell>
        </row>
        <row r="92">
          <cell r="B92" t="str">
            <v>TESTEUR DEO SAUGE</v>
          </cell>
          <cell r="C92" t="str">
            <v>Testeur - Déodorant Sauge Menthe</v>
          </cell>
        </row>
        <row r="93">
          <cell r="B93" t="str">
            <v>TESTEUR DEO ROSE</v>
          </cell>
          <cell r="C93" t="str">
            <v>Testeur - Déodorant Rose</v>
          </cell>
        </row>
        <row r="94">
          <cell r="B94" t="str">
            <v>BAR TESTEUR SERUM</v>
          </cell>
          <cell r="C94" t="str">
            <v>Bar testeur Sérum Hydra+</v>
          </cell>
        </row>
        <row r="95">
          <cell r="B95" t="str">
            <v>BAR TESTEUR EMULSION TEINTEE</v>
          </cell>
          <cell r="C95" t="str">
            <v>Bar testeur Émulsion Teintée</v>
          </cell>
        </row>
        <row r="96">
          <cell r="B96" t="str">
            <v>DUO BAUME LACTE</v>
          </cell>
          <cell r="C96" t="str">
            <v>Duo Baumes Lactés Nettoyants 75 ml - le 2ème à -50%</v>
          </cell>
          <cell r="G96">
            <v>19.41</v>
          </cell>
          <cell r="H96">
            <v>33</v>
          </cell>
        </row>
        <row r="97">
          <cell r="B97" t="str">
            <v>DUO STICK LEVRES</v>
          </cell>
          <cell r="C97" t="str">
            <v>Duo Sticks Lèvres 4,9g - le 2ème à -50%</v>
          </cell>
          <cell r="G97">
            <v>6.82</v>
          </cell>
          <cell r="H97">
            <v>17.399999999999999</v>
          </cell>
        </row>
        <row r="98">
          <cell r="B98" t="str">
            <v>COFFRET NOEL VISAGE</v>
          </cell>
          <cell r="C98" t="str">
            <v>Coffret Noël Visage</v>
          </cell>
          <cell r="G98">
            <v>17.059999999999999</v>
          </cell>
          <cell r="H98">
            <v>29</v>
          </cell>
        </row>
        <row r="99">
          <cell r="B99" t="str">
            <v>MASCARA PLUM</v>
          </cell>
          <cell r="C99" t="str">
            <v>Mascara Longue Tenue Plum - Édition Limitée</v>
          </cell>
          <cell r="G99">
            <v>15.58</v>
          </cell>
          <cell r="H99">
            <v>26.5</v>
          </cell>
        </row>
        <row r="100">
          <cell r="B100" t="str">
            <v>PODIUM MASCARA PLUM</v>
          </cell>
          <cell r="C100" t="str">
            <v>Podium Mascara Longue Tenue Plum - Édition Limitée</v>
          </cell>
        </row>
        <row r="101">
          <cell r="B101" t="str">
            <v>DUO STICK -50</v>
          </cell>
          <cell r="C101" t="str">
            <v>Duo Stick -50% (2)</v>
          </cell>
          <cell r="G101">
            <v>10.24</v>
          </cell>
          <cell r="H101">
            <v>17.399999999999999</v>
          </cell>
        </row>
        <row r="102">
          <cell r="B102" t="str">
            <v>TROUSSE ORANGE</v>
          </cell>
          <cell r="C102" t="str">
            <v>Trousse Orange Dr. Hauschka</v>
          </cell>
        </row>
        <row r="107">
          <cell r="C107" t="str">
            <v>10% remise sur la Crème Purifiante - à partir de 10 unités</v>
          </cell>
          <cell r="G107" t="e">
            <v>#N/A</v>
          </cell>
          <cell r="H107" t="e">
            <v>#N/A</v>
          </cell>
        </row>
        <row r="108">
          <cell r="C108" t="str">
            <v>10% sur produits spécifiques</v>
          </cell>
          <cell r="G108" t="e">
            <v>#N/A</v>
          </cell>
          <cell r="H108" t="e">
            <v>#N/A</v>
          </cell>
        </row>
        <row r="109">
          <cell r="C109" t="str">
            <v>10% sur produits spécifiques</v>
          </cell>
          <cell r="G109" t="e">
            <v>#N/A</v>
          </cell>
          <cell r="H109" t="e">
            <v>#N/A</v>
          </cell>
        </row>
        <row r="110">
          <cell r="C110" t="str">
            <v>10% sur produits spécifiques</v>
          </cell>
          <cell r="G110" t="e">
            <v>#N/A</v>
          </cell>
          <cell r="H110" t="e">
            <v>#N/A</v>
          </cell>
        </row>
        <row r="111">
          <cell r="B111" t="str">
            <v>EvtCo10Portail</v>
          </cell>
          <cell r="C111" t="str">
            <v>10% sur votre commande</v>
          </cell>
          <cell r="G111" t="e">
            <v>#N/A</v>
          </cell>
          <cell r="H111" t="e">
            <v>#N/A</v>
          </cell>
        </row>
        <row r="112">
          <cell r="C112" t="str">
            <v>10% sur votre commande</v>
          </cell>
          <cell r="G112" t="e">
            <v>#N/A</v>
          </cell>
          <cell r="H112" t="e">
            <v>#N/A</v>
          </cell>
        </row>
        <row r="113">
          <cell r="B113" t="str">
            <v>EvtCo10</v>
          </cell>
          <cell r="C113" t="str">
            <v>10% sur votre commande</v>
          </cell>
          <cell r="G113" t="e">
            <v>#N/A</v>
          </cell>
          <cell r="H113" t="e">
            <v>#N/A</v>
          </cell>
        </row>
        <row r="114">
          <cell r="C114" t="str">
            <v>10% sur votre commande</v>
          </cell>
          <cell r="G114" t="e">
            <v>#N/A</v>
          </cell>
          <cell r="H114" t="e">
            <v>#N/A</v>
          </cell>
        </row>
        <row r="115">
          <cell r="C115" t="str">
            <v>10% sur votre commande</v>
          </cell>
          <cell r="G115" t="e">
            <v>#N/A</v>
          </cell>
          <cell r="H115" t="e">
            <v>#N/A</v>
          </cell>
        </row>
        <row r="116">
          <cell r="C116" t="str">
            <v>10% sur votre commande</v>
          </cell>
          <cell r="G116" t="e">
            <v>#N/A</v>
          </cell>
          <cell r="H116" t="e">
            <v>#N/A</v>
          </cell>
        </row>
        <row r="117">
          <cell r="C117" t="str">
            <v>10% sur votre commande</v>
          </cell>
          <cell r="G117" t="e">
            <v>#N/A</v>
          </cell>
          <cell r="H117" t="e">
            <v>#N/A</v>
          </cell>
        </row>
        <row r="118">
          <cell r="C118" t="str">
            <v>100% sur votre commande</v>
          </cell>
          <cell r="G118" t="e">
            <v>#N/A</v>
          </cell>
          <cell r="H118" t="e">
            <v>#N/A</v>
          </cell>
        </row>
        <row r="119">
          <cell r="C119" t="str">
            <v>1020701</v>
          </cell>
          <cell r="G119" t="e">
            <v>#N/A</v>
          </cell>
          <cell r="H119" t="e">
            <v>#N/A</v>
          </cell>
        </row>
        <row r="120">
          <cell r="C120" t="str">
            <v>15% de remise sur les produits Essentiels été - à partir de 20 unités</v>
          </cell>
          <cell r="G120" t="e">
            <v>#N/A</v>
          </cell>
          <cell r="H120" t="e">
            <v>#N/A</v>
          </cell>
        </row>
        <row r="121">
          <cell r="C121" t="str">
            <v>15% sur votre commande</v>
          </cell>
          <cell r="G121" t="e">
            <v>#N/A</v>
          </cell>
          <cell r="H121" t="e">
            <v>#N/A</v>
          </cell>
        </row>
        <row r="122">
          <cell r="B122" t="str">
            <v>EvtCo15Portail</v>
          </cell>
          <cell r="C122" t="str">
            <v>15% sur votre commande.</v>
          </cell>
          <cell r="G122" t="e">
            <v>#N/A</v>
          </cell>
          <cell r="H122" t="e">
            <v>#N/A</v>
          </cell>
        </row>
        <row r="123">
          <cell r="C123" t="str">
            <v>1830125- 50 ml*DLV 01/25*1/2025*</v>
          </cell>
          <cell r="G123" t="e">
            <v>#N/A</v>
          </cell>
          <cell r="H123" t="e">
            <v>#N/A</v>
          </cell>
        </row>
        <row r="124">
          <cell r="B124">
            <v>6200004</v>
          </cell>
          <cell r="C124" t="str">
            <v>3 Modules pour présentoir étagère</v>
          </cell>
          <cell r="D124" t="str">
            <v>410003536</v>
          </cell>
          <cell r="E124" t="str">
            <v>9999996200004</v>
          </cell>
          <cell r="G124" t="e">
            <v>#N/A</v>
          </cell>
          <cell r="H124" t="e">
            <v>#N/A</v>
          </cell>
        </row>
        <row r="125">
          <cell r="C125" t="str">
            <v>3010320</v>
          </cell>
          <cell r="G125" t="e">
            <v>#N/A</v>
          </cell>
          <cell r="H125" t="e">
            <v>#N/A</v>
          </cell>
        </row>
        <row r="126">
          <cell r="C126" t="str">
            <v>3060804</v>
          </cell>
          <cell r="G126" t="e">
            <v>#N/A</v>
          </cell>
          <cell r="H126" t="e">
            <v>#N/A</v>
          </cell>
        </row>
        <row r="127">
          <cell r="C127" t="str">
            <v>6300184</v>
          </cell>
          <cell r="G127" t="e">
            <v>#N/A</v>
          </cell>
          <cell r="H127" t="e">
            <v>#N/A</v>
          </cell>
        </row>
        <row r="128">
          <cell r="C128" t="str">
            <v>6500096</v>
          </cell>
          <cell r="G128" t="e">
            <v>#N/A</v>
          </cell>
          <cell r="H128" t="e">
            <v>#N/A</v>
          </cell>
        </row>
        <row r="129">
          <cell r="B129" t="str">
            <v>6C</v>
          </cell>
          <cell r="C129" t="str">
            <v>6ème soins du corps complet offert</v>
          </cell>
          <cell r="G129" t="e">
            <v>#N/A</v>
          </cell>
          <cell r="H129" t="e">
            <v>#N/A</v>
          </cell>
        </row>
        <row r="130">
          <cell r="C130" t="str">
            <v>7131366</v>
          </cell>
          <cell r="G130" t="e">
            <v>#N/A</v>
          </cell>
          <cell r="H130" t="e">
            <v>#N/A</v>
          </cell>
        </row>
        <row r="131">
          <cell r="B131" t="str">
            <v>EvtCo15</v>
          </cell>
          <cell r="C131" t="str">
            <v>A l’occasion de votre événement en magasin, une remise de 15% supplémentaire vous est accordée sur cette commande.</v>
          </cell>
          <cell r="G131" t="e">
            <v>#N/A</v>
          </cell>
          <cell r="H131" t="e">
            <v>#N/A</v>
          </cell>
        </row>
        <row r="132">
          <cell r="C132" t="str">
            <v>A l’occasion de votre événement en magasin, une remise de 15% supplémentaire vous est accordée sur cette commande.</v>
          </cell>
          <cell r="G132" t="e">
            <v>#N/A</v>
          </cell>
          <cell r="H132" t="e">
            <v>#N/A</v>
          </cell>
        </row>
        <row r="133">
          <cell r="B133">
            <v>982020</v>
          </cell>
          <cell r="C133" t="str">
            <v>AVOIR SUR REMISE</v>
          </cell>
          <cell r="E133" t="str">
            <v>999999982020</v>
          </cell>
          <cell r="G133" t="e">
            <v>#N/A</v>
          </cell>
          <cell r="H133" t="e">
            <v>#N/A</v>
          </cell>
        </row>
        <row r="134">
          <cell r="B134" t="str">
            <v>ACOMPTE</v>
          </cell>
          <cell r="C134" t="str">
            <v>Acompte</v>
          </cell>
          <cell r="G134" t="e">
            <v>#N/A</v>
          </cell>
          <cell r="H134" t="e">
            <v>#N/A</v>
          </cell>
        </row>
        <row r="135">
          <cell r="C135" t="str">
            <v>Acompte (PdV)</v>
          </cell>
          <cell r="G135" t="e">
            <v>#N/A</v>
          </cell>
          <cell r="H135" t="e">
            <v>#N/A</v>
          </cell>
        </row>
        <row r="136">
          <cell r="B136" t="str">
            <v>INTERNET-U-ACOMPTE</v>
          </cell>
          <cell r="C136" t="str">
            <v>Acompte soin Internet</v>
          </cell>
          <cell r="G136" t="e">
            <v>#N/A</v>
          </cell>
          <cell r="H136" t="e">
            <v>#N/A</v>
          </cell>
        </row>
        <row r="137">
          <cell r="B137">
            <v>6500124</v>
          </cell>
          <cell r="C137" t="str">
            <v>Affiche A4 Offre Compagnons Naturels</v>
          </cell>
          <cell r="G137" t="e">
            <v>#N/A</v>
          </cell>
          <cell r="H137" t="e">
            <v>#N/A</v>
          </cell>
        </row>
        <row r="138">
          <cell r="B138">
            <v>6500122</v>
          </cell>
          <cell r="C138" t="str">
            <v>Affiche A4 Offre contre achat Baume</v>
          </cell>
          <cell r="E138" t="str">
            <v>9999996500122</v>
          </cell>
          <cell r="G138" t="e">
            <v>#N/A</v>
          </cell>
          <cell r="H138" t="e">
            <v>#N/A</v>
          </cell>
        </row>
        <row r="139">
          <cell r="B139">
            <v>6500134</v>
          </cell>
          <cell r="C139" t="str">
            <v>Affiche OPCA Rituel Pureté</v>
          </cell>
          <cell r="D139" t="str">
            <v>6500134</v>
          </cell>
          <cell r="E139" t="str">
            <v>9999996500134</v>
          </cell>
          <cell r="G139" t="e">
            <v>#N/A</v>
          </cell>
          <cell r="H139" t="e">
            <v>#N/A</v>
          </cell>
        </row>
        <row r="140">
          <cell r="B140">
            <v>6500140</v>
          </cell>
          <cell r="C140" t="str">
            <v>Affiche journées privilèges instituts</v>
          </cell>
          <cell r="G140" t="e">
            <v>#N/A</v>
          </cell>
          <cell r="H140" t="e">
            <v>#N/A</v>
          </cell>
        </row>
        <row r="141">
          <cell r="B141">
            <v>1030303</v>
          </cell>
          <cell r="C141" t="str">
            <v>Applicateur Huile au Neem pour les Ongles - 3 ml</v>
          </cell>
          <cell r="D141" t="str">
            <v>429000173</v>
          </cell>
          <cell r="E141" t="str">
            <v>4020829015999</v>
          </cell>
          <cell r="G141">
            <v>9.8819122227151723</v>
          </cell>
          <cell r="H141">
            <v>16.803251552795029</v>
          </cell>
        </row>
        <row r="142">
          <cell r="B142">
            <v>1830303</v>
          </cell>
          <cell r="C142" t="str">
            <v>Applicateur Huile au Neem pour les Ongles - 3 ml*DLV 12/25*</v>
          </cell>
          <cell r="E142" t="str">
            <v>183030399999</v>
          </cell>
          <cell r="G142" t="e">
            <v>#N/A</v>
          </cell>
          <cell r="H142" t="e">
            <v>#N/A</v>
          </cell>
        </row>
        <row r="143">
          <cell r="B143">
            <v>1040305</v>
          </cell>
          <cell r="C143" t="str">
            <v>Après-Shampooing - 150 ml</v>
          </cell>
          <cell r="D143" t="str">
            <v>420004440</v>
          </cell>
          <cell r="E143" t="str">
            <v>4020829077478</v>
          </cell>
          <cell r="G143">
            <v>13.472352838427947</v>
          </cell>
          <cell r="H143">
            <v>22.903999999999996</v>
          </cell>
        </row>
        <row r="144">
          <cell r="B144">
            <v>1030502</v>
          </cell>
          <cell r="C144" t="str">
            <v>Après-Soleil 150 ml</v>
          </cell>
          <cell r="D144" t="str">
            <v>420005254</v>
          </cell>
          <cell r="E144" t="str">
            <v>4020829087408</v>
          </cell>
          <cell r="G144" t="e">
            <v>#N/A</v>
          </cell>
          <cell r="H144" t="e">
            <v>#N/A</v>
          </cell>
        </row>
        <row r="145">
          <cell r="B145">
            <v>1030504</v>
          </cell>
          <cell r="C145" t="str">
            <v>Après-Soleil 30ml</v>
          </cell>
          <cell r="D145" t="str">
            <v>420005258</v>
          </cell>
          <cell r="E145" t="str">
            <v>4020829087446</v>
          </cell>
          <cell r="G145" t="e">
            <v>#N/A</v>
          </cell>
          <cell r="H145" t="e">
            <v>#N/A</v>
          </cell>
        </row>
        <row r="146">
          <cell r="B146">
            <v>982043</v>
          </cell>
          <cell r="C146" t="str">
            <v>Avoir sur produits Maquillages - Geste commercial</v>
          </cell>
          <cell r="G146" t="e">
            <v>#N/A</v>
          </cell>
          <cell r="H146" t="e">
            <v>#N/A</v>
          </cell>
        </row>
        <row r="147">
          <cell r="B147">
            <v>982044</v>
          </cell>
          <cell r="C147" t="str">
            <v>Avoir sur produits arrivés à expiration – geste commercial</v>
          </cell>
          <cell r="G147" t="e">
            <v>#N/A</v>
          </cell>
          <cell r="H147" t="e">
            <v>#N/A</v>
          </cell>
        </row>
        <row r="148">
          <cell r="B148">
            <v>982049</v>
          </cell>
          <cell r="C148" t="str">
            <v>Avoir sur retour produits Maquillage</v>
          </cell>
          <cell r="G148" t="e">
            <v>#N/A</v>
          </cell>
          <cell r="H148" t="e">
            <v>#N/A</v>
          </cell>
        </row>
        <row r="149">
          <cell r="B149">
            <v>1040221</v>
          </cell>
          <cell r="C149" t="str">
            <v xml:space="preserve">Bain Caprices des saisons - 100 ml </v>
          </cell>
          <cell r="D149" t="str">
            <v>420005299</v>
          </cell>
          <cell r="E149" t="str">
            <v>4020829088436</v>
          </cell>
          <cell r="G149">
            <v>11.174054054054054</v>
          </cell>
          <cell r="H149">
            <v>19</v>
          </cell>
        </row>
        <row r="150">
          <cell r="C150" t="str">
            <v>Bain Caprices des saisons - 100 ml* DLV 01/2026* - 10%*</v>
          </cell>
          <cell r="G150" t="e">
            <v>#N/A</v>
          </cell>
          <cell r="H150">
            <v>0</v>
          </cell>
        </row>
        <row r="151">
          <cell r="B151">
            <v>1840221</v>
          </cell>
          <cell r="C151" t="str">
            <v>Bain Caprices des saisons - 100 ml*DLV 01/2026*- 10%*</v>
          </cell>
          <cell r="E151" t="str">
            <v>1840221999999</v>
          </cell>
          <cell r="G151" t="e">
            <v>#N/A</v>
          </cell>
          <cell r="H151" t="e">
            <v>#N/A</v>
          </cell>
        </row>
        <row r="152">
          <cell r="B152">
            <v>1040202</v>
          </cell>
          <cell r="C152" t="str">
            <v xml:space="preserve">Bain Moor Lavande - 100 ml </v>
          </cell>
          <cell r="D152" t="str">
            <v>429000119</v>
          </cell>
          <cell r="E152" t="str">
            <v>4020829005877</v>
          </cell>
          <cell r="G152">
            <v>13.240000000000002</v>
          </cell>
          <cell r="H152">
            <v>22.500000000000004</v>
          </cell>
        </row>
        <row r="153">
          <cell r="C153" t="str">
            <v>Bain Moor Lavande - 100 ml *DLV 01/25* - 10 %*</v>
          </cell>
          <cell r="G153" t="e">
            <v>#N/A</v>
          </cell>
          <cell r="H153">
            <v>0</v>
          </cell>
        </row>
        <row r="154">
          <cell r="B154">
            <v>1840202</v>
          </cell>
          <cell r="C154" t="str">
            <v>Bain Moor Lavande - 100 ml*DLV 11/25* - 10 %*</v>
          </cell>
          <cell r="E154" t="str">
            <v>184020299999</v>
          </cell>
          <cell r="G154" t="e">
            <v>#N/A</v>
          </cell>
          <cell r="H154" t="e">
            <v>#N/A</v>
          </cell>
        </row>
        <row r="155">
          <cell r="B155">
            <v>1040224</v>
          </cell>
          <cell r="C155" t="str">
            <v>Bain Moor Lavande 100ml Edition Limitée Noël 2023</v>
          </cell>
          <cell r="D155" t="str">
            <v>420006067</v>
          </cell>
          <cell r="E155" t="str">
            <v>4020829100114</v>
          </cell>
          <cell r="G155" t="e">
            <v>#N/A</v>
          </cell>
          <cell r="H155" t="e">
            <v>#N/A</v>
          </cell>
        </row>
        <row r="156">
          <cell r="B156">
            <v>1040201</v>
          </cell>
          <cell r="C156" t="str">
            <v>Bain Rose - 100 ml</v>
          </cell>
          <cell r="D156" t="str">
            <v>429000123</v>
          </cell>
          <cell r="E156" t="str">
            <v>4020829005914</v>
          </cell>
          <cell r="G156">
            <v>13.240000000000002</v>
          </cell>
          <cell r="H156">
            <v>22.500000000000004</v>
          </cell>
        </row>
        <row r="157">
          <cell r="B157">
            <v>1840225</v>
          </cell>
          <cell r="C157" t="str">
            <v>Bain Rose - 100 ml * DLV 01/2026* - 10%*</v>
          </cell>
          <cell r="E157" t="str">
            <v>184022599999</v>
          </cell>
          <cell r="G157" t="e">
            <v>#N/A</v>
          </cell>
          <cell r="H157" t="e">
            <v>#N/A</v>
          </cell>
        </row>
        <row r="158">
          <cell r="B158">
            <v>1040205</v>
          </cell>
          <cell r="C158" t="str">
            <v>Bain Sauge - 100 ml</v>
          </cell>
          <cell r="D158" t="str">
            <v>420001113</v>
          </cell>
          <cell r="E158" t="str">
            <v>4020829011403</v>
          </cell>
          <cell r="G158">
            <v>11.764102564102565</v>
          </cell>
          <cell r="H158">
            <v>20</v>
          </cell>
        </row>
        <row r="159">
          <cell r="B159">
            <v>1050403</v>
          </cell>
          <cell r="C159" t="str">
            <v>Bain de Bouche à la Sauge - 300 ml</v>
          </cell>
          <cell r="D159" t="str">
            <v>420003947</v>
          </cell>
          <cell r="E159" t="str">
            <v>4020829069350</v>
          </cell>
          <cell r="G159">
            <v>7.410000000000001</v>
          </cell>
          <cell r="H159">
            <v>12.600000000000001</v>
          </cell>
        </row>
        <row r="160">
          <cell r="B160">
            <v>1010705</v>
          </cell>
          <cell r="C160" t="str">
            <v>Bain de Vapeur pour le Visage - 100 ml</v>
          </cell>
          <cell r="D160" t="str">
            <v>429000024</v>
          </cell>
          <cell r="E160" t="str">
            <v>4020829005020</v>
          </cell>
          <cell r="G160">
            <v>17.59</v>
          </cell>
          <cell r="H160">
            <v>29.9</v>
          </cell>
        </row>
        <row r="161">
          <cell r="B161">
            <v>6300183</v>
          </cell>
          <cell r="C161" t="str">
            <v>Bannière Textile Hamamélis</v>
          </cell>
          <cell r="D161" t="str">
            <v>410005416</v>
          </cell>
          <cell r="E161" t="str">
            <v>4020829079793</v>
          </cell>
          <cell r="G161" t="e">
            <v>#N/A</v>
          </cell>
          <cell r="H161" t="e">
            <v>#N/A</v>
          </cell>
        </row>
        <row r="162">
          <cell r="B162">
            <v>6300192</v>
          </cell>
          <cell r="C162" t="str">
            <v>Bannière Textile Maquillage</v>
          </cell>
          <cell r="D162" t="str">
            <v>410006904</v>
          </cell>
          <cell r="E162" t="str">
            <v>4020829105379</v>
          </cell>
          <cell r="G162" t="e">
            <v>#N/A</v>
          </cell>
          <cell r="H162" t="e">
            <v>#N/A</v>
          </cell>
        </row>
        <row r="163">
          <cell r="B163">
            <v>1080105</v>
          </cell>
          <cell r="C163" t="str">
            <v>Bassine pour bains de pieds prune</v>
          </cell>
          <cell r="D163" t="str">
            <v>1080105</v>
          </cell>
          <cell r="E163" t="str">
            <v>9999991080105</v>
          </cell>
          <cell r="G163" t="e">
            <v>#N/A</v>
          </cell>
          <cell r="H163" t="e">
            <v>#N/A</v>
          </cell>
        </row>
        <row r="164">
          <cell r="B164">
            <v>1010501</v>
          </cell>
          <cell r="C164" t="str">
            <v>Baume Contour des Yeux - 10 ml</v>
          </cell>
          <cell r="D164" t="str">
            <v>429000183</v>
          </cell>
          <cell r="E164" t="str">
            <v>4020829006454</v>
          </cell>
          <cell r="G164">
            <v>20.294117647058822</v>
          </cell>
          <cell r="H164">
            <v>34.5</v>
          </cell>
        </row>
        <row r="165">
          <cell r="B165">
            <v>1010120</v>
          </cell>
          <cell r="C165" t="str">
            <v>Baume Lacté Nettoyant - 20 ml</v>
          </cell>
          <cell r="D165" t="str">
            <v>420006190</v>
          </cell>
          <cell r="E165" t="str">
            <v>4020829101838</v>
          </cell>
          <cell r="G165" t="e">
            <v>#N/A</v>
          </cell>
          <cell r="H165" t="e">
            <v>#N/A</v>
          </cell>
        </row>
        <row r="166">
          <cell r="B166">
            <v>1010117</v>
          </cell>
          <cell r="C166" t="str">
            <v>Baume Lacté Nettoyant - 30 ml</v>
          </cell>
          <cell r="D166" t="str">
            <v>420005602</v>
          </cell>
          <cell r="E166" t="str">
            <v>4020829094192</v>
          </cell>
          <cell r="G166" t="e">
            <v>#N/A</v>
          </cell>
          <cell r="H166" t="e">
            <v>#N/A</v>
          </cell>
        </row>
        <row r="167">
          <cell r="B167">
            <v>1010116</v>
          </cell>
          <cell r="C167" t="str">
            <v>Baume Lacté Nettoyant - 75 ml</v>
          </cell>
          <cell r="D167" t="str">
            <v>420005587</v>
          </cell>
          <cell r="E167" t="str">
            <v>4020829094048</v>
          </cell>
          <cell r="G167">
            <v>12.94223509090909</v>
          </cell>
          <cell r="H167">
            <v>22.003800000000002</v>
          </cell>
        </row>
        <row r="168">
          <cell r="B168">
            <v>1010122</v>
          </cell>
          <cell r="C168" t="str">
            <v>Baume Lacté Nettoyant 20ml Édition spéciale 2025</v>
          </cell>
          <cell r="D168" t="str">
            <v>420006578</v>
          </cell>
          <cell r="E168" t="str">
            <v>4020829111776</v>
          </cell>
          <cell r="G168">
            <v>2.74</v>
          </cell>
          <cell r="H168">
            <v>7.8</v>
          </cell>
        </row>
        <row r="169">
          <cell r="B169">
            <v>1060731</v>
          </cell>
          <cell r="C169" t="str">
            <v>Baume Stick Lèvres et Joues 01 pêche</v>
          </cell>
          <cell r="D169" t="str">
            <v>420006232</v>
          </cell>
          <cell r="E169" t="str">
            <v>4020829102866</v>
          </cell>
          <cell r="G169">
            <v>17.940000000000001</v>
          </cell>
          <cell r="H169">
            <v>30.5</v>
          </cell>
        </row>
        <row r="170">
          <cell r="B170">
            <v>1060732</v>
          </cell>
          <cell r="C170" t="str">
            <v>Baume Stick Lèvres et Joues 03 bois de rose</v>
          </cell>
          <cell r="D170" t="str">
            <v>420006234</v>
          </cell>
          <cell r="E170" t="str">
            <v>4020829102880</v>
          </cell>
          <cell r="G170">
            <v>17.940000000000001</v>
          </cell>
          <cell r="H170">
            <v>30.5</v>
          </cell>
        </row>
        <row r="171">
          <cell r="B171">
            <v>1060733</v>
          </cell>
          <cell r="C171" t="str">
            <v>Baume Stick Lèvres et Joues 04 doré</v>
          </cell>
          <cell r="D171" t="str">
            <v>420006235</v>
          </cell>
          <cell r="E171" t="str">
            <v>4020829102897</v>
          </cell>
          <cell r="G171">
            <v>17.940000000000001</v>
          </cell>
          <cell r="H171">
            <v>30.5</v>
          </cell>
        </row>
        <row r="172">
          <cell r="B172" t="str">
            <v>99-429000071</v>
          </cell>
          <cell r="C172" t="str">
            <v>Baume pour les Lèvres - 4,5 ml</v>
          </cell>
          <cell r="D172" t="str">
            <v>99-429000071</v>
          </cell>
          <cell r="G172" t="e">
            <v>#N/A</v>
          </cell>
          <cell r="H172" t="e">
            <v>#N/A</v>
          </cell>
        </row>
        <row r="173">
          <cell r="B173">
            <v>1010602</v>
          </cell>
          <cell r="C173" t="str">
            <v>Baume pour les Lèvres - 4,5 ml</v>
          </cell>
          <cell r="D173" t="str">
            <v>429000071</v>
          </cell>
          <cell r="E173" t="str">
            <v>000422395432</v>
          </cell>
          <cell r="G173">
            <v>7.59</v>
          </cell>
          <cell r="H173">
            <v>12.9</v>
          </cell>
        </row>
        <row r="174">
          <cell r="B174">
            <v>2080416</v>
          </cell>
          <cell r="C174" t="str">
            <v>Blouse esthéticienne - taille L</v>
          </cell>
          <cell r="D174" t="str">
            <v>410002145</v>
          </cell>
          <cell r="E174" t="str">
            <v>9999992080416</v>
          </cell>
          <cell r="G174" t="e">
            <v>#N/A</v>
          </cell>
          <cell r="H174" t="e">
            <v>#N/A</v>
          </cell>
        </row>
        <row r="175">
          <cell r="B175">
            <v>2080415</v>
          </cell>
          <cell r="C175" t="str">
            <v>Blouse esthéticienne - taille M</v>
          </cell>
          <cell r="D175" t="str">
            <v>410002144</v>
          </cell>
          <cell r="E175" t="str">
            <v>9999992080415</v>
          </cell>
          <cell r="G175" t="e">
            <v>#N/A</v>
          </cell>
          <cell r="H175" t="e">
            <v>#N/A</v>
          </cell>
        </row>
        <row r="176">
          <cell r="B176">
            <v>2080418</v>
          </cell>
          <cell r="C176" t="str">
            <v>Blouse esthéticienne - taille XL</v>
          </cell>
          <cell r="D176" t="str">
            <v>410002600</v>
          </cell>
          <cell r="E176" t="str">
            <v>9999992080418</v>
          </cell>
          <cell r="G176" t="e">
            <v>#N/A</v>
          </cell>
          <cell r="H176" t="e">
            <v>#N/A</v>
          </cell>
        </row>
        <row r="177">
          <cell r="B177">
            <v>2080417</v>
          </cell>
          <cell r="C177" t="str">
            <v>Blouse esthéticienne - taille XS</v>
          </cell>
          <cell r="D177" t="str">
            <v>410002599</v>
          </cell>
          <cell r="E177" t="str">
            <v>9999992080417</v>
          </cell>
          <cell r="G177" t="e">
            <v>#N/A</v>
          </cell>
          <cell r="H177" t="e">
            <v>#N/A</v>
          </cell>
        </row>
        <row r="178">
          <cell r="B178">
            <v>1060721</v>
          </cell>
          <cell r="C178" t="str">
            <v>Blush 01 - Framboise</v>
          </cell>
          <cell r="D178" t="str">
            <v>420005927</v>
          </cell>
          <cell r="E178" t="str">
            <v>4020829098565</v>
          </cell>
          <cell r="G178">
            <v>15.819999999999999</v>
          </cell>
          <cell r="H178">
            <v>26.899999999999995</v>
          </cell>
        </row>
        <row r="179">
          <cell r="B179">
            <v>1060711</v>
          </cell>
          <cell r="C179" t="str">
            <v>Blush 01 - Framboise - Dernières unités avant retour Oct 23</v>
          </cell>
          <cell r="D179" t="str">
            <v>420004871</v>
          </cell>
          <cell r="E179" t="str">
            <v>4020829083837</v>
          </cell>
          <cell r="G179" t="e">
            <v>#N/A</v>
          </cell>
          <cell r="H179" t="e">
            <v>#N/A</v>
          </cell>
        </row>
        <row r="180">
          <cell r="B180">
            <v>1060722</v>
          </cell>
          <cell r="C180" t="str">
            <v>Blush 02 - Abricot</v>
          </cell>
          <cell r="D180" t="str">
            <v>420005929</v>
          </cell>
          <cell r="E180" t="str">
            <v>4020829098589</v>
          </cell>
          <cell r="G180">
            <v>15.819999999999999</v>
          </cell>
          <cell r="H180">
            <v>26.899999999999995</v>
          </cell>
        </row>
        <row r="181">
          <cell r="B181">
            <v>1060712</v>
          </cell>
          <cell r="C181" t="str">
            <v>Blush 02 - Abricot - Dernières unités avant retour Oct 23</v>
          </cell>
          <cell r="D181" t="str">
            <v>420004872</v>
          </cell>
          <cell r="E181" t="str">
            <v>4020829083844</v>
          </cell>
          <cell r="G181" t="e">
            <v>#N/A</v>
          </cell>
          <cell r="H181" t="e">
            <v>#N/A</v>
          </cell>
        </row>
        <row r="182">
          <cell r="B182">
            <v>1080112</v>
          </cell>
          <cell r="C182" t="str">
            <v>Bol pour masque purifiant Prune</v>
          </cell>
          <cell r="E182" t="str">
            <v>9999991080112</v>
          </cell>
          <cell r="G182" t="e">
            <v>#N/A</v>
          </cell>
          <cell r="H182" t="e">
            <v>#N/A</v>
          </cell>
        </row>
        <row r="183">
          <cell r="B183">
            <v>6600023</v>
          </cell>
          <cell r="C183" t="str">
            <v>Bon Cadeau Institut et Détaillant Femme</v>
          </cell>
          <cell r="D183" t="str">
            <v>6600023</v>
          </cell>
          <cell r="E183" t="str">
            <v>9999996600023</v>
          </cell>
          <cell r="G183" t="e">
            <v>#N/A</v>
          </cell>
          <cell r="H183" t="e">
            <v>#N/A</v>
          </cell>
        </row>
        <row r="184">
          <cell r="B184">
            <v>6600034</v>
          </cell>
          <cell r="C184" t="str">
            <v>Bon cadeau Institut et Détaillant Homme</v>
          </cell>
          <cell r="D184" t="str">
            <v>6600034</v>
          </cell>
          <cell r="E184" t="str">
            <v>9999996600034</v>
          </cell>
          <cell r="G184" t="e">
            <v>#N/A</v>
          </cell>
          <cell r="H184" t="e">
            <v>#N/A</v>
          </cell>
        </row>
        <row r="185">
          <cell r="B185">
            <v>6600042</v>
          </cell>
          <cell r="C185" t="str">
            <v>Boîte cadeau Noël 2024</v>
          </cell>
          <cell r="D185" t="str">
            <v>410007027</v>
          </cell>
          <cell r="E185" t="str">
            <v>4020829107274</v>
          </cell>
          <cell r="G185" t="e">
            <v>#N/A</v>
          </cell>
          <cell r="H185" t="e">
            <v>#N/A</v>
          </cell>
        </row>
        <row r="186">
          <cell r="B186">
            <v>6100077</v>
          </cell>
          <cell r="C186" t="str">
            <v>Boîte de présentation -  Baume Lacté Nettoyant 2022</v>
          </cell>
          <cell r="D186" t="str">
            <v>410006381</v>
          </cell>
          <cell r="E186" t="str">
            <v>99996100077</v>
          </cell>
          <cell r="G186" t="e">
            <v>#N/A</v>
          </cell>
          <cell r="H186" t="e">
            <v>#N/A</v>
          </cell>
        </row>
        <row r="187">
          <cell r="B187">
            <v>6600020</v>
          </cell>
          <cell r="C187" t="str">
            <v>Boîte vide Ombres à Paupière Solo</v>
          </cell>
          <cell r="D187" t="str">
            <v>410003260</v>
          </cell>
          <cell r="E187" t="str">
            <v>9999996600020</v>
          </cell>
          <cell r="G187" t="e">
            <v>#N/A</v>
          </cell>
          <cell r="H187" t="e">
            <v>#N/A</v>
          </cell>
        </row>
        <row r="188">
          <cell r="B188">
            <v>6600019</v>
          </cell>
          <cell r="C188" t="str">
            <v>Boîte vide Trio Ombres à Paupière</v>
          </cell>
          <cell r="D188" t="str">
            <v>410003261</v>
          </cell>
          <cell r="E188" t="str">
            <v>9999996600019</v>
          </cell>
          <cell r="G188" t="e">
            <v>#N/A</v>
          </cell>
          <cell r="H188" t="e">
            <v>#N/A</v>
          </cell>
        </row>
        <row r="189">
          <cell r="B189">
            <v>6700096</v>
          </cell>
          <cell r="C189" t="str">
            <v>Brochure Baumes Sticks Lèvres et Joues</v>
          </cell>
          <cell r="D189" t="str">
            <v>410006809</v>
          </cell>
          <cell r="E189" t="str">
            <v>4020829105041</v>
          </cell>
          <cell r="G189" t="e">
            <v>#N/A</v>
          </cell>
          <cell r="H189" t="e">
            <v>#N/A</v>
          </cell>
        </row>
        <row r="190">
          <cell r="B190">
            <v>6700094</v>
          </cell>
          <cell r="C190" t="str">
            <v>Brochure Maquillage Nouvel Assortiment 2023</v>
          </cell>
          <cell r="D190" t="str">
            <v>410006888</v>
          </cell>
          <cell r="E190" t="str">
            <v>4020829105195</v>
          </cell>
          <cell r="G190" t="e">
            <v>#N/A</v>
          </cell>
          <cell r="H190" t="e">
            <v>#N/A</v>
          </cell>
        </row>
        <row r="191">
          <cell r="B191">
            <v>6700099</v>
          </cell>
          <cell r="C191" t="str">
            <v>Brochure Rituel de Soin 2025</v>
          </cell>
          <cell r="D191" t="str">
            <v>410007263</v>
          </cell>
          <cell r="E191" t="str">
            <v>4020829112339</v>
          </cell>
          <cell r="G191" t="e">
            <v>#N/A</v>
          </cell>
          <cell r="H191" t="e">
            <v>#N/A</v>
          </cell>
        </row>
        <row r="192">
          <cell r="B192">
            <v>6700071</v>
          </cell>
          <cell r="C192" t="str">
            <v>Brochure Tarifs 2025</v>
          </cell>
          <cell r="D192" t="str">
            <v>6700071</v>
          </cell>
          <cell r="E192" t="str">
            <v>9999996700071</v>
          </cell>
          <cell r="G192" t="e">
            <v>#N/A</v>
          </cell>
          <cell r="H192" t="e">
            <v>#N/A</v>
          </cell>
        </row>
        <row r="193">
          <cell r="B193">
            <v>6700070</v>
          </cell>
          <cell r="C193" t="str">
            <v>Brochure Tarifs Pro 2025</v>
          </cell>
          <cell r="D193" t="str">
            <v>6700070</v>
          </cell>
          <cell r="E193" t="str">
            <v>9999996700070</v>
          </cell>
          <cell r="G193" t="e">
            <v>#N/A</v>
          </cell>
          <cell r="H193" t="e">
            <v>#N/A</v>
          </cell>
        </row>
        <row r="194">
          <cell r="B194">
            <v>8811114</v>
          </cell>
          <cell r="C194" t="str">
            <v>Brume Thermale 50 ml Eau Thermale Jonzac</v>
          </cell>
          <cell r="E194" t="str">
            <v>881111499999</v>
          </cell>
          <cell r="G194" t="e">
            <v>#N/A</v>
          </cell>
          <cell r="H194" t="e">
            <v>#N/A</v>
          </cell>
        </row>
        <row r="195">
          <cell r="B195">
            <v>6600046</v>
          </cell>
          <cell r="C195" t="str">
            <v>Cabas estival Dr. Hauschka</v>
          </cell>
          <cell r="D195" t="str">
            <v>6600046</v>
          </cell>
          <cell r="E195" t="str">
            <v>3770026497470</v>
          </cell>
          <cell r="G195" t="e">
            <v>#N/A</v>
          </cell>
          <cell r="H195" t="e">
            <v>#N/A</v>
          </cell>
        </row>
        <row r="196">
          <cell r="B196">
            <v>2040221</v>
          </cell>
          <cell r="C196" t="str">
            <v xml:space="preserve">Cabine - Bain Caprice des saisons - 100 ml </v>
          </cell>
          <cell r="E196" t="str">
            <v>9999992040221</v>
          </cell>
          <cell r="G196">
            <v>9.7913919739999997</v>
          </cell>
          <cell r="H196" t="e">
            <v>#N/A</v>
          </cell>
        </row>
        <row r="197">
          <cell r="B197">
            <v>2040202</v>
          </cell>
          <cell r="C197" t="str">
            <v xml:space="preserve">Cabine - Bain Moor Lavande - 100 ml </v>
          </cell>
          <cell r="E197" t="str">
            <v>9999992040202</v>
          </cell>
          <cell r="G197">
            <v>10.937916079999999</v>
          </cell>
          <cell r="H197" t="e">
            <v>#N/A</v>
          </cell>
        </row>
        <row r="198">
          <cell r="B198">
            <v>2040201</v>
          </cell>
          <cell r="C198" t="str">
            <v>Cabine - Bain Rose - 100 ml</v>
          </cell>
          <cell r="E198" t="str">
            <v>9999992040201</v>
          </cell>
          <cell r="G198">
            <v>10.937916079999999</v>
          </cell>
          <cell r="H198" t="e">
            <v>#N/A</v>
          </cell>
        </row>
        <row r="199">
          <cell r="B199">
            <v>2010705</v>
          </cell>
          <cell r="C199" t="str">
            <v>Cabine - Bain de Vapeur pour le Visage - 100 ml</v>
          </cell>
          <cell r="E199" t="str">
            <v>9999992010705</v>
          </cell>
          <cell r="G199">
            <v>14.16024064</v>
          </cell>
          <cell r="H199" t="e">
            <v>#N/A</v>
          </cell>
        </row>
        <row r="200">
          <cell r="B200">
            <v>2040205</v>
          </cell>
          <cell r="C200" t="str">
            <v>Cabine - Bain à la Sauge - 100 ml</v>
          </cell>
          <cell r="E200" t="str">
            <v>9999992040205</v>
          </cell>
          <cell r="G200">
            <v>11.377172351999999</v>
          </cell>
          <cell r="H200" t="e">
            <v>#N/A</v>
          </cell>
        </row>
        <row r="201">
          <cell r="B201">
            <v>2010501</v>
          </cell>
          <cell r="C201" t="str">
            <v>Cabine - Baume Contour des Yeux - 10 ml</v>
          </cell>
          <cell r="E201" t="str">
            <v>9999992010501</v>
          </cell>
          <cell r="G201">
            <v>17.490502411200001</v>
          </cell>
          <cell r="H201" t="e">
            <v>#N/A</v>
          </cell>
        </row>
        <row r="202">
          <cell r="B202">
            <v>2010602</v>
          </cell>
          <cell r="C202" t="str">
            <v>Cabine - Baume pour les Lèvres - 4,5 ml</v>
          </cell>
          <cell r="E202" t="str">
            <v>9999992010602</v>
          </cell>
          <cell r="G202">
            <v>6.7084950732799999</v>
          </cell>
          <cell r="H202" t="e">
            <v>#N/A</v>
          </cell>
        </row>
        <row r="203">
          <cell r="B203">
            <v>2030408</v>
          </cell>
          <cell r="C203" t="str">
            <v>Cabine - Crème Déodorante pour les Pieds - 30 ml - nouvelle</v>
          </cell>
          <cell r="G203" t="e">
            <v>#N/A</v>
          </cell>
          <cell r="H203" t="e">
            <v>#N/A</v>
          </cell>
        </row>
        <row r="204">
          <cell r="B204">
            <v>2050204</v>
          </cell>
          <cell r="C204" t="str">
            <v>Cabine - Crème Intensive à la Ficoïde à Cristaux - 50 ml</v>
          </cell>
          <cell r="G204" t="e">
            <v>#N/A</v>
          </cell>
          <cell r="H204" t="e">
            <v>#N/A</v>
          </cell>
        </row>
        <row r="205">
          <cell r="B205">
            <v>2050203</v>
          </cell>
          <cell r="C205" t="str">
            <v>Cabine - Crème Potentilla Ultra-Apaisante - 20 ml</v>
          </cell>
          <cell r="E205" t="str">
            <v>9999992050203</v>
          </cell>
          <cell r="G205">
            <v>10.766064399999998</v>
          </cell>
          <cell r="H205" t="e">
            <v>#N/A</v>
          </cell>
        </row>
        <row r="206">
          <cell r="B206">
            <v>2010101</v>
          </cell>
          <cell r="C206" t="str">
            <v>Cabine - Crème Purifiante - 100 ml</v>
          </cell>
          <cell r="D206" t="str">
            <v>429000036</v>
          </cell>
          <cell r="E206" t="str">
            <v>4020829005143</v>
          </cell>
          <cell r="G206">
            <v>10.529166647999999</v>
          </cell>
          <cell r="H206" t="e">
            <v>#N/A</v>
          </cell>
        </row>
        <row r="207">
          <cell r="B207">
            <v>2050202</v>
          </cell>
          <cell r="C207" t="str">
            <v>Cabine - Crème pour le visage à la Ficoïde à Cristaux - 40 ml</v>
          </cell>
          <cell r="E207" t="str">
            <v>9999992050202</v>
          </cell>
          <cell r="G207">
            <v>20.89954234368</v>
          </cell>
          <cell r="H207" t="e">
            <v>#N/A</v>
          </cell>
        </row>
        <row r="208">
          <cell r="B208">
            <v>2030301</v>
          </cell>
          <cell r="C208" t="str">
            <v>Cabine - Crème pour les Mains - 100 ml</v>
          </cell>
          <cell r="D208" t="str">
            <v>429000101</v>
          </cell>
          <cell r="E208" t="str">
            <v>4020829005693</v>
          </cell>
          <cell r="G208">
            <v>10.190528056799998</v>
          </cell>
          <cell r="H208" t="e">
            <v>#N/A</v>
          </cell>
        </row>
        <row r="209">
          <cell r="B209">
            <v>2050103</v>
          </cell>
          <cell r="C209" t="str">
            <v>Cabine - Crème pour les Mains à la Ficoïde à Cristaux - 50 ml</v>
          </cell>
          <cell r="E209" t="str">
            <v>9999992050103</v>
          </cell>
          <cell r="G209">
            <v>10.404416262239998</v>
          </cell>
          <cell r="H209" t="e">
            <v>#N/A</v>
          </cell>
        </row>
        <row r="210">
          <cell r="B210">
            <v>2010703</v>
          </cell>
          <cell r="C210" t="str">
            <v>Cabine - Cure Intensive Jour/Nuit pour Peaux Sensibles 50 amp.</v>
          </cell>
          <cell r="E210" t="str">
            <v>9999992010703</v>
          </cell>
          <cell r="G210">
            <v>33.467306090399994</v>
          </cell>
          <cell r="H210" t="e">
            <v>#N/A</v>
          </cell>
        </row>
        <row r="211">
          <cell r="B211">
            <v>2010701</v>
          </cell>
          <cell r="C211" t="str">
            <v>Cabine - Cure Intensive pour la Nuit 50 amp.</v>
          </cell>
          <cell r="E211" t="str">
            <v>9999992010701</v>
          </cell>
          <cell r="G211">
            <v>33.467306090399994</v>
          </cell>
          <cell r="H211" t="e">
            <v>#N/A</v>
          </cell>
        </row>
        <row r="212">
          <cell r="B212">
            <v>2010352</v>
          </cell>
          <cell r="C212" t="str">
            <v>Cabine - Huile Equilibrante pour le visage -18 ml</v>
          </cell>
          <cell r="E212" t="str">
            <v>9999992010352</v>
          </cell>
          <cell r="G212">
            <v>13.909571952639999</v>
          </cell>
          <cell r="H212" t="e">
            <v>#N/A</v>
          </cell>
        </row>
        <row r="213">
          <cell r="B213">
            <v>2030308</v>
          </cell>
          <cell r="C213" t="str">
            <v>Cabine - Huile au Neem pour les Ongles - 18 ml</v>
          </cell>
          <cell r="E213" t="str">
            <v>9999992030308</v>
          </cell>
          <cell r="G213">
            <v>11.104618184295999</v>
          </cell>
          <cell r="H213" t="e">
            <v>#N/A</v>
          </cell>
        </row>
        <row r="214">
          <cell r="B214">
            <v>2030204</v>
          </cell>
          <cell r="C214" t="str">
            <v>Cabine - Huile de Soin Bouleau Arnica - 75 ml</v>
          </cell>
          <cell r="E214" t="str">
            <v>9999992030204</v>
          </cell>
          <cell r="G214">
            <v>9.5848479999999991</v>
          </cell>
          <cell r="H214" t="e">
            <v>#N/A</v>
          </cell>
        </row>
        <row r="215">
          <cell r="B215">
            <v>2030203</v>
          </cell>
          <cell r="C215" t="str">
            <v>Cabine - Huile de Soin Citron Citronnelle - 75 ml</v>
          </cell>
          <cell r="E215" t="str">
            <v>9999992030203</v>
          </cell>
          <cell r="G215">
            <v>10.281543999999998</v>
          </cell>
          <cell r="H215" t="e">
            <v>#N/A</v>
          </cell>
        </row>
        <row r="216">
          <cell r="B216">
            <v>2030206</v>
          </cell>
          <cell r="C216" t="str">
            <v>Cabine - Huile de Soin Moor Lavande - 75 ml</v>
          </cell>
          <cell r="E216" t="str">
            <v>9999992030206</v>
          </cell>
          <cell r="G216">
            <v>11.358255999999999</v>
          </cell>
          <cell r="H216" t="e">
            <v>#N/A</v>
          </cell>
        </row>
        <row r="217">
          <cell r="B217">
            <v>2030202</v>
          </cell>
          <cell r="C217" t="str">
            <v xml:space="preserve">Cabine - Huile de Soin Prunelle - 75 ml   </v>
          </cell>
          <cell r="E217" t="str">
            <v>9999992030202</v>
          </cell>
          <cell r="G217">
            <v>10.281543999999998</v>
          </cell>
          <cell r="H217" t="e">
            <v>#N/A</v>
          </cell>
        </row>
        <row r="218">
          <cell r="B218">
            <v>2030201</v>
          </cell>
          <cell r="C218" t="str">
            <v>Cabine - Huile de Soin Rose - 75 ml</v>
          </cell>
          <cell r="E218" t="str">
            <v>9999992030201</v>
          </cell>
          <cell r="G218">
            <v>11.358255999999999</v>
          </cell>
          <cell r="H218" t="e">
            <v>#N/A</v>
          </cell>
        </row>
        <row r="219">
          <cell r="B219">
            <v>2050104</v>
          </cell>
          <cell r="C219" t="str">
            <v>Cabine - Lait Corporel à la Ficoïde à Cristaux - 145 ml</v>
          </cell>
          <cell r="G219" t="e">
            <v>#N/A</v>
          </cell>
          <cell r="H219" t="e">
            <v>#N/A</v>
          </cell>
        </row>
        <row r="220">
          <cell r="B220">
            <v>2010505</v>
          </cell>
          <cell r="C220" t="str">
            <v>Cabine - Lotion Fraîcheur pour les Yeux - 50 x 5 ml</v>
          </cell>
          <cell r="D220" t="str">
            <v>420004405</v>
          </cell>
          <cell r="E220" t="str">
            <v>4020829077072</v>
          </cell>
          <cell r="G220">
            <v>44.588544000000006</v>
          </cell>
          <cell r="H220" t="e">
            <v>#N/A</v>
          </cell>
        </row>
        <row r="221">
          <cell r="B221">
            <v>2010709</v>
          </cell>
          <cell r="C221" t="str">
            <v>Cabine - Masque Apaisant - 100 ml</v>
          </cell>
          <cell r="D221" t="str">
            <v>420000994</v>
          </cell>
          <cell r="E221" t="str">
            <v>4020829004719</v>
          </cell>
          <cell r="G221">
            <v>36.564886175999987</v>
          </cell>
          <cell r="H221" t="e">
            <v>#N/A</v>
          </cell>
        </row>
        <row r="222">
          <cell r="B222">
            <v>2010717</v>
          </cell>
          <cell r="C222" t="str">
            <v>Cabine - Masque Crème Nourrissant - 100 ml</v>
          </cell>
          <cell r="D222" t="str">
            <v>420002639</v>
          </cell>
          <cell r="E222" t="str">
            <v>4020829041325</v>
          </cell>
          <cell r="G222">
            <v>46.817971199999995</v>
          </cell>
          <cell r="H222" t="e">
            <v>#N/A</v>
          </cell>
        </row>
        <row r="223">
          <cell r="B223">
            <v>2010706</v>
          </cell>
          <cell r="C223" t="str">
            <v>Cabine - Masque Purifiant - 5 x 90 g</v>
          </cell>
          <cell r="D223" t="str">
            <v>429000014</v>
          </cell>
          <cell r="E223" t="str">
            <v>4020829004955</v>
          </cell>
          <cell r="G223">
            <v>43.656849272399995</v>
          </cell>
          <cell r="H223" t="e">
            <v>#N/A</v>
          </cell>
        </row>
        <row r="224">
          <cell r="B224">
            <v>2010710</v>
          </cell>
          <cell r="C224" t="str">
            <v>Cabine - Masque Restructurant - 100 ml</v>
          </cell>
          <cell r="D224" t="str">
            <v>420000993</v>
          </cell>
          <cell r="E224" t="str">
            <v>4020829004702</v>
          </cell>
          <cell r="G224">
            <v>43.955184000000003</v>
          </cell>
          <cell r="H224" t="e">
            <v>#N/A</v>
          </cell>
        </row>
        <row r="225">
          <cell r="B225">
            <v>2010707</v>
          </cell>
          <cell r="C225" t="str">
            <v>Cabine - Masque Revitalisant - 100 ml</v>
          </cell>
          <cell r="D225" t="str">
            <v>420000995</v>
          </cell>
          <cell r="E225" t="str">
            <v>4020829004726</v>
          </cell>
          <cell r="G225">
            <v>36.202857599999994</v>
          </cell>
          <cell r="H225" t="e">
            <v>#N/A</v>
          </cell>
        </row>
        <row r="226">
          <cell r="B226" t="str">
            <v>CBLUSH</v>
          </cell>
          <cell r="C226" t="str">
            <v>Cache Blush</v>
          </cell>
          <cell r="E226" t="str">
            <v>9999CBLUSH</v>
          </cell>
          <cell r="G226" t="e">
            <v>#N/A</v>
          </cell>
          <cell r="H226" t="e">
            <v>#N/A</v>
          </cell>
        </row>
        <row r="227">
          <cell r="B227" t="str">
            <v>COAP</v>
          </cell>
          <cell r="C227" t="str">
            <v>Cache Ombres à Paupières</v>
          </cell>
          <cell r="D227" t="str">
            <v>410003817</v>
          </cell>
          <cell r="E227" t="str">
            <v>4020829057296</v>
          </cell>
          <cell r="G227" t="e">
            <v>#N/A</v>
          </cell>
          <cell r="H227" t="e">
            <v>#N/A</v>
          </cell>
        </row>
        <row r="228">
          <cell r="B228" t="str">
            <v>CPOUDRE</v>
          </cell>
          <cell r="C228" t="str">
            <v>Cache Poudre</v>
          </cell>
          <cell r="E228" t="str">
            <v>9999CPOUDRE</v>
          </cell>
          <cell r="G228" t="e">
            <v>#N/A</v>
          </cell>
          <cell r="H228" t="e">
            <v>#N/A</v>
          </cell>
        </row>
        <row r="229">
          <cell r="B229" t="str">
            <v>COAPTRIO</v>
          </cell>
          <cell r="C229" t="str">
            <v>Cache Trio Ombres à Paupières</v>
          </cell>
          <cell r="E229" t="str">
            <v>9999COAPTRIO</v>
          </cell>
          <cell r="G229" t="e">
            <v>#N/A</v>
          </cell>
          <cell r="H229" t="e">
            <v>#N/A</v>
          </cell>
        </row>
        <row r="230">
          <cell r="B230" t="str">
            <v>CADEAU</v>
          </cell>
          <cell r="C230" t="str">
            <v>Cadeau contre achat</v>
          </cell>
          <cell r="G230" t="e">
            <v>#N/A</v>
          </cell>
          <cell r="H230" t="e">
            <v>#N/A</v>
          </cell>
        </row>
        <row r="231">
          <cell r="B231">
            <v>6300186</v>
          </cell>
          <cell r="C231" t="str">
            <v>Cadre en bois</v>
          </cell>
          <cell r="E231" t="str">
            <v>9999996300186</v>
          </cell>
          <cell r="G231" t="e">
            <v>#N/A</v>
          </cell>
          <cell r="H231" t="e">
            <v>#N/A</v>
          </cell>
        </row>
        <row r="232">
          <cell r="B232">
            <v>1011044</v>
          </cell>
          <cell r="C232" t="str">
            <v>Calendrier de l'Avent 2024</v>
          </cell>
          <cell r="D232" t="str">
            <v>420006371</v>
          </cell>
          <cell r="E232" t="str">
            <v>4020829105935</v>
          </cell>
          <cell r="G232" t="e">
            <v>#N/A</v>
          </cell>
          <cell r="H232" t="e">
            <v>#N/A</v>
          </cell>
        </row>
        <row r="233">
          <cell r="B233">
            <v>1011037</v>
          </cell>
          <cell r="C233" t="str">
            <v>Calendrier de l'Avent Noël 2023</v>
          </cell>
          <cell r="D233" t="str">
            <v>420006028</v>
          </cell>
          <cell r="E233" t="str">
            <v>4020829099715</v>
          </cell>
          <cell r="G233" t="e">
            <v>#N/A</v>
          </cell>
          <cell r="H233" t="e">
            <v>#N/A</v>
          </cell>
        </row>
        <row r="234">
          <cell r="B234">
            <v>8011037</v>
          </cell>
          <cell r="C234" t="str">
            <v>Calendrier de l'Avent Noël 2023</v>
          </cell>
          <cell r="D234" t="str">
            <v>420006065</v>
          </cell>
          <cell r="E234" t="str">
            <v>9999998011037</v>
          </cell>
          <cell r="G234" t="e">
            <v>#N/A</v>
          </cell>
          <cell r="H234" t="e">
            <v>#N/A</v>
          </cell>
        </row>
        <row r="235">
          <cell r="B235">
            <v>2080427</v>
          </cell>
          <cell r="C235" t="str">
            <v>Carré mains 30 x 30 cm</v>
          </cell>
          <cell r="D235" t="str">
            <v>2080427</v>
          </cell>
          <cell r="E235" t="str">
            <v>9999992080427</v>
          </cell>
          <cell r="G235">
            <v>8.012576000000001</v>
          </cell>
          <cell r="H235" t="e">
            <v>#N/A</v>
          </cell>
        </row>
        <row r="236">
          <cell r="B236">
            <v>6700092</v>
          </cell>
          <cell r="C236" t="str">
            <v>Carte de Bienvenue Ambassadrice</v>
          </cell>
          <cell r="E236" t="str">
            <v>9999996700092</v>
          </cell>
          <cell r="G236" t="e">
            <v>#N/A</v>
          </cell>
          <cell r="H236" t="e">
            <v>#N/A</v>
          </cell>
        </row>
        <row r="237">
          <cell r="B237">
            <v>6700086</v>
          </cell>
          <cell r="C237" t="str">
            <v>Carte de Consultation Soins de Jour 2023</v>
          </cell>
          <cell r="D237" t="str">
            <v>410006424</v>
          </cell>
          <cell r="E237" t="str">
            <v>4020829096585</v>
          </cell>
          <cell r="G237" t="e">
            <v>#N/A</v>
          </cell>
          <cell r="H237" t="e">
            <v>#N/A</v>
          </cell>
        </row>
        <row r="238">
          <cell r="B238">
            <v>6700089</v>
          </cell>
          <cell r="C238" t="str">
            <v>Carte postale 2024</v>
          </cell>
          <cell r="D238" t="str">
            <v>6700089</v>
          </cell>
          <cell r="E238" t="str">
            <v>9999996700089</v>
          </cell>
          <cell r="G238" t="e">
            <v>#N/A</v>
          </cell>
          <cell r="H238" t="e">
            <v>#N/A</v>
          </cell>
        </row>
        <row r="239">
          <cell r="B239">
            <v>6700005</v>
          </cell>
          <cell r="C239" t="str">
            <v>Carte prise de RV</v>
          </cell>
          <cell r="D239" t="str">
            <v>6700005</v>
          </cell>
          <cell r="E239" t="str">
            <v>9999996700005</v>
          </cell>
          <cell r="G239" t="e">
            <v>#N/A</v>
          </cell>
          <cell r="H239" t="e">
            <v>#N/A</v>
          </cell>
        </row>
        <row r="240">
          <cell r="C240" t="str">
            <v>Cartes-cadeaux</v>
          </cell>
          <cell r="G240" t="e">
            <v>#N/A</v>
          </cell>
          <cell r="H240">
            <v>0</v>
          </cell>
        </row>
        <row r="241">
          <cell r="B241" t="str">
            <v>CASSAMP</v>
          </cell>
          <cell r="C241" t="str">
            <v>Casse Ampoule 50</v>
          </cell>
          <cell r="D241" t="str">
            <v>410003430</v>
          </cell>
          <cell r="E241" t="str">
            <v>9999991010701</v>
          </cell>
          <cell r="G241" t="e">
            <v>#N/A</v>
          </cell>
          <cell r="H241" t="e">
            <v>#N/A</v>
          </cell>
        </row>
        <row r="242">
          <cell r="B242" t="str">
            <v>RECMAQ</v>
          </cell>
          <cell r="C242" t="str">
            <v>Cause :  Module Yeux reçu en double sur l'implantation</v>
          </cell>
          <cell r="G242" t="e">
            <v>#N/A</v>
          </cell>
          <cell r="H242" t="e">
            <v>#N/A</v>
          </cell>
        </row>
        <row r="243">
          <cell r="B243">
            <v>6500116</v>
          </cell>
          <cell r="C243" t="str">
            <v>Chevalet Rituel Pureté</v>
          </cell>
          <cell r="D243" t="str">
            <v>6500116</v>
          </cell>
          <cell r="E243" t="str">
            <v>9999996500116</v>
          </cell>
          <cell r="G243" t="e">
            <v>#N/A</v>
          </cell>
          <cell r="H243" t="e">
            <v>#N/A</v>
          </cell>
        </row>
        <row r="244">
          <cell r="B244">
            <v>9120001</v>
          </cell>
          <cell r="C244" t="str">
            <v>Classeur Manuel de formation</v>
          </cell>
          <cell r="D244" t="str">
            <v>410002597</v>
          </cell>
          <cell r="E244" t="str">
            <v>9999999120001</v>
          </cell>
          <cell r="G244" t="e">
            <v>#N/A</v>
          </cell>
          <cell r="H244" t="e">
            <v>#N/A</v>
          </cell>
        </row>
        <row r="245">
          <cell r="B245">
            <v>1031023</v>
          </cell>
          <cell r="C245" t="str">
            <v>Coffret Essentiels de l'Hiver</v>
          </cell>
          <cell r="D245" t="str">
            <v>420006379</v>
          </cell>
          <cell r="E245" t="str">
            <v>4020829106000</v>
          </cell>
          <cell r="G245" t="e">
            <v>#N/A</v>
          </cell>
          <cell r="H245" t="e">
            <v>#N/A</v>
          </cell>
        </row>
        <row r="246">
          <cell r="B246">
            <v>1041101</v>
          </cell>
          <cell r="C246" t="str">
            <v>Coffret Harmonie de Lavande</v>
          </cell>
          <cell r="D246" t="str">
            <v>420006383</v>
          </cell>
          <cell r="E246" t="str">
            <v>4020829106048</v>
          </cell>
          <cell r="G246" t="e">
            <v>#N/A</v>
          </cell>
          <cell r="H246" t="e">
            <v>#N/A</v>
          </cell>
        </row>
        <row r="247">
          <cell r="B247">
            <v>1011033</v>
          </cell>
          <cell r="C247" t="str">
            <v>Coffret Les Essentiels - Noël 2022</v>
          </cell>
          <cell r="D247" t="str">
            <v>420005530</v>
          </cell>
          <cell r="E247" t="str">
            <v>4020829092792</v>
          </cell>
          <cell r="G247" t="e">
            <v>#N/A</v>
          </cell>
          <cell r="H247" t="e">
            <v>#N/A</v>
          </cell>
        </row>
        <row r="248">
          <cell r="B248">
            <v>1011040</v>
          </cell>
          <cell r="C248" t="str">
            <v>Coffret Rituel Clarifiant 2023* -15 %*</v>
          </cell>
          <cell r="E248" t="str">
            <v>3770026497265</v>
          </cell>
          <cell r="G248" t="e">
            <v>#N/A</v>
          </cell>
          <cell r="H248" t="e">
            <v>#N/A</v>
          </cell>
        </row>
        <row r="249">
          <cell r="B249">
            <v>1011038</v>
          </cell>
          <cell r="C249" t="str">
            <v>Coffret Rituel Equilibrant 2023 *-10 %*</v>
          </cell>
          <cell r="E249" t="str">
            <v>3770026497241</v>
          </cell>
          <cell r="G249" t="e">
            <v>#N/A</v>
          </cell>
          <cell r="H249" t="e">
            <v>#N/A</v>
          </cell>
        </row>
        <row r="250">
          <cell r="B250">
            <v>1011039</v>
          </cell>
          <cell r="C250" t="str">
            <v>Coffret Rituel Matifiant 2023 * - 10%*</v>
          </cell>
          <cell r="E250" t="str">
            <v>3770026497258</v>
          </cell>
          <cell r="G250" t="e">
            <v>#N/A</v>
          </cell>
          <cell r="H250" t="e">
            <v>#N/A</v>
          </cell>
        </row>
        <row r="251">
          <cell r="B251">
            <v>1011043</v>
          </cell>
          <cell r="C251" t="str">
            <v>Coffret Rituel de Rose</v>
          </cell>
          <cell r="D251" t="str">
            <v>420006375</v>
          </cell>
          <cell r="E251" t="str">
            <v>4020829105973</v>
          </cell>
          <cell r="G251" t="e">
            <v>#N/A</v>
          </cell>
          <cell r="H251" t="e">
            <v>#N/A</v>
          </cell>
        </row>
        <row r="252">
          <cell r="B252" t="str">
            <v>OFF-36</v>
          </cell>
          <cell r="C252" t="str">
            <v>Collisage par 5</v>
          </cell>
          <cell r="E252" t="str">
            <v>999999OFF-36</v>
          </cell>
          <cell r="G252" t="e">
            <v>#N/A</v>
          </cell>
          <cell r="H252" t="e">
            <v>#N/A</v>
          </cell>
        </row>
        <row r="253">
          <cell r="B253">
            <v>7131373</v>
          </cell>
          <cell r="C253" t="str">
            <v>Compagnons Naturels - MEA Mains &amp; Lèvres</v>
          </cell>
          <cell r="G253" t="e">
            <v>#N/A</v>
          </cell>
          <cell r="H253" t="e">
            <v>#N/A</v>
          </cell>
        </row>
        <row r="254">
          <cell r="B254" t="str">
            <v>AV7131373</v>
          </cell>
          <cell r="C254" t="str">
            <v>Compagnons Naturels - MEA Mains &amp; Lèvres</v>
          </cell>
          <cell r="G254" t="e">
            <v>#N/A</v>
          </cell>
          <cell r="H254" t="e">
            <v>#N/A</v>
          </cell>
        </row>
        <row r="255">
          <cell r="B255">
            <v>421440</v>
          </cell>
          <cell r="C255" t="str">
            <v>Compresses visage pack de 5</v>
          </cell>
          <cell r="D255" t="str">
            <v>410004255</v>
          </cell>
          <cell r="E255" t="str">
            <v>999999421440</v>
          </cell>
          <cell r="G255">
            <v>27.892800000000001</v>
          </cell>
          <cell r="H255" t="e">
            <v>#N/A</v>
          </cell>
        </row>
        <row r="256">
          <cell r="C256" t="str">
            <v>Concealer 00 transparent *DLV 02/2025* - 10 %*</v>
          </cell>
          <cell r="G256" t="e">
            <v>#N/A</v>
          </cell>
          <cell r="H256">
            <v>0</v>
          </cell>
        </row>
        <row r="257">
          <cell r="B257">
            <v>1060911</v>
          </cell>
          <cell r="C257" t="str">
            <v>Concealer 01 macadamia</v>
          </cell>
          <cell r="D257" t="str">
            <v>420005940</v>
          </cell>
          <cell r="E257" t="str">
            <v>4020829098695</v>
          </cell>
          <cell r="G257">
            <v>12.642822966507177</v>
          </cell>
          <cell r="H257">
            <v>21.5</v>
          </cell>
        </row>
        <row r="258">
          <cell r="B258">
            <v>1060901</v>
          </cell>
          <cell r="C258" t="str">
            <v>Concealer 01 macadamia - Dernières unités avant retour Oct 23</v>
          </cell>
          <cell r="D258" t="str">
            <v>429000569</v>
          </cell>
          <cell r="E258" t="str">
            <v>4020829044203</v>
          </cell>
          <cell r="G258" t="e">
            <v>#N/A</v>
          </cell>
          <cell r="H258" t="e">
            <v>#N/A</v>
          </cell>
        </row>
        <row r="259">
          <cell r="B259">
            <v>1060912</v>
          </cell>
          <cell r="C259" t="str">
            <v>Concealer 02 châtaigne</v>
          </cell>
          <cell r="D259" t="str">
            <v>420005941</v>
          </cell>
          <cell r="E259" t="str">
            <v>4020829098701</v>
          </cell>
          <cell r="G259">
            <v>12.642822966507177</v>
          </cell>
          <cell r="H259">
            <v>21.5</v>
          </cell>
        </row>
        <row r="260">
          <cell r="B260">
            <v>1060902</v>
          </cell>
          <cell r="C260" t="str">
            <v>Concealer 02 châtaigne - Dernières unités avant retour Oct 23</v>
          </cell>
          <cell r="D260" t="str">
            <v>429000571</v>
          </cell>
          <cell r="E260" t="str">
            <v>4020829044210</v>
          </cell>
          <cell r="G260" t="e">
            <v>#N/A</v>
          </cell>
          <cell r="H260" t="e">
            <v>#N/A</v>
          </cell>
        </row>
        <row r="261">
          <cell r="B261">
            <v>1060910</v>
          </cell>
          <cell r="C261" t="str">
            <v>Concealer éclat 00 transparent</v>
          </cell>
          <cell r="D261" t="str">
            <v>420005957</v>
          </cell>
          <cell r="E261" t="str">
            <v>4020829098862</v>
          </cell>
          <cell r="G261">
            <v>12.642822966507177</v>
          </cell>
          <cell r="H261">
            <v>21.5</v>
          </cell>
        </row>
        <row r="262">
          <cell r="B262">
            <v>1060521</v>
          </cell>
          <cell r="C262" t="str">
            <v>Crayon Contour des Yeux 01 noir</v>
          </cell>
          <cell r="D262" t="str">
            <v>420005946</v>
          </cell>
          <cell r="E262" t="str">
            <v>4020829098756</v>
          </cell>
          <cell r="G262">
            <v>10.882960893854747</v>
          </cell>
          <cell r="H262">
            <v>18.5</v>
          </cell>
        </row>
        <row r="263">
          <cell r="B263">
            <v>1060522</v>
          </cell>
          <cell r="C263" t="str">
            <v>Crayon Contour des Yeux 02 brun</v>
          </cell>
          <cell r="D263" t="str">
            <v>420005947</v>
          </cell>
          <cell r="E263" t="str">
            <v>4020829098763</v>
          </cell>
          <cell r="G263">
            <v>10.882960893854747</v>
          </cell>
          <cell r="H263">
            <v>18.5</v>
          </cell>
        </row>
        <row r="264">
          <cell r="B264">
            <v>1060503</v>
          </cell>
          <cell r="C264" t="str">
            <v>Crayon Contour des Yeux 03 bleu - Dernières unités</v>
          </cell>
          <cell r="D264" t="str">
            <v>429000589</v>
          </cell>
          <cell r="E264" t="str">
            <v>4020829043770</v>
          </cell>
          <cell r="G264" t="e">
            <v>#N/A</v>
          </cell>
          <cell r="H264" t="e">
            <v>#N/A</v>
          </cell>
        </row>
        <row r="265">
          <cell r="B265">
            <v>1060504</v>
          </cell>
          <cell r="C265" t="str">
            <v>Crayon Contour des Yeux 04 vert - Dernières unités</v>
          </cell>
          <cell r="D265" t="str">
            <v>429000591</v>
          </cell>
          <cell r="E265" t="str">
            <v>4020829043572</v>
          </cell>
          <cell r="G265" t="e">
            <v>#N/A</v>
          </cell>
          <cell r="H265" t="e">
            <v>#N/A</v>
          </cell>
        </row>
        <row r="266">
          <cell r="B266">
            <v>1060523</v>
          </cell>
          <cell r="C266" t="str">
            <v>Crayon Contour des Yeux 05 taupe</v>
          </cell>
          <cell r="D266" t="str">
            <v>420005948</v>
          </cell>
          <cell r="E266" t="str">
            <v>4020829098770</v>
          </cell>
          <cell r="G266">
            <v>10.882960893854747</v>
          </cell>
          <cell r="H266">
            <v>18.5</v>
          </cell>
        </row>
        <row r="267">
          <cell r="B267">
            <v>1060506</v>
          </cell>
          <cell r="C267" t="str">
            <v>Crayon Contour des Yeux 06 violet - Dernières unités</v>
          </cell>
          <cell r="D267" t="str">
            <v>429000595</v>
          </cell>
          <cell r="E267" t="str">
            <v>4020829043596</v>
          </cell>
          <cell r="G267" t="e">
            <v>#N/A</v>
          </cell>
          <cell r="H267" t="e">
            <v>#N/A</v>
          </cell>
        </row>
        <row r="268">
          <cell r="B268">
            <v>1060412</v>
          </cell>
          <cell r="C268" t="str">
            <v>Crayon à Lèvres 01 liriodendron</v>
          </cell>
          <cell r="D268" t="str">
            <v>420005959</v>
          </cell>
          <cell r="E268" t="str">
            <v>4020829098886</v>
          </cell>
          <cell r="G268">
            <v>10.882960893854747</v>
          </cell>
          <cell r="H268">
            <v>18.5</v>
          </cell>
        </row>
        <row r="269">
          <cell r="B269">
            <v>1060402</v>
          </cell>
          <cell r="C269" t="str">
            <v>Crayon à Lèvres 02 hibiscus boisé - Dernières unités</v>
          </cell>
          <cell r="D269" t="str">
            <v>429000639</v>
          </cell>
          <cell r="E269" t="str">
            <v>4020829043626</v>
          </cell>
          <cell r="G269" t="e">
            <v>#N/A</v>
          </cell>
          <cell r="H269" t="e">
            <v>#N/A</v>
          </cell>
        </row>
        <row r="270">
          <cell r="B270">
            <v>1060403</v>
          </cell>
          <cell r="C270" t="str">
            <v>Crayon à Lèvres 03 acajou boisé - Dernières unités</v>
          </cell>
          <cell r="D270" t="str">
            <v>429000641</v>
          </cell>
          <cell r="E270" t="str">
            <v>4020829043633</v>
          </cell>
          <cell r="G270" t="e">
            <v>#N/A</v>
          </cell>
          <cell r="H270" t="e">
            <v>#N/A</v>
          </cell>
        </row>
        <row r="271">
          <cell r="B271">
            <v>1060413</v>
          </cell>
          <cell r="C271" t="str">
            <v>Crayon à Lèvres 04 cumaru</v>
          </cell>
          <cell r="D271" t="str">
            <v>420005960</v>
          </cell>
          <cell r="E271" t="str">
            <v>4020829098893</v>
          </cell>
          <cell r="G271">
            <v>10.882960893854747</v>
          </cell>
          <cell r="H271">
            <v>18.5</v>
          </cell>
        </row>
        <row r="272">
          <cell r="B272">
            <v>1060405</v>
          </cell>
          <cell r="C272" t="str">
            <v>Crayon à Lèvres 05 santal boisé - Dernières unités</v>
          </cell>
          <cell r="D272" t="str">
            <v>429000645</v>
          </cell>
          <cell r="E272" t="str">
            <v>4020829043657</v>
          </cell>
          <cell r="G272" t="e">
            <v>#N/A</v>
          </cell>
          <cell r="H272" t="e">
            <v>#N/A</v>
          </cell>
        </row>
        <row r="273">
          <cell r="B273">
            <v>1060411</v>
          </cell>
          <cell r="C273" t="str">
            <v>Crayon à Lèvres Precision 00 transparent</v>
          </cell>
          <cell r="D273" t="str">
            <v>420005958</v>
          </cell>
          <cell r="E273" t="str">
            <v>4020829098879</v>
          </cell>
          <cell r="G273">
            <v>10.882960893854747</v>
          </cell>
          <cell r="H273">
            <v>18.5</v>
          </cell>
        </row>
        <row r="274">
          <cell r="B274">
            <v>1060531</v>
          </cell>
          <cell r="C274" t="str">
            <v>Crayon à Sourcils 01 brun clair</v>
          </cell>
          <cell r="D274" t="str">
            <v>420005813</v>
          </cell>
          <cell r="E274" t="str">
            <v>4020829097018</v>
          </cell>
          <cell r="G274">
            <v>10.882960893854747</v>
          </cell>
          <cell r="H274">
            <v>18.5</v>
          </cell>
        </row>
        <row r="275">
          <cell r="B275">
            <v>1060532</v>
          </cell>
          <cell r="C275" t="str">
            <v>Crayon à Sourcils 02 brun foncé</v>
          </cell>
          <cell r="D275" t="str">
            <v>420005825</v>
          </cell>
          <cell r="E275" t="str">
            <v>4020829097032</v>
          </cell>
          <cell r="G275">
            <v>10.882960893854747</v>
          </cell>
          <cell r="H275">
            <v>18.5</v>
          </cell>
        </row>
        <row r="276">
          <cell r="B276">
            <v>1020401</v>
          </cell>
          <cell r="C276" t="str">
            <v>Crème Contour des Yeux - Régénérant - 15 ml</v>
          </cell>
          <cell r="D276" t="str">
            <v>429000372</v>
          </cell>
          <cell r="E276" t="str">
            <v>4020829013919</v>
          </cell>
          <cell r="G276">
            <v>39.71</v>
          </cell>
          <cell r="H276">
            <v>67.5</v>
          </cell>
        </row>
        <row r="277">
          <cell r="B277">
            <v>1020302</v>
          </cell>
          <cell r="C277" t="str">
            <v>Crème Cou et Décolleté - Régénérant - 40 ml</v>
          </cell>
          <cell r="D277" t="str">
            <v>429000378</v>
          </cell>
          <cell r="E277" t="str">
            <v>4020829008366</v>
          </cell>
          <cell r="G277">
            <v>35.878166666666665</v>
          </cell>
          <cell r="H277">
            <v>61</v>
          </cell>
        </row>
        <row r="278">
          <cell r="B278" t="str">
            <v>99-420003790</v>
          </cell>
          <cell r="C278" t="str">
            <v>Crème Douche - 150 ml</v>
          </cell>
          <cell r="D278" t="str">
            <v>99-420003790</v>
          </cell>
          <cell r="G278" t="e">
            <v>#N/A</v>
          </cell>
          <cell r="H278" t="e">
            <v>#N/A</v>
          </cell>
        </row>
        <row r="279">
          <cell r="B279">
            <v>1040115</v>
          </cell>
          <cell r="C279" t="str">
            <v>Crème Douche - 150 ml</v>
          </cell>
          <cell r="D279" t="str">
            <v>420003790</v>
          </cell>
          <cell r="E279" t="str">
            <v>4020829066540</v>
          </cell>
          <cell r="G279">
            <v>6.6970647347112733</v>
          </cell>
          <cell r="H279">
            <v>11.395005668016195</v>
          </cell>
        </row>
        <row r="280">
          <cell r="B280">
            <v>1040125</v>
          </cell>
          <cell r="C280" t="str">
            <v>Crème Douche 30 ml</v>
          </cell>
          <cell r="D280" t="str">
            <v>420006204</v>
          </cell>
          <cell r="E280" t="str">
            <v>4020829102194</v>
          </cell>
          <cell r="G280" t="e">
            <v>#N/A</v>
          </cell>
          <cell r="H280" t="e">
            <v>#N/A</v>
          </cell>
        </row>
        <row r="281">
          <cell r="B281">
            <v>1040120</v>
          </cell>
          <cell r="C281" t="str">
            <v>Crème Douche Herbe des champs et Cardamome 200 ml</v>
          </cell>
          <cell r="D281" t="str">
            <v>420004101</v>
          </cell>
          <cell r="E281" t="str">
            <v>4020829072572</v>
          </cell>
          <cell r="G281" t="e">
            <v>#N/A</v>
          </cell>
          <cell r="H281" t="e">
            <v>#N/A</v>
          </cell>
        </row>
        <row r="282">
          <cell r="B282">
            <v>1030408</v>
          </cell>
          <cell r="C282" t="str">
            <v>Crème Déodorante pour les Pieds - 30 ml - nouvelle</v>
          </cell>
          <cell r="D282" t="str">
            <v>420004615</v>
          </cell>
          <cell r="E282" t="str">
            <v>4020829079601</v>
          </cell>
          <cell r="G282">
            <v>9.9410612554669413</v>
          </cell>
          <cell r="H282">
            <v>16.901804347826086</v>
          </cell>
        </row>
        <row r="283">
          <cell r="B283">
            <v>1010503</v>
          </cell>
          <cell r="C283" t="str">
            <v xml:space="preserve">Crème Fluide Contour des Yeux - 12,5 ml </v>
          </cell>
          <cell r="D283" t="str">
            <v>429000179</v>
          </cell>
          <cell r="E283" t="str">
            <v>4020829006416</v>
          </cell>
          <cell r="G283">
            <v>21.47</v>
          </cell>
          <cell r="H283">
            <v>36.5</v>
          </cell>
        </row>
        <row r="284">
          <cell r="B284">
            <v>1030403</v>
          </cell>
          <cell r="C284" t="str">
            <v>Crème Hydratante pour les Pieds - 75 ml</v>
          </cell>
          <cell r="D284" t="str">
            <v>429000162</v>
          </cell>
          <cell r="E284" t="str">
            <v>4020829006294</v>
          </cell>
          <cell r="G284">
            <v>11.758824000000001</v>
          </cell>
          <cell r="H284">
            <v>19.998000000000001</v>
          </cell>
        </row>
        <row r="285">
          <cell r="B285">
            <v>1050204</v>
          </cell>
          <cell r="C285" t="str">
            <v>Crème Intensive à la Ficoïde à Cristaux - 50 ml</v>
          </cell>
          <cell r="D285" t="str">
            <v>420005483</v>
          </cell>
          <cell r="E285" t="str">
            <v>4020829092037</v>
          </cell>
          <cell r="G285">
            <v>20.587643678160919</v>
          </cell>
          <cell r="H285">
            <v>35</v>
          </cell>
        </row>
        <row r="286">
          <cell r="B286">
            <v>1050203</v>
          </cell>
          <cell r="C286" t="str">
            <v>Crème Potentilla Ultra-Apaisante - 20 ml</v>
          </cell>
          <cell r="D286" t="str">
            <v>420003940</v>
          </cell>
          <cell r="E286" t="str">
            <v>4020829069282</v>
          </cell>
          <cell r="G286">
            <v>12.356521739130434</v>
          </cell>
          <cell r="H286">
            <v>21</v>
          </cell>
        </row>
        <row r="287">
          <cell r="B287">
            <v>1010121</v>
          </cell>
          <cell r="C287" t="str">
            <v>Crème Purifiante pour le Visage - 20 ml</v>
          </cell>
          <cell r="D287" t="str">
            <v>420006189</v>
          </cell>
          <cell r="E287" t="str">
            <v>4020829101821</v>
          </cell>
          <cell r="G287" t="e">
            <v>#N/A</v>
          </cell>
          <cell r="H287" t="e">
            <v>#N/A</v>
          </cell>
        </row>
        <row r="288">
          <cell r="B288">
            <v>1010113</v>
          </cell>
          <cell r="C288" t="str">
            <v>Crème Purifiante pour le Visage - 30 ml</v>
          </cell>
          <cell r="D288" t="str">
            <v>420003778</v>
          </cell>
          <cell r="E288" t="str">
            <v>4020829066458</v>
          </cell>
          <cell r="G288" t="e">
            <v>#N/A</v>
          </cell>
          <cell r="H288" t="e">
            <v>#N/A</v>
          </cell>
        </row>
        <row r="289">
          <cell r="B289">
            <v>1010101</v>
          </cell>
          <cell r="C289" t="str">
            <v>Crème Purifiante pour le Visage - 50 ml</v>
          </cell>
          <cell r="D289" t="str">
            <v>429000040</v>
          </cell>
          <cell r="E289" t="str">
            <v>4020829005181</v>
          </cell>
          <cell r="G289">
            <v>10.584</v>
          </cell>
          <cell r="H289">
            <v>18</v>
          </cell>
        </row>
        <row r="290">
          <cell r="B290">
            <v>1010119</v>
          </cell>
          <cell r="C290" t="str">
            <v>Crème Purifiante pour le Visage 50 ml Edition Limitée 2024</v>
          </cell>
          <cell r="D290" t="str">
            <v>420006302</v>
          </cell>
          <cell r="E290" t="str">
            <v>4020829104389</v>
          </cell>
          <cell r="G290" t="e">
            <v>#N/A</v>
          </cell>
          <cell r="H290" t="e">
            <v>#N/A</v>
          </cell>
        </row>
        <row r="291">
          <cell r="B291">
            <v>1030503</v>
          </cell>
          <cell r="C291" t="str">
            <v>Crème Solaire pour le Visage Teintée SPF 30 - 40ml</v>
          </cell>
          <cell r="D291" t="str">
            <v>420005327</v>
          </cell>
          <cell r="E291" t="str">
            <v>4020829088962</v>
          </cell>
          <cell r="G291">
            <v>20.53</v>
          </cell>
          <cell r="H291">
            <v>34.9</v>
          </cell>
        </row>
        <row r="292">
          <cell r="B292">
            <v>1020301</v>
          </cell>
          <cell r="C292" t="str">
            <v>Crème de Jour - Régénérant - 40 ml</v>
          </cell>
          <cell r="D292" t="str">
            <v>429000276</v>
          </cell>
          <cell r="E292" t="str">
            <v>4020829007383</v>
          </cell>
          <cell r="G292">
            <v>38.532973805855164</v>
          </cell>
          <cell r="H292">
            <v>65.5</v>
          </cell>
        </row>
        <row r="293">
          <cell r="B293">
            <v>1020720</v>
          </cell>
          <cell r="C293" t="str">
            <v>Crème de Jour - Régénérant Intensif - 40ml</v>
          </cell>
          <cell r="D293" t="str">
            <v>420006243</v>
          </cell>
          <cell r="E293" t="str">
            <v>4020829102972</v>
          </cell>
          <cell r="G293">
            <v>44.648251001335112</v>
          </cell>
          <cell r="H293">
            <v>75.900000000000006</v>
          </cell>
        </row>
        <row r="294">
          <cell r="B294">
            <v>1020310</v>
          </cell>
          <cell r="C294" t="str">
            <v>Crème de Jour Eclat du Teint - Régénérant - 40 ml</v>
          </cell>
          <cell r="D294" t="str">
            <v>420003484</v>
          </cell>
          <cell r="E294" t="str">
            <v>4020829060999</v>
          </cell>
          <cell r="G294">
            <v>41.12</v>
          </cell>
          <cell r="H294">
            <v>69.900000000000006</v>
          </cell>
        </row>
        <row r="295">
          <cell r="B295">
            <v>1010302</v>
          </cell>
          <cell r="C295" t="str">
            <v>Crème de Jour Légère à la Rose - 30 ml</v>
          </cell>
          <cell r="D295" t="str">
            <v>429000209</v>
          </cell>
          <cell r="E295" t="str">
            <v>4020829006713</v>
          </cell>
          <cell r="G295">
            <v>18.824126984126984</v>
          </cell>
          <cell r="H295">
            <v>32</v>
          </cell>
        </row>
        <row r="296">
          <cell r="B296">
            <v>8010368</v>
          </cell>
          <cell r="C296" t="str">
            <v>Crème de Jour Légère à la Rose 30 ml - Edition limitée 2022</v>
          </cell>
          <cell r="D296" t="str">
            <v>8010368</v>
          </cell>
          <cell r="E296" t="str">
            <v>99998010368</v>
          </cell>
          <cell r="G296" t="e">
            <v>#N/A</v>
          </cell>
          <cell r="H296" t="e">
            <v>#N/A</v>
          </cell>
        </row>
        <row r="297">
          <cell r="B297">
            <v>1010384</v>
          </cell>
          <cell r="C297" t="str">
            <v>Crème de Jour Légère à la Rose 30 ml Edition Limitée 2025</v>
          </cell>
          <cell r="D297" t="str">
            <v>420006521</v>
          </cell>
          <cell r="E297" t="str">
            <v>4020829109377</v>
          </cell>
          <cell r="G297" t="e">
            <v>#N/A</v>
          </cell>
          <cell r="H297" t="e">
            <v>#N/A</v>
          </cell>
        </row>
        <row r="298">
          <cell r="B298">
            <v>8010384</v>
          </cell>
          <cell r="C298" t="str">
            <v>Crème de Jour Légère à la Rose 30 ml Edition Limitée 2025 *PRE-SERIE*</v>
          </cell>
          <cell r="D298" t="str">
            <v>420006518</v>
          </cell>
          <cell r="E298" t="str">
            <v>4020829109186</v>
          </cell>
          <cell r="G298" t="e">
            <v>#N/A</v>
          </cell>
          <cell r="H298" t="e">
            <v>#N/A</v>
          </cell>
        </row>
        <row r="299">
          <cell r="B299">
            <v>1010382</v>
          </cell>
          <cell r="C299" t="str">
            <v>Crème de Jour Légère à la Rose Edition Limitée 30 ml 2024</v>
          </cell>
          <cell r="D299" t="str">
            <v>420006298</v>
          </cell>
          <cell r="E299" t="str">
            <v>4020829104341</v>
          </cell>
          <cell r="G299" t="e">
            <v>#N/A</v>
          </cell>
          <cell r="H299" t="e">
            <v>#N/A</v>
          </cell>
        </row>
        <row r="300">
          <cell r="B300">
            <v>1020703</v>
          </cell>
          <cell r="C300" t="str">
            <v>Crème de Jour Régénérante Intensive - 40 ml</v>
          </cell>
          <cell r="D300" t="str">
            <v>420004220</v>
          </cell>
          <cell r="E300" t="str">
            <v>4020829074040</v>
          </cell>
          <cell r="G300" t="e">
            <v>#N/A</v>
          </cell>
          <cell r="H300" t="e">
            <v>#N/A</v>
          </cell>
        </row>
        <row r="301">
          <cell r="B301">
            <v>1010320</v>
          </cell>
          <cell r="C301" t="str">
            <v>Crème de Jour Teintée - 30 ml</v>
          </cell>
          <cell r="D301" t="str">
            <v>420002538</v>
          </cell>
          <cell r="E301" t="str">
            <v>4020829039056</v>
          </cell>
          <cell r="G301">
            <v>19.704090909090908</v>
          </cell>
          <cell r="H301">
            <v>33.5</v>
          </cell>
        </row>
        <row r="302">
          <cell r="B302">
            <v>1010305</v>
          </cell>
          <cell r="C302" t="str">
            <v>Crème de Jour au Coing - 30 ml</v>
          </cell>
          <cell r="D302" t="str">
            <v>429000106</v>
          </cell>
          <cell r="E302" t="str">
            <v>4020829005747</v>
          </cell>
          <cell r="G302">
            <v>17.058214285714286</v>
          </cell>
          <cell r="H302">
            <v>29</v>
          </cell>
        </row>
        <row r="303">
          <cell r="B303">
            <v>8010369</v>
          </cell>
          <cell r="C303" t="str">
            <v>Crème de Jour au Coing 30 ml - Edition limitée 2022</v>
          </cell>
          <cell r="D303" t="str">
            <v>8010369</v>
          </cell>
          <cell r="E303" t="str">
            <v>99998010369</v>
          </cell>
          <cell r="G303" t="e">
            <v>#N/A</v>
          </cell>
          <cell r="H303" t="e">
            <v>#N/A</v>
          </cell>
        </row>
        <row r="304">
          <cell r="B304">
            <v>1010377</v>
          </cell>
          <cell r="C304" t="str">
            <v>Crème de Jour à l'Abricot - 30 ml</v>
          </cell>
          <cell r="D304" t="str">
            <v>420006111</v>
          </cell>
          <cell r="E304" t="str">
            <v>4020829100640</v>
          </cell>
          <cell r="G304">
            <v>17.589448275862065</v>
          </cell>
          <cell r="H304">
            <v>29.9</v>
          </cell>
        </row>
        <row r="305">
          <cell r="B305">
            <v>1010306</v>
          </cell>
          <cell r="C305" t="str">
            <v xml:space="preserve">Crème de Jour à la Mélisse - 30 ml </v>
          </cell>
          <cell r="D305" t="str">
            <v>429000421</v>
          </cell>
          <cell r="E305" t="str">
            <v>4020829008793</v>
          </cell>
          <cell r="G305">
            <v>17.588825503355704</v>
          </cell>
          <cell r="H305">
            <v>29.9</v>
          </cell>
        </row>
        <row r="306">
          <cell r="B306">
            <v>1810306</v>
          </cell>
          <cell r="C306" t="str">
            <v>Crème de Jour à la Mélisse - 30 ml*DLV 05/2025(remise 20 % incluse)</v>
          </cell>
          <cell r="E306" t="str">
            <v>9999991810306</v>
          </cell>
          <cell r="G306" t="e">
            <v>#N/A</v>
          </cell>
          <cell r="H306" t="e">
            <v>#N/A</v>
          </cell>
        </row>
        <row r="307">
          <cell r="B307">
            <v>1010310</v>
          </cell>
          <cell r="C307" t="str">
            <v>Crème de Jour à la Rose - 30 ml</v>
          </cell>
          <cell r="D307" t="str">
            <v>429000157</v>
          </cell>
          <cell r="E307" t="str">
            <v>4020829006249</v>
          </cell>
          <cell r="G307">
            <v>18.824126984126984</v>
          </cell>
          <cell r="H307">
            <v>32</v>
          </cell>
        </row>
        <row r="308">
          <cell r="B308">
            <v>1010383</v>
          </cell>
          <cell r="C308" t="str">
            <v>Crème de Jour à la Rose - 30 ml*- 25 %*DLV 03/2025*</v>
          </cell>
          <cell r="E308" t="str">
            <v>101038399999</v>
          </cell>
          <cell r="G308" t="e">
            <v>#N/A</v>
          </cell>
          <cell r="H308" t="e">
            <v>#N/A</v>
          </cell>
        </row>
        <row r="309">
          <cell r="B309">
            <v>1050202</v>
          </cell>
          <cell r="C309" t="str">
            <v>Crème pour le visage à la Ficoïde à Cristaux - 40 ml</v>
          </cell>
          <cell r="D309" t="str">
            <v>420004632</v>
          </cell>
          <cell r="E309" t="str">
            <v>4020829080065</v>
          </cell>
          <cell r="G309">
            <v>23.237659033078881</v>
          </cell>
          <cell r="H309">
            <v>39.5</v>
          </cell>
        </row>
        <row r="310">
          <cell r="B310">
            <v>1030312</v>
          </cell>
          <cell r="C310" t="str">
            <v>Crème pour les Mains - 20 ml</v>
          </cell>
          <cell r="D310" t="str">
            <v>420006191</v>
          </cell>
          <cell r="E310" t="str">
            <v>4020829101845</v>
          </cell>
          <cell r="G310" t="e">
            <v>#N/A</v>
          </cell>
          <cell r="H310" t="e">
            <v>#N/A</v>
          </cell>
        </row>
        <row r="311">
          <cell r="B311">
            <v>1030309</v>
          </cell>
          <cell r="C311" t="str">
            <v>Crème pour les Mains - 30 ml</v>
          </cell>
          <cell r="D311" t="str">
            <v>420003784</v>
          </cell>
          <cell r="E311" t="str">
            <v>4020829068193</v>
          </cell>
          <cell r="G311" t="e">
            <v>#N/A</v>
          </cell>
          <cell r="H311" t="e">
            <v>#N/A</v>
          </cell>
        </row>
        <row r="312">
          <cell r="B312">
            <v>1030301</v>
          </cell>
          <cell r="C312" t="str">
            <v>Crème pour les Mains - 50 ml</v>
          </cell>
          <cell r="D312" t="str">
            <v>429000102</v>
          </cell>
          <cell r="E312" t="str">
            <v>4020829005709</v>
          </cell>
          <cell r="G312">
            <v>9.7104900232919249</v>
          </cell>
          <cell r="H312">
            <v>16.500832686335404</v>
          </cell>
        </row>
        <row r="313">
          <cell r="B313">
            <v>1020102</v>
          </cell>
          <cell r="C313" t="str">
            <v>Crème pour les Mains - Régénérant - 50 ml</v>
          </cell>
          <cell r="D313" t="str">
            <v>420002889</v>
          </cell>
          <cell r="E313" t="str">
            <v>4020829049666</v>
          </cell>
          <cell r="G313">
            <v>17.352941176470591</v>
          </cell>
          <cell r="H313">
            <v>29.5</v>
          </cell>
        </row>
        <row r="314">
          <cell r="B314">
            <v>1030310</v>
          </cell>
          <cell r="C314" t="str">
            <v xml:space="preserve">Crème pour les Mains 50 ml Edition Limitée 2024 </v>
          </cell>
          <cell r="D314" t="str">
            <v>420006306</v>
          </cell>
          <cell r="E314" t="str">
            <v>4020829104426</v>
          </cell>
          <cell r="G314" t="e">
            <v>#N/A</v>
          </cell>
          <cell r="H314" t="e">
            <v>#N/A</v>
          </cell>
        </row>
        <row r="315">
          <cell r="B315">
            <v>1030311</v>
          </cell>
          <cell r="C315" t="str">
            <v>Crème pour les Mains 50ml Edition Limitée Noël 2024</v>
          </cell>
          <cell r="D315" t="str">
            <v>420006401</v>
          </cell>
          <cell r="E315" t="str">
            <v>4020829106536</v>
          </cell>
          <cell r="G315" t="e">
            <v>#N/A</v>
          </cell>
          <cell r="H315" t="e">
            <v>#N/A</v>
          </cell>
        </row>
        <row r="316">
          <cell r="B316">
            <v>1820105</v>
          </cell>
          <cell r="C316" t="str">
            <v>Crème pour les Mains Régénérante - 50 ml*DLV 09/24* - 25 %*</v>
          </cell>
          <cell r="E316" t="str">
            <v>18201059999</v>
          </cell>
          <cell r="G316" t="e">
            <v>#N/A</v>
          </cell>
          <cell r="H316" t="e">
            <v>#N/A</v>
          </cell>
        </row>
        <row r="317">
          <cell r="B317">
            <v>1050103</v>
          </cell>
          <cell r="C317" t="str">
            <v>Crème pour les Mains à la Ficoïde à Cristaux - 50 ml</v>
          </cell>
          <cell r="D317" t="str">
            <v>420003969</v>
          </cell>
          <cell r="E317" t="str">
            <v>4020829069794</v>
          </cell>
          <cell r="G317">
            <v>11.706479591836732</v>
          </cell>
          <cell r="H317">
            <v>19.899999999999999</v>
          </cell>
        </row>
        <row r="318">
          <cell r="B318">
            <v>6300182</v>
          </cell>
          <cell r="C318" t="str">
            <v>Cube Hamamélis</v>
          </cell>
          <cell r="D318" t="str">
            <v>410006705</v>
          </cell>
          <cell r="E318" t="str">
            <v>4020829102057</v>
          </cell>
          <cell r="G318" t="e">
            <v>#N/A</v>
          </cell>
          <cell r="H318" t="e">
            <v>#N/A</v>
          </cell>
        </row>
        <row r="319">
          <cell r="B319">
            <v>6500127</v>
          </cell>
          <cell r="C319" t="str">
            <v>Cube Institutionnel</v>
          </cell>
          <cell r="D319" t="str">
            <v>6500127</v>
          </cell>
          <cell r="E319" t="str">
            <v>9999996500127</v>
          </cell>
          <cell r="G319" t="e">
            <v>#N/A</v>
          </cell>
          <cell r="H319" t="e">
            <v>#N/A</v>
          </cell>
        </row>
        <row r="320">
          <cell r="B320">
            <v>6300195</v>
          </cell>
          <cell r="C320" t="str">
            <v>Cube Institutionnel Maquillage</v>
          </cell>
          <cell r="D320" t="str">
            <v>410006898</v>
          </cell>
          <cell r="E320" t="str">
            <v>4020829105317</v>
          </cell>
          <cell r="G320" t="e">
            <v>#N/A</v>
          </cell>
          <cell r="H320" t="e">
            <v>#N/A</v>
          </cell>
        </row>
        <row r="321">
          <cell r="B321">
            <v>1010724</v>
          </cell>
          <cell r="C321" t="str">
            <v>Cure Intensive Clarifiante (avant 25 ans) - 40 ml*Nouveau packaging*</v>
          </cell>
          <cell r="D321" t="str">
            <v>420005861</v>
          </cell>
          <cell r="E321" t="str">
            <v>4020829097612</v>
          </cell>
          <cell r="G321">
            <v>32.18</v>
          </cell>
          <cell r="H321">
            <v>54.7</v>
          </cell>
        </row>
        <row r="322">
          <cell r="B322">
            <v>1010711</v>
          </cell>
          <cell r="C322" t="str">
            <v>Cure Intensive Clarifiante (avant 25 ans) - 40 ml*dlv 02/25*-20%*</v>
          </cell>
          <cell r="D322" t="str">
            <v>429000223</v>
          </cell>
          <cell r="E322" t="str">
            <v>4020829006850</v>
          </cell>
          <cell r="G322" t="e">
            <v>#N/A</v>
          </cell>
          <cell r="H322" t="e">
            <v>#N/A</v>
          </cell>
        </row>
        <row r="323">
          <cell r="B323">
            <v>1010725</v>
          </cell>
          <cell r="C323" t="str">
            <v>Cure Intensive Clarifiante (à partir de 25 ans) - 40 ml*Nouveau packaging*</v>
          </cell>
          <cell r="D323" t="str">
            <v>420005860</v>
          </cell>
          <cell r="E323" t="str">
            <v>4020829097575</v>
          </cell>
          <cell r="G323">
            <v>32.18</v>
          </cell>
          <cell r="H323">
            <v>54.7</v>
          </cell>
        </row>
        <row r="324">
          <cell r="B324">
            <v>1020721</v>
          </cell>
          <cell r="C324" t="str">
            <v>Cure Intensive Fortifiante - Régénérant - 40ml</v>
          </cell>
          <cell r="D324" t="str">
            <v>420006241</v>
          </cell>
          <cell r="E324" t="str">
            <v>4020829102941</v>
          </cell>
          <cell r="G324">
            <v>42.878865663600067</v>
          </cell>
          <cell r="H324">
            <v>72.898071522305145</v>
          </cell>
        </row>
        <row r="325">
          <cell r="B325">
            <v>1010704</v>
          </cell>
          <cell r="C325" t="str">
            <v>Cure Intensive Jour/Nuit pour Peaux Sensibles 10 amp.</v>
          </cell>
          <cell r="D325" t="str">
            <v>429000067</v>
          </cell>
          <cell r="E325" t="str">
            <v>4020829005433</v>
          </cell>
          <cell r="G325">
            <v>16.18</v>
          </cell>
          <cell r="H325">
            <v>27.5</v>
          </cell>
        </row>
        <row r="326">
          <cell r="B326">
            <v>1010703</v>
          </cell>
          <cell r="C326" t="str">
            <v>Cure Intensive Jour/Nuit pour Peaux Sensibles 50 amp.</v>
          </cell>
          <cell r="D326" t="str">
            <v>429000064</v>
          </cell>
          <cell r="E326" t="str">
            <v>4020829005402</v>
          </cell>
          <cell r="G326">
            <v>50.530000000000008</v>
          </cell>
          <cell r="H326">
            <v>85.9</v>
          </cell>
        </row>
        <row r="327">
          <cell r="B327">
            <v>1020715</v>
          </cell>
          <cell r="C327" t="str">
            <v>Cure Intensive Régénérante - 40 ml*Nouveau packaging*</v>
          </cell>
          <cell r="D327" t="str">
            <v>420005862</v>
          </cell>
          <cell r="E327" t="str">
            <v>4020829097629</v>
          </cell>
          <cell r="G327" t="e">
            <v>#N/A</v>
          </cell>
          <cell r="H327" t="e">
            <v>#N/A</v>
          </cell>
        </row>
        <row r="328">
          <cell r="B328">
            <v>1020702</v>
          </cell>
          <cell r="C328" t="str">
            <v>Cure Intensive Rééquilibrante - 40 ml*DLV 09/25*-10%*</v>
          </cell>
          <cell r="D328" t="str">
            <v>429000237</v>
          </cell>
          <cell r="E328" t="str">
            <v>4020829006997</v>
          </cell>
          <cell r="G328" t="e">
            <v>#N/A</v>
          </cell>
          <cell r="H328" t="e">
            <v>#N/A</v>
          </cell>
        </row>
        <row r="329">
          <cell r="B329">
            <v>1020716</v>
          </cell>
          <cell r="C329" t="str">
            <v>Cure Intensive Rééquilibrante - 40 ml*Nouveau packaging*</v>
          </cell>
          <cell r="D329" t="str">
            <v>420005864</v>
          </cell>
          <cell r="E329" t="str">
            <v>4020829097643</v>
          </cell>
          <cell r="G329" t="e">
            <v>#N/A</v>
          </cell>
          <cell r="H329" t="e">
            <v>#N/A</v>
          </cell>
        </row>
        <row r="330">
          <cell r="B330">
            <v>1020722</v>
          </cell>
          <cell r="C330" t="str">
            <v>Cure Intensive Rééquilibrante - Régénérant Intensif - 40ml</v>
          </cell>
          <cell r="D330" t="str">
            <v>420006240</v>
          </cell>
          <cell r="E330" t="str">
            <v>4020829102934</v>
          </cell>
          <cell r="G330">
            <v>42.878865663600067</v>
          </cell>
          <cell r="H330">
            <v>72.898071522305145</v>
          </cell>
        </row>
        <row r="331">
          <cell r="B331">
            <v>1010726</v>
          </cell>
          <cell r="C331" t="str">
            <v>Cure Intensive pour Peaux Réactives - 40 ml*Nouveau packaging*</v>
          </cell>
          <cell r="D331" t="str">
            <v>420005863</v>
          </cell>
          <cell r="E331" t="str">
            <v>4020829097636</v>
          </cell>
          <cell r="G331">
            <v>32.18</v>
          </cell>
          <cell r="H331">
            <v>54.7</v>
          </cell>
        </row>
        <row r="332">
          <cell r="B332">
            <v>1010702</v>
          </cell>
          <cell r="C332" t="str">
            <v>Cure Intensive pour la Nuit 10 amp.</v>
          </cell>
          <cell r="D332" t="str">
            <v>429000054</v>
          </cell>
          <cell r="E332" t="str">
            <v>4020829005327</v>
          </cell>
          <cell r="G332">
            <v>15.827677902621724</v>
          </cell>
          <cell r="H332">
            <v>26.9</v>
          </cell>
        </row>
        <row r="333">
          <cell r="B333">
            <v>1010701</v>
          </cell>
          <cell r="C333" t="str">
            <v>Cure Intensive pour la Nuit 50 amp.</v>
          </cell>
          <cell r="D333" t="str">
            <v>429000057</v>
          </cell>
          <cell r="E333" t="str">
            <v>4020829005358</v>
          </cell>
          <cell r="G333">
            <v>47.940000000000012</v>
          </cell>
          <cell r="H333">
            <v>81.500000000000014</v>
          </cell>
        </row>
        <row r="334">
          <cell r="B334">
            <v>410004425</v>
          </cell>
          <cell r="C334" t="str">
            <v>Custom Modular Display 1 Module (Limited Edition)</v>
          </cell>
          <cell r="D334" t="str">
            <v>410004425</v>
          </cell>
          <cell r="E334" t="str">
            <v>999999410004425</v>
          </cell>
          <cell r="G334" t="e">
            <v>#N/A</v>
          </cell>
          <cell r="H334" t="e">
            <v>#N/A</v>
          </cell>
        </row>
        <row r="335">
          <cell r="B335">
            <v>410004429</v>
          </cell>
          <cell r="C335" t="str">
            <v>Custom Modular Display Module Eyes</v>
          </cell>
          <cell r="D335" t="str">
            <v>410004429</v>
          </cell>
          <cell r="E335" t="str">
            <v>999999410004429</v>
          </cell>
          <cell r="G335" t="e">
            <v>#N/A</v>
          </cell>
          <cell r="H335" t="e">
            <v>#N/A</v>
          </cell>
        </row>
        <row r="336">
          <cell r="B336">
            <v>410004427</v>
          </cell>
          <cell r="C336" t="str">
            <v>Custom Modular Display Module Face</v>
          </cell>
          <cell r="E336" t="str">
            <v>999999410004427</v>
          </cell>
          <cell r="G336" t="e">
            <v>#N/A</v>
          </cell>
          <cell r="H336" t="e">
            <v>#N/A</v>
          </cell>
        </row>
        <row r="337">
          <cell r="B337">
            <v>410004428</v>
          </cell>
          <cell r="C337" t="str">
            <v>Custom Modular Display Module Lips</v>
          </cell>
          <cell r="D337" t="str">
            <v>410004428</v>
          </cell>
          <cell r="E337" t="str">
            <v>999999410004428</v>
          </cell>
          <cell r="G337" t="e">
            <v>#N/A</v>
          </cell>
          <cell r="H337" t="e">
            <v>#N/A</v>
          </cell>
        </row>
        <row r="338">
          <cell r="B338">
            <v>1050402</v>
          </cell>
          <cell r="C338" t="str">
            <v>Dentifrice Fortifiant à la Menthe - 75 ml</v>
          </cell>
          <cell r="D338" t="str">
            <v>420003953</v>
          </cell>
          <cell r="E338" t="str">
            <v>4020829069411</v>
          </cell>
          <cell r="G338" t="e">
            <v>#N/A</v>
          </cell>
          <cell r="H338" t="e">
            <v>#N/A</v>
          </cell>
        </row>
        <row r="339">
          <cell r="B339">
            <v>1050407</v>
          </cell>
          <cell r="C339" t="str">
            <v>Dentifrice Fortifiant à la Menthe - 75 ml *nouvelle formule*</v>
          </cell>
          <cell r="D339" t="str">
            <v>420006267</v>
          </cell>
          <cell r="E339" t="str">
            <v>4020829103511</v>
          </cell>
          <cell r="G339">
            <v>3.94</v>
          </cell>
          <cell r="H339">
            <v>6.7</v>
          </cell>
        </row>
        <row r="340">
          <cell r="B340">
            <v>1050401</v>
          </cell>
          <cell r="C340" t="str">
            <v>Dentifrice Salin Sensitivité - 75 ml</v>
          </cell>
          <cell r="D340" t="str">
            <v>420003950</v>
          </cell>
          <cell r="E340" t="str">
            <v>4020829069381</v>
          </cell>
          <cell r="G340" t="e">
            <v>#N/A</v>
          </cell>
          <cell r="H340" t="e">
            <v>#N/A</v>
          </cell>
        </row>
        <row r="341">
          <cell r="B341">
            <v>1050406</v>
          </cell>
          <cell r="C341" t="str">
            <v>Dentifrice Salin Sensitivité - 75 ml *nouvelle formule*</v>
          </cell>
          <cell r="D341" t="str">
            <v>420006270</v>
          </cell>
          <cell r="E341" t="str">
            <v>4020829103542</v>
          </cell>
          <cell r="G341">
            <v>3.94</v>
          </cell>
          <cell r="H341">
            <v>6.7</v>
          </cell>
        </row>
        <row r="342">
          <cell r="B342">
            <v>6700093</v>
          </cell>
          <cell r="C342" t="str">
            <v>Diplôme Ambassadrice</v>
          </cell>
          <cell r="E342" t="str">
            <v>9999996700093</v>
          </cell>
          <cell r="G342" t="e">
            <v>#N/A</v>
          </cell>
          <cell r="H342" t="e">
            <v>#N/A</v>
          </cell>
        </row>
        <row r="343">
          <cell r="B343">
            <v>982023</v>
          </cell>
          <cell r="C343" t="str">
            <v>Divers Comptablité</v>
          </cell>
          <cell r="E343" t="str">
            <v>999999982023</v>
          </cell>
          <cell r="G343" t="e">
            <v>#N/A</v>
          </cell>
          <cell r="H343" t="e">
            <v>#N/A</v>
          </cell>
        </row>
        <row r="344">
          <cell r="B344">
            <v>982273</v>
          </cell>
          <cell r="C344" t="str">
            <v>Divers Facturations TVA 19,6%</v>
          </cell>
          <cell r="G344" t="e">
            <v>#N/A</v>
          </cell>
          <cell r="H344" t="e">
            <v>#N/A</v>
          </cell>
        </row>
        <row r="345">
          <cell r="B345">
            <v>982041</v>
          </cell>
          <cell r="C345" t="str">
            <v>Divers Vente Article Caisse TVA 19,6%</v>
          </cell>
          <cell r="E345" t="str">
            <v>999999982041</v>
          </cell>
          <cell r="G345" t="e">
            <v>#N/A</v>
          </cell>
          <cell r="H345" t="e">
            <v>#N/A</v>
          </cell>
        </row>
        <row r="346">
          <cell r="B346" t="str">
            <v>PLD</v>
          </cell>
          <cell r="C346" t="str">
            <v>Divers produits à saisir</v>
          </cell>
          <cell r="G346" t="e">
            <v>#N/A</v>
          </cell>
          <cell r="H346" t="e">
            <v>#N/A</v>
          </cell>
        </row>
        <row r="347">
          <cell r="B347" t="str">
            <v>DOCF</v>
          </cell>
          <cell r="C347" t="str">
            <v>Document Formation à joindre à la commande</v>
          </cell>
          <cell r="E347" t="str">
            <v>9999DOCF</v>
          </cell>
          <cell r="G347" t="e">
            <v>#N/A</v>
          </cell>
          <cell r="H347" t="e">
            <v>#N/A</v>
          </cell>
        </row>
        <row r="348">
          <cell r="B348">
            <v>6300150</v>
          </cell>
          <cell r="C348" t="str">
            <v>Dos Module-Conseil pour testeur - Agir Ensemble</v>
          </cell>
          <cell r="D348" t="str">
            <v>410005631</v>
          </cell>
          <cell r="E348" t="str">
            <v>4020829084780</v>
          </cell>
          <cell r="G348" t="e">
            <v>#N/A</v>
          </cell>
          <cell r="H348" t="e">
            <v>#N/A</v>
          </cell>
        </row>
        <row r="349">
          <cell r="B349">
            <v>6300146</v>
          </cell>
          <cell r="C349" t="str">
            <v>Dos Module-Conseil pour testeur - Crème de jour</v>
          </cell>
          <cell r="D349" t="str">
            <v>410005618</v>
          </cell>
          <cell r="E349" t="str">
            <v>4020829084063</v>
          </cell>
          <cell r="G349" t="e">
            <v>#N/A</v>
          </cell>
          <cell r="H349" t="e">
            <v>#N/A</v>
          </cell>
        </row>
        <row r="350">
          <cell r="B350">
            <v>6300154</v>
          </cell>
          <cell r="C350" t="str">
            <v xml:space="preserve">Dos Module-Conseil pour testeur - Fluide de jour </v>
          </cell>
          <cell r="D350" t="str">
            <v>410005894</v>
          </cell>
          <cell r="E350" t="str">
            <v>4020829088214</v>
          </cell>
          <cell r="G350" t="e">
            <v>#N/A</v>
          </cell>
          <cell r="H350" t="e">
            <v>#N/A</v>
          </cell>
        </row>
        <row r="351">
          <cell r="B351">
            <v>6300167</v>
          </cell>
          <cell r="C351" t="str">
            <v>Dos Module-Conseil – Masques</v>
          </cell>
          <cell r="D351" t="str">
            <v>410006120</v>
          </cell>
          <cell r="E351" t="str">
            <v>4020829093010</v>
          </cell>
          <cell r="G351" t="e">
            <v>#N/A</v>
          </cell>
          <cell r="H351" t="e">
            <v>#N/A</v>
          </cell>
        </row>
        <row r="352">
          <cell r="B352" t="str">
            <v>DOSSREV</v>
          </cell>
          <cell r="C352" t="str">
            <v>Dossier de formation Revendeur sur Place</v>
          </cell>
          <cell r="D352" t="str">
            <v>DOSSREV</v>
          </cell>
          <cell r="G352" t="e">
            <v>#N/A</v>
          </cell>
          <cell r="H352" t="e">
            <v>#N/A</v>
          </cell>
        </row>
        <row r="353">
          <cell r="B353">
            <v>2080425</v>
          </cell>
          <cell r="C353" t="str">
            <v>Drap de douche 70 x 140 cm</v>
          </cell>
          <cell r="D353" t="str">
            <v>2080425</v>
          </cell>
          <cell r="E353" t="str">
            <v>9999992080425</v>
          </cell>
          <cell r="G353">
            <v>23.437856</v>
          </cell>
          <cell r="H353" t="e">
            <v>#N/A</v>
          </cell>
        </row>
        <row r="354">
          <cell r="B354">
            <v>1010110</v>
          </cell>
          <cell r="C354" t="str">
            <v>Démaquillant pour les Yeux - 75 ml</v>
          </cell>
          <cell r="D354" t="str">
            <v>420003628</v>
          </cell>
          <cell r="E354" t="str">
            <v>4020829063143</v>
          </cell>
          <cell r="G354">
            <v>16.47179487179487</v>
          </cell>
          <cell r="H354">
            <v>28</v>
          </cell>
        </row>
        <row r="355">
          <cell r="B355">
            <v>1030703</v>
          </cell>
          <cell r="C355" t="str">
            <v>Déodorant Rose - 50 ml</v>
          </cell>
          <cell r="D355" t="str">
            <v>420001996</v>
          </cell>
          <cell r="E355" t="str">
            <v>4020829025332</v>
          </cell>
          <cell r="G355">
            <v>10.411512974122651</v>
          </cell>
          <cell r="H355">
            <v>17.702572492024103</v>
          </cell>
        </row>
        <row r="356">
          <cell r="B356">
            <v>1030704</v>
          </cell>
          <cell r="C356" t="str">
            <v>Déodorant Sauge Menthe - 50 ml</v>
          </cell>
          <cell r="D356" t="str">
            <v>420002000</v>
          </cell>
          <cell r="E356" t="str">
            <v>4020829025370</v>
          </cell>
          <cell r="G356">
            <v>9.4704779114906827</v>
          </cell>
          <cell r="H356">
            <v>16.1008125</v>
          </cell>
        </row>
        <row r="357">
          <cell r="B357">
            <v>5010116</v>
          </cell>
          <cell r="C357" t="str">
            <v>Echantillon - Baume Lacté Nettoyant - 1,5 ml</v>
          </cell>
          <cell r="D357" t="str">
            <v>420005593</v>
          </cell>
          <cell r="E357" t="str">
            <v>4020829094109</v>
          </cell>
          <cell r="G357" t="e">
            <v>#N/A</v>
          </cell>
          <cell r="H357" t="e">
            <v>#N/A</v>
          </cell>
        </row>
        <row r="358">
          <cell r="B358">
            <v>5010503</v>
          </cell>
          <cell r="C358" t="str">
            <v>Echantillon - Crème Fluide Contour des Yeux avec fly - 1,5 ml</v>
          </cell>
          <cell r="D358" t="str">
            <v>420004705</v>
          </cell>
          <cell r="E358" t="str">
            <v>4020829081321</v>
          </cell>
          <cell r="G358" t="e">
            <v>#N/A</v>
          </cell>
          <cell r="H358" t="e">
            <v>#N/A</v>
          </cell>
        </row>
        <row r="359">
          <cell r="B359">
            <v>5020401</v>
          </cell>
          <cell r="C359" t="str">
            <v>Echantillon - Crème Régénérante Contour des Yeux - 1,5 ml</v>
          </cell>
          <cell r="D359" t="str">
            <v>420004759</v>
          </cell>
          <cell r="E359" t="str">
            <v>4020829081857</v>
          </cell>
          <cell r="G359" t="e">
            <v>#N/A</v>
          </cell>
          <cell r="H359" t="e">
            <v>#N/A</v>
          </cell>
        </row>
        <row r="360">
          <cell r="B360">
            <v>5010302</v>
          </cell>
          <cell r="C360" t="str">
            <v>Echantillon - Crème de Jour Légère à la Rose - 1,5 ml</v>
          </cell>
          <cell r="D360" t="str">
            <v>420004736</v>
          </cell>
          <cell r="E360" t="str">
            <v>4020829081635</v>
          </cell>
          <cell r="G360" t="e">
            <v>#N/A</v>
          </cell>
          <cell r="H360" t="e">
            <v>#N/A</v>
          </cell>
        </row>
        <row r="361">
          <cell r="B361">
            <v>5020302</v>
          </cell>
          <cell r="C361" t="str">
            <v>Echantillon - Crème de Jour Régénérante  avec fly - 1,5 ml</v>
          </cell>
          <cell r="D361" t="str">
            <v>420005407</v>
          </cell>
          <cell r="E361" t="str">
            <v>4020829090903</v>
          </cell>
          <cell r="G361" t="e">
            <v>#N/A</v>
          </cell>
          <cell r="H361" t="e">
            <v>#N/A</v>
          </cell>
        </row>
        <row r="362">
          <cell r="B362">
            <v>5020310</v>
          </cell>
          <cell r="C362" t="str">
            <v>Echantillon - Crème de Jour Régénérante Eclat du Teint - 1,5 ml</v>
          </cell>
          <cell r="D362" t="str">
            <v>420006549</v>
          </cell>
          <cell r="E362" t="str">
            <v>4020829111370</v>
          </cell>
          <cell r="G362" t="e">
            <v>#N/A</v>
          </cell>
          <cell r="H362" t="e">
            <v>#N/A</v>
          </cell>
        </row>
        <row r="363">
          <cell r="B363">
            <v>5020703</v>
          </cell>
          <cell r="C363" t="str">
            <v>Echantillon - Crème de Jour Régénérante Intensive - 1,5 ml</v>
          </cell>
          <cell r="D363" t="str">
            <v>420006325</v>
          </cell>
          <cell r="E363" t="str">
            <v>4020829104600</v>
          </cell>
          <cell r="G363" t="e">
            <v>#N/A</v>
          </cell>
          <cell r="H363" t="e">
            <v>#N/A</v>
          </cell>
        </row>
        <row r="364">
          <cell r="B364">
            <v>5010305</v>
          </cell>
          <cell r="C364" t="str">
            <v>Echantillon - Crème de Jour au Coing - 1,5 ml</v>
          </cell>
          <cell r="D364" t="str">
            <v>420004721</v>
          </cell>
          <cell r="E364" t="str">
            <v>4020829081482</v>
          </cell>
          <cell r="G364" t="e">
            <v>#N/A</v>
          </cell>
          <cell r="H364" t="e">
            <v>#N/A</v>
          </cell>
        </row>
        <row r="365">
          <cell r="B365">
            <v>5010377</v>
          </cell>
          <cell r="C365" t="str">
            <v>Echantillon - Crème de Jour à l'Abricot - 1,5ml</v>
          </cell>
          <cell r="D365" t="str">
            <v>420006118</v>
          </cell>
          <cell r="E365" t="str">
            <v>4020829100718</v>
          </cell>
          <cell r="G365" t="e">
            <v>#N/A</v>
          </cell>
          <cell r="H365" t="e">
            <v>#N/A</v>
          </cell>
        </row>
        <row r="366">
          <cell r="B366">
            <v>5010306</v>
          </cell>
          <cell r="C366" t="str">
            <v>Echantillon - Crème de Jour à la Mélisse - 1,5 ml</v>
          </cell>
          <cell r="D366" t="str">
            <v>420004713</v>
          </cell>
          <cell r="E366" t="str">
            <v>4020829081406</v>
          </cell>
          <cell r="G366" t="e">
            <v>#N/A</v>
          </cell>
          <cell r="H366" t="e">
            <v>#N/A</v>
          </cell>
        </row>
        <row r="367">
          <cell r="B367">
            <v>5010310</v>
          </cell>
          <cell r="C367" t="str">
            <v>Echantillon - Crème de Jour à la Rose - 1,5 ml</v>
          </cell>
          <cell r="D367" t="str">
            <v>420004728</v>
          </cell>
          <cell r="E367" t="str">
            <v>4020829081550</v>
          </cell>
          <cell r="G367" t="e">
            <v>#N/A</v>
          </cell>
          <cell r="H367" t="e">
            <v>#N/A</v>
          </cell>
        </row>
        <row r="368">
          <cell r="B368">
            <v>5050202</v>
          </cell>
          <cell r="C368" t="str">
            <v>Echantillon - Crème pour le visage à la Ficoïde à Cristaux - 1.5 ml</v>
          </cell>
          <cell r="D368" t="str">
            <v>420004372</v>
          </cell>
          <cell r="E368" t="str">
            <v>4020829076297</v>
          </cell>
          <cell r="G368" t="e">
            <v>#N/A</v>
          </cell>
          <cell r="H368" t="e">
            <v>#N/A</v>
          </cell>
        </row>
        <row r="369">
          <cell r="B369">
            <v>5030301</v>
          </cell>
          <cell r="C369" t="str">
            <v>Echantillon - Crème pour les Mains avec Fly - 2,5 ML</v>
          </cell>
          <cell r="D369" t="str">
            <v>429000437</v>
          </cell>
          <cell r="E369" t="str">
            <v>4020829082229</v>
          </cell>
          <cell r="G369" t="e">
            <v>#N/A</v>
          </cell>
          <cell r="H369" t="e">
            <v>#N/A</v>
          </cell>
        </row>
        <row r="370">
          <cell r="B370">
            <v>5050103</v>
          </cell>
          <cell r="C370" t="str">
            <v>Echantillon - Crème pour les Mains à la Ficoïde à Cristaux - 2,5 ml</v>
          </cell>
          <cell r="D370" t="str">
            <v>420003977</v>
          </cell>
          <cell r="E370" t="str">
            <v>4020829069879</v>
          </cell>
          <cell r="G370" t="e">
            <v>#N/A</v>
          </cell>
          <cell r="H370" t="e">
            <v>#N/A</v>
          </cell>
        </row>
        <row r="371">
          <cell r="B371">
            <v>5010360</v>
          </cell>
          <cell r="C371" t="str">
            <v>Echantillon - Fluide de Jour Apaisant - 1,5 ml</v>
          </cell>
          <cell r="D371" t="str">
            <v>420004669</v>
          </cell>
          <cell r="E371" t="str">
            <v>4020829080782</v>
          </cell>
          <cell r="G371" t="e">
            <v>#N/A</v>
          </cell>
          <cell r="H371" t="e">
            <v>#N/A</v>
          </cell>
        </row>
        <row r="372">
          <cell r="B372">
            <v>5010361</v>
          </cell>
          <cell r="C372" t="str">
            <v>Echantillon - Fluide de Jour Equilibrant  - 1,5 ml</v>
          </cell>
          <cell r="D372" t="str">
            <v>420004677</v>
          </cell>
          <cell r="E372" t="str">
            <v>4020829080867</v>
          </cell>
          <cell r="G372" t="e">
            <v>#N/A</v>
          </cell>
          <cell r="H372" t="e">
            <v>#N/A</v>
          </cell>
        </row>
        <row r="373">
          <cell r="B373">
            <v>5010359</v>
          </cell>
          <cell r="C373" t="str">
            <v>Echantillon - Fluide de Jour Revitalisant - 1,5 ml</v>
          </cell>
          <cell r="D373" t="str">
            <v>420004661</v>
          </cell>
          <cell r="E373" t="str">
            <v>4020829080706</v>
          </cell>
          <cell r="G373" t="e">
            <v>#N/A</v>
          </cell>
          <cell r="H373" t="e">
            <v>#N/A</v>
          </cell>
        </row>
        <row r="374">
          <cell r="B374">
            <v>5030101</v>
          </cell>
          <cell r="C374" t="str">
            <v>Echantillon - Lait Crème pour le Corps Rose - 5 ml</v>
          </cell>
          <cell r="D374" t="str">
            <v>420005878</v>
          </cell>
          <cell r="E374" t="str">
            <v>4020829097919</v>
          </cell>
          <cell r="G374" t="e">
            <v>#N/A</v>
          </cell>
          <cell r="H374" t="e">
            <v>#N/A</v>
          </cell>
        </row>
        <row r="375">
          <cell r="B375">
            <v>5010102</v>
          </cell>
          <cell r="C375" t="str">
            <v>Echantillon - Lait Démaquillant et Nettoyant - 5 ml</v>
          </cell>
          <cell r="D375" t="str">
            <v>420004697</v>
          </cell>
          <cell r="E375" t="str">
            <v>4020829081253</v>
          </cell>
          <cell r="G375" t="e">
            <v>#N/A</v>
          </cell>
          <cell r="H375" t="e">
            <v>#N/A</v>
          </cell>
        </row>
        <row r="376">
          <cell r="B376">
            <v>5030125</v>
          </cell>
          <cell r="C376" t="str">
            <v>Echantillon - Lait pour le Corps Bergamote Citronnelle - 5 ml</v>
          </cell>
          <cell r="D376" t="str">
            <v>420006081</v>
          </cell>
          <cell r="E376" t="str">
            <v>4020829100268</v>
          </cell>
          <cell r="G376" t="e">
            <v>#N/A</v>
          </cell>
          <cell r="H376" t="e">
            <v>#N/A</v>
          </cell>
        </row>
        <row r="377">
          <cell r="B377">
            <v>5050101</v>
          </cell>
          <cell r="C377" t="str">
            <v>Echantillon - Lait pour le corps à la Ficoïde à Cristaux - 5 ml + Flyer</v>
          </cell>
          <cell r="D377" t="str">
            <v>420004369</v>
          </cell>
          <cell r="E377" t="str">
            <v>4020829076266</v>
          </cell>
          <cell r="G377" t="e">
            <v>#N/A</v>
          </cell>
          <cell r="H377" t="e">
            <v>#N/A</v>
          </cell>
        </row>
        <row r="378">
          <cell r="B378">
            <v>5010707</v>
          </cell>
          <cell r="C378" t="str">
            <v>Echantillon - Masque Revitalisant - 2,5 ml</v>
          </cell>
          <cell r="D378" t="str">
            <v>429000363</v>
          </cell>
          <cell r="E378" t="str">
            <v>4020829090866</v>
          </cell>
          <cell r="G378" t="e">
            <v>#N/A</v>
          </cell>
          <cell r="H378" t="e">
            <v>#N/A</v>
          </cell>
        </row>
        <row r="379">
          <cell r="B379">
            <v>5020717</v>
          </cell>
          <cell r="C379" t="str">
            <v>Echantillon - Sérum Contour des Yeux - Régénérant Intensif 1,5ml</v>
          </cell>
          <cell r="D379" t="str">
            <v>420006135</v>
          </cell>
          <cell r="E379" t="str">
            <v>4020829100923</v>
          </cell>
          <cell r="G379" t="e">
            <v>#N/A</v>
          </cell>
          <cell r="H379" t="e">
            <v>#N/A</v>
          </cell>
        </row>
        <row r="380">
          <cell r="B380">
            <v>5020704</v>
          </cell>
          <cell r="C380" t="str">
            <v xml:space="preserve">Echantillon - Sérum Huile Régénérant Intensif - 1,5 ml </v>
          </cell>
          <cell r="D380" t="str">
            <v>420004245</v>
          </cell>
          <cell r="E380" t="str">
            <v>4020829074286</v>
          </cell>
          <cell r="G380" t="e">
            <v>#N/A</v>
          </cell>
          <cell r="H380" t="e">
            <v>#N/A</v>
          </cell>
        </row>
        <row r="381">
          <cell r="B381">
            <v>5020201</v>
          </cell>
          <cell r="C381" t="str">
            <v>Echantillon - Sérum Régénérant Jour / Nuit avec fly - 1,5 ml</v>
          </cell>
          <cell r="D381" t="str">
            <v>420006320</v>
          </cell>
          <cell r="E381" t="str">
            <v>4020829104556</v>
          </cell>
          <cell r="G381" t="e">
            <v>#N/A</v>
          </cell>
          <cell r="H381" t="e">
            <v>#N/A</v>
          </cell>
        </row>
        <row r="382">
          <cell r="B382">
            <v>5020718</v>
          </cell>
          <cell r="C382" t="str">
            <v>Echantillon - Sérum de Nuit - Régénérant Intensif 30ml 1,5ml</v>
          </cell>
          <cell r="D382" t="str">
            <v>420006140</v>
          </cell>
          <cell r="E382" t="str">
            <v>4020829100978</v>
          </cell>
          <cell r="G382" t="e">
            <v>#N/A</v>
          </cell>
          <cell r="H382" t="e">
            <v>#N/A</v>
          </cell>
        </row>
        <row r="383">
          <cell r="B383">
            <v>5050503</v>
          </cell>
          <cell r="C383" t="str">
            <v>Echantillon Masque pour le Cuir Chevelu aux Graines de Courge - 2 ml</v>
          </cell>
          <cell r="D383" t="str">
            <v>420004991</v>
          </cell>
          <cell r="E383" t="str">
            <v>4020829086050</v>
          </cell>
          <cell r="G383" t="e">
            <v>#N/A</v>
          </cell>
          <cell r="H383" t="e">
            <v>#N/A</v>
          </cell>
        </row>
        <row r="384">
          <cell r="B384">
            <v>5050501</v>
          </cell>
          <cell r="C384" t="str">
            <v>Echantillon Shampooing à la Ficoïde à Cristaux - 10 ml</v>
          </cell>
          <cell r="D384" t="str">
            <v>420004976</v>
          </cell>
          <cell r="E384" t="str">
            <v>4020829085909</v>
          </cell>
          <cell r="G384" t="e">
            <v>#N/A</v>
          </cell>
          <cell r="H384" t="e">
            <v>#N/A</v>
          </cell>
        </row>
        <row r="385">
          <cell r="B385">
            <v>5050502</v>
          </cell>
          <cell r="C385" t="str">
            <v>Echantillon Shampooing-Crème au Rhassoul - 10ml</v>
          </cell>
          <cell r="D385" t="str">
            <v>420004989</v>
          </cell>
          <cell r="E385" t="str">
            <v>4020829086029</v>
          </cell>
          <cell r="G385" t="e">
            <v>#N/A</v>
          </cell>
          <cell r="H385" t="e">
            <v>#N/A</v>
          </cell>
        </row>
        <row r="386">
          <cell r="B386">
            <v>5050201</v>
          </cell>
          <cell r="C386" t="str">
            <v>Echantillon - Crème Intensive à la Ficoïde à Cristaux - 1,5 ml</v>
          </cell>
          <cell r="D386" t="str">
            <v>420005517</v>
          </cell>
          <cell r="E386" t="str">
            <v>4020829092341</v>
          </cell>
          <cell r="G386" t="e">
            <v>#N/A</v>
          </cell>
          <cell r="H386" t="e">
            <v>#N/A</v>
          </cell>
        </row>
        <row r="387">
          <cell r="B387">
            <v>6300138</v>
          </cell>
          <cell r="C387" t="str">
            <v>Emballage vide Après-Shampooing</v>
          </cell>
          <cell r="D387" t="str">
            <v>420004899</v>
          </cell>
          <cell r="E387" t="str">
            <v>9999996300138</v>
          </cell>
          <cell r="G387" t="e">
            <v>#N/A</v>
          </cell>
          <cell r="H387" t="e">
            <v>#N/A</v>
          </cell>
        </row>
        <row r="388">
          <cell r="B388">
            <v>6300137</v>
          </cell>
          <cell r="C388" t="str">
            <v>Emballage vide Shampooing</v>
          </cell>
          <cell r="D388" t="str">
            <v>420004898</v>
          </cell>
          <cell r="E388" t="str">
            <v>9999996300137</v>
          </cell>
          <cell r="G388" t="e">
            <v>#N/A</v>
          </cell>
          <cell r="H388" t="e">
            <v>#N/A</v>
          </cell>
        </row>
        <row r="389">
          <cell r="B389">
            <v>1010353</v>
          </cell>
          <cell r="C389" t="str">
            <v>Emulsion Teintée - 18 ml</v>
          </cell>
          <cell r="D389" t="str">
            <v>420004120</v>
          </cell>
          <cell r="E389" t="str">
            <v>4020829072817</v>
          </cell>
          <cell r="G389">
            <v>14.414166666666665</v>
          </cell>
          <cell r="H389">
            <v>24.5</v>
          </cell>
        </row>
        <row r="390">
          <cell r="B390">
            <v>1810353</v>
          </cell>
          <cell r="C390" t="str">
            <v>Emulsion Teintée - 18 ml*DLV 10/2025* - 10 %*</v>
          </cell>
          <cell r="D390" t="str">
            <v>W1810353</v>
          </cell>
          <cell r="E390" t="str">
            <v>9999991810353</v>
          </cell>
          <cell r="G390" t="e">
            <v>#N/A</v>
          </cell>
          <cell r="H390" t="e">
            <v>#N/A</v>
          </cell>
        </row>
        <row r="391">
          <cell r="B391">
            <v>6500144</v>
          </cell>
          <cell r="C391" t="str">
            <v>Encart de com. nouveauté maquillage 2024 - kit mise à jour</v>
          </cell>
          <cell r="D391" t="str">
            <v>6500144</v>
          </cell>
          <cell r="E391" t="str">
            <v>650014499999</v>
          </cell>
          <cell r="G391" t="e">
            <v>#N/A</v>
          </cell>
          <cell r="H391" t="e">
            <v>#N/A</v>
          </cell>
        </row>
        <row r="392">
          <cell r="B392">
            <v>6500145</v>
          </cell>
          <cell r="C392" t="str">
            <v>Encart de com. nouveauté maquillage 2024 - meubles</v>
          </cell>
          <cell r="D392" t="str">
            <v>6500145</v>
          </cell>
          <cell r="E392" t="str">
            <v>650014599999</v>
          </cell>
          <cell r="G392" t="e">
            <v>#N/A</v>
          </cell>
          <cell r="H392" t="e">
            <v>#N/A</v>
          </cell>
        </row>
        <row r="393">
          <cell r="B393">
            <v>6500161</v>
          </cell>
          <cell r="C393" t="str">
            <v>Encarts de communication ancien meuble Maquillage Printemps 2025</v>
          </cell>
          <cell r="G393" t="e">
            <v>#N/A</v>
          </cell>
          <cell r="H393" t="e">
            <v>#N/A</v>
          </cell>
        </row>
        <row r="394">
          <cell r="B394">
            <v>6500160</v>
          </cell>
          <cell r="C394" t="str">
            <v>Encarts de communication nouveaux meubles Maquillage Printemps 2025</v>
          </cell>
          <cell r="G394" t="e">
            <v>#N/A</v>
          </cell>
          <cell r="H394" t="e">
            <v>#N/A</v>
          </cell>
        </row>
        <row r="395">
          <cell r="B395" t="str">
            <v>DDC</v>
          </cell>
          <cell r="C395" t="str">
            <v>Enveloppe 1ère Commande</v>
          </cell>
          <cell r="E395" t="str">
            <v>9999991234567</v>
          </cell>
          <cell r="G395" t="e">
            <v>#N/A</v>
          </cell>
          <cell r="H395" t="e">
            <v>#N/A</v>
          </cell>
        </row>
        <row r="396">
          <cell r="B396">
            <v>6700083</v>
          </cell>
          <cell r="C396" t="str">
            <v xml:space="preserve">Enveloppe 1ère Commande Biocoop grade 1 + dossier des composants </v>
          </cell>
          <cell r="G396" t="e">
            <v>#N/A</v>
          </cell>
          <cell r="H396" t="e">
            <v>#N/A</v>
          </cell>
        </row>
        <row r="397">
          <cell r="B397">
            <v>6700084</v>
          </cell>
          <cell r="C397" t="str">
            <v xml:space="preserve">Enveloppe 1ère Commande Biocoop grade 2 + dossier des composants </v>
          </cell>
          <cell r="G397" t="e">
            <v>#N/A</v>
          </cell>
          <cell r="H397" t="e">
            <v>#N/A</v>
          </cell>
        </row>
        <row r="398">
          <cell r="B398">
            <v>6700085</v>
          </cell>
          <cell r="C398" t="str">
            <v xml:space="preserve">Enveloppe 1ère Commande Biocoop grade 3 + dossier des composants </v>
          </cell>
          <cell r="G398" t="e">
            <v>#N/A</v>
          </cell>
          <cell r="H398" t="e">
            <v>#N/A</v>
          </cell>
        </row>
        <row r="399">
          <cell r="B399">
            <v>1080118</v>
          </cell>
          <cell r="C399" t="str">
            <v>Eponge Cosmétique Dr. Hauschka</v>
          </cell>
          <cell r="D399" t="str">
            <v>420004638</v>
          </cell>
          <cell r="E399" t="str">
            <v>4020829080119</v>
          </cell>
          <cell r="G399">
            <v>3.88</v>
          </cell>
          <cell r="H399">
            <v>6.6</v>
          </cell>
        </row>
        <row r="400">
          <cell r="B400">
            <v>901947</v>
          </cell>
          <cell r="C400" t="str">
            <v>Eponges Maquillage  « Goutte »</v>
          </cell>
          <cell r="D400" t="str">
            <v>410003203</v>
          </cell>
          <cell r="E400" t="str">
            <v>999999901947</v>
          </cell>
          <cell r="G400" t="e">
            <v>#N/A</v>
          </cell>
          <cell r="H400" t="e">
            <v>#N/A</v>
          </cell>
        </row>
        <row r="401">
          <cell r="B401">
            <v>7031376</v>
          </cell>
          <cell r="C401" t="str">
            <v>Essentiel - MEA Corps 2024</v>
          </cell>
          <cell r="G401" t="e">
            <v>#N/A</v>
          </cell>
          <cell r="H401" t="e">
            <v>#N/A</v>
          </cell>
        </row>
        <row r="402">
          <cell r="B402" t="str">
            <v>AV7031376</v>
          </cell>
          <cell r="C402" t="str">
            <v>Essentiel - MEA Corps 2024</v>
          </cell>
          <cell r="G402" t="e">
            <v>#N/A</v>
          </cell>
          <cell r="H402" t="e">
            <v>#N/A</v>
          </cell>
        </row>
        <row r="403">
          <cell r="B403">
            <v>7000364</v>
          </cell>
          <cell r="C403" t="str">
            <v>Essentiel - MEA Crème Purifiante pour le Visage</v>
          </cell>
          <cell r="G403" t="e">
            <v>#N/A</v>
          </cell>
          <cell r="H403" t="e">
            <v>#N/A</v>
          </cell>
        </row>
        <row r="404">
          <cell r="B404" t="str">
            <v>AV7000364</v>
          </cell>
          <cell r="C404" t="str">
            <v>Essentiel - MEA Crème Purifiante pour le Visage</v>
          </cell>
          <cell r="G404" t="e">
            <v>#N/A</v>
          </cell>
          <cell r="H404" t="e">
            <v>#N/A</v>
          </cell>
        </row>
        <row r="405">
          <cell r="B405">
            <v>7000365</v>
          </cell>
          <cell r="C405" t="str">
            <v>Essentiel - MEA Crème Purifiante pour le Visage *sans PLV volumineuse*</v>
          </cell>
          <cell r="G405" t="e">
            <v>#N/A</v>
          </cell>
          <cell r="H405" t="e">
            <v>#N/A</v>
          </cell>
        </row>
        <row r="406">
          <cell r="B406" t="str">
            <v>AV7000365</v>
          </cell>
          <cell r="C406" t="str">
            <v>Essentiel - MEA Crème Purifiante pour le Visage *sans PLV volumineuse*</v>
          </cell>
          <cell r="G406" t="e">
            <v>#N/A</v>
          </cell>
          <cell r="H406" t="e">
            <v>#N/A</v>
          </cell>
        </row>
        <row r="407">
          <cell r="B407" t="str">
            <v>7XXX</v>
          </cell>
          <cell r="C407" t="str">
            <v>Essentiel - MEA Huiles et Laits 2023 (copie)</v>
          </cell>
          <cell r="G407" t="e">
            <v>#N/A</v>
          </cell>
          <cell r="H407" t="e">
            <v>#N/A</v>
          </cell>
        </row>
        <row r="408">
          <cell r="B408" t="str">
            <v>AV7131322</v>
          </cell>
          <cell r="C408" t="str">
            <v>Essentiel - MEA Noël 2023</v>
          </cell>
          <cell r="G408" t="e">
            <v>#N/A</v>
          </cell>
          <cell r="H408" t="e">
            <v>#N/A</v>
          </cell>
        </row>
        <row r="409">
          <cell r="B409" t="str">
            <v>AV7000368</v>
          </cell>
          <cell r="C409" t="str">
            <v>Essentiel - MEA Noël 2024</v>
          </cell>
          <cell r="G409" t="e">
            <v>#N/A</v>
          </cell>
          <cell r="H409" t="e">
            <v>#N/A</v>
          </cell>
        </row>
        <row r="410">
          <cell r="B410">
            <v>7000368</v>
          </cell>
          <cell r="C410" t="str">
            <v>Essentiel - MEA Noël 2024</v>
          </cell>
          <cell r="G410" t="e">
            <v>#N/A</v>
          </cell>
          <cell r="H410" t="e">
            <v>#N/A</v>
          </cell>
        </row>
        <row r="411">
          <cell r="B411">
            <v>7000369</v>
          </cell>
          <cell r="C411" t="str">
            <v>Essentiel - MEA Noël 2024 *sans panneau vitrine</v>
          </cell>
          <cell r="G411" t="e">
            <v>#N/A</v>
          </cell>
          <cell r="H411" t="e">
            <v>#N/A</v>
          </cell>
        </row>
        <row r="412">
          <cell r="B412" t="str">
            <v>AV7000369</v>
          </cell>
          <cell r="C412" t="str">
            <v>Essentiel - MEA Noël 2024 *sans panneau vitrine*</v>
          </cell>
          <cell r="G412" t="e">
            <v>#N/A</v>
          </cell>
          <cell r="H412" t="e">
            <v>#N/A</v>
          </cell>
        </row>
        <row r="413">
          <cell r="B413" t="str">
            <v>AV7131341</v>
          </cell>
          <cell r="C413" t="str">
            <v>Essentiel - MEA OnPacks 2024</v>
          </cell>
          <cell r="G413" t="e">
            <v>#N/A</v>
          </cell>
          <cell r="H413" t="e">
            <v>#N/A</v>
          </cell>
        </row>
        <row r="414">
          <cell r="B414">
            <v>7131341</v>
          </cell>
          <cell r="C414" t="str">
            <v>Essentiel - MEA OnPacks 2024</v>
          </cell>
          <cell r="G414" t="e">
            <v>#N/A</v>
          </cell>
          <cell r="H414" t="e">
            <v>#N/A</v>
          </cell>
        </row>
        <row r="415">
          <cell r="B415">
            <v>7131342</v>
          </cell>
          <cell r="C415" t="str">
            <v>Essentiel - MEA OnPacks 2024 *sans PLV volumineuse*</v>
          </cell>
          <cell r="G415" t="e">
            <v>#N/A</v>
          </cell>
          <cell r="H415" t="e">
            <v>#N/A</v>
          </cell>
        </row>
        <row r="416">
          <cell r="B416" t="str">
            <v>AV7131342</v>
          </cell>
          <cell r="C416" t="str">
            <v>Essentiel - MEA OnPacks 2024 *sans PLV volumineuse*</v>
          </cell>
          <cell r="G416" t="e">
            <v>#N/A</v>
          </cell>
          <cell r="H416" t="e">
            <v>#N/A</v>
          </cell>
        </row>
        <row r="417">
          <cell r="B417">
            <v>7131300</v>
          </cell>
          <cell r="C417" t="str">
            <v>Essentiel - MEA Partenariat Kenya Édition Limitée 2023</v>
          </cell>
          <cell r="G417" t="e">
            <v>#N/A</v>
          </cell>
          <cell r="H417" t="e">
            <v>#N/A</v>
          </cell>
        </row>
        <row r="418">
          <cell r="B418" t="str">
            <v>AV7131308</v>
          </cell>
          <cell r="C418" t="str">
            <v>Essentiel - MEA Partenariat Kenya Édition Limitée 2023 sans PLV</v>
          </cell>
          <cell r="G418" t="e">
            <v>#N/A</v>
          </cell>
          <cell r="H418" t="e">
            <v>#N/A</v>
          </cell>
        </row>
        <row r="419">
          <cell r="B419">
            <v>7131319</v>
          </cell>
          <cell r="C419" t="str">
            <v>Essentiel - MEA Rituel Pureté</v>
          </cell>
          <cell r="G419" t="e">
            <v>#N/A</v>
          </cell>
          <cell r="H419" t="e">
            <v>#N/A</v>
          </cell>
        </row>
        <row r="420">
          <cell r="B420" t="str">
            <v>AV6131319</v>
          </cell>
          <cell r="C420" t="str">
            <v>Essentiel - MEA Rituel Pureté</v>
          </cell>
          <cell r="G420" t="e">
            <v>#N/A</v>
          </cell>
          <cell r="H420" t="e">
            <v>#N/A</v>
          </cell>
        </row>
        <row r="421">
          <cell r="B421" t="str">
            <v>AV7021334</v>
          </cell>
          <cell r="C421" t="str">
            <v>Essentiel - MEA Régénérants 2024</v>
          </cell>
          <cell r="G421" t="e">
            <v>#N/A</v>
          </cell>
          <cell r="H421" t="e">
            <v>#N/A</v>
          </cell>
        </row>
        <row r="422">
          <cell r="B422">
            <v>7021334</v>
          </cell>
          <cell r="C422" t="str">
            <v>Essentiel - MEA Régénérants 2024</v>
          </cell>
          <cell r="G422" t="e">
            <v>#N/A</v>
          </cell>
          <cell r="H422" t="e">
            <v>#N/A</v>
          </cell>
        </row>
        <row r="423">
          <cell r="B423">
            <v>7021335</v>
          </cell>
          <cell r="C423" t="str">
            <v>Essentiel - MEA Régénérants 2024 *sans PLV volumineuse*</v>
          </cell>
          <cell r="G423" t="e">
            <v>#N/A</v>
          </cell>
          <cell r="H423" t="e">
            <v>#N/A</v>
          </cell>
        </row>
        <row r="424">
          <cell r="B424" t="str">
            <v>AV7021335</v>
          </cell>
          <cell r="C424" t="str">
            <v>Essentiel - MEA Régénérants 2024 *sans PLV volumineuse*</v>
          </cell>
          <cell r="G424" t="e">
            <v>#N/A</v>
          </cell>
          <cell r="H424" t="e">
            <v>#N/A</v>
          </cell>
        </row>
        <row r="425">
          <cell r="B425">
            <v>7131349</v>
          </cell>
          <cell r="C425" t="str">
            <v>Essentiel - MEA Solaires 2024</v>
          </cell>
          <cell r="G425" t="e">
            <v>#N/A</v>
          </cell>
          <cell r="H425" t="e">
            <v>#N/A</v>
          </cell>
        </row>
        <row r="426">
          <cell r="B426" t="str">
            <v>AV7131349</v>
          </cell>
          <cell r="C426" t="str">
            <v>Essentiel - MEA Solaires 2024</v>
          </cell>
          <cell r="G426" t="e">
            <v>#N/A</v>
          </cell>
          <cell r="H426" t="e">
            <v>#N/A</v>
          </cell>
        </row>
        <row r="427">
          <cell r="B427" t="str">
            <v>AV7131354</v>
          </cell>
          <cell r="C427" t="str">
            <v>Essentiel - Édition Limitée Anthyllide 2024</v>
          </cell>
          <cell r="G427" t="e">
            <v>#N/A</v>
          </cell>
          <cell r="H427" t="e">
            <v>#N/A</v>
          </cell>
        </row>
        <row r="428">
          <cell r="B428">
            <v>7131354</v>
          </cell>
          <cell r="C428" t="str">
            <v>Essentiel - Édition Limitée Anthyllide 2024</v>
          </cell>
          <cell r="G428" t="e">
            <v>#N/A</v>
          </cell>
          <cell r="H428" t="e">
            <v>#N/A</v>
          </cell>
        </row>
        <row r="429">
          <cell r="B429">
            <v>901940</v>
          </cell>
          <cell r="C429" t="str">
            <v>Etui pour pinceaux</v>
          </cell>
          <cell r="D429" t="str">
            <v>410003272</v>
          </cell>
          <cell r="E429" t="str">
            <v>999999901940</v>
          </cell>
          <cell r="G429" t="e">
            <v>#N/A</v>
          </cell>
          <cell r="H429" t="e">
            <v>#N/A</v>
          </cell>
        </row>
        <row r="430">
          <cell r="B430" t="str">
            <v>AV7041323</v>
          </cell>
          <cell r="C430" t="str">
            <v>Exclusivité Institut - MEA Noël 2023</v>
          </cell>
          <cell r="G430" t="e">
            <v>#N/A</v>
          </cell>
          <cell r="H430" t="e">
            <v>#N/A</v>
          </cell>
        </row>
        <row r="431">
          <cell r="B431" t="str">
            <v>AV7131320</v>
          </cell>
          <cell r="C431" t="str">
            <v>Exclusivité Institut - MEA Rituel Pureté</v>
          </cell>
          <cell r="G431" t="e">
            <v>#N/A</v>
          </cell>
          <cell r="H431" t="e">
            <v>#N/A</v>
          </cell>
        </row>
        <row r="432">
          <cell r="B432">
            <v>7041329</v>
          </cell>
          <cell r="C432" t="str">
            <v>Exclusivité Institut - MEA2 Noël 2023</v>
          </cell>
          <cell r="G432" t="e">
            <v>#N/A</v>
          </cell>
          <cell r="H432" t="e">
            <v>#N/A</v>
          </cell>
        </row>
        <row r="433">
          <cell r="B433" t="str">
            <v>AV7041329</v>
          </cell>
          <cell r="C433" t="str">
            <v>Exclusivité Institut - MEA2 Noël 2023</v>
          </cell>
          <cell r="G433" t="e">
            <v>#N/A</v>
          </cell>
          <cell r="H433" t="e">
            <v>#N/A</v>
          </cell>
        </row>
        <row r="434">
          <cell r="B434">
            <v>7131347</v>
          </cell>
          <cell r="C434" t="str">
            <v>Exclusivité Institut OPCA 400€ - Fête des Mères 2024</v>
          </cell>
          <cell r="G434" t="e">
            <v>#N/A</v>
          </cell>
          <cell r="H434" t="e">
            <v>#N/A</v>
          </cell>
        </row>
        <row r="435">
          <cell r="B435" t="str">
            <v>AV7131347</v>
          </cell>
          <cell r="C435" t="str">
            <v>Exclusivité Institut OPCA 400€ - Fête des Mères 2024</v>
          </cell>
          <cell r="G435" t="e">
            <v>#N/A</v>
          </cell>
          <cell r="H435" t="e">
            <v>#N/A</v>
          </cell>
        </row>
        <row r="436">
          <cell r="B436" t="str">
            <v>AV7031346</v>
          </cell>
          <cell r="C436" t="str">
            <v>Exclusivité Institut OPCA 400€ - St Valentin 2024</v>
          </cell>
          <cell r="G436" t="e">
            <v>#N/A</v>
          </cell>
          <cell r="H436" t="e">
            <v>#N/A</v>
          </cell>
        </row>
        <row r="437">
          <cell r="B437">
            <v>7031346</v>
          </cell>
          <cell r="C437" t="str">
            <v>Exclusivité Institut OPCA 400€ - St Valentin 2024</v>
          </cell>
          <cell r="G437" t="e">
            <v>#N/A</v>
          </cell>
          <cell r="H437" t="e">
            <v>#N/A</v>
          </cell>
        </row>
        <row r="438">
          <cell r="B438" t="str">
            <v>AV7131324</v>
          </cell>
          <cell r="C438" t="str">
            <v>Exclusivité Institut OPCA 800€ - MEA Noël 2023</v>
          </cell>
          <cell r="G438" t="e">
            <v>#N/A</v>
          </cell>
          <cell r="H438" t="e">
            <v>#N/A</v>
          </cell>
        </row>
        <row r="439">
          <cell r="B439">
            <v>1060605</v>
          </cell>
          <cell r="C439" t="str">
            <v>Eyeliner liquide 01 noir</v>
          </cell>
          <cell r="D439" t="str">
            <v>420005981</v>
          </cell>
          <cell r="E439" t="str">
            <v>4020829099104</v>
          </cell>
          <cell r="G439">
            <v>13.234090909090908</v>
          </cell>
          <cell r="H439">
            <v>22.5</v>
          </cell>
        </row>
        <row r="440">
          <cell r="B440">
            <v>1060603</v>
          </cell>
          <cell r="C440" t="str">
            <v>Eyeliner liquide 01 noir - Dernières unités avant retour Oct 23</v>
          </cell>
          <cell r="D440" t="str">
            <v>420003334</v>
          </cell>
          <cell r="E440" t="str">
            <v>4020829058583</v>
          </cell>
          <cell r="G440" t="e">
            <v>#N/A</v>
          </cell>
          <cell r="H440" t="e">
            <v>#N/A</v>
          </cell>
        </row>
        <row r="441">
          <cell r="B441">
            <v>6200026</v>
          </cell>
          <cell r="C441" t="str">
            <v>Façade de tiroir Accessoires</v>
          </cell>
          <cell r="D441" t="str">
            <v>410004115</v>
          </cell>
          <cell r="E441" t="str">
            <v>4020829061934</v>
          </cell>
          <cell r="G441" t="e">
            <v>#N/A</v>
          </cell>
          <cell r="H441" t="e">
            <v>#N/A</v>
          </cell>
        </row>
        <row r="442">
          <cell r="B442">
            <v>6200027</v>
          </cell>
          <cell r="C442" t="str">
            <v>Façade de tiroir Lèvres</v>
          </cell>
          <cell r="D442" t="str">
            <v>410004113</v>
          </cell>
          <cell r="E442" t="str">
            <v>4020829061910</v>
          </cell>
          <cell r="G442" t="e">
            <v>#N/A</v>
          </cell>
          <cell r="H442" t="e">
            <v>#N/A</v>
          </cell>
        </row>
        <row r="443">
          <cell r="B443">
            <v>6200024</v>
          </cell>
          <cell r="C443" t="str">
            <v>Façade de tiroir Teints</v>
          </cell>
          <cell r="D443" t="str">
            <v>410004114</v>
          </cell>
          <cell r="E443" t="str">
            <v>4020829061927</v>
          </cell>
          <cell r="G443" t="e">
            <v>#N/A</v>
          </cell>
          <cell r="H443" t="e">
            <v>#N/A</v>
          </cell>
        </row>
        <row r="444">
          <cell r="B444">
            <v>6200025</v>
          </cell>
          <cell r="C444" t="str">
            <v>Façade de tiroir Yeux</v>
          </cell>
          <cell r="D444" t="str">
            <v>410004112</v>
          </cell>
          <cell r="E444" t="str">
            <v>4020829061903</v>
          </cell>
          <cell r="G444" t="e">
            <v>#N/A</v>
          </cell>
          <cell r="H444" t="e">
            <v>#N/A</v>
          </cell>
        </row>
        <row r="445">
          <cell r="B445">
            <v>6700091</v>
          </cell>
          <cell r="C445" t="str">
            <v>Fiche Conseil Beauté</v>
          </cell>
          <cell r="D445" t="str">
            <v>6700091</v>
          </cell>
          <cell r="E445" t="str">
            <v>9999996700091</v>
          </cell>
          <cell r="G445" t="e">
            <v>#N/A</v>
          </cell>
          <cell r="H445" t="e">
            <v>#N/A</v>
          </cell>
        </row>
        <row r="446">
          <cell r="B446">
            <v>671685</v>
          </cell>
          <cell r="C446" t="str">
            <v>Fiche Diagnostique</v>
          </cell>
          <cell r="D446" t="str">
            <v>671685</v>
          </cell>
          <cell r="E446" t="str">
            <v>999999671685</v>
          </cell>
          <cell r="G446" t="e">
            <v>#N/A</v>
          </cell>
          <cell r="H446" t="e">
            <v>#N/A</v>
          </cell>
        </row>
        <row r="447">
          <cell r="B447" t="str">
            <v>FINFO</v>
          </cell>
          <cell r="C447" t="str">
            <v>Fiche Info Clients - Offre de mise en place Nvx Packagings</v>
          </cell>
          <cell r="E447" t="str">
            <v>9999FINFO</v>
          </cell>
          <cell r="G447" t="e">
            <v>#N/A</v>
          </cell>
          <cell r="H447" t="e">
            <v>#N/A</v>
          </cell>
        </row>
        <row r="448">
          <cell r="B448">
            <v>6700081</v>
          </cell>
          <cell r="C448" t="str">
            <v>Fiche conseil peaux matures</v>
          </cell>
          <cell r="D448" t="str">
            <v>6700081</v>
          </cell>
          <cell r="E448" t="str">
            <v>9999996700081</v>
          </cell>
          <cell r="G448" t="e">
            <v>#N/A</v>
          </cell>
          <cell r="H448" t="e">
            <v>#N/A</v>
          </cell>
        </row>
        <row r="449">
          <cell r="B449" t="str">
            <v>FBAINSINST</v>
          </cell>
          <cell r="C449" t="str">
            <v>Fiche produit Bains Institut</v>
          </cell>
          <cell r="E449" t="str">
            <v>9999FBAINSINST</v>
          </cell>
          <cell r="G449" t="e">
            <v>#N/A</v>
          </cell>
          <cell r="H449" t="e">
            <v>#N/A</v>
          </cell>
        </row>
        <row r="450">
          <cell r="B450" t="str">
            <v>FBAINSREV</v>
          </cell>
          <cell r="C450" t="str">
            <v>Fiche produit Bains Revendeur</v>
          </cell>
          <cell r="E450" t="str">
            <v>9999FBAINSREV</v>
          </cell>
          <cell r="G450" t="e">
            <v>#N/A</v>
          </cell>
          <cell r="H450" t="e">
            <v>#N/A</v>
          </cell>
        </row>
        <row r="451">
          <cell r="B451">
            <v>901914</v>
          </cell>
          <cell r="C451" t="str">
            <v>Fiche technique</v>
          </cell>
          <cell r="E451" t="str">
            <v>999999901914</v>
          </cell>
          <cell r="G451" t="e">
            <v>#N/A</v>
          </cell>
          <cell r="H451" t="e">
            <v>#N/A</v>
          </cell>
        </row>
        <row r="452">
          <cell r="B452">
            <v>1061029</v>
          </cell>
          <cell r="C452" t="str">
            <v>Fluide Eclat</v>
          </cell>
          <cell r="D452" t="str">
            <v>420005988</v>
          </cell>
          <cell r="E452" t="str">
            <v>4020829099173</v>
          </cell>
          <cell r="G452">
            <v>18.533009708737865</v>
          </cell>
          <cell r="H452">
            <v>31.5</v>
          </cell>
        </row>
        <row r="453">
          <cell r="B453">
            <v>8061029</v>
          </cell>
          <cell r="C453" t="str">
            <v>Fluide Eclat</v>
          </cell>
          <cell r="D453" t="str">
            <v>8061029</v>
          </cell>
          <cell r="E453" t="str">
            <v>9999998061029</v>
          </cell>
          <cell r="G453" t="e">
            <v>#N/A</v>
          </cell>
          <cell r="H453" t="e">
            <v>#N/A</v>
          </cell>
        </row>
        <row r="454">
          <cell r="B454">
            <v>1010360</v>
          </cell>
          <cell r="C454" t="str">
            <v>Fluide de Jour Apaisant - 50 ml</v>
          </cell>
          <cell r="D454" t="str">
            <v>420004646</v>
          </cell>
          <cell r="E454" t="str">
            <v>4020829080553</v>
          </cell>
          <cell r="G454">
            <v>19.41</v>
          </cell>
          <cell r="H454">
            <v>33</v>
          </cell>
        </row>
        <row r="455">
          <cell r="B455">
            <v>1010361</v>
          </cell>
          <cell r="C455" t="str">
            <v>Fluide de Jour Equilibrant - 50 ml</v>
          </cell>
          <cell r="D455" t="str">
            <v>420004653</v>
          </cell>
          <cell r="E455" t="str">
            <v>4020829080621</v>
          </cell>
          <cell r="G455">
            <v>18.818808777429471</v>
          </cell>
          <cell r="H455">
            <v>32</v>
          </cell>
        </row>
        <row r="456">
          <cell r="B456">
            <v>1810361</v>
          </cell>
          <cell r="C456" t="str">
            <v>Fluide de Jour Equilibrant - 50 ml*DLV 03/2025*</v>
          </cell>
          <cell r="D456" t="str">
            <v>W1810361</v>
          </cell>
          <cell r="E456" t="str">
            <v>9999991810361</v>
          </cell>
          <cell r="G456" t="e">
            <v>#N/A</v>
          </cell>
          <cell r="H456" t="e">
            <v>#N/A</v>
          </cell>
        </row>
        <row r="457">
          <cell r="B457">
            <v>1010359</v>
          </cell>
          <cell r="C457" t="str">
            <v>Fluide de Jour Revitalisant - 50 ml</v>
          </cell>
          <cell r="D457" t="str">
            <v>420004641</v>
          </cell>
          <cell r="E457" t="str">
            <v>4020829080508</v>
          </cell>
          <cell r="G457">
            <v>17.59</v>
          </cell>
          <cell r="H457">
            <v>29.9</v>
          </cell>
        </row>
        <row r="458">
          <cell r="B458">
            <v>6700076</v>
          </cell>
          <cell r="C458" t="str">
            <v>Flyer institutionnel Dr. Hauschka</v>
          </cell>
          <cell r="D458" t="str">
            <v>410006219</v>
          </cell>
          <cell r="E458" t="str">
            <v>4020829093324</v>
          </cell>
          <cell r="G458" t="e">
            <v>#N/A</v>
          </cell>
          <cell r="H458" t="e">
            <v>#N/A</v>
          </cell>
        </row>
        <row r="459">
          <cell r="B459">
            <v>1061021</v>
          </cell>
          <cell r="C459" t="str">
            <v>Fond de Teint 01 macadamia</v>
          </cell>
          <cell r="D459" t="str">
            <v>420005908</v>
          </cell>
          <cell r="E459" t="str">
            <v>4020829098374</v>
          </cell>
          <cell r="G459">
            <v>18.82</v>
          </cell>
          <cell r="H459">
            <v>32</v>
          </cell>
        </row>
        <row r="460">
          <cell r="B460">
            <v>1061001</v>
          </cell>
          <cell r="C460" t="str">
            <v>Fond de Teint 01 macadamia</v>
          </cell>
          <cell r="D460" t="str">
            <v>429000619</v>
          </cell>
          <cell r="E460" t="str">
            <v>4020829045101</v>
          </cell>
          <cell r="G460" t="e">
            <v>#N/A</v>
          </cell>
          <cell r="H460" t="e">
            <v>#N/A</v>
          </cell>
        </row>
        <row r="461">
          <cell r="B461">
            <v>1061022</v>
          </cell>
          <cell r="C461" t="str">
            <v>Fond de Teint 02 amande</v>
          </cell>
          <cell r="D461" t="str">
            <v>420005910</v>
          </cell>
          <cell r="E461" t="str">
            <v>4020829098398</v>
          </cell>
          <cell r="G461">
            <v>18.82</v>
          </cell>
          <cell r="H461">
            <v>32</v>
          </cell>
        </row>
        <row r="462">
          <cell r="B462">
            <v>1061002</v>
          </cell>
          <cell r="C462" t="str">
            <v>Fond de Teint 02 amande - Dernières unités avant retour Oct 23</v>
          </cell>
          <cell r="D462" t="str">
            <v>429000621</v>
          </cell>
          <cell r="E462" t="str">
            <v>4020829045125</v>
          </cell>
          <cell r="G462" t="e">
            <v>#N/A</v>
          </cell>
          <cell r="H462" t="e">
            <v>#N/A</v>
          </cell>
        </row>
        <row r="463">
          <cell r="B463">
            <v>1061023</v>
          </cell>
          <cell r="C463" t="str">
            <v>Fond de Teint 03 châtaigne</v>
          </cell>
          <cell r="D463" t="str">
            <v>420005912</v>
          </cell>
          <cell r="E463" t="str">
            <v>4020829098411</v>
          </cell>
          <cell r="G463">
            <v>18.82</v>
          </cell>
          <cell r="H463">
            <v>32</v>
          </cell>
        </row>
        <row r="464">
          <cell r="B464">
            <v>1061003</v>
          </cell>
          <cell r="C464" t="str">
            <v>Fond de Teint 03 châtaigne - Dernières unités avant retour Oct 23</v>
          </cell>
          <cell r="D464" t="str">
            <v>429000623</v>
          </cell>
          <cell r="E464" t="str">
            <v>4020829045149</v>
          </cell>
          <cell r="G464" t="e">
            <v>#N/A</v>
          </cell>
          <cell r="H464" t="e">
            <v>#N/A</v>
          </cell>
        </row>
        <row r="465">
          <cell r="B465">
            <v>1061024</v>
          </cell>
          <cell r="C465" t="str">
            <v>Fond de Teint 04 noisette</v>
          </cell>
          <cell r="D465" t="str">
            <v>420005914</v>
          </cell>
          <cell r="E465" t="str">
            <v>4020829098435</v>
          </cell>
          <cell r="G465">
            <v>18.82</v>
          </cell>
          <cell r="H465">
            <v>32</v>
          </cell>
        </row>
        <row r="466">
          <cell r="B466">
            <v>1061025</v>
          </cell>
          <cell r="C466" t="str">
            <v>Fond de Teint 05 muscade</v>
          </cell>
          <cell r="D466" t="str">
            <v>420005916</v>
          </cell>
          <cell r="E466" t="str">
            <v>4020829098459</v>
          </cell>
          <cell r="G466">
            <v>18.82</v>
          </cell>
          <cell r="H466">
            <v>32</v>
          </cell>
        </row>
        <row r="467">
          <cell r="B467">
            <v>1061005</v>
          </cell>
          <cell r="C467" t="str">
            <v>Fond de Teint 05 muscade - Dernières unités avant retour Oct 23</v>
          </cell>
          <cell r="D467" t="str">
            <v>429000627</v>
          </cell>
          <cell r="E467" t="str">
            <v>4020829045187</v>
          </cell>
          <cell r="G467" t="e">
            <v>#N/A</v>
          </cell>
          <cell r="H467" t="e">
            <v>#N/A</v>
          </cell>
        </row>
        <row r="468">
          <cell r="B468">
            <v>1061026</v>
          </cell>
          <cell r="C468" t="str">
            <v>Fond de Teint 06 noix</v>
          </cell>
          <cell r="D468" t="str">
            <v>420005918</v>
          </cell>
          <cell r="E468" t="str">
            <v>4020829098473</v>
          </cell>
          <cell r="G468">
            <v>18.82</v>
          </cell>
          <cell r="H468">
            <v>32</v>
          </cell>
        </row>
        <row r="469">
          <cell r="B469">
            <v>1061006</v>
          </cell>
          <cell r="C469" t="str">
            <v>Fond de Teint 06 noix</v>
          </cell>
          <cell r="D469" t="str">
            <v>429000629</v>
          </cell>
          <cell r="E469" t="str">
            <v>4020829045200</v>
          </cell>
          <cell r="G469" t="e">
            <v>#N/A</v>
          </cell>
          <cell r="H469" t="e">
            <v>#N/A</v>
          </cell>
        </row>
        <row r="470">
          <cell r="B470">
            <v>1061027</v>
          </cell>
          <cell r="C470" t="str">
            <v>Fond de teint - 001 cajou</v>
          </cell>
          <cell r="D470" t="str">
            <v>420005904</v>
          </cell>
          <cell r="E470" t="str">
            <v>4020829098336</v>
          </cell>
          <cell r="G470">
            <v>18.82</v>
          </cell>
          <cell r="H470">
            <v>32</v>
          </cell>
        </row>
        <row r="471">
          <cell r="B471">
            <v>1061012</v>
          </cell>
          <cell r="C471" t="str">
            <v>Fond de teint - 001 cajou - Dernières unités avant retour Oct 23</v>
          </cell>
          <cell r="D471" t="str">
            <v>420004343</v>
          </cell>
          <cell r="E471" t="str">
            <v>4020829075641</v>
          </cell>
          <cell r="G471" t="e">
            <v>#N/A</v>
          </cell>
          <cell r="H471" t="e">
            <v>#N/A</v>
          </cell>
        </row>
        <row r="472">
          <cell r="B472">
            <v>1061028</v>
          </cell>
          <cell r="C472" t="str">
            <v>Fond de teint - 002 pignon de pin</v>
          </cell>
          <cell r="D472" t="str">
            <v>420005906</v>
          </cell>
          <cell r="E472" t="str">
            <v>4020829098350</v>
          </cell>
          <cell r="G472">
            <v>18.82</v>
          </cell>
          <cell r="H472">
            <v>32</v>
          </cell>
        </row>
        <row r="473">
          <cell r="B473" t="str">
            <v>9FU03</v>
          </cell>
          <cell r="C473" t="str">
            <v>Forfait 3 Gym faciale 45 min - 1 séance utilisée</v>
          </cell>
          <cell r="G473" t="e">
            <v>#N/A</v>
          </cell>
          <cell r="H473" t="e">
            <v>#N/A</v>
          </cell>
        </row>
        <row r="474">
          <cell r="B474" t="str">
            <v>FV-GYM</v>
          </cell>
          <cell r="C474" t="str">
            <v xml:space="preserve">Forfait 3 séances gym faciale </v>
          </cell>
          <cell r="G474" t="e">
            <v>#N/A</v>
          </cell>
          <cell r="H474" t="e">
            <v>#N/A</v>
          </cell>
        </row>
        <row r="475">
          <cell r="B475" t="str">
            <v>FV-CORPS1H</v>
          </cell>
          <cell r="C475" t="str">
            <v>Forfait 6 soins du corps 1h</v>
          </cell>
          <cell r="E475" t="str">
            <v>999FV-CORPS1H</v>
          </cell>
          <cell r="G475" t="e">
            <v>#N/A</v>
          </cell>
          <cell r="H475" t="e">
            <v>#N/A</v>
          </cell>
        </row>
        <row r="476">
          <cell r="B476" t="str">
            <v>FV-CORPS</v>
          </cell>
          <cell r="C476" t="str">
            <v>Forfait 6 soins du corps complets</v>
          </cell>
          <cell r="G476" t="e">
            <v>#N/A</v>
          </cell>
          <cell r="H476" t="e">
            <v>#N/A</v>
          </cell>
        </row>
        <row r="477">
          <cell r="B477" t="str">
            <v>9FU02</v>
          </cell>
          <cell r="C477" t="str">
            <v>Forfait 6 soins du corps complets - 1 soin utilisé</v>
          </cell>
          <cell r="G477" t="e">
            <v>#N/A</v>
          </cell>
          <cell r="H477" t="e">
            <v>#N/A</v>
          </cell>
        </row>
        <row r="478">
          <cell r="B478" t="str">
            <v>FV-HARMONISANT</v>
          </cell>
          <cell r="C478" t="str">
            <v>Forfait 6 soins harmonisant</v>
          </cell>
          <cell r="G478" t="e">
            <v>#N/A</v>
          </cell>
          <cell r="H478" t="e">
            <v>#N/A</v>
          </cell>
        </row>
        <row r="479">
          <cell r="B479" t="str">
            <v>9FU05</v>
          </cell>
          <cell r="C479" t="str">
            <v>Forfait 6 soins harmonisant - 1 soin utilisé</v>
          </cell>
          <cell r="G479" t="e">
            <v>#N/A</v>
          </cell>
          <cell r="H479" t="e">
            <v>#N/A</v>
          </cell>
        </row>
        <row r="480">
          <cell r="B480" t="str">
            <v>FV-PLENITUDE</v>
          </cell>
          <cell r="C480" t="str">
            <v>Forfait 6 soins plénitude</v>
          </cell>
          <cell r="G480" t="e">
            <v>#N/A</v>
          </cell>
          <cell r="H480" t="e">
            <v>#N/A</v>
          </cell>
        </row>
        <row r="481">
          <cell r="B481" t="str">
            <v>9FU01</v>
          </cell>
          <cell r="C481" t="str">
            <v>Forfait 6 soins plénitude - 1 soin utilisé</v>
          </cell>
          <cell r="G481" t="e">
            <v>#N/A</v>
          </cell>
          <cell r="H481" t="e">
            <v>#N/A</v>
          </cell>
        </row>
        <row r="482">
          <cell r="B482" t="str">
            <v>FC-JAMBES</v>
          </cell>
          <cell r="C482" t="str">
            <v>Forfait 8 Cure Revitalisante pour les jambes</v>
          </cell>
          <cell r="E482" t="str">
            <v>9997SC18</v>
          </cell>
          <cell r="G482" t="e">
            <v>#N/A</v>
          </cell>
          <cell r="H482" t="e">
            <v>#N/A</v>
          </cell>
        </row>
        <row r="483">
          <cell r="B483" t="str">
            <v>9FU04</v>
          </cell>
          <cell r="C483" t="str">
            <v>Forfait Cure Légéreté et Fermeté des Jambes 8 séances - 1 séance utilisée</v>
          </cell>
          <cell r="G483" t="e">
            <v>#N/A</v>
          </cell>
          <cell r="H483" t="e">
            <v>#N/A</v>
          </cell>
        </row>
        <row r="484">
          <cell r="B484" t="str">
            <v>7D01</v>
          </cell>
          <cell r="C484" t="str">
            <v>Forfait Déplacement Paris</v>
          </cell>
          <cell r="G484" t="e">
            <v>#N/A</v>
          </cell>
          <cell r="H484" t="e">
            <v>#N/A</v>
          </cell>
        </row>
        <row r="485">
          <cell r="C485" t="str">
            <v>Formation - Soin Visage Initiation 1</v>
          </cell>
          <cell r="G485" t="e">
            <v>#N/A</v>
          </cell>
          <cell r="H485" t="e">
            <v>#N/A</v>
          </cell>
        </row>
        <row r="486">
          <cell r="C486" t="str">
            <v>Formation - Soin Visage Initiation 2</v>
          </cell>
          <cell r="G486" t="e">
            <v>#N/A</v>
          </cell>
          <cell r="H486" t="e">
            <v>#N/A</v>
          </cell>
        </row>
        <row r="487">
          <cell r="C487" t="str">
            <v>Formation - Soin Visage Perfectionnement</v>
          </cell>
          <cell r="G487" t="e">
            <v>#N/A</v>
          </cell>
          <cell r="H487" t="e">
            <v>#N/A</v>
          </cell>
        </row>
        <row r="488">
          <cell r="C488" t="str">
            <v>Formation - Soin du Corps Initiation</v>
          </cell>
          <cell r="G488" t="e">
            <v>#N/A</v>
          </cell>
          <cell r="H488" t="e">
            <v>#N/A</v>
          </cell>
        </row>
        <row r="489">
          <cell r="B489">
            <v>6600044</v>
          </cell>
          <cell r="C489" t="str">
            <v>Foulard Régénérants 2025</v>
          </cell>
          <cell r="E489" t="str">
            <v>660004499999</v>
          </cell>
          <cell r="G489" t="e">
            <v>#N/A</v>
          </cell>
          <cell r="H489" t="e">
            <v>#N/A</v>
          </cell>
        </row>
        <row r="490">
          <cell r="B490">
            <v>982024</v>
          </cell>
          <cell r="C490" t="str">
            <v>Frais d'inscription séminaire Allemagne</v>
          </cell>
          <cell r="E490" t="str">
            <v>999999982024</v>
          </cell>
          <cell r="G490" t="e">
            <v>#N/A</v>
          </cell>
          <cell r="H490" t="e">
            <v>#N/A</v>
          </cell>
        </row>
        <row r="491">
          <cell r="B491">
            <v>982042</v>
          </cell>
          <cell r="C491" t="str">
            <v>Frais de Douane</v>
          </cell>
          <cell r="G491" t="e">
            <v>#N/A</v>
          </cell>
          <cell r="H491" t="e">
            <v>#N/A</v>
          </cell>
        </row>
        <row r="492">
          <cell r="B492">
            <v>982031</v>
          </cell>
          <cell r="C492" t="str">
            <v>Frais de LCR impayée</v>
          </cell>
          <cell r="E492" t="str">
            <v>999999982031</v>
          </cell>
          <cell r="G492" t="e">
            <v>#N/A</v>
          </cell>
          <cell r="H492" t="e">
            <v>#N/A</v>
          </cell>
        </row>
        <row r="493">
          <cell r="B493">
            <v>982030</v>
          </cell>
          <cell r="C493" t="str">
            <v>Frais de chèque impayé</v>
          </cell>
          <cell r="E493" t="str">
            <v>999999982030</v>
          </cell>
          <cell r="G493" t="e">
            <v>#N/A</v>
          </cell>
          <cell r="H493" t="e">
            <v>#N/A</v>
          </cell>
        </row>
        <row r="494">
          <cell r="B494" t="str">
            <v>FG</v>
          </cell>
          <cell r="C494" t="str">
            <v>Frais de gestion</v>
          </cell>
          <cell r="G494" t="e">
            <v>#N/A</v>
          </cell>
          <cell r="H494" t="e">
            <v>#N/A</v>
          </cell>
        </row>
        <row r="495">
          <cell r="B495" t="str">
            <v>Delivery_007</v>
          </cell>
          <cell r="C495" t="str">
            <v>Frais de port</v>
          </cell>
          <cell r="G495" t="e">
            <v>#N/A</v>
          </cell>
          <cell r="H495" t="e">
            <v>#N/A</v>
          </cell>
        </row>
        <row r="496">
          <cell r="B496">
            <v>982038</v>
          </cell>
          <cell r="C496" t="str">
            <v>Frais de port - La Poste</v>
          </cell>
          <cell r="E496" t="str">
            <v>999999982038</v>
          </cell>
          <cell r="G496" t="e">
            <v>#N/A</v>
          </cell>
          <cell r="H496" t="e">
            <v>#N/A</v>
          </cell>
        </row>
        <row r="497">
          <cell r="B497">
            <v>982040</v>
          </cell>
          <cell r="C497" t="str">
            <v>Frais de port - Transporteurs</v>
          </cell>
          <cell r="G497" t="e">
            <v>#N/A</v>
          </cell>
          <cell r="H497" t="e">
            <v>#N/A</v>
          </cell>
        </row>
        <row r="498">
          <cell r="C498" t="str">
            <v>Frais de port du personnel offert</v>
          </cell>
          <cell r="G498" t="e">
            <v>#N/A</v>
          </cell>
          <cell r="H498" t="e">
            <v>#N/A</v>
          </cell>
        </row>
        <row r="499">
          <cell r="B499">
            <v>982046</v>
          </cell>
          <cell r="C499" t="str">
            <v>Frais de transports retour marchandise</v>
          </cell>
          <cell r="G499" t="e">
            <v>#N/A</v>
          </cell>
          <cell r="H499" t="e">
            <v>#N/A</v>
          </cell>
        </row>
        <row r="500">
          <cell r="B500">
            <v>6500142</v>
          </cell>
          <cell r="C500" t="str">
            <v>Fronton glorifier Régénérants/Solaires recto/verso 2024</v>
          </cell>
          <cell r="D500" t="str">
            <v>410006939</v>
          </cell>
          <cell r="E500" t="str">
            <v>4020829105836</v>
          </cell>
          <cell r="G500" t="e">
            <v>#N/A</v>
          </cell>
          <cell r="H500" t="e">
            <v>#N/A</v>
          </cell>
        </row>
        <row r="501">
          <cell r="B501">
            <v>6600037</v>
          </cell>
          <cell r="C501" t="str">
            <v>Furoshikis Alice in Food pour Dr. Hauschka</v>
          </cell>
          <cell r="E501" t="str">
            <v>660003799999</v>
          </cell>
          <cell r="G501" t="e">
            <v>#N/A</v>
          </cell>
          <cell r="H501" t="e">
            <v>#N/A</v>
          </cell>
        </row>
        <row r="502">
          <cell r="B502">
            <v>1060130</v>
          </cell>
          <cell r="C502" t="str">
            <v>Gel Cils &amp; Sourcils 00 transparent</v>
          </cell>
          <cell r="D502" t="str">
            <v>420005933</v>
          </cell>
          <cell r="E502" t="str">
            <v>4020829098626</v>
          </cell>
          <cell r="G502">
            <v>12.944186046511629</v>
          </cell>
          <cell r="H502">
            <v>22</v>
          </cell>
        </row>
        <row r="503">
          <cell r="B503">
            <v>1040119</v>
          </cell>
          <cell r="C503" t="str">
            <v>Gel Douche Pin des Alpes et Embruns salés 200 ml</v>
          </cell>
          <cell r="D503" t="str">
            <v>420004090</v>
          </cell>
          <cell r="E503" t="str">
            <v>4020829072466</v>
          </cell>
          <cell r="G503" t="e">
            <v>#N/A</v>
          </cell>
          <cell r="H503" t="e">
            <v>#N/A</v>
          </cell>
        </row>
        <row r="504">
          <cell r="B504">
            <v>1060300</v>
          </cell>
          <cell r="C504" t="str">
            <v>Gloss 00 resplendissance - Dernières unités</v>
          </cell>
          <cell r="D504" t="str">
            <v>429000647</v>
          </cell>
          <cell r="E504" t="str">
            <v>4020829045248</v>
          </cell>
          <cell r="G504" t="e">
            <v>#N/A</v>
          </cell>
          <cell r="H504" t="e">
            <v>#N/A</v>
          </cell>
        </row>
        <row r="505">
          <cell r="B505">
            <v>1060301</v>
          </cell>
          <cell r="C505" t="str">
            <v>Gloss 01 baie de carissa - Dernières unités</v>
          </cell>
          <cell r="D505" t="str">
            <v>429000649</v>
          </cell>
          <cell r="E505" t="str">
            <v>4020829045262</v>
          </cell>
          <cell r="G505" t="e">
            <v>#N/A</v>
          </cell>
          <cell r="H505" t="e">
            <v>#N/A</v>
          </cell>
        </row>
        <row r="506">
          <cell r="B506">
            <v>1060302</v>
          </cell>
          <cell r="C506" t="str">
            <v>Gloss 02 framboise - Dernières unités</v>
          </cell>
          <cell r="D506" t="str">
            <v>429000651</v>
          </cell>
          <cell r="E506" t="str">
            <v>4020829045286</v>
          </cell>
          <cell r="G506" t="e">
            <v>#N/A</v>
          </cell>
          <cell r="H506" t="e">
            <v>#N/A</v>
          </cell>
        </row>
        <row r="507">
          <cell r="B507">
            <v>1060303</v>
          </cell>
          <cell r="C507" t="str">
            <v>Gloss 03 baie de mûrier - Dernières unités</v>
          </cell>
          <cell r="D507" t="str">
            <v>429000653</v>
          </cell>
          <cell r="E507" t="str">
            <v>4020829045309</v>
          </cell>
          <cell r="G507" t="e">
            <v>#N/A</v>
          </cell>
          <cell r="H507" t="e">
            <v>#N/A</v>
          </cell>
        </row>
        <row r="508">
          <cell r="B508">
            <v>1060305</v>
          </cell>
          <cell r="C508" t="str">
            <v>Gloss 05 baie de cornouiller - Dernières unités</v>
          </cell>
          <cell r="D508" t="str">
            <v>429000657</v>
          </cell>
          <cell r="E508" t="str">
            <v>4020829045347</v>
          </cell>
          <cell r="G508" t="e">
            <v>#N/A</v>
          </cell>
          <cell r="H508" t="e">
            <v>#N/A</v>
          </cell>
        </row>
        <row r="509">
          <cell r="B509">
            <v>1060306</v>
          </cell>
          <cell r="C509" t="str">
            <v>Gloss 06 tamarin - Dernières unités</v>
          </cell>
          <cell r="D509" t="str">
            <v>429000659</v>
          </cell>
          <cell r="E509" t="str">
            <v>4020829045361</v>
          </cell>
          <cell r="G509" t="e">
            <v>#N/A</v>
          </cell>
          <cell r="H509" t="e">
            <v>#N/A</v>
          </cell>
        </row>
        <row r="510">
          <cell r="B510">
            <v>901941</v>
          </cell>
          <cell r="C510" t="str">
            <v>Goupillon Mascara avec manche</v>
          </cell>
          <cell r="D510" t="str">
            <v>410003205</v>
          </cell>
          <cell r="E510" t="str">
            <v>999999901941</v>
          </cell>
          <cell r="G510" t="e">
            <v>#N/A</v>
          </cell>
          <cell r="H510" t="e">
            <v>#N/A</v>
          </cell>
        </row>
        <row r="511">
          <cell r="B511">
            <v>6700097</v>
          </cell>
          <cell r="C511" t="str">
            <v>Guide Cosmétiques</v>
          </cell>
          <cell r="D511" t="str">
            <v>410006167</v>
          </cell>
          <cell r="E511" t="str">
            <v>4020829092716</v>
          </cell>
          <cell r="G511" t="e">
            <v>#N/A</v>
          </cell>
          <cell r="H511" t="e">
            <v>#N/A</v>
          </cell>
        </row>
        <row r="512">
          <cell r="B512">
            <v>6700077</v>
          </cell>
          <cell r="C512" t="str">
            <v>Guide Cosmétiques</v>
          </cell>
          <cell r="D512" t="str">
            <v>410006167</v>
          </cell>
          <cell r="G512" t="e">
            <v>#N/A</v>
          </cell>
          <cell r="H512" t="e">
            <v>#N/A</v>
          </cell>
        </row>
        <row r="513">
          <cell r="B513" t="str">
            <v>GDFOR</v>
          </cell>
          <cell r="C513" t="str">
            <v>Guide Formation Dr. Hauschka</v>
          </cell>
          <cell r="D513" t="str">
            <v>GDFOR</v>
          </cell>
          <cell r="E513" t="str">
            <v>9999992345678</v>
          </cell>
          <cell r="G513" t="e">
            <v>#N/A</v>
          </cell>
          <cell r="H513" t="e">
            <v>#N/A</v>
          </cell>
        </row>
        <row r="514">
          <cell r="B514">
            <v>982036</v>
          </cell>
          <cell r="C514" t="str">
            <v>HOTEL</v>
          </cell>
          <cell r="E514" t="str">
            <v>999999982036</v>
          </cell>
          <cell r="G514" t="e">
            <v>#N/A</v>
          </cell>
          <cell r="H514" t="e">
            <v>#N/A</v>
          </cell>
        </row>
        <row r="515">
          <cell r="B515">
            <v>1060720</v>
          </cell>
          <cell r="C515" t="str">
            <v>Highlighter 01 - Illuminant</v>
          </cell>
          <cell r="D515" t="str">
            <v>420005955</v>
          </cell>
          <cell r="E515" t="str">
            <v>4020829098848</v>
          </cell>
          <cell r="G515">
            <v>16.1728624535316</v>
          </cell>
          <cell r="H515">
            <v>27.5</v>
          </cell>
        </row>
        <row r="516">
          <cell r="B516">
            <v>1060710</v>
          </cell>
          <cell r="C516" t="str">
            <v>Highlighter 01 - Illuminant</v>
          </cell>
          <cell r="D516" t="str">
            <v>420004873</v>
          </cell>
          <cell r="E516" t="str">
            <v>4020829083851</v>
          </cell>
          <cell r="G516" t="e">
            <v>#N/A</v>
          </cell>
          <cell r="H516" t="e">
            <v>#N/A</v>
          </cell>
        </row>
        <row r="517">
          <cell r="B517">
            <v>1010352</v>
          </cell>
          <cell r="C517" t="str">
            <v>Huile Equilibrante pour le visage -18 ml</v>
          </cell>
          <cell r="D517" t="str">
            <v>420004044</v>
          </cell>
          <cell r="E517" t="str">
            <v>4020829071421</v>
          </cell>
          <cell r="G517">
            <v>16.174074074074074</v>
          </cell>
          <cell r="H517">
            <v>27.5</v>
          </cell>
        </row>
        <row r="518">
          <cell r="B518">
            <v>1020719</v>
          </cell>
          <cell r="C518" t="str">
            <v>Huile Fortifiante - Régénérant Intensif - 20ml</v>
          </cell>
          <cell r="D518" t="str">
            <v>420006250</v>
          </cell>
          <cell r="E518" t="str">
            <v>4020829103030</v>
          </cell>
          <cell r="G518">
            <v>46.768280254777068</v>
          </cell>
          <cell r="H518">
            <v>79.5</v>
          </cell>
        </row>
        <row r="519">
          <cell r="B519">
            <v>1030308</v>
          </cell>
          <cell r="C519" t="str">
            <v>Huile au Neem pour les Ongles - 18 ml</v>
          </cell>
          <cell r="D519" t="str">
            <v>420004040</v>
          </cell>
          <cell r="E519" t="str">
            <v>4020829071384</v>
          </cell>
          <cell r="G519">
            <v>12.821246982742641</v>
          </cell>
          <cell r="H519">
            <v>21.802120454273759</v>
          </cell>
        </row>
        <row r="520">
          <cell r="B520">
            <v>1830308</v>
          </cell>
          <cell r="C520" t="str">
            <v>Huile au Neem pour les Ongles - 18 ml*DLV 08/25* - 15 %*</v>
          </cell>
          <cell r="G520" t="e">
            <v>#N/A</v>
          </cell>
          <cell r="H520" t="e">
            <v>#N/A</v>
          </cell>
        </row>
        <row r="521">
          <cell r="B521">
            <v>1030204</v>
          </cell>
          <cell r="C521" t="str">
            <v>Huile de Soin Bouleau Arnica - 75 ml</v>
          </cell>
          <cell r="D521" t="str">
            <v>429000312</v>
          </cell>
          <cell r="E521" t="str">
            <v>4020829007741</v>
          </cell>
          <cell r="G521">
            <v>11.88</v>
          </cell>
          <cell r="H521">
            <v>20.2</v>
          </cell>
        </row>
        <row r="522">
          <cell r="B522">
            <v>1030203</v>
          </cell>
          <cell r="C522" t="str">
            <v>Huile de Soin Citron Citronnelle - 75 ml</v>
          </cell>
          <cell r="D522" t="str">
            <v>429000309</v>
          </cell>
          <cell r="E522" t="str">
            <v>4020829007710</v>
          </cell>
          <cell r="G522">
            <v>13.230414746543778</v>
          </cell>
          <cell r="H522">
            <v>22.5</v>
          </cell>
        </row>
        <row r="523">
          <cell r="B523">
            <v>1030222</v>
          </cell>
          <cell r="C523" t="str">
            <v>Huile de Soin Moor Lavande - 30 ml</v>
          </cell>
          <cell r="D523" t="str">
            <v>420005873</v>
          </cell>
          <cell r="E523" t="str">
            <v>4020829097803</v>
          </cell>
          <cell r="G523" t="e">
            <v>#N/A</v>
          </cell>
          <cell r="H523" t="e">
            <v>#N/A</v>
          </cell>
        </row>
        <row r="524">
          <cell r="B524">
            <v>1030206</v>
          </cell>
          <cell r="C524" t="str">
            <v>Huile de Soin Moor Lavande - 75 ml</v>
          </cell>
          <cell r="D524" t="str">
            <v>429000321</v>
          </cell>
          <cell r="E524" t="str">
            <v>4020829007833</v>
          </cell>
          <cell r="G524">
            <v>14.412970711297071</v>
          </cell>
          <cell r="H524">
            <v>24.5</v>
          </cell>
        </row>
        <row r="525">
          <cell r="B525">
            <v>1030202</v>
          </cell>
          <cell r="C525" t="str">
            <v xml:space="preserve">Huile de Soin Prunelle - 75 ml   </v>
          </cell>
          <cell r="D525" t="str">
            <v>429000328</v>
          </cell>
          <cell r="E525" t="str">
            <v>4020829007901</v>
          </cell>
          <cell r="G525">
            <v>13.230414746543778</v>
          </cell>
          <cell r="H525">
            <v>22.5</v>
          </cell>
        </row>
        <row r="526">
          <cell r="B526">
            <v>1030201</v>
          </cell>
          <cell r="C526" t="str">
            <v>Huile de Soin Rose - 75 ml</v>
          </cell>
          <cell r="D526" t="str">
            <v>429000324</v>
          </cell>
          <cell r="E526" t="str">
            <v>4020829007864</v>
          </cell>
          <cell r="G526">
            <v>14.412970711297071</v>
          </cell>
          <cell r="H526">
            <v>24.5</v>
          </cell>
        </row>
        <row r="527">
          <cell r="B527">
            <v>1030226</v>
          </cell>
          <cell r="C527" t="str">
            <v>Huile de Soin Rose 75 ml Édition Limitée 2025</v>
          </cell>
          <cell r="D527" t="str">
            <v>420006512</v>
          </cell>
          <cell r="E527" t="str">
            <v>4020829109124</v>
          </cell>
          <cell r="G527" t="e">
            <v>#N/A</v>
          </cell>
          <cell r="H527" t="e">
            <v>#N/A</v>
          </cell>
        </row>
        <row r="528">
          <cell r="B528">
            <v>8030226</v>
          </cell>
          <cell r="C528" t="str">
            <v>Huile de Soin Rose 75 ml Édition Limitée 2025 *PRE-SERIE*</v>
          </cell>
          <cell r="D528" t="str">
            <v>420006510</v>
          </cell>
          <cell r="E528" t="str">
            <v>4020829109117</v>
          </cell>
          <cell r="G528" t="e">
            <v>#N/A</v>
          </cell>
          <cell r="H528" t="e">
            <v>#N/A</v>
          </cell>
        </row>
        <row r="529">
          <cell r="B529">
            <v>1040307</v>
          </cell>
          <cell r="C529" t="str">
            <v>Huile pour les Cheveux - 75 ml</v>
          </cell>
          <cell r="D529" t="str">
            <v>420004448</v>
          </cell>
          <cell r="E529" t="str">
            <v>4020829077553</v>
          </cell>
          <cell r="G529">
            <v>12.650000000000002</v>
          </cell>
          <cell r="H529">
            <v>21.5</v>
          </cell>
        </row>
        <row r="530">
          <cell r="B530" t="str">
            <v>INFO</v>
          </cell>
          <cell r="C530" t="str">
            <v>INFORMATION</v>
          </cell>
          <cell r="G530" t="e">
            <v>#N/A</v>
          </cell>
          <cell r="H530" t="e">
            <v>#N/A</v>
          </cell>
        </row>
        <row r="531">
          <cell r="B531">
            <v>7031309</v>
          </cell>
          <cell r="C531" t="str">
            <v>Implantation - Offre Alice in Food pour Dr. Hauschka</v>
          </cell>
          <cell r="G531" t="e">
            <v>#N/A</v>
          </cell>
          <cell r="H531" t="e">
            <v>#N/A</v>
          </cell>
        </row>
        <row r="532">
          <cell r="B532">
            <v>6300145</v>
          </cell>
          <cell r="C532" t="str">
            <v>Insert Présentoir-Vendeur - Crème de jour Légère à la Rose</v>
          </cell>
          <cell r="D532" t="str">
            <v>410005621</v>
          </cell>
          <cell r="E532" t="str">
            <v>4020829084681</v>
          </cell>
          <cell r="G532" t="e">
            <v>#N/A</v>
          </cell>
          <cell r="H532" t="e">
            <v>#N/A</v>
          </cell>
        </row>
        <row r="533">
          <cell r="B533">
            <v>6300148</v>
          </cell>
          <cell r="C533" t="str">
            <v>Insert Présentoir-Vendeur - Crème de jour au Coing</v>
          </cell>
          <cell r="D533" t="str">
            <v>410005620</v>
          </cell>
          <cell r="E533" t="str">
            <v>4020829084674</v>
          </cell>
          <cell r="G533" t="e">
            <v>#N/A</v>
          </cell>
          <cell r="H533" t="e">
            <v>#N/A</v>
          </cell>
        </row>
        <row r="534">
          <cell r="B534">
            <v>6300147</v>
          </cell>
          <cell r="C534" t="str">
            <v>Insert Présentoir-Vendeur - Crème de jour à la Mélisse</v>
          </cell>
          <cell r="D534" t="str">
            <v>410005619</v>
          </cell>
          <cell r="E534" t="str">
            <v>4020829084667</v>
          </cell>
          <cell r="G534" t="e">
            <v>#N/A</v>
          </cell>
          <cell r="H534" t="e">
            <v>#N/A</v>
          </cell>
        </row>
        <row r="535">
          <cell r="B535">
            <v>6300144</v>
          </cell>
          <cell r="C535" t="str">
            <v>Insert Présentoir-Vendeur - Crème de jour à la Rose</v>
          </cell>
          <cell r="D535" t="str">
            <v>410005622</v>
          </cell>
          <cell r="E535" t="str">
            <v>4020829084698</v>
          </cell>
          <cell r="G535" t="e">
            <v>#N/A</v>
          </cell>
          <cell r="H535" t="e">
            <v>#N/A</v>
          </cell>
        </row>
        <row r="536">
          <cell r="B536">
            <v>6500137</v>
          </cell>
          <cell r="C536" t="str">
            <v>Insert Réglette prix Présentoir Maquillage Rétroéclairé</v>
          </cell>
          <cell r="D536" t="str">
            <v>6500137</v>
          </cell>
          <cell r="E536" t="str">
            <v>9999996500137</v>
          </cell>
          <cell r="G536" t="e">
            <v>#N/A</v>
          </cell>
          <cell r="H536" t="e">
            <v>#N/A</v>
          </cell>
        </row>
        <row r="537">
          <cell r="B537">
            <v>6500136</v>
          </cell>
          <cell r="C537" t="str">
            <v>Insert Réglette prix Présentoir sur Pied Maquillage</v>
          </cell>
          <cell r="D537" t="str">
            <v>6500136</v>
          </cell>
          <cell r="E537" t="str">
            <v>9999996500136</v>
          </cell>
          <cell r="G537" t="e">
            <v>#N/A</v>
          </cell>
          <cell r="H537" t="e">
            <v>#N/A</v>
          </cell>
        </row>
        <row r="538">
          <cell r="B538">
            <v>6500149</v>
          </cell>
          <cell r="C538" t="str">
            <v>Insert réglette mise à jour nouveauté maquillage 2024 présentoir rétro-éclairé</v>
          </cell>
          <cell r="D538" t="str">
            <v>6500149</v>
          </cell>
          <cell r="E538" t="str">
            <v>650014999999</v>
          </cell>
          <cell r="G538" t="e">
            <v>#N/A</v>
          </cell>
          <cell r="H538" t="e">
            <v>#N/A</v>
          </cell>
        </row>
        <row r="539">
          <cell r="B539">
            <v>6500150</v>
          </cell>
          <cell r="C539" t="str">
            <v>Insert réglette mise à jour nouveauté maquillage 2024 présentoir sur pied</v>
          </cell>
          <cell r="D539" t="str">
            <v>6500150</v>
          </cell>
          <cell r="E539" t="str">
            <v>650015099999</v>
          </cell>
          <cell r="G539" t="e">
            <v>#N/A</v>
          </cell>
          <cell r="H539" t="e">
            <v>#N/A</v>
          </cell>
        </row>
        <row r="540">
          <cell r="B540">
            <v>6500148</v>
          </cell>
          <cell r="C540" t="str">
            <v>Insert tirette mise à jour nouveauté maquillage 2024 ancien présentoir</v>
          </cell>
          <cell r="D540" t="str">
            <v>6500148</v>
          </cell>
          <cell r="E540" t="str">
            <v>650014899999</v>
          </cell>
          <cell r="G540" t="e">
            <v>#N/A</v>
          </cell>
          <cell r="H540" t="e">
            <v>#N/A</v>
          </cell>
        </row>
        <row r="541">
          <cell r="C541" t="str">
            <v>Invitations - Externe</v>
          </cell>
          <cell r="G541" t="e">
            <v>#N/A</v>
          </cell>
          <cell r="H541" t="e">
            <v>#N/A</v>
          </cell>
        </row>
        <row r="542">
          <cell r="B542" t="str">
            <v>AV2000000</v>
          </cell>
          <cell r="C542" t="str">
            <v>Kit Auto-animation</v>
          </cell>
          <cell r="E542" t="str">
            <v>9999992000000</v>
          </cell>
          <cell r="G542" t="e">
            <v>#N/A</v>
          </cell>
          <cell r="H542" t="e">
            <v>#N/A</v>
          </cell>
        </row>
        <row r="543">
          <cell r="B543" t="str">
            <v>KITAUTOA</v>
          </cell>
          <cell r="C543" t="str">
            <v>Kit Auto-animation</v>
          </cell>
          <cell r="G543" t="e">
            <v>#N/A</v>
          </cell>
          <cell r="H543" t="e">
            <v>#N/A</v>
          </cell>
        </row>
        <row r="544">
          <cell r="B544">
            <v>6300200</v>
          </cell>
          <cell r="C544" t="str">
            <v>Kit Inter-comptoir OnPacks 2024</v>
          </cell>
          <cell r="D544" t="str">
            <v>6300200</v>
          </cell>
          <cell r="E544" t="str">
            <v>9999996300200</v>
          </cell>
          <cell r="G544" t="e">
            <v>#N/A</v>
          </cell>
          <cell r="H544" t="e">
            <v>#N/A</v>
          </cell>
        </row>
        <row r="545">
          <cell r="B545">
            <v>7021252</v>
          </cell>
          <cell r="C545" t="str">
            <v>Kit Offert -  Offre par 15 - Toujours plus rayonnante</v>
          </cell>
          <cell r="G545" t="e">
            <v>#N/A</v>
          </cell>
          <cell r="H545" t="e">
            <v>#N/A</v>
          </cell>
        </row>
        <row r="546">
          <cell r="B546">
            <v>7021253</v>
          </cell>
          <cell r="C546" t="str">
            <v>Kit Offert -  Offre par 30 - Toujours plus rayonnante</v>
          </cell>
          <cell r="G546" t="e">
            <v>#N/A</v>
          </cell>
          <cell r="H546" t="e">
            <v>#N/A</v>
          </cell>
        </row>
        <row r="547">
          <cell r="B547">
            <v>7021263</v>
          </cell>
          <cell r="C547" t="str">
            <v>Kit Offert - Offre par 10 - Toujours plus rayonnante</v>
          </cell>
          <cell r="G547" t="e">
            <v>#N/A</v>
          </cell>
          <cell r="H547" t="e">
            <v>#N/A</v>
          </cell>
        </row>
        <row r="548">
          <cell r="B548">
            <v>7131306</v>
          </cell>
          <cell r="C548" t="str">
            <v>Kit Offert Essentiel - MEA OnPack Rituel 2023 *sans PLV*</v>
          </cell>
          <cell r="G548" t="e">
            <v>#N/A</v>
          </cell>
          <cell r="H548" t="e">
            <v>#N/A</v>
          </cell>
        </row>
        <row r="549">
          <cell r="B549">
            <v>7131314</v>
          </cell>
          <cell r="C549" t="str">
            <v>Kit Offert Premium - MEA OnPack Rituel 2023</v>
          </cell>
          <cell r="G549" t="e">
            <v>#N/A</v>
          </cell>
          <cell r="H549" t="e">
            <v>#N/A</v>
          </cell>
        </row>
        <row r="550">
          <cell r="B550">
            <v>7131298</v>
          </cell>
          <cell r="C550" t="str">
            <v>Kit Offert Référencement - MEA OnPack Rituel 2023</v>
          </cell>
          <cell r="G550" t="e">
            <v>#N/A</v>
          </cell>
          <cell r="H550" t="e">
            <v>#N/A</v>
          </cell>
        </row>
        <row r="551">
          <cell r="B551" t="str">
            <v>AV6300171</v>
          </cell>
          <cell r="C551" t="str">
            <v>Kit PLV Institutionnel Dr. Hauschka</v>
          </cell>
          <cell r="G551" t="e">
            <v>#N/A</v>
          </cell>
          <cell r="H551" t="e">
            <v>#N/A</v>
          </cell>
        </row>
        <row r="552">
          <cell r="B552">
            <v>6300171</v>
          </cell>
          <cell r="C552" t="str">
            <v>Kit PLV institutionnel Dr. Hauschka</v>
          </cell>
          <cell r="G552" t="e">
            <v>#N/A</v>
          </cell>
          <cell r="H552" t="e">
            <v>#N/A</v>
          </cell>
        </row>
        <row r="553">
          <cell r="B553" t="str">
            <v>AV7131315</v>
          </cell>
          <cell r="C553" t="str">
            <v>Kit Premium - MEA Crème de Jour à l'Abricot</v>
          </cell>
          <cell r="G553" t="e">
            <v>#N/A</v>
          </cell>
          <cell r="H553" t="e">
            <v>#N/A</v>
          </cell>
        </row>
        <row r="554">
          <cell r="B554" t="str">
            <v>AV7131325</v>
          </cell>
          <cell r="C554" t="str">
            <v>Kit Premium - MEA Crème de Jour à l'Abricot *sans panneau*</v>
          </cell>
          <cell r="G554" t="e">
            <v>#N/A</v>
          </cell>
          <cell r="H554" t="e">
            <v>#N/A</v>
          </cell>
        </row>
        <row r="555">
          <cell r="B555">
            <v>6500128</v>
          </cell>
          <cell r="C555" t="str">
            <v>Kit TG - OnPack Routine 2023</v>
          </cell>
          <cell r="D555" t="str">
            <v>6500128</v>
          </cell>
          <cell r="E555" t="str">
            <v>9999996500128</v>
          </cell>
          <cell r="G555" t="e">
            <v>#N/A</v>
          </cell>
          <cell r="H555" t="e">
            <v>#N/A</v>
          </cell>
        </row>
        <row r="556">
          <cell r="B556">
            <v>6300207</v>
          </cell>
          <cell r="C556" t="str">
            <v>Kit TG Crème Purifiante pour le Visage 2024</v>
          </cell>
          <cell r="D556" t="str">
            <v>6300207</v>
          </cell>
          <cell r="E556" t="str">
            <v>630020799999</v>
          </cell>
          <cell r="G556" t="e">
            <v>#N/A</v>
          </cell>
          <cell r="H556" t="e">
            <v>#N/A</v>
          </cell>
        </row>
        <row r="557">
          <cell r="B557">
            <v>6300199</v>
          </cell>
          <cell r="C557" t="str">
            <v>Kit TG OnPacks 2024</v>
          </cell>
          <cell r="D557" t="str">
            <v>6300199</v>
          </cell>
          <cell r="E557" t="str">
            <v>9999996300199</v>
          </cell>
          <cell r="G557" t="e">
            <v>#N/A</v>
          </cell>
          <cell r="H557" t="e">
            <v>#N/A</v>
          </cell>
        </row>
        <row r="558">
          <cell r="B558" t="str">
            <v>AV4000000</v>
          </cell>
          <cell r="C558" t="str">
            <v>Kit animation</v>
          </cell>
          <cell r="E558" t="str">
            <v>9999994000000</v>
          </cell>
          <cell r="G558" t="e">
            <v>#N/A</v>
          </cell>
          <cell r="H558" t="e">
            <v>#N/A</v>
          </cell>
        </row>
        <row r="559">
          <cell r="B559" t="str">
            <v>KITANIM</v>
          </cell>
          <cell r="C559" t="str">
            <v>Kit animation</v>
          </cell>
          <cell r="G559" t="e">
            <v>#N/A</v>
          </cell>
          <cell r="H559" t="e">
            <v>#N/A</v>
          </cell>
        </row>
        <row r="560">
          <cell r="B560" t="str">
            <v>AV5000000</v>
          </cell>
          <cell r="C560" t="str">
            <v>Kit auto-animation Crème Purifiante pour le Visage</v>
          </cell>
          <cell r="G560" t="e">
            <v>#N/A</v>
          </cell>
          <cell r="H560" t="e">
            <v>#N/A</v>
          </cell>
        </row>
        <row r="561">
          <cell r="B561">
            <v>5000000</v>
          </cell>
          <cell r="C561" t="str">
            <v>Kit auto-animation Crème Purifiante pour le Visage</v>
          </cell>
          <cell r="E561" t="str">
            <v>500000099999</v>
          </cell>
          <cell r="G561" t="e">
            <v>#N/A</v>
          </cell>
          <cell r="H561" t="e">
            <v>#N/A</v>
          </cell>
        </row>
        <row r="562">
          <cell r="B562">
            <v>6300191</v>
          </cell>
          <cell r="C562" t="str">
            <v>Kit intercomptoir Rituel Pureté</v>
          </cell>
          <cell r="D562" t="str">
            <v>6300191</v>
          </cell>
          <cell r="E562" t="str">
            <v>9999996300191</v>
          </cell>
          <cell r="G562" t="e">
            <v>#N/A</v>
          </cell>
          <cell r="H562" t="e">
            <v>#N/A</v>
          </cell>
        </row>
        <row r="563">
          <cell r="B563">
            <v>6500156</v>
          </cell>
          <cell r="C563" t="str">
            <v>Kit intercomptoir Régénérants 2025</v>
          </cell>
          <cell r="E563" t="str">
            <v>650015699999</v>
          </cell>
          <cell r="G563" t="e">
            <v>#N/A</v>
          </cell>
          <cell r="H563" t="e">
            <v>#N/A</v>
          </cell>
        </row>
        <row r="564">
          <cell r="B564">
            <v>6500158</v>
          </cell>
          <cell r="C564" t="str">
            <v>Kit linéaire Rituel de Soin 2025 *PRE-COMMANDE*</v>
          </cell>
          <cell r="D564" t="str">
            <v>410007299</v>
          </cell>
          <cell r="E564" t="str">
            <v>4020829112414</v>
          </cell>
          <cell r="G564" t="e">
            <v>#N/A</v>
          </cell>
          <cell r="H564" t="e">
            <v>#N/A</v>
          </cell>
        </row>
        <row r="565">
          <cell r="B565">
            <v>6300206</v>
          </cell>
          <cell r="C565" t="str">
            <v>Kit linéaire et vitrine Noël 2024</v>
          </cell>
          <cell r="D565" t="str">
            <v>6300206</v>
          </cell>
          <cell r="E565" t="str">
            <v>630020699999</v>
          </cell>
          <cell r="G565" t="e">
            <v>#N/A</v>
          </cell>
          <cell r="H565" t="e">
            <v>#N/A</v>
          </cell>
        </row>
        <row r="566">
          <cell r="B566">
            <v>6500146</v>
          </cell>
          <cell r="C566" t="str">
            <v>Kit mini stop-rayons essentiels de l'été</v>
          </cell>
          <cell r="D566" t="str">
            <v>6500146</v>
          </cell>
          <cell r="E566" t="str">
            <v>650014699999</v>
          </cell>
          <cell r="G566" t="e">
            <v>#N/A</v>
          </cell>
          <cell r="H566" t="e">
            <v>#N/A</v>
          </cell>
        </row>
        <row r="567">
          <cell r="B567">
            <v>6300197</v>
          </cell>
          <cell r="C567" t="str">
            <v>Kit réglette de linéaire + cube Régénérants 2024</v>
          </cell>
          <cell r="D567" t="str">
            <v>6300197</v>
          </cell>
          <cell r="E567" t="str">
            <v>9999996300197</v>
          </cell>
          <cell r="G567" t="e">
            <v>#N/A</v>
          </cell>
          <cell r="H567" t="e">
            <v>#N/A</v>
          </cell>
        </row>
        <row r="568">
          <cell r="B568">
            <v>6500152</v>
          </cell>
          <cell r="C568" t="str">
            <v>Kit visibilité linéaire Huiles et Laits</v>
          </cell>
          <cell r="E568" t="str">
            <v>650015299999</v>
          </cell>
          <cell r="G568" t="e">
            <v>#N/A</v>
          </cell>
          <cell r="H568" t="e">
            <v>#N/A</v>
          </cell>
        </row>
        <row r="569">
          <cell r="B569">
            <v>1830502</v>
          </cell>
          <cell r="C569" t="str">
            <v>Lait Après-Soleil 150 ml*DLV 06/2025*- 10%*</v>
          </cell>
          <cell r="E569" t="str">
            <v>183050299999</v>
          </cell>
          <cell r="G569" t="e">
            <v>#N/A</v>
          </cell>
          <cell r="H569" t="e">
            <v>#N/A</v>
          </cell>
        </row>
        <row r="570">
          <cell r="B570">
            <v>1830127</v>
          </cell>
          <cell r="C570" t="str">
            <v>Lait Crème pour le Corps Amande - 50 ml</v>
          </cell>
          <cell r="E570" t="str">
            <v>4020829100374</v>
          </cell>
          <cell r="G570" t="e">
            <v>#N/A</v>
          </cell>
          <cell r="H570" t="e">
            <v>#N/A</v>
          </cell>
        </row>
        <row r="571">
          <cell r="B571">
            <v>1830126</v>
          </cell>
          <cell r="C571" t="str">
            <v>Lait Crème pour le Corps Lavande Bois de Santal - 30 ml</v>
          </cell>
          <cell r="E571" t="str">
            <v>4020829100381</v>
          </cell>
          <cell r="G571" t="e">
            <v>#N/A</v>
          </cell>
          <cell r="H571" t="e">
            <v>#N/A</v>
          </cell>
        </row>
        <row r="572">
          <cell r="B572">
            <v>1830123</v>
          </cell>
          <cell r="C572" t="str">
            <v>Lait Crème pour le Corps Lavande Bois de Santal - 50 ml*DLV 01/25*</v>
          </cell>
          <cell r="D572" t="str">
            <v>420005740</v>
          </cell>
          <cell r="E572" t="str">
            <v>4020829095793</v>
          </cell>
          <cell r="G572" t="e">
            <v>#N/A</v>
          </cell>
          <cell r="H572" t="e">
            <v>#N/A</v>
          </cell>
        </row>
        <row r="573">
          <cell r="B573">
            <v>1830125</v>
          </cell>
          <cell r="C573" t="str">
            <v>Lait Crème pour le Corps Rose - 50 ml</v>
          </cell>
          <cell r="E573" t="str">
            <v>4020829100367</v>
          </cell>
          <cell r="G573" t="e">
            <v>#N/A</v>
          </cell>
          <cell r="H573" t="e">
            <v>#N/A</v>
          </cell>
        </row>
        <row r="574">
          <cell r="B574">
            <v>1030104</v>
          </cell>
          <cell r="C574" t="str">
            <v>Lait Crème pour le Corps Amande - 145 ml</v>
          </cell>
          <cell r="D574" t="str">
            <v>429000453</v>
          </cell>
          <cell r="E574" t="str">
            <v>4020829009110</v>
          </cell>
          <cell r="G574">
            <v>14.82</v>
          </cell>
          <cell r="H574">
            <v>25.2</v>
          </cell>
        </row>
        <row r="575">
          <cell r="B575">
            <v>1030102</v>
          </cell>
          <cell r="C575" t="str">
            <v>Lait Crème pour le Corps Lavande Bois de Santal - 145 ml</v>
          </cell>
          <cell r="D575" t="str">
            <v>429000450</v>
          </cell>
          <cell r="E575" t="str">
            <v>4020829009080</v>
          </cell>
          <cell r="G575">
            <v>14.82</v>
          </cell>
          <cell r="H575">
            <v>25.2</v>
          </cell>
        </row>
        <row r="576">
          <cell r="B576">
            <v>1830102</v>
          </cell>
          <cell r="C576" t="str">
            <v>Lait Crème pour le Corps Lavande Bois de Santal - 145 ml*DLV 11/24* - 15 %*</v>
          </cell>
          <cell r="E576" t="str">
            <v>18301029999</v>
          </cell>
          <cell r="G576" t="e">
            <v>#N/A</v>
          </cell>
          <cell r="H576" t="e">
            <v>#N/A</v>
          </cell>
        </row>
        <row r="577">
          <cell r="B577">
            <v>1030124</v>
          </cell>
          <cell r="C577" t="str">
            <v>Lait Crème pour le Corps Lavande Bois de Santal 145ml Edition Limitée 2023 - 25% - DLV au 30/11/24</v>
          </cell>
          <cell r="D577" t="str">
            <v>420005856</v>
          </cell>
          <cell r="E577" t="str">
            <v>4020829097391</v>
          </cell>
          <cell r="G577" t="e">
            <v>#N/A</v>
          </cell>
          <cell r="H577" t="e">
            <v>#N/A</v>
          </cell>
        </row>
        <row r="578">
          <cell r="B578">
            <v>1030101</v>
          </cell>
          <cell r="C578" t="str">
            <v>Lait Crème pour le Corps Rose - 145 ml</v>
          </cell>
          <cell r="D578" t="str">
            <v>429000213</v>
          </cell>
          <cell r="E578" t="str">
            <v>4020829006751</v>
          </cell>
          <cell r="G578">
            <v>15.650000000000002</v>
          </cell>
          <cell r="H578">
            <v>26.6</v>
          </cell>
        </row>
        <row r="579">
          <cell r="B579">
            <v>1030128</v>
          </cell>
          <cell r="C579" t="str">
            <v>Lait Crème pour le Corps Rose - 145 ml version Anglaise</v>
          </cell>
          <cell r="D579" t="str">
            <v>429000210</v>
          </cell>
          <cell r="E579" t="str">
            <v>4020829006720</v>
          </cell>
          <cell r="G579" t="e">
            <v>#N/A</v>
          </cell>
          <cell r="H579" t="e">
            <v>#N/A</v>
          </cell>
        </row>
        <row r="580">
          <cell r="B580">
            <v>1030129</v>
          </cell>
          <cell r="C580" t="str">
            <v>Lait Crème pour le Corps Rose 145 ml Édition Limitée 2025</v>
          </cell>
          <cell r="D580" t="str">
            <v>420006516</v>
          </cell>
          <cell r="E580" t="str">
            <v>4020829109162</v>
          </cell>
          <cell r="G580" t="e">
            <v>#N/A</v>
          </cell>
          <cell r="H580" t="e">
            <v>#N/A</v>
          </cell>
        </row>
        <row r="581">
          <cell r="B581">
            <v>8030129</v>
          </cell>
          <cell r="C581" t="str">
            <v>Lait Crème pour le Corps Rose 145 ml Édition Limitée 2025 *PRE-SERIE*</v>
          </cell>
          <cell r="D581" t="str">
            <v>420006514</v>
          </cell>
          <cell r="E581" t="str">
            <v>4020829109148</v>
          </cell>
          <cell r="G581" t="e">
            <v>#N/A</v>
          </cell>
          <cell r="H581" t="e">
            <v>#N/A</v>
          </cell>
        </row>
        <row r="582">
          <cell r="B582">
            <v>1030114</v>
          </cell>
          <cell r="C582" t="str">
            <v>Lait Crème pour le Corps Rose Taille Spéciale 30 ml</v>
          </cell>
          <cell r="D582" t="str">
            <v>420003051</v>
          </cell>
          <cell r="E582" t="str">
            <v>4020829090316</v>
          </cell>
          <cell r="G582" t="e">
            <v>#N/A</v>
          </cell>
          <cell r="H582" t="e">
            <v>#N/A</v>
          </cell>
        </row>
        <row r="583">
          <cell r="B583" t="str">
            <v>INFO LAIT 30 ml</v>
          </cell>
          <cell r="C583" t="str">
            <v>Lait Démaquillant 30 ml *DVL 06/2024*</v>
          </cell>
          <cell r="G583" t="e">
            <v>#N/A</v>
          </cell>
          <cell r="H583" t="e">
            <v>#N/A</v>
          </cell>
        </row>
        <row r="584">
          <cell r="B584">
            <v>1010102</v>
          </cell>
          <cell r="C584" t="str">
            <v>Lait Démaquillant et Nettoyant - 145 ml</v>
          </cell>
          <cell r="D584" t="str">
            <v>429000136</v>
          </cell>
          <cell r="E584" t="str">
            <v>4020829006041</v>
          </cell>
          <cell r="G584">
            <v>17.057721061658835</v>
          </cell>
          <cell r="H584">
            <v>28.996126071987476</v>
          </cell>
        </row>
        <row r="585">
          <cell r="B585">
            <v>1010115</v>
          </cell>
          <cell r="C585" t="str">
            <v>Lait Démaquillant et Nettoyant - 30 ml</v>
          </cell>
          <cell r="D585" t="str">
            <v>420003777</v>
          </cell>
          <cell r="E585" t="str">
            <v>4020829066441</v>
          </cell>
          <cell r="G585" t="e">
            <v>#N/A</v>
          </cell>
          <cell r="H585" t="e">
            <v>#N/A</v>
          </cell>
        </row>
        <row r="586">
          <cell r="B586">
            <v>1020107</v>
          </cell>
          <cell r="C586" t="str">
            <v>Lait pour le Corps - Régénérant - 150 ml</v>
          </cell>
          <cell r="D586" t="str">
            <v>420006260</v>
          </cell>
          <cell r="E586" t="str">
            <v>4020829103160</v>
          </cell>
          <cell r="G586">
            <v>26.119999999999997</v>
          </cell>
          <cell r="H586">
            <v>44.4</v>
          </cell>
        </row>
        <row r="587">
          <cell r="B587">
            <v>1030125</v>
          </cell>
          <cell r="C587" t="str">
            <v>Lait pour le Corps Bergamote Citronnelle - 145 ml</v>
          </cell>
          <cell r="D587" t="str">
            <v>420006072</v>
          </cell>
          <cell r="E587" t="str">
            <v>4020829100176</v>
          </cell>
          <cell r="G587">
            <v>13.94</v>
          </cell>
          <cell r="H587">
            <v>23.7</v>
          </cell>
        </row>
        <row r="588">
          <cell r="B588">
            <v>8030125</v>
          </cell>
          <cell r="C588" t="str">
            <v>Lait pour le Corps Bergamote Citronnelle - 145 ml</v>
          </cell>
          <cell r="D588" t="str">
            <v>8030125</v>
          </cell>
          <cell r="E588" t="str">
            <v>9999998030125</v>
          </cell>
          <cell r="G588" t="e">
            <v>#N/A</v>
          </cell>
          <cell r="H588" t="e">
            <v>#N/A</v>
          </cell>
        </row>
        <row r="589">
          <cell r="B589">
            <v>1030103</v>
          </cell>
          <cell r="C589" t="str">
            <v>Lait pour le Corps Citron Citronnelle - 145 ml*DLV 11/24*- 25%*</v>
          </cell>
          <cell r="D589" t="str">
            <v>429000457</v>
          </cell>
          <cell r="E589" t="str">
            <v>4020829009158</v>
          </cell>
          <cell r="G589" t="e">
            <v>#N/A</v>
          </cell>
          <cell r="H589" t="e">
            <v>#N/A</v>
          </cell>
        </row>
        <row r="590">
          <cell r="B590">
            <v>1030105</v>
          </cell>
          <cell r="C590" t="str">
            <v>Lait pour le Corps Coing - 145 ml</v>
          </cell>
          <cell r="D590" t="str">
            <v>429000445</v>
          </cell>
          <cell r="E590" t="str">
            <v>4020829009035</v>
          </cell>
          <cell r="G590">
            <v>13.939563218268718</v>
          </cell>
          <cell r="H590">
            <v>23.699257408390864</v>
          </cell>
        </row>
        <row r="591">
          <cell r="B591">
            <v>1020101</v>
          </cell>
          <cell r="C591" t="str">
            <v>Lait pour le Corps Régénérant - 150 ml</v>
          </cell>
          <cell r="D591" t="str">
            <v>429000383</v>
          </cell>
          <cell r="E591" t="str">
            <v>4020829008410</v>
          </cell>
          <cell r="G591" t="e">
            <v>#N/A</v>
          </cell>
          <cell r="H591" t="e">
            <v>#N/A</v>
          </cell>
        </row>
        <row r="592">
          <cell r="B592">
            <v>1050104</v>
          </cell>
          <cell r="C592" t="str">
            <v>Lait pour le Corps à la Ficoïde à Cristaux - 145 ml</v>
          </cell>
          <cell r="D592" t="str">
            <v>420005488</v>
          </cell>
          <cell r="E592" t="str">
            <v>4020829092068</v>
          </cell>
          <cell r="G592">
            <v>16.760000000000002</v>
          </cell>
          <cell r="H592">
            <v>28.5</v>
          </cell>
        </row>
        <row r="593">
          <cell r="B593" t="str">
            <v>AV7131357</v>
          </cell>
          <cell r="C593" t="str">
            <v>Lancement Baumes Stick Lèvres et Joues - offre Look</v>
          </cell>
          <cell r="G593" t="e">
            <v>#N/A</v>
          </cell>
          <cell r="H593" t="e">
            <v>#N/A</v>
          </cell>
        </row>
        <row r="594">
          <cell r="B594">
            <v>7131357</v>
          </cell>
          <cell r="C594" t="str">
            <v>Lancement Baumes Stick Lèvres et Joues - offre Look</v>
          </cell>
          <cell r="G594" t="e">
            <v>#N/A</v>
          </cell>
          <cell r="H594" t="e">
            <v>#N/A</v>
          </cell>
        </row>
        <row r="595">
          <cell r="B595" t="str">
            <v>AV7131358</v>
          </cell>
          <cell r="C595" t="str">
            <v>Lancement Baumes Stick Lèvres et Joues - offre Look *sans Panneau*</v>
          </cell>
          <cell r="G595" t="e">
            <v>#N/A</v>
          </cell>
          <cell r="H595" t="e">
            <v>#N/A</v>
          </cell>
        </row>
        <row r="596">
          <cell r="B596">
            <v>7131358</v>
          </cell>
          <cell r="C596" t="str">
            <v>Lancement Baumes Stick Lèvres et Joues - offre Look *sans panneau*</v>
          </cell>
          <cell r="G596" t="e">
            <v>#N/A</v>
          </cell>
          <cell r="H596" t="e">
            <v>#N/A</v>
          </cell>
        </row>
        <row r="597">
          <cell r="B597" t="str">
            <v>NUUL</v>
          </cell>
          <cell r="C597" t="str">
            <v>Libellé article</v>
          </cell>
          <cell r="G597" t="e">
            <v>#N/A</v>
          </cell>
          <cell r="H597" t="e">
            <v>#N/A</v>
          </cell>
        </row>
        <row r="598">
          <cell r="B598" t="str">
            <v>INFODIV</v>
          </cell>
          <cell r="C598" t="str">
            <v>Libellé ligne à modifier</v>
          </cell>
          <cell r="G598" t="e">
            <v>#N/A</v>
          </cell>
          <cell r="H598" t="e">
            <v>#N/A</v>
          </cell>
        </row>
        <row r="599">
          <cell r="C599" t="str">
            <v>Location de salle</v>
          </cell>
          <cell r="G599" t="e">
            <v>#N/A</v>
          </cell>
          <cell r="H599" t="e">
            <v>#N/A</v>
          </cell>
        </row>
        <row r="600">
          <cell r="B600" t="str">
            <v>L4010101</v>
          </cell>
          <cell r="C600" t="str">
            <v>Lot 5 x Miniature - Crème Purifiante pour le Visage 10 ml - 15% comprise</v>
          </cell>
          <cell r="E600" t="str">
            <v>999999L4010101</v>
          </cell>
          <cell r="G600" t="e">
            <v>#N/A</v>
          </cell>
          <cell r="H600" t="e">
            <v>#N/A</v>
          </cell>
        </row>
        <row r="601">
          <cell r="B601" t="str">
            <v>L4010302</v>
          </cell>
          <cell r="C601" t="str">
            <v>Lot 5 x Miniature - Crème de Jour Légère à la Rose 5 ml  - 15% comprise</v>
          </cell>
          <cell r="E601" t="str">
            <v>999999L4010302</v>
          </cell>
          <cell r="G601" t="e">
            <v>#N/A</v>
          </cell>
          <cell r="H601" t="e">
            <v>#N/A</v>
          </cell>
        </row>
        <row r="602">
          <cell r="B602" t="str">
            <v>L4010320</v>
          </cell>
          <cell r="C602" t="str">
            <v>Lot 5 x Miniature - Crème de Jour Teintée 5 ml - 15% comprise</v>
          </cell>
          <cell r="E602" t="str">
            <v>999999L4010320</v>
          </cell>
          <cell r="G602" t="e">
            <v>#N/A</v>
          </cell>
          <cell r="H602" t="e">
            <v>#N/A</v>
          </cell>
        </row>
        <row r="603">
          <cell r="B603" t="str">
            <v>L4010305</v>
          </cell>
          <cell r="C603" t="str">
            <v>Lot 5 x Miniature - Crème de Jour au Coing - 15% comprise</v>
          </cell>
          <cell r="E603" t="str">
            <v>999999L4010305</v>
          </cell>
          <cell r="G603" t="e">
            <v>#N/A</v>
          </cell>
          <cell r="H603" t="e">
            <v>#N/A</v>
          </cell>
        </row>
        <row r="604">
          <cell r="B604" t="str">
            <v>L4010306</v>
          </cell>
          <cell r="C604" t="str">
            <v>Lot 5 x Miniature - Crème de Jour à la Mélisse 5 ml - 15% comprise</v>
          </cell>
          <cell r="E604" t="str">
            <v>999999L4010306</v>
          </cell>
          <cell r="G604" t="e">
            <v>#N/A</v>
          </cell>
          <cell r="H604" t="e">
            <v>#N/A</v>
          </cell>
        </row>
        <row r="605">
          <cell r="B605" t="str">
            <v>L4010310</v>
          </cell>
          <cell r="C605" t="str">
            <v>Lot 5 x Miniature - Crème de Jour à la Rose 5 ml - 15% comprise</v>
          </cell>
          <cell r="E605" t="str">
            <v>999999L4010310</v>
          </cell>
          <cell r="G605" t="e">
            <v>#N/A</v>
          </cell>
          <cell r="H605" t="e">
            <v>#N/A</v>
          </cell>
        </row>
        <row r="606">
          <cell r="B606" t="str">
            <v>L4030202</v>
          </cell>
          <cell r="C606" t="str">
            <v>Lot 5 x Miniature - Huile de Soin Prunelle 10 ml - 15% comprise</v>
          </cell>
          <cell r="E606" t="str">
            <v>999999L4030202</v>
          </cell>
          <cell r="G606" t="e">
            <v>#N/A</v>
          </cell>
          <cell r="H606" t="e">
            <v>#N/A</v>
          </cell>
        </row>
        <row r="607">
          <cell r="B607" t="str">
            <v>L4030201</v>
          </cell>
          <cell r="C607" t="str">
            <v>Lot 5 x Miniature - Huile de Soin Rose 10 ml - 15% comprise</v>
          </cell>
          <cell r="E607" t="str">
            <v>999999L4030201</v>
          </cell>
          <cell r="G607" t="e">
            <v>#N/A</v>
          </cell>
          <cell r="H607" t="e">
            <v>#N/A</v>
          </cell>
        </row>
        <row r="608">
          <cell r="B608" t="str">
            <v>L4010307</v>
          </cell>
          <cell r="C608" t="str">
            <v>Lot 5 x Miniature - Huile Équilibrante pour le Visage 5 ml - 15% comprise</v>
          </cell>
          <cell r="E608" t="str">
            <v>999999L4010307</v>
          </cell>
          <cell r="G608" t="e">
            <v>#N/A</v>
          </cell>
          <cell r="H608" t="e">
            <v>#N/A</v>
          </cell>
        </row>
        <row r="609">
          <cell r="B609" t="str">
            <v>L4010102</v>
          </cell>
          <cell r="C609" t="str">
            <v>Lot 5 x Miniature - Lait Démaquillant et Nettoyant 10 ml - 15% comprise</v>
          </cell>
          <cell r="E609" t="str">
            <v>999999L4010102</v>
          </cell>
          <cell r="G609" t="e">
            <v>#N/A</v>
          </cell>
          <cell r="H609" t="e">
            <v>#N/A</v>
          </cell>
        </row>
        <row r="610">
          <cell r="B610" t="str">
            <v>L4030103</v>
          </cell>
          <cell r="C610" t="str">
            <v>Lot 5 x Miniature - Lait pour le Corps Citron Citronnelle 10 ml - 15% comprise</v>
          </cell>
          <cell r="E610" t="str">
            <v>999999L4030103</v>
          </cell>
          <cell r="G610" t="e">
            <v>#N/A</v>
          </cell>
          <cell r="H610" t="e">
            <v>#N/A</v>
          </cell>
        </row>
        <row r="611">
          <cell r="B611" t="str">
            <v>L4010202</v>
          </cell>
          <cell r="C611" t="str">
            <v>Lot 5 x Miniature - Lotion Clarifiante avec spray 10 ml - 15% comprise</v>
          </cell>
          <cell r="E611" t="str">
            <v>999999L4010202</v>
          </cell>
          <cell r="G611" t="e">
            <v>#N/A</v>
          </cell>
          <cell r="H611" t="e">
            <v>#N/A</v>
          </cell>
        </row>
        <row r="612">
          <cell r="B612" t="str">
            <v>L4010201</v>
          </cell>
          <cell r="C612" t="str">
            <v>Lot 5 x Miniature - Lotion Tonifiante avec spray - 10 ml - 15% comprise</v>
          </cell>
          <cell r="E612" t="str">
            <v>999999L4010201</v>
          </cell>
          <cell r="G612" t="e">
            <v>#N/A</v>
          </cell>
          <cell r="H612" t="e">
            <v>#N/A</v>
          </cell>
        </row>
        <row r="613">
          <cell r="B613" t="str">
            <v>L4010709</v>
          </cell>
          <cell r="C613" t="str">
            <v>Lot 5 x Miniature - Masque Apaisant 5 ml - 15% comprise</v>
          </cell>
          <cell r="E613" t="str">
            <v>999999L4010709</v>
          </cell>
          <cell r="G613" t="e">
            <v>#N/A</v>
          </cell>
          <cell r="H613" t="e">
            <v>#N/A</v>
          </cell>
        </row>
        <row r="614">
          <cell r="B614" t="str">
            <v>L4010717</v>
          </cell>
          <cell r="C614" t="str">
            <v>Lot 5 x Miniature - Masque Crème Nourrissant 5 ml - 15% comprise</v>
          </cell>
          <cell r="E614" t="str">
            <v>999999L4010717</v>
          </cell>
          <cell r="G614" t="e">
            <v>#N/A</v>
          </cell>
          <cell r="H614" t="e">
            <v>#N/A</v>
          </cell>
        </row>
        <row r="615">
          <cell r="B615" t="str">
            <v>L4010707</v>
          </cell>
          <cell r="C615" t="str">
            <v>Lot 5 x Miniature - Masque Revitalisant 5 ml - 15% comprise</v>
          </cell>
          <cell r="E615" t="str">
            <v>999999L4010707</v>
          </cell>
          <cell r="G615" t="e">
            <v>#N/A</v>
          </cell>
          <cell r="H615" t="e">
            <v>#N/A</v>
          </cell>
        </row>
        <row r="616">
          <cell r="B616" t="str">
            <v>L4010203</v>
          </cell>
          <cell r="C616" t="str">
            <v>Lot 5 x Miniature - Sérum Tonifiant Nuit 2,5ml  - 15% comprise</v>
          </cell>
          <cell r="E616" t="str">
            <v>999999L4010203</v>
          </cell>
          <cell r="G616" t="e">
            <v>#N/A</v>
          </cell>
          <cell r="H616" t="e">
            <v>#N/A</v>
          </cell>
        </row>
        <row r="617">
          <cell r="B617">
            <v>6500101</v>
          </cell>
          <cell r="C617" t="str">
            <v>Lot Balises Linéaire Routine</v>
          </cell>
          <cell r="D617" t="str">
            <v>6500101</v>
          </cell>
          <cell r="E617" t="str">
            <v>9999996500101</v>
          </cell>
          <cell r="G617" t="e">
            <v>#N/A</v>
          </cell>
          <cell r="H617" t="e">
            <v>#N/A</v>
          </cell>
        </row>
        <row r="618">
          <cell r="B618">
            <v>901904</v>
          </cell>
          <cell r="C618" t="str">
            <v>Lot de 10 Charlottes</v>
          </cell>
          <cell r="D618" t="str">
            <v>901904</v>
          </cell>
          <cell r="E618" t="str">
            <v>999999901904</v>
          </cell>
          <cell r="G618" t="e">
            <v>#N/A</v>
          </cell>
          <cell r="H618" t="e">
            <v>#N/A</v>
          </cell>
        </row>
        <row r="619">
          <cell r="B619" t="str">
            <v>L5050101</v>
          </cell>
          <cell r="C619" t="str">
            <v>Lot de 10 Echantillon Lait pour le corps à la Ficoïde à Cristaux - 5 ml + Flyer</v>
          </cell>
          <cell r="E619" t="str">
            <v>999999L5050101</v>
          </cell>
          <cell r="G619" t="e">
            <v>#N/A</v>
          </cell>
          <cell r="H619" t="e">
            <v>#N/A</v>
          </cell>
        </row>
        <row r="620">
          <cell r="B620" t="str">
            <v>L5010302</v>
          </cell>
          <cell r="C620" t="str">
            <v>Lot de 10 Echantillons - Crème de Jour Légère à la Rose - 1,5 ml</v>
          </cell>
          <cell r="E620" t="str">
            <v>999999P5010302</v>
          </cell>
          <cell r="G620" t="e">
            <v>#N/A</v>
          </cell>
          <cell r="H620" t="e">
            <v>#N/A</v>
          </cell>
        </row>
        <row r="621">
          <cell r="B621" t="str">
            <v>L5010305</v>
          </cell>
          <cell r="C621" t="str">
            <v>Lot de 10 Echantillons - Crème de Jour au Coing - 1,5 ml</v>
          </cell>
          <cell r="E621" t="str">
            <v>999999P5010305</v>
          </cell>
          <cell r="G621" t="e">
            <v>#N/A</v>
          </cell>
          <cell r="H621" t="e">
            <v>#N/A</v>
          </cell>
        </row>
        <row r="622">
          <cell r="B622" t="str">
            <v>L5010377</v>
          </cell>
          <cell r="C622" t="str">
            <v>Lot de 10 Echantillons - Crème de Jour à l'Abricot - 1,5ml</v>
          </cell>
          <cell r="G622" t="e">
            <v>#N/A</v>
          </cell>
          <cell r="H622" t="e">
            <v>#N/A</v>
          </cell>
        </row>
        <row r="623">
          <cell r="B623" t="str">
            <v>L5010306</v>
          </cell>
          <cell r="C623" t="str">
            <v>Lot de 10 Echantillons - Crème de Jour à la Mélisse - 1,5 ml</v>
          </cell>
          <cell r="E623" t="str">
            <v>999999P5010306</v>
          </cell>
          <cell r="G623" t="e">
            <v>#N/A</v>
          </cell>
          <cell r="H623" t="e">
            <v>#N/A</v>
          </cell>
        </row>
        <row r="624">
          <cell r="B624" t="str">
            <v>L5010310</v>
          </cell>
          <cell r="C624" t="str">
            <v>Lot de 10 Echantillons - Crème de Jour à la Rose - 1,5 ml</v>
          </cell>
          <cell r="E624" t="str">
            <v>999999L5010310</v>
          </cell>
          <cell r="G624" t="e">
            <v>#N/A</v>
          </cell>
          <cell r="H624" t="e">
            <v>#N/A</v>
          </cell>
        </row>
        <row r="625">
          <cell r="B625" t="str">
            <v>L5010116</v>
          </cell>
          <cell r="C625" t="str">
            <v>Lot de 10 x Echantillon - Baume Lacté Nettoyant - 1,5 ml</v>
          </cell>
          <cell r="E625" t="str">
            <v>9999L5010116</v>
          </cell>
          <cell r="G625" t="e">
            <v>#N/A</v>
          </cell>
          <cell r="H625" t="e">
            <v>#N/A</v>
          </cell>
        </row>
        <row r="626">
          <cell r="B626" t="str">
            <v>L5020401</v>
          </cell>
          <cell r="C626" t="str">
            <v>Lot de 10 x Echantillon - Crème Régénérante Contour des Yeux - 1,5 ml</v>
          </cell>
          <cell r="E626" t="str">
            <v>999999P5020401</v>
          </cell>
          <cell r="G626" t="e">
            <v>#N/A</v>
          </cell>
          <cell r="H626" t="e">
            <v>#N/A</v>
          </cell>
        </row>
        <row r="627">
          <cell r="B627" t="str">
            <v>L5020302</v>
          </cell>
          <cell r="C627" t="str">
            <v>Lot de 10 x Echantillon - Crème de Jour Régénérante -1,5 ml</v>
          </cell>
          <cell r="E627" t="str">
            <v>999999P5020302</v>
          </cell>
          <cell r="G627" t="e">
            <v>#N/A</v>
          </cell>
          <cell r="H627" t="e">
            <v>#N/A</v>
          </cell>
        </row>
        <row r="628">
          <cell r="B628" t="str">
            <v>L5020310</v>
          </cell>
          <cell r="C628" t="str">
            <v>Lot de 10 x Echantillon - Crème de Jour Régénérante Eclat du Teint - 1,5 ml</v>
          </cell>
          <cell r="E628" t="str">
            <v>999999P5020310</v>
          </cell>
          <cell r="G628" t="e">
            <v>#N/A</v>
          </cell>
          <cell r="H628" t="e">
            <v>#N/A</v>
          </cell>
        </row>
        <row r="629">
          <cell r="B629" t="str">
            <v>L5030301</v>
          </cell>
          <cell r="C629" t="str">
            <v>Lot de 10 x Echantillon - Crème pour les Mains avec Fly - 2,5 ML</v>
          </cell>
          <cell r="E629" t="str">
            <v>999999L5030301</v>
          </cell>
          <cell r="G629" t="e">
            <v>#N/A</v>
          </cell>
          <cell r="H629" t="e">
            <v>#N/A</v>
          </cell>
        </row>
        <row r="630">
          <cell r="B630" t="str">
            <v>L5050103</v>
          </cell>
          <cell r="C630" t="str">
            <v>Lot de 10 x Echantillon - Crème pour les Mains à la Ficoïde à Cristaux - 2,5 ml</v>
          </cell>
          <cell r="E630" t="str">
            <v>999999L5050103</v>
          </cell>
          <cell r="G630" t="e">
            <v>#N/A</v>
          </cell>
          <cell r="H630" t="e">
            <v>#N/A</v>
          </cell>
        </row>
        <row r="631">
          <cell r="B631" t="str">
            <v>L5010360</v>
          </cell>
          <cell r="C631" t="str">
            <v>Lot de 10 x Echantillon - Fluide de Jour Apaisant -1,5 ml</v>
          </cell>
          <cell r="E631" t="str">
            <v>999999L5010360</v>
          </cell>
          <cell r="G631" t="e">
            <v>#N/A</v>
          </cell>
          <cell r="H631" t="e">
            <v>#N/A</v>
          </cell>
        </row>
        <row r="632">
          <cell r="B632" t="str">
            <v>L5010361</v>
          </cell>
          <cell r="C632" t="str">
            <v>Lot de 10 x Echantillon - Fluide de Jour Equilibrant - 1,5ml</v>
          </cell>
          <cell r="E632" t="str">
            <v>999999L5010361</v>
          </cell>
          <cell r="G632" t="e">
            <v>#N/A</v>
          </cell>
          <cell r="H632" t="e">
            <v>#N/A</v>
          </cell>
        </row>
        <row r="633">
          <cell r="B633" t="str">
            <v>L5010359</v>
          </cell>
          <cell r="C633" t="str">
            <v>Lot de 10 x Echantillon - Fluide de Jour Revitalisant - 1,5 ml</v>
          </cell>
          <cell r="E633" t="str">
            <v>999999P5010359</v>
          </cell>
          <cell r="G633" t="e">
            <v>#N/A</v>
          </cell>
          <cell r="H633" t="e">
            <v>#N/A</v>
          </cell>
        </row>
        <row r="634">
          <cell r="B634" t="str">
            <v>L5020201</v>
          </cell>
          <cell r="C634" t="str">
            <v>Lot de 10 x Echantillon - Sérum Régénérant Jour / Nuit avec fly - 1,5 ml</v>
          </cell>
          <cell r="E634" t="str">
            <v>999999P5020201</v>
          </cell>
          <cell r="G634" t="e">
            <v>#N/A</v>
          </cell>
          <cell r="H634" t="e">
            <v>#N/A</v>
          </cell>
        </row>
        <row r="635">
          <cell r="B635" t="str">
            <v>L5020718</v>
          </cell>
          <cell r="C635" t="str">
            <v>Lot de 10 x Echantillon - Sérum de Nuit - Régénérant Intensif 30ml 1,5ml</v>
          </cell>
          <cell r="E635" t="str">
            <v>9999L5020718</v>
          </cell>
          <cell r="G635" t="e">
            <v>#N/A</v>
          </cell>
          <cell r="H635" t="e">
            <v>#N/A</v>
          </cell>
        </row>
        <row r="636">
          <cell r="B636" t="str">
            <v>L5020703</v>
          </cell>
          <cell r="C636" t="str">
            <v>Lot de 10 x Echantillon Crème de Jour Régénérante Intensive - 1,5 ml</v>
          </cell>
          <cell r="E636" t="str">
            <v>999999P5020703</v>
          </cell>
          <cell r="G636" t="e">
            <v>#N/A</v>
          </cell>
          <cell r="H636" t="e">
            <v>#N/A</v>
          </cell>
        </row>
        <row r="637">
          <cell r="B637" t="str">
            <v>L5050503</v>
          </cell>
          <cell r="C637" t="str">
            <v>Lot de 10 x Echantillon Masque pour le Cuir Chevelu aux Graines de Courge - 2 ml</v>
          </cell>
          <cell r="E637" t="str">
            <v>9999L5050503</v>
          </cell>
          <cell r="G637" t="e">
            <v>#N/A</v>
          </cell>
          <cell r="H637" t="e">
            <v>#N/A</v>
          </cell>
        </row>
        <row r="638">
          <cell r="B638" t="str">
            <v>L5050502</v>
          </cell>
          <cell r="C638" t="str">
            <v>Lot de 10 x Echantillon Shampooing à la Ficoïde à Cristaux - 10 ml</v>
          </cell>
          <cell r="G638" t="e">
            <v>#N/A</v>
          </cell>
          <cell r="H638" t="e">
            <v>#N/A</v>
          </cell>
        </row>
        <row r="639">
          <cell r="B639" t="str">
            <v>L5010102</v>
          </cell>
          <cell r="C639" t="str">
            <v>Lot de 10 x Echantillons - Lait Démaquillant et Nettoyant - 5 ml</v>
          </cell>
          <cell r="E639" t="str">
            <v>999999P5010102</v>
          </cell>
          <cell r="G639" t="e">
            <v>#N/A</v>
          </cell>
          <cell r="H639" t="e">
            <v>#N/A</v>
          </cell>
        </row>
        <row r="640">
          <cell r="B640" t="str">
            <v>L5050201</v>
          </cell>
          <cell r="C640" t="str">
            <v>Lot de 10 x Echantillon - Crème Intensive à la Ficoïde à Cristaux - 1,5 ml</v>
          </cell>
          <cell r="E640" t="str">
            <v>999999P5050201</v>
          </cell>
          <cell r="G640" t="e">
            <v>#N/A</v>
          </cell>
          <cell r="H640" t="e">
            <v>#N/A</v>
          </cell>
        </row>
        <row r="641">
          <cell r="B641">
            <v>6300188</v>
          </cell>
          <cell r="C641" t="str">
            <v>Lot de 2 cubes Noël 2023</v>
          </cell>
          <cell r="D641" t="str">
            <v>6300188</v>
          </cell>
          <cell r="E641" t="str">
            <v>9999996300188</v>
          </cell>
          <cell r="G641" t="e">
            <v>#N/A</v>
          </cell>
          <cell r="H641" t="e">
            <v>#N/A</v>
          </cell>
        </row>
        <row r="642">
          <cell r="B642">
            <v>6300201</v>
          </cell>
          <cell r="C642" t="str">
            <v>Lot de 2 posters A1 Edition Limitée 2024</v>
          </cell>
          <cell r="D642" t="str">
            <v>410006918</v>
          </cell>
          <cell r="E642" t="str">
            <v>4020829105607</v>
          </cell>
          <cell r="G642" t="e">
            <v>#N/A</v>
          </cell>
          <cell r="H642" t="e">
            <v>#N/A</v>
          </cell>
        </row>
        <row r="643">
          <cell r="B643">
            <v>6500132</v>
          </cell>
          <cell r="C643" t="str">
            <v>Lot de 3 mini stop-rayons</v>
          </cell>
          <cell r="D643" t="str">
            <v>6500132</v>
          </cell>
          <cell r="E643" t="str">
            <v>9999996500132</v>
          </cell>
          <cell r="G643" t="e">
            <v>#N/A</v>
          </cell>
          <cell r="H643" t="e">
            <v>#N/A</v>
          </cell>
        </row>
        <row r="644">
          <cell r="C644" t="str">
            <v>Lot de 5 * Miniature - Sérum Contour des Yeux - Régénérant Intensif 2,5ml</v>
          </cell>
          <cell r="G644" t="e">
            <v>#N/A</v>
          </cell>
          <cell r="H644" t="e">
            <v>#N/A</v>
          </cell>
        </row>
        <row r="645">
          <cell r="B645">
            <v>6600035</v>
          </cell>
          <cell r="C645" t="str">
            <v>Lot de 5 Furoshikis Alice in Food pour Dr. Hauschka</v>
          </cell>
          <cell r="D645" t="str">
            <v>6600035</v>
          </cell>
          <cell r="E645" t="str">
            <v>9999996600035</v>
          </cell>
          <cell r="G645" t="e">
            <v>#N/A</v>
          </cell>
          <cell r="H645" t="e">
            <v>#N/A</v>
          </cell>
        </row>
        <row r="646">
          <cell r="B646" t="str">
            <v>L4050203</v>
          </cell>
          <cell r="C646" t="str">
            <v>Lot de 5 x Miniature - Crème Potentilla Ultra-Apaisante - 3 ml 15% comprise</v>
          </cell>
          <cell r="G646" t="e">
            <v>#N/A</v>
          </cell>
          <cell r="H646" t="e">
            <v>#N/A</v>
          </cell>
        </row>
        <row r="647">
          <cell r="B647" t="str">
            <v>L4010360</v>
          </cell>
          <cell r="C647" t="str">
            <v>Lot de 5 x Miniature - Fluide de Jour Apaisant - 5 ml - 15% comprise</v>
          </cell>
          <cell r="E647" t="str">
            <v>999999L4010360</v>
          </cell>
          <cell r="G647" t="e">
            <v>#N/A</v>
          </cell>
          <cell r="H647" t="e">
            <v>#N/A</v>
          </cell>
        </row>
        <row r="648">
          <cell r="B648" t="str">
            <v>L4010361</v>
          </cell>
          <cell r="C648" t="str">
            <v>Lot de 5 x Miniature - Fluide de Jour Equilibrant - 5 ml - 15% comprise</v>
          </cell>
          <cell r="E648" t="str">
            <v>999999L4010361</v>
          </cell>
          <cell r="G648" t="e">
            <v>#N/A</v>
          </cell>
          <cell r="H648" t="e">
            <v>#N/A</v>
          </cell>
        </row>
        <row r="649">
          <cell r="B649" t="str">
            <v>L4010359</v>
          </cell>
          <cell r="C649" t="str">
            <v>Lot de 5 x Miniature - Fluide de Jour Revitalisant - 5ml - 15 % comprise</v>
          </cell>
          <cell r="E649" t="str">
            <v>999999L4010359</v>
          </cell>
          <cell r="G649" t="e">
            <v>#N/A</v>
          </cell>
          <cell r="H649" t="e">
            <v>#N/A</v>
          </cell>
        </row>
        <row r="650">
          <cell r="B650" t="str">
            <v>L4010505</v>
          </cell>
          <cell r="C650" t="str">
            <v>Lot de 5 x Miniature - Lotion Fraîcheur pour les Yeux 5 ml - 15% comprise</v>
          </cell>
          <cell r="E650" t="str">
            <v>999999L4010505</v>
          </cell>
          <cell r="G650" t="e">
            <v>#N/A</v>
          </cell>
          <cell r="H650" t="e">
            <v>#N/A</v>
          </cell>
        </row>
        <row r="651">
          <cell r="B651" t="str">
            <v>L4010710</v>
          </cell>
          <cell r="C651" t="str">
            <v>Lot de 5 x Miniature - Masque Restructurant 5 ml - 15% comprise</v>
          </cell>
          <cell r="E651" t="str">
            <v>999999L4010710</v>
          </cell>
          <cell r="G651" t="e">
            <v>#N/A</v>
          </cell>
          <cell r="H651" t="e">
            <v>#N/A</v>
          </cell>
        </row>
        <row r="652">
          <cell r="B652" t="str">
            <v>L4020717</v>
          </cell>
          <cell r="C652" t="str">
            <v>Lot de 5 x Miniature - Sérum Contour des Yeux - Régénérant Intensif 2,5ml</v>
          </cell>
          <cell r="G652" t="e">
            <v>#N/A</v>
          </cell>
          <cell r="H652" t="e">
            <v>#N/A</v>
          </cell>
        </row>
        <row r="653">
          <cell r="B653" t="str">
            <v>L4020718</v>
          </cell>
          <cell r="C653" t="str">
            <v>Lot de 5 x Miniature - Sérum de Nuit - Régénérant Intensif 30ml 2,5ml</v>
          </cell>
          <cell r="G653" t="e">
            <v>#N/A</v>
          </cell>
          <cell r="H653" t="e">
            <v>#N/A</v>
          </cell>
        </row>
        <row r="654">
          <cell r="B654">
            <v>6300211</v>
          </cell>
          <cell r="C654" t="str">
            <v>Lot de posters A1 Édition Limitée 2025</v>
          </cell>
          <cell r="D654" t="str">
            <v>410007193</v>
          </cell>
          <cell r="E654" t="str">
            <v>4020829111189</v>
          </cell>
          <cell r="G654" t="e">
            <v>#N/A</v>
          </cell>
          <cell r="H654" t="e">
            <v>#N/A</v>
          </cell>
        </row>
        <row r="655">
          <cell r="C655" t="str">
            <v>Lot de posters A1 Édition Limitée 2025</v>
          </cell>
          <cell r="D655" t="str">
            <v>410007193</v>
          </cell>
          <cell r="G655" t="e">
            <v>#N/A</v>
          </cell>
          <cell r="H655" t="e">
            <v>#N/A</v>
          </cell>
        </row>
        <row r="656">
          <cell r="B656" t="str">
            <v>L4010377</v>
          </cell>
          <cell r="C656" t="str">
            <v>Lot x 5 Miniature - Crème de Jour à l'Abricot - 5 ml</v>
          </cell>
          <cell r="G656" t="e">
            <v>#N/A</v>
          </cell>
          <cell r="H656" t="e">
            <v>#N/A</v>
          </cell>
        </row>
        <row r="657">
          <cell r="B657">
            <v>1010202</v>
          </cell>
          <cell r="C657" t="str">
            <v>Lotion Clarifiante - 100 ml</v>
          </cell>
          <cell r="D657" t="str">
            <v>429000051</v>
          </cell>
          <cell r="E657" t="str">
            <v>4020829005297</v>
          </cell>
          <cell r="G657">
            <v>18.239999999999998</v>
          </cell>
          <cell r="H657">
            <v>31</v>
          </cell>
        </row>
        <row r="658">
          <cell r="B658">
            <v>1010505</v>
          </cell>
          <cell r="C658" t="str">
            <v>Lotion Fraîcheur pour les Yeux - 10 x 5 ml</v>
          </cell>
          <cell r="D658" t="str">
            <v>420004403</v>
          </cell>
          <cell r="E658" t="str">
            <v>4020829077058</v>
          </cell>
          <cell r="G658">
            <v>18.822929936305734</v>
          </cell>
          <cell r="H658">
            <v>32</v>
          </cell>
        </row>
        <row r="659">
          <cell r="B659">
            <v>1010201</v>
          </cell>
          <cell r="C659" t="str">
            <v>Lotion Tonifiante - 100 ml</v>
          </cell>
          <cell r="D659" t="str">
            <v>429000045</v>
          </cell>
          <cell r="E659" t="str">
            <v>4020829005235</v>
          </cell>
          <cell r="G659">
            <v>18.23833333333333</v>
          </cell>
          <cell r="H659">
            <v>31</v>
          </cell>
        </row>
        <row r="660">
          <cell r="B660">
            <v>1810205</v>
          </cell>
          <cell r="C660" t="str">
            <v>Lotion Tonifiante - 30 ml</v>
          </cell>
          <cell r="E660" t="str">
            <v>9999991810205</v>
          </cell>
          <cell r="G660" t="e">
            <v>#N/A</v>
          </cell>
          <cell r="H660" t="e">
            <v>#N/A</v>
          </cell>
        </row>
        <row r="661">
          <cell r="B661">
            <v>1010205</v>
          </cell>
          <cell r="C661" t="str">
            <v>Lotion Tonifiante - 30 ml</v>
          </cell>
          <cell r="D661" t="str">
            <v>420003779</v>
          </cell>
          <cell r="E661" t="str">
            <v>4020829066465</v>
          </cell>
          <cell r="G661" t="e">
            <v>#N/A</v>
          </cell>
          <cell r="H661" t="e">
            <v>#N/A</v>
          </cell>
        </row>
        <row r="662">
          <cell r="B662">
            <v>1010213</v>
          </cell>
          <cell r="C662" t="str">
            <v>Lotion Tonifiante 100 ml Edition Limitée 2024</v>
          </cell>
          <cell r="D662" t="str">
            <v>420006310</v>
          </cell>
          <cell r="E662" t="str">
            <v>4020829104464</v>
          </cell>
          <cell r="G662" t="e">
            <v>#N/A</v>
          </cell>
          <cell r="H662" t="e">
            <v>#N/A</v>
          </cell>
        </row>
        <row r="663">
          <cell r="B663" t="str">
            <v>INFO LOTION 30 ml</v>
          </cell>
          <cell r="C663" t="str">
            <v>Lotion Tonifiante 30 ml *DLV 06/2024*</v>
          </cell>
          <cell r="G663" t="e">
            <v>#N/A</v>
          </cell>
          <cell r="H663" t="e">
            <v>#N/A</v>
          </cell>
        </row>
        <row r="664">
          <cell r="B664">
            <v>1030402</v>
          </cell>
          <cell r="C664" t="str">
            <v>Lotion Tonifiante pour les Jambes - 100 ml</v>
          </cell>
          <cell r="D664" t="str">
            <v>429000149</v>
          </cell>
          <cell r="E664" t="str">
            <v>4020829006171</v>
          </cell>
          <cell r="G664">
            <v>15.47</v>
          </cell>
          <cell r="H664">
            <v>26.3</v>
          </cell>
        </row>
        <row r="665">
          <cell r="B665">
            <v>1040306</v>
          </cell>
          <cell r="C665" t="str">
            <v>Lotion pour les Cheveux - 100 ml</v>
          </cell>
          <cell r="D665" t="str">
            <v>420004444</v>
          </cell>
          <cell r="E665" t="str">
            <v>4020829077515</v>
          </cell>
          <cell r="G665">
            <v>11.651385822088399</v>
          </cell>
          <cell r="H665">
            <v>19.802355302776849</v>
          </cell>
        </row>
        <row r="666">
          <cell r="B666">
            <v>7031330</v>
          </cell>
          <cell r="C666" t="str">
            <v>MEA Compagnons Naturels</v>
          </cell>
          <cell r="G666" t="e">
            <v>#N/A</v>
          </cell>
          <cell r="H666" t="e">
            <v>#N/A</v>
          </cell>
        </row>
        <row r="667">
          <cell r="B667" t="str">
            <v>AV7031330</v>
          </cell>
          <cell r="C667" t="str">
            <v>MEA Compagnons Naturels</v>
          </cell>
          <cell r="G667" t="e">
            <v>#N/A</v>
          </cell>
          <cell r="H667" t="e">
            <v>#N/A</v>
          </cell>
        </row>
        <row r="668">
          <cell r="B668" t="str">
            <v>AV7031400</v>
          </cell>
          <cell r="C668" t="str">
            <v>MEA Déodorants 2025</v>
          </cell>
          <cell r="G668" t="e">
            <v>#N/A</v>
          </cell>
          <cell r="H668" t="e">
            <v>#N/A</v>
          </cell>
        </row>
        <row r="669">
          <cell r="B669">
            <v>7031400</v>
          </cell>
          <cell r="C669" t="str">
            <v>MEA Déodorants 2025</v>
          </cell>
          <cell r="G669" t="e">
            <v>#N/A</v>
          </cell>
          <cell r="H669" t="e">
            <v>#N/A</v>
          </cell>
        </row>
        <row r="670">
          <cell r="B670" t="str">
            <v>AV7031370</v>
          </cell>
          <cell r="C670" t="str">
            <v>MEA Edition Limitée Crème pour les Mains Noël 2024</v>
          </cell>
          <cell r="G670" t="e">
            <v>#N/A</v>
          </cell>
          <cell r="H670" t="e">
            <v>#N/A</v>
          </cell>
        </row>
        <row r="671">
          <cell r="B671">
            <v>7031370</v>
          </cell>
          <cell r="C671" t="str">
            <v>MEA Edition Limitée Crème pour les Mains Noël 2024</v>
          </cell>
          <cell r="G671" t="e">
            <v>#N/A</v>
          </cell>
          <cell r="H671" t="e">
            <v>#N/A</v>
          </cell>
        </row>
        <row r="672">
          <cell r="B672">
            <v>7131355</v>
          </cell>
          <cell r="C672" t="str">
            <v>MEA Essentiels de l'été</v>
          </cell>
          <cell r="G672" t="e">
            <v>#N/A</v>
          </cell>
          <cell r="H672" t="e">
            <v>#N/A</v>
          </cell>
        </row>
        <row r="673">
          <cell r="B673" t="str">
            <v>AV7131355</v>
          </cell>
          <cell r="C673" t="str">
            <v>MEA Essentiels de l'été</v>
          </cell>
          <cell r="G673" t="e">
            <v>#N/A</v>
          </cell>
          <cell r="H673" t="e">
            <v>#N/A</v>
          </cell>
        </row>
        <row r="674">
          <cell r="B674" t="str">
            <v>AV7131374</v>
          </cell>
          <cell r="C674" t="str">
            <v>MEA Essentiels de l'été V2</v>
          </cell>
          <cell r="G674" t="e">
            <v>#N/A</v>
          </cell>
          <cell r="H674" t="e">
            <v>#N/A</v>
          </cell>
        </row>
        <row r="675">
          <cell r="B675">
            <v>7131374</v>
          </cell>
          <cell r="C675" t="str">
            <v>MEA Essentiels de l'été V2</v>
          </cell>
          <cell r="G675" t="e">
            <v>#N/A</v>
          </cell>
          <cell r="H675" t="e">
            <v>#N/A</v>
          </cell>
        </row>
        <row r="676">
          <cell r="B676" t="str">
            <v>AV7201378</v>
          </cell>
          <cell r="C676" t="str">
            <v>MEA Habillage cabine - Linge et accessoires *PRE-COMMANDE*</v>
          </cell>
          <cell r="G676" t="e">
            <v>#N/A</v>
          </cell>
          <cell r="H676" t="e">
            <v>#N/A</v>
          </cell>
        </row>
        <row r="677">
          <cell r="B677">
            <v>7201378</v>
          </cell>
          <cell r="C677" t="str">
            <v>MEA Habillage cabine - Linge et accessoires *PRE-COMMANDE*</v>
          </cell>
          <cell r="G677" t="e">
            <v>#N/A</v>
          </cell>
          <cell r="H677" t="e">
            <v>#N/A</v>
          </cell>
        </row>
        <row r="678">
          <cell r="B678" t="str">
            <v>AV7201379</v>
          </cell>
          <cell r="C678" t="str">
            <v>MEA Lot de linge cabine *PRE-COMMANDE*</v>
          </cell>
          <cell r="G678" t="e">
            <v>#N/A</v>
          </cell>
          <cell r="H678" t="e">
            <v>#N/A</v>
          </cell>
        </row>
        <row r="679">
          <cell r="B679">
            <v>7201379</v>
          </cell>
          <cell r="C679" t="str">
            <v>MEA Lot de linge cabine *PRE-COMMANDE*</v>
          </cell>
          <cell r="G679" t="e">
            <v>#N/A</v>
          </cell>
          <cell r="H679" t="e">
            <v>#N/A</v>
          </cell>
        </row>
        <row r="680">
          <cell r="B680">
            <v>7061396</v>
          </cell>
          <cell r="C680" t="str">
            <v>MEA Maquillage Printanier 2025</v>
          </cell>
          <cell r="G680" t="e">
            <v>#N/A</v>
          </cell>
          <cell r="H680" t="e">
            <v>#N/A</v>
          </cell>
        </row>
        <row r="681">
          <cell r="B681" t="str">
            <v>AV7061396</v>
          </cell>
          <cell r="C681" t="str">
            <v>MEA Maquillage Printanier 2025</v>
          </cell>
          <cell r="G681" t="e">
            <v>#N/A</v>
          </cell>
          <cell r="H681" t="e">
            <v>#N/A</v>
          </cell>
        </row>
        <row r="682">
          <cell r="B682">
            <v>7061376</v>
          </cell>
          <cell r="C682" t="str">
            <v>MEA Maquillage Teint Parfait 2024</v>
          </cell>
          <cell r="G682" t="e">
            <v>#N/A</v>
          </cell>
          <cell r="H682" t="e">
            <v>#N/A</v>
          </cell>
        </row>
        <row r="683">
          <cell r="B683" t="str">
            <v>AV7061376</v>
          </cell>
          <cell r="C683" t="str">
            <v>MEA Maquillage Teint Parfait 2024</v>
          </cell>
          <cell r="G683" t="e">
            <v>#N/A</v>
          </cell>
          <cell r="H683" t="e">
            <v>#N/A</v>
          </cell>
        </row>
        <row r="684">
          <cell r="B684" t="str">
            <v>AV7131385</v>
          </cell>
          <cell r="C684" t="str">
            <v>MEA Rituel de Soin - Essentiel 2025</v>
          </cell>
          <cell r="G684" t="e">
            <v>#N/A</v>
          </cell>
          <cell r="H684" t="e">
            <v>#N/A</v>
          </cell>
        </row>
        <row r="685">
          <cell r="B685">
            <v>7131385</v>
          </cell>
          <cell r="C685" t="str">
            <v>MEA Rituel de Soin - Essentiel 2025 *PRE-COMMANDE*</v>
          </cell>
          <cell r="G685" t="e">
            <v>#N/A</v>
          </cell>
          <cell r="H685" t="e">
            <v>#N/A</v>
          </cell>
        </row>
        <row r="686">
          <cell r="B686" t="str">
            <v>AV7131384</v>
          </cell>
          <cell r="C686" t="str">
            <v>MEA Rituel de Soin - Premium 2025</v>
          </cell>
          <cell r="G686" t="e">
            <v>#N/A</v>
          </cell>
          <cell r="H686" t="e">
            <v>#N/A</v>
          </cell>
        </row>
        <row r="687">
          <cell r="B687">
            <v>7131384</v>
          </cell>
          <cell r="C687" t="str">
            <v>MEA Rituel de Soin - Premium 2025 *PRE-COMMANDE*</v>
          </cell>
          <cell r="G687" t="e">
            <v>#N/A</v>
          </cell>
          <cell r="H687" t="e">
            <v>#N/A</v>
          </cell>
        </row>
        <row r="688">
          <cell r="B688" t="str">
            <v>AV7131387</v>
          </cell>
          <cell r="C688" t="str">
            <v>MEA Rituel de Soin - Référencement 2025</v>
          </cell>
          <cell r="G688" t="e">
            <v>#N/A</v>
          </cell>
          <cell r="H688" t="e">
            <v>#N/A</v>
          </cell>
        </row>
        <row r="689">
          <cell r="B689">
            <v>7131387</v>
          </cell>
          <cell r="C689" t="str">
            <v>MEA Rituel de Soin - Référencement 2025</v>
          </cell>
          <cell r="G689" t="e">
            <v>#N/A</v>
          </cell>
          <cell r="H689" t="e">
            <v>#N/A</v>
          </cell>
        </row>
        <row r="690">
          <cell r="B690" t="str">
            <v>AV7021383</v>
          </cell>
          <cell r="C690" t="str">
            <v>MEA Régénérants - Essentiel 2025</v>
          </cell>
          <cell r="G690" t="e">
            <v>#N/A</v>
          </cell>
          <cell r="H690" t="e">
            <v>#N/A</v>
          </cell>
        </row>
        <row r="691">
          <cell r="B691">
            <v>7021383</v>
          </cell>
          <cell r="C691" t="str">
            <v>MEA Régénérants - Essentiel 2025 *PRE-COMMANDE*</v>
          </cell>
          <cell r="G691" t="e">
            <v>#N/A</v>
          </cell>
          <cell r="H691" t="e">
            <v>#N/A</v>
          </cell>
        </row>
        <row r="692">
          <cell r="B692" t="str">
            <v>AV7131386</v>
          </cell>
          <cell r="C692" t="str">
            <v>MEA Régénérants - Essentiel 2025 *sans PLV*</v>
          </cell>
          <cell r="G692" t="e">
            <v>#N/A</v>
          </cell>
          <cell r="H692" t="e">
            <v>#N/A</v>
          </cell>
        </row>
        <row r="693">
          <cell r="B693">
            <v>7131386</v>
          </cell>
          <cell r="C693" t="str">
            <v>MEA Régénérants - Essentiel 2025 *sans PLV* *PRE-COMMANDE*</v>
          </cell>
          <cell r="G693" t="e">
            <v>#N/A</v>
          </cell>
          <cell r="H693" t="e">
            <v>#N/A</v>
          </cell>
        </row>
        <row r="694">
          <cell r="B694" t="str">
            <v>AV7021381</v>
          </cell>
          <cell r="C694" t="str">
            <v>MEA Régénérants - Premium 2025</v>
          </cell>
          <cell r="G694" t="e">
            <v>#N/A</v>
          </cell>
          <cell r="H694" t="e">
            <v>#N/A</v>
          </cell>
        </row>
        <row r="695">
          <cell r="B695">
            <v>7021381</v>
          </cell>
          <cell r="C695" t="str">
            <v>MEA Régénérants - Premium 2025 *PRÉ-COMMANDE*</v>
          </cell>
          <cell r="G695" t="e">
            <v>#N/A</v>
          </cell>
          <cell r="H695" t="e">
            <v>#N/A</v>
          </cell>
        </row>
        <row r="696">
          <cell r="B696" t="str">
            <v>AV7021382</v>
          </cell>
          <cell r="C696" t="str">
            <v>MEA Régénérants - Premium 2025 *sans PLV*</v>
          </cell>
          <cell r="G696" t="e">
            <v>#N/A</v>
          </cell>
          <cell r="H696" t="e">
            <v>#N/A</v>
          </cell>
        </row>
        <row r="697">
          <cell r="B697">
            <v>7021382</v>
          </cell>
          <cell r="C697" t="str">
            <v>MEA Régénérants - Premium 2025 *sans PLV* *PRÉ-COMMANDE*</v>
          </cell>
          <cell r="G697" t="e">
            <v>#N/A</v>
          </cell>
          <cell r="H697" t="e">
            <v>#N/A</v>
          </cell>
        </row>
        <row r="698">
          <cell r="B698" t="str">
            <v>AV7131398</v>
          </cell>
          <cell r="C698" t="str">
            <v>MEA Solaires 2025</v>
          </cell>
          <cell r="G698" t="e">
            <v>#N/A</v>
          </cell>
          <cell r="H698" t="e">
            <v>#N/A</v>
          </cell>
        </row>
        <row r="699">
          <cell r="B699">
            <v>7131398</v>
          </cell>
          <cell r="C699" t="str">
            <v>MEA Solaires 2025</v>
          </cell>
          <cell r="G699" t="e">
            <v>#N/A</v>
          </cell>
          <cell r="H699" t="e">
            <v>#N/A</v>
          </cell>
        </row>
        <row r="700">
          <cell r="B700">
            <v>7131395</v>
          </cell>
          <cell r="C700" t="str">
            <v>MEA Édition Limitée Rose 2025</v>
          </cell>
          <cell r="G700" t="e">
            <v>#N/A</v>
          </cell>
          <cell r="H700" t="e">
            <v>#N/A</v>
          </cell>
        </row>
        <row r="701">
          <cell r="B701" t="str">
            <v>AV7131395</v>
          </cell>
          <cell r="C701" t="str">
            <v>MEA Édition Limitée Rose 2025</v>
          </cell>
          <cell r="G701" t="e">
            <v>#N/A</v>
          </cell>
          <cell r="H701" t="e">
            <v>#N/A</v>
          </cell>
        </row>
        <row r="702">
          <cell r="B702">
            <v>1060131</v>
          </cell>
          <cell r="C702" t="str">
            <v>Mascara Précision 01 noir</v>
          </cell>
          <cell r="D702" t="str">
            <v>420005942</v>
          </cell>
          <cell r="E702" t="str">
            <v>4020829098718</v>
          </cell>
          <cell r="G702">
            <v>15.58403846153846</v>
          </cell>
          <cell r="H702">
            <v>26.5</v>
          </cell>
        </row>
        <row r="703">
          <cell r="B703">
            <v>1060132</v>
          </cell>
          <cell r="C703" t="str">
            <v>Mascara Précision 02 brun</v>
          </cell>
          <cell r="D703" t="str">
            <v>420005943</v>
          </cell>
          <cell r="E703" t="str">
            <v>4020829098725</v>
          </cell>
          <cell r="G703">
            <v>15.58403846153846</v>
          </cell>
          <cell r="H703">
            <v>26.5</v>
          </cell>
        </row>
        <row r="704">
          <cell r="B704">
            <v>1060113</v>
          </cell>
          <cell r="C704" t="str">
            <v>Mascara Précision 03 bleu - Dernières unités</v>
          </cell>
          <cell r="D704" t="str">
            <v>429000579</v>
          </cell>
          <cell r="E704" t="str">
            <v>4020829043817</v>
          </cell>
          <cell r="G704" t="e">
            <v>#N/A</v>
          </cell>
          <cell r="H704" t="e">
            <v>#N/A</v>
          </cell>
        </row>
        <row r="705">
          <cell r="B705">
            <v>1060121</v>
          </cell>
          <cell r="C705" t="str">
            <v>Mascara volume 01 noir</v>
          </cell>
          <cell r="D705" t="str">
            <v>420005983</v>
          </cell>
          <cell r="E705" t="str">
            <v>4020829099128</v>
          </cell>
          <cell r="G705">
            <v>15.58403846153846</v>
          </cell>
          <cell r="H705">
            <v>26.5</v>
          </cell>
        </row>
        <row r="706">
          <cell r="B706">
            <v>1060122</v>
          </cell>
          <cell r="C706" t="str">
            <v>Mascara volume 02 brun</v>
          </cell>
          <cell r="D706" t="str">
            <v>420005985</v>
          </cell>
          <cell r="E706" t="str">
            <v>4020829099142</v>
          </cell>
          <cell r="G706">
            <v>15.58403846153846</v>
          </cell>
          <cell r="H706">
            <v>26.5</v>
          </cell>
        </row>
        <row r="707">
          <cell r="B707">
            <v>1060102</v>
          </cell>
          <cell r="C707" t="str">
            <v>Mascara volume 02 brun - Retour Oct 23</v>
          </cell>
          <cell r="D707" t="str">
            <v>429000715</v>
          </cell>
          <cell r="E707" t="str">
            <v>4020829043688</v>
          </cell>
          <cell r="G707" t="e">
            <v>#N/A</v>
          </cell>
          <cell r="H707" t="e">
            <v>#N/A</v>
          </cell>
        </row>
        <row r="708">
          <cell r="B708">
            <v>1010709</v>
          </cell>
          <cell r="C708" t="str">
            <v>Masque Apaisant - 30 ml</v>
          </cell>
          <cell r="D708" t="str">
            <v>429000269</v>
          </cell>
          <cell r="E708" t="str">
            <v>4020829007314</v>
          </cell>
          <cell r="G708">
            <v>22.41</v>
          </cell>
          <cell r="H708">
            <v>38.1</v>
          </cell>
        </row>
        <row r="709">
          <cell r="B709">
            <v>1010717</v>
          </cell>
          <cell r="C709" t="str">
            <v>Masque Crème Nourrissant - 30 ml</v>
          </cell>
          <cell r="D709" t="str">
            <v>420002642</v>
          </cell>
          <cell r="E709" t="str">
            <v>4020829041356</v>
          </cell>
          <cell r="G709">
            <v>28.709999999999997</v>
          </cell>
          <cell r="H709">
            <v>48.8</v>
          </cell>
        </row>
        <row r="710">
          <cell r="B710">
            <v>1010706</v>
          </cell>
          <cell r="C710" t="str">
            <v>Masque Purifiant - 90 g</v>
          </cell>
          <cell r="D710" t="str">
            <v>429000015</v>
          </cell>
          <cell r="E710" t="str">
            <v>4020829004962</v>
          </cell>
          <cell r="G710">
            <v>20</v>
          </cell>
          <cell r="H710">
            <v>34</v>
          </cell>
        </row>
        <row r="711">
          <cell r="B711">
            <v>1010710</v>
          </cell>
          <cell r="C711" t="str">
            <v>Masque Restructurant - 30 ml</v>
          </cell>
          <cell r="D711" t="str">
            <v>429000263</v>
          </cell>
          <cell r="E711" t="str">
            <v>4020829007253</v>
          </cell>
          <cell r="G711">
            <v>27</v>
          </cell>
          <cell r="H711">
            <v>45.9</v>
          </cell>
        </row>
        <row r="712">
          <cell r="B712">
            <v>1010723</v>
          </cell>
          <cell r="C712" t="str">
            <v>Masque Revitalisant - 10 ml</v>
          </cell>
          <cell r="D712" t="str">
            <v>420004366</v>
          </cell>
          <cell r="E712" t="str">
            <v>4020829076235</v>
          </cell>
          <cell r="G712" t="e">
            <v>#N/A</v>
          </cell>
          <cell r="H712" t="e">
            <v>#N/A</v>
          </cell>
        </row>
        <row r="713">
          <cell r="B713">
            <v>1010707</v>
          </cell>
          <cell r="C713" t="str">
            <v>Masque Revitalisant - 30 ml</v>
          </cell>
          <cell r="D713" t="str">
            <v>429000257</v>
          </cell>
          <cell r="E713" t="str">
            <v>4020829007192</v>
          </cell>
          <cell r="G713">
            <v>22.41</v>
          </cell>
          <cell r="H713">
            <v>38.1</v>
          </cell>
        </row>
        <row r="714">
          <cell r="B714">
            <v>1050503</v>
          </cell>
          <cell r="C714" t="str">
            <v>Masque pour le Cuir Chevelu aux Graines de Courge - 25 ml</v>
          </cell>
          <cell r="D714" t="str">
            <v>420004968</v>
          </cell>
          <cell r="E714" t="str">
            <v>4020829085817</v>
          </cell>
          <cell r="G714">
            <v>14.29</v>
          </cell>
          <cell r="H714">
            <v>24.3</v>
          </cell>
        </row>
        <row r="715">
          <cell r="B715">
            <v>1850506</v>
          </cell>
          <cell r="C715" t="str">
            <v>Masque pour le Cuir Chevelu aux Graines de Courge - 25 ml*DLV 09/24* - 25%*</v>
          </cell>
          <cell r="E715" t="str">
            <v>185050699999</v>
          </cell>
          <cell r="G715" t="e">
            <v>#N/A</v>
          </cell>
          <cell r="H715" t="e">
            <v>#N/A</v>
          </cell>
        </row>
        <row r="716">
          <cell r="B716">
            <v>6200001</v>
          </cell>
          <cell r="C716" t="str">
            <v>Meuble Présentoir Maquillage Classique</v>
          </cell>
          <cell r="D716" t="str">
            <v>41003532</v>
          </cell>
          <cell r="E716" t="str">
            <v>620000199999</v>
          </cell>
          <cell r="G716" t="e">
            <v>#N/A</v>
          </cell>
          <cell r="H716" t="e">
            <v>#N/A</v>
          </cell>
        </row>
        <row r="717">
          <cell r="B717">
            <v>6200019</v>
          </cell>
          <cell r="C717" t="str">
            <v xml:space="preserve">Meuble Routine Dr. Hauschka </v>
          </cell>
          <cell r="D717" t="str">
            <v>6200019</v>
          </cell>
          <cell r="E717" t="str">
            <v>9999996200019</v>
          </cell>
          <cell r="G717" t="e">
            <v>#N/A</v>
          </cell>
          <cell r="H717" t="e">
            <v>#N/A</v>
          </cell>
        </row>
        <row r="718">
          <cell r="B718">
            <v>4050203</v>
          </cell>
          <cell r="C718" t="str">
            <v>Miniature - Crème Potentilla Ultra-Apaisante - 3 ml</v>
          </cell>
          <cell r="D718" t="str">
            <v>420003942</v>
          </cell>
          <cell r="E718" t="str">
            <v>4020829069305</v>
          </cell>
          <cell r="G718" t="e">
            <v>#N/A</v>
          </cell>
          <cell r="H718" t="e">
            <v>#N/A</v>
          </cell>
        </row>
        <row r="719">
          <cell r="B719">
            <v>4010101</v>
          </cell>
          <cell r="C719" t="str">
            <v>Miniature - Crème Purifiante pour le Visage - 10 ml</v>
          </cell>
          <cell r="D719" t="str">
            <v>429000037</v>
          </cell>
          <cell r="E719" t="str">
            <v>4020829005150</v>
          </cell>
          <cell r="G719" t="e">
            <v>#N/A</v>
          </cell>
          <cell r="H719" t="e">
            <v>#N/A</v>
          </cell>
        </row>
        <row r="720">
          <cell r="B720">
            <v>4010302</v>
          </cell>
          <cell r="C720" t="str">
            <v>Miniature - Crème de Jour Légère à la Rose - 5 ml</v>
          </cell>
          <cell r="D720" t="str">
            <v>429000352</v>
          </cell>
          <cell r="E720" t="str">
            <v>4020829008144</v>
          </cell>
          <cell r="G720" t="e">
            <v>#N/A</v>
          </cell>
          <cell r="H720" t="e">
            <v>#N/A</v>
          </cell>
        </row>
        <row r="721">
          <cell r="B721">
            <v>4010320</v>
          </cell>
          <cell r="C721" t="str">
            <v>Miniature - Crème de Jour Teintée - 5 ml</v>
          </cell>
          <cell r="D721" t="str">
            <v>420002542</v>
          </cell>
          <cell r="E721" t="str">
            <v>4020829039094</v>
          </cell>
          <cell r="G721" t="e">
            <v>#N/A</v>
          </cell>
          <cell r="H721" t="e">
            <v>#N/A</v>
          </cell>
        </row>
        <row r="722">
          <cell r="B722">
            <v>4010305</v>
          </cell>
          <cell r="C722" t="str">
            <v>Miniature - Crème de Jour au Coing - 5 ml</v>
          </cell>
          <cell r="D722" t="str">
            <v>429000097</v>
          </cell>
          <cell r="E722" t="str">
            <v>4020829005655</v>
          </cell>
          <cell r="G722" t="e">
            <v>#N/A</v>
          </cell>
          <cell r="H722" t="e">
            <v>#N/A</v>
          </cell>
        </row>
        <row r="723">
          <cell r="B723">
            <v>4010377</v>
          </cell>
          <cell r="C723" t="str">
            <v>Miniature - Crème de Jour à l'Abricot - 5 ml</v>
          </cell>
          <cell r="D723" t="str">
            <v>420006115</v>
          </cell>
          <cell r="E723" t="str">
            <v>4020829100688</v>
          </cell>
          <cell r="G723" t="e">
            <v>#N/A</v>
          </cell>
          <cell r="H723" t="e">
            <v>#N/A</v>
          </cell>
        </row>
        <row r="724">
          <cell r="B724">
            <v>4010306</v>
          </cell>
          <cell r="C724" t="str">
            <v>Miniature - Crème de Jour à la Mélisse - 5 ml</v>
          </cell>
          <cell r="D724" t="str">
            <v>429000435</v>
          </cell>
          <cell r="E724" t="str">
            <v>4020829008939</v>
          </cell>
          <cell r="G724" t="e">
            <v>#N/A</v>
          </cell>
          <cell r="H724" t="e">
            <v>#N/A</v>
          </cell>
        </row>
        <row r="725">
          <cell r="B725">
            <v>4010310</v>
          </cell>
          <cell r="C725" t="str">
            <v>Miniature - Crème de Jour à la Rose - 5 ml</v>
          </cell>
          <cell r="D725" t="str">
            <v>429000156</v>
          </cell>
          <cell r="E725" t="str">
            <v>4020829006232</v>
          </cell>
          <cell r="G725" t="e">
            <v>#N/A</v>
          </cell>
          <cell r="H725" t="e">
            <v>#N/A</v>
          </cell>
        </row>
        <row r="726">
          <cell r="B726">
            <v>4030301</v>
          </cell>
          <cell r="C726" t="str">
            <v>Miniature - Crème pour les Mains - 10 ml</v>
          </cell>
          <cell r="D726" t="str">
            <v>429000100</v>
          </cell>
          <cell r="E726" t="str">
            <v>4020829005686</v>
          </cell>
          <cell r="G726" t="e">
            <v>#N/A</v>
          </cell>
          <cell r="H726" t="e">
            <v>#N/A</v>
          </cell>
        </row>
        <row r="727">
          <cell r="B727">
            <v>4010361</v>
          </cell>
          <cell r="C727" t="str">
            <v>Miniature - Fluide de Jour Equilibrant - 5 ml</v>
          </cell>
          <cell r="D727" t="str">
            <v>420004657</v>
          </cell>
          <cell r="E727" t="str">
            <v>4020829080669</v>
          </cell>
          <cell r="G727" t="e">
            <v>#N/A</v>
          </cell>
          <cell r="H727" t="e">
            <v>#N/A</v>
          </cell>
        </row>
        <row r="728">
          <cell r="B728">
            <v>4010359</v>
          </cell>
          <cell r="C728" t="str">
            <v>Miniature - Fluide de Jour Revitalisant - 5 ml</v>
          </cell>
          <cell r="D728" t="str">
            <v>420004644</v>
          </cell>
          <cell r="E728" t="str">
            <v>4020829080539</v>
          </cell>
          <cell r="G728" t="e">
            <v>#N/A</v>
          </cell>
          <cell r="H728" t="e">
            <v>#N/A</v>
          </cell>
        </row>
        <row r="729">
          <cell r="B729">
            <v>4030204</v>
          </cell>
          <cell r="C729" t="str">
            <v>Miniature - Huile de Soin Bouleau Arnica - 10 ml</v>
          </cell>
          <cell r="D729" t="str">
            <v>429000331</v>
          </cell>
          <cell r="E729" t="str">
            <v>4020829007932</v>
          </cell>
          <cell r="G729" t="e">
            <v>#N/A</v>
          </cell>
          <cell r="H729" t="e">
            <v>#N/A</v>
          </cell>
        </row>
        <row r="730">
          <cell r="B730">
            <v>4030206</v>
          </cell>
          <cell r="C730" t="str">
            <v>Miniature - Huile de Soin Moor Lavande - 10 ml</v>
          </cell>
          <cell r="D730" t="str">
            <v>420002392</v>
          </cell>
          <cell r="E730" t="str">
            <v>4020829034570</v>
          </cell>
          <cell r="G730" t="e">
            <v>#N/A</v>
          </cell>
          <cell r="H730" t="e">
            <v>#N/A</v>
          </cell>
        </row>
        <row r="731">
          <cell r="B731">
            <v>4030202</v>
          </cell>
          <cell r="C731" t="str">
            <v>Miniature - Huile de Soin Prunelle - 10 ml</v>
          </cell>
          <cell r="D731" t="str">
            <v>429000333</v>
          </cell>
          <cell r="E731" t="str">
            <v>4020829007956</v>
          </cell>
          <cell r="G731" t="e">
            <v>#N/A</v>
          </cell>
          <cell r="H731" t="e">
            <v>#N/A</v>
          </cell>
        </row>
        <row r="732">
          <cell r="B732">
            <v>4030201</v>
          </cell>
          <cell r="C732" t="str">
            <v>Miniature - Huile de Soin Rose - 10 ml</v>
          </cell>
          <cell r="D732" t="str">
            <v>429000332</v>
          </cell>
          <cell r="E732" t="str">
            <v>4020829007949</v>
          </cell>
          <cell r="G732" t="e">
            <v>#N/A</v>
          </cell>
          <cell r="H732" t="e">
            <v>#N/A</v>
          </cell>
        </row>
        <row r="733">
          <cell r="C733" t="str">
            <v>Miniature - Huile de Soin Rose 10 ml</v>
          </cell>
          <cell r="G733" t="e">
            <v>#N/A</v>
          </cell>
          <cell r="H733" t="e">
            <v>#N/A</v>
          </cell>
        </row>
        <row r="734">
          <cell r="B734">
            <v>4010307</v>
          </cell>
          <cell r="C734" t="str">
            <v>Miniature - Huile Équilibrante pour le Visage - 5 ml</v>
          </cell>
          <cell r="D734" t="str">
            <v>429000174</v>
          </cell>
          <cell r="E734" t="str">
            <v>4020829006362</v>
          </cell>
          <cell r="G734" t="e">
            <v>#N/A</v>
          </cell>
          <cell r="H734" t="e">
            <v>#N/A</v>
          </cell>
        </row>
        <row r="735">
          <cell r="B735">
            <v>8010102</v>
          </cell>
          <cell r="C735" t="str">
            <v>Miniature - Lait Démaquillant et Nettoyant - 10 ml</v>
          </cell>
          <cell r="D735" t="str">
            <v>8010102</v>
          </cell>
          <cell r="E735" t="str">
            <v>9999998010102</v>
          </cell>
          <cell r="G735" t="e">
            <v>#N/A</v>
          </cell>
          <cell r="H735" t="e">
            <v>#N/A</v>
          </cell>
        </row>
        <row r="736">
          <cell r="B736">
            <v>4010102</v>
          </cell>
          <cell r="C736" t="str">
            <v>Miniature - Lait Démaquillant et Nettoyant - 10 ml</v>
          </cell>
          <cell r="D736" t="str">
            <v>429000135</v>
          </cell>
          <cell r="E736" t="str">
            <v>4020829006034</v>
          </cell>
          <cell r="G736" t="e">
            <v>#N/A</v>
          </cell>
          <cell r="H736" t="e">
            <v>#N/A</v>
          </cell>
        </row>
        <row r="737">
          <cell r="B737">
            <v>4010202</v>
          </cell>
          <cell r="C737" t="str">
            <v>Miniature - Lotion Clarifiante avec spray - 10 ml</v>
          </cell>
          <cell r="D737" t="str">
            <v>420002534</v>
          </cell>
          <cell r="E737" t="str">
            <v>4020829038851</v>
          </cell>
          <cell r="G737" t="e">
            <v>#N/A</v>
          </cell>
          <cell r="H737" t="e">
            <v>#N/A</v>
          </cell>
        </row>
        <row r="738">
          <cell r="B738">
            <v>4010505</v>
          </cell>
          <cell r="C738" t="str">
            <v>Miniature - Lotion Fraîcheur pour les Yeux - 5 ml</v>
          </cell>
          <cell r="D738" t="str">
            <v>420004406</v>
          </cell>
          <cell r="E738" t="str">
            <v>4020829077089</v>
          </cell>
          <cell r="G738" t="e">
            <v>#N/A</v>
          </cell>
          <cell r="H738" t="e">
            <v>#N/A</v>
          </cell>
        </row>
        <row r="739">
          <cell r="B739">
            <v>4010201</v>
          </cell>
          <cell r="C739" t="str">
            <v>Miniature - Lotion Tonifiante avec spray - 10 ml</v>
          </cell>
          <cell r="D739" t="str">
            <v>420002533</v>
          </cell>
          <cell r="E739" t="str">
            <v>4020829038844</v>
          </cell>
          <cell r="G739" t="e">
            <v>#N/A</v>
          </cell>
          <cell r="H739" t="e">
            <v>#N/A</v>
          </cell>
        </row>
        <row r="740">
          <cell r="B740">
            <v>4010717</v>
          </cell>
          <cell r="C740" t="str">
            <v>Miniature - Masque Crème Nourrissant - 5 ml</v>
          </cell>
          <cell r="D740" t="str">
            <v>420002648</v>
          </cell>
          <cell r="E740" t="str">
            <v>4020829041417</v>
          </cell>
          <cell r="G740" t="e">
            <v>#N/A</v>
          </cell>
          <cell r="H740" t="e">
            <v>#N/A</v>
          </cell>
        </row>
        <row r="741">
          <cell r="B741">
            <v>4010710</v>
          </cell>
          <cell r="C741" t="str">
            <v>Miniature - Masque Restructurant - 5 ml</v>
          </cell>
          <cell r="D741" t="str">
            <v>429000265</v>
          </cell>
          <cell r="E741" t="str">
            <v>4020829007277</v>
          </cell>
          <cell r="G741" t="e">
            <v>#N/A</v>
          </cell>
          <cell r="H741" t="e">
            <v>#N/A</v>
          </cell>
        </row>
        <row r="742">
          <cell r="B742">
            <v>4050506</v>
          </cell>
          <cell r="C742" t="str">
            <v>Miniature - Masque pour le Cuir Chevelu aux Graines de Courge - 4ml</v>
          </cell>
          <cell r="D742" t="str">
            <v>420004972</v>
          </cell>
          <cell r="E742" t="str">
            <v>4020829085855</v>
          </cell>
          <cell r="G742" t="e">
            <v>#N/A</v>
          </cell>
          <cell r="H742" t="e">
            <v>#N/A</v>
          </cell>
        </row>
        <row r="743">
          <cell r="B743">
            <v>4020717</v>
          </cell>
          <cell r="C743" t="str">
            <v>Miniature - Sérum Contour des Yeux - Régénérant Intensif 2,5ml</v>
          </cell>
          <cell r="D743" t="str">
            <v>420006158</v>
          </cell>
          <cell r="E743" t="str">
            <v>4020829101159</v>
          </cell>
          <cell r="G743" t="e">
            <v>#N/A</v>
          </cell>
          <cell r="H743" t="e">
            <v>#N/A</v>
          </cell>
        </row>
        <row r="744">
          <cell r="B744">
            <v>4010203</v>
          </cell>
          <cell r="C744" t="str">
            <v xml:space="preserve">Miniature - Sérum Tonifiant Nuit - 2,5 ml </v>
          </cell>
          <cell r="D744" t="str">
            <v>420002017</v>
          </cell>
          <cell r="E744" t="str">
            <v>4020829026681</v>
          </cell>
          <cell r="G744" t="e">
            <v>#N/A</v>
          </cell>
          <cell r="H744" t="e">
            <v>#N/A</v>
          </cell>
        </row>
        <row r="745">
          <cell r="B745">
            <v>4020718</v>
          </cell>
          <cell r="C745" t="str">
            <v>Miniature - Sérum de Nuit - Régénérant Intensif 30ml 2,5ml</v>
          </cell>
          <cell r="D745" t="str">
            <v>420006159</v>
          </cell>
          <cell r="E745" t="str">
            <v>4020829101166</v>
          </cell>
          <cell r="G745" t="e">
            <v>#N/A</v>
          </cell>
          <cell r="H745" t="e">
            <v>#N/A</v>
          </cell>
        </row>
        <row r="746">
          <cell r="B746">
            <v>4061029</v>
          </cell>
          <cell r="C746" t="str">
            <v>Miniature Fluide Éclat 5 ml</v>
          </cell>
          <cell r="D746" t="str">
            <v>420006203</v>
          </cell>
          <cell r="E746" t="str">
            <v>4020829102187</v>
          </cell>
          <cell r="G746" t="e">
            <v>#N/A</v>
          </cell>
          <cell r="H746" t="e">
            <v>#N/A</v>
          </cell>
        </row>
        <row r="747">
          <cell r="B747">
            <v>4060101</v>
          </cell>
          <cell r="C747" t="str">
            <v>Miniature Mascara volume 01 Noir 3ml</v>
          </cell>
          <cell r="D747" t="str">
            <v>420003536</v>
          </cell>
          <cell r="E747" t="str">
            <v>4020829061866</v>
          </cell>
          <cell r="G747" t="e">
            <v>#N/A</v>
          </cell>
          <cell r="H747" t="e">
            <v>#N/A</v>
          </cell>
        </row>
        <row r="748">
          <cell r="B748">
            <v>992736</v>
          </cell>
          <cell r="C748" t="str">
            <v>Miroir de poche Dr. Hauschka</v>
          </cell>
          <cell r="D748" t="str">
            <v>410004316</v>
          </cell>
          <cell r="E748" t="str">
            <v>4020829064485</v>
          </cell>
          <cell r="G748" t="e">
            <v>#N/A</v>
          </cell>
          <cell r="H748" t="e">
            <v>#N/A</v>
          </cell>
        </row>
        <row r="749">
          <cell r="B749">
            <v>9110001</v>
          </cell>
          <cell r="C749" t="str">
            <v>Miroir sur pied</v>
          </cell>
          <cell r="E749" t="str">
            <v>9999999110001</v>
          </cell>
          <cell r="G749" t="e">
            <v>#N/A</v>
          </cell>
          <cell r="H749" t="e">
            <v>#N/A</v>
          </cell>
        </row>
        <row r="750">
          <cell r="B750">
            <v>6200016</v>
          </cell>
          <cell r="C750" t="str">
            <v>Module Logo pour présentoir maquillage</v>
          </cell>
          <cell r="D750" t="str">
            <v>410005545</v>
          </cell>
          <cell r="E750" t="str">
            <v>4020829083721</v>
          </cell>
          <cell r="G750" t="e">
            <v>#N/A</v>
          </cell>
          <cell r="H750" t="e">
            <v>#N/A</v>
          </cell>
        </row>
        <row r="751">
          <cell r="B751">
            <v>6200006</v>
          </cell>
          <cell r="C751" t="str">
            <v>Module pinceaux</v>
          </cell>
          <cell r="D751" t="str">
            <v>420003146</v>
          </cell>
          <cell r="E751" t="str">
            <v>9999996200006</v>
          </cell>
          <cell r="G751" t="e">
            <v>#N/A</v>
          </cell>
          <cell r="H751" t="e">
            <v>#N/A</v>
          </cell>
        </row>
        <row r="752">
          <cell r="B752">
            <v>6200017</v>
          </cell>
          <cell r="C752" t="str">
            <v>Module-Conseil testeur - socle</v>
          </cell>
          <cell r="D752" t="str">
            <v>410005561</v>
          </cell>
          <cell r="E752" t="str">
            <v>4020829084070</v>
          </cell>
          <cell r="G752" t="e">
            <v>#N/A</v>
          </cell>
          <cell r="H752" t="e">
            <v>#N/A</v>
          </cell>
        </row>
        <row r="753">
          <cell r="B753">
            <v>6200020</v>
          </cell>
          <cell r="C753" t="str">
            <v>Modules Mise à Jour Maquillage</v>
          </cell>
          <cell r="D753" t="str">
            <v>410006778</v>
          </cell>
          <cell r="E753" t="str">
            <v>4020829103597</v>
          </cell>
          <cell r="G753" t="e">
            <v>#N/A</v>
          </cell>
          <cell r="H753" t="e">
            <v>#N/A</v>
          </cell>
        </row>
        <row r="754">
          <cell r="B754">
            <v>6100080</v>
          </cell>
          <cell r="C754" t="str">
            <v>Modules pour Testeurs Edition Limitée 2023</v>
          </cell>
          <cell r="D754" t="str">
            <v>6100080</v>
          </cell>
          <cell r="E754" t="str">
            <v>9999996100080</v>
          </cell>
          <cell r="G754" t="e">
            <v>#N/A</v>
          </cell>
          <cell r="H754" t="e">
            <v>#N/A</v>
          </cell>
        </row>
        <row r="755">
          <cell r="B755">
            <v>411433</v>
          </cell>
          <cell r="C755" t="str">
            <v>Mouchoirs en papier</v>
          </cell>
          <cell r="D755" t="str">
            <v>410007038</v>
          </cell>
          <cell r="E755" t="str">
            <v>4020829107458</v>
          </cell>
          <cell r="G755" t="e">
            <v>#N/A</v>
          </cell>
          <cell r="H755" t="e">
            <v>#N/A</v>
          </cell>
        </row>
        <row r="756">
          <cell r="B756">
            <v>982022</v>
          </cell>
          <cell r="C756" t="str">
            <v>NOTE DE DEBOURS</v>
          </cell>
          <cell r="E756" t="str">
            <v>999999982022</v>
          </cell>
          <cell r="G756" t="e">
            <v>#N/A</v>
          </cell>
          <cell r="H756" t="e">
            <v>#N/A</v>
          </cell>
        </row>
        <row r="757">
          <cell r="B757" t="str">
            <v>NUL1111111</v>
          </cell>
          <cell r="C757" t="str">
            <v>NUL1111111</v>
          </cell>
          <cell r="G757" t="e">
            <v>#N/A</v>
          </cell>
          <cell r="H757" t="e">
            <v>#N/A</v>
          </cell>
        </row>
        <row r="758">
          <cell r="B758" t="str">
            <v>AV7131297</v>
          </cell>
          <cell r="C758" t="str">
            <v>OF0223 Kit Offert Essentiel - MEA OnPack Rituel 2023</v>
          </cell>
          <cell r="G758" t="e">
            <v>#N/A</v>
          </cell>
          <cell r="H758" t="e">
            <v>#N/A</v>
          </cell>
        </row>
        <row r="759">
          <cell r="B759" t="str">
            <v>AV7131314</v>
          </cell>
          <cell r="C759" t="str">
            <v>OF0223 Kit Offert Premium - MEA OnPack Rituel 2023</v>
          </cell>
          <cell r="G759" t="e">
            <v>#N/A</v>
          </cell>
          <cell r="H759" t="e">
            <v>#N/A</v>
          </cell>
        </row>
        <row r="760">
          <cell r="B760" t="str">
            <v>AV7131298</v>
          </cell>
          <cell r="C760" t="str">
            <v>OF0223 Kit Offert Référencement - MEA OnPack Rituel 2023</v>
          </cell>
          <cell r="G760" t="e">
            <v>#N/A</v>
          </cell>
          <cell r="H760" t="e">
            <v>#N/A</v>
          </cell>
        </row>
        <row r="761">
          <cell r="B761">
            <v>7031259</v>
          </cell>
          <cell r="C761" t="str">
            <v>OF0322 Promotion Déodorants</v>
          </cell>
          <cell r="G761" t="e">
            <v>#N/A</v>
          </cell>
          <cell r="H761" t="e">
            <v>#N/A</v>
          </cell>
        </row>
        <row r="762">
          <cell r="B762" t="str">
            <v>AV7031259</v>
          </cell>
          <cell r="C762" t="str">
            <v>OF0323 Promotion Déodorants</v>
          </cell>
          <cell r="G762" t="e">
            <v>#N/A</v>
          </cell>
          <cell r="H762" t="e">
            <v>#N/A</v>
          </cell>
        </row>
        <row r="763">
          <cell r="B763" t="str">
            <v>AV7131300</v>
          </cell>
          <cell r="C763" t="str">
            <v>OF0423 Essentiel - MEA Partenariat Kenya Édition Limitée 2023</v>
          </cell>
          <cell r="G763" t="e">
            <v>#N/A</v>
          </cell>
          <cell r="H763" t="e">
            <v>#N/A</v>
          </cell>
        </row>
        <row r="764">
          <cell r="B764" t="str">
            <v>AV7131299</v>
          </cell>
          <cell r="C764" t="str">
            <v>OF0423 Premium - MEA Partenariat Kenya Édition Limitée 2023</v>
          </cell>
          <cell r="G764" t="e">
            <v>#N/A</v>
          </cell>
          <cell r="H764" t="e">
            <v>#N/A</v>
          </cell>
        </row>
        <row r="765">
          <cell r="B765" t="str">
            <v>AV7031290</v>
          </cell>
          <cell r="C765" t="str">
            <v>OF1122 - Offre Alice in Food pour Dr. Hauschka - Dès 10 unités</v>
          </cell>
          <cell r="G765" t="e">
            <v>#N/A</v>
          </cell>
          <cell r="H765" t="e">
            <v>#N/A</v>
          </cell>
        </row>
        <row r="766">
          <cell r="B766" t="str">
            <v>AV7031289</v>
          </cell>
          <cell r="C766" t="str">
            <v>OF1122 - Offre Alice in Food pour Dr. Hauschka - Dès 15 unités</v>
          </cell>
          <cell r="G766" t="e">
            <v>#N/A</v>
          </cell>
          <cell r="H766" t="e">
            <v>#N/A</v>
          </cell>
        </row>
        <row r="767">
          <cell r="B767">
            <v>7041390</v>
          </cell>
          <cell r="C767" t="str">
            <v>OP Bains</v>
          </cell>
          <cell r="G767" t="e">
            <v>#N/A</v>
          </cell>
          <cell r="H767" t="e">
            <v>#N/A</v>
          </cell>
        </row>
        <row r="768">
          <cell r="B768" t="str">
            <v>AV7041390</v>
          </cell>
          <cell r="C768" t="str">
            <v>OP Bains</v>
          </cell>
          <cell r="G768" t="e">
            <v>#N/A</v>
          </cell>
          <cell r="H768" t="e">
            <v>#N/A</v>
          </cell>
        </row>
        <row r="769">
          <cell r="B769" t="str">
            <v>AV7131344</v>
          </cell>
          <cell r="C769" t="str">
            <v>OPCA 1 Noël 2023</v>
          </cell>
          <cell r="G769" t="e">
            <v>#N/A</v>
          </cell>
          <cell r="H769" t="e">
            <v>#N/A</v>
          </cell>
        </row>
        <row r="770">
          <cell r="B770" t="str">
            <v>AV7131345</v>
          </cell>
          <cell r="C770" t="str">
            <v>OPCA 2 Noël 2023</v>
          </cell>
          <cell r="G770" t="e">
            <v>#N/A</v>
          </cell>
          <cell r="H770" t="e">
            <v>#N/A</v>
          </cell>
        </row>
        <row r="771">
          <cell r="B771" t="str">
            <v>AV7031394</v>
          </cell>
          <cell r="C771" t="str">
            <v>OPCA Institut Fête des Mères 2025 - 600€</v>
          </cell>
          <cell r="G771" t="e">
            <v>#N/A</v>
          </cell>
          <cell r="H771" t="e">
            <v>#N/A</v>
          </cell>
        </row>
        <row r="772">
          <cell r="B772">
            <v>7031394</v>
          </cell>
          <cell r="C772" t="str">
            <v>OPCA Institut Fête des Mères 2025 - 600€</v>
          </cell>
          <cell r="G772" t="e">
            <v>#N/A</v>
          </cell>
          <cell r="H772" t="e">
            <v>#N/A</v>
          </cell>
        </row>
        <row r="773">
          <cell r="B773" t="str">
            <v>AV7031393</v>
          </cell>
          <cell r="C773" t="str">
            <v>OPCA Institut St Valentin 2025 - 500€</v>
          </cell>
          <cell r="G773" t="e">
            <v>#N/A</v>
          </cell>
          <cell r="H773" t="e">
            <v>#N/A</v>
          </cell>
        </row>
        <row r="774">
          <cell r="B774">
            <v>7031393</v>
          </cell>
          <cell r="C774" t="str">
            <v>OPCA Institut St Valentin 2025 - 500€</v>
          </cell>
          <cell r="G774" t="e">
            <v>#N/A</v>
          </cell>
          <cell r="H774" t="e">
            <v>#N/A</v>
          </cell>
        </row>
        <row r="775">
          <cell r="B775">
            <v>7031290</v>
          </cell>
          <cell r="C775" t="str">
            <v>Offre Alice in Food pour Dr. Hauschka - Dès 10 unités</v>
          </cell>
          <cell r="G775" t="e">
            <v>#N/A</v>
          </cell>
          <cell r="H775" t="e">
            <v>#N/A</v>
          </cell>
        </row>
        <row r="776">
          <cell r="B776">
            <v>7031302</v>
          </cell>
          <cell r="C776" t="str">
            <v>Offre Alice in Food pour Dr. Hauschka - Dès 10 unités sans PLV</v>
          </cell>
          <cell r="G776" t="e">
            <v>#N/A</v>
          </cell>
          <cell r="H776" t="e">
            <v>#N/A</v>
          </cell>
        </row>
        <row r="777">
          <cell r="B777">
            <v>7031289</v>
          </cell>
          <cell r="C777" t="str">
            <v>Offre Alice in Food pour Dr. Hauschka - Dès 15 unités</v>
          </cell>
          <cell r="G777" t="e">
            <v>#N/A</v>
          </cell>
          <cell r="H777" t="e">
            <v>#N/A</v>
          </cell>
        </row>
        <row r="778">
          <cell r="B778">
            <v>7031301</v>
          </cell>
          <cell r="C778" t="str">
            <v>Offre Alice in Food pour Dr. Hauschka - Dès 15 unités sans PLV</v>
          </cell>
          <cell r="G778" t="e">
            <v>#N/A</v>
          </cell>
          <cell r="H778" t="e">
            <v>#N/A</v>
          </cell>
        </row>
        <row r="779">
          <cell r="B779" t="str">
            <v>OFF-30</v>
          </cell>
          <cell r="C779" t="str">
            <v>Offre Anniversaire 50 ans 2017</v>
          </cell>
          <cell r="E779" t="str">
            <v>999999OFF-30</v>
          </cell>
          <cell r="G779" t="e">
            <v>#N/A</v>
          </cell>
          <cell r="H779" t="e">
            <v>#N/A</v>
          </cell>
        </row>
        <row r="780">
          <cell r="B780" t="str">
            <v>OFF-20</v>
          </cell>
          <cell r="C780" t="str">
            <v>Offre Anniversaire Crème Mains 2017</v>
          </cell>
          <cell r="E780" t="str">
            <v>999999OFF-20</v>
          </cell>
          <cell r="G780" t="e">
            <v>#N/A</v>
          </cell>
          <cell r="H780" t="e">
            <v>#N/A</v>
          </cell>
        </row>
        <row r="781">
          <cell r="B781" t="str">
            <v>OFF-29</v>
          </cell>
          <cell r="C781" t="str">
            <v>Offre Bain Caprice des Saisons 2017</v>
          </cell>
          <cell r="E781" t="str">
            <v>999999OFF-29</v>
          </cell>
          <cell r="G781" t="e">
            <v>#N/A</v>
          </cell>
          <cell r="H781" t="e">
            <v>#N/A</v>
          </cell>
        </row>
        <row r="782">
          <cell r="B782" t="str">
            <v>OFF-41</v>
          </cell>
          <cell r="C782" t="str">
            <v>Offre Bain Caprices des Saisons 2018</v>
          </cell>
          <cell r="E782" t="str">
            <v>999999OFF-41</v>
          </cell>
          <cell r="G782" t="e">
            <v>#N/A</v>
          </cell>
          <cell r="H782" t="e">
            <v>#N/A</v>
          </cell>
        </row>
        <row r="783">
          <cell r="B783" t="str">
            <v>OFF-42</v>
          </cell>
          <cell r="C783" t="str">
            <v>Offre Bain de Bouche 2018</v>
          </cell>
          <cell r="E783" t="str">
            <v>999999OFF-42</v>
          </cell>
          <cell r="G783" t="e">
            <v>#N/A</v>
          </cell>
          <cell r="H783" t="e">
            <v>#N/A</v>
          </cell>
        </row>
        <row r="784">
          <cell r="B784" t="str">
            <v>OFF-23</v>
          </cell>
          <cell r="C784" t="str">
            <v>Offre Bain de Bouche à la Sauge 100 ml 2017</v>
          </cell>
          <cell r="E784" t="str">
            <v>999999OFF-23</v>
          </cell>
          <cell r="G784" t="e">
            <v>#N/A</v>
          </cell>
          <cell r="H784" t="e">
            <v>#N/A</v>
          </cell>
        </row>
        <row r="785">
          <cell r="B785" t="str">
            <v>OFF-12</v>
          </cell>
          <cell r="C785" t="str">
            <v>Offre Calendrier de l’Avent 2016</v>
          </cell>
          <cell r="E785" t="str">
            <v>999999OFF-12</v>
          </cell>
          <cell r="G785" t="e">
            <v>#N/A</v>
          </cell>
          <cell r="H785" t="e">
            <v>#N/A</v>
          </cell>
        </row>
        <row r="786">
          <cell r="B786" t="str">
            <v>OFF-34</v>
          </cell>
          <cell r="C786" t="str">
            <v>Offre Calendrier de l’Avent 2017</v>
          </cell>
          <cell r="E786" t="str">
            <v>999999OFF-34</v>
          </cell>
          <cell r="G786" t="e">
            <v>#N/A</v>
          </cell>
          <cell r="H786" t="e">
            <v>#N/A</v>
          </cell>
        </row>
        <row r="787">
          <cell r="B787" t="str">
            <v>OFF-35</v>
          </cell>
          <cell r="C787" t="str">
            <v>Offre Coffrets Noël 2017</v>
          </cell>
          <cell r="E787" t="str">
            <v>999999OFF-35</v>
          </cell>
          <cell r="G787" t="e">
            <v>#N/A</v>
          </cell>
          <cell r="H787" t="e">
            <v>#N/A</v>
          </cell>
        </row>
        <row r="788">
          <cell r="B788" t="str">
            <v>OFF-28</v>
          </cell>
          <cell r="C788" t="str">
            <v>Offre Coing 2017</v>
          </cell>
          <cell r="E788" t="str">
            <v>999999OFF-28</v>
          </cell>
          <cell r="G788" t="e">
            <v>#N/A</v>
          </cell>
          <cell r="H788" t="e">
            <v>#N/A</v>
          </cell>
        </row>
        <row r="789">
          <cell r="B789" t="str">
            <v>OFF-08</v>
          </cell>
          <cell r="C789" t="str">
            <v>Offre Crayon Kajal vert 2016</v>
          </cell>
          <cell r="E789" t="str">
            <v>999999OFF-08</v>
          </cell>
          <cell r="G789" t="e">
            <v>#N/A</v>
          </cell>
          <cell r="H789" t="e">
            <v>#N/A</v>
          </cell>
        </row>
        <row r="790">
          <cell r="B790" t="str">
            <v>OFF-47</v>
          </cell>
          <cell r="C790" t="str">
            <v>Offre Crème de Jour Régénérante Eclat du Teint 2018</v>
          </cell>
          <cell r="E790" t="str">
            <v>999999OFF-47</v>
          </cell>
          <cell r="G790" t="e">
            <v>#N/A</v>
          </cell>
          <cell r="H790" t="e">
            <v>#N/A</v>
          </cell>
        </row>
        <row r="791">
          <cell r="B791" t="str">
            <v>OFF-04</v>
          </cell>
          <cell r="C791" t="str">
            <v>Offre Crème de jour teintée 2016</v>
          </cell>
          <cell r="E791" t="str">
            <v>999999OFF-04</v>
          </cell>
          <cell r="G791" t="e">
            <v>#N/A</v>
          </cell>
          <cell r="H791" t="e">
            <v>#N/A</v>
          </cell>
        </row>
        <row r="792">
          <cell r="B792" t="str">
            <v>OFF-27</v>
          </cell>
          <cell r="C792" t="str">
            <v>Offre Crème pour les Mains Régénérante 2017</v>
          </cell>
          <cell r="E792" t="str">
            <v>999999OFF-27</v>
          </cell>
          <cell r="G792" t="e">
            <v>#N/A</v>
          </cell>
          <cell r="H792" t="e">
            <v>#N/A</v>
          </cell>
        </row>
        <row r="793">
          <cell r="B793" t="str">
            <v>OFF-05</v>
          </cell>
          <cell r="C793" t="str">
            <v>Offre Crème pour les mains 2016</v>
          </cell>
          <cell r="E793" t="str">
            <v>999999OFF-05</v>
          </cell>
          <cell r="G793" t="e">
            <v>#N/A</v>
          </cell>
          <cell r="H793" t="e">
            <v>#N/A</v>
          </cell>
        </row>
        <row r="794">
          <cell r="B794" t="str">
            <v>OFF-60</v>
          </cell>
          <cell r="C794" t="str">
            <v>Offre Douceur des Yeux 2019</v>
          </cell>
          <cell r="E794" t="str">
            <v>999999OFF-60</v>
          </cell>
          <cell r="G794" t="e">
            <v>#N/A</v>
          </cell>
          <cell r="H794" t="e">
            <v>#N/A</v>
          </cell>
        </row>
        <row r="795">
          <cell r="B795" t="str">
            <v>OFF-50</v>
          </cell>
          <cell r="C795" t="str">
            <v>Offre Dr. Hauschka Med Peau 2018</v>
          </cell>
          <cell r="E795" t="str">
            <v>999999OFF-50</v>
          </cell>
          <cell r="G795" t="e">
            <v>#N/A</v>
          </cell>
          <cell r="H795" t="e">
            <v>#N/A</v>
          </cell>
        </row>
        <row r="796">
          <cell r="B796" t="str">
            <v>OFF-07</v>
          </cell>
          <cell r="C796" t="str">
            <v>Offre Duo Corps Citron Citronnelle 2016</v>
          </cell>
          <cell r="E796" t="str">
            <v>999999OFF-07</v>
          </cell>
          <cell r="G796" t="e">
            <v>#N/A</v>
          </cell>
          <cell r="H796" t="e">
            <v>#N/A</v>
          </cell>
        </row>
        <row r="797">
          <cell r="B797" t="str">
            <v>OFF-51</v>
          </cell>
          <cell r="C797" t="str">
            <v>Offre Démaquillant pour les Yeux 2019</v>
          </cell>
          <cell r="E797" t="str">
            <v>999999OFF-51</v>
          </cell>
          <cell r="G797" t="e">
            <v>#N/A</v>
          </cell>
          <cell r="H797" t="e">
            <v>#N/A</v>
          </cell>
        </row>
        <row r="798">
          <cell r="B798" t="str">
            <v>OFF-21</v>
          </cell>
          <cell r="C798" t="str">
            <v>Offre Déodorant 2017</v>
          </cell>
          <cell r="E798" t="str">
            <v>999999OFF-21</v>
          </cell>
          <cell r="G798" t="e">
            <v>#N/A</v>
          </cell>
          <cell r="H798" t="e">
            <v>#N/A</v>
          </cell>
        </row>
        <row r="799">
          <cell r="B799" t="str">
            <v>OFF-44</v>
          </cell>
          <cell r="C799" t="str">
            <v>Offre Focus Rose 2018</v>
          </cell>
          <cell r="E799" t="str">
            <v>999999OFF-44</v>
          </cell>
          <cell r="G799" t="e">
            <v>#N/A</v>
          </cell>
          <cell r="H799" t="e">
            <v>#N/A</v>
          </cell>
        </row>
        <row r="800">
          <cell r="B800" t="str">
            <v>OFF-22</v>
          </cell>
          <cell r="C800" t="str">
            <v>Offre Institut Soins Rose et Crème Mains taille voyage 2017</v>
          </cell>
          <cell r="E800" t="str">
            <v>999999OFF-22</v>
          </cell>
          <cell r="G800" t="e">
            <v>#N/A</v>
          </cell>
          <cell r="H800" t="e">
            <v>#N/A</v>
          </cell>
        </row>
        <row r="801">
          <cell r="B801" t="str">
            <v>OFF-40</v>
          </cell>
          <cell r="C801" t="str">
            <v>Offre Kit Mère-Enfant 2018</v>
          </cell>
          <cell r="E801" t="str">
            <v>999999OFF-40</v>
          </cell>
          <cell r="G801" t="e">
            <v>#N/A</v>
          </cell>
          <cell r="H801" t="e">
            <v>#N/A</v>
          </cell>
        </row>
        <row r="802">
          <cell r="B802" t="str">
            <v>OFF-32</v>
          </cell>
          <cell r="C802" t="str">
            <v>Offre Kit Soin Corps Régénérant 2017</v>
          </cell>
          <cell r="E802" t="str">
            <v>999999OFF-32</v>
          </cell>
          <cell r="G802" t="e">
            <v>#N/A</v>
          </cell>
          <cell r="H802" t="e">
            <v>#N/A</v>
          </cell>
        </row>
        <row r="803">
          <cell r="B803" t="str">
            <v>OFF-31</v>
          </cell>
          <cell r="C803" t="str">
            <v>Offre Kit Soins des Mains 2017</v>
          </cell>
          <cell r="E803" t="str">
            <v>999999OFF-31</v>
          </cell>
          <cell r="G803" t="e">
            <v>#N/A</v>
          </cell>
          <cell r="H803" t="e">
            <v>#N/A</v>
          </cell>
        </row>
        <row r="804">
          <cell r="B804" t="str">
            <v>OFF-09</v>
          </cell>
          <cell r="C804" t="str">
            <v>Offre Lait Crème pour le Corps Rose 2016</v>
          </cell>
          <cell r="E804" t="str">
            <v>999999OFF-09</v>
          </cell>
          <cell r="G804" t="e">
            <v>#N/A</v>
          </cell>
          <cell r="H804" t="e">
            <v>#N/A</v>
          </cell>
        </row>
        <row r="805">
          <cell r="B805" t="str">
            <v>AV7131243</v>
          </cell>
          <cell r="C805" t="str">
            <v>Offre Le temps d'une pause par 2 - remise 5%</v>
          </cell>
          <cell r="G805" t="e">
            <v>#N/A</v>
          </cell>
          <cell r="H805" t="e">
            <v>#N/A</v>
          </cell>
        </row>
        <row r="806">
          <cell r="B806" t="str">
            <v>AV7131242</v>
          </cell>
          <cell r="C806" t="str">
            <v>Offre Le temps d'une pause par 4 - remise 10%</v>
          </cell>
          <cell r="G806" t="e">
            <v>#N/A</v>
          </cell>
          <cell r="H806" t="e">
            <v>#N/A</v>
          </cell>
        </row>
        <row r="807">
          <cell r="B807" t="str">
            <v>OFF-03</v>
          </cell>
          <cell r="C807" t="str">
            <v>Offre Maquillage Welcome-back 09-2016</v>
          </cell>
          <cell r="E807" t="str">
            <v>999999OFF-03</v>
          </cell>
          <cell r="G807" t="e">
            <v>#N/A</v>
          </cell>
          <cell r="H807" t="e">
            <v>#N/A</v>
          </cell>
        </row>
        <row r="808">
          <cell r="B808" t="str">
            <v>OFF-16</v>
          </cell>
          <cell r="C808" t="str">
            <v>Offre Masque Crème Nourrissant 2016</v>
          </cell>
          <cell r="E808" t="str">
            <v>999999OFF-16</v>
          </cell>
          <cell r="G808" t="e">
            <v>#N/A</v>
          </cell>
          <cell r="H808" t="e">
            <v>#N/A</v>
          </cell>
        </row>
        <row r="809">
          <cell r="B809" t="str">
            <v>OFF-33</v>
          </cell>
          <cell r="C809" t="str">
            <v>Offre Med Peau 2017</v>
          </cell>
          <cell r="E809" t="str">
            <v>999999OFF-33</v>
          </cell>
          <cell r="G809" t="e">
            <v>#N/A</v>
          </cell>
          <cell r="H809" t="e">
            <v>#N/A</v>
          </cell>
        </row>
        <row r="810">
          <cell r="B810" t="str">
            <v>OFF-59</v>
          </cell>
          <cell r="C810" t="str">
            <v>Offre Med dents voyage 2019</v>
          </cell>
          <cell r="E810" t="str">
            <v>999999OFF-59</v>
          </cell>
          <cell r="G810" t="e">
            <v>#N/A</v>
          </cell>
          <cell r="H810" t="e">
            <v>#N/A</v>
          </cell>
        </row>
        <row r="811">
          <cell r="B811" t="str">
            <v>OFF-10</v>
          </cell>
          <cell r="C811" t="str">
            <v>Offre Merveilleux Come-back 2016</v>
          </cell>
          <cell r="E811" t="str">
            <v>999999OFF-10</v>
          </cell>
          <cell r="G811" t="e">
            <v>#N/A</v>
          </cell>
          <cell r="H811" t="e">
            <v>#N/A</v>
          </cell>
        </row>
        <row r="812">
          <cell r="B812" t="str">
            <v>OFF-45</v>
          </cell>
          <cell r="C812" t="str">
            <v>Offre Nouveaux Kits 2018</v>
          </cell>
          <cell r="E812" t="str">
            <v>999999OFF-45</v>
          </cell>
          <cell r="G812" t="e">
            <v>#N/A</v>
          </cell>
          <cell r="H812" t="e">
            <v>#N/A</v>
          </cell>
        </row>
        <row r="813">
          <cell r="B813" t="str">
            <v>OFF-14</v>
          </cell>
          <cell r="C813" t="str">
            <v>Offre Noël 2016</v>
          </cell>
          <cell r="E813" t="str">
            <v>999999OFF-14</v>
          </cell>
          <cell r="G813" t="e">
            <v>#N/A</v>
          </cell>
          <cell r="H813" t="e">
            <v>#N/A</v>
          </cell>
        </row>
        <row r="814">
          <cell r="B814">
            <v>7131361</v>
          </cell>
          <cell r="C814" t="str">
            <v>Offre On Pack Soins de Jour 2024</v>
          </cell>
          <cell r="E814" t="str">
            <v>3770026497012</v>
          </cell>
          <cell r="G814" t="e">
            <v>#N/A</v>
          </cell>
          <cell r="H814" t="e">
            <v>#N/A</v>
          </cell>
        </row>
        <row r="815">
          <cell r="B815" t="str">
            <v>AV7131361</v>
          </cell>
          <cell r="C815" t="str">
            <v>Offre On Pack Soins de Jour 2024</v>
          </cell>
          <cell r="G815" t="e">
            <v>#N/A</v>
          </cell>
          <cell r="H815" t="e">
            <v>#N/A</v>
          </cell>
        </row>
        <row r="816">
          <cell r="B816" t="str">
            <v>TESTNINH7021226</v>
          </cell>
          <cell r="C816" t="str">
            <v>Offre OnPack Régénérants - Présentoir</v>
          </cell>
          <cell r="G816" t="e">
            <v>#N/A</v>
          </cell>
          <cell r="H816" t="e">
            <v>#N/A</v>
          </cell>
        </row>
        <row r="817">
          <cell r="B817" t="str">
            <v>AV7131307</v>
          </cell>
          <cell r="C817" t="str">
            <v>Offre Premium - MEA Partenariat Kenya Édition Limitée 2023 sans PLV</v>
          </cell>
          <cell r="G817" t="e">
            <v>#N/A</v>
          </cell>
          <cell r="H817" t="e">
            <v>#N/A</v>
          </cell>
        </row>
        <row r="818">
          <cell r="B818" t="str">
            <v>OFF-54</v>
          </cell>
          <cell r="C818" t="str">
            <v>Offre Promotionnelle Herbier 2019</v>
          </cell>
          <cell r="E818" t="str">
            <v>999999OFF-54</v>
          </cell>
          <cell r="G818" t="e">
            <v>#N/A</v>
          </cell>
          <cell r="H818" t="e">
            <v>#N/A</v>
          </cell>
        </row>
        <row r="819">
          <cell r="B819" t="str">
            <v>OFF-58</v>
          </cell>
          <cell r="C819" t="str">
            <v>Offre Refresh 2019</v>
          </cell>
          <cell r="E819" t="str">
            <v>999999OFF-58</v>
          </cell>
          <cell r="G819" t="e">
            <v>#N/A</v>
          </cell>
          <cell r="H819" t="e">
            <v>#N/A</v>
          </cell>
        </row>
        <row r="820">
          <cell r="B820">
            <v>7131285</v>
          </cell>
          <cell r="C820" t="str">
            <v>Offre Rituel Pure clarté - offre 1 DH3085</v>
          </cell>
          <cell r="E820" t="str">
            <v>3770026497128</v>
          </cell>
          <cell r="G820" t="e">
            <v>#N/A</v>
          </cell>
          <cell r="H820" t="e">
            <v>#N/A</v>
          </cell>
        </row>
        <row r="821">
          <cell r="B821">
            <v>7131286</v>
          </cell>
          <cell r="C821" t="str">
            <v>Offre Rituel Pure clarté - offre 2 DH3086</v>
          </cell>
          <cell r="E821" t="str">
            <v>3770026497135</v>
          </cell>
          <cell r="G821" t="e">
            <v>#N/A</v>
          </cell>
          <cell r="H821" t="e">
            <v>#N/A</v>
          </cell>
        </row>
        <row r="822">
          <cell r="B822" t="str">
            <v>TMP000179</v>
          </cell>
          <cell r="C822" t="str">
            <v>Offre Routine Soins de Jour et de Nuit</v>
          </cell>
          <cell r="G822" t="e">
            <v>#N/A</v>
          </cell>
          <cell r="H822" t="e">
            <v>#N/A</v>
          </cell>
        </row>
        <row r="823">
          <cell r="B823" t="str">
            <v>OFF-11</v>
          </cell>
          <cell r="C823" t="str">
            <v>Offre Soin de Jour 2016</v>
          </cell>
          <cell r="E823" t="str">
            <v>999999OFF-11</v>
          </cell>
          <cell r="G823" t="e">
            <v>#N/A</v>
          </cell>
          <cell r="H823" t="e">
            <v>#N/A</v>
          </cell>
        </row>
        <row r="824">
          <cell r="B824" t="str">
            <v>OFF-48</v>
          </cell>
          <cell r="C824" t="str">
            <v>Offre Soin des Mains 2018</v>
          </cell>
          <cell r="E824" t="str">
            <v>999999OFF-48</v>
          </cell>
          <cell r="G824" t="e">
            <v>#N/A</v>
          </cell>
          <cell r="H824" t="e">
            <v>#N/A</v>
          </cell>
        </row>
        <row r="825">
          <cell r="B825" t="str">
            <v>OFF-61</v>
          </cell>
          <cell r="C825" t="str">
            <v>Offre Soin du Cheveu 2020</v>
          </cell>
          <cell r="E825" t="str">
            <v>999999OFF-61</v>
          </cell>
          <cell r="G825" t="e">
            <v>#N/A</v>
          </cell>
          <cell r="H825" t="e">
            <v>#N/A</v>
          </cell>
        </row>
        <row r="826">
          <cell r="B826" t="str">
            <v>OFF-46</v>
          </cell>
          <cell r="C826" t="str">
            <v>Offre Soins Bonne Mine 2018</v>
          </cell>
          <cell r="E826" t="str">
            <v>999999OFF-46</v>
          </cell>
          <cell r="G826" t="e">
            <v>#N/A</v>
          </cell>
          <cell r="H826" t="e">
            <v>#N/A</v>
          </cell>
        </row>
        <row r="827">
          <cell r="B827" t="str">
            <v>OFF-57</v>
          </cell>
          <cell r="C827" t="str">
            <v>Offre Soins Régénérants Visage 2019</v>
          </cell>
          <cell r="E827" t="str">
            <v>999999OFF-57</v>
          </cell>
          <cell r="G827" t="e">
            <v>#N/A</v>
          </cell>
          <cell r="H827" t="e">
            <v>#N/A</v>
          </cell>
        </row>
        <row r="828">
          <cell r="B828" t="str">
            <v>OFF-19</v>
          </cell>
          <cell r="C828" t="str">
            <v>Offre Soins de Jour 2017</v>
          </cell>
          <cell r="E828" t="str">
            <v>999999OFF-19</v>
          </cell>
          <cell r="G828" t="e">
            <v>#N/A</v>
          </cell>
          <cell r="H828" t="e">
            <v>#N/A</v>
          </cell>
        </row>
        <row r="829">
          <cell r="B829" t="str">
            <v>OFF-24</v>
          </cell>
          <cell r="C829" t="str">
            <v>Offre Soins de Nuit 2017</v>
          </cell>
          <cell r="E829" t="str">
            <v>999999OFF-24</v>
          </cell>
          <cell r="G829" t="e">
            <v>#N/A</v>
          </cell>
          <cell r="H829" t="e">
            <v>#N/A</v>
          </cell>
        </row>
        <row r="830">
          <cell r="B830" t="str">
            <v>OFF-37</v>
          </cell>
          <cell r="C830" t="str">
            <v>Offre Soins de jour 2018</v>
          </cell>
          <cell r="E830" t="str">
            <v>999999OFF-37</v>
          </cell>
          <cell r="G830" t="e">
            <v>#N/A</v>
          </cell>
          <cell r="H830" t="e">
            <v>#N/A</v>
          </cell>
        </row>
        <row r="831">
          <cell r="B831" t="str">
            <v>OFF-62</v>
          </cell>
          <cell r="C831" t="str">
            <v>Offre Soins régénérants intensifs 2019</v>
          </cell>
          <cell r="E831" t="str">
            <v>999999OFF-62</v>
          </cell>
          <cell r="G831" t="e">
            <v>#N/A</v>
          </cell>
          <cell r="H831" t="e">
            <v>#N/A</v>
          </cell>
        </row>
        <row r="832">
          <cell r="B832" t="str">
            <v>OFF-18</v>
          </cell>
          <cell r="C832" t="str">
            <v>Offre Trio Lavande Guimauve 2016</v>
          </cell>
          <cell r="E832" t="str">
            <v>999999OFF-18</v>
          </cell>
          <cell r="G832" t="e">
            <v>#N/A</v>
          </cell>
          <cell r="H832" t="e">
            <v>#N/A</v>
          </cell>
        </row>
        <row r="833">
          <cell r="B833" t="str">
            <v>OFF-26</v>
          </cell>
          <cell r="C833" t="str">
            <v>Offre Trousse Rituel Beauté 2017</v>
          </cell>
          <cell r="E833" t="str">
            <v>999999OFF-26</v>
          </cell>
          <cell r="G833" t="e">
            <v>#N/A</v>
          </cell>
          <cell r="H833" t="e">
            <v>#N/A</v>
          </cell>
        </row>
        <row r="834">
          <cell r="B834" t="str">
            <v>OFF-02</v>
          </cell>
          <cell r="C834" t="str">
            <v>Offre Trousse mes indispensables maquillage 2016</v>
          </cell>
          <cell r="E834" t="str">
            <v>999999OFF-02</v>
          </cell>
          <cell r="G834" t="e">
            <v>#N/A</v>
          </cell>
          <cell r="H834" t="e">
            <v>#N/A</v>
          </cell>
        </row>
        <row r="835">
          <cell r="B835" t="str">
            <v>OFF-01</v>
          </cell>
          <cell r="C835" t="str">
            <v>Offre Trousses Soin Visage 2016</v>
          </cell>
          <cell r="E835" t="str">
            <v>999999OFF-01</v>
          </cell>
          <cell r="G835" t="e">
            <v>#N/A</v>
          </cell>
          <cell r="H835" t="e">
            <v>#N/A</v>
          </cell>
        </row>
        <row r="836">
          <cell r="B836" t="str">
            <v>OFF-17</v>
          </cell>
          <cell r="C836" t="str">
            <v>Offre Vitrine Dr. Hauschka Med 2016</v>
          </cell>
          <cell r="E836" t="str">
            <v>999999OFF-17</v>
          </cell>
          <cell r="G836" t="e">
            <v>#N/A</v>
          </cell>
          <cell r="H836" t="e">
            <v>#N/A</v>
          </cell>
        </row>
        <row r="837">
          <cell r="B837" t="str">
            <v>OFF-56</v>
          </cell>
          <cell r="C837" t="str">
            <v>Offre Voyage exclusive institut 2019</v>
          </cell>
          <cell r="E837" t="str">
            <v>999999OFF-56</v>
          </cell>
          <cell r="G837" t="e">
            <v>#N/A</v>
          </cell>
          <cell r="H837" t="e">
            <v>#N/A</v>
          </cell>
        </row>
        <row r="838">
          <cell r="B838">
            <v>7131287</v>
          </cell>
          <cell r="C838" t="str">
            <v>Offre autour de la Rose - offre 1</v>
          </cell>
          <cell r="E838" t="str">
            <v>3770026497142</v>
          </cell>
          <cell r="G838" t="e">
            <v>#N/A</v>
          </cell>
          <cell r="H838" t="e">
            <v>#N/A</v>
          </cell>
        </row>
        <row r="839">
          <cell r="B839">
            <v>7131288</v>
          </cell>
          <cell r="C839" t="str">
            <v>Offre autour de la Rose - offre 2</v>
          </cell>
          <cell r="E839" t="str">
            <v>3770026497159</v>
          </cell>
          <cell r="G839" t="e">
            <v>#N/A</v>
          </cell>
          <cell r="H839" t="e">
            <v>#N/A</v>
          </cell>
        </row>
        <row r="840">
          <cell r="B840">
            <v>7131389</v>
          </cell>
          <cell r="C840" t="str">
            <v>Offre contre achat - Exclusif Institut 1000€</v>
          </cell>
          <cell r="G840" t="e">
            <v>#N/A</v>
          </cell>
          <cell r="H840" t="e">
            <v>#N/A</v>
          </cell>
        </row>
        <row r="841">
          <cell r="B841" t="str">
            <v>AV7131371</v>
          </cell>
          <cell r="C841" t="str">
            <v>Offre contre achat - Exclusif Institut 1000€</v>
          </cell>
          <cell r="G841" t="e">
            <v>#N/A</v>
          </cell>
          <cell r="H841" t="e">
            <v>#N/A</v>
          </cell>
        </row>
        <row r="842">
          <cell r="B842">
            <v>7131371</v>
          </cell>
          <cell r="C842" t="str">
            <v>Offre contre achat - Exclusif Institut 1000€</v>
          </cell>
          <cell r="G842" t="e">
            <v>#N/A</v>
          </cell>
          <cell r="H842" t="e">
            <v>#N/A</v>
          </cell>
        </row>
        <row r="843">
          <cell r="B843" t="str">
            <v>AV7131389</v>
          </cell>
          <cell r="C843" t="str">
            <v>Offre contre achat - Exclusif Institut 1000€ V2</v>
          </cell>
          <cell r="G843" t="e">
            <v>#N/A</v>
          </cell>
          <cell r="H843" t="e">
            <v>#N/A</v>
          </cell>
        </row>
        <row r="844">
          <cell r="B844" t="str">
            <v>AV7131372</v>
          </cell>
          <cell r="C844" t="str">
            <v>Offre contre achat - Exclusif Institut 500€</v>
          </cell>
          <cell r="G844" t="e">
            <v>#N/A</v>
          </cell>
          <cell r="H844" t="e">
            <v>#N/A</v>
          </cell>
        </row>
        <row r="845">
          <cell r="B845">
            <v>7131372</v>
          </cell>
          <cell r="C845" t="str">
            <v>Offre contre achat - Exclusif Institut 500€</v>
          </cell>
          <cell r="G845" t="e">
            <v>#N/A</v>
          </cell>
          <cell r="H845" t="e">
            <v>#N/A</v>
          </cell>
        </row>
        <row r="846">
          <cell r="B846" t="str">
            <v>AV7131388</v>
          </cell>
          <cell r="C846" t="str">
            <v>Offre contre achat - Exclusif Institut 500€ V2</v>
          </cell>
          <cell r="G846" t="e">
            <v>#N/A</v>
          </cell>
          <cell r="H846" t="e">
            <v>#N/A</v>
          </cell>
        </row>
        <row r="847">
          <cell r="B847">
            <v>7131388</v>
          </cell>
          <cell r="C847" t="str">
            <v>Offre contre achat - Exclusif Institut 500€ V2</v>
          </cell>
          <cell r="G847" t="e">
            <v>#N/A</v>
          </cell>
          <cell r="H847" t="e">
            <v>#N/A</v>
          </cell>
        </row>
        <row r="848">
          <cell r="B848">
            <v>7131392</v>
          </cell>
          <cell r="C848" t="str">
            <v>Offre contre achat Noël 2024 - 1000€</v>
          </cell>
          <cell r="G848" t="e">
            <v>#N/A</v>
          </cell>
          <cell r="H848" t="e">
            <v>#N/A</v>
          </cell>
        </row>
        <row r="849">
          <cell r="B849" t="str">
            <v>AV7131392</v>
          </cell>
          <cell r="C849" t="str">
            <v>Offre contre achat Noël 2024 - 1000€</v>
          </cell>
          <cell r="G849" t="e">
            <v>#N/A</v>
          </cell>
          <cell r="H849" t="e">
            <v>#N/A</v>
          </cell>
        </row>
        <row r="850">
          <cell r="B850">
            <v>7131391</v>
          </cell>
          <cell r="C850" t="str">
            <v>Offre contre achat Noël 2024 - 500€</v>
          </cell>
          <cell r="G850" t="e">
            <v>#N/A</v>
          </cell>
          <cell r="H850" t="e">
            <v>#N/A</v>
          </cell>
        </row>
        <row r="851">
          <cell r="B851" t="str">
            <v>AV7131391</v>
          </cell>
          <cell r="C851" t="str">
            <v>Offre contre achat Noël 2024 - 500€</v>
          </cell>
          <cell r="G851" t="e">
            <v>#N/A</v>
          </cell>
          <cell r="H851" t="e">
            <v>#N/A</v>
          </cell>
        </row>
        <row r="852">
          <cell r="C852" t="str">
            <v>Offre contre achat Noël 2024 - Exclusif retail 500€</v>
          </cell>
          <cell r="G852" t="e">
            <v>#N/A</v>
          </cell>
          <cell r="H852" t="e">
            <v>#N/A</v>
          </cell>
        </row>
        <row r="853">
          <cell r="B853" t="str">
            <v>OFF-25</v>
          </cell>
          <cell r="C853" t="str">
            <v>Offre d'implantation Pinceaux 2017</v>
          </cell>
          <cell r="E853" t="str">
            <v>999999OFF-25</v>
          </cell>
          <cell r="G853" t="e">
            <v>#N/A</v>
          </cell>
          <cell r="H853" t="e">
            <v>#N/A</v>
          </cell>
        </row>
        <row r="854">
          <cell r="B854" t="str">
            <v>OFF-55</v>
          </cell>
          <cell r="C854" t="str">
            <v>Offre de lancement Crème Douche 2019</v>
          </cell>
          <cell r="E854" t="str">
            <v>999999OFF-55</v>
          </cell>
          <cell r="G854" t="e">
            <v>#N/A</v>
          </cell>
          <cell r="H854" t="e">
            <v>#N/A</v>
          </cell>
        </row>
        <row r="855">
          <cell r="B855" t="str">
            <v>OFF-52</v>
          </cell>
          <cell r="C855" t="str">
            <v>Offre de lancement Deep Infinity 2018</v>
          </cell>
          <cell r="E855" t="str">
            <v>999999OFF-52</v>
          </cell>
          <cell r="G855" t="e">
            <v>#N/A</v>
          </cell>
          <cell r="H855" t="e">
            <v>#N/A</v>
          </cell>
        </row>
        <row r="856">
          <cell r="B856" t="str">
            <v>OFF-39</v>
          </cell>
          <cell r="C856" t="str">
            <v>Offre de lancement Eyeliners 2018</v>
          </cell>
          <cell r="E856" t="str">
            <v>999999OFF-39</v>
          </cell>
          <cell r="G856" t="e">
            <v>#N/A</v>
          </cell>
          <cell r="H856" t="e">
            <v>#N/A</v>
          </cell>
        </row>
        <row r="857">
          <cell r="B857" t="str">
            <v>OFF-49</v>
          </cell>
          <cell r="C857" t="str">
            <v>Offre de lancement Gloss 00 2018</v>
          </cell>
          <cell r="E857" t="str">
            <v>999999OFF-49</v>
          </cell>
          <cell r="G857" t="e">
            <v>#N/A</v>
          </cell>
          <cell r="H857" t="e">
            <v>#N/A</v>
          </cell>
        </row>
        <row r="858">
          <cell r="B858" t="str">
            <v>OFF-53</v>
          </cell>
          <cell r="C858" t="str">
            <v>Offre de lancement High Spirits 2019</v>
          </cell>
          <cell r="E858" t="str">
            <v>999999OFF-53</v>
          </cell>
          <cell r="G858" t="e">
            <v>#N/A</v>
          </cell>
          <cell r="H858" t="e">
            <v>#N/A</v>
          </cell>
        </row>
        <row r="859">
          <cell r="B859">
            <v>7061201</v>
          </cell>
          <cell r="C859" t="str">
            <v>Offre de référencement pinceaux</v>
          </cell>
          <cell r="E859" t="str">
            <v>9999997061201</v>
          </cell>
          <cell r="G859" t="e">
            <v>#N/A</v>
          </cell>
          <cell r="H859" t="e">
            <v>#N/A</v>
          </cell>
        </row>
        <row r="860">
          <cell r="B860" t="str">
            <v>OFF-15</v>
          </cell>
          <cell r="C860" t="str">
            <v>Offre exclusive Instituts Huiles de Soin 2016</v>
          </cell>
          <cell r="E860" t="str">
            <v>999999OFF-15</v>
          </cell>
          <cell r="G860" t="e">
            <v>#N/A</v>
          </cell>
          <cell r="H860" t="e">
            <v>#N/A</v>
          </cell>
        </row>
        <row r="861">
          <cell r="B861" t="str">
            <v>AV7131350</v>
          </cell>
          <cell r="C861" t="str">
            <v>Offre inter comptoir - MEA Rituels Pureté 2024</v>
          </cell>
          <cell r="G861" t="e">
            <v>#N/A</v>
          </cell>
          <cell r="H861" t="e">
            <v>#N/A</v>
          </cell>
        </row>
        <row r="862">
          <cell r="B862">
            <v>7131350</v>
          </cell>
          <cell r="C862" t="str">
            <v>Offre inter comptoir - MEA Rituels Pureté 2024</v>
          </cell>
          <cell r="G862" t="e">
            <v>#N/A</v>
          </cell>
          <cell r="H862" t="e">
            <v>#N/A</v>
          </cell>
        </row>
        <row r="863">
          <cell r="B863">
            <v>7131351</v>
          </cell>
          <cell r="C863" t="str">
            <v>Offre linéaire - MEA Rituels Pureté 2024</v>
          </cell>
          <cell r="G863" t="e">
            <v>#N/A</v>
          </cell>
          <cell r="H863" t="e">
            <v>#N/A</v>
          </cell>
        </row>
        <row r="864">
          <cell r="B864" t="str">
            <v>AV7131351</v>
          </cell>
          <cell r="C864" t="str">
            <v>Offre linéaire - MEA Rituels Pureté 2024</v>
          </cell>
          <cell r="G864" t="e">
            <v>#N/A</v>
          </cell>
          <cell r="H864" t="e">
            <v>#N/A</v>
          </cell>
        </row>
        <row r="865">
          <cell r="B865" t="str">
            <v>INFO1</v>
          </cell>
          <cell r="C865" t="str">
            <v>Offre marketing - Nom de l'offre à compléter</v>
          </cell>
          <cell r="E865" t="str">
            <v>9999INFO1</v>
          </cell>
          <cell r="G865" t="e">
            <v>#N/A</v>
          </cell>
          <cell r="H865" t="e">
            <v>#N/A</v>
          </cell>
        </row>
        <row r="866">
          <cell r="B866" t="str">
            <v>OFF-13</v>
          </cell>
          <cell r="C866" t="str">
            <v>Offre promo Soins Régénérants 2016</v>
          </cell>
          <cell r="E866" t="str">
            <v>999999OFF-13</v>
          </cell>
          <cell r="G866" t="e">
            <v>#N/A</v>
          </cell>
          <cell r="H866" t="e">
            <v>#N/A</v>
          </cell>
        </row>
        <row r="867">
          <cell r="B867" t="str">
            <v>AV7061397</v>
          </cell>
          <cell r="C867" t="str">
            <v>Offre référencement Baumes Stick Lèvres et Joues</v>
          </cell>
          <cell r="G867" t="e">
            <v>#N/A</v>
          </cell>
          <cell r="H867" t="e">
            <v>#N/A</v>
          </cell>
        </row>
        <row r="868">
          <cell r="B868">
            <v>7061397</v>
          </cell>
          <cell r="C868" t="str">
            <v>Offre référencement Baumes Stick Lèvres et Joues</v>
          </cell>
          <cell r="G868" t="e">
            <v>#N/A</v>
          </cell>
          <cell r="H868" t="e">
            <v>#N/A</v>
          </cell>
        </row>
        <row r="869">
          <cell r="B869" t="str">
            <v>AV7131399</v>
          </cell>
          <cell r="C869" t="str">
            <v>Offre référencement Crème Solaire pour le Visage Teintée SPF30</v>
          </cell>
          <cell r="G869" t="e">
            <v>#N/A</v>
          </cell>
          <cell r="H869" t="e">
            <v>#N/A</v>
          </cell>
        </row>
        <row r="870">
          <cell r="B870">
            <v>7131399</v>
          </cell>
          <cell r="C870" t="str">
            <v>Offre référencement Crème Solaire pour le Visage Teintée SPF30</v>
          </cell>
          <cell r="G870" t="e">
            <v>#N/A</v>
          </cell>
          <cell r="H870" t="e">
            <v>#N/A</v>
          </cell>
        </row>
        <row r="871">
          <cell r="B871" t="str">
            <v>OFF-06</v>
          </cell>
          <cell r="C871" t="str">
            <v>Offres Crème de Jour à la Mélisse 2016</v>
          </cell>
          <cell r="E871" t="str">
            <v>999999OFF-06</v>
          </cell>
          <cell r="G871" t="e">
            <v>#N/A</v>
          </cell>
          <cell r="H871" t="e">
            <v>#N/A</v>
          </cell>
        </row>
        <row r="872">
          <cell r="B872">
            <v>1061121</v>
          </cell>
          <cell r="C872" t="str">
            <v>Ombre à Paupière 04 verdélite</v>
          </cell>
          <cell r="D872" t="str">
            <v>420005949</v>
          </cell>
          <cell r="E872" t="str">
            <v>4020829098787</v>
          </cell>
          <cell r="G872">
            <v>10.003048780487806</v>
          </cell>
          <cell r="H872">
            <v>17</v>
          </cell>
        </row>
        <row r="873">
          <cell r="B873">
            <v>1061114</v>
          </cell>
          <cell r="C873" t="str">
            <v>Ombre à Paupière 04 verdélite - Dernières unités avant retour Oct 23</v>
          </cell>
          <cell r="D873" t="str">
            <v>429000607</v>
          </cell>
          <cell r="E873" t="str">
            <v>4020829044982</v>
          </cell>
          <cell r="G873" t="e">
            <v>#N/A</v>
          </cell>
          <cell r="H873" t="e">
            <v>#N/A</v>
          </cell>
        </row>
        <row r="874">
          <cell r="B874">
            <v>1061122</v>
          </cell>
          <cell r="C874" t="str">
            <v>Ombre à paupières 07 aigue-marine</v>
          </cell>
          <cell r="D874" t="str">
            <v>420005951</v>
          </cell>
          <cell r="E874" t="str">
            <v>4020829098800</v>
          </cell>
          <cell r="G874">
            <v>10.003048780487806</v>
          </cell>
          <cell r="H874">
            <v>17</v>
          </cell>
        </row>
        <row r="875">
          <cell r="B875">
            <v>1061123</v>
          </cell>
          <cell r="C875" t="str">
            <v>Ombre à paupières 08 topaze dorée</v>
          </cell>
          <cell r="D875" t="str">
            <v>420005953</v>
          </cell>
          <cell r="E875" t="str">
            <v>4020829098824</v>
          </cell>
          <cell r="G875">
            <v>10.003048780487806</v>
          </cell>
          <cell r="H875">
            <v>17</v>
          </cell>
        </row>
        <row r="876">
          <cell r="B876">
            <v>1010372</v>
          </cell>
          <cell r="C876" t="str">
            <v>OnPack 2023 Crème de Jour au Coing 30ml + mini Lotion Tonifiante 10ml - 15% DLV 01/2025</v>
          </cell>
          <cell r="D876" t="str">
            <v>420005756</v>
          </cell>
          <cell r="E876" t="str">
            <v>4020829095991</v>
          </cell>
          <cell r="G876" t="e">
            <v>#N/A</v>
          </cell>
          <cell r="H876" t="e">
            <v>#N/A</v>
          </cell>
        </row>
        <row r="877">
          <cell r="B877">
            <v>1010380</v>
          </cell>
          <cell r="C877" t="str">
            <v>OnPack 2024 Crème de Jour au Coing 30ml + mini Emulsion Teintée 2,5ml</v>
          </cell>
          <cell r="E877" t="str">
            <v>3770026497395</v>
          </cell>
          <cell r="G877" t="e">
            <v>#N/A</v>
          </cell>
          <cell r="H877" t="e">
            <v>#N/A</v>
          </cell>
        </row>
        <row r="878">
          <cell r="B878">
            <v>1010379</v>
          </cell>
          <cell r="C878" t="str">
            <v>OnPack 2024 Fluide de Jour Apaisant 50ml + mini Emulsion Teintée 2,5ml</v>
          </cell>
          <cell r="E878" t="str">
            <v>3770026497388</v>
          </cell>
          <cell r="G878" t="e">
            <v>#N/A</v>
          </cell>
          <cell r="H878" t="e">
            <v>#N/A</v>
          </cell>
        </row>
        <row r="879">
          <cell r="B879">
            <v>1010378</v>
          </cell>
          <cell r="C879" t="str">
            <v>OnPack 2024 Fluide de Jour Revitalisant 50ml + mini Emulsion Teintée 2,5ml</v>
          </cell>
          <cell r="E879" t="str">
            <v>3770026497371</v>
          </cell>
          <cell r="G879" t="e">
            <v>#N/A</v>
          </cell>
          <cell r="H879" t="e">
            <v>#N/A</v>
          </cell>
        </row>
        <row r="880">
          <cell r="B880">
            <v>6500118</v>
          </cell>
          <cell r="C880" t="str">
            <v>PLV Spécifique Grade 1 par 2</v>
          </cell>
          <cell r="D880" t="str">
            <v>6500118</v>
          </cell>
          <cell r="E880" t="str">
            <v>9999996500118</v>
          </cell>
          <cell r="G880" t="e">
            <v>#N/A</v>
          </cell>
          <cell r="H880" t="e">
            <v>#N/A</v>
          </cell>
        </row>
        <row r="881">
          <cell r="B881" t="str">
            <v>IMPLCHALLENGERC1</v>
          </cell>
          <cell r="C881" t="str">
            <v>Pack Implantation Biocoop Challenger 34 ref C1</v>
          </cell>
          <cell r="E881" t="str">
            <v>3770026497272</v>
          </cell>
          <cell r="G881" t="e">
            <v>#N/A</v>
          </cell>
          <cell r="H881" t="e">
            <v>#N/A</v>
          </cell>
        </row>
        <row r="882">
          <cell r="B882" t="str">
            <v>IMPLCHALLENGER</v>
          </cell>
          <cell r="C882" t="str">
            <v>Pack Implantation Biocoop Challenger 36 ref</v>
          </cell>
          <cell r="E882" t="str">
            <v>3770026497432</v>
          </cell>
          <cell r="G882" t="e">
            <v>#N/A</v>
          </cell>
          <cell r="H882" t="e">
            <v>#N/A</v>
          </cell>
        </row>
        <row r="883">
          <cell r="B883" t="str">
            <v>IMPLCOMPAGNON</v>
          </cell>
          <cell r="C883" t="str">
            <v>Pack Implantation Biocoop Compagnon 49 ref</v>
          </cell>
          <cell r="E883" t="str">
            <v>377002649722</v>
          </cell>
          <cell r="G883" t="e">
            <v>#N/A</v>
          </cell>
          <cell r="H883" t="e">
            <v>#N/A</v>
          </cell>
        </row>
        <row r="884">
          <cell r="B884" t="str">
            <v>IMPLCOMPAGNONC1</v>
          </cell>
          <cell r="C884" t="str">
            <v>Pack Implantation Biocoop Compagnon 52 ref C1</v>
          </cell>
          <cell r="E884" t="str">
            <v>3770026497449</v>
          </cell>
          <cell r="G884" t="e">
            <v>#N/A</v>
          </cell>
          <cell r="H884" t="e">
            <v>#N/A</v>
          </cell>
        </row>
        <row r="885">
          <cell r="B885" t="str">
            <v>IMPLCOMPAGNONC2</v>
          </cell>
          <cell r="C885" t="str">
            <v>Pack Implantation Biocoop Compagnon 52 ref C2</v>
          </cell>
          <cell r="E885" t="str">
            <v>3770026497456</v>
          </cell>
          <cell r="G885" t="e">
            <v>#N/A</v>
          </cell>
          <cell r="H885" t="e">
            <v>#N/A</v>
          </cell>
        </row>
        <row r="886">
          <cell r="B886" t="str">
            <v>IMPLMAQ23BC1</v>
          </cell>
          <cell r="C886" t="str">
            <v>Pack Implantation Maquillage Biocoop colis 1</v>
          </cell>
          <cell r="E886" t="str">
            <v>3770026497357</v>
          </cell>
          <cell r="G886" t="e">
            <v>#N/A</v>
          </cell>
          <cell r="H886" t="e">
            <v>#N/A</v>
          </cell>
        </row>
        <row r="887">
          <cell r="B887" t="str">
            <v>IMPLMAQ23BC2</v>
          </cell>
          <cell r="C887" t="str">
            <v>Pack Implantation Maquillage Biocoop colis 2</v>
          </cell>
          <cell r="E887" t="str">
            <v>3770026497364</v>
          </cell>
          <cell r="G887" t="e">
            <v>#N/A</v>
          </cell>
          <cell r="H887" t="e">
            <v>#N/A</v>
          </cell>
        </row>
        <row r="888">
          <cell r="B888">
            <v>7131312</v>
          </cell>
          <cell r="C888" t="str">
            <v>Pack cadeau pour Formation Joli Moi</v>
          </cell>
          <cell r="E888" t="str">
            <v>3770026497203</v>
          </cell>
          <cell r="G888" t="e">
            <v>#N/A</v>
          </cell>
          <cell r="H888" t="e">
            <v>#N/A</v>
          </cell>
        </row>
        <row r="889">
          <cell r="B889" t="str">
            <v>INTERNET-U-SOIN</v>
          </cell>
          <cell r="C889" t="str">
            <v>Paiement Soin Internet</v>
          </cell>
          <cell r="G889" t="e">
            <v>#N/A</v>
          </cell>
          <cell r="H889" t="e">
            <v>#N/A</v>
          </cell>
        </row>
        <row r="890">
          <cell r="C890" t="str">
            <v>Palette</v>
          </cell>
          <cell r="G890" t="e">
            <v>#N/A</v>
          </cell>
          <cell r="H890" t="e">
            <v>#N/A</v>
          </cell>
        </row>
        <row r="891">
          <cell r="B891">
            <v>6601200</v>
          </cell>
          <cell r="C891" t="str">
            <v>Palette Maquillage Vide</v>
          </cell>
          <cell r="D891" t="str">
            <v>410003789</v>
          </cell>
          <cell r="E891" t="str">
            <v>4020829056589</v>
          </cell>
          <cell r="G891" t="e">
            <v>#N/A</v>
          </cell>
          <cell r="H891" t="e">
            <v>#N/A</v>
          </cell>
        </row>
        <row r="892">
          <cell r="B892">
            <v>1061133</v>
          </cell>
          <cell r="C892" t="str">
            <v>Palette Yeux &amp; Sourcils 01 caillou</v>
          </cell>
          <cell r="D892" t="str">
            <v>420005944</v>
          </cell>
          <cell r="E892" t="str">
            <v>4020829098732</v>
          </cell>
          <cell r="G892">
            <v>23.47</v>
          </cell>
          <cell r="H892">
            <v>39.9</v>
          </cell>
        </row>
        <row r="893">
          <cell r="B893">
            <v>1061120</v>
          </cell>
          <cell r="C893" t="str">
            <v>Palette Yeux &amp; Sourcils 01 caillou - Dernières unités avant retour Oct 23</v>
          </cell>
          <cell r="D893" t="str">
            <v>429000581</v>
          </cell>
          <cell r="E893" t="str">
            <v>4020829044869</v>
          </cell>
          <cell r="G893" t="e">
            <v>#N/A</v>
          </cell>
          <cell r="H893" t="e">
            <v>#N/A</v>
          </cell>
        </row>
        <row r="894">
          <cell r="B894">
            <v>1061200</v>
          </cell>
          <cell r="C894" t="str">
            <v>Palette maquillage</v>
          </cell>
          <cell r="E894" t="str">
            <v>9999991061200</v>
          </cell>
          <cell r="G894" t="e">
            <v>#N/A</v>
          </cell>
          <cell r="H894" t="e">
            <v>#N/A</v>
          </cell>
        </row>
        <row r="895">
          <cell r="B895">
            <v>6300170</v>
          </cell>
          <cell r="C895" t="str">
            <v>Panneau Vitrine Institutionnel</v>
          </cell>
          <cell r="D895" t="str">
            <v>6300170</v>
          </cell>
          <cell r="E895" t="str">
            <v>9999996300170</v>
          </cell>
          <cell r="G895" t="e">
            <v>#N/A</v>
          </cell>
          <cell r="H895" t="e">
            <v>#N/A</v>
          </cell>
        </row>
        <row r="896">
          <cell r="B896">
            <v>6300194</v>
          </cell>
          <cell r="C896" t="str">
            <v>Panneau Vitrine Maquillage</v>
          </cell>
          <cell r="D896" t="str">
            <v>410006896</v>
          </cell>
          <cell r="E896" t="str">
            <v>4020829105294</v>
          </cell>
          <cell r="G896" t="e">
            <v>#N/A</v>
          </cell>
          <cell r="H896" t="e">
            <v>#N/A</v>
          </cell>
        </row>
        <row r="897">
          <cell r="B897">
            <v>6300204</v>
          </cell>
          <cell r="C897" t="str">
            <v>Panneau vitrine Baumes Sticks Lèvres et Joues</v>
          </cell>
          <cell r="D897" t="str">
            <v>410006890</v>
          </cell>
          <cell r="E897" t="str">
            <v>4020829105218</v>
          </cell>
          <cell r="G897" t="e">
            <v>#N/A</v>
          </cell>
          <cell r="H897" t="e">
            <v>#N/A</v>
          </cell>
        </row>
        <row r="898">
          <cell r="B898">
            <v>6300208</v>
          </cell>
          <cell r="C898" t="str">
            <v>Panneau vitrine Crème Purifiante pour le Visage 2024</v>
          </cell>
          <cell r="D898" t="str">
            <v>6300208</v>
          </cell>
          <cell r="E898" t="str">
            <v>630020899999</v>
          </cell>
          <cell r="G898" t="e">
            <v>#N/A</v>
          </cell>
          <cell r="H898" t="e">
            <v>#N/A</v>
          </cell>
        </row>
        <row r="899">
          <cell r="B899">
            <v>6300203</v>
          </cell>
          <cell r="C899" t="str">
            <v>Panneau vitrine Edition Limitée 2024</v>
          </cell>
          <cell r="D899" t="str">
            <v>6300203</v>
          </cell>
          <cell r="E899" t="str">
            <v>630020399999</v>
          </cell>
          <cell r="G899" t="e">
            <v>#N/A</v>
          </cell>
          <cell r="H899" t="e">
            <v>#N/A</v>
          </cell>
        </row>
        <row r="900">
          <cell r="B900">
            <v>6300187</v>
          </cell>
          <cell r="C900" t="str">
            <v>Panneau vitrine MEA Crème de Jour à l'Abricot</v>
          </cell>
          <cell r="D900" t="str">
            <v>6300187</v>
          </cell>
          <cell r="E900" t="str">
            <v>9999996300187</v>
          </cell>
          <cell r="G900" t="e">
            <v>#N/A</v>
          </cell>
          <cell r="H900" t="e">
            <v>#N/A</v>
          </cell>
        </row>
        <row r="901">
          <cell r="B901">
            <v>6300189</v>
          </cell>
          <cell r="C901" t="str">
            <v>Panneau vitrine Noël 2023</v>
          </cell>
          <cell r="D901" t="str">
            <v>6300189</v>
          </cell>
          <cell r="E901" t="str">
            <v>9999996300189</v>
          </cell>
          <cell r="G901" t="e">
            <v>#N/A</v>
          </cell>
          <cell r="H901" t="e">
            <v>#N/A</v>
          </cell>
        </row>
        <row r="902">
          <cell r="B902">
            <v>6300205</v>
          </cell>
          <cell r="C902" t="str">
            <v>Panneau vitrine Noël 2024</v>
          </cell>
          <cell r="D902" t="str">
            <v>6300205</v>
          </cell>
          <cell r="E902" t="str">
            <v>630020599999</v>
          </cell>
          <cell r="G902" t="e">
            <v>#N/A</v>
          </cell>
          <cell r="H902" t="e">
            <v>#N/A</v>
          </cell>
        </row>
        <row r="903">
          <cell r="B903">
            <v>6300198</v>
          </cell>
          <cell r="C903" t="str">
            <v>Panneau vitrine OnPacks 2024</v>
          </cell>
          <cell r="D903" t="str">
            <v>6300198</v>
          </cell>
          <cell r="E903" t="str">
            <v>9999996500198</v>
          </cell>
          <cell r="G903" t="e">
            <v>#N/A</v>
          </cell>
          <cell r="H903" t="e">
            <v>#N/A</v>
          </cell>
        </row>
        <row r="904">
          <cell r="B904">
            <v>6300209</v>
          </cell>
          <cell r="C904" t="str">
            <v>Panneau vitrine Régénérants 2025</v>
          </cell>
          <cell r="E904" t="str">
            <v>630020999999</v>
          </cell>
          <cell r="G904" t="e">
            <v>#N/A</v>
          </cell>
          <cell r="H904" t="e">
            <v>#N/A</v>
          </cell>
        </row>
        <row r="905">
          <cell r="B905">
            <v>6300196</v>
          </cell>
          <cell r="C905" t="str">
            <v>Panneau vitrine Régénérants Intensifs 2024</v>
          </cell>
          <cell r="D905" t="str">
            <v>410006942</v>
          </cell>
          <cell r="E905" t="str">
            <v>4020829105867</v>
          </cell>
          <cell r="G905" t="e">
            <v>#N/A</v>
          </cell>
          <cell r="H905" t="e">
            <v>#N/A</v>
          </cell>
        </row>
        <row r="906">
          <cell r="B906">
            <v>6300202</v>
          </cell>
          <cell r="C906" t="str">
            <v>Panneau vitrine Solaires 2024</v>
          </cell>
          <cell r="D906" t="str">
            <v>410006842</v>
          </cell>
          <cell r="E906" t="str">
            <v>4020829104754</v>
          </cell>
          <cell r="G906" t="e">
            <v>#N/A</v>
          </cell>
          <cell r="H906" t="e">
            <v>#N/A</v>
          </cell>
        </row>
        <row r="907">
          <cell r="B907">
            <v>6300185</v>
          </cell>
          <cell r="C907" t="str">
            <v>Panneau vitrine institut 2023</v>
          </cell>
          <cell r="D907" t="str">
            <v>6300185</v>
          </cell>
          <cell r="E907" t="str">
            <v>9999996300185</v>
          </cell>
          <cell r="G907" t="e">
            <v>#N/A</v>
          </cell>
          <cell r="H907" t="e">
            <v>#N/A</v>
          </cell>
        </row>
        <row r="908">
          <cell r="B908">
            <v>661645</v>
          </cell>
          <cell r="C908" t="str">
            <v>Papier de soie Dr.Hauschka</v>
          </cell>
          <cell r="D908" t="str">
            <v>410001423</v>
          </cell>
          <cell r="E908" t="str">
            <v>999999661645</v>
          </cell>
          <cell r="G908" t="e">
            <v>#N/A</v>
          </cell>
          <cell r="H908" t="e">
            <v>#N/A</v>
          </cell>
        </row>
        <row r="909">
          <cell r="B909">
            <v>6200023</v>
          </cell>
          <cell r="C909" t="str">
            <v>Pied Présentoir Maquillage Rétroéclairé</v>
          </cell>
          <cell r="D909" t="str">
            <v>410006879</v>
          </cell>
          <cell r="E909" t="str">
            <v>4020829105102</v>
          </cell>
          <cell r="G909" t="e">
            <v>#N/A</v>
          </cell>
          <cell r="H909" t="e">
            <v>#N/A</v>
          </cell>
        </row>
        <row r="910">
          <cell r="B910">
            <v>6200002</v>
          </cell>
          <cell r="C910" t="str">
            <v>Pied de Présentoir Maquillage Classique</v>
          </cell>
          <cell r="D910" t="str">
            <v>410003532</v>
          </cell>
          <cell r="E910" t="str">
            <v>620000299999</v>
          </cell>
          <cell r="G910" t="e">
            <v>#N/A</v>
          </cell>
          <cell r="H910" t="e">
            <v>#N/A</v>
          </cell>
        </row>
        <row r="911">
          <cell r="B911">
            <v>6600026</v>
          </cell>
          <cell r="C911" t="str">
            <v>Pince à épiler Dr. Hauschka</v>
          </cell>
          <cell r="D911" t="str">
            <v>410004854</v>
          </cell>
          <cell r="E911" t="str">
            <v>9999996600026</v>
          </cell>
          <cell r="G911" t="e">
            <v>#N/A</v>
          </cell>
          <cell r="H911" t="e">
            <v>#N/A</v>
          </cell>
        </row>
        <row r="912">
          <cell r="B912">
            <v>1061202</v>
          </cell>
          <cell r="C912" t="str">
            <v>Pinceau Blush</v>
          </cell>
          <cell r="D912" t="str">
            <v>410002976</v>
          </cell>
          <cell r="E912" t="str">
            <v>4020829042407</v>
          </cell>
          <cell r="G912">
            <v>18.71</v>
          </cell>
          <cell r="H912">
            <v>31.8</v>
          </cell>
        </row>
        <row r="913">
          <cell r="B913">
            <v>901943</v>
          </cell>
          <cell r="C913" t="str">
            <v>Pinceau Concealer</v>
          </cell>
          <cell r="D913" t="str">
            <v>410003270</v>
          </cell>
          <cell r="E913" t="str">
            <v>999999901943</v>
          </cell>
          <cell r="G913" t="e">
            <v>#N/A</v>
          </cell>
          <cell r="H913" t="e">
            <v>#N/A</v>
          </cell>
        </row>
        <row r="914">
          <cell r="B914">
            <v>1061201</v>
          </cell>
          <cell r="C914" t="str">
            <v>Pinceau Fond de teint</v>
          </cell>
          <cell r="D914" t="str">
            <v>410002974</v>
          </cell>
          <cell r="E914" t="str">
            <v>4020829042384</v>
          </cell>
          <cell r="G914">
            <v>21.24</v>
          </cell>
          <cell r="H914">
            <v>36.1</v>
          </cell>
        </row>
        <row r="915">
          <cell r="B915">
            <v>1061206</v>
          </cell>
          <cell r="C915" t="str">
            <v>Pinceau Lèvres</v>
          </cell>
          <cell r="D915" t="str">
            <v>410002984</v>
          </cell>
          <cell r="E915" t="str">
            <v>4020829042490</v>
          </cell>
          <cell r="G915">
            <v>11.71</v>
          </cell>
          <cell r="H915">
            <v>19.899999999999999</v>
          </cell>
        </row>
        <row r="916">
          <cell r="B916">
            <v>1061204</v>
          </cell>
          <cell r="C916" t="str">
            <v>Pinceau Ombre à Paupières</v>
          </cell>
          <cell r="D916" t="str">
            <v>410002980</v>
          </cell>
          <cell r="E916" t="str">
            <v>4020829042445</v>
          </cell>
          <cell r="G916">
            <v>12.35</v>
          </cell>
          <cell r="H916">
            <v>21</v>
          </cell>
        </row>
        <row r="917">
          <cell r="B917">
            <v>1061205</v>
          </cell>
          <cell r="C917" t="str">
            <v>Pinceau Yeux Précision</v>
          </cell>
          <cell r="D917" t="str">
            <v>410002982</v>
          </cell>
          <cell r="E917" t="str">
            <v>4020829042476</v>
          </cell>
          <cell r="G917">
            <v>11.590000000000002</v>
          </cell>
          <cell r="H917">
            <v>19.7</v>
          </cell>
        </row>
        <row r="918">
          <cell r="B918">
            <v>1061203</v>
          </cell>
          <cell r="C918" t="str">
            <v>Pinceau poudre</v>
          </cell>
          <cell r="D918" t="str">
            <v>410002978</v>
          </cell>
          <cell r="E918" t="str">
            <v>4020829042421</v>
          </cell>
          <cell r="G918">
            <v>30.409999999999997</v>
          </cell>
          <cell r="H918">
            <v>51.7</v>
          </cell>
        </row>
        <row r="919">
          <cell r="B919">
            <v>431460</v>
          </cell>
          <cell r="C919" t="str">
            <v>Pinceaux pour Stimulation Lymphatique (2)</v>
          </cell>
          <cell r="D919" t="str">
            <v>699399</v>
          </cell>
          <cell r="E919" t="str">
            <v>999999431460</v>
          </cell>
          <cell r="G919">
            <v>28.0488</v>
          </cell>
          <cell r="H919" t="e">
            <v>#N/A</v>
          </cell>
        </row>
        <row r="920">
          <cell r="B920">
            <v>6700090</v>
          </cell>
          <cell r="C920" t="str">
            <v>Plaquette de soin institut 2023</v>
          </cell>
          <cell r="D920" t="str">
            <v>6700090</v>
          </cell>
          <cell r="E920" t="str">
            <v>9999996700090</v>
          </cell>
          <cell r="G920" t="e">
            <v>#N/A</v>
          </cell>
          <cell r="H920" t="e">
            <v>#N/A</v>
          </cell>
        </row>
        <row r="921">
          <cell r="B921">
            <v>6700088</v>
          </cell>
          <cell r="C921" t="str">
            <v>Plaquette prospection institut 2023</v>
          </cell>
          <cell r="D921" t="str">
            <v>6700088</v>
          </cell>
          <cell r="E921" t="str">
            <v>9999996700088</v>
          </cell>
          <cell r="G921" t="e">
            <v>#N/A</v>
          </cell>
          <cell r="H921" t="e">
            <v>#N/A</v>
          </cell>
        </row>
        <row r="922">
          <cell r="B922">
            <v>6700087</v>
          </cell>
          <cell r="C922" t="str">
            <v>Plaquette prospection pharmacie 2023</v>
          </cell>
          <cell r="D922" t="str">
            <v>6700087</v>
          </cell>
          <cell r="E922" t="str">
            <v>9999996700087</v>
          </cell>
          <cell r="G922" t="e">
            <v>#N/A</v>
          </cell>
          <cell r="H922" t="e">
            <v>#N/A</v>
          </cell>
        </row>
        <row r="923">
          <cell r="B923">
            <v>6600022</v>
          </cell>
          <cell r="C923" t="str">
            <v>Pochette Dr. Hauschka 2019</v>
          </cell>
          <cell r="D923" t="str">
            <v>410004508</v>
          </cell>
          <cell r="E923" t="str">
            <v>9999996600022</v>
          </cell>
          <cell r="G923" t="e">
            <v>#N/A</v>
          </cell>
          <cell r="H923" t="e">
            <v>#N/A</v>
          </cell>
        </row>
        <row r="924">
          <cell r="B924" t="str">
            <v>MANPOINTS</v>
          </cell>
          <cell r="C924" t="str">
            <v>Point manuel</v>
          </cell>
          <cell r="E924" t="str">
            <v>999999MANPOINTS</v>
          </cell>
          <cell r="G924" t="e">
            <v>#N/A</v>
          </cell>
          <cell r="H924" t="e">
            <v>#N/A</v>
          </cell>
        </row>
        <row r="925">
          <cell r="B925">
            <v>6300132</v>
          </cell>
          <cell r="C925" t="str">
            <v>Poster A1 - Soin de Jour</v>
          </cell>
          <cell r="D925" t="str">
            <v>410005479</v>
          </cell>
          <cell r="E925" t="str">
            <v>4020829083547</v>
          </cell>
          <cell r="G925" t="e">
            <v>#N/A</v>
          </cell>
          <cell r="H925" t="e">
            <v>#N/A</v>
          </cell>
        </row>
        <row r="926">
          <cell r="B926">
            <v>6300181</v>
          </cell>
          <cell r="C926" t="str">
            <v>Poster Edition Limitée 2023</v>
          </cell>
          <cell r="D926" t="str">
            <v>410006552</v>
          </cell>
          <cell r="E926" t="str">
            <v>4020829099579</v>
          </cell>
          <cell r="G926" t="e">
            <v>#N/A</v>
          </cell>
          <cell r="H926" t="e">
            <v>#N/A</v>
          </cell>
        </row>
        <row r="927">
          <cell r="B927">
            <v>6300190</v>
          </cell>
          <cell r="C927" t="str">
            <v>Poster Noël 2023</v>
          </cell>
          <cell r="D927" t="str">
            <v>6300190</v>
          </cell>
          <cell r="E927" t="str">
            <v>9999996300190</v>
          </cell>
          <cell r="G927" t="e">
            <v>#N/A</v>
          </cell>
          <cell r="H927" t="e">
            <v>#N/A</v>
          </cell>
        </row>
        <row r="928">
          <cell r="B928">
            <v>1060823</v>
          </cell>
          <cell r="C928" t="str">
            <v>Poudre Bronzante 01 bronze</v>
          </cell>
          <cell r="D928" t="str">
            <v>420005931</v>
          </cell>
          <cell r="E928" t="str">
            <v>4020829099197</v>
          </cell>
          <cell r="G928">
            <v>19.349058966565352</v>
          </cell>
          <cell r="H928">
            <v>32.898399999999995</v>
          </cell>
        </row>
        <row r="929">
          <cell r="B929">
            <v>1060807</v>
          </cell>
          <cell r="C929" t="str">
            <v>Poudre Compacte 00 transparente</v>
          </cell>
          <cell r="D929" t="str">
            <v>420005986</v>
          </cell>
          <cell r="E929" t="str">
            <v>4020829099159</v>
          </cell>
          <cell r="G929">
            <v>17.82</v>
          </cell>
          <cell r="H929">
            <v>30.3</v>
          </cell>
        </row>
        <row r="930">
          <cell r="B930">
            <v>1060803</v>
          </cell>
          <cell r="C930" t="str">
            <v>Poudre Compacte 03 muscade - Dernières unités</v>
          </cell>
          <cell r="D930" t="str">
            <v>429000567</v>
          </cell>
          <cell r="E930" t="str">
            <v>4020829043848</v>
          </cell>
          <cell r="G930" t="e">
            <v>#N/A</v>
          </cell>
          <cell r="H930" t="e">
            <v>#N/A</v>
          </cell>
        </row>
        <row r="931">
          <cell r="B931">
            <v>1060805</v>
          </cell>
          <cell r="C931" t="str">
            <v>Poudre Compacte Correctrice - 01 vivifiante</v>
          </cell>
          <cell r="D931" t="str">
            <v>420005936</v>
          </cell>
          <cell r="E931" t="str">
            <v>4020829098657</v>
          </cell>
          <cell r="G931">
            <v>23.47</v>
          </cell>
          <cell r="H931">
            <v>39.9</v>
          </cell>
        </row>
        <row r="932">
          <cell r="B932">
            <v>1060812</v>
          </cell>
          <cell r="C932" t="str">
            <v xml:space="preserve">Poudre Compacte Correctrice - 01 vivifiante - Dernières unités avant retour Oct </v>
          </cell>
          <cell r="D932" t="str">
            <v>420003985</v>
          </cell>
          <cell r="E932" t="str">
            <v>4020829069954</v>
          </cell>
          <cell r="G932" t="e">
            <v>#N/A</v>
          </cell>
          <cell r="H932" t="e">
            <v>#N/A</v>
          </cell>
        </row>
        <row r="933">
          <cell r="B933">
            <v>1060806</v>
          </cell>
          <cell r="C933" t="str">
            <v>Poudre Compacte Correctrice - 02 apaisante</v>
          </cell>
          <cell r="D933" t="str">
            <v>420005938</v>
          </cell>
          <cell r="E933" t="str">
            <v>4020829098671</v>
          </cell>
          <cell r="G933">
            <v>23.47</v>
          </cell>
          <cell r="H933">
            <v>39.9</v>
          </cell>
        </row>
        <row r="934">
          <cell r="B934">
            <v>1060804</v>
          </cell>
          <cell r="C934" t="str">
            <v>Poudre Compacte Correctrice 00 transparente</v>
          </cell>
          <cell r="D934" t="str">
            <v>420005934</v>
          </cell>
          <cell r="E934" t="str">
            <v>4020829098633</v>
          </cell>
          <cell r="G934">
            <v>23.47</v>
          </cell>
          <cell r="H934">
            <v>39.9</v>
          </cell>
        </row>
        <row r="935">
          <cell r="B935">
            <v>1060822</v>
          </cell>
          <cell r="C935" t="str">
            <v>Poudre Libre 00 transparente</v>
          </cell>
          <cell r="D935" t="str">
            <v>420005982</v>
          </cell>
          <cell r="E935" t="str">
            <v>4020829099111</v>
          </cell>
          <cell r="G935">
            <v>20.289999999999996</v>
          </cell>
          <cell r="H935">
            <v>34.5</v>
          </cell>
        </row>
        <row r="936">
          <cell r="B936">
            <v>1830601</v>
          </cell>
          <cell r="C936" t="str">
            <v>Poudre de Soie - 50 g</v>
          </cell>
          <cell r="E936" t="str">
            <v>9999991830601</v>
          </cell>
          <cell r="G936" t="e">
            <v>#N/A</v>
          </cell>
          <cell r="H936" t="e">
            <v>#N/A</v>
          </cell>
        </row>
        <row r="937">
          <cell r="B937">
            <v>1030601</v>
          </cell>
          <cell r="C937" t="str">
            <v>Poudre de Soie - 50 g</v>
          </cell>
          <cell r="D937" t="str">
            <v>429000095</v>
          </cell>
          <cell r="E937" t="str">
            <v>4020829005631</v>
          </cell>
          <cell r="G937" t="e">
            <v>#N/A</v>
          </cell>
          <cell r="H937" t="e">
            <v>#N/A</v>
          </cell>
        </row>
        <row r="938">
          <cell r="B938" t="str">
            <v>TIPS</v>
          </cell>
          <cell r="C938" t="str">
            <v>Pourboires</v>
          </cell>
          <cell r="G938" t="e">
            <v>#N/A</v>
          </cell>
          <cell r="H938" t="e">
            <v>#N/A</v>
          </cell>
        </row>
        <row r="939">
          <cell r="B939">
            <v>7031375</v>
          </cell>
          <cell r="C939" t="str">
            <v>Premium - MEA Corps 2024</v>
          </cell>
          <cell r="G939" t="e">
            <v>#N/A</v>
          </cell>
          <cell r="H939" t="e">
            <v>#N/A</v>
          </cell>
        </row>
        <row r="940">
          <cell r="B940" t="str">
            <v>AV7031375</v>
          </cell>
          <cell r="C940" t="str">
            <v>Premium - MEA Corps 2024</v>
          </cell>
          <cell r="G940" t="e">
            <v>#N/A</v>
          </cell>
          <cell r="H940" t="e">
            <v>#N/A</v>
          </cell>
        </row>
        <row r="941">
          <cell r="B941" t="str">
            <v>AV7000363</v>
          </cell>
          <cell r="C941" t="str">
            <v>Premium - MEA Crème Purifiante pour le Visage</v>
          </cell>
          <cell r="G941" t="e">
            <v>#N/A</v>
          </cell>
          <cell r="H941" t="e">
            <v>#N/A</v>
          </cell>
        </row>
        <row r="942">
          <cell r="B942">
            <v>7000362</v>
          </cell>
          <cell r="C942" t="str">
            <v>Premium - MEA Crème Purifiante pour le Visage</v>
          </cell>
          <cell r="G942" t="e">
            <v>#N/A</v>
          </cell>
          <cell r="H942" t="e">
            <v>#N/A</v>
          </cell>
        </row>
        <row r="943">
          <cell r="B943" t="str">
            <v>AV7000362</v>
          </cell>
          <cell r="C943" t="str">
            <v>Premium - MEA Crème Purifiante pour le Visage</v>
          </cell>
          <cell r="G943" t="e">
            <v>#N/A</v>
          </cell>
          <cell r="H943" t="e">
            <v>#N/A</v>
          </cell>
        </row>
        <row r="944">
          <cell r="B944">
            <v>7000363</v>
          </cell>
          <cell r="C944" t="str">
            <v>Premium - MEA Crème Purifiante pour le Visage *sans PLV volumineuse* *PRE-COMMANDE*</v>
          </cell>
          <cell r="G944" t="e">
            <v>#N/A</v>
          </cell>
          <cell r="H944" t="e">
            <v>#N/A</v>
          </cell>
        </row>
        <row r="945">
          <cell r="B945" t="str">
            <v>AV7131326</v>
          </cell>
          <cell r="C945" t="str">
            <v>Premium - MEA Noël 2023*sans panneau vitrine*</v>
          </cell>
          <cell r="G945" t="e">
            <v>#N/A</v>
          </cell>
          <cell r="H945" t="e">
            <v>#N/A</v>
          </cell>
        </row>
        <row r="946">
          <cell r="B946">
            <v>7031366</v>
          </cell>
          <cell r="C946" t="str">
            <v>Premium - MEA Noël 2024</v>
          </cell>
          <cell r="G946" t="e">
            <v>#N/A</v>
          </cell>
          <cell r="H946" t="e">
            <v>#N/A</v>
          </cell>
        </row>
        <row r="947">
          <cell r="B947" t="str">
            <v>AV7031366</v>
          </cell>
          <cell r="C947" t="str">
            <v>Premium - MEA Noël 2024</v>
          </cell>
          <cell r="G947" t="e">
            <v>#N/A</v>
          </cell>
          <cell r="H947" t="e">
            <v>#N/A</v>
          </cell>
        </row>
        <row r="948">
          <cell r="B948">
            <v>7031367</v>
          </cell>
          <cell r="C948" t="str">
            <v>Premium - MEA Noël 2024 *sans panneau vitrine</v>
          </cell>
          <cell r="G948" t="e">
            <v>#N/A</v>
          </cell>
          <cell r="H948" t="e">
            <v>#N/A</v>
          </cell>
        </row>
        <row r="949">
          <cell r="B949" t="str">
            <v>AV7031367</v>
          </cell>
          <cell r="C949" t="str">
            <v>Premium - MEA Noël 2024 *sans panneau vitrine*</v>
          </cell>
          <cell r="G949" t="e">
            <v>#N/A</v>
          </cell>
          <cell r="H949" t="e">
            <v>#N/A</v>
          </cell>
        </row>
        <row r="950">
          <cell r="B950">
            <v>7131339</v>
          </cell>
          <cell r="C950" t="str">
            <v>Premium - MEA OnPacks 2024</v>
          </cell>
          <cell r="G950" t="e">
            <v>#N/A</v>
          </cell>
          <cell r="H950" t="e">
            <v>#N/A</v>
          </cell>
        </row>
        <row r="951">
          <cell r="B951" t="str">
            <v>AV7131339</v>
          </cell>
          <cell r="C951" t="str">
            <v>Premium - MEA OnPacks 2024</v>
          </cell>
          <cell r="G951" t="e">
            <v>#N/A</v>
          </cell>
          <cell r="H951" t="e">
            <v>#N/A</v>
          </cell>
        </row>
        <row r="952">
          <cell r="B952" t="str">
            <v>AV7131340</v>
          </cell>
          <cell r="C952" t="str">
            <v>Premium - MEA OnPacks 2024 *sans PLV volumineuse*</v>
          </cell>
          <cell r="G952" t="e">
            <v>#N/A</v>
          </cell>
          <cell r="H952" t="e">
            <v>#N/A</v>
          </cell>
        </row>
        <row r="953">
          <cell r="B953">
            <v>7131340</v>
          </cell>
          <cell r="C953" t="str">
            <v>Premium - MEA OnPacks 2024 *sans PLV volumineuse*</v>
          </cell>
          <cell r="G953" t="e">
            <v>#N/A</v>
          </cell>
          <cell r="H953" t="e">
            <v>#N/A</v>
          </cell>
        </row>
        <row r="954">
          <cell r="B954">
            <v>7131318</v>
          </cell>
          <cell r="C954" t="str">
            <v>Premium - MEA Rituel Pureté</v>
          </cell>
          <cell r="G954" t="e">
            <v>#N/A</v>
          </cell>
          <cell r="H954" t="e">
            <v>#N/A</v>
          </cell>
        </row>
        <row r="955">
          <cell r="B955" t="str">
            <v>AV6131318</v>
          </cell>
          <cell r="C955" t="str">
            <v>Premium - MEA Rituel Pureté</v>
          </cell>
          <cell r="G955" t="e">
            <v>#N/A</v>
          </cell>
          <cell r="H955" t="e">
            <v>#N/A</v>
          </cell>
        </row>
        <row r="956">
          <cell r="B956">
            <v>7021332</v>
          </cell>
          <cell r="C956" t="str">
            <v>Premium - MEA Régénérants 2024</v>
          </cell>
          <cell r="G956" t="e">
            <v>#N/A</v>
          </cell>
          <cell r="H956" t="e">
            <v>#N/A</v>
          </cell>
        </row>
        <row r="957">
          <cell r="B957" t="str">
            <v>AV7021332</v>
          </cell>
          <cell r="C957" t="str">
            <v>Premium - MEA Régénérants 2024</v>
          </cell>
          <cell r="G957" t="e">
            <v>#N/A</v>
          </cell>
          <cell r="H957" t="e">
            <v>#N/A</v>
          </cell>
        </row>
        <row r="958">
          <cell r="B958">
            <v>7021333</v>
          </cell>
          <cell r="C958" t="str">
            <v>Premium - MEA Régénérants 2024 *sans PLV volumineuse*</v>
          </cell>
          <cell r="G958" t="e">
            <v>#N/A</v>
          </cell>
          <cell r="H958" t="e">
            <v>#N/A</v>
          </cell>
        </row>
        <row r="959">
          <cell r="B959" t="str">
            <v>AV7021333</v>
          </cell>
          <cell r="C959" t="str">
            <v>Premium - MEA Régénérants 2024 *sans PLV volumineuse*</v>
          </cell>
          <cell r="G959" t="e">
            <v>#N/A</v>
          </cell>
          <cell r="H959" t="e">
            <v>#N/A</v>
          </cell>
        </row>
        <row r="960">
          <cell r="B960">
            <v>7131348</v>
          </cell>
          <cell r="C960" t="str">
            <v>Premium - MEA Solaires 2024</v>
          </cell>
          <cell r="G960" t="e">
            <v>#N/A</v>
          </cell>
          <cell r="H960" t="e">
            <v>#N/A</v>
          </cell>
        </row>
        <row r="961">
          <cell r="B961" t="str">
            <v>AV7131348</v>
          </cell>
          <cell r="C961" t="str">
            <v>Premium - MEA Solaires 2024</v>
          </cell>
          <cell r="G961" t="e">
            <v>#N/A</v>
          </cell>
          <cell r="H961" t="e">
            <v>#N/A</v>
          </cell>
        </row>
        <row r="962">
          <cell r="B962">
            <v>7131352</v>
          </cell>
          <cell r="C962" t="str">
            <v>Premium - Édition Limitée Anthyllide 2024</v>
          </cell>
          <cell r="G962" t="e">
            <v>#N/A</v>
          </cell>
          <cell r="H962" t="e">
            <v>#N/A</v>
          </cell>
        </row>
        <row r="963">
          <cell r="B963" t="str">
            <v>AV7131352</v>
          </cell>
          <cell r="C963" t="str">
            <v>Premium - Édition Limitée Anthyllide 2024</v>
          </cell>
          <cell r="G963" t="e">
            <v>#N/A</v>
          </cell>
          <cell r="H963" t="e">
            <v>#N/A</v>
          </cell>
        </row>
        <row r="964">
          <cell r="B964" t="str">
            <v>AV7131353</v>
          </cell>
          <cell r="C964" t="str">
            <v>Premium - Édition Limitée Anthyllide 2024 *sans panneau vitrine*</v>
          </cell>
          <cell r="G964" t="e">
            <v>#N/A</v>
          </cell>
          <cell r="H964" t="e">
            <v>#N/A</v>
          </cell>
        </row>
        <row r="965">
          <cell r="B965">
            <v>7131353</v>
          </cell>
          <cell r="C965" t="str">
            <v>Premium - Édition Limitée Anthyllide 2024 *sans panneau* vitrine*</v>
          </cell>
          <cell r="G965" t="e">
            <v>#N/A</v>
          </cell>
          <cell r="H965" t="e">
            <v>#N/A</v>
          </cell>
        </row>
        <row r="966">
          <cell r="B966" t="str">
            <v>AV7031380</v>
          </cell>
          <cell r="C966" t="str">
            <v>Premium spécial retail - MEA Corps 2024</v>
          </cell>
          <cell r="G966" t="e">
            <v>#N/A</v>
          </cell>
          <cell r="H966" t="e">
            <v>#N/A</v>
          </cell>
        </row>
        <row r="967">
          <cell r="B967">
            <v>7031380</v>
          </cell>
          <cell r="C967" t="str">
            <v>Premium spécial retail - MEA Corps 2024</v>
          </cell>
          <cell r="G967" t="e">
            <v>#N/A</v>
          </cell>
          <cell r="H967" t="e">
            <v>#N/A</v>
          </cell>
        </row>
        <row r="968">
          <cell r="B968">
            <v>982050</v>
          </cell>
          <cell r="C968" t="str">
            <v>Prestation de service Installation pour Maquillage</v>
          </cell>
          <cell r="G968" t="e">
            <v>#N/A</v>
          </cell>
          <cell r="H968" t="e">
            <v>#N/A</v>
          </cell>
        </row>
        <row r="969">
          <cell r="B969">
            <v>982051</v>
          </cell>
          <cell r="C969" t="str">
            <v>Prestation de service Livraison &amp; Installation pour Maquillage</v>
          </cell>
          <cell r="G969" t="e">
            <v>#N/A</v>
          </cell>
          <cell r="H969" t="e">
            <v>#N/A</v>
          </cell>
        </row>
        <row r="970">
          <cell r="B970">
            <v>982047</v>
          </cell>
          <cell r="C970" t="str">
            <v>Prestation à la bulle Dr. Hauschka</v>
          </cell>
          <cell r="G970" t="e">
            <v>#N/A</v>
          </cell>
          <cell r="H970" t="e">
            <v>#N/A</v>
          </cell>
        </row>
        <row r="971">
          <cell r="C971" t="str">
            <v>Produit gratuit - MEA Rituel de Soin - Essentiel 2025 *PRE-COMMANDE*</v>
          </cell>
          <cell r="G971" t="e">
            <v>#N/A</v>
          </cell>
          <cell r="H971" t="e">
            <v>#N/A</v>
          </cell>
        </row>
        <row r="972">
          <cell r="C972" t="str">
            <v>Produit gratuit - MEA Rituel de Soin - Premium 2025 *PRE-COMMANDE*</v>
          </cell>
          <cell r="G972" t="e">
            <v>#N/A</v>
          </cell>
          <cell r="H972" t="e">
            <v>#N/A</v>
          </cell>
        </row>
        <row r="973">
          <cell r="C973" t="str">
            <v>Produit gratuit - MEA Rituel de Soin - Référencement 2025</v>
          </cell>
          <cell r="G973" t="e">
            <v>#N/A</v>
          </cell>
          <cell r="H973" t="e">
            <v>#N/A</v>
          </cell>
        </row>
        <row r="974">
          <cell r="C974" t="str">
            <v>Produit gratuit - OP Bains</v>
          </cell>
          <cell r="G974" t="e">
            <v>#N/A</v>
          </cell>
          <cell r="H974" t="e">
            <v>#N/A</v>
          </cell>
        </row>
        <row r="975">
          <cell r="C975" t="str">
            <v>Produit gratuit - OP Bains</v>
          </cell>
          <cell r="G975" t="e">
            <v>#N/A</v>
          </cell>
          <cell r="H975" t="e">
            <v>#N/A</v>
          </cell>
        </row>
        <row r="976">
          <cell r="B976" t="str">
            <v>PREPA</v>
          </cell>
          <cell r="C976" t="str">
            <v>Préparateur</v>
          </cell>
          <cell r="G976" t="e">
            <v>#N/A</v>
          </cell>
          <cell r="H976" t="e">
            <v>#N/A</v>
          </cell>
        </row>
        <row r="977">
          <cell r="B977">
            <v>6100182</v>
          </cell>
          <cell r="C977" t="str">
            <v>Présentoir Bain Moor Lavande Edition Limitée Noël 2023</v>
          </cell>
          <cell r="E977" t="str">
            <v>9999996100182</v>
          </cell>
          <cell r="G977" t="e">
            <v>#N/A</v>
          </cell>
          <cell r="H977" t="e">
            <v>#N/A</v>
          </cell>
        </row>
        <row r="978">
          <cell r="B978">
            <v>6100082</v>
          </cell>
          <cell r="C978" t="str">
            <v>Présentoir Bain Moor Lavande Edition Limitée Noël 2023</v>
          </cell>
          <cell r="D978" t="str">
            <v>410006572</v>
          </cell>
          <cell r="E978" t="str">
            <v>4020829102088</v>
          </cell>
          <cell r="G978" t="e">
            <v>#N/A</v>
          </cell>
          <cell r="H978" t="e">
            <v>#N/A</v>
          </cell>
        </row>
        <row r="979">
          <cell r="B979">
            <v>6200028</v>
          </cell>
          <cell r="C979" t="str">
            <v>Présentoir Crème Purifiante pour le Visage 2024</v>
          </cell>
          <cell r="E979" t="str">
            <v>620002899999</v>
          </cell>
          <cell r="G979" t="e">
            <v>#N/A</v>
          </cell>
          <cell r="H979" t="e">
            <v>#N/A</v>
          </cell>
        </row>
        <row r="980">
          <cell r="B980">
            <v>6100081</v>
          </cell>
          <cell r="C980" t="str">
            <v>Présentoir Crème de Jour à l'Abricot</v>
          </cell>
          <cell r="D980" t="str">
            <v>6100081</v>
          </cell>
          <cell r="E980" t="str">
            <v>9999996100181</v>
          </cell>
          <cell r="G980" t="e">
            <v>#N/A</v>
          </cell>
          <cell r="H980" t="e">
            <v>#N/A</v>
          </cell>
        </row>
        <row r="981">
          <cell r="B981">
            <v>6100060</v>
          </cell>
          <cell r="C981" t="str">
            <v>Présentoir Crème de jour - support vide</v>
          </cell>
          <cell r="D981" t="str">
            <v>410005560</v>
          </cell>
          <cell r="E981" t="str">
            <v>4020829084650</v>
          </cell>
          <cell r="G981" t="e">
            <v>#N/A</v>
          </cell>
          <cell r="H981" t="e">
            <v>#N/A</v>
          </cell>
        </row>
        <row r="982">
          <cell r="B982">
            <v>6100090</v>
          </cell>
          <cell r="C982" t="str">
            <v>Présentoir Crème pour les Mains Édition Limitée Noël 2024</v>
          </cell>
          <cell r="D982" t="str">
            <v>410007032</v>
          </cell>
          <cell r="E982" t="str">
            <v>4020829107328</v>
          </cell>
          <cell r="G982" t="e">
            <v>#N/A</v>
          </cell>
          <cell r="H982" t="e">
            <v>#N/A</v>
          </cell>
        </row>
        <row r="983">
          <cell r="B983">
            <v>6100079</v>
          </cell>
          <cell r="C983" t="str">
            <v>Présentoir Edition Limitée 2023</v>
          </cell>
          <cell r="D983" t="str">
            <v>410006562</v>
          </cell>
          <cell r="E983" t="str">
            <v>4020829099661</v>
          </cell>
          <cell r="G983" t="e">
            <v>#N/A</v>
          </cell>
          <cell r="H983" t="e">
            <v>#N/A</v>
          </cell>
        </row>
        <row r="984">
          <cell r="B984">
            <v>6100086</v>
          </cell>
          <cell r="C984" t="str">
            <v>Présentoir Edition Limitée 2024</v>
          </cell>
          <cell r="D984" t="str">
            <v>410006914</v>
          </cell>
          <cell r="E984" t="str">
            <v>4020829105560</v>
          </cell>
          <cell r="G984" t="e">
            <v>#N/A</v>
          </cell>
          <cell r="H984" t="e">
            <v>#N/A</v>
          </cell>
        </row>
        <row r="985">
          <cell r="B985">
            <v>6100089</v>
          </cell>
          <cell r="C985" t="str">
            <v>Présentoir Essentiels de l'été 2024</v>
          </cell>
          <cell r="D985" t="str">
            <v>6100084</v>
          </cell>
          <cell r="E985" t="str">
            <v>610008999999</v>
          </cell>
          <cell r="G985" t="e">
            <v>#N/A</v>
          </cell>
          <cell r="H985" t="e">
            <v>#N/A</v>
          </cell>
        </row>
        <row r="986">
          <cell r="B986">
            <v>6100084</v>
          </cell>
          <cell r="C986" t="str">
            <v>Présentoir Mains &amp; Lèvres 2023</v>
          </cell>
          <cell r="E986" t="str">
            <v>9999996100084</v>
          </cell>
          <cell r="G986" t="e">
            <v>#N/A</v>
          </cell>
          <cell r="H986" t="e">
            <v>#N/A</v>
          </cell>
        </row>
        <row r="987">
          <cell r="B987">
            <v>6200021</v>
          </cell>
          <cell r="C987" t="str">
            <v>Présentoir Maquillage Rétroéclairé</v>
          </cell>
          <cell r="D987" t="str">
            <v>410006775</v>
          </cell>
          <cell r="E987" t="str">
            <v>4020829103566</v>
          </cell>
          <cell r="G987" t="e">
            <v>#N/A</v>
          </cell>
          <cell r="H987" t="e">
            <v>#N/A</v>
          </cell>
        </row>
        <row r="988">
          <cell r="B988">
            <v>6100091</v>
          </cell>
          <cell r="C988" t="str">
            <v>Présentoir Maquillage Teint Parfait</v>
          </cell>
          <cell r="D988" t="str">
            <v>410007114</v>
          </cell>
          <cell r="E988" t="str">
            <v>4020829108820</v>
          </cell>
          <cell r="G988" t="e">
            <v>#N/A</v>
          </cell>
          <cell r="H988" t="e">
            <v>#N/A</v>
          </cell>
        </row>
        <row r="989">
          <cell r="B989" t="str">
            <v>L4010706</v>
          </cell>
          <cell r="C989" t="str">
            <v>Présentoir Miniature - Masque Purifiant 10 x 10  g - 15% comprise</v>
          </cell>
          <cell r="D989" t="str">
            <v>429000238</v>
          </cell>
          <cell r="E989" t="str">
            <v>4020829007000</v>
          </cell>
          <cell r="G989" t="e">
            <v>#N/A</v>
          </cell>
          <cell r="H989" t="e">
            <v>#N/A</v>
          </cell>
        </row>
        <row r="990">
          <cell r="B990">
            <v>6100085</v>
          </cell>
          <cell r="C990" t="str">
            <v>Présentoir Régénérants Intensifs recto/verso 2024</v>
          </cell>
          <cell r="D990" t="str">
            <v>410006928</v>
          </cell>
          <cell r="E990" t="str">
            <v>4020829105720</v>
          </cell>
          <cell r="G990" t="e">
            <v>#N/A</v>
          </cell>
          <cell r="H990" t="e">
            <v>#N/A</v>
          </cell>
        </row>
        <row r="991">
          <cell r="B991">
            <v>6100001</v>
          </cell>
          <cell r="C991" t="str">
            <v>Présentoir Soin de Nuit vide</v>
          </cell>
          <cell r="D991" t="str">
            <v>410001737</v>
          </cell>
          <cell r="E991" t="str">
            <v>4020829024465</v>
          </cell>
          <cell r="G991" t="e">
            <v>#N/A</v>
          </cell>
          <cell r="H991" t="e">
            <v>#N/A</v>
          </cell>
        </row>
        <row r="992">
          <cell r="B992">
            <v>9010002</v>
          </cell>
          <cell r="C992" t="str">
            <v>Présentoir Soins de Nuit plein - remise 5% comprise</v>
          </cell>
          <cell r="E992" t="str">
            <v>9999999010002</v>
          </cell>
          <cell r="G992" t="e">
            <v>#N/A</v>
          </cell>
          <cell r="H992" t="e">
            <v>#N/A</v>
          </cell>
        </row>
        <row r="993">
          <cell r="B993">
            <v>6100048</v>
          </cell>
          <cell r="C993" t="str">
            <v xml:space="preserve">Présentoir Soins des Ongles vide </v>
          </cell>
          <cell r="D993" t="str">
            <v>410004888</v>
          </cell>
          <cell r="E993" t="str">
            <v>4020829072763</v>
          </cell>
          <cell r="G993" t="e">
            <v>#N/A</v>
          </cell>
          <cell r="H993" t="e">
            <v>#N/A</v>
          </cell>
        </row>
        <row r="994">
          <cell r="B994">
            <v>6100087</v>
          </cell>
          <cell r="C994" t="str">
            <v>Présentoir Solaires 2024</v>
          </cell>
          <cell r="D994" t="str">
            <v>410006847</v>
          </cell>
          <cell r="E994" t="str">
            <v>4020829104808</v>
          </cell>
          <cell r="G994" t="e">
            <v>#N/A</v>
          </cell>
          <cell r="H994" t="e">
            <v>#N/A</v>
          </cell>
        </row>
        <row r="995">
          <cell r="B995">
            <v>6100093</v>
          </cell>
          <cell r="C995" t="str">
            <v>Présentoir Solaires 2025</v>
          </cell>
          <cell r="D995" t="str">
            <v>6100093</v>
          </cell>
          <cell r="E995" t="str">
            <v>6100093999999</v>
          </cell>
          <cell r="G995" t="e">
            <v>#N/A</v>
          </cell>
          <cell r="H995" t="e">
            <v>#N/A</v>
          </cell>
        </row>
        <row r="996">
          <cell r="B996">
            <v>6100045</v>
          </cell>
          <cell r="C996" t="str">
            <v>Présentoir Stick Correcteur vide</v>
          </cell>
          <cell r="D996" t="str">
            <v>410004886</v>
          </cell>
          <cell r="E996" t="str">
            <v>4020829072749</v>
          </cell>
          <cell r="G996" t="e">
            <v>#N/A</v>
          </cell>
          <cell r="H996" t="e">
            <v>#N/A</v>
          </cell>
        </row>
        <row r="997">
          <cell r="B997">
            <v>6100078</v>
          </cell>
          <cell r="C997" t="str">
            <v>Présentoir de comptoir - Alice in Food pour Dr. Hauschka</v>
          </cell>
          <cell r="D997" t="str">
            <v>6100078</v>
          </cell>
          <cell r="E997" t="str">
            <v>9999996100078</v>
          </cell>
          <cell r="G997" t="e">
            <v>#N/A</v>
          </cell>
          <cell r="H997" t="e">
            <v>#N/A</v>
          </cell>
        </row>
        <row r="998">
          <cell r="B998">
            <v>6200029</v>
          </cell>
          <cell r="C998" t="str">
            <v>Présentoir de sol Rituel de Soin 2025 *PRE-COMMANDE*</v>
          </cell>
          <cell r="D998" t="str">
            <v>410007265</v>
          </cell>
          <cell r="E998" t="str">
            <v>4020829112483</v>
          </cell>
          <cell r="G998" t="e">
            <v>#N/A</v>
          </cell>
          <cell r="H998" t="e">
            <v>#N/A</v>
          </cell>
        </row>
        <row r="999">
          <cell r="B999">
            <v>6100088</v>
          </cell>
          <cell r="C999" t="str">
            <v>Présentoir lancement Baumes Sticks Lèvres et Joues</v>
          </cell>
          <cell r="D999" t="str">
            <v>6100088</v>
          </cell>
          <cell r="E999" t="str">
            <v>610008899999</v>
          </cell>
          <cell r="G999" t="e">
            <v>#N/A</v>
          </cell>
          <cell r="H999" t="e">
            <v>#N/A</v>
          </cell>
        </row>
        <row r="1000">
          <cell r="B1000">
            <v>6200022</v>
          </cell>
          <cell r="C1000" t="str">
            <v>Présentoir sur pied Maquillage</v>
          </cell>
          <cell r="D1000" t="str">
            <v>410006776</v>
          </cell>
          <cell r="E1000" t="str">
            <v>4020829103573</v>
          </cell>
          <cell r="G1000" t="e">
            <v>#N/A</v>
          </cell>
          <cell r="H1000" t="e">
            <v>#N/A</v>
          </cell>
        </row>
        <row r="1001">
          <cell r="B1001">
            <v>6100092</v>
          </cell>
          <cell r="C1001" t="str">
            <v>Présentoir Édition Limitée 2025</v>
          </cell>
          <cell r="D1001" t="str">
            <v>410007186</v>
          </cell>
          <cell r="E1001" t="str">
            <v>4020829111127</v>
          </cell>
          <cell r="G1001" t="e">
            <v>#N/A</v>
          </cell>
          <cell r="H1001" t="e">
            <v>#N/A</v>
          </cell>
        </row>
        <row r="1002">
          <cell r="B1002">
            <v>9110002</v>
          </cell>
          <cell r="C1002" t="str">
            <v>Présentoirs produits pour animation maquillage</v>
          </cell>
          <cell r="D1002" t="str">
            <v>410004576</v>
          </cell>
          <cell r="E1002" t="str">
            <v>4020829068803</v>
          </cell>
          <cell r="G1002" t="e">
            <v>#N/A</v>
          </cell>
          <cell r="H1002" t="e">
            <v>#N/A</v>
          </cell>
        </row>
        <row r="1003">
          <cell r="B1003">
            <v>992238</v>
          </cell>
          <cell r="C1003" t="str">
            <v>RFA</v>
          </cell>
          <cell r="G1003" t="e">
            <v>#N/A</v>
          </cell>
          <cell r="H1003" t="e">
            <v>#N/A</v>
          </cell>
        </row>
        <row r="1004">
          <cell r="C1004" t="str">
            <v>Recharger le eWallet</v>
          </cell>
          <cell r="G1004" t="e">
            <v>#N/A</v>
          </cell>
          <cell r="H1004" t="e">
            <v>#N/A</v>
          </cell>
        </row>
        <row r="1005">
          <cell r="B1005">
            <v>982060</v>
          </cell>
          <cell r="C1005" t="str">
            <v>Remboursement Transporteurs</v>
          </cell>
          <cell r="G1005" t="e">
            <v>#N/A</v>
          </cell>
          <cell r="H1005" t="e">
            <v>#N/A</v>
          </cell>
        </row>
        <row r="1006">
          <cell r="B1006" t="str">
            <v>DISC</v>
          </cell>
          <cell r="C1006" t="str">
            <v>Remise</v>
          </cell>
          <cell r="G1006" t="e">
            <v>#N/A</v>
          </cell>
          <cell r="H1006" t="e">
            <v>#N/A</v>
          </cell>
        </row>
        <row r="1007">
          <cell r="B1007">
            <v>982027</v>
          </cell>
          <cell r="C1007" t="str">
            <v>Remise</v>
          </cell>
          <cell r="E1007" t="str">
            <v>9999982027</v>
          </cell>
          <cell r="G1007" t="e">
            <v>#N/A</v>
          </cell>
          <cell r="H1007" t="e">
            <v>#N/A</v>
          </cell>
        </row>
        <row r="1008">
          <cell r="B1008" t="str">
            <v>982027_0</v>
          </cell>
          <cell r="C1008" t="str">
            <v xml:space="preserve">Remise </v>
          </cell>
          <cell r="E1008" t="str">
            <v>999999982027</v>
          </cell>
          <cell r="G1008" t="e">
            <v>#N/A</v>
          </cell>
          <cell r="H1008" t="e">
            <v>#N/A</v>
          </cell>
        </row>
        <row r="1009">
          <cell r="C1009" t="str">
            <v>Remise 10% sur les laits</v>
          </cell>
          <cell r="G1009" t="e">
            <v>#N/A</v>
          </cell>
          <cell r="H1009" t="e">
            <v>#N/A</v>
          </cell>
        </row>
        <row r="1010">
          <cell r="B1010">
            <v>982048</v>
          </cell>
          <cell r="C1010" t="str">
            <v>Remise exceptionnelle sur implantation Maquillage</v>
          </cell>
          <cell r="G1010" t="e">
            <v>#N/A</v>
          </cell>
          <cell r="H1010" t="e">
            <v>#N/A</v>
          </cell>
        </row>
        <row r="1011">
          <cell r="B1011">
            <v>1060250</v>
          </cell>
          <cell r="C1011" t="str">
            <v>Rouge à Lèvres 02 mandevilla</v>
          </cell>
          <cell r="D1011" t="str">
            <v>420005961</v>
          </cell>
          <cell r="E1011" t="str">
            <v>4020829098909</v>
          </cell>
          <cell r="G1011">
            <v>15.59</v>
          </cell>
          <cell r="H1011">
            <v>26.499999999999996</v>
          </cell>
        </row>
        <row r="1012">
          <cell r="B1012">
            <v>1060202</v>
          </cell>
          <cell r="C1012" t="str">
            <v>Rouge à Lèvres 02 mandevilla - Retour Oct 23</v>
          </cell>
          <cell r="D1012" t="str">
            <v>429000665</v>
          </cell>
          <cell r="E1012" t="str">
            <v>4020829044265</v>
          </cell>
          <cell r="G1012" t="e">
            <v>#N/A</v>
          </cell>
          <cell r="H1012" t="e">
            <v>#N/A</v>
          </cell>
        </row>
        <row r="1013">
          <cell r="B1013">
            <v>1060260</v>
          </cell>
          <cell r="C1013" t="str">
            <v>Rouge à Lèvres 02 mandevilla Édition Limitée 2025</v>
          </cell>
          <cell r="D1013" t="str">
            <v>420006534</v>
          </cell>
          <cell r="E1013" t="str">
            <v>4020829111073</v>
          </cell>
          <cell r="G1013" t="e">
            <v>#N/A</v>
          </cell>
          <cell r="H1013" t="e">
            <v>#N/A</v>
          </cell>
        </row>
        <row r="1014">
          <cell r="B1014">
            <v>8060260</v>
          </cell>
          <cell r="C1014" t="str">
            <v>Rouge à Lèvres 02 mandevilla Édition Limitée 2025 *PRE-SERIE*</v>
          </cell>
          <cell r="E1014" t="str">
            <v>8060260999999</v>
          </cell>
          <cell r="G1014" t="e">
            <v>#N/A</v>
          </cell>
          <cell r="H1014" t="e">
            <v>#N/A</v>
          </cell>
        </row>
        <row r="1015">
          <cell r="B1015">
            <v>1060251</v>
          </cell>
          <cell r="C1015" t="str">
            <v>Rouge à Lèvres 03 camellia</v>
          </cell>
          <cell r="D1015" t="str">
            <v>420005963</v>
          </cell>
          <cell r="E1015" t="str">
            <v>4020829098923</v>
          </cell>
          <cell r="G1015">
            <v>15.59</v>
          </cell>
          <cell r="H1015">
            <v>26.499999999999996</v>
          </cell>
        </row>
        <row r="1016">
          <cell r="B1016">
            <v>1060252</v>
          </cell>
          <cell r="C1016" t="str">
            <v>Rouge à Lèvres 06 azalea</v>
          </cell>
          <cell r="D1016" t="str">
            <v>420005965</v>
          </cell>
          <cell r="E1016" t="str">
            <v>4020829098947</v>
          </cell>
          <cell r="G1016">
            <v>15.59</v>
          </cell>
          <cell r="H1016">
            <v>26.499999999999996</v>
          </cell>
        </row>
        <row r="1017">
          <cell r="B1017">
            <v>1060207</v>
          </cell>
          <cell r="C1017" t="str">
            <v>Rouge à Lèvres 07 orphin</v>
          </cell>
          <cell r="D1017" t="str">
            <v>429000675</v>
          </cell>
          <cell r="E1017" t="str">
            <v>4020829044319</v>
          </cell>
          <cell r="G1017" t="e">
            <v>#N/A</v>
          </cell>
          <cell r="H1017" t="e">
            <v>#N/A</v>
          </cell>
        </row>
        <row r="1018">
          <cell r="B1018">
            <v>1060253</v>
          </cell>
          <cell r="C1018" t="str">
            <v>Rouge à Lèvres 07 orphin</v>
          </cell>
          <cell r="D1018" t="str">
            <v>420005967</v>
          </cell>
          <cell r="E1018" t="str">
            <v>4020829098961</v>
          </cell>
          <cell r="G1018">
            <v>15.59</v>
          </cell>
          <cell r="H1018">
            <v>26.499999999999996</v>
          </cell>
        </row>
        <row r="1019">
          <cell r="B1019">
            <v>1060254</v>
          </cell>
          <cell r="C1019" t="str">
            <v>Rouge à Lèvres 10 dahlia</v>
          </cell>
          <cell r="D1019" t="str">
            <v>420005969</v>
          </cell>
          <cell r="E1019" t="str">
            <v>4020829098985</v>
          </cell>
          <cell r="G1019">
            <v>15.59</v>
          </cell>
          <cell r="H1019">
            <v>26.499999999999996</v>
          </cell>
        </row>
        <row r="1020">
          <cell r="B1020">
            <v>1060255</v>
          </cell>
          <cell r="C1020" t="str">
            <v>Rouge à Lèvres 11 amaryllis</v>
          </cell>
          <cell r="D1020" t="str">
            <v>420005971</v>
          </cell>
          <cell r="E1020" t="str">
            <v>4020829099005</v>
          </cell>
          <cell r="G1020">
            <v>15.59</v>
          </cell>
          <cell r="H1020">
            <v>26.499999999999996</v>
          </cell>
        </row>
        <row r="1021">
          <cell r="B1021">
            <v>1060212</v>
          </cell>
          <cell r="C1021" t="str">
            <v>Rouge à Lèvres 12 paeonia - Dernières unités</v>
          </cell>
          <cell r="D1021" t="str">
            <v>429000685</v>
          </cell>
          <cell r="E1021" t="str">
            <v>4020829044364</v>
          </cell>
          <cell r="G1021" t="e">
            <v>#N/A</v>
          </cell>
          <cell r="H1021" t="e">
            <v>#N/A</v>
          </cell>
        </row>
        <row r="1022">
          <cell r="B1022">
            <v>1060256</v>
          </cell>
          <cell r="C1022" t="str">
            <v>Rouge à Lèvres 13 bromelia</v>
          </cell>
          <cell r="D1022" t="str">
            <v>420005973</v>
          </cell>
          <cell r="E1022" t="str">
            <v>4020829099029</v>
          </cell>
          <cell r="G1022">
            <v>15.59</v>
          </cell>
          <cell r="H1022">
            <v>26.499999999999996</v>
          </cell>
        </row>
        <row r="1023">
          <cell r="B1023">
            <v>1060213</v>
          </cell>
          <cell r="C1023" t="str">
            <v>Rouge à Lèvres 13 bromelia</v>
          </cell>
          <cell r="D1023" t="str">
            <v>429000687</v>
          </cell>
          <cell r="E1023" t="str">
            <v>4020829044371</v>
          </cell>
          <cell r="G1023" t="e">
            <v>#N/A</v>
          </cell>
          <cell r="H1023" t="e">
            <v>#N/A</v>
          </cell>
        </row>
        <row r="1024">
          <cell r="B1024">
            <v>1060257</v>
          </cell>
          <cell r="C1024" t="str">
            <v>Rouge à Lèvres 14 caralluma</v>
          </cell>
          <cell r="D1024" t="str">
            <v>420005975</v>
          </cell>
          <cell r="E1024" t="str">
            <v>4020829099043</v>
          </cell>
          <cell r="G1024">
            <v>15.59</v>
          </cell>
          <cell r="H1024">
            <v>26.499999999999996</v>
          </cell>
        </row>
        <row r="1025">
          <cell r="B1025">
            <v>1060214</v>
          </cell>
          <cell r="C1025" t="str">
            <v>Rouge à Lèvres 14 caralluma - Dernières unités avant retour Oct 23</v>
          </cell>
          <cell r="D1025" t="str">
            <v>429000689</v>
          </cell>
          <cell r="E1025" t="str">
            <v>4020829044388</v>
          </cell>
          <cell r="G1025" t="e">
            <v>#N/A</v>
          </cell>
          <cell r="H1025" t="e">
            <v>#N/A</v>
          </cell>
        </row>
        <row r="1026">
          <cell r="B1026">
            <v>1060241</v>
          </cell>
          <cell r="C1026" t="str">
            <v>Rouge à Lèvres 21 Digitalis - Dernières unités</v>
          </cell>
          <cell r="D1026" t="str">
            <v>420004885</v>
          </cell>
          <cell r="E1026" t="str">
            <v>4020829083943</v>
          </cell>
          <cell r="G1026" t="e">
            <v>#N/A</v>
          </cell>
          <cell r="H1026" t="e">
            <v>#N/A</v>
          </cell>
        </row>
        <row r="1027">
          <cell r="B1027">
            <v>1060258</v>
          </cell>
          <cell r="C1027" t="str">
            <v>Rouge à Lèvres 22 Calibrachoa</v>
          </cell>
          <cell r="D1027" t="str">
            <v>420005977</v>
          </cell>
          <cell r="E1027" t="str">
            <v>4020829099067</v>
          </cell>
          <cell r="G1027">
            <v>15.59</v>
          </cell>
          <cell r="H1027">
            <v>26.499999999999996</v>
          </cell>
        </row>
        <row r="1028">
          <cell r="B1028">
            <v>1060243</v>
          </cell>
          <cell r="C1028" t="str">
            <v>Rouge à Lèvres 23 Chocamocha - Dernières unités</v>
          </cell>
          <cell r="D1028" t="str">
            <v>420004887</v>
          </cell>
          <cell r="E1028" t="str">
            <v>4020829083967</v>
          </cell>
          <cell r="G1028" t="e">
            <v>#N/A</v>
          </cell>
          <cell r="H1028" t="e">
            <v>#N/A</v>
          </cell>
        </row>
        <row r="1029">
          <cell r="B1029">
            <v>1060244</v>
          </cell>
          <cell r="C1029" t="str">
            <v>Rouge à Lèvres 24 Oyat - Dernières unités</v>
          </cell>
          <cell r="D1029" t="str">
            <v>420004888</v>
          </cell>
          <cell r="E1029" t="str">
            <v>4020829083974</v>
          </cell>
          <cell r="G1029" t="e">
            <v>#N/A</v>
          </cell>
          <cell r="H1029" t="e">
            <v>#N/A</v>
          </cell>
        </row>
        <row r="1030">
          <cell r="B1030">
            <v>1060245</v>
          </cell>
          <cell r="C1030" t="str">
            <v>Rouge à Lèvres 25 Esparcette - Dernières unités</v>
          </cell>
          <cell r="D1030" t="str">
            <v>420004889</v>
          </cell>
          <cell r="E1030" t="str">
            <v>4020829083981</v>
          </cell>
          <cell r="G1030" t="e">
            <v>#N/A</v>
          </cell>
          <cell r="H1030" t="e">
            <v>#N/A</v>
          </cell>
        </row>
        <row r="1031">
          <cell r="B1031">
            <v>1060259</v>
          </cell>
          <cell r="C1031" t="str">
            <v>Rouge à Lèvres 26 Hibiscus</v>
          </cell>
          <cell r="D1031" t="str">
            <v>420005979</v>
          </cell>
          <cell r="E1031" t="str">
            <v>4020829099081</v>
          </cell>
          <cell r="G1031">
            <v>15.59</v>
          </cell>
          <cell r="H1031">
            <v>26.499999999999996</v>
          </cell>
        </row>
        <row r="1032">
          <cell r="B1032">
            <v>1060246</v>
          </cell>
          <cell r="C1032" t="str">
            <v>Rouge à Lèvres 26 Hibiscus - Dernières unités avant retour Oct 23</v>
          </cell>
          <cell r="D1032" t="str">
            <v>420004890</v>
          </cell>
          <cell r="E1032" t="str">
            <v>4020829083998</v>
          </cell>
          <cell r="G1032" t="e">
            <v>#N/A</v>
          </cell>
          <cell r="H1032" t="e">
            <v>#N/A</v>
          </cell>
        </row>
        <row r="1033">
          <cell r="B1033">
            <v>6500154</v>
          </cell>
          <cell r="C1033" t="str">
            <v>Rouleau de stickers QR code Crème Purifiante pour le Visage</v>
          </cell>
          <cell r="D1033" t="str">
            <v>6500154</v>
          </cell>
          <cell r="E1033" t="str">
            <v>650015499999</v>
          </cell>
          <cell r="G1033" t="e">
            <v>#N/A</v>
          </cell>
          <cell r="H1033" t="e">
            <v>#N/A</v>
          </cell>
        </row>
        <row r="1034">
          <cell r="B1034">
            <v>982029</v>
          </cell>
          <cell r="C1034" t="str">
            <v>RÉGULARISATION TVA 19,60%</v>
          </cell>
          <cell r="E1034" t="str">
            <v>999999982029</v>
          </cell>
          <cell r="G1034" t="e">
            <v>#N/A</v>
          </cell>
          <cell r="H1034" t="e">
            <v>#N/A</v>
          </cell>
        </row>
        <row r="1035">
          <cell r="B1035">
            <v>7131317</v>
          </cell>
          <cell r="C1035" t="str">
            <v>Réassort - MEA Crème de Jour à l'Abricot</v>
          </cell>
          <cell r="G1035" t="e">
            <v>#N/A</v>
          </cell>
          <cell r="H1035" t="e">
            <v>#N/A</v>
          </cell>
        </row>
        <row r="1036">
          <cell r="B1036" t="str">
            <v>AV7131317</v>
          </cell>
          <cell r="C1036" t="str">
            <v>Réassort - MEA Crème de Jour à l'Abricot</v>
          </cell>
          <cell r="G1036" t="e">
            <v>#N/A</v>
          </cell>
          <cell r="H1036" t="e">
            <v>#N/A</v>
          </cell>
        </row>
        <row r="1037">
          <cell r="B1037" t="str">
            <v>AV7021338</v>
          </cell>
          <cell r="C1037" t="str">
            <v>Réassort - Nouveautés Régénérants Intensifs 2024</v>
          </cell>
          <cell r="G1037" t="e">
            <v>#N/A</v>
          </cell>
          <cell r="H1037" t="e">
            <v>#N/A</v>
          </cell>
        </row>
        <row r="1038">
          <cell r="B1038">
            <v>7021338</v>
          </cell>
          <cell r="C1038" t="str">
            <v>Réassort - Nouveautés Régénérants Intensifs 2024</v>
          </cell>
          <cell r="G1038" t="e">
            <v>#N/A</v>
          </cell>
          <cell r="H1038" t="e">
            <v>#N/A</v>
          </cell>
        </row>
        <row r="1039">
          <cell r="B1039" t="str">
            <v>AV7131359</v>
          </cell>
          <cell r="C1039" t="str">
            <v>Référencement - Lancement Baumes Stick Lèvres et Joues</v>
          </cell>
          <cell r="G1039" t="e">
            <v>#N/A</v>
          </cell>
          <cell r="H1039" t="e">
            <v>#N/A</v>
          </cell>
        </row>
        <row r="1040">
          <cell r="B1040">
            <v>7131359</v>
          </cell>
          <cell r="C1040" t="str">
            <v>Référencement - Lancement Baumes Stick Lèvres et Joues</v>
          </cell>
          <cell r="G1040" t="e">
            <v>#N/A</v>
          </cell>
          <cell r="H1040" t="e">
            <v>#N/A</v>
          </cell>
        </row>
        <row r="1041">
          <cell r="B1041" t="str">
            <v>AV7131360</v>
          </cell>
          <cell r="C1041" t="str">
            <v>Référencement - Lancement Baumes Stick Lèvres et Joues *sans panneau vitrine*</v>
          </cell>
          <cell r="G1041" t="e">
            <v>#N/A</v>
          </cell>
          <cell r="H1041" t="e">
            <v>#N/A</v>
          </cell>
        </row>
        <row r="1042">
          <cell r="B1042">
            <v>7131360</v>
          </cell>
          <cell r="C1042" t="str">
            <v>Référencement - Lancement Baumes Stick Lèvres et Joues *sans panneau vitrine*</v>
          </cell>
          <cell r="G1042" t="e">
            <v>#N/A</v>
          </cell>
          <cell r="H1042" t="e">
            <v>#N/A</v>
          </cell>
        </row>
        <row r="1043">
          <cell r="B1043" t="str">
            <v>AV7131356</v>
          </cell>
          <cell r="C1043" t="str">
            <v>Référencement - MEA Essentiels de l'été</v>
          </cell>
          <cell r="G1043" t="e">
            <v>#N/A</v>
          </cell>
          <cell r="H1043" t="e">
            <v>#N/A</v>
          </cell>
        </row>
        <row r="1044">
          <cell r="B1044">
            <v>7131356</v>
          </cell>
          <cell r="C1044" t="str">
            <v>Référencement - MEA Essentiels de l'été</v>
          </cell>
          <cell r="G1044" t="e">
            <v>#N/A</v>
          </cell>
          <cell r="H1044" t="e">
            <v>#N/A</v>
          </cell>
        </row>
        <row r="1045">
          <cell r="B1045" t="str">
            <v>AV7131343</v>
          </cell>
          <cell r="C1045" t="str">
            <v>Référencement - MEA OnPacks 2024</v>
          </cell>
          <cell r="G1045" t="e">
            <v>#N/A</v>
          </cell>
          <cell r="H1045" t="e">
            <v>#N/A</v>
          </cell>
        </row>
        <row r="1046">
          <cell r="B1046">
            <v>7131343</v>
          </cell>
          <cell r="C1046" t="str">
            <v>Référencement - MEA OnPacks 2024</v>
          </cell>
          <cell r="G1046" t="e">
            <v>#N/A</v>
          </cell>
          <cell r="H1046" t="e">
            <v>#N/A</v>
          </cell>
        </row>
        <row r="1047">
          <cell r="B1047">
            <v>7021337</v>
          </cell>
          <cell r="C1047" t="str">
            <v>Référencement - Nouveautés Régénérants Intensifs 2024 *sans PLV volumineuse*</v>
          </cell>
          <cell r="G1047" t="e">
            <v>#N/A</v>
          </cell>
          <cell r="H1047" t="e">
            <v>#N/A</v>
          </cell>
        </row>
        <row r="1048">
          <cell r="B1048" t="str">
            <v>AV7021337</v>
          </cell>
          <cell r="C1048" t="str">
            <v>Référencement - Nouveautés Régénérants Intensifs 2024 *sans PLV volumineuse*</v>
          </cell>
          <cell r="G1048" t="e">
            <v>#N/A</v>
          </cell>
          <cell r="H1048" t="e">
            <v>#N/A</v>
          </cell>
        </row>
        <row r="1049">
          <cell r="B1049">
            <v>7021336</v>
          </cell>
          <cell r="C1049" t="str">
            <v>Référencement - Régénérants Intensifs 2024</v>
          </cell>
          <cell r="G1049" t="e">
            <v>#N/A</v>
          </cell>
          <cell r="H1049" t="e">
            <v>#N/A</v>
          </cell>
        </row>
        <row r="1050">
          <cell r="B1050" t="str">
            <v>AV7021336</v>
          </cell>
          <cell r="C1050" t="str">
            <v>Référencement - Régénérants Intensifs 2024</v>
          </cell>
          <cell r="G1050" t="e">
            <v>#N/A</v>
          </cell>
          <cell r="H1050" t="e">
            <v>#N/A</v>
          </cell>
        </row>
        <row r="1051">
          <cell r="B1051" t="str">
            <v>AV7031327</v>
          </cell>
          <cell r="C1051" t="str">
            <v>Référencement Lait pour le Corps Bergamote Citronnelle</v>
          </cell>
          <cell r="G1051" t="e">
            <v>#N/A</v>
          </cell>
          <cell r="H1051" t="e">
            <v>#N/A</v>
          </cell>
        </row>
        <row r="1052">
          <cell r="B1052">
            <v>6500103</v>
          </cell>
          <cell r="C1052" t="str">
            <v xml:space="preserve">Réglette Ajustable Gamme Med </v>
          </cell>
          <cell r="D1052" t="str">
            <v>6500103</v>
          </cell>
          <cell r="E1052" t="str">
            <v>9999996500103</v>
          </cell>
          <cell r="G1052" t="e">
            <v>#N/A</v>
          </cell>
          <cell r="H1052" t="e">
            <v>#N/A</v>
          </cell>
        </row>
        <row r="1053">
          <cell r="B1053">
            <v>6500063</v>
          </cell>
          <cell r="C1053" t="str">
            <v>Réglette pour étagère vide avec insert</v>
          </cell>
          <cell r="D1053" t="str">
            <v>410004493</v>
          </cell>
          <cell r="E1053" t="str">
            <v>9999996500063</v>
          </cell>
          <cell r="G1053" t="e">
            <v>#N/A</v>
          </cell>
          <cell r="H1053" t="e">
            <v>#N/A</v>
          </cell>
        </row>
        <row r="1054">
          <cell r="B1054">
            <v>6500138</v>
          </cell>
          <cell r="C1054" t="str">
            <v>Réglette tiroir pour présentoir actuel mis à jour</v>
          </cell>
          <cell r="D1054" t="str">
            <v>6500138</v>
          </cell>
          <cell r="E1054" t="str">
            <v>9999996500138</v>
          </cell>
          <cell r="G1054" t="e">
            <v>#N/A</v>
          </cell>
          <cell r="H1054" t="e">
            <v>#N/A</v>
          </cell>
        </row>
        <row r="1055">
          <cell r="B1055">
            <v>982028</v>
          </cell>
          <cell r="C1055" t="str">
            <v>Régularisation remise</v>
          </cell>
          <cell r="E1055" t="str">
            <v>999999982028</v>
          </cell>
          <cell r="G1055" t="e">
            <v>#N/A</v>
          </cell>
          <cell r="H1055" t="e">
            <v>#N/A</v>
          </cell>
        </row>
        <row r="1056">
          <cell r="B1056">
            <v>6600001</v>
          </cell>
          <cell r="C1056" t="str">
            <v>Sac Dr.Hauschka grand modèle</v>
          </cell>
          <cell r="D1056" t="str">
            <v>410004932</v>
          </cell>
          <cell r="E1056" t="str">
            <v>4020829073623</v>
          </cell>
          <cell r="G1056" t="e">
            <v>#N/A</v>
          </cell>
          <cell r="H1056" t="e">
            <v>#N/A</v>
          </cell>
        </row>
        <row r="1057">
          <cell r="B1057">
            <v>6600002</v>
          </cell>
          <cell r="C1057" t="str">
            <v>Sac Dr.Hauschka petit modèle</v>
          </cell>
          <cell r="D1057" t="str">
            <v>410004933</v>
          </cell>
          <cell r="E1057" t="str">
            <v>4020829073630</v>
          </cell>
          <cell r="G1057" t="e">
            <v>#N/A</v>
          </cell>
          <cell r="H1057" t="e">
            <v>#N/A</v>
          </cell>
        </row>
        <row r="1058">
          <cell r="B1058">
            <v>1011042</v>
          </cell>
          <cell r="C1058" t="str">
            <v>Sac Les Essentiels de l'Eté - Dr. Hauschka x Laure de Sagazan - 10%</v>
          </cell>
          <cell r="E1058" t="str">
            <v>3770026497418</v>
          </cell>
          <cell r="G1058" t="e">
            <v>#N/A</v>
          </cell>
          <cell r="H1058" t="e">
            <v>#N/A</v>
          </cell>
        </row>
        <row r="1059">
          <cell r="B1059">
            <v>6600043</v>
          </cell>
          <cell r="C1059" t="str">
            <v>Sac cadeau Noël 2024</v>
          </cell>
          <cell r="D1059" t="str">
            <v>410007028</v>
          </cell>
          <cell r="E1059" t="str">
            <v>4020829107281</v>
          </cell>
          <cell r="G1059" t="e">
            <v>#N/A</v>
          </cell>
          <cell r="H1059" t="e">
            <v>#N/A</v>
          </cell>
        </row>
        <row r="1060">
          <cell r="B1060">
            <v>6600045</v>
          </cell>
          <cell r="C1060" t="str">
            <v>Sac vide Laure de Sagazan</v>
          </cell>
          <cell r="E1060" t="str">
            <v>66000459999</v>
          </cell>
          <cell r="G1060" t="e">
            <v>#N/A</v>
          </cell>
          <cell r="H1060" t="e">
            <v>#N/A</v>
          </cell>
        </row>
        <row r="1061">
          <cell r="B1061">
            <v>992053</v>
          </cell>
          <cell r="C1061" t="str">
            <v>Sacoche marmotte de prospection</v>
          </cell>
          <cell r="D1061" t="str">
            <v>101336599</v>
          </cell>
          <cell r="E1061" t="str">
            <v>992053999999</v>
          </cell>
          <cell r="G1061" t="e">
            <v>#N/A</v>
          </cell>
          <cell r="H1061" t="e">
            <v>#N/A</v>
          </cell>
        </row>
        <row r="1062">
          <cell r="B1062">
            <v>2080426</v>
          </cell>
          <cell r="C1062" t="str">
            <v>Serviette de toilette 50 x 100 cm</v>
          </cell>
          <cell r="D1062" t="str">
            <v>2080426</v>
          </cell>
          <cell r="E1062" t="str">
            <v>9999992080426</v>
          </cell>
          <cell r="G1062">
            <v>15.982303999999999</v>
          </cell>
          <cell r="H1062" t="e">
            <v>#N/A</v>
          </cell>
        </row>
        <row r="1063">
          <cell r="B1063" t="str">
            <v>SETANIM</v>
          </cell>
          <cell r="C1063" t="str">
            <v>Set Animation Fluide</v>
          </cell>
          <cell r="G1063" t="e">
            <v>#N/A</v>
          </cell>
          <cell r="H1063" t="e">
            <v>#N/A</v>
          </cell>
        </row>
        <row r="1064">
          <cell r="B1064">
            <v>6300176</v>
          </cell>
          <cell r="C1064" t="str">
            <v>Set de couvertures présentoir sur pied Maquillage</v>
          </cell>
          <cell r="D1064" t="str">
            <v>6300176</v>
          </cell>
          <cell r="E1064" t="str">
            <v>99996300176</v>
          </cell>
          <cell r="G1064" t="e">
            <v>#N/A</v>
          </cell>
          <cell r="H1064" t="e">
            <v>#N/A</v>
          </cell>
        </row>
        <row r="1065">
          <cell r="B1065">
            <v>6300127</v>
          </cell>
          <cell r="C1065" t="str">
            <v>Set emballages vides</v>
          </cell>
          <cell r="D1065" t="str">
            <v>6300127</v>
          </cell>
          <cell r="E1065" t="str">
            <v>9999996300127</v>
          </cell>
          <cell r="G1065" t="e">
            <v>#N/A</v>
          </cell>
          <cell r="H1065" t="e">
            <v>#N/A</v>
          </cell>
        </row>
        <row r="1066">
          <cell r="B1066">
            <v>1040308</v>
          </cell>
          <cell r="C1066" t="str">
            <v>Shampooing - 150 ml</v>
          </cell>
          <cell r="D1066" t="str">
            <v>420004436</v>
          </cell>
          <cell r="E1066" t="str">
            <v>4020829077430</v>
          </cell>
          <cell r="G1066">
            <v>12.24262185833968</v>
          </cell>
          <cell r="H1066">
            <v>20.804455445544555</v>
          </cell>
        </row>
        <row r="1067">
          <cell r="B1067">
            <v>1050501</v>
          </cell>
          <cell r="C1067" t="str">
            <v>Shampooing à la Ficoïde à Cristaux - 150 ml</v>
          </cell>
          <cell r="D1067" t="str">
            <v>420004962</v>
          </cell>
          <cell r="E1067" t="str">
            <v>4020829085756</v>
          </cell>
          <cell r="G1067">
            <v>13.47</v>
          </cell>
          <cell r="H1067">
            <v>22.9</v>
          </cell>
        </row>
        <row r="1068">
          <cell r="B1068">
            <v>1850502</v>
          </cell>
          <cell r="C1068" t="str">
            <v>Shampooing à la Ficoïde à Cristaux - 150 ml*DLV 11/24*-15 %*</v>
          </cell>
          <cell r="E1068" t="str">
            <v>105050299999</v>
          </cell>
          <cell r="G1068" t="e">
            <v>#N/A</v>
          </cell>
          <cell r="H1068" t="e">
            <v>#N/A</v>
          </cell>
        </row>
        <row r="1069">
          <cell r="B1069">
            <v>1050502</v>
          </cell>
          <cell r="C1069" t="str">
            <v>Shampooing-Crème au Rhassoul - 150 ml</v>
          </cell>
          <cell r="D1069" t="str">
            <v>420004965</v>
          </cell>
          <cell r="E1069" t="str">
            <v>4020829085787</v>
          </cell>
          <cell r="G1069">
            <v>15.349999999999998</v>
          </cell>
          <cell r="H1069">
            <v>26.099999999999998</v>
          </cell>
        </row>
        <row r="1070">
          <cell r="B1070" t="str">
            <v>9F37</v>
          </cell>
          <cell r="C1070" t="str">
            <v>Soin Future Maman</v>
          </cell>
          <cell r="G1070" t="e">
            <v>#N/A</v>
          </cell>
          <cell r="H1070" t="e">
            <v>#N/A</v>
          </cell>
        </row>
        <row r="1071">
          <cell r="B1071" t="str">
            <v>9F36</v>
          </cell>
          <cell r="C1071" t="str">
            <v>Soin Légèreté de la Tête</v>
          </cell>
          <cell r="G1071" t="e">
            <v>#N/A</v>
          </cell>
          <cell r="H1071" t="e">
            <v>#N/A</v>
          </cell>
        </row>
        <row r="1072">
          <cell r="B1072" t="str">
            <v>9F34</v>
          </cell>
          <cell r="C1072" t="str">
            <v>Soin Relaxant pour le Corps Dr. Hauschka - 1ère personne</v>
          </cell>
          <cell r="G1072" t="e">
            <v>#N/A</v>
          </cell>
          <cell r="H1072" t="e">
            <v>#N/A</v>
          </cell>
        </row>
        <row r="1073">
          <cell r="B1073" t="str">
            <v>9F34-3</v>
          </cell>
          <cell r="C1073" t="str">
            <v>Soin Relaxant pour le Corps Dr. Hauschka - 2ème personne</v>
          </cell>
          <cell r="G1073" t="e">
            <v>#N/A</v>
          </cell>
          <cell r="H1073" t="e">
            <v>#N/A</v>
          </cell>
        </row>
        <row r="1074">
          <cell r="B1074" t="str">
            <v>9F38</v>
          </cell>
          <cell r="C1074" t="str">
            <v>Soin Signature Maison Elle</v>
          </cell>
          <cell r="G1074" t="e">
            <v>#N/A</v>
          </cell>
          <cell r="H1074" t="e">
            <v>#N/A</v>
          </cell>
        </row>
        <row r="1075">
          <cell r="B1075">
            <v>1050301</v>
          </cell>
          <cell r="C1075" t="str">
            <v>Soin des Lèvres - 5 ml</v>
          </cell>
          <cell r="D1075" t="str">
            <v>420003944</v>
          </cell>
          <cell r="E1075" t="str">
            <v>4020829069329</v>
          </cell>
          <cell r="G1075">
            <v>7.410000000000001</v>
          </cell>
          <cell r="H1075">
            <v>12.600000000000001</v>
          </cell>
        </row>
        <row r="1076">
          <cell r="C1076" t="str">
            <v>Soin du Corps Initiation</v>
          </cell>
          <cell r="G1076" t="e">
            <v>#N/A</v>
          </cell>
          <cell r="H1076" t="e">
            <v>#N/A</v>
          </cell>
        </row>
        <row r="1077">
          <cell r="B1077" t="str">
            <v>9F04</v>
          </cell>
          <cell r="C1077" t="str">
            <v>Soin du Visage Dr. Hauschka - 1ère personne</v>
          </cell>
          <cell r="E1077" t="str">
            <v>999741887</v>
          </cell>
          <cell r="G1077" t="e">
            <v>#N/A</v>
          </cell>
          <cell r="H1077" t="e">
            <v>#N/A</v>
          </cell>
        </row>
        <row r="1078">
          <cell r="B1078" t="str">
            <v>9F04-2</v>
          </cell>
          <cell r="C1078" t="str">
            <v>Soin du Visage Dr. Hauschka - 2ème personne</v>
          </cell>
          <cell r="G1078" t="e">
            <v>#N/A</v>
          </cell>
          <cell r="H1078" t="e">
            <v>#N/A</v>
          </cell>
        </row>
        <row r="1079">
          <cell r="C1079" t="str">
            <v>Soin plénitude</v>
          </cell>
          <cell r="G1079" t="e">
            <v>#N/A</v>
          </cell>
          <cell r="H1079" t="e">
            <v>#N/A</v>
          </cell>
        </row>
        <row r="1080">
          <cell r="B1080">
            <v>9110004</v>
          </cell>
          <cell r="C1080" t="str">
            <v>Sous mains pour animation maquillage</v>
          </cell>
          <cell r="D1080" t="str">
            <v>W410004575</v>
          </cell>
          <cell r="E1080" t="str">
            <v>4020829068797</v>
          </cell>
          <cell r="G1080" t="e">
            <v>#N/A</v>
          </cell>
          <cell r="H1080" t="e">
            <v>#N/A</v>
          </cell>
        </row>
        <row r="1081">
          <cell r="B1081">
            <v>1010406</v>
          </cell>
          <cell r="C1081" t="str">
            <v>Stick Correcteur 01 - 1.9 g</v>
          </cell>
          <cell r="D1081" t="str">
            <v>420005649</v>
          </cell>
          <cell r="E1081" t="str">
            <v>4020829095014</v>
          </cell>
          <cell r="G1081">
            <v>11.473015873015875</v>
          </cell>
          <cell r="H1081">
            <v>19.5</v>
          </cell>
        </row>
        <row r="1082">
          <cell r="B1082">
            <v>1010407</v>
          </cell>
          <cell r="C1082" t="str">
            <v>Stick Correcteur 02 - 1.9 g</v>
          </cell>
          <cell r="D1082" t="str">
            <v>420005650</v>
          </cell>
          <cell r="E1082" t="str">
            <v>4020829095021</v>
          </cell>
          <cell r="G1082">
            <v>11.473015873015875</v>
          </cell>
          <cell r="H1082">
            <v>19.5</v>
          </cell>
        </row>
        <row r="1083">
          <cell r="B1083">
            <v>1810601</v>
          </cell>
          <cell r="C1083" t="str">
            <v>Stick Eclat des Lèvres - 4,9 g</v>
          </cell>
          <cell r="D1083" t="str">
            <v>W1810601</v>
          </cell>
          <cell r="E1083" t="str">
            <v>9999991810601</v>
          </cell>
          <cell r="G1083" t="e">
            <v>#N/A</v>
          </cell>
          <cell r="H1083" t="e">
            <v>#N/A</v>
          </cell>
        </row>
        <row r="1084">
          <cell r="B1084">
            <v>1010601</v>
          </cell>
          <cell r="C1084" t="str">
            <v>Stick Eclat des Lèvres - 4,9 g</v>
          </cell>
          <cell r="D1084" t="str">
            <v>429000091</v>
          </cell>
          <cell r="E1084" t="str">
            <v>4020829014374</v>
          </cell>
          <cell r="G1084">
            <v>6.82</v>
          </cell>
          <cell r="H1084">
            <v>11.6</v>
          </cell>
        </row>
        <row r="1085">
          <cell r="B1085">
            <v>6500105</v>
          </cell>
          <cell r="C1085" t="str">
            <v>Sticker institutionnel</v>
          </cell>
          <cell r="D1085" t="str">
            <v>6500105</v>
          </cell>
          <cell r="E1085" t="str">
            <v>9999996500105</v>
          </cell>
          <cell r="G1085" t="e">
            <v>#N/A</v>
          </cell>
          <cell r="H1085" t="e">
            <v>#N/A</v>
          </cell>
        </row>
        <row r="1086">
          <cell r="B1086">
            <v>6500141</v>
          </cell>
          <cell r="C1086" t="str">
            <v>Sticker vitrine Régénérants Intensifs 2024</v>
          </cell>
          <cell r="D1086" t="str">
            <v>410006950</v>
          </cell>
          <cell r="E1086" t="str">
            <v>4020829105898</v>
          </cell>
          <cell r="G1086" t="e">
            <v>#N/A</v>
          </cell>
          <cell r="H1086" t="e">
            <v>#N/A</v>
          </cell>
        </row>
        <row r="1087">
          <cell r="B1087">
            <v>6500069</v>
          </cell>
          <cell r="C1087" t="str">
            <v>Stop Rayon Dr. Hauschka Institutionnel</v>
          </cell>
          <cell r="D1087" t="str">
            <v>6500069</v>
          </cell>
          <cell r="E1087" t="str">
            <v>9999996500069</v>
          </cell>
          <cell r="G1087" t="e">
            <v>#N/A</v>
          </cell>
          <cell r="H1087" t="e">
            <v>#N/A</v>
          </cell>
        </row>
        <row r="1088">
          <cell r="B1088">
            <v>6500084</v>
          </cell>
          <cell r="C1088" t="str">
            <v>Stop Rayon pour Testeur</v>
          </cell>
          <cell r="D1088" t="str">
            <v>6500084</v>
          </cell>
          <cell r="E1088" t="str">
            <v>9999996500084</v>
          </cell>
          <cell r="G1088" t="e">
            <v>#N/A</v>
          </cell>
          <cell r="H1088" t="e">
            <v>#N/A</v>
          </cell>
        </row>
        <row r="1089">
          <cell r="B1089">
            <v>6500129</v>
          </cell>
          <cell r="C1089" t="str">
            <v>Stop-Rayon - Alice in Food pour Dr. Hauschka</v>
          </cell>
          <cell r="E1089" t="str">
            <v>9999996500129</v>
          </cell>
          <cell r="G1089" t="e">
            <v>#N/A</v>
          </cell>
          <cell r="H1089" t="e">
            <v>#N/A</v>
          </cell>
        </row>
        <row r="1090">
          <cell r="B1090">
            <v>6500123</v>
          </cell>
          <cell r="C1090" t="str">
            <v>Stop-Rayon - Alice in Food pour Dr. Hauschka par 2</v>
          </cell>
          <cell r="D1090" t="str">
            <v>6500123</v>
          </cell>
          <cell r="E1090" t="str">
            <v>9999996500123</v>
          </cell>
          <cell r="G1090" t="e">
            <v>#N/A</v>
          </cell>
          <cell r="H1090" t="e">
            <v>#N/A</v>
          </cell>
        </row>
        <row r="1091">
          <cell r="B1091">
            <v>6500107</v>
          </cell>
          <cell r="C1091" t="str">
            <v>Stop-Rayon - Certifiés</v>
          </cell>
          <cell r="D1091" t="str">
            <v>6500107</v>
          </cell>
          <cell r="E1091" t="str">
            <v>9999996500107</v>
          </cell>
          <cell r="G1091" t="e">
            <v>#N/A</v>
          </cell>
          <cell r="H1091" t="e">
            <v>#N/A</v>
          </cell>
        </row>
        <row r="1092">
          <cell r="B1092">
            <v>6500108</v>
          </cell>
          <cell r="C1092" t="str">
            <v>Stop-Rayon - Diagnostic</v>
          </cell>
          <cell r="D1092" t="str">
            <v>6500108</v>
          </cell>
          <cell r="E1092" t="str">
            <v>9999996500108</v>
          </cell>
          <cell r="G1092" t="e">
            <v>#N/A</v>
          </cell>
          <cell r="H1092" t="e">
            <v>#N/A</v>
          </cell>
        </row>
        <row r="1093">
          <cell r="B1093">
            <v>6500106</v>
          </cell>
          <cell r="C1093" t="str">
            <v>Stop-Rayon - Prix Découverte</v>
          </cell>
          <cell r="D1093" t="str">
            <v>6500106</v>
          </cell>
          <cell r="E1093" t="str">
            <v>9999996500106</v>
          </cell>
          <cell r="G1093" t="e">
            <v>#N/A</v>
          </cell>
          <cell r="H1093" t="e">
            <v>#N/A</v>
          </cell>
        </row>
        <row r="1094">
          <cell r="B1094">
            <v>6500117</v>
          </cell>
          <cell r="C1094" t="str">
            <v>Stop-Rayon - Rituel Pureté</v>
          </cell>
          <cell r="D1094" t="str">
            <v>6500117</v>
          </cell>
          <cell r="E1094" t="str">
            <v>9999996500117</v>
          </cell>
          <cell r="G1094" t="e">
            <v>#N/A</v>
          </cell>
          <cell r="H1094" t="e">
            <v>#N/A</v>
          </cell>
        </row>
        <row r="1095">
          <cell r="B1095">
            <v>6500110</v>
          </cell>
          <cell r="C1095" t="str">
            <v>Stop-Rayon - Vierge</v>
          </cell>
          <cell r="D1095" t="str">
            <v>6500110</v>
          </cell>
          <cell r="E1095" t="str">
            <v>9999996500110</v>
          </cell>
          <cell r="G1095" t="e">
            <v>#N/A</v>
          </cell>
          <cell r="H1095" t="e">
            <v>#N/A</v>
          </cell>
        </row>
        <row r="1096">
          <cell r="B1096">
            <v>6500079</v>
          </cell>
          <cell r="C1096" t="str">
            <v>Stop-Rayon Beauté Stars</v>
          </cell>
          <cell r="D1096" t="str">
            <v>6500079</v>
          </cell>
          <cell r="E1096" t="str">
            <v>9999996500079</v>
          </cell>
          <cell r="G1096" t="e">
            <v>#N/A</v>
          </cell>
          <cell r="H1096" t="e">
            <v>#N/A</v>
          </cell>
        </row>
        <row r="1097">
          <cell r="B1097">
            <v>6500120</v>
          </cell>
          <cell r="C1097" t="str">
            <v>Stop-Rayon – Trousse Rituel Découverte</v>
          </cell>
          <cell r="D1097" t="str">
            <v>6500120</v>
          </cell>
          <cell r="E1097" t="str">
            <v>9999996500120</v>
          </cell>
          <cell r="G1097" t="e">
            <v>#N/A</v>
          </cell>
          <cell r="H1097" t="e">
            <v>#N/A</v>
          </cell>
        </row>
        <row r="1098">
          <cell r="B1098">
            <v>6500131</v>
          </cell>
          <cell r="C1098" t="str">
            <v>Stop-rayon MEA Crème de Jour à l'Abricot</v>
          </cell>
          <cell r="D1098" t="str">
            <v>6500131</v>
          </cell>
          <cell r="E1098" t="str">
            <v>9999996500131</v>
          </cell>
          <cell r="G1098" t="e">
            <v>#N/A</v>
          </cell>
          <cell r="H1098" t="e">
            <v>#N/A</v>
          </cell>
        </row>
        <row r="1099">
          <cell r="B1099">
            <v>6500151</v>
          </cell>
          <cell r="C1099" t="str">
            <v>Stop-rayon OPCA Huiles et Laits</v>
          </cell>
          <cell r="E1099" t="str">
            <v>650015199999</v>
          </cell>
          <cell r="G1099" t="e">
            <v>#N/A</v>
          </cell>
          <cell r="H1099" t="e">
            <v>#N/A</v>
          </cell>
        </row>
        <row r="1100">
          <cell r="B1100">
            <v>6500159</v>
          </cell>
          <cell r="C1100" t="str">
            <v>Stop-rayon OPCA Maquillage Printemps 2025</v>
          </cell>
          <cell r="D1100" t="str">
            <v>6500159</v>
          </cell>
          <cell r="E1100" t="str">
            <v>6500159999999</v>
          </cell>
          <cell r="G1100" t="e">
            <v>#N/A</v>
          </cell>
          <cell r="H1100" t="e">
            <v>#N/A</v>
          </cell>
        </row>
        <row r="1101">
          <cell r="B1101">
            <v>6500157</v>
          </cell>
          <cell r="C1101" t="str">
            <v>Stop-rayon OPCA Régénérants 2025</v>
          </cell>
          <cell r="E1101" t="str">
            <v>650015799999</v>
          </cell>
          <cell r="G1101" t="e">
            <v>#N/A</v>
          </cell>
          <cell r="H1101" t="e">
            <v>#N/A</v>
          </cell>
        </row>
        <row r="1102">
          <cell r="B1102">
            <v>6500153</v>
          </cell>
          <cell r="C1102" t="str">
            <v>Stop-rayon OPCA Teint Parfait</v>
          </cell>
          <cell r="E1102" t="str">
            <v>650015399999</v>
          </cell>
          <cell r="G1102" t="e">
            <v>#N/A</v>
          </cell>
          <cell r="H1102" t="e">
            <v>#N/A</v>
          </cell>
        </row>
        <row r="1103">
          <cell r="B1103">
            <v>6500162</v>
          </cell>
          <cell r="C1103" t="str">
            <v>Stop-rayon OPCA estivale 2025</v>
          </cell>
          <cell r="D1103" t="str">
            <v>6500162</v>
          </cell>
          <cell r="E1103" t="str">
            <v>6500162999999</v>
          </cell>
          <cell r="G1103" t="e">
            <v>#N/A</v>
          </cell>
          <cell r="H1103" t="e">
            <v>#N/A</v>
          </cell>
        </row>
        <row r="1104">
          <cell r="C1104" t="str">
            <v>Stop-rayon collaboration Laure de Sagazan</v>
          </cell>
          <cell r="G1104" t="e">
            <v>#N/A</v>
          </cell>
          <cell r="H1104" t="e">
            <v>#N/A</v>
          </cell>
        </row>
        <row r="1105">
          <cell r="B1105">
            <v>6500147</v>
          </cell>
          <cell r="C1105" t="str">
            <v>Stop-rayon collaboration Laure de Sagazan</v>
          </cell>
          <cell r="E1105" t="str">
            <v>650014799999</v>
          </cell>
          <cell r="G1105" t="e">
            <v>#N/A</v>
          </cell>
          <cell r="H1105" t="e">
            <v>#N/A</v>
          </cell>
        </row>
        <row r="1106">
          <cell r="C1106" t="str">
            <v>Stop-rayon collaboration Laure de Sagazan</v>
          </cell>
          <cell r="D1106" t="str">
            <v>6500147</v>
          </cell>
          <cell r="G1106" t="e">
            <v>#N/A</v>
          </cell>
          <cell r="H1106" t="e">
            <v>#N/A</v>
          </cell>
        </row>
        <row r="1107">
          <cell r="B1107">
            <v>6500163</v>
          </cell>
          <cell r="C1107" t="str">
            <v>Stop-rayon nouveauté Crème Solaire pour le Visage Teintée SPF 30</v>
          </cell>
          <cell r="D1107" t="str">
            <v>6500163</v>
          </cell>
          <cell r="G1107" t="e">
            <v>#N/A</v>
          </cell>
          <cell r="H1107" t="e">
            <v>#N/A</v>
          </cell>
        </row>
        <row r="1108">
          <cell r="B1108">
            <v>6500143</v>
          </cell>
          <cell r="C1108" t="str">
            <v>Stop-rayon nouveautés Régénérants Intensifs 2024</v>
          </cell>
          <cell r="D1108" t="str">
            <v>6500143</v>
          </cell>
          <cell r="E1108" t="str">
            <v>6500143999999</v>
          </cell>
          <cell r="G1108" t="e">
            <v>#N/A</v>
          </cell>
          <cell r="H1108" t="e">
            <v>#N/A</v>
          </cell>
        </row>
        <row r="1109">
          <cell r="B1109">
            <v>6200003</v>
          </cell>
          <cell r="C1109" t="str">
            <v>Support pour présentoir étagère</v>
          </cell>
          <cell r="D1109" t="str">
            <v>410003537</v>
          </cell>
          <cell r="E1109" t="str">
            <v>9999996200003</v>
          </cell>
          <cell r="G1109" t="e">
            <v>#N/A</v>
          </cell>
          <cell r="H1109" t="e">
            <v>#N/A</v>
          </cell>
        </row>
        <row r="1110">
          <cell r="B1110">
            <v>8020717</v>
          </cell>
          <cell r="C1110" t="str">
            <v>Sérum Contour des Yeux - Régénérant Intensif -15 ml</v>
          </cell>
          <cell r="E1110" t="str">
            <v>9999998020717</v>
          </cell>
          <cell r="G1110" t="e">
            <v>#N/A</v>
          </cell>
          <cell r="H1110" t="e">
            <v>#N/A</v>
          </cell>
        </row>
        <row r="1111">
          <cell r="B1111">
            <v>1020717</v>
          </cell>
          <cell r="C1111" t="str">
            <v>Sérum Contour des Yeux - Régénérant Intensif -15 ml</v>
          </cell>
          <cell r="D1111" t="str">
            <v>420006149</v>
          </cell>
          <cell r="E1111" t="str">
            <v>4020829101067</v>
          </cell>
          <cell r="G1111">
            <v>44.12</v>
          </cell>
          <cell r="H1111">
            <v>75</v>
          </cell>
        </row>
        <row r="1112">
          <cell r="B1112">
            <v>1820717</v>
          </cell>
          <cell r="C1112" t="str">
            <v>Sérum Contour des Yeux - Régénérant Intensif -15 ml*DLV 07/25*-10%*</v>
          </cell>
          <cell r="G1112" t="e">
            <v>#N/A</v>
          </cell>
          <cell r="H1112" t="e">
            <v>#N/A</v>
          </cell>
        </row>
        <row r="1113">
          <cell r="B1113">
            <v>1020704</v>
          </cell>
          <cell r="C1113" t="str">
            <v>Sérum Huile Régénérant Intensif - 20 ml</v>
          </cell>
          <cell r="D1113" t="str">
            <v>420004226</v>
          </cell>
          <cell r="E1113" t="str">
            <v>4020829074101</v>
          </cell>
          <cell r="G1113" t="e">
            <v>#N/A</v>
          </cell>
          <cell r="H1113" t="e">
            <v>#N/A</v>
          </cell>
        </row>
        <row r="1114">
          <cell r="B1114">
            <v>1820704</v>
          </cell>
          <cell r="C1114" t="str">
            <v>Sérum Huile Régénérant Intensif - 20 ml*DLV 05/25*-20%*</v>
          </cell>
          <cell r="G1114" t="e">
            <v>#N/A</v>
          </cell>
          <cell r="H1114" t="e">
            <v>#N/A</v>
          </cell>
        </row>
        <row r="1115">
          <cell r="B1115">
            <v>1020202</v>
          </cell>
          <cell r="C1115" t="str">
            <v>Sérum Jour/Nuit - Régénérant - 30 ml</v>
          </cell>
          <cell r="D1115" t="str">
            <v>420006255</v>
          </cell>
          <cell r="E1115" t="str">
            <v>4020829103115</v>
          </cell>
          <cell r="G1115">
            <v>41.117049418604651</v>
          </cell>
          <cell r="H1115">
            <v>69.900000000000006</v>
          </cell>
        </row>
        <row r="1116">
          <cell r="B1116">
            <v>1020201</v>
          </cell>
          <cell r="C1116" t="str">
            <v>Sérum Régénérant Jour/Nuit - 30 ml</v>
          </cell>
          <cell r="D1116" t="str">
            <v>429000277</v>
          </cell>
          <cell r="E1116" t="str">
            <v>4020829007390</v>
          </cell>
          <cell r="G1116" t="e">
            <v>#N/A</v>
          </cell>
          <cell r="H1116" t="e">
            <v>#N/A</v>
          </cell>
        </row>
        <row r="1117">
          <cell r="B1117">
            <v>1010209</v>
          </cell>
          <cell r="C1117" t="str">
            <v xml:space="preserve">Sérum Tonifiant Nuit - 20 ml </v>
          </cell>
          <cell r="D1117" t="str">
            <v>420003570</v>
          </cell>
          <cell r="E1117" t="str">
            <v>4020829065437</v>
          </cell>
          <cell r="G1117">
            <v>22.059426229508198</v>
          </cell>
          <cell r="H1117">
            <v>37.5</v>
          </cell>
        </row>
        <row r="1118">
          <cell r="B1118">
            <v>1020718</v>
          </cell>
          <cell r="C1118" t="str">
            <v>Sérum de Nuit - Régénérant Intensif - 30 ml</v>
          </cell>
          <cell r="D1118" t="str">
            <v>420006154</v>
          </cell>
          <cell r="E1118" t="str">
            <v>4020829101111</v>
          </cell>
          <cell r="G1118">
            <v>46.758152866242035</v>
          </cell>
          <cell r="H1118">
            <v>79.5</v>
          </cell>
        </row>
        <row r="1119">
          <cell r="B1119">
            <v>8020718</v>
          </cell>
          <cell r="C1119" t="str">
            <v>Sérum de Nuit - Régénérant Intensif - 30 ml</v>
          </cell>
          <cell r="D1119" t="str">
            <v>8020718</v>
          </cell>
          <cell r="E1119" t="str">
            <v>9999998020718</v>
          </cell>
          <cell r="G1119" t="e">
            <v>#N/A</v>
          </cell>
          <cell r="H1119" t="e">
            <v>#N/A</v>
          </cell>
        </row>
        <row r="1120">
          <cell r="C1120" t="str">
            <v>Sérum de Nuit - Régénérant Intensif - 30 ml*DLV 06/2025*- 10%*</v>
          </cell>
          <cell r="G1120" t="e">
            <v>#N/A</v>
          </cell>
          <cell r="H1120" t="e">
            <v>#N/A</v>
          </cell>
        </row>
        <row r="1121">
          <cell r="B1121">
            <v>1820718</v>
          </cell>
          <cell r="C1121" t="str">
            <v>Sérum de Nuit - Régénérant Intensif - 30 ml*DLV 06/2025*-20%*</v>
          </cell>
          <cell r="E1121" t="str">
            <v>182071899999</v>
          </cell>
          <cell r="G1121" t="e">
            <v>#N/A</v>
          </cell>
          <cell r="H1121" t="e">
            <v>#N/A</v>
          </cell>
        </row>
        <row r="1122">
          <cell r="B1122">
            <v>2080403</v>
          </cell>
          <cell r="C1122" t="str">
            <v>T-Shirt Dr. Hauschka Blanc - taille L</v>
          </cell>
          <cell r="D1122" t="str">
            <v>410002634</v>
          </cell>
          <cell r="E1122" t="str">
            <v>9999992080403</v>
          </cell>
          <cell r="G1122" t="e">
            <v>#N/A</v>
          </cell>
          <cell r="H1122" t="e">
            <v>#N/A</v>
          </cell>
        </row>
        <row r="1123">
          <cell r="B1123">
            <v>2080402</v>
          </cell>
          <cell r="C1123" t="str">
            <v>T-Shirt Dr. Hauschka Blanc - taille M</v>
          </cell>
          <cell r="D1123" t="str">
            <v>410002654</v>
          </cell>
          <cell r="E1123" t="str">
            <v>9999992080402</v>
          </cell>
          <cell r="G1123" t="e">
            <v>#N/A</v>
          </cell>
          <cell r="H1123" t="e">
            <v>#N/A</v>
          </cell>
        </row>
        <row r="1124">
          <cell r="B1124">
            <v>2080401</v>
          </cell>
          <cell r="C1124" t="str">
            <v>T-Shirt Dr. Hauschka Blanc - taille S</v>
          </cell>
          <cell r="D1124" t="str">
            <v>410002663</v>
          </cell>
          <cell r="E1124" t="str">
            <v>9999992080401</v>
          </cell>
          <cell r="G1124" t="e">
            <v>#N/A</v>
          </cell>
          <cell r="H1124" t="e">
            <v>#N/A</v>
          </cell>
        </row>
        <row r="1125">
          <cell r="B1125">
            <v>2080405</v>
          </cell>
          <cell r="C1125" t="str">
            <v>T-Shirt Dr. Hauschka Blanc - taille XL</v>
          </cell>
          <cell r="D1125" t="str">
            <v>410002603</v>
          </cell>
          <cell r="E1125" t="str">
            <v>9999992080405</v>
          </cell>
          <cell r="G1125" t="e">
            <v>#N/A</v>
          </cell>
          <cell r="H1125" t="e">
            <v>#N/A</v>
          </cell>
        </row>
        <row r="1126">
          <cell r="B1126">
            <v>2080404</v>
          </cell>
          <cell r="C1126" t="str">
            <v>T-Shirt Dr. Hauschka Blanc - taille XS</v>
          </cell>
          <cell r="D1126" t="str">
            <v>410002602</v>
          </cell>
          <cell r="E1126" t="str">
            <v>9999992080404</v>
          </cell>
          <cell r="G1126" t="e">
            <v>#N/A</v>
          </cell>
          <cell r="H1126" t="e">
            <v>#N/A</v>
          </cell>
        </row>
        <row r="1127">
          <cell r="B1127">
            <v>2080421</v>
          </cell>
          <cell r="C1127" t="str">
            <v>T-Shirt Dr. Hauschka Maquillage 2017 - taille L</v>
          </cell>
          <cell r="D1127" t="str">
            <v>410003603</v>
          </cell>
          <cell r="E1127" t="str">
            <v>9999992080421</v>
          </cell>
          <cell r="G1127" t="e">
            <v>#N/A</v>
          </cell>
          <cell r="H1127" t="e">
            <v>#N/A</v>
          </cell>
        </row>
        <row r="1128">
          <cell r="B1128">
            <v>2080422</v>
          </cell>
          <cell r="C1128" t="str">
            <v>T-Shirt Dr. Hauschka Maquillage 2017 - taille XL</v>
          </cell>
          <cell r="D1128" t="str">
            <v>410003604</v>
          </cell>
          <cell r="E1128" t="str">
            <v>9999992080422</v>
          </cell>
          <cell r="G1128" t="e">
            <v>#N/A</v>
          </cell>
          <cell r="H1128" t="e">
            <v>#N/A</v>
          </cell>
        </row>
        <row r="1129">
          <cell r="B1129">
            <v>2080423</v>
          </cell>
          <cell r="C1129" t="str">
            <v>T-Shirt Dr. Hauschka Maquillage 2017 - taille XS</v>
          </cell>
          <cell r="D1129" t="str">
            <v>410003600</v>
          </cell>
          <cell r="E1129" t="str">
            <v>9999992080423</v>
          </cell>
          <cell r="G1129" t="e">
            <v>#N/A</v>
          </cell>
          <cell r="H1129" t="e">
            <v>#N/A</v>
          </cell>
        </row>
        <row r="1130">
          <cell r="B1130">
            <v>2080408</v>
          </cell>
          <cell r="C1130" t="str">
            <v>T-Shirt Dr. Hauschka Noir - taille L</v>
          </cell>
          <cell r="D1130" t="str">
            <v>410002608</v>
          </cell>
          <cell r="E1130" t="str">
            <v>9999992080408</v>
          </cell>
          <cell r="G1130" t="e">
            <v>#N/A</v>
          </cell>
          <cell r="H1130" t="e">
            <v>#N/A</v>
          </cell>
        </row>
        <row r="1131">
          <cell r="B1131">
            <v>2080410</v>
          </cell>
          <cell r="C1131" t="str">
            <v>T-Shirt Dr. Hauschka Noir - taille XL</v>
          </cell>
          <cell r="D1131" t="str">
            <v>410002609</v>
          </cell>
          <cell r="E1131" t="str">
            <v>9999992080410</v>
          </cell>
          <cell r="G1131" t="e">
            <v>#N/A</v>
          </cell>
          <cell r="H1131" t="e">
            <v>#N/A</v>
          </cell>
        </row>
        <row r="1132">
          <cell r="B1132">
            <v>1061207</v>
          </cell>
          <cell r="C1132" t="str">
            <v>Taille crayon</v>
          </cell>
          <cell r="D1132" t="str">
            <v>410003214</v>
          </cell>
          <cell r="E1132" t="str">
            <v>4020829047815</v>
          </cell>
          <cell r="G1132">
            <v>1.88</v>
          </cell>
          <cell r="H1132">
            <v>3.2</v>
          </cell>
        </row>
        <row r="1133">
          <cell r="B1133">
            <v>1061209</v>
          </cell>
          <cell r="C1133" t="str">
            <v>Taille crayon High Spirit</v>
          </cell>
          <cell r="D1133" t="str">
            <v>410004814</v>
          </cell>
          <cell r="E1133" t="str">
            <v>4020829071827</v>
          </cell>
          <cell r="G1133" t="e">
            <v>#N/A</v>
          </cell>
          <cell r="H1133" t="e">
            <v>#N/A</v>
          </cell>
        </row>
        <row r="1134">
          <cell r="B1134">
            <v>3010117</v>
          </cell>
          <cell r="C1134" t="str">
            <v>Testeur - Baume Lacté Nettoyant - 30 ml</v>
          </cell>
          <cell r="D1134" t="str">
            <v>420005603</v>
          </cell>
          <cell r="E1134" t="str">
            <v>4020829094208</v>
          </cell>
          <cell r="G1134" t="e">
            <v>#N/A</v>
          </cell>
          <cell r="H1134" t="e">
            <v>#N/A</v>
          </cell>
        </row>
        <row r="1135">
          <cell r="B1135">
            <v>3010116</v>
          </cell>
          <cell r="C1135" t="str">
            <v>Testeur - Baume Lacté Nettoyant - 75 ml - 15% comprise</v>
          </cell>
          <cell r="D1135" t="str">
            <v>420005590</v>
          </cell>
          <cell r="E1135" t="str">
            <v>4020829094079</v>
          </cell>
          <cell r="G1135">
            <v>7.58</v>
          </cell>
          <cell r="H1135" t="e">
            <v>#N/A</v>
          </cell>
        </row>
        <row r="1136">
          <cell r="B1136">
            <v>3060731</v>
          </cell>
          <cell r="C1136" t="str">
            <v>Testeur - Baume Stick Lèvres et Joues 01 pêche</v>
          </cell>
          <cell r="D1136" t="str">
            <v>420006236</v>
          </cell>
          <cell r="E1136" t="str">
            <v>4020829102903</v>
          </cell>
          <cell r="G1136">
            <v>10.557509999999999</v>
          </cell>
          <cell r="H1136" t="e">
            <v>#N/A</v>
          </cell>
        </row>
        <row r="1137">
          <cell r="B1137">
            <v>3060732</v>
          </cell>
          <cell r="C1137" t="str">
            <v>Testeur - Baume Stick Lèvres et Joues 03 bois de rose</v>
          </cell>
          <cell r="D1137" t="str">
            <v>420006238</v>
          </cell>
          <cell r="E1137" t="str">
            <v>4020829102958</v>
          </cell>
          <cell r="G1137">
            <v>10.557509999999999</v>
          </cell>
          <cell r="H1137" t="e">
            <v>#N/A</v>
          </cell>
        </row>
        <row r="1138">
          <cell r="B1138">
            <v>3060733</v>
          </cell>
          <cell r="C1138" t="str">
            <v>Testeur - Baume Stick Lèvres et Joues 04 doré</v>
          </cell>
          <cell r="D1138" t="str">
            <v>420006239</v>
          </cell>
          <cell r="E1138" t="str">
            <v>4020829102927</v>
          </cell>
          <cell r="G1138">
            <v>10.557509999999999</v>
          </cell>
          <cell r="H1138" t="e">
            <v>#N/A</v>
          </cell>
        </row>
        <row r="1139">
          <cell r="B1139">
            <v>3060721</v>
          </cell>
          <cell r="C1139" t="str">
            <v>Testeur - Blush 01 - Framboise -15% inclus</v>
          </cell>
          <cell r="D1139" t="str">
            <v>420005928</v>
          </cell>
          <cell r="E1139" t="str">
            <v>4020829098572</v>
          </cell>
          <cell r="G1139">
            <v>8.7007700000000021</v>
          </cell>
          <cell r="H1139" t="e">
            <v>#N/A</v>
          </cell>
        </row>
        <row r="1140">
          <cell r="B1140">
            <v>3060722</v>
          </cell>
          <cell r="C1140" t="str">
            <v>Testeur - Blush 02 - Abricot -15% inclus</v>
          </cell>
          <cell r="D1140" t="str">
            <v>420005930</v>
          </cell>
          <cell r="E1140" t="str">
            <v>4020829098596</v>
          </cell>
          <cell r="G1140">
            <v>8.7007700000000021</v>
          </cell>
          <cell r="H1140" t="e">
            <v>#N/A</v>
          </cell>
        </row>
        <row r="1141">
          <cell r="B1141">
            <v>3060911</v>
          </cell>
          <cell r="C1141" t="str">
            <v>Testeur - Concealer 01 macadamia - 15% comprise</v>
          </cell>
          <cell r="D1141" t="str">
            <v>420005897</v>
          </cell>
          <cell r="E1141" t="str">
            <v>4020829098268</v>
          </cell>
          <cell r="G1141">
            <v>8.0962499999999995</v>
          </cell>
          <cell r="H1141" t="e">
            <v>#N/A</v>
          </cell>
        </row>
        <row r="1142">
          <cell r="B1142">
            <v>3060912</v>
          </cell>
          <cell r="C1142" t="str">
            <v>Testeur - Concealer 02 châtaigne - 15% comprise</v>
          </cell>
          <cell r="D1142" t="str">
            <v>420005898</v>
          </cell>
          <cell r="E1142" t="str">
            <v>4020829098275</v>
          </cell>
          <cell r="G1142">
            <v>8.0962499999999995</v>
          </cell>
          <cell r="H1142" t="e">
            <v>#N/A</v>
          </cell>
        </row>
        <row r="1143">
          <cell r="B1143">
            <v>3060910</v>
          </cell>
          <cell r="C1143" t="str">
            <v>Testeur - Concealer éclat 00 transparent - 15% comprise</v>
          </cell>
          <cell r="D1143" t="str">
            <v>420005920</v>
          </cell>
          <cell r="E1143" t="str">
            <v>4020829098497</v>
          </cell>
          <cell r="G1143">
            <v>8.0962499999999995</v>
          </cell>
          <cell r="H1143" t="e">
            <v>#N/A</v>
          </cell>
        </row>
        <row r="1144">
          <cell r="B1144">
            <v>3060521</v>
          </cell>
          <cell r="C1144" t="str">
            <v>Testeur - Crayon Contour des Yeux 01 noir - 15% comprise</v>
          </cell>
          <cell r="D1144" t="str">
            <v>420005901</v>
          </cell>
          <cell r="E1144" t="str">
            <v>4020829098305</v>
          </cell>
          <cell r="G1144">
            <v>6.9951600000000003</v>
          </cell>
          <cell r="H1144" t="e">
            <v>#N/A</v>
          </cell>
        </row>
        <row r="1145">
          <cell r="B1145">
            <v>3060522</v>
          </cell>
          <cell r="C1145" t="str">
            <v>Testeur - Crayon Contour des Yeux 02 brun - 15% comprise</v>
          </cell>
          <cell r="D1145" t="str">
            <v>420005902</v>
          </cell>
          <cell r="E1145" t="str">
            <v>4020829098312</v>
          </cell>
          <cell r="G1145">
            <v>6.9951600000000003</v>
          </cell>
          <cell r="H1145" t="e">
            <v>#N/A</v>
          </cell>
        </row>
        <row r="1146">
          <cell r="B1146">
            <v>3060523</v>
          </cell>
          <cell r="C1146" t="str">
            <v>Testeur - Crayon Contour des Yeux 05 taupe - 15% comprise</v>
          </cell>
          <cell r="D1146" t="str">
            <v>420005903</v>
          </cell>
          <cell r="E1146" t="str">
            <v>4020829098329</v>
          </cell>
          <cell r="G1146">
            <v>6.9951600000000003</v>
          </cell>
          <cell r="H1146" t="e">
            <v>#N/A</v>
          </cell>
        </row>
        <row r="1147">
          <cell r="B1147">
            <v>3060411</v>
          </cell>
          <cell r="C1147" t="str">
            <v>Testeur - Crayon à Lèvres Precision 00 transparent - 15% comprise</v>
          </cell>
          <cell r="D1147" t="str">
            <v>420005921</v>
          </cell>
          <cell r="E1147" t="str">
            <v>4020829098503</v>
          </cell>
          <cell r="G1147">
            <v>6.9951600000000003</v>
          </cell>
          <cell r="H1147" t="e">
            <v>#N/A</v>
          </cell>
        </row>
        <row r="1148">
          <cell r="B1148">
            <v>3060412</v>
          </cell>
          <cell r="C1148" t="str">
            <v>Testeur - Crayon à Lèvres Precision 01 liriodendron - 15% comprise</v>
          </cell>
          <cell r="D1148" t="str">
            <v>420005922</v>
          </cell>
          <cell r="E1148" t="str">
            <v>4020829098510</v>
          </cell>
          <cell r="G1148">
            <v>6.9951600000000003</v>
          </cell>
          <cell r="H1148" t="e">
            <v>#N/A</v>
          </cell>
        </row>
        <row r="1149">
          <cell r="B1149">
            <v>3060413</v>
          </cell>
          <cell r="C1149" t="str">
            <v>Testeur - Crayon à Lèvres Precision 04 cumaru - 15% comprise</v>
          </cell>
          <cell r="D1149" t="str">
            <v>420005923</v>
          </cell>
          <cell r="E1149" t="str">
            <v>4020829098527</v>
          </cell>
          <cell r="G1149">
            <v>6.9951600000000003</v>
          </cell>
          <cell r="H1149" t="e">
            <v>#N/A</v>
          </cell>
        </row>
        <row r="1150">
          <cell r="B1150">
            <v>3060531</v>
          </cell>
          <cell r="C1150" t="str">
            <v>Testeur - Crayon à Sourcils 01 brun clair - 15% comprise</v>
          </cell>
          <cell r="D1150" t="str">
            <v>420005824</v>
          </cell>
          <cell r="E1150" t="str">
            <v>4020829097025</v>
          </cell>
          <cell r="G1150">
            <v>6.9951600000000003</v>
          </cell>
          <cell r="H1150" t="e">
            <v>#N/A</v>
          </cell>
        </row>
        <row r="1151">
          <cell r="B1151">
            <v>3060532</v>
          </cell>
          <cell r="C1151" t="str">
            <v>Testeur - Crayon à Sourcils 02 brun foncé - 15% comprise</v>
          </cell>
          <cell r="D1151" t="str">
            <v>420005826</v>
          </cell>
          <cell r="E1151" t="str">
            <v>4020829097049</v>
          </cell>
          <cell r="G1151">
            <v>6.9951600000000003</v>
          </cell>
          <cell r="H1151" t="e">
            <v>#N/A</v>
          </cell>
        </row>
        <row r="1152">
          <cell r="B1152">
            <v>3010503</v>
          </cell>
          <cell r="C1152" t="str">
            <v>Testeur - Crème Fluide Contour des Yeux 12,5 ml - 15% comprise</v>
          </cell>
          <cell r="D1152" t="str">
            <v>429000184</v>
          </cell>
          <cell r="E1152" t="str">
            <v>4020829006461</v>
          </cell>
          <cell r="G1152">
            <v>12.97559</v>
          </cell>
          <cell r="H1152" t="e">
            <v>#N/A</v>
          </cell>
        </row>
        <row r="1153">
          <cell r="B1153">
            <v>3030403</v>
          </cell>
          <cell r="C1153" t="str">
            <v>Testeur - Crème Hydratante pour les Pieds 75 ml - 15% comprise</v>
          </cell>
          <cell r="D1153" t="str">
            <v>420000986</v>
          </cell>
          <cell r="E1153" t="str">
            <v>4020829004634</v>
          </cell>
          <cell r="G1153">
            <v>7.0167499999999992</v>
          </cell>
          <cell r="H1153" t="e">
            <v>#N/A</v>
          </cell>
        </row>
        <row r="1154">
          <cell r="B1154">
            <v>3020102</v>
          </cell>
          <cell r="C1154" t="str">
            <v>Testeur - Crème Mains Régénérante 50 ml - 15% comprise</v>
          </cell>
          <cell r="D1154" t="str">
            <v>420002939</v>
          </cell>
          <cell r="E1154" t="str">
            <v>4020829051270</v>
          </cell>
          <cell r="G1154">
            <v>10.49</v>
          </cell>
          <cell r="H1154" t="e">
            <v>#N/A</v>
          </cell>
        </row>
        <row r="1155">
          <cell r="B1155">
            <v>3010101</v>
          </cell>
          <cell r="C1155" t="str">
            <v>Testeur - Crème Purifiante pour le Visage 50 ml - 15% comprise</v>
          </cell>
          <cell r="D1155" t="str">
            <v>420000984</v>
          </cell>
          <cell r="E1155" t="str">
            <v>4020829004610</v>
          </cell>
          <cell r="G1155">
            <v>6.4</v>
          </cell>
          <cell r="H1155" t="e">
            <v>#N/A</v>
          </cell>
        </row>
        <row r="1156">
          <cell r="B1156">
            <v>3010119</v>
          </cell>
          <cell r="C1156" t="str">
            <v>Testeur - Crème Purifiante pour le Visage 50 ml Edition Limitée 2024 - 15% comprise</v>
          </cell>
          <cell r="D1156" t="str">
            <v>420006313</v>
          </cell>
          <cell r="E1156" t="str">
            <v>4020829104495</v>
          </cell>
          <cell r="G1156" t="e">
            <v>#N/A</v>
          </cell>
          <cell r="H1156" t="e">
            <v>#N/A</v>
          </cell>
        </row>
        <row r="1157">
          <cell r="B1157">
            <v>3020401</v>
          </cell>
          <cell r="C1157" t="str">
            <v>Testeur - Crème Régénérante Contour des Yeux 15 ml - 15% comprise</v>
          </cell>
          <cell r="D1157" t="str">
            <v>429000375</v>
          </cell>
          <cell r="E1157" t="str">
            <v>4020829013940</v>
          </cell>
          <cell r="G1157">
            <v>24.288749999999997</v>
          </cell>
          <cell r="H1157" t="e">
            <v>#N/A</v>
          </cell>
        </row>
        <row r="1158">
          <cell r="B1158">
            <v>3020302</v>
          </cell>
          <cell r="C1158" t="str">
            <v>Testeur - Crème Régénérante Cou et Décolleté 40 ml - 15% comprise</v>
          </cell>
          <cell r="D1158" t="str">
            <v>429000381</v>
          </cell>
          <cell r="E1158" t="str">
            <v>4020829008397</v>
          </cell>
          <cell r="G1158">
            <v>21.97</v>
          </cell>
          <cell r="H1158" t="e">
            <v>#N/A</v>
          </cell>
        </row>
        <row r="1159">
          <cell r="B1159">
            <v>3030503</v>
          </cell>
          <cell r="C1159" t="str">
            <v>Testeur - Crème Solaire pour le Visage Teintée SPF 30 - 40ml - 15% comprise</v>
          </cell>
          <cell r="D1159" t="str">
            <v>420005329</v>
          </cell>
          <cell r="E1159" t="str">
            <v>4020829088986</v>
          </cell>
          <cell r="G1159">
            <v>12.7</v>
          </cell>
          <cell r="H1159" t="e">
            <v>#N/A</v>
          </cell>
        </row>
        <row r="1160">
          <cell r="B1160">
            <v>3020720</v>
          </cell>
          <cell r="C1160" t="str">
            <v>Testeur - Crème de Jour - Régénérant Intensif - 40ml - 15 % comprise</v>
          </cell>
          <cell r="D1160" t="str">
            <v>420006246</v>
          </cell>
          <cell r="E1160" t="str">
            <v>4020829103207</v>
          </cell>
          <cell r="G1160">
            <v>27.28</v>
          </cell>
          <cell r="H1160" t="e">
            <v>#N/A</v>
          </cell>
        </row>
        <row r="1161">
          <cell r="B1161">
            <v>3010302</v>
          </cell>
          <cell r="C1161" t="str">
            <v>Testeur - Crème de Jour Légère à la Rose 30 ml - 15% comprise</v>
          </cell>
          <cell r="D1161" t="str">
            <v>429000215</v>
          </cell>
          <cell r="E1161" t="str">
            <v>4020829006775</v>
          </cell>
          <cell r="G1161">
            <v>11.25</v>
          </cell>
          <cell r="H1161" t="e">
            <v>#N/A</v>
          </cell>
        </row>
        <row r="1162">
          <cell r="B1162">
            <v>3010384</v>
          </cell>
          <cell r="C1162" t="str">
            <v>Testeur - Crème de Jour Légère à la Rose 30 ml Édition Limitée 2025 - 15% comprise</v>
          </cell>
          <cell r="D1162" t="str">
            <v>420006523</v>
          </cell>
          <cell r="E1162" t="str">
            <v>4020829109391</v>
          </cell>
          <cell r="G1162" t="e">
            <v>#N/A</v>
          </cell>
          <cell r="H1162" t="e">
            <v>#N/A</v>
          </cell>
        </row>
        <row r="1163">
          <cell r="B1163">
            <v>3010375</v>
          </cell>
          <cell r="C1163" t="str">
            <v>Testeur - Crème de Jour Légère à la Rose 30ml Edition Limitée 2023</v>
          </cell>
          <cell r="D1163" t="str">
            <v>420005839</v>
          </cell>
          <cell r="E1163" t="str">
            <v>4020829097131</v>
          </cell>
          <cell r="G1163" t="e">
            <v>#N/A</v>
          </cell>
          <cell r="H1163" t="e">
            <v>#N/A</v>
          </cell>
        </row>
        <row r="1164">
          <cell r="B1164">
            <v>3010382</v>
          </cell>
          <cell r="C1164" t="str">
            <v>Testeur - Crème de Jour Légère à la Rose Edition Limitée 30 ml 2024 - 15% comprise</v>
          </cell>
          <cell r="D1164" t="str">
            <v>420006312</v>
          </cell>
          <cell r="E1164" t="str">
            <v>4020829104488</v>
          </cell>
          <cell r="G1164" t="e">
            <v>#N/A</v>
          </cell>
          <cell r="H1164" t="e">
            <v>#N/A</v>
          </cell>
        </row>
        <row r="1165">
          <cell r="B1165">
            <v>3020301</v>
          </cell>
          <cell r="C1165" t="str">
            <v>Testeur - Crème de Jour Régénérante 40 ml - 15% comprise</v>
          </cell>
          <cell r="D1165" t="str">
            <v>429000250</v>
          </cell>
          <cell r="E1165" t="str">
            <v>4020829007123</v>
          </cell>
          <cell r="G1165">
            <v>23.4</v>
          </cell>
          <cell r="H1165" t="e">
            <v>#N/A</v>
          </cell>
        </row>
        <row r="1166">
          <cell r="B1166">
            <v>3020310</v>
          </cell>
          <cell r="C1166" t="str">
            <v>Testeur - Crème de Jour Régénérante Eclat du Teint 40 ml - 15% comprise</v>
          </cell>
          <cell r="D1166" t="str">
            <v>420003487</v>
          </cell>
          <cell r="E1166" t="str">
            <v>4020829061026</v>
          </cell>
          <cell r="G1166">
            <v>25.389839999999996</v>
          </cell>
          <cell r="H1166" t="e">
            <v>#N/A</v>
          </cell>
        </row>
        <row r="1167">
          <cell r="B1167">
            <v>3020703</v>
          </cell>
          <cell r="C1167" t="str">
            <v>Testeur - Crème de Jour Régénérante Intensive - 40 ml - 15 % comprise</v>
          </cell>
          <cell r="D1167" t="str">
            <v>420004223</v>
          </cell>
          <cell r="E1167" t="str">
            <v>4020829074071</v>
          </cell>
          <cell r="G1167" t="e">
            <v>#N/A</v>
          </cell>
          <cell r="H1167" t="e">
            <v>#N/A</v>
          </cell>
        </row>
        <row r="1168">
          <cell r="B1168">
            <v>3010320</v>
          </cell>
          <cell r="C1168" t="str">
            <v>Testeur - Crème de Jour Teintée 30 ml - 15% comprise</v>
          </cell>
          <cell r="D1168" t="str">
            <v>420002541</v>
          </cell>
          <cell r="E1168" t="str">
            <v>4020829039087</v>
          </cell>
          <cell r="G1168">
            <v>11.79</v>
          </cell>
          <cell r="H1168" t="e">
            <v>#N/A</v>
          </cell>
        </row>
        <row r="1169">
          <cell r="B1169">
            <v>3010305</v>
          </cell>
          <cell r="C1169" t="str">
            <v>Testeur - Crème de Jour au Coing 30 ml - 15% comprise</v>
          </cell>
          <cell r="D1169" t="str">
            <v>429000108</v>
          </cell>
          <cell r="E1169" t="str">
            <v>4020829005761</v>
          </cell>
          <cell r="G1169">
            <v>10.06</v>
          </cell>
          <cell r="H1169" t="e">
            <v>#N/A</v>
          </cell>
        </row>
        <row r="1170">
          <cell r="B1170">
            <v>3010377</v>
          </cell>
          <cell r="C1170" t="str">
            <v>Testeur - Crème de Jour à l'Abricot - 30 ml - 15% comprise</v>
          </cell>
          <cell r="D1170" t="str">
            <v>420006114</v>
          </cell>
          <cell r="E1170" t="str">
            <v>4020829100671</v>
          </cell>
          <cell r="G1170">
            <v>10.89</v>
          </cell>
          <cell r="H1170" t="e">
            <v>#N/A</v>
          </cell>
        </row>
        <row r="1171">
          <cell r="B1171">
            <v>3010306</v>
          </cell>
          <cell r="C1171" t="str">
            <v>Testeur - Crème de Jour à la Mélisse 30 ml  - 15% comprise</v>
          </cell>
          <cell r="D1171" t="str">
            <v>429000422</v>
          </cell>
          <cell r="E1171" t="str">
            <v>4020829008809</v>
          </cell>
          <cell r="G1171">
            <v>10.59</v>
          </cell>
          <cell r="H1171" t="e">
            <v>#N/A</v>
          </cell>
        </row>
        <row r="1172">
          <cell r="B1172">
            <v>3010310</v>
          </cell>
          <cell r="C1172" t="str">
            <v>Testeur - Crème de Jour à la Rose 30 ml - 15% comprise</v>
          </cell>
          <cell r="D1172" t="str">
            <v>429000155</v>
          </cell>
          <cell r="E1172" t="str">
            <v>4020829006225</v>
          </cell>
          <cell r="G1172">
            <v>11.25</v>
          </cell>
          <cell r="H1172" t="e">
            <v>#N/A</v>
          </cell>
        </row>
        <row r="1173">
          <cell r="B1173">
            <v>3030301</v>
          </cell>
          <cell r="C1173" t="str">
            <v>Testeur - Crème pour les Mains 50 ml - 15% comprise</v>
          </cell>
          <cell r="D1173" t="str">
            <v>429000099</v>
          </cell>
          <cell r="E1173" t="str">
            <v>4020829005679</v>
          </cell>
          <cell r="G1173">
            <v>5.9588399999999995</v>
          </cell>
          <cell r="H1173" t="e">
            <v>#N/A</v>
          </cell>
        </row>
        <row r="1174">
          <cell r="B1174">
            <v>3030310</v>
          </cell>
          <cell r="C1174" t="str">
            <v>Testeur - Crème pour les Mains 50 ml Edition Limitée 2024 - 15% comprise</v>
          </cell>
          <cell r="D1174" t="str">
            <v>420006314</v>
          </cell>
          <cell r="E1174" t="str">
            <v>4020829104501</v>
          </cell>
          <cell r="G1174" t="e">
            <v>#N/A</v>
          </cell>
          <cell r="H1174" t="e">
            <v>#N/A</v>
          </cell>
        </row>
        <row r="1175">
          <cell r="B1175">
            <v>3030311</v>
          </cell>
          <cell r="C1175" t="str">
            <v>Testeur - Crème pour les Mains 50ml Edition Limitée Noël - 15% comprise 2024</v>
          </cell>
          <cell r="D1175" t="str">
            <v>420006404</v>
          </cell>
          <cell r="E1175" t="str">
            <v>4020829106567</v>
          </cell>
          <cell r="G1175" t="e">
            <v>#N/A</v>
          </cell>
          <cell r="H1175" t="e">
            <v>#N/A</v>
          </cell>
        </row>
        <row r="1176">
          <cell r="B1176">
            <v>3020721</v>
          </cell>
          <cell r="C1176" t="str">
            <v>Testeur - Cure Fortifiante - Régénérant - 40ml - 15% comprise</v>
          </cell>
          <cell r="D1176" t="str">
            <v>420006248</v>
          </cell>
          <cell r="E1176" t="str">
            <v>4020829103016</v>
          </cell>
          <cell r="G1176">
            <v>26.447750000000003</v>
          </cell>
          <cell r="H1176" t="e">
            <v>#N/A</v>
          </cell>
        </row>
        <row r="1177">
          <cell r="B1177">
            <v>3010724</v>
          </cell>
          <cell r="C1177" t="str">
            <v>Testeur - Cure Intensive Clarifiante (avant 25 ans) - 40 ml - 15% comprise</v>
          </cell>
          <cell r="D1177" t="str">
            <v>420005867</v>
          </cell>
          <cell r="E1177" t="str">
            <v>4020829097674</v>
          </cell>
          <cell r="G1177">
            <v>19.949159999999999</v>
          </cell>
          <cell r="H1177" t="e">
            <v>#N/A</v>
          </cell>
        </row>
        <row r="1178">
          <cell r="B1178">
            <v>3010711</v>
          </cell>
          <cell r="C1178" t="str">
            <v>Testeur - Cure Intensive Clarifiante (avant 25 ans) 40 ml - 15% comprise</v>
          </cell>
          <cell r="D1178" t="str">
            <v>429000239</v>
          </cell>
          <cell r="E1178" t="str">
            <v>4020829007017</v>
          </cell>
          <cell r="G1178" t="e">
            <v>#N/A</v>
          </cell>
          <cell r="H1178" t="e">
            <v>#N/A</v>
          </cell>
        </row>
        <row r="1179">
          <cell r="B1179">
            <v>3010725</v>
          </cell>
          <cell r="C1179" t="str">
            <v>Testeur - Cure Intensive Clarifiante (à partir de 25 ans) - 40 ml - 15% comprise</v>
          </cell>
          <cell r="D1179" t="str">
            <v>420005866</v>
          </cell>
          <cell r="E1179" t="str">
            <v>4020829097667</v>
          </cell>
          <cell r="G1179">
            <v>19.949159999999996</v>
          </cell>
          <cell r="H1179" t="e">
            <v>#N/A</v>
          </cell>
        </row>
        <row r="1180">
          <cell r="B1180">
            <v>3020715</v>
          </cell>
          <cell r="C1180" t="str">
            <v>Testeur - Cure Intensive Régénérante 40 ml - 15% comprise</v>
          </cell>
          <cell r="D1180" t="str">
            <v>420005868</v>
          </cell>
          <cell r="E1180" t="str">
            <v>4020829097681</v>
          </cell>
          <cell r="G1180" t="e">
            <v>#N/A</v>
          </cell>
          <cell r="H1180" t="e">
            <v>#N/A</v>
          </cell>
        </row>
        <row r="1181">
          <cell r="B1181">
            <v>3020722</v>
          </cell>
          <cell r="C1181" t="str">
            <v>Testeur - Cure Intensive Rééquilibrante - Régénérant 40ml - 15% comprise</v>
          </cell>
          <cell r="D1181" t="str">
            <v>420006247</v>
          </cell>
          <cell r="E1181" t="str">
            <v>4020829103009</v>
          </cell>
          <cell r="G1181">
            <v>26.447750000000003</v>
          </cell>
          <cell r="H1181" t="e">
            <v>#N/A</v>
          </cell>
        </row>
        <row r="1182">
          <cell r="B1182">
            <v>3020702</v>
          </cell>
          <cell r="C1182" t="str">
            <v>Testeur - Cure Intensive Rééquilibrante 40 ml - 15% comprise</v>
          </cell>
          <cell r="D1182" t="str">
            <v>429000243</v>
          </cell>
          <cell r="E1182" t="str">
            <v>4020829007055</v>
          </cell>
          <cell r="G1182" t="e">
            <v>#N/A</v>
          </cell>
          <cell r="H1182" t="e">
            <v>#N/A</v>
          </cell>
        </row>
        <row r="1183">
          <cell r="B1183">
            <v>3020716</v>
          </cell>
          <cell r="C1183" t="str">
            <v>Testeur - Cure Intensive Rééquilibrante 40 ml - 15% comprise</v>
          </cell>
          <cell r="D1183" t="str">
            <v>420005870</v>
          </cell>
          <cell r="E1183" t="str">
            <v>4020829097704</v>
          </cell>
          <cell r="G1183" t="e">
            <v>#N/A</v>
          </cell>
          <cell r="H1183" t="e">
            <v>#N/A</v>
          </cell>
        </row>
        <row r="1184">
          <cell r="B1184">
            <v>3010110</v>
          </cell>
          <cell r="C1184" t="str">
            <v>Testeur - Démaquillant pour les Yeux 75 ml - 15% comprise</v>
          </cell>
          <cell r="D1184" t="str">
            <v>420003631</v>
          </cell>
          <cell r="E1184" t="str">
            <v>4020829063174</v>
          </cell>
          <cell r="G1184">
            <v>9.76</v>
          </cell>
          <cell r="H1184" t="e">
            <v>#N/A</v>
          </cell>
        </row>
        <row r="1185">
          <cell r="B1185">
            <v>3010353</v>
          </cell>
          <cell r="C1185" t="str">
            <v>Testeur - Emulsion Teintée - 18 ml - 15 % comprise</v>
          </cell>
          <cell r="D1185" t="str">
            <v>420004123</v>
          </cell>
          <cell r="E1185" t="str">
            <v>4020829072831</v>
          </cell>
          <cell r="G1185">
            <v>9.19</v>
          </cell>
          <cell r="H1185" t="e">
            <v>#N/A</v>
          </cell>
        </row>
        <row r="1186">
          <cell r="B1186">
            <v>3060605</v>
          </cell>
          <cell r="C1186" t="str">
            <v>Testeur - Eyeliner liquide 01 noir - 15% comprise</v>
          </cell>
          <cell r="D1186" t="str">
            <v>420005924</v>
          </cell>
          <cell r="E1186" t="str">
            <v>4020829098534</v>
          </cell>
          <cell r="G1186">
            <v>8.6144100000000012</v>
          </cell>
          <cell r="H1186" t="e">
            <v>#N/A</v>
          </cell>
        </row>
        <row r="1187">
          <cell r="B1187">
            <v>3010374</v>
          </cell>
          <cell r="C1187" t="str">
            <v>Testeur - Fluide Apaisant 50ml Edition Limitée 2023</v>
          </cell>
          <cell r="D1187" t="str">
            <v>420005840</v>
          </cell>
          <cell r="E1187" t="str">
            <v>4020829097148</v>
          </cell>
          <cell r="G1187" t="e">
            <v>#N/A</v>
          </cell>
          <cell r="H1187" t="e">
            <v>#N/A</v>
          </cell>
        </row>
        <row r="1188">
          <cell r="B1188">
            <v>3061029</v>
          </cell>
          <cell r="C1188" t="str">
            <v>Testeur - Fluide Eclat - 15% comprise</v>
          </cell>
          <cell r="D1188" t="str">
            <v>420005989</v>
          </cell>
          <cell r="E1188" t="str">
            <v>4020829099180</v>
          </cell>
          <cell r="G1188">
            <v>12.047219999999999</v>
          </cell>
          <cell r="H1188" t="e">
            <v>#N/A</v>
          </cell>
        </row>
        <row r="1189">
          <cell r="B1189">
            <v>3010360</v>
          </cell>
          <cell r="C1189" t="str">
            <v>Testeur - Fluide de Jour Apaisant - 50 ml - 15% compris</v>
          </cell>
          <cell r="D1189" t="str">
            <v>420004651</v>
          </cell>
          <cell r="E1189" t="str">
            <v>4020829080607</v>
          </cell>
          <cell r="G1189">
            <v>11.960859999999998</v>
          </cell>
          <cell r="H1189" t="e">
            <v>#N/A</v>
          </cell>
        </row>
        <row r="1190">
          <cell r="B1190">
            <v>3010361</v>
          </cell>
          <cell r="C1190" t="str">
            <v>Testeur - Fluide de Jour Equilibrant  - 50 ml -15% compris</v>
          </cell>
          <cell r="D1190" t="str">
            <v>420004656</v>
          </cell>
          <cell r="E1190" t="str">
            <v>4020829080652</v>
          </cell>
          <cell r="G1190">
            <v>11.35</v>
          </cell>
          <cell r="H1190" t="e">
            <v>#N/A</v>
          </cell>
        </row>
        <row r="1191">
          <cell r="B1191">
            <v>3010359</v>
          </cell>
          <cell r="C1191" t="str">
            <v>Testeur - Fluide de Jour Revitalisant - 50 ml - 15% compris</v>
          </cell>
          <cell r="D1191" t="str">
            <v>420004650</v>
          </cell>
          <cell r="E1191" t="str">
            <v>4020829080591</v>
          </cell>
          <cell r="G1191">
            <v>10.32002</v>
          </cell>
          <cell r="H1191" t="e">
            <v>#N/A</v>
          </cell>
        </row>
        <row r="1192">
          <cell r="B1192">
            <v>3061021</v>
          </cell>
          <cell r="C1192" t="str">
            <v>Testeur - Fond de Teint 01 macadamia - 15% comprise</v>
          </cell>
          <cell r="D1192" t="str">
            <v>420005909</v>
          </cell>
          <cell r="E1192" t="str">
            <v>4020829098381</v>
          </cell>
          <cell r="G1192">
            <v>12.371070000000001</v>
          </cell>
          <cell r="H1192" t="e">
            <v>#N/A</v>
          </cell>
        </row>
        <row r="1193">
          <cell r="B1193">
            <v>3061022</v>
          </cell>
          <cell r="C1193" t="str">
            <v>Testeur - Fond de Teint 02 amande - 15% comprise</v>
          </cell>
          <cell r="D1193" t="str">
            <v>420005911</v>
          </cell>
          <cell r="E1193" t="str">
            <v>4020829098404</v>
          </cell>
          <cell r="G1193">
            <v>12.371070000000001</v>
          </cell>
          <cell r="H1193" t="e">
            <v>#N/A</v>
          </cell>
        </row>
        <row r="1194">
          <cell r="B1194">
            <v>3061023</v>
          </cell>
          <cell r="C1194" t="str">
            <v>Testeur - Fond de Teint 03 châtaigne - 15% comprise</v>
          </cell>
          <cell r="D1194" t="str">
            <v>420005913</v>
          </cell>
          <cell r="E1194" t="str">
            <v>4020829098428</v>
          </cell>
          <cell r="G1194">
            <v>12.371070000000001</v>
          </cell>
          <cell r="H1194" t="e">
            <v>#N/A</v>
          </cell>
        </row>
        <row r="1195">
          <cell r="B1195">
            <v>3061024</v>
          </cell>
          <cell r="C1195" t="str">
            <v>Testeur - Fond de Teint 04 noisette - 15% comprise</v>
          </cell>
          <cell r="D1195" t="str">
            <v>420005915</v>
          </cell>
          <cell r="E1195" t="str">
            <v>4020829098442</v>
          </cell>
          <cell r="G1195">
            <v>12.371070000000001</v>
          </cell>
          <cell r="H1195" t="e">
            <v>#N/A</v>
          </cell>
        </row>
        <row r="1196">
          <cell r="B1196">
            <v>3061025</v>
          </cell>
          <cell r="C1196" t="str">
            <v>Testeur - Fond de Teint 05 muscade - 15% comprise</v>
          </cell>
          <cell r="D1196" t="str">
            <v>420005917</v>
          </cell>
          <cell r="E1196" t="str">
            <v>4020829098466</v>
          </cell>
          <cell r="G1196">
            <v>12.371070000000001</v>
          </cell>
          <cell r="H1196" t="e">
            <v>#N/A</v>
          </cell>
        </row>
        <row r="1197">
          <cell r="B1197">
            <v>3061026</v>
          </cell>
          <cell r="C1197" t="str">
            <v>Testeur - Fond de Teint 06 noix - 15% comprise</v>
          </cell>
          <cell r="D1197" t="str">
            <v>420005919</v>
          </cell>
          <cell r="E1197" t="str">
            <v>4020829098480</v>
          </cell>
          <cell r="G1197">
            <v>12.371070000000001</v>
          </cell>
          <cell r="H1197" t="e">
            <v>#N/A</v>
          </cell>
        </row>
        <row r="1198">
          <cell r="B1198">
            <v>3061027</v>
          </cell>
          <cell r="C1198" t="str">
            <v>Testeur - Fond de teint - 001 cajou - 15 % comprise*</v>
          </cell>
          <cell r="D1198" t="str">
            <v>420005905</v>
          </cell>
          <cell r="E1198" t="str">
            <v>4020829098343</v>
          </cell>
          <cell r="G1198">
            <v>12.371070000000001</v>
          </cell>
          <cell r="H1198" t="e">
            <v>#N/A</v>
          </cell>
        </row>
        <row r="1199">
          <cell r="B1199">
            <v>3061028</v>
          </cell>
          <cell r="C1199" t="str">
            <v>Testeur - Fond de teint - 002 pignon de pin - 15 % comprise*</v>
          </cell>
          <cell r="D1199" t="str">
            <v>420005907</v>
          </cell>
          <cell r="E1199" t="str">
            <v>4020829098367</v>
          </cell>
          <cell r="G1199">
            <v>12.371070000000001</v>
          </cell>
          <cell r="H1199" t="e">
            <v>#N/A</v>
          </cell>
        </row>
        <row r="1200">
          <cell r="B1200">
            <v>3060130</v>
          </cell>
          <cell r="C1200" t="str">
            <v>Testeur - Gel Cils &amp; Sourcils 00 transparent - 15% comprise</v>
          </cell>
          <cell r="D1200" t="str">
            <v>420005896</v>
          </cell>
          <cell r="E1200" t="str">
            <v>4020829098251</v>
          </cell>
          <cell r="G1200">
            <v>8.0962499999999995</v>
          </cell>
          <cell r="H1200" t="e">
            <v>#N/A</v>
          </cell>
        </row>
        <row r="1201">
          <cell r="B1201">
            <v>3060720</v>
          </cell>
          <cell r="C1201" t="str">
            <v>Testeur - Highlighter 01 - Illuminant -15% inclus</v>
          </cell>
          <cell r="D1201" t="str">
            <v>420005956</v>
          </cell>
          <cell r="E1201" t="str">
            <v>4020829098855</v>
          </cell>
          <cell r="G1201">
            <v>8.7007700000000021</v>
          </cell>
          <cell r="H1201" t="e">
            <v>#N/A</v>
          </cell>
        </row>
        <row r="1202">
          <cell r="B1202">
            <v>3020719</v>
          </cell>
          <cell r="C1202" t="str">
            <v>Testeur - Huile Fortifiante - Régénérant Intensif - 20ml - 15% comprise</v>
          </cell>
          <cell r="D1202" t="str">
            <v>420006253</v>
          </cell>
          <cell r="E1202" t="str">
            <v>4020829103061</v>
          </cell>
          <cell r="G1202">
            <v>29.23</v>
          </cell>
          <cell r="H1202" t="e">
            <v>#N/A</v>
          </cell>
        </row>
        <row r="1203">
          <cell r="B1203">
            <v>3030221</v>
          </cell>
          <cell r="C1203" t="str">
            <v>Testeur - Huile de Soin Bouleau Arnica 30 ml - 15% comprise</v>
          </cell>
          <cell r="D1203" t="str">
            <v>420002867</v>
          </cell>
          <cell r="E1203" t="str">
            <v>4020829049130</v>
          </cell>
          <cell r="G1203">
            <v>2.9362399999999997</v>
          </cell>
          <cell r="H1203" t="e">
            <v>#N/A</v>
          </cell>
        </row>
        <row r="1204">
          <cell r="B1204">
            <v>3030220</v>
          </cell>
          <cell r="C1204" t="str">
            <v>Testeur - Huile de Soin Citron Citronnelle 30 ml - 15% comprise</v>
          </cell>
          <cell r="D1204" t="str">
            <v>420002474</v>
          </cell>
          <cell r="E1204" t="str">
            <v>4020829036659</v>
          </cell>
          <cell r="G1204">
            <v>3.34</v>
          </cell>
          <cell r="H1204" t="e">
            <v>#N/A</v>
          </cell>
        </row>
        <row r="1205">
          <cell r="B1205">
            <v>3030223</v>
          </cell>
          <cell r="C1205" t="str">
            <v>Testeur - Huile de Soin Moor Lavande 30 ml - 15% comprise</v>
          </cell>
          <cell r="D1205" t="str">
            <v>420002477</v>
          </cell>
          <cell r="E1205" t="str">
            <v>4020829036680</v>
          </cell>
          <cell r="G1205">
            <v>3.68</v>
          </cell>
          <cell r="H1205" t="e">
            <v>#N/A</v>
          </cell>
        </row>
        <row r="1206">
          <cell r="B1206">
            <v>3030219</v>
          </cell>
          <cell r="C1206" t="str">
            <v>Testeur - Huile de Soin Prunelle 30 ml - 15% comprise</v>
          </cell>
          <cell r="D1206" t="str">
            <v>420002868</v>
          </cell>
          <cell r="E1206" t="str">
            <v>4020829049147</v>
          </cell>
          <cell r="G1206">
            <v>3.34</v>
          </cell>
          <cell r="H1206" t="e">
            <v>#N/A</v>
          </cell>
        </row>
        <row r="1207">
          <cell r="B1207">
            <v>3030218</v>
          </cell>
          <cell r="C1207" t="str">
            <v>Testeur - Huile de Soin Rose 30 ml - 15% comprise</v>
          </cell>
          <cell r="D1207" t="str">
            <v>420002326</v>
          </cell>
          <cell r="E1207" t="str">
            <v>4020829033436</v>
          </cell>
          <cell r="G1207">
            <v>3.59</v>
          </cell>
          <cell r="H1207" t="e">
            <v>#N/A</v>
          </cell>
        </row>
        <row r="1208">
          <cell r="B1208">
            <v>3030226</v>
          </cell>
          <cell r="C1208" t="str">
            <v>Testeur - Huile de Soin Rose 30 ml Édition Limitée 2025 - 15% comprise</v>
          </cell>
          <cell r="D1208" t="str">
            <v>420006524</v>
          </cell>
          <cell r="E1208" t="str">
            <v>4020829109407</v>
          </cell>
          <cell r="G1208" t="e">
            <v>#N/A</v>
          </cell>
          <cell r="H1208" t="e">
            <v>#N/A</v>
          </cell>
        </row>
        <row r="1209">
          <cell r="B1209">
            <v>3030502</v>
          </cell>
          <cell r="C1209" t="str">
            <v>Testeur - Lait Après-Soleil 150 ml - 15% comprise</v>
          </cell>
          <cell r="D1209" t="str">
            <v>420005257</v>
          </cell>
          <cell r="E1209" t="str">
            <v>4020829087439</v>
          </cell>
          <cell r="G1209" t="e">
            <v>#N/A</v>
          </cell>
          <cell r="H1209" t="e">
            <v>#N/A</v>
          </cell>
        </row>
        <row r="1210">
          <cell r="B1210">
            <v>3030104</v>
          </cell>
          <cell r="C1210" t="str">
            <v>Testeur - Lait Crème pour le Corps Amande 145 ml - 15% comprise</v>
          </cell>
          <cell r="D1210" t="str">
            <v>429000461</v>
          </cell>
          <cell r="E1210" t="str">
            <v>4020829009196</v>
          </cell>
          <cell r="G1210">
            <v>9.175749999999999</v>
          </cell>
          <cell r="H1210" t="e">
            <v>#N/A</v>
          </cell>
        </row>
        <row r="1211">
          <cell r="B1211">
            <v>3030102</v>
          </cell>
          <cell r="C1211" t="str">
            <v>Testeur - Lait Crème pour le Corps Lavande Bois de Santal 145 ml - 15% comprise</v>
          </cell>
          <cell r="D1211" t="str">
            <v>429000460</v>
          </cell>
          <cell r="E1211" t="str">
            <v>4020829009189</v>
          </cell>
          <cell r="G1211">
            <v>9.175749999999999</v>
          </cell>
          <cell r="H1211" t="e">
            <v>#N/A</v>
          </cell>
        </row>
        <row r="1212">
          <cell r="B1212">
            <v>3030124</v>
          </cell>
          <cell r="C1212" t="str">
            <v>Testeur - Lait Crème pour le Corps Lavande Bois de Santal 145ml Ed Limitée 2023</v>
          </cell>
          <cell r="D1212" t="str">
            <v>420005841</v>
          </cell>
          <cell r="E1212" t="str">
            <v>4020829097728</v>
          </cell>
          <cell r="G1212" t="e">
            <v>#N/A</v>
          </cell>
          <cell r="H1212" t="e">
            <v>#N/A</v>
          </cell>
        </row>
        <row r="1213">
          <cell r="B1213">
            <v>3030101</v>
          </cell>
          <cell r="C1213" t="str">
            <v>Testeur - Lait Crème pour le Corps Rose 145 ml - 15% comprise</v>
          </cell>
          <cell r="D1213" t="str">
            <v>429000216</v>
          </cell>
          <cell r="E1213" t="str">
            <v>4020829006782</v>
          </cell>
          <cell r="G1213">
            <v>9.7155000000000005</v>
          </cell>
          <cell r="H1213" t="e">
            <v>#N/A</v>
          </cell>
        </row>
        <row r="1214">
          <cell r="B1214">
            <v>3030129</v>
          </cell>
          <cell r="C1214" t="str">
            <v>Testeur - Lait Crème pour le Corps Rose 145 ml Édition Limitée 2025 - 15% comprise</v>
          </cell>
          <cell r="D1214" t="str">
            <v>420006525</v>
          </cell>
          <cell r="E1214" t="str">
            <v>4020829109414</v>
          </cell>
          <cell r="G1214" t="e">
            <v>#N/A</v>
          </cell>
          <cell r="H1214" t="e">
            <v>#N/A</v>
          </cell>
        </row>
        <row r="1215">
          <cell r="B1215">
            <v>3010102</v>
          </cell>
          <cell r="C1215" t="str">
            <v>Testeur - Lait Démaquillant et Nettoyant 145 ml - 15% comprise</v>
          </cell>
          <cell r="D1215" t="str">
            <v>429000139</v>
          </cell>
          <cell r="E1215" t="str">
            <v>4020829006072</v>
          </cell>
          <cell r="G1215">
            <v>10.27684</v>
          </cell>
          <cell r="H1215" t="e">
            <v>#N/A</v>
          </cell>
        </row>
        <row r="1216">
          <cell r="B1216">
            <v>3020107</v>
          </cell>
          <cell r="C1216" t="str">
            <v>Testeur - Lait pour le Corps - Régénérant - 150ml - 15% comprise</v>
          </cell>
          <cell r="D1216" t="str">
            <v>420006263</v>
          </cell>
          <cell r="E1216" t="str">
            <v>4020829103191</v>
          </cell>
          <cell r="G1216">
            <v>16.170909999999999</v>
          </cell>
          <cell r="H1216" t="e">
            <v>#N/A</v>
          </cell>
        </row>
        <row r="1217">
          <cell r="B1217">
            <v>3030125</v>
          </cell>
          <cell r="C1217" t="str">
            <v>Testeur - Lait pour le Corps Bergamote Citronnelle - 145 ml - 15% comprise</v>
          </cell>
          <cell r="D1217" t="str">
            <v>420006076</v>
          </cell>
          <cell r="E1217" t="str">
            <v>4020829100213</v>
          </cell>
          <cell r="G1217">
            <v>8.5064599999999988</v>
          </cell>
          <cell r="H1217" t="e">
            <v>#N/A</v>
          </cell>
        </row>
        <row r="1218">
          <cell r="B1218">
            <v>3030105</v>
          </cell>
          <cell r="C1218" t="str">
            <v>Testeur - Lait pour le Corps Coing 145 ml - 15% comprise</v>
          </cell>
          <cell r="D1218" t="str">
            <v>429000459</v>
          </cell>
          <cell r="E1218" t="str">
            <v>4020829009172</v>
          </cell>
          <cell r="G1218">
            <v>8.6359999999999992</v>
          </cell>
          <cell r="H1218" t="e">
            <v>#N/A</v>
          </cell>
        </row>
        <row r="1219">
          <cell r="B1219">
            <v>3020101</v>
          </cell>
          <cell r="C1219" t="str">
            <v>Testeur - Lait pour le Corps Régénérant 150 ml - 15% comprise</v>
          </cell>
          <cell r="D1219" t="str">
            <v>429000387</v>
          </cell>
          <cell r="E1219" t="str">
            <v>4020829008458</v>
          </cell>
          <cell r="G1219" t="e">
            <v>#N/A</v>
          </cell>
          <cell r="H1219" t="e">
            <v>#N/A</v>
          </cell>
        </row>
        <row r="1220">
          <cell r="B1220">
            <v>3010202</v>
          </cell>
          <cell r="C1220" t="str">
            <v>Testeur - Lotion Clarifiante 100 ml - 15% comprise</v>
          </cell>
          <cell r="D1220" t="str">
            <v>420000983</v>
          </cell>
          <cell r="E1220" t="str">
            <v>4020829004603</v>
          </cell>
          <cell r="G1220">
            <v>11.08</v>
          </cell>
          <cell r="H1220" t="e">
            <v>#N/A</v>
          </cell>
        </row>
        <row r="1221">
          <cell r="B1221">
            <v>3010201</v>
          </cell>
          <cell r="C1221" t="str">
            <v>Testeur - Lotion Tonifiante 100 ml - 15% comprise</v>
          </cell>
          <cell r="D1221" t="str">
            <v>429000042</v>
          </cell>
          <cell r="E1221" t="str">
            <v>4020829005204</v>
          </cell>
          <cell r="G1221">
            <v>10.91</v>
          </cell>
          <cell r="H1221" t="e">
            <v>#N/A</v>
          </cell>
        </row>
        <row r="1222">
          <cell r="B1222">
            <v>3010213</v>
          </cell>
          <cell r="C1222" t="str">
            <v>Testeur - Lotion Tonifiante 100 ml Edition Limitée 2024 - 15% comprise</v>
          </cell>
          <cell r="D1222" t="str">
            <v>420006315</v>
          </cell>
          <cell r="E1222" t="str">
            <v>4020829104518</v>
          </cell>
          <cell r="G1222" t="e">
            <v>#N/A</v>
          </cell>
          <cell r="H1222" t="e">
            <v>#N/A</v>
          </cell>
        </row>
        <row r="1223">
          <cell r="B1223">
            <v>3030402</v>
          </cell>
          <cell r="C1223" t="str">
            <v>Testeur - Lotion Tonifiante pour les Jambes 100 ml - 15% comprise</v>
          </cell>
          <cell r="D1223" t="str">
            <v>420000987</v>
          </cell>
          <cell r="E1223" t="str">
            <v>4020829004641</v>
          </cell>
          <cell r="G1223">
            <v>9.4348300000000016</v>
          </cell>
          <cell r="H1223" t="e">
            <v>#N/A</v>
          </cell>
        </row>
        <row r="1224">
          <cell r="B1224">
            <v>3060131</v>
          </cell>
          <cell r="C1224" t="str">
            <v>Testeur - Mascara Précision 01 noir - 15% comprise</v>
          </cell>
          <cell r="D1224" t="str">
            <v>420005899</v>
          </cell>
          <cell r="E1224" t="str">
            <v>4020829098282</v>
          </cell>
          <cell r="G1224">
            <v>9.6939100000000007</v>
          </cell>
          <cell r="H1224" t="e">
            <v>#N/A</v>
          </cell>
        </row>
        <row r="1225">
          <cell r="B1225">
            <v>3060132</v>
          </cell>
          <cell r="C1225" t="str">
            <v>Testeur - Mascara Précision 02 brun - 15% comprise</v>
          </cell>
          <cell r="D1225" t="str">
            <v>420005900</v>
          </cell>
          <cell r="E1225" t="str">
            <v>4020829098299</v>
          </cell>
          <cell r="G1225">
            <v>9.6939100000000007</v>
          </cell>
          <cell r="H1225" t="e">
            <v>#N/A</v>
          </cell>
        </row>
        <row r="1226">
          <cell r="B1226">
            <v>3060121</v>
          </cell>
          <cell r="C1226" t="str">
            <v>Testeur - Mascara volume 01 noir - 15% comprise</v>
          </cell>
          <cell r="D1226" t="str">
            <v>420005984</v>
          </cell>
          <cell r="E1226" t="str">
            <v>4020829099135</v>
          </cell>
          <cell r="G1226">
            <v>10.233659999999999</v>
          </cell>
          <cell r="H1226" t="e">
            <v>#N/A</v>
          </cell>
        </row>
        <row r="1227">
          <cell r="B1227">
            <v>3060122</v>
          </cell>
          <cell r="C1227" t="str">
            <v>Testeur - Mascara volume 02 brun - 15% comprise</v>
          </cell>
          <cell r="D1227" t="str">
            <v>420005926</v>
          </cell>
          <cell r="E1227" t="str">
            <v>4020829098558</v>
          </cell>
          <cell r="G1227">
            <v>10.233659999999999</v>
          </cell>
          <cell r="H1227" t="e">
            <v>#N/A</v>
          </cell>
        </row>
        <row r="1228">
          <cell r="B1228">
            <v>3010709</v>
          </cell>
          <cell r="C1228" t="str">
            <v>Testeur - Masque Apaisant 30 ml - 15% comprise</v>
          </cell>
          <cell r="D1228" t="str">
            <v>429000270</v>
          </cell>
          <cell r="E1228" t="str">
            <v>4020829007321</v>
          </cell>
          <cell r="G1228">
            <v>13.73124</v>
          </cell>
          <cell r="H1228" t="e">
            <v>#N/A</v>
          </cell>
        </row>
        <row r="1229">
          <cell r="B1229">
            <v>3010717</v>
          </cell>
          <cell r="C1229" t="str">
            <v>Testeur - Masque Crème Nourrissant 30 ml - 15% comprise</v>
          </cell>
          <cell r="D1229" t="str">
            <v>420002637</v>
          </cell>
          <cell r="E1229" t="str">
            <v>4020829041301</v>
          </cell>
          <cell r="G1229">
            <v>17.81175</v>
          </cell>
          <cell r="H1229" t="e">
            <v>#N/A</v>
          </cell>
        </row>
        <row r="1230">
          <cell r="B1230">
            <v>3010710</v>
          </cell>
          <cell r="C1230" t="str">
            <v>Testeur - Masque Restructurant 30 ml - 15% comprise</v>
          </cell>
          <cell r="D1230" t="str">
            <v>429000264</v>
          </cell>
          <cell r="E1230" t="str">
            <v>4020829007260</v>
          </cell>
          <cell r="G1230">
            <v>16.689070000000001</v>
          </cell>
          <cell r="H1230" t="e">
            <v>#N/A</v>
          </cell>
        </row>
        <row r="1231">
          <cell r="B1231">
            <v>3010707</v>
          </cell>
          <cell r="C1231" t="str">
            <v>Testeur - Masque Revitalisant 30 ml - 15% comprise</v>
          </cell>
          <cell r="D1231" t="str">
            <v>429000258</v>
          </cell>
          <cell r="E1231" t="str">
            <v>4020829007208</v>
          </cell>
          <cell r="G1231">
            <v>13.731240000000001</v>
          </cell>
          <cell r="H1231" t="e">
            <v>#N/A</v>
          </cell>
        </row>
        <row r="1232">
          <cell r="B1232">
            <v>3061121</v>
          </cell>
          <cell r="C1232" t="str">
            <v>Testeur - Ombre à paupières 04 verdélite - 15% comprise</v>
          </cell>
          <cell r="D1232" t="str">
            <v>420005950</v>
          </cell>
          <cell r="E1232" t="str">
            <v>4020829098794</v>
          </cell>
          <cell r="G1232">
            <v>5.4838599999999991</v>
          </cell>
          <cell r="H1232" t="e">
            <v>#N/A</v>
          </cell>
        </row>
        <row r="1233">
          <cell r="B1233">
            <v>3061122</v>
          </cell>
          <cell r="C1233" t="str">
            <v>Testeur - Ombre à paupières 07 aigue-marine - 15% comprise</v>
          </cell>
          <cell r="D1233" t="str">
            <v>420005952</v>
          </cell>
          <cell r="E1233" t="str">
            <v>4020829098817</v>
          </cell>
          <cell r="G1233">
            <v>5.48</v>
          </cell>
          <cell r="H1233" t="e">
            <v>#N/A</v>
          </cell>
        </row>
        <row r="1234">
          <cell r="B1234">
            <v>3061123</v>
          </cell>
          <cell r="C1234" t="str">
            <v>Testeur - Ombre à paupières 08 topaze dorée - 15% comprise</v>
          </cell>
          <cell r="D1234" t="str">
            <v>420005954</v>
          </cell>
          <cell r="E1234" t="str">
            <v>4020829098831</v>
          </cell>
          <cell r="G1234">
            <v>5.4838599999999991</v>
          </cell>
          <cell r="H1234" t="e">
            <v>#N/A</v>
          </cell>
        </row>
        <row r="1235">
          <cell r="B1235">
            <v>3061133</v>
          </cell>
          <cell r="C1235" t="str">
            <v>Testeur - Palette Yeux &amp; Sourcils 01 caillou - 15% comprise</v>
          </cell>
          <cell r="D1235" t="str">
            <v>420005945</v>
          </cell>
          <cell r="E1235" t="str">
            <v>4020829098749</v>
          </cell>
          <cell r="G1235">
            <v>13.256259999999999</v>
          </cell>
          <cell r="H1235" t="e">
            <v>#N/A</v>
          </cell>
        </row>
        <row r="1236">
          <cell r="B1236">
            <v>3060823</v>
          </cell>
          <cell r="C1236" t="str">
            <v>Testeur - Poudre Bronzante 01 bronze - 15% comprise</v>
          </cell>
          <cell r="D1236" t="str">
            <v>420005932</v>
          </cell>
          <cell r="E1236" t="str">
            <v>4020829098619</v>
          </cell>
          <cell r="G1236">
            <v>10.98931</v>
          </cell>
          <cell r="H1236" t="e">
            <v>#N/A</v>
          </cell>
        </row>
        <row r="1237">
          <cell r="B1237">
            <v>3060807</v>
          </cell>
          <cell r="C1237" t="str">
            <v>Testeur - Poudre Compacte 00 transparente - 15% comprise</v>
          </cell>
          <cell r="D1237" t="str">
            <v>420005987</v>
          </cell>
          <cell r="E1237" t="str">
            <v>4020829099166</v>
          </cell>
          <cell r="G1237">
            <v>10.082529999999998</v>
          </cell>
          <cell r="H1237" t="e">
            <v>#N/A</v>
          </cell>
        </row>
        <row r="1238">
          <cell r="B1238">
            <v>3060805</v>
          </cell>
          <cell r="C1238" t="str">
            <v>Testeur - Poudre Compacte Correctrice - 01 vivifiante - 15 % comprise*</v>
          </cell>
          <cell r="D1238" t="str">
            <v>420005937</v>
          </cell>
          <cell r="E1238" t="str">
            <v>4020829098664</v>
          </cell>
          <cell r="G1238">
            <v>13.256259999999999</v>
          </cell>
          <cell r="H1238" t="e">
            <v>#N/A</v>
          </cell>
        </row>
        <row r="1239">
          <cell r="B1239">
            <v>3060806</v>
          </cell>
          <cell r="C1239" t="str">
            <v>Testeur - Poudre Compacte Correctrice - 02 apaisante - 15 % comprise*</v>
          </cell>
          <cell r="D1239" t="str">
            <v>420005939</v>
          </cell>
          <cell r="E1239" t="str">
            <v>4020829098688</v>
          </cell>
          <cell r="G1239">
            <v>13.256259999999999</v>
          </cell>
          <cell r="H1239" t="e">
            <v>#N/A</v>
          </cell>
        </row>
        <row r="1240">
          <cell r="B1240">
            <v>3060804</v>
          </cell>
          <cell r="C1240" t="str">
            <v>Testeur - Poudre Compacte Correctrice 00 transparente - 15% comprise</v>
          </cell>
          <cell r="D1240" t="str">
            <v>420005935</v>
          </cell>
          <cell r="E1240" t="str">
            <v>4020829098640</v>
          </cell>
          <cell r="G1240">
            <v>13.256259999999999</v>
          </cell>
          <cell r="H1240" t="e">
            <v>#N/A</v>
          </cell>
        </row>
        <row r="1241">
          <cell r="B1241">
            <v>3060822</v>
          </cell>
          <cell r="C1241" t="str">
            <v>Testeur - Poudre Libre 00 transparente - 15% comprise</v>
          </cell>
          <cell r="D1241" t="str">
            <v>420005925</v>
          </cell>
          <cell r="E1241" t="str">
            <v>4020829098541</v>
          </cell>
          <cell r="G1241">
            <v>13.428979999999999</v>
          </cell>
          <cell r="H1241" t="e">
            <v>#N/A</v>
          </cell>
        </row>
        <row r="1242">
          <cell r="B1242">
            <v>3030601</v>
          </cell>
          <cell r="C1242" t="str">
            <v>Testeur - Poudre de Soie 50 g - 15% comprise</v>
          </cell>
          <cell r="D1242" t="str">
            <v>420000989</v>
          </cell>
          <cell r="E1242" t="str">
            <v>4020829004665</v>
          </cell>
          <cell r="G1242" t="e">
            <v>#N/A</v>
          </cell>
          <cell r="H1242" t="e">
            <v>#N/A</v>
          </cell>
        </row>
        <row r="1243">
          <cell r="B1243">
            <v>3060250</v>
          </cell>
          <cell r="C1243" t="str">
            <v>Testeur - Rouge à Lèvres 02 mandevilla - 15% comprise</v>
          </cell>
          <cell r="D1243" t="str">
            <v>3060250</v>
          </cell>
          <cell r="E1243" t="str">
            <v>4020829098916</v>
          </cell>
          <cell r="G1243">
            <v>10.233659999999999</v>
          </cell>
          <cell r="H1243" t="e">
            <v>#N/A</v>
          </cell>
        </row>
        <row r="1244">
          <cell r="B1244">
            <v>3060260</v>
          </cell>
          <cell r="C1244" t="str">
            <v>Testeur - Rouge à Lèvres 02 mandevilla Édition Limitée 2025 - 15% comprise</v>
          </cell>
          <cell r="D1244" t="str">
            <v>420006535</v>
          </cell>
          <cell r="E1244" t="str">
            <v>4020829111080</v>
          </cell>
          <cell r="G1244" t="e">
            <v>#N/A</v>
          </cell>
          <cell r="H1244" t="e">
            <v>#N/A</v>
          </cell>
        </row>
        <row r="1245">
          <cell r="B1245">
            <v>3060251</v>
          </cell>
          <cell r="C1245" t="str">
            <v>Testeur - Rouge à Lèvres 03 camellia - 15% comprise</v>
          </cell>
          <cell r="D1245" t="str">
            <v>420005964</v>
          </cell>
          <cell r="E1245" t="str">
            <v>4020829098930</v>
          </cell>
          <cell r="G1245">
            <v>10.233659999999999</v>
          </cell>
          <cell r="H1245" t="e">
            <v>#N/A</v>
          </cell>
        </row>
        <row r="1246">
          <cell r="B1246">
            <v>3060252</v>
          </cell>
          <cell r="C1246" t="str">
            <v>Testeur - Rouge à Lèvres 06 azalea - 15% comprise</v>
          </cell>
          <cell r="D1246" t="str">
            <v>420005966</v>
          </cell>
          <cell r="E1246" t="str">
            <v>4020829098954</v>
          </cell>
          <cell r="G1246">
            <v>10.233659999999999</v>
          </cell>
          <cell r="H1246" t="e">
            <v>#N/A</v>
          </cell>
        </row>
        <row r="1247">
          <cell r="B1247">
            <v>3060253</v>
          </cell>
          <cell r="C1247" t="str">
            <v>Testeur - Rouge à Lèvres 07 orphin - 15% comprise</v>
          </cell>
          <cell r="D1247" t="str">
            <v>420005968</v>
          </cell>
          <cell r="E1247" t="str">
            <v>4020829098978</v>
          </cell>
          <cell r="G1247">
            <v>10.233659999999999</v>
          </cell>
          <cell r="H1247" t="e">
            <v>#N/A</v>
          </cell>
        </row>
        <row r="1248">
          <cell r="B1248">
            <v>3060254</v>
          </cell>
          <cell r="C1248" t="str">
            <v>Testeur - Rouge à Lèvres 10 dahlia - 15% comprise</v>
          </cell>
          <cell r="D1248" t="str">
            <v>420005970</v>
          </cell>
          <cell r="E1248" t="str">
            <v>4020829098992</v>
          </cell>
          <cell r="G1248">
            <v>10.233659999999999</v>
          </cell>
          <cell r="H1248" t="e">
            <v>#N/A</v>
          </cell>
        </row>
        <row r="1249">
          <cell r="B1249">
            <v>3060255</v>
          </cell>
          <cell r="C1249" t="str">
            <v>Testeur - Rouge à Lèvres 11 amaryllis - 15% comprise</v>
          </cell>
          <cell r="D1249" t="str">
            <v>420005972</v>
          </cell>
          <cell r="E1249" t="str">
            <v>4020829099012</v>
          </cell>
          <cell r="G1249">
            <v>10.233659999999999</v>
          </cell>
          <cell r="H1249" t="e">
            <v>#N/A</v>
          </cell>
        </row>
        <row r="1250">
          <cell r="B1250">
            <v>3060256</v>
          </cell>
          <cell r="C1250" t="str">
            <v>Testeur - Rouge à Lèvres 13 bromelia - 15% comprise</v>
          </cell>
          <cell r="D1250" t="str">
            <v>420005974</v>
          </cell>
          <cell r="E1250" t="str">
            <v>4020829099036</v>
          </cell>
          <cell r="G1250">
            <v>10.233659999999999</v>
          </cell>
          <cell r="H1250" t="e">
            <v>#N/A</v>
          </cell>
        </row>
        <row r="1251">
          <cell r="B1251">
            <v>3060257</v>
          </cell>
          <cell r="C1251" t="str">
            <v>Testeur - Rouge à Lèvres 14 caralluma - 15% comprise</v>
          </cell>
          <cell r="D1251" t="str">
            <v>420005976</v>
          </cell>
          <cell r="E1251" t="str">
            <v>4020829099050</v>
          </cell>
          <cell r="G1251">
            <v>10.233659999999999</v>
          </cell>
          <cell r="H1251" t="e">
            <v>#N/A</v>
          </cell>
        </row>
        <row r="1252">
          <cell r="B1252">
            <v>3060258</v>
          </cell>
          <cell r="C1252" t="str">
            <v>Testeur - Rouge à Lèvres 22 Calibrachoa - 15% compris</v>
          </cell>
          <cell r="D1252" t="str">
            <v>420005978</v>
          </cell>
          <cell r="E1252" t="str">
            <v>4020829099074</v>
          </cell>
          <cell r="G1252">
            <v>10.233659999999999</v>
          </cell>
          <cell r="H1252" t="e">
            <v>#N/A</v>
          </cell>
        </row>
        <row r="1253">
          <cell r="B1253">
            <v>3060259</v>
          </cell>
          <cell r="C1253" t="str">
            <v>Testeur - Rouge à Lèvres 26 Hibiscus - 15% compris</v>
          </cell>
          <cell r="D1253" t="str">
            <v>420005980</v>
          </cell>
          <cell r="E1253" t="str">
            <v>4020829099098</v>
          </cell>
          <cell r="G1253">
            <v>10.233659999999999</v>
          </cell>
          <cell r="H1253" t="e">
            <v>#N/A</v>
          </cell>
        </row>
        <row r="1254">
          <cell r="B1254">
            <v>3010406</v>
          </cell>
          <cell r="C1254" t="str">
            <v>Testeur - Stick Correcteur 01 - 1.9 g - 15% comprise</v>
          </cell>
          <cell r="D1254" t="str">
            <v>420005651</v>
          </cell>
          <cell r="E1254" t="str">
            <v>4020829095038</v>
          </cell>
          <cell r="G1254">
            <v>6.59</v>
          </cell>
          <cell r="H1254" t="e">
            <v>#N/A</v>
          </cell>
        </row>
        <row r="1255">
          <cell r="B1255">
            <v>3010407</v>
          </cell>
          <cell r="C1255" t="str">
            <v>Testeur - Stick Correcteur 02 - 1.9 g - 15% comprise</v>
          </cell>
          <cell r="D1255" t="str">
            <v>420005652</v>
          </cell>
          <cell r="E1255" t="str">
            <v>4020829095045</v>
          </cell>
          <cell r="G1255">
            <v>6.59</v>
          </cell>
          <cell r="H1255" t="e">
            <v>#N/A</v>
          </cell>
        </row>
        <row r="1256">
          <cell r="B1256">
            <v>3020717</v>
          </cell>
          <cell r="C1256" t="str">
            <v>Testeur - Sérum Contour des Yeux - Régénérant Intensif -15 ml - 15% comprise</v>
          </cell>
          <cell r="D1256" t="str">
            <v>420006152</v>
          </cell>
          <cell r="E1256" t="str">
            <v>4020829101098</v>
          </cell>
          <cell r="G1256">
            <v>27.915869999999998</v>
          </cell>
          <cell r="H1256" t="e">
            <v>#N/A</v>
          </cell>
        </row>
        <row r="1257">
          <cell r="B1257">
            <v>3020704</v>
          </cell>
          <cell r="C1257" t="str">
            <v>Testeur - Sérum Huile Régénérant Intensif - 20 ml - 15 % comprise</v>
          </cell>
          <cell r="D1257" t="str">
            <v>420004229</v>
          </cell>
          <cell r="E1257" t="str">
            <v>4020829074132</v>
          </cell>
          <cell r="G1257" t="e">
            <v>#N/A</v>
          </cell>
          <cell r="H1257" t="e">
            <v>#N/A</v>
          </cell>
        </row>
        <row r="1258">
          <cell r="B1258">
            <v>3020202</v>
          </cell>
          <cell r="C1258" t="str">
            <v>Testeur - Sérum Jour / Nuit - Régénérant 30ml - 15% comprise</v>
          </cell>
          <cell r="D1258" t="str">
            <v>420006258</v>
          </cell>
          <cell r="E1258" t="str">
            <v>4020829103146</v>
          </cell>
          <cell r="G1258">
            <v>25.23</v>
          </cell>
          <cell r="H1258" t="e">
            <v>#N/A</v>
          </cell>
        </row>
        <row r="1259">
          <cell r="B1259">
            <v>3020201</v>
          </cell>
          <cell r="C1259" t="str">
            <v>Testeur - Sérum Régénérant Jour/Nuit 30 ml - 15% comprise</v>
          </cell>
          <cell r="D1259" t="str">
            <v>429000247</v>
          </cell>
          <cell r="E1259" t="str">
            <v>4020829007093</v>
          </cell>
          <cell r="G1259" t="e">
            <v>#N/A</v>
          </cell>
          <cell r="H1259" t="e">
            <v>#N/A</v>
          </cell>
        </row>
        <row r="1260">
          <cell r="B1260">
            <v>3010209</v>
          </cell>
          <cell r="C1260" t="str">
            <v>Testeur - Sérum Tonifiant Nuit 20 ml  - 15% comprise</v>
          </cell>
          <cell r="D1260" t="str">
            <v>420003573</v>
          </cell>
          <cell r="E1260" t="str">
            <v>4020829062658</v>
          </cell>
          <cell r="G1260">
            <v>13.29</v>
          </cell>
          <cell r="H1260" t="e">
            <v>#N/A</v>
          </cell>
        </row>
        <row r="1261">
          <cell r="B1261">
            <v>3020718</v>
          </cell>
          <cell r="C1261" t="str">
            <v>Testeur - Sérum de Nuit - Régénérant Intensif 30ml - 15% comprise</v>
          </cell>
          <cell r="D1261" t="str">
            <v>420006157</v>
          </cell>
          <cell r="E1261" t="str">
            <v>4020829101142</v>
          </cell>
          <cell r="G1261">
            <v>28.99</v>
          </cell>
          <cell r="H1261" t="e">
            <v>#N/A</v>
          </cell>
        </row>
        <row r="1262">
          <cell r="B1262">
            <v>3040224</v>
          </cell>
          <cell r="C1262" t="str">
            <v>Testeur Bain Moor Lavande 30ml Edition Limitée Noël 2023</v>
          </cell>
          <cell r="D1262" t="str">
            <v>420006070</v>
          </cell>
          <cell r="E1262" t="str">
            <v>4020829100145</v>
          </cell>
          <cell r="G1262" t="e">
            <v>#N/A</v>
          </cell>
          <cell r="H1262" t="e">
            <v>#N/A</v>
          </cell>
        </row>
        <row r="1263">
          <cell r="B1263">
            <v>3010726</v>
          </cell>
          <cell r="C1263" t="str">
            <v>Testeur- - Cure Intensive pour Peaux Réactives - 40 ml - 15% comprise</v>
          </cell>
          <cell r="D1263" t="str">
            <v>420005869</v>
          </cell>
          <cell r="E1263" t="str">
            <v>4020829097698</v>
          </cell>
          <cell r="G1263" t="e">
            <v>#N/A</v>
          </cell>
          <cell r="H1263" t="e">
            <v>#N/A</v>
          </cell>
        </row>
        <row r="1264">
          <cell r="B1264">
            <v>6500139</v>
          </cell>
          <cell r="C1264" t="str">
            <v>Tirette pour présentoir actuel</v>
          </cell>
          <cell r="D1264" t="str">
            <v>6500139</v>
          </cell>
          <cell r="E1264" t="str">
            <v>9999996500139</v>
          </cell>
          <cell r="G1264" t="e">
            <v>#N/A</v>
          </cell>
          <cell r="H1264" t="e">
            <v>#N/A</v>
          </cell>
        </row>
        <row r="1265">
          <cell r="B1265" t="str">
            <v>TC</v>
          </cell>
          <cell r="C1265" t="str">
            <v>Total Colis</v>
          </cell>
          <cell r="G1265" t="e">
            <v>#N/A</v>
          </cell>
          <cell r="H1265" t="e">
            <v>#N/A</v>
          </cell>
        </row>
        <row r="1266">
          <cell r="B1266" t="str">
            <v>TT</v>
          </cell>
          <cell r="C1266" t="str">
            <v>Total facture</v>
          </cell>
          <cell r="G1266" t="e">
            <v>#N/A</v>
          </cell>
          <cell r="H1266" t="e">
            <v>#N/A</v>
          </cell>
        </row>
        <row r="1267">
          <cell r="B1267">
            <v>1061101</v>
          </cell>
          <cell r="C1267" t="str">
            <v>Trio Ombres à Paupières 01 saphir - Dernières unités</v>
          </cell>
          <cell r="D1267" t="str">
            <v>429000611</v>
          </cell>
          <cell r="E1267" t="str">
            <v>4020829045026</v>
          </cell>
          <cell r="G1267" t="e">
            <v>#N/A</v>
          </cell>
          <cell r="H1267" t="e">
            <v>#N/A</v>
          </cell>
        </row>
        <row r="1268">
          <cell r="B1268">
            <v>1061102</v>
          </cell>
          <cell r="C1268" t="str">
            <v>Trio Ombres à Paupières 02 jade - Dernières unités</v>
          </cell>
          <cell r="D1268" t="str">
            <v>429000613</v>
          </cell>
          <cell r="E1268" t="str">
            <v>4020829045040</v>
          </cell>
          <cell r="G1268" t="e">
            <v>#N/A</v>
          </cell>
          <cell r="H1268" t="e">
            <v>#N/A</v>
          </cell>
        </row>
        <row r="1269">
          <cell r="B1269">
            <v>1061103</v>
          </cell>
          <cell r="C1269" t="str">
            <v>Trio Ombres à Paupières 03 amétrine - Dernières unités</v>
          </cell>
          <cell r="D1269" t="str">
            <v>429000615</v>
          </cell>
          <cell r="E1269" t="str">
            <v>4020829045064</v>
          </cell>
          <cell r="G1269" t="e">
            <v>#N/A</v>
          </cell>
          <cell r="H1269" t="e">
            <v>#N/A</v>
          </cell>
        </row>
        <row r="1270">
          <cell r="B1270">
            <v>1061104</v>
          </cell>
          <cell r="C1270" t="str">
            <v>Trio Ombres à Paupières 04 pierre de soleil - Dernières unités</v>
          </cell>
          <cell r="D1270" t="str">
            <v>429000617</v>
          </cell>
          <cell r="E1270" t="str">
            <v>4020829045088</v>
          </cell>
          <cell r="G1270" t="e">
            <v>#N/A</v>
          </cell>
          <cell r="H1270" t="e">
            <v>#N/A</v>
          </cell>
        </row>
        <row r="1271">
          <cell r="B1271">
            <v>6600015</v>
          </cell>
          <cell r="C1271" t="str">
            <v>Trousse Orange Cosmétiques Tailles Spéciales</v>
          </cell>
          <cell r="D1271" t="str">
            <v>6600015</v>
          </cell>
          <cell r="E1271" t="str">
            <v>4020829090583</v>
          </cell>
          <cell r="G1271" t="e">
            <v>#N/A</v>
          </cell>
          <cell r="H1271" t="e">
            <v>#N/A</v>
          </cell>
        </row>
        <row r="1272">
          <cell r="B1272">
            <v>6600038</v>
          </cell>
          <cell r="C1272" t="str">
            <v>Trousse vide Rituel découverte</v>
          </cell>
          <cell r="E1272" t="str">
            <v>9999996600038</v>
          </cell>
          <cell r="G1272" t="e">
            <v>#N/A</v>
          </cell>
          <cell r="H1272" t="e">
            <v>#N/A</v>
          </cell>
        </row>
        <row r="1273">
          <cell r="B1273">
            <v>6600041</v>
          </cell>
          <cell r="C1273" t="str">
            <v>Trousse vide en coton</v>
          </cell>
          <cell r="E1273" t="str">
            <v>660004199999</v>
          </cell>
          <cell r="G1273" t="e">
            <v>#N/A</v>
          </cell>
          <cell r="H1273" t="e">
            <v>#N/A</v>
          </cell>
        </row>
        <row r="1274">
          <cell r="B1274">
            <v>2080428</v>
          </cell>
          <cell r="C1274" t="str">
            <v>Tshirt institut - taille 36</v>
          </cell>
          <cell r="D1274" t="str">
            <v>2080428</v>
          </cell>
          <cell r="E1274" t="str">
            <v>208042899999</v>
          </cell>
          <cell r="G1274" t="e">
            <v>#N/A</v>
          </cell>
          <cell r="H1274" t="e">
            <v>#N/A</v>
          </cell>
        </row>
        <row r="1275">
          <cell r="B1275">
            <v>2080429</v>
          </cell>
          <cell r="C1275" t="str">
            <v>Tshirt institut - taille 38</v>
          </cell>
          <cell r="D1275" t="str">
            <v>2080429</v>
          </cell>
          <cell r="E1275" t="str">
            <v>208042999999</v>
          </cell>
          <cell r="G1275" t="e">
            <v>#N/A</v>
          </cell>
          <cell r="H1275" t="e">
            <v>#N/A</v>
          </cell>
        </row>
        <row r="1276">
          <cell r="B1276">
            <v>2080430</v>
          </cell>
          <cell r="C1276" t="str">
            <v>Tshirt institut - taille 40</v>
          </cell>
          <cell r="D1276" t="str">
            <v>2080430</v>
          </cell>
          <cell r="E1276" t="str">
            <v>208043099999</v>
          </cell>
          <cell r="G1276" t="e">
            <v>#N/A</v>
          </cell>
          <cell r="H1276" t="e">
            <v>#N/A</v>
          </cell>
        </row>
        <row r="1277">
          <cell r="B1277">
            <v>2080431</v>
          </cell>
          <cell r="C1277" t="str">
            <v>Tshirt institut - taille 42</v>
          </cell>
          <cell r="D1277" t="str">
            <v>2080431</v>
          </cell>
          <cell r="E1277" t="str">
            <v>208043199999</v>
          </cell>
          <cell r="G1277" t="e">
            <v>#N/A</v>
          </cell>
          <cell r="H1277" t="e">
            <v>#N/A</v>
          </cell>
        </row>
        <row r="1278">
          <cell r="B1278">
            <v>2080432</v>
          </cell>
          <cell r="C1278" t="str">
            <v>Tshirt institut - taille 44</v>
          </cell>
          <cell r="D1278" t="str">
            <v>2080432</v>
          </cell>
          <cell r="E1278" t="str">
            <v>208043299999</v>
          </cell>
          <cell r="G1278" t="e">
            <v>#N/A</v>
          </cell>
          <cell r="H1278" t="e">
            <v>#N/A</v>
          </cell>
        </row>
        <row r="1279">
          <cell r="B1279">
            <v>2080433</v>
          </cell>
          <cell r="C1279" t="str">
            <v>Tshirt institut - taille 46</v>
          </cell>
          <cell r="D1279" t="str">
            <v>2080433</v>
          </cell>
          <cell r="E1279" t="str">
            <v>208043399999</v>
          </cell>
          <cell r="G1279" t="e">
            <v>#N/A</v>
          </cell>
          <cell r="H1279" t="e">
            <v>#N/A</v>
          </cell>
        </row>
        <row r="1280">
          <cell r="B1280">
            <v>2080434</v>
          </cell>
          <cell r="C1280" t="str">
            <v>Tshirt institut - taille 50</v>
          </cell>
          <cell r="D1280" t="str">
            <v>2080434</v>
          </cell>
          <cell r="E1280" t="str">
            <v>208043499999</v>
          </cell>
          <cell r="G1280" t="e">
            <v>#N/A</v>
          </cell>
          <cell r="H1280" t="e">
            <v>#N/A</v>
          </cell>
        </row>
        <row r="1281">
          <cell r="B1281">
            <v>7131247</v>
          </cell>
          <cell r="C1281" t="str">
            <v>Un bronzage Sublime</v>
          </cell>
          <cell r="E1281" t="str">
            <v>9999997131247</v>
          </cell>
          <cell r="G1281" t="e">
            <v>#N/A</v>
          </cell>
          <cell r="H1281" t="e">
            <v>#N/A</v>
          </cell>
        </row>
        <row r="1282">
          <cell r="B1282" t="str">
            <v>INTERNET-V-ACOMPTE</v>
          </cell>
          <cell r="C1282" t="str">
            <v>Vente Acompte soin Internet</v>
          </cell>
          <cell r="G1282" t="e">
            <v>#N/A</v>
          </cell>
          <cell r="H1282" t="e">
            <v>#N/A</v>
          </cell>
        </row>
        <row r="1283">
          <cell r="B1283" t="str">
            <v>INTERNET-V-SOIN</v>
          </cell>
          <cell r="C1283" t="str">
            <v>Vente Soin intégral Internet</v>
          </cell>
          <cell r="G1283" t="e">
            <v>#N/A</v>
          </cell>
          <cell r="H1283" t="e">
            <v>#N/A</v>
          </cell>
        </row>
        <row r="1284">
          <cell r="B1284" t="str">
            <v>CDE1</v>
          </cell>
          <cell r="C1284" t="str">
            <v>Votre commande N° par COURRIEL ou TELECOPIE ou COURRIER du xx mois année</v>
          </cell>
          <cell r="G1284" t="e">
            <v>#N/A</v>
          </cell>
          <cell r="H1284" t="e">
            <v>#N/A</v>
          </cell>
        </row>
        <row r="1285">
          <cell r="B1285" t="str">
            <v>CDE2</v>
          </cell>
          <cell r="C1285" t="str">
            <v>Votre commande N° par COURRIEL ou TELECOPIE ou COURRIER du xx mois année via vot</v>
          </cell>
          <cell r="G1285" t="e">
            <v>#N/A</v>
          </cell>
          <cell r="H1285" t="e">
            <v>#N/A</v>
          </cell>
        </row>
        <row r="1286">
          <cell r="B1286" t="str">
            <v>AV7XXX</v>
          </cell>
          <cell r="C1286" t="str">
            <v>XXX Essentiel - MEA Noël 2023 (copie)</v>
          </cell>
          <cell r="G1286" t="e">
            <v>#N/A</v>
          </cell>
          <cell r="H1286" t="e">
            <v>#N/A</v>
          </cell>
        </row>
        <row r="1287">
          <cell r="C1287" t="str">
            <v>[EvtCo15Portail] 15% sur votre commande.</v>
          </cell>
          <cell r="G1287" t="e">
            <v>#N/A</v>
          </cell>
          <cell r="H1287" t="e">
            <v>#N/A</v>
          </cell>
        </row>
        <row r="1288">
          <cell r="C1288" t="str">
            <v>offre</v>
          </cell>
          <cell r="G1288" t="e">
            <v>#N/A</v>
          </cell>
          <cell r="H1288" t="e">
            <v>#N/A</v>
          </cell>
        </row>
        <row r="1289">
          <cell r="B1289">
            <v>982025</v>
          </cell>
          <cell r="C1289" t="str">
            <v>refacturation hébergement</v>
          </cell>
          <cell r="E1289" t="str">
            <v>999999982025</v>
          </cell>
          <cell r="G1289" t="e">
            <v>#N/A</v>
          </cell>
          <cell r="H1289" t="e">
            <v>#N/A</v>
          </cell>
        </row>
      </sheetData>
      <sheetData sheetId="48" refreshError="1"/>
      <sheetData sheetId="49" refreshError="1">
        <row r="3">
          <cell r="D3" t="str">
            <v>New Base PA</v>
          </cell>
        </row>
        <row r="4">
          <cell r="D4" t="str">
            <v>&lt;&lt;</v>
          </cell>
          <cell r="J4" t="str">
            <v>Source BDD Planning Allemagne</v>
          </cell>
        </row>
        <row r="9">
          <cell r="D9" t="str">
            <v>Code à barres</v>
          </cell>
          <cell r="F9" t="str">
            <v>Code article</v>
          </cell>
          <cell r="G9" t="str">
            <v>Libellé article</v>
          </cell>
          <cell r="H9" t="str">
            <v>Libellé produit</v>
          </cell>
          <cell r="J9" t="str">
            <v>PA</v>
          </cell>
        </row>
        <row r="10">
          <cell r="D10">
            <v>4020829116863</v>
          </cell>
          <cell r="F10" t="str">
            <v>ONPACK ROSE</v>
          </cell>
          <cell r="G10" t="str">
            <v>OnPack Crème de Jour à la Rose + mini Émulsion Teintée 2,5ml 2026</v>
          </cell>
          <cell r="J10">
            <v>7.49</v>
          </cell>
        </row>
        <row r="11">
          <cell r="D11">
            <v>4020829116559</v>
          </cell>
          <cell r="F11" t="str">
            <v>ONPACK LEGERE ROSE</v>
          </cell>
          <cell r="G11" t="str">
            <v>OnPack Crème de Jour Légère à la Rose + mini Émulsion Teintée 2,5ml 2026</v>
          </cell>
          <cell r="J11">
            <v>7.49</v>
          </cell>
        </row>
        <row r="12">
          <cell r="D12">
            <v>4020829116795</v>
          </cell>
          <cell r="F12" t="str">
            <v>ONPACK MELISSE</v>
          </cell>
          <cell r="G12" t="str">
            <v>OnPack Crème de Jour à la Mélisse + mini Émulsion Teintée 2,5ml 2026</v>
          </cell>
          <cell r="J12">
            <v>7.16</v>
          </cell>
        </row>
        <row r="13">
          <cell r="D13">
            <v>4020829116719</v>
          </cell>
          <cell r="F13" t="str">
            <v>ONPACK COING</v>
          </cell>
          <cell r="G13" t="str">
            <v>OnPack Crème de Jour au Coing + mini Émulsion Teintée 2,5ml 2026</v>
          </cell>
          <cell r="J13">
            <v>7.63</v>
          </cell>
        </row>
        <row r="14">
          <cell r="D14">
            <v>4020829116627</v>
          </cell>
          <cell r="F14" t="str">
            <v>ONPACK ABRICOT</v>
          </cell>
          <cell r="G14" t="str">
            <v>OnPack Crème de Jour à l'Abricot + mini Émulsion Teintée 2,5ml 2026</v>
          </cell>
          <cell r="J14">
            <v>7.16</v>
          </cell>
        </row>
        <row r="15">
          <cell r="F15" t="str">
            <v>PANNEAU ONPACKS 2026</v>
          </cell>
          <cell r="G15" t="str">
            <v>Panneau A1 OnPacks 2026</v>
          </cell>
          <cell r="J15">
            <v>30</v>
          </cell>
        </row>
        <row r="16">
          <cell r="F16" t="str">
            <v>PRESENTOIR ONPACKS 2026</v>
          </cell>
          <cell r="G16" t="str">
            <v>Présentoir OnPacks 2026</v>
          </cell>
          <cell r="J16">
            <v>22</v>
          </cell>
        </row>
        <row r="17">
          <cell r="F17" t="str">
            <v>TG 3D</v>
          </cell>
          <cell r="G17" t="str">
            <v>TG 3D 2026</v>
          </cell>
          <cell r="J17">
            <v>125</v>
          </cell>
        </row>
        <row r="18">
          <cell r="F18" t="str">
            <v>FLUIDE REVITALISANT SPRING PROMO 2026</v>
          </cell>
          <cell r="G18" t="str">
            <v>Fluide de Jour Revitalisant 75 ml Édition Limitée 2026</v>
          </cell>
          <cell r="J18">
            <v>8.15</v>
          </cell>
        </row>
        <row r="19">
          <cell r="F19" t="str">
            <v>CREME PURIFIANTE SPRING PROMO 2026</v>
          </cell>
          <cell r="G19" t="str">
            <v>Crème Purifiante pour le Visage 75 ml Édition Limitée 2026</v>
          </cell>
          <cell r="J19">
            <v>5.6</v>
          </cell>
        </row>
        <row r="20">
          <cell r="F20" t="str">
            <v>CREME MAINS SPRING PROMO 2026</v>
          </cell>
          <cell r="G20" t="str">
            <v>Crème pour les Mains 75 ml Édition Limitée 2026</v>
          </cell>
          <cell r="J20">
            <v>4.67</v>
          </cell>
        </row>
        <row r="21">
          <cell r="F21" t="str">
            <v>TESTEUR FLUIDE REVITALISANT SPRING PROMO 2026</v>
          </cell>
          <cell r="G21" t="str">
            <v>Testeur - Fluide de Jour Revitalisant 75 ml Édition Limitée 2026</v>
          </cell>
          <cell r="J21">
            <v>5.98</v>
          </cell>
        </row>
        <row r="22">
          <cell r="F22" t="str">
            <v>TESTEUR CREME PURIFIANTE SPRING PROMO 2026</v>
          </cell>
          <cell r="G22" t="str">
            <v>Testeur - Crème Purifiante pour le Visage 75 ml Édition Limitée 2026</v>
          </cell>
          <cell r="J22">
            <v>4.04</v>
          </cell>
        </row>
        <row r="23">
          <cell r="F23" t="str">
            <v>TESTEUR CREME MAINS SPRING PROMO 2026</v>
          </cell>
          <cell r="G23" t="str">
            <v>Testeur - Crème pour les Mains 75 ml Édition Limitée 2026</v>
          </cell>
          <cell r="J23">
            <v>3.43</v>
          </cell>
        </row>
        <row r="24">
          <cell r="F24" t="str">
            <v>PRESENTOIR SPRING PROMO</v>
          </cell>
          <cell r="G24" t="str">
            <v>Présentoir Édition Limitée 2026</v>
          </cell>
          <cell r="J24">
            <v>13</v>
          </cell>
        </row>
        <row r="25">
          <cell r="F25" t="str">
            <v>TRIANGLE SPRING PROMO</v>
          </cell>
          <cell r="G25" t="str">
            <v>Triangle de communication Édition Limitée 2026</v>
          </cell>
          <cell r="J25">
            <v>1.5</v>
          </cell>
        </row>
        <row r="26">
          <cell r="F26" t="str">
            <v>JUMBO PECHE</v>
          </cell>
          <cell r="G26" t="str">
            <v>Crayon à Lèvres Jumbo 01 pêche - Édition Limitée 2026</v>
          </cell>
          <cell r="J26">
            <v>4.4000000000000004</v>
          </cell>
        </row>
        <row r="27">
          <cell r="F27" t="str">
            <v>JUMBO CERISE</v>
          </cell>
          <cell r="G27" t="str">
            <v>Crayon à Lèvres Jumbo 02 cerise - Édition Limitée 2026</v>
          </cell>
          <cell r="J27">
            <v>4.4000000000000004</v>
          </cell>
        </row>
        <row r="28">
          <cell r="F28" t="str">
            <v>JUMBO RAISIN</v>
          </cell>
          <cell r="G28" t="str">
            <v>Crayon à Lèvres Jumbo 03 raisin - Édition Limitée 2026</v>
          </cell>
          <cell r="J28">
            <v>4.4000000000000004</v>
          </cell>
        </row>
        <row r="29">
          <cell r="F29" t="str">
            <v>JUMBO LITCHI</v>
          </cell>
          <cell r="G29" t="str">
            <v>Crayon à Lèvres Jumbo 04 litchi - Édition Limitée 2026</v>
          </cell>
          <cell r="J29">
            <v>4.4000000000000004</v>
          </cell>
        </row>
        <row r="30">
          <cell r="F30" t="str">
            <v>TESTEUR JUMBO PECHE</v>
          </cell>
          <cell r="G30" t="str">
            <v>Testeur - Crayon à Lèvres Jumbo 01 pêche - Édition Limitée 2026</v>
          </cell>
          <cell r="J30">
            <v>3.8</v>
          </cell>
        </row>
        <row r="31">
          <cell r="F31" t="str">
            <v>TESTEUR JUMBO CERISE</v>
          </cell>
          <cell r="G31" t="str">
            <v>Testeur - Crayon à Lèvres Jumbo 02 cerise - Édition Limitée 2026</v>
          </cell>
          <cell r="J31">
            <v>3.8</v>
          </cell>
        </row>
        <row r="32">
          <cell r="F32" t="str">
            <v>TESTEUR JUMBO RAISIN</v>
          </cell>
          <cell r="G32" t="str">
            <v>Testeur - Crayon à Lèvres Jumbo 03 raisin - Édition Limitée 2026</v>
          </cell>
          <cell r="J32">
            <v>3.8</v>
          </cell>
        </row>
        <row r="33">
          <cell r="F33" t="str">
            <v>TESTEUR JUMBO LITCHI</v>
          </cell>
          <cell r="G33" t="str">
            <v>Testeur - Crayon à Lèvres Jumbo 04 litchi - Édition Limitée 2026</v>
          </cell>
          <cell r="J33">
            <v>3.8</v>
          </cell>
        </row>
        <row r="34">
          <cell r="F34" t="str">
            <v>TAILLE CRAYON JUMBO</v>
          </cell>
          <cell r="G34" t="str">
            <v>Taille-crayon Crayon à Lèvres Jumbo - Édition Limitée 2026</v>
          </cell>
          <cell r="J34">
            <v>0.5</v>
          </cell>
        </row>
        <row r="35">
          <cell r="F35" t="str">
            <v>PRESENTOIR JUMBOS</v>
          </cell>
          <cell r="G35" t="str">
            <v>Présentoir Crayons à Lèvres Jumbos - Édition Limitée 2026</v>
          </cell>
          <cell r="J35">
            <v>17</v>
          </cell>
        </row>
        <row r="36">
          <cell r="F36" t="str">
            <v>PANNEAU JUMBOS</v>
          </cell>
          <cell r="G36" t="str">
            <v>Panneau Crayons à Lèvres Jumbos - Édition Limitée 2027</v>
          </cell>
          <cell r="J36">
            <v>21</v>
          </cell>
        </row>
        <row r="37">
          <cell r="F37" t="str">
            <v>SR OPCA JUMBOS</v>
          </cell>
          <cell r="G37" t="str">
            <v>Stop-rayon Crayons à Lèvres Jumbos - Édition Limitée 2026</v>
          </cell>
          <cell r="J37">
            <v>2.5</v>
          </cell>
        </row>
        <row r="38">
          <cell r="F38" t="str">
            <v>DUO CDJ REGE COMPAL</v>
          </cell>
          <cell r="G38" t="str">
            <v>Duo Crème de Jour - Régénérant + Complément Alimentaire 2026</v>
          </cell>
          <cell r="J38">
            <v>19.16</v>
          </cell>
        </row>
        <row r="39">
          <cell r="F39" t="str">
            <v>DUO CDJ REGE INTENSIF COMPAL</v>
          </cell>
          <cell r="G39" t="str">
            <v>Duo Crème de Jour - Régénérant Intensif + Complément Alimentaire 2026</v>
          </cell>
          <cell r="J39">
            <v>21.52</v>
          </cell>
        </row>
        <row r="40">
          <cell r="F40" t="str">
            <v>PANNEAU REGE</v>
          </cell>
          <cell r="G40" t="str">
            <v>Panneau vitrine Régénérants 2025</v>
          </cell>
          <cell r="J40">
            <v>20.079999999999998</v>
          </cell>
        </row>
        <row r="41">
          <cell r="F41" t="str">
            <v>PRESENTOIR REGE</v>
          </cell>
          <cell r="G41" t="str">
            <v>Présentoir Régénérants 2026</v>
          </cell>
          <cell r="J41">
            <v>13.92</v>
          </cell>
        </row>
        <row r="42">
          <cell r="F42" t="str">
            <v>SR REGE RETAIL 1</v>
          </cell>
          <cell r="G42" t="str">
            <v>Stop-rayon promo Régénérants 2026 -10€</v>
          </cell>
          <cell r="J42">
            <v>1.59</v>
          </cell>
        </row>
        <row r="43">
          <cell r="F43" t="str">
            <v>SR REGE RETAIL 2</v>
          </cell>
          <cell r="G43" t="str">
            <v>Stop-rayon promo Régénérants 2026 vierge</v>
          </cell>
          <cell r="J43">
            <v>1.59</v>
          </cell>
        </row>
        <row r="44">
          <cell r="F44" t="str">
            <v>PRESENTOIR NETTOYANTS</v>
          </cell>
          <cell r="G44" t="str">
            <v>Présentoir Nettoyants Visage 2025</v>
          </cell>
          <cell r="J44">
            <v>15</v>
          </cell>
        </row>
        <row r="45">
          <cell r="F45" t="str">
            <v>KIT LINGETTES</v>
          </cell>
          <cell r="G45" t="str">
            <v>Kit Lingettes démaquillantes lavables + filet</v>
          </cell>
          <cell r="J45">
            <v>2</v>
          </cell>
        </row>
        <row r="46">
          <cell r="F46" t="str">
            <v>SR OPCA NETTOYANTS</v>
          </cell>
          <cell r="G46" t="str">
            <v>Stop-rayon OPCA Nettoyants Visage 2025</v>
          </cell>
          <cell r="J46">
            <v>1.5</v>
          </cell>
        </row>
        <row r="47">
          <cell r="F47" t="str">
            <v>PRESENTOIR DEOS</v>
          </cell>
          <cell r="G47" t="str">
            <v>Présentoir déodorants 2026</v>
          </cell>
          <cell r="J47">
            <v>15</v>
          </cell>
        </row>
        <row r="48">
          <cell r="F48" t="str">
            <v>SERUM</v>
          </cell>
          <cell r="G48" t="str">
            <v>Sérum Hydra+ 30 ml</v>
          </cell>
          <cell r="J48">
            <v>9.4600000000000009</v>
          </cell>
        </row>
        <row r="49">
          <cell r="F49" t="str">
            <v>TESTEUR SERUM</v>
          </cell>
          <cell r="G49" t="str">
            <v>Testeur - Sérum Hydra+ 30 ml</v>
          </cell>
          <cell r="J49">
            <v>6.94</v>
          </cell>
        </row>
        <row r="50">
          <cell r="F50" t="str">
            <v>MINIATURE SERUM</v>
          </cell>
          <cell r="G50" t="str">
            <v>Miniature - Sérum Hydra+ 2,5ml</v>
          </cell>
          <cell r="J50">
            <v>1.1200000000000001</v>
          </cell>
        </row>
        <row r="51">
          <cell r="F51" t="str">
            <v>ECHANTILLON SERUM</v>
          </cell>
          <cell r="G51" t="str">
            <v>Échantillon - Sérum Hydra+ 1,5 ml</v>
          </cell>
          <cell r="J51">
            <v>0.19</v>
          </cell>
        </row>
        <row r="52">
          <cell r="F52" t="str">
            <v>PRESENTOIR SERUM</v>
          </cell>
          <cell r="G52" t="str">
            <v>Présentoir Sérum Hydra+</v>
          </cell>
          <cell r="J52">
            <v>15</v>
          </cell>
        </row>
        <row r="53">
          <cell r="F53" t="str">
            <v>PANNEAU SERUM</v>
          </cell>
          <cell r="G53" t="str">
            <v>Panneau vitrine Sérum Hydra+ 2026</v>
          </cell>
          <cell r="J53">
            <v>17</v>
          </cell>
        </row>
        <row r="54">
          <cell r="F54" t="str">
            <v>TROUSSE SERUM HYDRA+</v>
          </cell>
          <cell r="G54" t="str">
            <v>Trousse Découverte Sérum Hydra+</v>
          </cell>
          <cell r="J54">
            <v>12.59</v>
          </cell>
        </row>
        <row r="55">
          <cell r="F55" t="str">
            <v>SR ONPACKS</v>
          </cell>
          <cell r="G55" t="str">
            <v>Stop-rayon promo Onpacks 2026</v>
          </cell>
          <cell r="J55">
            <v>1.5</v>
          </cell>
        </row>
        <row r="56">
          <cell r="F56" t="str">
            <v>VANITY REGE</v>
          </cell>
          <cell r="G56" t="str">
            <v>Vanity Régénérants 2026</v>
          </cell>
          <cell r="J56">
            <v>25.9</v>
          </cell>
        </row>
        <row r="57">
          <cell r="F57" t="str">
            <v>COFFRET CP</v>
          </cell>
          <cell r="G57" t="str">
            <v>Coffret Crème Purifiante pour le Visage 2026</v>
          </cell>
          <cell r="J57">
            <v>7.66</v>
          </cell>
        </row>
        <row r="58">
          <cell r="F58" t="str">
            <v>ACCESSOIRE ECLAT</v>
          </cell>
          <cell r="G58" t="str">
            <v>Accessoire éclat 2026</v>
          </cell>
          <cell r="J58">
            <v>2</v>
          </cell>
        </row>
        <row r="59">
          <cell r="F59" t="str">
            <v>NEW CURE NUIT</v>
          </cell>
          <cell r="G59" t="str">
            <v>Cure Revitalisante et Stimulante - nouveau format 56 ml</v>
          </cell>
          <cell r="J59">
            <v>18.936999999999998</v>
          </cell>
        </row>
        <row r="60">
          <cell r="F60" t="str">
            <v>NEW CURE PEAUX SENSIBLES 56ML</v>
          </cell>
          <cell r="G60" t="str">
            <v>Cure Apaisante et Équilibrante - nouveau format 56 ml</v>
          </cell>
          <cell r="J60">
            <v>19.9636</v>
          </cell>
        </row>
        <row r="61">
          <cell r="F61" t="str">
            <v>NEW CURE PEAUX SENSIBLES 14ML</v>
          </cell>
          <cell r="G61" t="str">
            <v>Cure Apaisante et Équilibrante - nouveau format 14 ml</v>
          </cell>
          <cell r="J61">
            <v>6.3683999999999994</v>
          </cell>
        </row>
        <row r="62">
          <cell r="F62" t="str">
            <v>SR CURE</v>
          </cell>
          <cell r="G62" t="str">
            <v>Stop-rayon Cures 2026</v>
          </cell>
          <cell r="J62">
            <v>1.5</v>
          </cell>
        </row>
        <row r="63">
          <cell r="F63" t="str">
            <v>MASQUE NUIT</v>
          </cell>
          <cell r="G63" t="str">
            <v>Masque de nuit en soie 2026</v>
          </cell>
          <cell r="J63">
            <v>3.8</v>
          </cell>
        </row>
        <row r="64">
          <cell r="F64" t="str">
            <v>PLV CURES</v>
          </cell>
          <cell r="G64" t="str">
            <v>PLV linéaire Cures 2026</v>
          </cell>
          <cell r="J64">
            <v>10</v>
          </cell>
        </row>
        <row r="65">
          <cell r="F65" t="str">
            <v>KIT DECOUVERTE ABRICOT</v>
          </cell>
          <cell r="G65" t="str">
            <v>Trousse Découverte Peaux sèches et ternes</v>
          </cell>
          <cell r="J65">
            <v>7.73</v>
          </cell>
        </row>
        <row r="66">
          <cell r="F66" t="str">
            <v>KIT DECOUVERTE ROSE</v>
          </cell>
          <cell r="G66" t="str">
            <v>Trousse Découverte Peaux sèches et sensibles</v>
          </cell>
          <cell r="J66">
            <v>7.69</v>
          </cell>
        </row>
        <row r="67">
          <cell r="F67" t="str">
            <v>PRESENTOIR ECLAT</v>
          </cell>
          <cell r="G67" t="str">
            <v>Présentoir Éclat 2026</v>
          </cell>
          <cell r="J67">
            <v>15</v>
          </cell>
        </row>
        <row r="68">
          <cell r="F68" t="str">
            <v>PANNEAU CP</v>
          </cell>
          <cell r="G68" t="str">
            <v>Panneau vitrine Crème Purifiante pour le Visage 2026</v>
          </cell>
          <cell r="J68">
            <v>17</v>
          </cell>
        </row>
        <row r="69">
          <cell r="F69" t="str">
            <v>SR OPCA HUILES 2025</v>
          </cell>
          <cell r="G69" t="str">
            <v>Stop-rayon OPCA Huiles</v>
          </cell>
          <cell r="J69">
            <v>1.5</v>
          </cell>
        </row>
        <row r="70">
          <cell r="F70" t="str">
            <v>POCHON COTON MINI HUILES</v>
          </cell>
          <cell r="G70" t="str">
            <v>Pochon coton mini huiles</v>
          </cell>
          <cell r="J70">
            <v>1.29</v>
          </cell>
        </row>
        <row r="71">
          <cell r="F71" t="str">
            <v>COFFRET NOEL ROSE</v>
          </cell>
          <cell r="G71" t="str">
            <v>Coffret Noël 2026 Autour de la Rose</v>
          </cell>
          <cell r="J71">
            <v>18.57</v>
          </cell>
        </row>
        <row r="72">
          <cell r="F72" t="str">
            <v>COFFRET NOEL ABRICOT</v>
          </cell>
          <cell r="G72" t="str">
            <v>Coffret Noël 2026 La Force de l'Abricot</v>
          </cell>
          <cell r="J72">
            <v>14.83</v>
          </cell>
        </row>
        <row r="73">
          <cell r="F73" t="str">
            <v>COFFRET NOEL MUP</v>
          </cell>
          <cell r="G73" t="str">
            <v>Coffret Noël 2026 Maquillage</v>
          </cell>
          <cell r="J73">
            <v>12.6</v>
          </cell>
        </row>
        <row r="74">
          <cell r="F74" t="str">
            <v>CRACKER NOEL</v>
          </cell>
          <cell r="G74" t="str">
            <v>Cracker Noël 2026 Duo Lèvres &amp; Mains</v>
          </cell>
          <cell r="J74">
            <v>6.84</v>
          </cell>
        </row>
        <row r="75">
          <cell r="F75" t="str">
            <v>COFFRET PERSONNALISABLE</v>
          </cell>
          <cell r="G75" t="str">
            <v>Coffret Noël personnalisable 2026</v>
          </cell>
          <cell r="J75">
            <v>2</v>
          </cell>
        </row>
        <row r="76">
          <cell r="F76" t="str">
            <v>CHEVALET NOEL</v>
          </cell>
          <cell r="G76" t="str">
            <v>Chevalet Noël 2026</v>
          </cell>
          <cell r="J76">
            <v>12</v>
          </cell>
        </row>
        <row r="77">
          <cell r="F77" t="str">
            <v>PANNEAU NOEL</v>
          </cell>
          <cell r="G77" t="str">
            <v>Panneau vitrine Noël 2026</v>
          </cell>
          <cell r="J77">
            <v>17</v>
          </cell>
        </row>
        <row r="78">
          <cell r="F78" t="str">
            <v>CALENDRIER AVENT</v>
          </cell>
          <cell r="G78" t="str">
            <v>Calendrier de l'Avent 2026</v>
          </cell>
          <cell r="J78">
            <v>43.36</v>
          </cell>
        </row>
        <row r="79">
          <cell r="F79" t="str">
            <v>OPCA 1000€</v>
          </cell>
          <cell r="G79" t="str">
            <v>OPCA 1000€</v>
          </cell>
          <cell r="J79">
            <v>374.53183520599254</v>
          </cell>
        </row>
        <row r="80">
          <cell r="F80" t="str">
            <v>OPCA 500€</v>
          </cell>
          <cell r="G80" t="str">
            <v>OPCA 500€</v>
          </cell>
          <cell r="J80">
            <v>187.26591760299627</v>
          </cell>
        </row>
        <row r="81">
          <cell r="F81" t="str">
            <v>SR VANITY REGE</v>
          </cell>
          <cell r="G81" t="str">
            <v>Stop-rayon Vanity Régénérants 2026</v>
          </cell>
          <cell r="J81">
            <v>1.5</v>
          </cell>
        </row>
        <row r="82">
          <cell r="F82" t="str">
            <v>OPCA 600€</v>
          </cell>
          <cell r="G82" t="str">
            <v>OPCA 600€</v>
          </cell>
          <cell r="J82">
            <v>224.71910112359552</v>
          </cell>
        </row>
        <row r="83">
          <cell r="F83" t="str">
            <v>OPCA 1200€</v>
          </cell>
          <cell r="G83" t="str">
            <v>OPCA 1200€</v>
          </cell>
          <cell r="J83">
            <v>449.43820224719104</v>
          </cell>
        </row>
        <row r="84">
          <cell r="F84" t="str">
            <v>CABAS ESTIVAL</v>
          </cell>
          <cell r="G84" t="str">
            <v>Cabas estival 2026</v>
          </cell>
          <cell r="J84">
            <v>4</v>
          </cell>
        </row>
        <row r="85">
          <cell r="F85" t="str">
            <v>TG 3D SERUM</v>
          </cell>
          <cell r="G85" t="str">
            <v>TG 3D Sérum Hydra+</v>
          </cell>
          <cell r="J85">
            <v>200</v>
          </cell>
        </row>
        <row r="86">
          <cell r="F86" t="str">
            <v>PRESENTOIR L2C</v>
          </cell>
          <cell r="G86" t="str">
            <v>Présentoir Baumes Sticks Lèvres et Joues 2026</v>
          </cell>
          <cell r="J86">
            <v>15</v>
          </cell>
        </row>
        <row r="87">
          <cell r="F87" t="str">
            <v>PRESENTOIR MAQUILLAGE</v>
          </cell>
          <cell r="G87" t="str">
            <v>Présentoir best-sellers maquillage 2026</v>
          </cell>
          <cell r="J87">
            <v>20</v>
          </cell>
        </row>
        <row r="88">
          <cell r="F88" t="str">
            <v>BOITE CADEAU</v>
          </cell>
          <cell r="G88" t="str">
            <v>Boîte cadeau + nœud 2026</v>
          </cell>
          <cell r="J88">
            <v>1.7</v>
          </cell>
        </row>
        <row r="89">
          <cell r="F89" t="str">
            <v>BROSSE CORPS</v>
          </cell>
          <cell r="G89" t="str">
            <v>Brosse corps 2026</v>
          </cell>
          <cell r="J89">
            <v>3</v>
          </cell>
        </row>
        <row r="90">
          <cell r="F90" t="str">
            <v>OPEN CAT</v>
          </cell>
          <cell r="G90" t="str">
            <v>Open catalogue (prix moyen revendeur 15€ hors remise)</v>
          </cell>
          <cell r="J90">
            <v>5.617977528089888</v>
          </cell>
        </row>
        <row r="91">
          <cell r="F91" t="str">
            <v>SR CP</v>
          </cell>
          <cell r="G91" t="str">
            <v>Stop-rayon promo Crème Purifiante</v>
          </cell>
          <cell r="J91">
            <v>1.5</v>
          </cell>
        </row>
        <row r="92">
          <cell r="F92" t="str">
            <v>TESTEUR DEO SAUGE</v>
          </cell>
          <cell r="G92" t="str">
            <v>Testeur - Déodorant Sauge Menthe</v>
          </cell>
          <cell r="J92">
            <v>2.74</v>
          </cell>
        </row>
        <row r="93">
          <cell r="F93" t="str">
            <v>TESTEUR DEO ROSE</v>
          </cell>
          <cell r="G93" t="str">
            <v>Testeur - Déodorant Rose</v>
          </cell>
          <cell r="J93">
            <v>3</v>
          </cell>
        </row>
        <row r="94">
          <cell r="F94" t="str">
            <v>BAR TESTEUR SERUM</v>
          </cell>
          <cell r="G94" t="str">
            <v>Bar testeur Sérum Hydra+</v>
          </cell>
          <cell r="J94">
            <v>2.5</v>
          </cell>
        </row>
        <row r="95">
          <cell r="F95" t="str">
            <v>BAR TESTEUR EMULSION TEINTEE</v>
          </cell>
          <cell r="G95" t="str">
            <v>Bar testeur Émulsion Teintée</v>
          </cell>
          <cell r="J95">
            <v>2.5</v>
          </cell>
        </row>
        <row r="96">
          <cell r="F96" t="str">
            <v>DUO BAUME LACTE</v>
          </cell>
          <cell r="G96" t="str">
            <v>Duo Baumes Lactés Nettoyants 75 ml - le 2ème à -50%</v>
          </cell>
          <cell r="J96">
            <v>11.58</v>
          </cell>
        </row>
        <row r="97">
          <cell r="F97" t="str">
            <v>DUO STICK LEVRES</v>
          </cell>
          <cell r="G97" t="str">
            <v>Duo Sticks Lèvres 4,9g - le 2ème à -50%</v>
          </cell>
          <cell r="J97">
            <v>7.12</v>
          </cell>
        </row>
        <row r="98">
          <cell r="F98" t="str">
            <v>COFFRET NOEL VISAGE</v>
          </cell>
          <cell r="G98" t="str">
            <v>Coffret Noël Visage</v>
          </cell>
          <cell r="J98">
            <v>13.01</v>
          </cell>
        </row>
        <row r="99">
          <cell r="F99" t="str">
            <v>MASCARA PLUM</v>
          </cell>
          <cell r="G99" t="str">
            <v>Mascara Longue Tenue Plum - Édition Limitée</v>
          </cell>
          <cell r="J99">
            <v>5.82</v>
          </cell>
        </row>
        <row r="100">
          <cell r="F100" t="str">
            <v>PODIUM MASCARA PLUM</v>
          </cell>
          <cell r="G100" t="str">
            <v>Podium Mascara Longue Tenue Plum - Édition Limitée</v>
          </cell>
          <cell r="J100">
            <v>8</v>
          </cell>
        </row>
        <row r="101">
          <cell r="F101" t="str">
            <v>DUO STICK -50</v>
          </cell>
          <cell r="G101" t="str">
            <v>Duo Stick -50% (2)</v>
          </cell>
          <cell r="J101">
            <v>6.12</v>
          </cell>
        </row>
        <row r="102">
          <cell r="F102" t="str">
            <v>TROUSSE ORANGE</v>
          </cell>
          <cell r="G102" t="str">
            <v>Trousse Orange Dr. Hauschka</v>
          </cell>
          <cell r="J102">
            <v>2</v>
          </cell>
        </row>
        <row r="106">
          <cell r="G106" t="str">
            <v>10% remise sur la Crème Purifiante - à partir de 10 unités</v>
          </cell>
          <cell r="J106">
            <v>0</v>
          </cell>
        </row>
        <row r="107">
          <cell r="G107" t="str">
            <v>10% sur produits spécifiques</v>
          </cell>
          <cell r="J107">
            <v>0</v>
          </cell>
        </row>
        <row r="108">
          <cell r="G108" t="str">
            <v>10% sur produits spécifiques</v>
          </cell>
          <cell r="J108">
            <v>0</v>
          </cell>
        </row>
        <row r="109">
          <cell r="G109" t="str">
            <v>10% sur produits spécifiques</v>
          </cell>
          <cell r="J109">
            <v>0</v>
          </cell>
        </row>
        <row r="110">
          <cell r="F110" t="str">
            <v>EvtCo10Portail</v>
          </cell>
          <cell r="G110" t="str">
            <v>10% sur votre commande</v>
          </cell>
          <cell r="J110">
            <v>0</v>
          </cell>
        </row>
        <row r="111">
          <cell r="G111" t="str">
            <v>10% sur votre commande</v>
          </cell>
          <cell r="J111">
            <v>0</v>
          </cell>
        </row>
        <row r="112">
          <cell r="F112" t="str">
            <v>EvtCo10</v>
          </cell>
          <cell r="G112" t="str">
            <v>10% sur votre commande</v>
          </cell>
          <cell r="J112">
            <v>0</v>
          </cell>
        </row>
        <row r="113">
          <cell r="G113" t="str">
            <v>10% sur votre commande</v>
          </cell>
          <cell r="J113">
            <v>0</v>
          </cell>
        </row>
        <row r="114">
          <cell r="G114" t="str">
            <v>10% sur votre commande</v>
          </cell>
          <cell r="J114">
            <v>0</v>
          </cell>
        </row>
        <row r="115">
          <cell r="G115" t="str">
            <v>10% sur votre commande</v>
          </cell>
          <cell r="J115">
            <v>0</v>
          </cell>
        </row>
        <row r="116">
          <cell r="G116" t="str">
            <v>10% sur votre commande</v>
          </cell>
          <cell r="J116">
            <v>0</v>
          </cell>
        </row>
        <row r="117">
          <cell r="G117" t="str">
            <v>100% sur votre commande</v>
          </cell>
          <cell r="J117">
            <v>0</v>
          </cell>
        </row>
        <row r="118">
          <cell r="G118" t="str">
            <v>1020701</v>
          </cell>
          <cell r="J118">
            <v>0</v>
          </cell>
        </row>
        <row r="119">
          <cell r="G119" t="str">
            <v>15% de remise sur les produits Essentiels été - à partir de 20 unités</v>
          </cell>
          <cell r="J119">
            <v>0</v>
          </cell>
        </row>
        <row r="120">
          <cell r="G120" t="str">
            <v>15% sur votre commande</v>
          </cell>
          <cell r="J120">
            <v>0</v>
          </cell>
        </row>
        <row r="121">
          <cell r="F121" t="str">
            <v>EvtCo15Portail</v>
          </cell>
          <cell r="G121" t="str">
            <v>15% sur votre commande.</v>
          </cell>
          <cell r="J121">
            <v>0</v>
          </cell>
        </row>
        <row r="122">
          <cell r="G122" t="str">
            <v>1830125- 50 ml*DLV 01/25*1/2025*</v>
          </cell>
          <cell r="J122">
            <v>0</v>
          </cell>
        </row>
        <row r="123">
          <cell r="D123">
            <v>9999996200004</v>
          </cell>
          <cell r="F123" t="str">
            <v>6200004</v>
          </cell>
          <cell r="G123" t="str">
            <v>3 Modules pour présentoir étagère</v>
          </cell>
          <cell r="J123">
            <v>199</v>
          </cell>
        </row>
        <row r="124">
          <cell r="G124" t="str">
            <v>3010320</v>
          </cell>
          <cell r="J124">
            <v>0</v>
          </cell>
        </row>
        <row r="125">
          <cell r="G125" t="str">
            <v>3060804</v>
          </cell>
          <cell r="J125">
            <v>0</v>
          </cell>
        </row>
        <row r="126">
          <cell r="G126" t="str">
            <v>6300184</v>
          </cell>
          <cell r="J126">
            <v>0</v>
          </cell>
        </row>
        <row r="127">
          <cell r="G127" t="str">
            <v>6500096</v>
          </cell>
          <cell r="J127">
            <v>0</v>
          </cell>
        </row>
        <row r="128">
          <cell r="F128" t="str">
            <v>6C</v>
          </cell>
          <cell r="G128" t="str">
            <v>6ème soins du corps complet offert</v>
          </cell>
          <cell r="J128">
            <v>0</v>
          </cell>
        </row>
        <row r="129">
          <cell r="G129" t="str">
            <v>7131366</v>
          </cell>
          <cell r="J129">
            <v>0</v>
          </cell>
        </row>
        <row r="130">
          <cell r="F130" t="str">
            <v>EvtCo15</v>
          </cell>
          <cell r="G130" t="str">
            <v>A l’occasion de votre événement en magasin, une remise de 15% supplémentaire vous est accordée sur cette commande.</v>
          </cell>
          <cell r="J130">
            <v>0</v>
          </cell>
        </row>
        <row r="131">
          <cell r="G131" t="str">
            <v>A l’occasion de votre événement en magasin, une remise de 15% supplémentaire vous est accordée sur cette commande.</v>
          </cell>
          <cell r="J131">
            <v>0</v>
          </cell>
        </row>
        <row r="132">
          <cell r="D132">
            <v>999999982020</v>
          </cell>
          <cell r="F132" t="str">
            <v>982020</v>
          </cell>
          <cell r="G132" t="str">
            <v>AVOIR SUR REMISE</v>
          </cell>
          <cell r="J132">
            <v>0</v>
          </cell>
        </row>
        <row r="133">
          <cell r="F133" t="str">
            <v>ACOMPTE</v>
          </cell>
          <cell r="G133" t="str">
            <v>Acompte</v>
          </cell>
          <cell r="J133">
            <v>0</v>
          </cell>
        </row>
        <row r="134">
          <cell r="G134" t="str">
            <v>Acompte (PdV)</v>
          </cell>
          <cell r="J134">
            <v>0</v>
          </cell>
        </row>
        <row r="135">
          <cell r="F135" t="str">
            <v>INTERNET-U-ACOMPTE</v>
          </cell>
          <cell r="G135" t="str">
            <v>Acompte soin Internet</v>
          </cell>
          <cell r="J135">
            <v>0</v>
          </cell>
        </row>
        <row r="136">
          <cell r="F136">
            <v>6500124</v>
          </cell>
          <cell r="G136" t="str">
            <v>Affiche A4 Offre Compagnons Naturels</v>
          </cell>
          <cell r="J136">
            <v>1</v>
          </cell>
        </row>
        <row r="137">
          <cell r="D137">
            <v>9999996500122</v>
          </cell>
          <cell r="F137">
            <v>6500122</v>
          </cell>
          <cell r="G137" t="str">
            <v>Affiche A4 Offre contre achat Baume</v>
          </cell>
          <cell r="J137">
            <v>1</v>
          </cell>
        </row>
        <row r="138">
          <cell r="D138">
            <v>9999996500134</v>
          </cell>
          <cell r="F138">
            <v>6500134</v>
          </cell>
          <cell r="G138" t="str">
            <v>Affiche OPCA Rituel Pureté</v>
          </cell>
          <cell r="J138">
            <v>0</v>
          </cell>
        </row>
        <row r="139">
          <cell r="F139">
            <v>6500140</v>
          </cell>
          <cell r="G139" t="str">
            <v>Affiche journées privilèges instituts</v>
          </cell>
          <cell r="J139">
            <v>1</v>
          </cell>
        </row>
        <row r="140">
          <cell r="D140">
            <v>4020829015999</v>
          </cell>
          <cell r="F140">
            <v>1030303</v>
          </cell>
          <cell r="G140" t="str">
            <v>Applicateur Huile au Neem pour les Ongles - 3 ml</v>
          </cell>
          <cell r="J140">
            <v>3.7757999999999998</v>
          </cell>
        </row>
        <row r="141">
          <cell r="D141">
            <v>183030399999</v>
          </cell>
          <cell r="F141">
            <v>1830303</v>
          </cell>
          <cell r="G141" t="str">
            <v>Applicateur Huile au Neem pour les Ongles - 3 ml*DLV 12/25*</v>
          </cell>
          <cell r="J141">
            <v>3.63</v>
          </cell>
        </row>
        <row r="142">
          <cell r="D142">
            <v>4020829077478</v>
          </cell>
          <cell r="F142">
            <v>1040305</v>
          </cell>
          <cell r="G142" t="str">
            <v>Après-Shampooing - 150 ml</v>
          </cell>
          <cell r="J142">
            <v>5.1271999999999993</v>
          </cell>
        </row>
        <row r="143">
          <cell r="D143">
            <v>4020829087408</v>
          </cell>
          <cell r="F143">
            <v>1030502</v>
          </cell>
          <cell r="G143" t="str">
            <v>Après-Soleil 150 ml</v>
          </cell>
          <cell r="J143">
            <v>6.0609999999999991</v>
          </cell>
        </row>
        <row r="144">
          <cell r="D144">
            <v>4020829087446</v>
          </cell>
          <cell r="F144">
            <v>1030504</v>
          </cell>
          <cell r="G144" t="str">
            <v>Après-Soleil 30ml</v>
          </cell>
          <cell r="J144">
            <v>2.16</v>
          </cell>
        </row>
        <row r="145">
          <cell r="F145">
            <v>982043</v>
          </cell>
          <cell r="G145" t="str">
            <v>Avoir sur produits Maquillages - Geste commercial</v>
          </cell>
          <cell r="J145">
            <v>0</v>
          </cell>
        </row>
        <row r="146">
          <cell r="F146">
            <v>982044</v>
          </cell>
          <cell r="G146" t="str">
            <v>Avoir sur produits arrivés à expiration – geste commercial</v>
          </cell>
          <cell r="J146">
            <v>0</v>
          </cell>
        </row>
        <row r="147">
          <cell r="F147">
            <v>982049</v>
          </cell>
          <cell r="G147" t="str">
            <v>Avoir sur retour produits Maquillage</v>
          </cell>
          <cell r="J147">
            <v>0</v>
          </cell>
        </row>
        <row r="148">
          <cell r="D148">
            <v>4020829088436</v>
          </cell>
          <cell r="F148">
            <v>1040221</v>
          </cell>
          <cell r="G148" t="str">
            <v xml:space="preserve">Bain Caprices des saisons - 100 ml </v>
          </cell>
          <cell r="J148">
            <v>4.2571999999999992</v>
          </cell>
        </row>
        <row r="149">
          <cell r="G149" t="str">
            <v>Bain Caprices des saisons - 100 ml* DLV 01/2026* - 10%*</v>
          </cell>
          <cell r="J149">
            <v>0</v>
          </cell>
        </row>
        <row r="150">
          <cell r="D150">
            <v>1840221999999</v>
          </cell>
          <cell r="F150">
            <v>1840221</v>
          </cell>
          <cell r="G150" t="str">
            <v>Bain Caprices des saisons - 100 ml*DLV 01/2026*- 10%*</v>
          </cell>
          <cell r="J150">
            <v>0</v>
          </cell>
        </row>
        <row r="151">
          <cell r="D151">
            <v>4020829005877</v>
          </cell>
          <cell r="F151">
            <v>1040202</v>
          </cell>
          <cell r="G151" t="str">
            <v xml:space="preserve">Bain Moor Lavande - 100 ml </v>
          </cell>
          <cell r="J151">
            <v>5.1619999999999999</v>
          </cell>
        </row>
        <row r="152">
          <cell r="G152" t="str">
            <v>Bain Moor Lavande - 100 ml *DLV 01/25* - 10 %*</v>
          </cell>
          <cell r="J152">
            <v>0</v>
          </cell>
        </row>
        <row r="153">
          <cell r="D153">
            <v>184020299999</v>
          </cell>
          <cell r="F153">
            <v>1840202</v>
          </cell>
          <cell r="G153" t="str">
            <v>Bain Moor Lavande - 100 ml*DLV 11/25* - 10 %*</v>
          </cell>
          <cell r="J153">
            <v>5.03</v>
          </cell>
        </row>
        <row r="154">
          <cell r="D154">
            <v>4020829100114</v>
          </cell>
          <cell r="F154">
            <v>1040224</v>
          </cell>
          <cell r="G154" t="str">
            <v>Bain Moor Lavande 100ml Edition Limitée Noël 2023</v>
          </cell>
          <cell r="J154">
            <v>5.03</v>
          </cell>
        </row>
        <row r="155">
          <cell r="D155">
            <v>4020829005914</v>
          </cell>
          <cell r="F155">
            <v>1040201</v>
          </cell>
          <cell r="G155" t="str">
            <v>Bain Rose - 100 ml</v>
          </cell>
          <cell r="J155">
            <v>5.1619999999999999</v>
          </cell>
        </row>
        <row r="156">
          <cell r="D156">
            <v>184022599999</v>
          </cell>
          <cell r="F156">
            <v>1840225</v>
          </cell>
          <cell r="G156" t="str">
            <v>Bain Rose - 100 ml * DLV 01/2026* - 10%*</v>
          </cell>
          <cell r="J156">
            <v>5.03</v>
          </cell>
        </row>
        <row r="157">
          <cell r="D157">
            <v>4020829011403</v>
          </cell>
          <cell r="F157">
            <v>1040205</v>
          </cell>
          <cell r="G157" t="str">
            <v>Bain Sauge - 100 ml</v>
          </cell>
          <cell r="J157">
            <v>4.4718</v>
          </cell>
        </row>
        <row r="158">
          <cell r="D158">
            <v>4020829069350</v>
          </cell>
          <cell r="F158">
            <v>1050403</v>
          </cell>
          <cell r="G158" t="str">
            <v>Bain de Bouche à la Sauge - 300 ml</v>
          </cell>
          <cell r="J158">
            <v>2.9289999999999998</v>
          </cell>
        </row>
        <row r="159">
          <cell r="D159">
            <v>4020829005020</v>
          </cell>
          <cell r="F159">
            <v>1010705</v>
          </cell>
          <cell r="G159" t="str">
            <v>Bain de Vapeur pour le Visage - 100 ml</v>
          </cell>
          <cell r="J159">
            <v>6.7163999999999993</v>
          </cell>
        </row>
        <row r="160">
          <cell r="D160">
            <v>4020829079793</v>
          </cell>
          <cell r="F160">
            <v>6300183</v>
          </cell>
          <cell r="G160" t="str">
            <v>Bannière Textile Hamamélis</v>
          </cell>
          <cell r="J160">
            <v>17.489999999999998</v>
          </cell>
        </row>
        <row r="161">
          <cell r="D161">
            <v>4020829105379</v>
          </cell>
          <cell r="F161">
            <v>6300192</v>
          </cell>
          <cell r="G161" t="str">
            <v>Bannière Textile Maquillage</v>
          </cell>
          <cell r="J161">
            <v>14.62</v>
          </cell>
        </row>
        <row r="162">
          <cell r="D162">
            <v>9999991080105</v>
          </cell>
          <cell r="F162">
            <v>1080105</v>
          </cell>
          <cell r="G162" t="str">
            <v>Bassine pour bains de pieds prune</v>
          </cell>
          <cell r="J162">
            <v>30</v>
          </cell>
        </row>
        <row r="163">
          <cell r="D163">
            <v>4020829006454</v>
          </cell>
          <cell r="F163">
            <v>1010501</v>
          </cell>
          <cell r="G163" t="str">
            <v>Baume Contour des Yeux - 10 ml</v>
          </cell>
          <cell r="J163">
            <v>7.7487999999999992</v>
          </cell>
        </row>
        <row r="164">
          <cell r="D164">
            <v>4020829101838</v>
          </cell>
          <cell r="F164">
            <v>1010120</v>
          </cell>
          <cell r="G164" t="str">
            <v>Baume Lacté Nettoyant - 20 ml</v>
          </cell>
          <cell r="J164">
            <v>1.59</v>
          </cell>
        </row>
        <row r="165">
          <cell r="D165">
            <v>4020829094192</v>
          </cell>
          <cell r="F165">
            <v>1010117</v>
          </cell>
          <cell r="G165" t="str">
            <v>Baume Lacté Nettoyant - 30 ml</v>
          </cell>
          <cell r="J165">
            <v>2.14</v>
          </cell>
        </row>
        <row r="166">
          <cell r="D166">
            <v>4020829094048</v>
          </cell>
          <cell r="F166">
            <v>1010116</v>
          </cell>
          <cell r="G166" t="str">
            <v>Baume Lacté Nettoyant - 75 ml</v>
          </cell>
          <cell r="J166">
            <v>4.8371999999999993</v>
          </cell>
        </row>
        <row r="167">
          <cell r="D167">
            <v>4020829111776</v>
          </cell>
          <cell r="F167">
            <v>1010122</v>
          </cell>
          <cell r="G167" t="str">
            <v>Baume Lacté Nettoyant 20ml Édition spéciale 2025</v>
          </cell>
          <cell r="J167">
            <v>0</v>
          </cell>
        </row>
        <row r="168">
          <cell r="D168">
            <v>4020829102866</v>
          </cell>
          <cell r="F168">
            <v>1060731</v>
          </cell>
          <cell r="G168" t="str">
            <v>Baume Stick Lèvres et Joues 01 pêche</v>
          </cell>
          <cell r="J168">
            <v>6.7279999999999998</v>
          </cell>
        </row>
        <row r="169">
          <cell r="D169">
            <v>4020829102880</v>
          </cell>
          <cell r="F169">
            <v>1060732</v>
          </cell>
          <cell r="G169" t="str">
            <v>Baume Stick Lèvres et Joues 03 bois de rose</v>
          </cell>
          <cell r="J169">
            <v>6.7279999999999998</v>
          </cell>
        </row>
        <row r="170">
          <cell r="D170">
            <v>4020829102897</v>
          </cell>
          <cell r="F170">
            <v>1060733</v>
          </cell>
          <cell r="G170" t="str">
            <v>Baume Stick Lèvres et Joues 04 doré</v>
          </cell>
          <cell r="J170">
            <v>6.7279999999999998</v>
          </cell>
        </row>
        <row r="171">
          <cell r="F171" t="str">
            <v>99-429000071</v>
          </cell>
          <cell r="G171" t="str">
            <v>Baume pour les Lèvres - 4,5 ml</v>
          </cell>
          <cell r="J171">
            <v>2.79</v>
          </cell>
        </row>
        <row r="172">
          <cell r="D172">
            <v>422395432</v>
          </cell>
          <cell r="F172">
            <v>1010602</v>
          </cell>
          <cell r="G172" t="str">
            <v>Baume pour les Lèvres - 4,5 ml</v>
          </cell>
          <cell r="J172">
            <v>2.9289999999999998</v>
          </cell>
        </row>
        <row r="173">
          <cell r="D173">
            <v>9999992080416</v>
          </cell>
          <cell r="F173">
            <v>2080416</v>
          </cell>
          <cell r="G173" t="str">
            <v>Blouse esthéticienne - taille L</v>
          </cell>
          <cell r="J173">
            <v>49.5</v>
          </cell>
        </row>
        <row r="174">
          <cell r="D174">
            <v>9999992080415</v>
          </cell>
          <cell r="F174">
            <v>2080415</v>
          </cell>
          <cell r="G174" t="str">
            <v>Blouse esthéticienne - taille M</v>
          </cell>
          <cell r="J174">
            <v>48.29</v>
          </cell>
        </row>
        <row r="175">
          <cell r="D175">
            <v>9999992080418</v>
          </cell>
          <cell r="F175">
            <v>2080418</v>
          </cell>
          <cell r="G175" t="str">
            <v>Blouse esthéticienne - taille XL</v>
          </cell>
          <cell r="J175">
            <v>44.8</v>
          </cell>
        </row>
        <row r="176">
          <cell r="D176">
            <v>9999992080417</v>
          </cell>
          <cell r="F176">
            <v>2080417</v>
          </cell>
          <cell r="G176" t="str">
            <v>Blouse esthéticienne - taille XS</v>
          </cell>
          <cell r="J176">
            <v>40.909999999999997</v>
          </cell>
        </row>
        <row r="177">
          <cell r="D177">
            <v>4020829098565</v>
          </cell>
          <cell r="F177">
            <v>1060721</v>
          </cell>
          <cell r="G177" t="str">
            <v>Blush 01 - Framboise</v>
          </cell>
          <cell r="J177">
            <v>5.5389999999999997</v>
          </cell>
        </row>
        <row r="178">
          <cell r="D178">
            <v>4020829083837</v>
          </cell>
          <cell r="F178">
            <v>1060711</v>
          </cell>
          <cell r="G178" t="str">
            <v>Blush 01 - Framboise - Dernières unités avant retour Oct 23</v>
          </cell>
          <cell r="J178">
            <v>3.54</v>
          </cell>
        </row>
        <row r="179">
          <cell r="D179">
            <v>4020829098589</v>
          </cell>
          <cell r="F179">
            <v>1060722</v>
          </cell>
          <cell r="G179" t="str">
            <v>Blush 02 - Abricot</v>
          </cell>
          <cell r="J179">
            <v>5.5389999999999997</v>
          </cell>
        </row>
        <row r="180">
          <cell r="D180">
            <v>4020829083844</v>
          </cell>
          <cell r="F180">
            <v>1060712</v>
          </cell>
          <cell r="G180" t="str">
            <v>Blush 02 - Abricot - Dernières unités avant retour Oct 23</v>
          </cell>
          <cell r="J180">
            <v>5.41</v>
          </cell>
        </row>
        <row r="181">
          <cell r="D181">
            <v>9999991080112</v>
          </cell>
          <cell r="F181">
            <v>1080112</v>
          </cell>
          <cell r="G181" t="str">
            <v>Bol pour masque purifiant Prune</v>
          </cell>
          <cell r="J181">
            <v>4.8899999999999997</v>
          </cell>
        </row>
        <row r="182">
          <cell r="D182">
            <v>9999996600023</v>
          </cell>
          <cell r="F182">
            <v>6600023</v>
          </cell>
          <cell r="G182" t="str">
            <v>Bon Cadeau Institut et Détaillant Femme</v>
          </cell>
          <cell r="J182">
            <v>0.17</v>
          </cell>
        </row>
        <row r="183">
          <cell r="D183">
            <v>9999996600034</v>
          </cell>
          <cell r="F183">
            <v>6600034</v>
          </cell>
          <cell r="G183" t="str">
            <v>Bon cadeau Institut et Détaillant Homme</v>
          </cell>
          <cell r="J183">
            <v>0.17</v>
          </cell>
        </row>
        <row r="184">
          <cell r="D184">
            <v>4020829107274</v>
          </cell>
          <cell r="F184">
            <v>6600042</v>
          </cell>
          <cell r="G184" t="str">
            <v>Boîte cadeau Noël 2024</v>
          </cell>
          <cell r="J184">
            <v>0.53</v>
          </cell>
        </row>
        <row r="185">
          <cell r="D185">
            <v>99996100077</v>
          </cell>
          <cell r="F185">
            <v>6100077</v>
          </cell>
          <cell r="G185" t="str">
            <v>Boîte de présentation -  Baume Lacté Nettoyant 2022</v>
          </cell>
          <cell r="J185">
            <v>78.67</v>
          </cell>
        </row>
        <row r="186">
          <cell r="D186">
            <v>9999996600020</v>
          </cell>
          <cell r="F186">
            <v>6600020</v>
          </cell>
          <cell r="G186" t="str">
            <v>Boîte vide Ombres à Paupière Solo</v>
          </cell>
          <cell r="J186">
            <v>0.9</v>
          </cell>
        </row>
        <row r="187">
          <cell r="D187">
            <v>9999996600019</v>
          </cell>
          <cell r="F187">
            <v>6600019</v>
          </cell>
          <cell r="G187" t="str">
            <v>Boîte vide Trio Ombres à Paupière</v>
          </cell>
          <cell r="J187">
            <v>1</v>
          </cell>
        </row>
        <row r="188">
          <cell r="D188">
            <v>4020829105041</v>
          </cell>
          <cell r="F188">
            <v>6700096</v>
          </cell>
          <cell r="G188" t="str">
            <v>Brochure Baumes Sticks Lèvres et Joues</v>
          </cell>
          <cell r="J188">
            <v>7.0000000000000007E-2</v>
          </cell>
        </row>
        <row r="189">
          <cell r="D189">
            <v>4020829105195</v>
          </cell>
          <cell r="F189">
            <v>6700094</v>
          </cell>
          <cell r="G189" t="str">
            <v>Brochure Maquillage Nouvel Assortiment 2023</v>
          </cell>
          <cell r="J189">
            <v>0.2</v>
          </cell>
        </row>
        <row r="190">
          <cell r="D190">
            <v>4020829112339</v>
          </cell>
          <cell r="F190">
            <v>6700099</v>
          </cell>
          <cell r="G190" t="str">
            <v>Brochure Rituel de Soin 2025</v>
          </cell>
          <cell r="J190">
            <v>0.15</v>
          </cell>
        </row>
        <row r="191">
          <cell r="D191">
            <v>9999996700071</v>
          </cell>
          <cell r="F191">
            <v>6700071</v>
          </cell>
          <cell r="G191" t="str">
            <v>Brochure Tarifs 2025</v>
          </cell>
          <cell r="J191">
            <v>1.49</v>
          </cell>
        </row>
        <row r="192">
          <cell r="D192">
            <v>9999996700070</v>
          </cell>
          <cell r="F192">
            <v>6700070</v>
          </cell>
          <cell r="G192" t="str">
            <v>Brochure Tarifs Pro 2025</v>
          </cell>
          <cell r="J192">
            <v>2.68</v>
          </cell>
        </row>
        <row r="193">
          <cell r="D193">
            <v>881111499999</v>
          </cell>
          <cell r="F193">
            <v>8811114</v>
          </cell>
          <cell r="G193" t="str">
            <v>Brume Thermale 50 ml Eau Thermale Jonzac</v>
          </cell>
          <cell r="J193">
            <v>0</v>
          </cell>
        </row>
        <row r="194">
          <cell r="D194">
            <v>3770026497470</v>
          </cell>
          <cell r="F194">
            <v>6600046</v>
          </cell>
          <cell r="G194" t="str">
            <v>Cabas estival Dr. Hauschka</v>
          </cell>
          <cell r="J194">
            <v>4.74</v>
          </cell>
        </row>
        <row r="195">
          <cell r="D195">
            <v>9999992040221</v>
          </cell>
          <cell r="F195">
            <v>2040221</v>
          </cell>
          <cell r="G195" t="str">
            <v xml:space="preserve">Cabine - Bain Caprice des saisons - 100 ml </v>
          </cell>
          <cell r="J195">
            <v>4.24</v>
          </cell>
        </row>
        <row r="196">
          <cell r="D196">
            <v>9999992040202</v>
          </cell>
          <cell r="F196">
            <v>2040202</v>
          </cell>
          <cell r="G196" t="str">
            <v xml:space="preserve">Cabine - Bain Moor Lavande - 100 ml </v>
          </cell>
          <cell r="J196">
            <v>4.6900000000000004</v>
          </cell>
        </row>
        <row r="197">
          <cell r="D197">
            <v>9999992040201</v>
          </cell>
          <cell r="F197">
            <v>2040201</v>
          </cell>
          <cell r="G197" t="str">
            <v>Cabine - Bain Rose - 100 ml</v>
          </cell>
          <cell r="J197">
            <v>3.97</v>
          </cell>
        </row>
        <row r="198">
          <cell r="D198">
            <v>9999992010705</v>
          </cell>
          <cell r="F198">
            <v>2010705</v>
          </cell>
          <cell r="G198" t="str">
            <v>Cabine - Bain de Vapeur pour le Visage - 100 ml</v>
          </cell>
          <cell r="J198">
            <v>1.1599999999999999</v>
          </cell>
        </row>
        <row r="199">
          <cell r="D199">
            <v>9999992040205</v>
          </cell>
          <cell r="F199">
            <v>2040205</v>
          </cell>
          <cell r="G199" t="str">
            <v>Cabine - Bain à la Sauge - 100 ml</v>
          </cell>
          <cell r="J199">
            <v>4.0599999999999996</v>
          </cell>
        </row>
        <row r="200">
          <cell r="D200">
            <v>9999992010501</v>
          </cell>
          <cell r="F200">
            <v>2010501</v>
          </cell>
          <cell r="G200" t="str">
            <v>Cabine - Baume Contour des Yeux - 10 ml</v>
          </cell>
          <cell r="J200">
            <v>6.72</v>
          </cell>
        </row>
        <row r="201">
          <cell r="D201">
            <v>9999992010602</v>
          </cell>
          <cell r="F201">
            <v>2010602</v>
          </cell>
          <cell r="G201" t="str">
            <v>Cabine - Baume pour les Lèvres - 4,5 ml</v>
          </cell>
          <cell r="J201">
            <v>0.18</v>
          </cell>
        </row>
        <row r="202">
          <cell r="F202">
            <v>2030408</v>
          </cell>
          <cell r="G202" t="str">
            <v>Cabine - Crème Déodorante pour les Pieds - 30 ml - nouvelle</v>
          </cell>
          <cell r="J202">
            <v>3.6</v>
          </cell>
        </row>
        <row r="203">
          <cell r="F203">
            <v>2050204</v>
          </cell>
          <cell r="G203" t="str">
            <v>Cabine - Crème Intensive à la Ficoïde à Cristaux - 50 ml</v>
          </cell>
          <cell r="J203">
            <v>7.75</v>
          </cell>
        </row>
        <row r="204">
          <cell r="D204">
            <v>9999992050203</v>
          </cell>
          <cell r="F204">
            <v>2050203</v>
          </cell>
          <cell r="G204" t="str">
            <v>Cabine - Crème Potentilla Ultra-Apaisante - 20 ml</v>
          </cell>
          <cell r="J204">
            <v>4.37</v>
          </cell>
        </row>
        <row r="205">
          <cell r="D205">
            <v>4020829005143</v>
          </cell>
          <cell r="F205">
            <v>2010101</v>
          </cell>
          <cell r="G205" t="str">
            <v>Cabine - Crème Purifiante - 100 ml</v>
          </cell>
          <cell r="J205">
            <v>3.9497999999999993</v>
          </cell>
        </row>
        <row r="206">
          <cell r="D206">
            <v>9999992050202</v>
          </cell>
          <cell r="F206">
            <v>2050202</v>
          </cell>
          <cell r="G206" t="str">
            <v>Cabine - Crème pour le visage à la Ficoïde à Cristaux - 40 ml</v>
          </cell>
          <cell r="J206">
            <v>8.6</v>
          </cell>
        </row>
        <row r="207">
          <cell r="D207">
            <v>4020829005693</v>
          </cell>
          <cell r="F207">
            <v>2030301</v>
          </cell>
          <cell r="G207" t="str">
            <v>Cabine - Crème pour les Mains - 100 ml</v>
          </cell>
          <cell r="J207">
            <v>3.7873999999999999</v>
          </cell>
        </row>
        <row r="208">
          <cell r="D208">
            <v>9999992050103</v>
          </cell>
          <cell r="F208">
            <v>2050103</v>
          </cell>
          <cell r="G208" t="str">
            <v>Cabine - Crème pour les Mains à la Ficoïde à Cristaux - 50 ml</v>
          </cell>
          <cell r="J208">
            <v>4.3</v>
          </cell>
        </row>
        <row r="209">
          <cell r="D209">
            <v>9999992010703</v>
          </cell>
          <cell r="F209">
            <v>2010703</v>
          </cell>
          <cell r="G209" t="str">
            <v>Cabine - Cure Intensive Jour/Nuit pour Peaux Sensibles 50 amp.</v>
          </cell>
          <cell r="J209">
            <v>18.12</v>
          </cell>
        </row>
        <row r="210">
          <cell r="D210">
            <v>9999992010701</v>
          </cell>
          <cell r="F210">
            <v>2010701</v>
          </cell>
          <cell r="G210" t="str">
            <v>Cabine - Cure Intensive pour la Nuit 50 amp.</v>
          </cell>
          <cell r="J210">
            <v>17.84</v>
          </cell>
        </row>
        <row r="211">
          <cell r="D211">
            <v>9999992010352</v>
          </cell>
          <cell r="F211">
            <v>2010352</v>
          </cell>
          <cell r="G211" t="str">
            <v>Cabine - Huile Equilibrante pour le visage -18 ml</v>
          </cell>
          <cell r="J211">
            <v>5.73</v>
          </cell>
        </row>
        <row r="212">
          <cell r="D212">
            <v>9999992030308</v>
          </cell>
          <cell r="F212">
            <v>2030308</v>
          </cell>
          <cell r="G212" t="str">
            <v>Cabine - Huile au Neem pour les Ongles - 18 ml</v>
          </cell>
          <cell r="J212">
            <v>4.62</v>
          </cell>
        </row>
        <row r="213">
          <cell r="D213">
            <v>9999992030204</v>
          </cell>
          <cell r="F213">
            <v>2030204</v>
          </cell>
          <cell r="G213" t="str">
            <v>Cabine - Huile de Soin Bouleau Arnica - 75 ml</v>
          </cell>
          <cell r="J213">
            <v>4.3</v>
          </cell>
        </row>
        <row r="214">
          <cell r="D214">
            <v>9999992030203</v>
          </cell>
          <cell r="F214">
            <v>2030203</v>
          </cell>
          <cell r="G214" t="str">
            <v>Cabine - Huile de Soin Citron Citronnelle - 75 ml</v>
          </cell>
          <cell r="J214">
            <v>4.87</v>
          </cell>
        </row>
        <row r="215">
          <cell r="D215">
            <v>9999992030206</v>
          </cell>
          <cell r="F215">
            <v>2030206</v>
          </cell>
          <cell r="G215" t="str">
            <v>Cabine - Huile de Soin Moor Lavande - 75 ml</v>
          </cell>
          <cell r="J215">
            <v>5.09</v>
          </cell>
        </row>
        <row r="216">
          <cell r="D216">
            <v>9999992030202</v>
          </cell>
          <cell r="F216">
            <v>2030202</v>
          </cell>
          <cell r="G216" t="str">
            <v xml:space="preserve">Cabine - Huile de Soin Prunelle - 75 ml   </v>
          </cell>
          <cell r="J216">
            <v>4.62</v>
          </cell>
        </row>
        <row r="217">
          <cell r="D217">
            <v>9999992030201</v>
          </cell>
          <cell r="F217">
            <v>2030201</v>
          </cell>
          <cell r="G217" t="str">
            <v>Cabine - Huile de Soin Rose - 75 ml</v>
          </cell>
          <cell r="J217">
            <v>5.09</v>
          </cell>
        </row>
        <row r="218">
          <cell r="F218">
            <v>2050104</v>
          </cell>
          <cell r="G218" t="str">
            <v>Cabine - Lait Corporel à la Ficoïde à Cristaux - 145 ml</v>
          </cell>
          <cell r="J218">
            <v>6.34</v>
          </cell>
        </row>
        <row r="219">
          <cell r="D219">
            <v>4020829077072</v>
          </cell>
          <cell r="F219">
            <v>2010505</v>
          </cell>
          <cell r="G219" t="str">
            <v>Cabine - Lotion Fraîcheur pour les Yeux - 50 x 5 ml</v>
          </cell>
          <cell r="J219">
            <v>18.043799999999997</v>
          </cell>
        </row>
        <row r="220">
          <cell r="D220">
            <v>4020829004719</v>
          </cell>
          <cell r="F220">
            <v>2010709</v>
          </cell>
          <cell r="G220" t="str">
            <v>Cabine - Masque Apaisant - 100 ml</v>
          </cell>
          <cell r="J220">
            <v>14.645</v>
          </cell>
        </row>
        <row r="221">
          <cell r="D221">
            <v>4020829041325</v>
          </cell>
          <cell r="F221">
            <v>2010717</v>
          </cell>
          <cell r="G221" t="str">
            <v>Cabine - Masque Crème Nourrissant - 100 ml</v>
          </cell>
          <cell r="J221">
            <v>18.942799999999998</v>
          </cell>
        </row>
        <row r="222">
          <cell r="D222">
            <v>4020829004955</v>
          </cell>
          <cell r="F222">
            <v>2010706</v>
          </cell>
          <cell r="G222" t="str">
            <v>Cabine - Masque Purifiant - 5 x 90 g</v>
          </cell>
          <cell r="J222">
            <v>19.343</v>
          </cell>
        </row>
        <row r="223">
          <cell r="D223">
            <v>4020829004702</v>
          </cell>
          <cell r="F223">
            <v>2010710</v>
          </cell>
          <cell r="G223" t="str">
            <v>Cabine - Masque Restructurant - 100 ml</v>
          </cell>
          <cell r="J223">
            <v>17.782799999999998</v>
          </cell>
        </row>
        <row r="224">
          <cell r="D224">
            <v>4020829004726</v>
          </cell>
          <cell r="F224">
            <v>2010707</v>
          </cell>
          <cell r="G224" t="str">
            <v>Cabine - Masque Revitalisant - 100 ml</v>
          </cell>
          <cell r="J224">
            <v>14.645</v>
          </cell>
        </row>
        <row r="225">
          <cell r="D225" t="str">
            <v>9999CBLUSH</v>
          </cell>
          <cell r="F225" t="str">
            <v>CBLUSH</v>
          </cell>
          <cell r="G225" t="str">
            <v>Cache Blush</v>
          </cell>
          <cell r="J225">
            <v>0</v>
          </cell>
        </row>
        <row r="226">
          <cell r="D226">
            <v>4020829057296</v>
          </cell>
          <cell r="F226" t="str">
            <v>COAP</v>
          </cell>
          <cell r="G226" t="str">
            <v>Cache Ombres à Paupières</v>
          </cell>
          <cell r="J226">
            <v>9</v>
          </cell>
        </row>
        <row r="227">
          <cell r="D227" t="str">
            <v>9999CPOUDRE</v>
          </cell>
          <cell r="F227" t="str">
            <v>CPOUDRE</v>
          </cell>
          <cell r="G227" t="str">
            <v>Cache Poudre</v>
          </cell>
          <cell r="J227">
            <v>0</v>
          </cell>
        </row>
        <row r="228">
          <cell r="D228" t="str">
            <v>9999COAPTRIO</v>
          </cell>
          <cell r="F228" t="str">
            <v>COAPTRIO</v>
          </cell>
          <cell r="G228" t="str">
            <v>Cache Trio Ombres à Paupières</v>
          </cell>
          <cell r="J228">
            <v>0</v>
          </cell>
        </row>
        <row r="229">
          <cell r="F229" t="str">
            <v>CADEAU</v>
          </cell>
          <cell r="G229" t="str">
            <v>Cadeau contre achat</v>
          </cell>
          <cell r="J229">
            <v>0</v>
          </cell>
        </row>
        <row r="230">
          <cell r="D230">
            <v>9999996300186</v>
          </cell>
          <cell r="F230">
            <v>6300186</v>
          </cell>
          <cell r="G230" t="str">
            <v>Cadre en bois</v>
          </cell>
          <cell r="J230">
            <v>7.99</v>
          </cell>
        </row>
        <row r="231">
          <cell r="D231">
            <v>4020829105935</v>
          </cell>
          <cell r="F231">
            <v>1011044</v>
          </cell>
          <cell r="G231" t="str">
            <v>Calendrier de l'Avent 2024</v>
          </cell>
          <cell r="J231">
            <v>43.78</v>
          </cell>
        </row>
        <row r="232">
          <cell r="D232">
            <v>4020829099715</v>
          </cell>
          <cell r="F232">
            <v>1011037</v>
          </cell>
          <cell r="G232" t="str">
            <v>Calendrier de l'Avent Noël 2023</v>
          </cell>
          <cell r="J232">
            <v>27.19</v>
          </cell>
        </row>
        <row r="233">
          <cell r="D233">
            <v>9999998011037</v>
          </cell>
          <cell r="F233">
            <v>8011037</v>
          </cell>
          <cell r="G233" t="str">
            <v>Calendrier de l'Avent Noël 2023</v>
          </cell>
          <cell r="J233">
            <v>0</v>
          </cell>
        </row>
        <row r="234">
          <cell r="D234">
            <v>9999992080427</v>
          </cell>
          <cell r="F234">
            <v>2080427</v>
          </cell>
          <cell r="G234" t="str">
            <v>Carré mains 30 x 30 cm</v>
          </cell>
          <cell r="J234">
            <v>3.74</v>
          </cell>
        </row>
        <row r="235">
          <cell r="D235">
            <v>9999996700092</v>
          </cell>
          <cell r="F235">
            <v>6700092</v>
          </cell>
          <cell r="G235" t="str">
            <v>Carte de Bienvenue Ambassadrice</v>
          </cell>
          <cell r="J235">
            <v>1.76</v>
          </cell>
        </row>
        <row r="236">
          <cell r="D236">
            <v>4020829096585</v>
          </cell>
          <cell r="F236">
            <v>6700086</v>
          </cell>
          <cell r="G236" t="str">
            <v>Carte de Consultation Soins de Jour 2023</v>
          </cell>
          <cell r="J236">
            <v>0.78</v>
          </cell>
        </row>
        <row r="237">
          <cell r="D237">
            <v>9999996700089</v>
          </cell>
          <cell r="F237">
            <v>6700089</v>
          </cell>
          <cell r="G237" t="str">
            <v>Carte postale 2024</v>
          </cell>
          <cell r="J237">
            <v>0.54</v>
          </cell>
        </row>
        <row r="238">
          <cell r="D238">
            <v>9999996700005</v>
          </cell>
          <cell r="F238">
            <v>6700005</v>
          </cell>
          <cell r="G238" t="str">
            <v>Carte prise de RV</v>
          </cell>
          <cell r="J238">
            <v>0.08</v>
          </cell>
        </row>
        <row r="239">
          <cell r="G239" t="str">
            <v>Cartes-cadeaux</v>
          </cell>
          <cell r="J239">
            <v>0</v>
          </cell>
        </row>
        <row r="240">
          <cell r="D240">
            <v>9999991010701</v>
          </cell>
          <cell r="F240" t="str">
            <v>CASSAMP</v>
          </cell>
          <cell r="G240" t="str">
            <v>Casse Ampoule 50</v>
          </cell>
          <cell r="J240">
            <v>0.1</v>
          </cell>
        </row>
        <row r="241">
          <cell r="F241" t="str">
            <v>RECMAQ</v>
          </cell>
          <cell r="G241" t="str">
            <v>Cause :  Module Yeux reçu en double sur l'implantation</v>
          </cell>
          <cell r="J241">
            <v>0</v>
          </cell>
        </row>
        <row r="242">
          <cell r="D242">
            <v>9999996500116</v>
          </cell>
          <cell r="F242">
            <v>6500116</v>
          </cell>
          <cell r="G242" t="str">
            <v>Chevalet Rituel Pureté</v>
          </cell>
          <cell r="J242">
            <v>4</v>
          </cell>
        </row>
        <row r="243">
          <cell r="D243">
            <v>9999999120001</v>
          </cell>
          <cell r="F243">
            <v>9120001</v>
          </cell>
          <cell r="G243" t="str">
            <v>Classeur Manuel de formation</v>
          </cell>
          <cell r="J243">
            <v>4.8899999999999997</v>
          </cell>
        </row>
        <row r="244">
          <cell r="D244">
            <v>4020829106000</v>
          </cell>
          <cell r="F244">
            <v>1031023</v>
          </cell>
          <cell r="G244" t="str">
            <v>Coffret Essentiels de l'Hiver</v>
          </cell>
          <cell r="J244">
            <v>8.1</v>
          </cell>
        </row>
        <row r="245">
          <cell r="D245">
            <v>4020829106048</v>
          </cell>
          <cell r="F245">
            <v>1041101</v>
          </cell>
          <cell r="G245" t="str">
            <v>Coffret Harmonie de Lavande</v>
          </cell>
          <cell r="J245">
            <v>10.55</v>
          </cell>
        </row>
        <row r="246">
          <cell r="D246">
            <v>4020829092792</v>
          </cell>
          <cell r="F246">
            <v>1011033</v>
          </cell>
          <cell r="G246" t="str">
            <v>Coffret Les Essentiels - Noël 2022</v>
          </cell>
          <cell r="J246">
            <v>10.34</v>
          </cell>
        </row>
        <row r="247">
          <cell r="D247">
            <v>3770026497265</v>
          </cell>
          <cell r="F247">
            <v>1011040</v>
          </cell>
          <cell r="G247" t="str">
            <v>Coffret Rituel Clarifiant 2023* -15 %*</v>
          </cell>
          <cell r="J247">
            <v>14</v>
          </cell>
        </row>
        <row r="248">
          <cell r="D248">
            <v>3770026497241</v>
          </cell>
          <cell r="F248">
            <v>1011038</v>
          </cell>
          <cell r="G248" t="str">
            <v>Coffret Rituel Equilibrant 2023 *-10 %*</v>
          </cell>
          <cell r="J248">
            <v>13.55</v>
          </cell>
        </row>
        <row r="249">
          <cell r="D249">
            <v>3770026497258</v>
          </cell>
          <cell r="F249">
            <v>1011039</v>
          </cell>
          <cell r="G249" t="str">
            <v>Coffret Rituel Matifiant 2023 * - 10%*</v>
          </cell>
          <cell r="J249">
            <v>13.05</v>
          </cell>
        </row>
        <row r="250">
          <cell r="D250">
            <v>4020829105973</v>
          </cell>
          <cell r="F250">
            <v>1011043</v>
          </cell>
          <cell r="G250" t="str">
            <v>Coffret Rituel de Rose</v>
          </cell>
          <cell r="J250">
            <v>10.93</v>
          </cell>
        </row>
        <row r="251">
          <cell r="D251" t="str">
            <v>999999OFF-36</v>
          </cell>
          <cell r="F251" t="str">
            <v>OFF-36</v>
          </cell>
          <cell r="G251" t="str">
            <v>Collisage par 5</v>
          </cell>
          <cell r="J251">
            <v>0</v>
          </cell>
        </row>
        <row r="252">
          <cell r="F252">
            <v>7131373</v>
          </cell>
          <cell r="G252" t="str">
            <v>Compagnons Naturels - MEA Mains &amp; Lèvres</v>
          </cell>
          <cell r="J252">
            <v>51.33</v>
          </cell>
        </row>
        <row r="253">
          <cell r="F253" t="str">
            <v>AV7131373</v>
          </cell>
          <cell r="G253" t="str">
            <v>Compagnons Naturels - MEA Mains &amp; Lèvres</v>
          </cell>
          <cell r="J253">
            <v>0</v>
          </cell>
        </row>
        <row r="254">
          <cell r="D254">
            <v>999999421440</v>
          </cell>
          <cell r="F254">
            <v>421440</v>
          </cell>
          <cell r="G254" t="str">
            <v>Compresses visage pack de 5</v>
          </cell>
          <cell r="J254">
            <v>11.21</v>
          </cell>
        </row>
        <row r="255">
          <cell r="G255" t="str">
            <v>Concealer 00 transparent *DLV 02/2025* - 10 %*</v>
          </cell>
          <cell r="J255">
            <v>0</v>
          </cell>
        </row>
        <row r="256">
          <cell r="D256">
            <v>4020829098695</v>
          </cell>
          <cell r="F256">
            <v>1060911</v>
          </cell>
          <cell r="G256" t="str">
            <v>Concealer 01 macadamia</v>
          </cell>
          <cell r="J256">
            <v>4.3731999999999998</v>
          </cell>
        </row>
        <row r="257">
          <cell r="D257">
            <v>4020829044203</v>
          </cell>
          <cell r="F257">
            <v>1060901</v>
          </cell>
          <cell r="G257" t="str">
            <v>Concealer 01 macadamia - Dernières unités avant retour Oct 23</v>
          </cell>
          <cell r="J257">
            <v>4.2699999999999996</v>
          </cell>
        </row>
        <row r="258">
          <cell r="D258">
            <v>4020829098701</v>
          </cell>
          <cell r="F258">
            <v>1060912</v>
          </cell>
          <cell r="G258" t="str">
            <v>Concealer 02 châtaigne</v>
          </cell>
          <cell r="J258">
            <v>4.3731999999999998</v>
          </cell>
        </row>
        <row r="259">
          <cell r="D259">
            <v>4020829044210</v>
          </cell>
          <cell r="F259">
            <v>1060902</v>
          </cell>
          <cell r="G259" t="str">
            <v>Concealer 02 châtaigne - Dernières unités avant retour Oct 23</v>
          </cell>
          <cell r="J259">
            <v>4.2699999999999996</v>
          </cell>
        </row>
        <row r="260">
          <cell r="D260">
            <v>4020829098862</v>
          </cell>
          <cell r="F260">
            <v>1060910</v>
          </cell>
          <cell r="G260" t="str">
            <v>Concealer éclat 00 transparent</v>
          </cell>
          <cell r="J260">
            <v>4.3731999999999998</v>
          </cell>
        </row>
        <row r="261">
          <cell r="D261">
            <v>4020829098756</v>
          </cell>
          <cell r="F261">
            <v>1060521</v>
          </cell>
          <cell r="G261" t="str">
            <v>Crayon Contour des Yeux 01 noir</v>
          </cell>
          <cell r="J261">
            <v>3.7873999999999999</v>
          </cell>
        </row>
        <row r="262">
          <cell r="D262">
            <v>4020829098763</v>
          </cell>
          <cell r="F262">
            <v>1060522</v>
          </cell>
          <cell r="G262" t="str">
            <v>Crayon Contour des Yeux 02 brun</v>
          </cell>
          <cell r="J262">
            <v>3.7873999999999999</v>
          </cell>
        </row>
        <row r="263">
          <cell r="D263">
            <v>4020829043770</v>
          </cell>
          <cell r="F263">
            <v>1060503</v>
          </cell>
          <cell r="G263" t="str">
            <v>Crayon Contour des Yeux 03 bleu - Dernières unités</v>
          </cell>
          <cell r="J263">
            <v>3.43</v>
          </cell>
        </row>
        <row r="264">
          <cell r="D264">
            <v>4020829043572</v>
          </cell>
          <cell r="F264">
            <v>1060504</v>
          </cell>
          <cell r="G264" t="str">
            <v>Crayon Contour des Yeux 04 vert - Dernières unités</v>
          </cell>
          <cell r="J264">
            <v>3.24</v>
          </cell>
        </row>
        <row r="265">
          <cell r="D265">
            <v>4020829098770</v>
          </cell>
          <cell r="F265">
            <v>1060523</v>
          </cell>
          <cell r="G265" t="str">
            <v>Crayon Contour des Yeux 05 taupe</v>
          </cell>
          <cell r="J265">
            <v>3.7873999999999999</v>
          </cell>
        </row>
        <row r="266">
          <cell r="D266">
            <v>4020829043596</v>
          </cell>
          <cell r="F266">
            <v>1060506</v>
          </cell>
          <cell r="G266" t="str">
            <v>Crayon Contour des Yeux 06 violet - Dernières unités</v>
          </cell>
          <cell r="J266">
            <v>3.69</v>
          </cell>
        </row>
        <row r="267">
          <cell r="D267">
            <v>4020829098886</v>
          </cell>
          <cell r="F267">
            <v>1060412</v>
          </cell>
          <cell r="G267" t="str">
            <v>Crayon à Lèvres 01 liriodendron</v>
          </cell>
          <cell r="J267">
            <v>3.7873999999999999</v>
          </cell>
        </row>
        <row r="268">
          <cell r="D268">
            <v>4020829043626</v>
          </cell>
          <cell r="F268">
            <v>1060402</v>
          </cell>
          <cell r="G268" t="str">
            <v>Crayon à Lèvres 02 hibiscus boisé - Dernières unités</v>
          </cell>
          <cell r="J268">
            <v>2.99</v>
          </cell>
        </row>
        <row r="269">
          <cell r="D269">
            <v>4020829043633</v>
          </cell>
          <cell r="F269">
            <v>1060403</v>
          </cell>
          <cell r="G269" t="str">
            <v>Crayon à Lèvres 03 acajou boisé - Dernières unités</v>
          </cell>
          <cell r="J269">
            <v>3.04</v>
          </cell>
        </row>
        <row r="270">
          <cell r="D270">
            <v>4020829098893</v>
          </cell>
          <cell r="F270">
            <v>1060413</v>
          </cell>
          <cell r="G270" t="str">
            <v>Crayon à Lèvres 04 cumaru</v>
          </cell>
          <cell r="J270">
            <v>3.7873999999999999</v>
          </cell>
        </row>
        <row r="271">
          <cell r="D271">
            <v>4020829043657</v>
          </cell>
          <cell r="F271">
            <v>1060405</v>
          </cell>
          <cell r="G271" t="str">
            <v>Crayon à Lèvres 05 santal boisé - Dernières unités</v>
          </cell>
          <cell r="J271">
            <v>3.08</v>
          </cell>
        </row>
        <row r="272">
          <cell r="D272">
            <v>4020829098879</v>
          </cell>
          <cell r="F272">
            <v>1060411</v>
          </cell>
          <cell r="G272" t="str">
            <v>Crayon à Lèvres Precision 00 transparent</v>
          </cell>
          <cell r="J272">
            <v>3.7873999999999999</v>
          </cell>
        </row>
        <row r="273">
          <cell r="D273">
            <v>4020829097018</v>
          </cell>
          <cell r="F273">
            <v>1060531</v>
          </cell>
          <cell r="G273" t="str">
            <v>Crayon à Sourcils 01 brun clair</v>
          </cell>
          <cell r="J273">
            <v>3.7873999999999999</v>
          </cell>
        </row>
        <row r="274">
          <cell r="D274">
            <v>4020829097032</v>
          </cell>
          <cell r="F274">
            <v>1060532</v>
          </cell>
          <cell r="G274" t="str">
            <v>Crayon à Sourcils 02 brun foncé</v>
          </cell>
          <cell r="J274">
            <v>3.7873999999999999</v>
          </cell>
        </row>
        <row r="275">
          <cell r="D275">
            <v>4020829013919</v>
          </cell>
          <cell r="F275">
            <v>1020401</v>
          </cell>
          <cell r="G275" t="str">
            <v>Crème Contour des Yeux - Régénérant - 15 ml</v>
          </cell>
          <cell r="J275">
            <v>15.4918</v>
          </cell>
        </row>
        <row r="276">
          <cell r="D276">
            <v>4020829008366</v>
          </cell>
          <cell r="F276">
            <v>1020302</v>
          </cell>
          <cell r="G276" t="str">
            <v>Crème Cou et Décolleté - Régénérant - 40 ml</v>
          </cell>
          <cell r="J276">
            <v>13.774999999999999</v>
          </cell>
        </row>
        <row r="277">
          <cell r="F277" t="str">
            <v>99-420003790</v>
          </cell>
          <cell r="G277" t="str">
            <v>Crème Douche - 150 ml</v>
          </cell>
          <cell r="J277">
            <v>2.39</v>
          </cell>
        </row>
        <row r="278">
          <cell r="D278">
            <v>4020829066540</v>
          </cell>
          <cell r="F278">
            <v>1040115</v>
          </cell>
          <cell r="G278" t="str">
            <v>Crème Douche - 150 ml</v>
          </cell>
          <cell r="J278">
            <v>2.5287999999999999</v>
          </cell>
        </row>
        <row r="279">
          <cell r="D279">
            <v>4020829102194</v>
          </cell>
          <cell r="F279">
            <v>1040125</v>
          </cell>
          <cell r="G279" t="str">
            <v>Crème Douche 30 ml</v>
          </cell>
          <cell r="J279">
            <v>1</v>
          </cell>
        </row>
        <row r="280">
          <cell r="D280">
            <v>4020829072572</v>
          </cell>
          <cell r="F280">
            <v>1040120</v>
          </cell>
          <cell r="G280" t="str">
            <v>Crème Douche Herbe des champs et Cardamome 200 ml</v>
          </cell>
          <cell r="J280">
            <v>7.4993999999999996</v>
          </cell>
        </row>
        <row r="281">
          <cell r="D281">
            <v>4020829079601</v>
          </cell>
          <cell r="F281">
            <v>1030408</v>
          </cell>
          <cell r="G281" t="str">
            <v>Crème Déodorante pour les Pieds - 30 ml - nouvelle</v>
          </cell>
          <cell r="J281">
            <v>3.7757999999999998</v>
          </cell>
        </row>
        <row r="282">
          <cell r="D282">
            <v>4020829006416</v>
          </cell>
          <cell r="F282">
            <v>1010503</v>
          </cell>
          <cell r="G282" t="str">
            <v xml:space="preserve">Crème Fluide Contour des Yeux - 12,5 ml </v>
          </cell>
          <cell r="J282">
            <v>8.2707999999999995</v>
          </cell>
        </row>
        <row r="283">
          <cell r="D283">
            <v>4020829006294</v>
          </cell>
          <cell r="F283">
            <v>1030403</v>
          </cell>
          <cell r="G283" t="str">
            <v>Crème Hydratante pour les Pieds - 75 ml</v>
          </cell>
          <cell r="J283">
            <v>4.4718</v>
          </cell>
        </row>
        <row r="284">
          <cell r="D284">
            <v>4020829092037</v>
          </cell>
          <cell r="F284">
            <v>1050204</v>
          </cell>
          <cell r="G284" t="str">
            <v>Crème Intensive à la Ficoïde à Cristaux - 50 ml</v>
          </cell>
          <cell r="J284">
            <v>8.0909999999999993</v>
          </cell>
        </row>
        <row r="285">
          <cell r="D285">
            <v>4020829069282</v>
          </cell>
          <cell r="F285">
            <v>1050203</v>
          </cell>
          <cell r="G285" t="str">
            <v>Crème Potentilla Ultra-Apaisante - 20 ml</v>
          </cell>
          <cell r="J285">
            <v>4.8197999999999999</v>
          </cell>
        </row>
        <row r="286">
          <cell r="D286">
            <v>4020829101821</v>
          </cell>
          <cell r="F286">
            <v>1010121</v>
          </cell>
          <cell r="G286" t="str">
            <v>Crème Purifiante pour le Visage - 20 ml</v>
          </cell>
          <cell r="J286">
            <v>1.63</v>
          </cell>
        </row>
        <row r="287">
          <cell r="D287">
            <v>4020829066458</v>
          </cell>
          <cell r="F287">
            <v>1010113</v>
          </cell>
          <cell r="G287" t="str">
            <v>Crème Purifiante pour le Visage - 30 ml</v>
          </cell>
          <cell r="J287">
            <v>2.14</v>
          </cell>
        </row>
        <row r="288">
          <cell r="D288">
            <v>4020829005181</v>
          </cell>
          <cell r="F288">
            <v>1010101</v>
          </cell>
          <cell r="G288" t="str">
            <v>Crème Purifiante pour le Visage - 50 ml</v>
          </cell>
          <cell r="J288">
            <v>3.9556</v>
          </cell>
        </row>
        <row r="289">
          <cell r="D289">
            <v>4020829104389</v>
          </cell>
          <cell r="F289">
            <v>1010119</v>
          </cell>
          <cell r="G289" t="str">
            <v>Crème Purifiante pour le Visage 50 ml Edition Limitée 2024</v>
          </cell>
          <cell r="J289">
            <v>3.86</v>
          </cell>
        </row>
        <row r="290">
          <cell r="D290">
            <v>4020829088962</v>
          </cell>
          <cell r="F290">
            <v>1030503</v>
          </cell>
          <cell r="G290" t="str">
            <v>Crème Solaire pour le Visage Teintée SPF 30 - 40ml</v>
          </cell>
          <cell r="J290">
            <v>8.0968</v>
          </cell>
        </row>
        <row r="291">
          <cell r="D291">
            <v>4020829007383</v>
          </cell>
          <cell r="F291">
            <v>1020301</v>
          </cell>
          <cell r="G291" t="str">
            <v>Crème de Jour - Régénérant - 40 ml</v>
          </cell>
          <cell r="J291">
            <v>14.801599999999999</v>
          </cell>
        </row>
        <row r="292">
          <cell r="D292">
            <v>4020829102972</v>
          </cell>
          <cell r="F292">
            <v>1020720</v>
          </cell>
          <cell r="G292" t="str">
            <v>Crème de Jour - Régénérant Intensif - 40ml</v>
          </cell>
          <cell r="J292">
            <v>17.191199999999998</v>
          </cell>
        </row>
        <row r="293">
          <cell r="D293">
            <v>4020829060999</v>
          </cell>
          <cell r="F293">
            <v>1020310</v>
          </cell>
          <cell r="G293" t="str">
            <v>Crème de Jour Eclat du Teint - Régénérant - 40 ml</v>
          </cell>
          <cell r="J293">
            <v>16.2226</v>
          </cell>
        </row>
        <row r="294">
          <cell r="D294">
            <v>4020829006713</v>
          </cell>
          <cell r="F294">
            <v>1010302</v>
          </cell>
          <cell r="G294" t="str">
            <v>Crème de Jour Légère à la Rose - 30 ml</v>
          </cell>
          <cell r="J294">
            <v>7.0585999999999993</v>
          </cell>
        </row>
        <row r="295">
          <cell r="D295">
            <v>99998010368</v>
          </cell>
          <cell r="F295">
            <v>8010368</v>
          </cell>
          <cell r="G295" t="str">
            <v>Crème de Jour Légère à la Rose 30 ml - Edition limitée 2022</v>
          </cell>
          <cell r="J295">
            <v>0</v>
          </cell>
        </row>
        <row r="296">
          <cell r="D296">
            <v>4020829109377</v>
          </cell>
          <cell r="F296">
            <v>1010384</v>
          </cell>
          <cell r="G296" t="str">
            <v>Crème de Jour Légère à la Rose 30 ml Edition Limitée 2025</v>
          </cell>
          <cell r="J296">
            <v>6.99</v>
          </cell>
        </row>
        <row r="297">
          <cell r="D297">
            <v>4020829109186</v>
          </cell>
          <cell r="F297">
            <v>8010384</v>
          </cell>
          <cell r="G297" t="str">
            <v>Crème de Jour Légère à la Rose 30 ml Edition Limitée 2025 *PRE-SERIE*</v>
          </cell>
          <cell r="J297">
            <v>0</v>
          </cell>
        </row>
        <row r="298">
          <cell r="D298">
            <v>4020829104341</v>
          </cell>
          <cell r="F298">
            <v>1010382</v>
          </cell>
          <cell r="G298" t="str">
            <v>Crème de Jour Légère à la Rose Edition Limitée 30 ml 2024</v>
          </cell>
          <cell r="J298">
            <v>6.88</v>
          </cell>
        </row>
        <row r="299">
          <cell r="D299">
            <v>4020829074040</v>
          </cell>
          <cell r="F299">
            <v>1020703</v>
          </cell>
          <cell r="G299" t="str">
            <v>Crème de Jour Régénérante Intensive - 40 ml</v>
          </cell>
          <cell r="J299">
            <v>16.77</v>
          </cell>
        </row>
        <row r="300">
          <cell r="D300">
            <v>4020829039056</v>
          </cell>
          <cell r="F300">
            <v>1010320</v>
          </cell>
          <cell r="G300" t="str">
            <v>Crème de Jour Teintée - 30 ml</v>
          </cell>
          <cell r="J300">
            <v>7.4007999999999994</v>
          </cell>
        </row>
        <row r="301">
          <cell r="D301">
            <v>4020829005747</v>
          </cell>
          <cell r="F301">
            <v>1010305</v>
          </cell>
          <cell r="G301" t="str">
            <v>Crème de Jour au Coing - 30 ml</v>
          </cell>
          <cell r="J301">
            <v>6.2001999999999997</v>
          </cell>
        </row>
        <row r="302">
          <cell r="D302">
            <v>99998010369</v>
          </cell>
          <cell r="F302">
            <v>8010369</v>
          </cell>
          <cell r="G302" t="str">
            <v>Crème de Jour au Coing 30 ml - Edition limitée 2022</v>
          </cell>
          <cell r="J302">
            <v>0</v>
          </cell>
        </row>
        <row r="303">
          <cell r="D303">
            <v>4020829100640</v>
          </cell>
          <cell r="F303">
            <v>1010377</v>
          </cell>
          <cell r="G303" t="str">
            <v>Crème de Jour à l'Abricot - 30 ml</v>
          </cell>
          <cell r="J303">
            <v>6.7163999999999993</v>
          </cell>
        </row>
        <row r="304">
          <cell r="D304">
            <v>4020829008793</v>
          </cell>
          <cell r="F304">
            <v>1010306</v>
          </cell>
          <cell r="G304" t="str">
            <v xml:space="preserve">Crème de Jour à la Mélisse - 30 ml </v>
          </cell>
          <cell r="J304">
            <v>6.7163999999999993</v>
          </cell>
        </row>
        <row r="305">
          <cell r="D305">
            <v>9999991810306</v>
          </cell>
          <cell r="F305">
            <v>1810306</v>
          </cell>
          <cell r="G305" t="str">
            <v>Crème de Jour à la Mélisse - 30 ml*DLV 05/2025(remise 20 % incluse)</v>
          </cell>
          <cell r="J305">
            <v>6.06</v>
          </cell>
        </row>
        <row r="306">
          <cell r="D306">
            <v>4020829006249</v>
          </cell>
          <cell r="F306">
            <v>1010310</v>
          </cell>
          <cell r="G306" t="str">
            <v>Crème de Jour à la Rose - 30 ml</v>
          </cell>
          <cell r="J306">
            <v>7.0585999999999993</v>
          </cell>
        </row>
        <row r="307">
          <cell r="D307">
            <v>101038399999</v>
          </cell>
          <cell r="F307">
            <v>1010383</v>
          </cell>
          <cell r="G307" t="str">
            <v>Crème de Jour à la Rose - 30 ml*- 25 %*DLV 03/2025*</v>
          </cell>
          <cell r="J307">
            <v>6.99</v>
          </cell>
        </row>
        <row r="308">
          <cell r="D308">
            <v>4020829080065</v>
          </cell>
          <cell r="F308">
            <v>1050202</v>
          </cell>
          <cell r="G308" t="str">
            <v>Crème pour le visage à la Ficoïde à Cristaux - 40 ml</v>
          </cell>
          <cell r="J308">
            <v>9.1349999999999998</v>
          </cell>
        </row>
        <row r="309">
          <cell r="D309">
            <v>4020829101845</v>
          </cell>
          <cell r="F309">
            <v>1030312</v>
          </cell>
          <cell r="G309" t="str">
            <v>Crème pour les Mains - 20 ml</v>
          </cell>
          <cell r="J309">
            <v>1.7631999999999999</v>
          </cell>
        </row>
        <row r="310">
          <cell r="D310">
            <v>4020829068193</v>
          </cell>
          <cell r="F310">
            <v>1030309</v>
          </cell>
          <cell r="G310" t="str">
            <v>Crème pour les Mains - 30 ml</v>
          </cell>
          <cell r="J310">
            <v>2.35</v>
          </cell>
        </row>
        <row r="311">
          <cell r="D311">
            <v>4020829005709</v>
          </cell>
          <cell r="F311">
            <v>1030301</v>
          </cell>
          <cell r="G311" t="str">
            <v>Crème pour les Mains - 50 ml</v>
          </cell>
          <cell r="J311">
            <v>3.7757999999999998</v>
          </cell>
        </row>
        <row r="312">
          <cell r="D312">
            <v>4020829049666</v>
          </cell>
          <cell r="F312">
            <v>1020102</v>
          </cell>
          <cell r="G312" t="str">
            <v>Crème pour les Mains - Régénérant - 50 ml</v>
          </cell>
          <cell r="J312">
            <v>6.5481999999999987</v>
          </cell>
        </row>
        <row r="313">
          <cell r="D313">
            <v>4020829104426</v>
          </cell>
          <cell r="F313">
            <v>1030310</v>
          </cell>
          <cell r="G313" t="str">
            <v xml:space="preserve">Crème pour les Mains 50 ml Edition Limitée 2024 </v>
          </cell>
          <cell r="J313">
            <v>3.68</v>
          </cell>
        </row>
        <row r="314">
          <cell r="D314">
            <v>4020829106536</v>
          </cell>
          <cell r="F314">
            <v>1030311</v>
          </cell>
          <cell r="G314" t="str">
            <v>Crème pour les Mains 50ml Edition Limitée Noël 2024</v>
          </cell>
          <cell r="J314">
            <v>3.74</v>
          </cell>
        </row>
        <row r="315">
          <cell r="D315">
            <v>18201059999</v>
          </cell>
          <cell r="F315">
            <v>1820105</v>
          </cell>
          <cell r="G315" t="str">
            <v>Crème pour les Mains Régénérante - 50 ml*DLV 09/24* - 25 %*</v>
          </cell>
          <cell r="J315">
            <v>6.3900000000000006</v>
          </cell>
        </row>
        <row r="316">
          <cell r="D316">
            <v>4020829069794</v>
          </cell>
          <cell r="F316">
            <v>1050103</v>
          </cell>
          <cell r="G316" t="str">
            <v>Crème pour les Mains à la Ficoïde à Cristaux - 50 ml</v>
          </cell>
          <cell r="J316">
            <v>4.552999999999999</v>
          </cell>
        </row>
        <row r="317">
          <cell r="D317">
            <v>4020829102057</v>
          </cell>
          <cell r="F317">
            <v>6300182</v>
          </cell>
          <cell r="G317" t="str">
            <v>Cube Hamamélis</v>
          </cell>
          <cell r="J317">
            <v>11.03</v>
          </cell>
        </row>
        <row r="318">
          <cell r="D318">
            <v>9999996500127</v>
          </cell>
          <cell r="F318">
            <v>6500127</v>
          </cell>
          <cell r="G318" t="str">
            <v>Cube Institutionnel</v>
          </cell>
          <cell r="J318">
            <v>2.35</v>
          </cell>
        </row>
        <row r="319">
          <cell r="D319">
            <v>4020829105317</v>
          </cell>
          <cell r="F319">
            <v>6300195</v>
          </cell>
          <cell r="G319" t="str">
            <v>Cube Institutionnel Maquillage</v>
          </cell>
          <cell r="J319">
            <v>8.67</v>
          </cell>
        </row>
        <row r="320">
          <cell r="D320">
            <v>4020829097612</v>
          </cell>
          <cell r="F320">
            <v>1010724</v>
          </cell>
          <cell r="G320" t="str">
            <v>Cure Intensive Clarifiante (avant 25 ans) - 40 ml*Nouveau packaging*</v>
          </cell>
          <cell r="J320">
            <v>12.736799999999999</v>
          </cell>
        </row>
        <row r="321">
          <cell r="D321">
            <v>4020829006850</v>
          </cell>
          <cell r="F321">
            <v>1010711</v>
          </cell>
          <cell r="G321" t="str">
            <v>Cure Intensive Clarifiante (avant 25 ans) - 40 ml*dlv 02/25*-20%*</v>
          </cell>
          <cell r="J321">
            <v>11.55</v>
          </cell>
        </row>
        <row r="322">
          <cell r="D322">
            <v>4020829097575</v>
          </cell>
          <cell r="F322">
            <v>1010725</v>
          </cell>
          <cell r="G322" t="str">
            <v>Cure Intensive Clarifiante (à partir de 25 ans) - 40 ml*Nouveau packaging*</v>
          </cell>
          <cell r="J322">
            <v>12.736799999999999</v>
          </cell>
        </row>
        <row r="323">
          <cell r="D323">
            <v>4020829102941</v>
          </cell>
          <cell r="F323">
            <v>1020721</v>
          </cell>
          <cell r="G323" t="str">
            <v>Cure Intensive Fortifiante - Régénérant - 40ml</v>
          </cell>
          <cell r="J323">
            <v>16.878</v>
          </cell>
        </row>
        <row r="324">
          <cell r="D324">
            <v>4020829005433</v>
          </cell>
          <cell r="F324">
            <v>1010704</v>
          </cell>
          <cell r="G324" t="str">
            <v>Cure Intensive Jour/Nuit pour Peaux Sensibles 10 amp.</v>
          </cell>
          <cell r="J324">
            <v>6.3683999999999994</v>
          </cell>
        </row>
        <row r="325">
          <cell r="D325">
            <v>4020829005402</v>
          </cell>
          <cell r="F325">
            <v>1010703</v>
          </cell>
          <cell r="G325" t="str">
            <v>Cure Intensive Jour/Nuit pour Peaux Sensibles 50 amp.</v>
          </cell>
          <cell r="J325">
            <v>19.9636</v>
          </cell>
        </row>
        <row r="326">
          <cell r="D326">
            <v>4020829097629</v>
          </cell>
          <cell r="F326">
            <v>1020715</v>
          </cell>
          <cell r="G326" t="str">
            <v>Cure Intensive Régénérante - 40 ml*Nouveau packaging*</v>
          </cell>
          <cell r="J326">
            <v>16.71</v>
          </cell>
        </row>
        <row r="327">
          <cell r="D327">
            <v>4020829006997</v>
          </cell>
          <cell r="F327">
            <v>1020702</v>
          </cell>
          <cell r="G327" t="str">
            <v>Cure Intensive Rééquilibrante - 40 ml*DLV 09/25*-10%*</v>
          </cell>
          <cell r="J327">
            <v>16.46</v>
          </cell>
        </row>
        <row r="328">
          <cell r="D328">
            <v>4020829097643</v>
          </cell>
          <cell r="F328">
            <v>1020716</v>
          </cell>
          <cell r="G328" t="str">
            <v>Cure Intensive Rééquilibrante - 40 ml*Nouveau packaging*</v>
          </cell>
          <cell r="J328">
            <v>16.71</v>
          </cell>
        </row>
        <row r="329">
          <cell r="D329">
            <v>4020829102934</v>
          </cell>
          <cell r="F329">
            <v>1020722</v>
          </cell>
          <cell r="G329" t="str">
            <v>Cure Intensive Rééquilibrante - Régénérant Intensif - 40ml</v>
          </cell>
          <cell r="J329">
            <v>16.878</v>
          </cell>
        </row>
        <row r="330">
          <cell r="D330">
            <v>4020829097636</v>
          </cell>
          <cell r="F330">
            <v>1010726</v>
          </cell>
          <cell r="G330" t="str">
            <v>Cure Intensive pour Peaux Réactives - 40 ml*Nouveau packaging*</v>
          </cell>
          <cell r="J330">
            <v>12.736799999999999</v>
          </cell>
        </row>
        <row r="331">
          <cell r="D331">
            <v>4020829005327</v>
          </cell>
          <cell r="F331">
            <v>1010702</v>
          </cell>
          <cell r="G331" t="str">
            <v>Cure Intensive pour la Nuit 10 amp.</v>
          </cell>
          <cell r="J331">
            <v>6.2001999999999997</v>
          </cell>
        </row>
        <row r="332">
          <cell r="D332">
            <v>4020829005358</v>
          </cell>
          <cell r="F332">
            <v>1010701</v>
          </cell>
          <cell r="G332" t="str">
            <v>Cure Intensive pour la Nuit 50 amp.</v>
          </cell>
          <cell r="J332">
            <v>18.936999999999998</v>
          </cell>
        </row>
        <row r="333">
          <cell r="D333">
            <v>999999410004425</v>
          </cell>
          <cell r="F333">
            <v>410004425</v>
          </cell>
          <cell r="G333" t="str">
            <v>Custom Modular Display 1 Module (Limited Edition)</v>
          </cell>
          <cell r="J333">
            <v>157</v>
          </cell>
        </row>
        <row r="334">
          <cell r="D334">
            <v>999999410004429</v>
          </cell>
          <cell r="F334">
            <v>410004429</v>
          </cell>
          <cell r="G334" t="str">
            <v>Custom Modular Display Module Eyes</v>
          </cell>
          <cell r="J334">
            <v>154</v>
          </cell>
        </row>
        <row r="335">
          <cell r="D335">
            <v>999999410004427</v>
          </cell>
          <cell r="F335">
            <v>410004427</v>
          </cell>
          <cell r="G335" t="str">
            <v>Custom Modular Display Module Face</v>
          </cell>
          <cell r="J335">
            <v>154</v>
          </cell>
        </row>
        <row r="336">
          <cell r="D336">
            <v>999999410004428</v>
          </cell>
          <cell r="F336">
            <v>410004428</v>
          </cell>
          <cell r="G336" t="str">
            <v>Custom Modular Display Module Lips</v>
          </cell>
          <cell r="J336">
            <v>154</v>
          </cell>
        </row>
        <row r="337">
          <cell r="D337">
            <v>4020829069411</v>
          </cell>
          <cell r="F337">
            <v>1050402</v>
          </cell>
          <cell r="G337" t="str">
            <v>Dentifrice Fortifiant à la Menthe - 75 ml</v>
          </cell>
          <cell r="J337">
            <v>1.52</v>
          </cell>
        </row>
        <row r="338">
          <cell r="D338">
            <v>4020829103511</v>
          </cell>
          <cell r="F338">
            <v>1050407</v>
          </cell>
          <cell r="G338" t="str">
            <v>Dentifrice Fortifiant à la Menthe - 75 ml *nouvelle formule*</v>
          </cell>
          <cell r="J338">
            <v>1.5601999999999998</v>
          </cell>
        </row>
        <row r="339">
          <cell r="D339">
            <v>4020829069381</v>
          </cell>
          <cell r="F339">
            <v>1050401</v>
          </cell>
          <cell r="G339" t="str">
            <v>Dentifrice Salin Sensitivité - 75 ml</v>
          </cell>
          <cell r="J339">
            <v>1.54</v>
          </cell>
        </row>
        <row r="340">
          <cell r="D340">
            <v>4020829103542</v>
          </cell>
          <cell r="F340">
            <v>1050406</v>
          </cell>
          <cell r="G340" t="str">
            <v>Dentifrice Salin Sensitivité - 75 ml *nouvelle formule*</v>
          </cell>
          <cell r="J340">
            <v>1.5601999999999998</v>
          </cell>
        </row>
        <row r="341">
          <cell r="D341">
            <v>9999996700093</v>
          </cell>
          <cell r="F341">
            <v>6700093</v>
          </cell>
          <cell r="G341" t="str">
            <v>Diplôme Ambassadrice</v>
          </cell>
          <cell r="J341">
            <v>0</v>
          </cell>
        </row>
        <row r="342">
          <cell r="D342">
            <v>999999982023</v>
          </cell>
          <cell r="F342">
            <v>982023</v>
          </cell>
          <cell r="G342" t="str">
            <v>Divers Comptablité</v>
          </cell>
          <cell r="J342">
            <v>0</v>
          </cell>
        </row>
        <row r="343">
          <cell r="F343">
            <v>982273</v>
          </cell>
          <cell r="G343" t="str">
            <v>Divers Facturations TVA 19,6%</v>
          </cell>
          <cell r="J343">
            <v>0</v>
          </cell>
        </row>
        <row r="344">
          <cell r="D344">
            <v>999999982041</v>
          </cell>
          <cell r="F344">
            <v>982041</v>
          </cell>
          <cell r="G344" t="str">
            <v>Divers Vente Article Caisse TVA 19,6%</v>
          </cell>
          <cell r="J344">
            <v>0</v>
          </cell>
        </row>
        <row r="345">
          <cell r="F345" t="str">
            <v>PLD</v>
          </cell>
          <cell r="G345" t="str">
            <v>Divers produits à saisir</v>
          </cell>
          <cell r="J345">
            <v>0</v>
          </cell>
        </row>
        <row r="346">
          <cell r="D346" t="str">
            <v>9999DOCF</v>
          </cell>
          <cell r="F346" t="str">
            <v>DOCF</v>
          </cell>
          <cell r="G346" t="str">
            <v>Document Formation à joindre à la commande</v>
          </cell>
          <cell r="J346">
            <v>0</v>
          </cell>
        </row>
        <row r="347">
          <cell r="D347">
            <v>4020829084780</v>
          </cell>
          <cell r="F347">
            <v>6300150</v>
          </cell>
          <cell r="G347" t="str">
            <v>Dos Module-Conseil pour testeur - Agir Ensemble</v>
          </cell>
          <cell r="J347">
            <v>0.21</v>
          </cell>
        </row>
        <row r="348">
          <cell r="D348">
            <v>4020829084063</v>
          </cell>
          <cell r="F348">
            <v>6300146</v>
          </cell>
          <cell r="G348" t="str">
            <v>Dos Module-Conseil pour testeur - Crème de jour</v>
          </cell>
          <cell r="J348">
            <v>0.21</v>
          </cell>
        </row>
        <row r="349">
          <cell r="D349">
            <v>4020829088214</v>
          </cell>
          <cell r="F349">
            <v>6300154</v>
          </cell>
          <cell r="G349" t="str">
            <v xml:space="preserve">Dos Module-Conseil pour testeur - Fluide de jour </v>
          </cell>
          <cell r="J349">
            <v>0.4</v>
          </cell>
        </row>
        <row r="350">
          <cell r="D350">
            <v>4020829093010</v>
          </cell>
          <cell r="F350">
            <v>6300167</v>
          </cell>
          <cell r="G350" t="str">
            <v>Dos Module-Conseil – Masques</v>
          </cell>
          <cell r="J350">
            <v>0.55000000000000004</v>
          </cell>
        </row>
        <row r="351">
          <cell r="F351" t="str">
            <v>DOSSREV</v>
          </cell>
          <cell r="G351" t="str">
            <v>Dossier de formation Revendeur sur Place</v>
          </cell>
          <cell r="J351">
            <v>0.39</v>
          </cell>
        </row>
        <row r="352">
          <cell r="D352">
            <v>9999992080425</v>
          </cell>
          <cell r="F352">
            <v>2080425</v>
          </cell>
          <cell r="G352" t="str">
            <v>Drap de douche 70 x 140 cm</v>
          </cell>
          <cell r="J352">
            <v>10.94</v>
          </cell>
        </row>
        <row r="353">
          <cell r="D353">
            <v>4020829063143</v>
          </cell>
          <cell r="F353">
            <v>1010110</v>
          </cell>
          <cell r="G353" t="str">
            <v>Démaquillant pour les Yeux - 75 ml</v>
          </cell>
          <cell r="J353">
            <v>6.0784000000000002</v>
          </cell>
        </row>
        <row r="354">
          <cell r="D354">
            <v>4020829025332</v>
          </cell>
          <cell r="F354">
            <v>1030703</v>
          </cell>
          <cell r="G354" t="str">
            <v>Déodorant Rose - 50 ml</v>
          </cell>
          <cell r="J354">
            <v>4.1295999999999999</v>
          </cell>
        </row>
        <row r="355">
          <cell r="D355">
            <v>4020829025370</v>
          </cell>
          <cell r="F355">
            <v>1030704</v>
          </cell>
          <cell r="G355" t="str">
            <v>Déodorant Sauge Menthe - 50 ml</v>
          </cell>
          <cell r="J355">
            <v>3.7757999999999998</v>
          </cell>
        </row>
        <row r="356">
          <cell r="D356">
            <v>4020829094109</v>
          </cell>
          <cell r="F356">
            <v>5010116</v>
          </cell>
          <cell r="G356" t="str">
            <v>Echantillon - Baume Lacté Nettoyant - 1,5 ml</v>
          </cell>
          <cell r="J356">
            <v>0.18</v>
          </cell>
        </row>
        <row r="357">
          <cell r="D357">
            <v>4020829081321</v>
          </cell>
          <cell r="F357">
            <v>5010503</v>
          </cell>
          <cell r="G357" t="str">
            <v>Echantillon - Crème Fluide Contour des Yeux avec fly - 1,5 ml</v>
          </cell>
          <cell r="J357">
            <v>0.17</v>
          </cell>
        </row>
        <row r="358">
          <cell r="D358">
            <v>4020829081857</v>
          </cell>
          <cell r="F358">
            <v>5020401</v>
          </cell>
          <cell r="G358" t="str">
            <v>Echantillon - Crème Régénérante Contour des Yeux - 1,5 ml</v>
          </cell>
          <cell r="J358">
            <v>0.18</v>
          </cell>
        </row>
        <row r="359">
          <cell r="D359">
            <v>4020829081635</v>
          </cell>
          <cell r="F359">
            <v>5010302</v>
          </cell>
          <cell r="G359" t="str">
            <v>Echantillon - Crème de Jour Légère à la Rose - 1,5 ml</v>
          </cell>
          <cell r="J359">
            <v>0.18</v>
          </cell>
        </row>
        <row r="360">
          <cell r="D360">
            <v>4020829090903</v>
          </cell>
          <cell r="F360">
            <v>5020302</v>
          </cell>
          <cell r="G360" t="str">
            <v>Echantillon - Crème de Jour Régénérante  avec fly - 1,5 ml</v>
          </cell>
          <cell r="J360">
            <v>0.18</v>
          </cell>
        </row>
        <row r="361">
          <cell r="D361">
            <v>4020829111370</v>
          </cell>
          <cell r="F361">
            <v>5020310</v>
          </cell>
          <cell r="G361" t="str">
            <v>Echantillon - Crème de Jour Régénérante Eclat du Teint - 1,5 ml</v>
          </cell>
          <cell r="J361">
            <v>0.18</v>
          </cell>
        </row>
        <row r="362">
          <cell r="D362">
            <v>4020829104600</v>
          </cell>
          <cell r="F362">
            <v>5020703</v>
          </cell>
          <cell r="G362" t="str">
            <v>Echantillon - Crème de Jour Régénérante Intensive - 1,5 ml</v>
          </cell>
          <cell r="J362">
            <v>0.21</v>
          </cell>
        </row>
        <row r="363">
          <cell r="D363">
            <v>4020829081482</v>
          </cell>
          <cell r="F363">
            <v>5010305</v>
          </cell>
          <cell r="G363" t="str">
            <v>Echantillon - Crème de Jour au Coing - 1,5 ml</v>
          </cell>
          <cell r="J363">
            <v>0.18</v>
          </cell>
        </row>
        <row r="364">
          <cell r="D364">
            <v>4020829100718</v>
          </cell>
          <cell r="F364">
            <v>5010377</v>
          </cell>
          <cell r="G364" t="str">
            <v>Echantillon - Crème de Jour à l'Abricot - 1,5ml</v>
          </cell>
          <cell r="J364">
            <v>0.18</v>
          </cell>
        </row>
        <row r="365">
          <cell r="D365">
            <v>4020829081406</v>
          </cell>
          <cell r="F365">
            <v>5010306</v>
          </cell>
          <cell r="G365" t="str">
            <v>Echantillon - Crème de Jour à la Mélisse - 1,5 ml</v>
          </cell>
          <cell r="J365">
            <v>0.18</v>
          </cell>
        </row>
        <row r="366">
          <cell r="D366">
            <v>4020829081550</v>
          </cell>
          <cell r="F366">
            <v>5010310</v>
          </cell>
          <cell r="G366" t="str">
            <v>Echantillon - Crème de Jour à la Rose - 1,5 ml</v>
          </cell>
          <cell r="J366">
            <v>0.18</v>
          </cell>
        </row>
        <row r="367">
          <cell r="D367">
            <v>4020829076297</v>
          </cell>
          <cell r="F367">
            <v>5050202</v>
          </cell>
          <cell r="G367" t="str">
            <v>Echantillon - Crème pour le visage à la Ficoïde à Cristaux - 1.5 ml</v>
          </cell>
          <cell r="J367">
            <v>0.17</v>
          </cell>
        </row>
        <row r="368">
          <cell r="D368">
            <v>4020829082229</v>
          </cell>
          <cell r="F368">
            <v>5030301</v>
          </cell>
          <cell r="G368" t="str">
            <v>Echantillon - Crème pour les Mains avec Fly - 2,5 ML</v>
          </cell>
          <cell r="J368">
            <v>0.14000000000000001</v>
          </cell>
        </row>
        <row r="369">
          <cell r="D369">
            <v>4020829069879</v>
          </cell>
          <cell r="F369">
            <v>5050103</v>
          </cell>
          <cell r="G369" t="str">
            <v>Echantillon - Crème pour les Mains à la Ficoïde à Cristaux - 2,5 ml</v>
          </cell>
          <cell r="J369">
            <v>0.17</v>
          </cell>
        </row>
        <row r="370">
          <cell r="D370">
            <v>4020829080782</v>
          </cell>
          <cell r="F370">
            <v>5010360</v>
          </cell>
          <cell r="G370" t="str">
            <v>Echantillon - Fluide de Jour Apaisant - 1,5 ml</v>
          </cell>
          <cell r="J370">
            <v>0.18</v>
          </cell>
        </row>
        <row r="371">
          <cell r="D371">
            <v>4020829080867</v>
          </cell>
          <cell r="F371">
            <v>5010361</v>
          </cell>
          <cell r="G371" t="str">
            <v>Echantillon - Fluide de Jour Equilibrant  - 1,5 ml</v>
          </cell>
          <cell r="J371">
            <v>0.18</v>
          </cell>
        </row>
        <row r="372">
          <cell r="D372">
            <v>4020829080706</v>
          </cell>
          <cell r="F372">
            <v>5010359</v>
          </cell>
          <cell r="G372" t="str">
            <v>Echantillon - Fluide de Jour Revitalisant - 1,5 ml</v>
          </cell>
          <cell r="J372">
            <v>0.18</v>
          </cell>
        </row>
        <row r="373">
          <cell r="D373">
            <v>4020829097919</v>
          </cell>
          <cell r="F373">
            <v>5030101</v>
          </cell>
          <cell r="G373" t="str">
            <v>Echantillon - Lait Crème pour le Corps Rose - 5 ml</v>
          </cell>
          <cell r="J373">
            <v>0.17</v>
          </cell>
        </row>
        <row r="374">
          <cell r="D374">
            <v>4020829081253</v>
          </cell>
          <cell r="F374">
            <v>5010102</v>
          </cell>
          <cell r="G374" t="str">
            <v>Echantillon - Lait Démaquillant et Nettoyant - 5 ml</v>
          </cell>
          <cell r="J374">
            <v>0.18</v>
          </cell>
        </row>
        <row r="375">
          <cell r="D375">
            <v>4020829100268</v>
          </cell>
          <cell r="F375">
            <v>5030125</v>
          </cell>
          <cell r="G375" t="str">
            <v>Echantillon - Lait pour le Corps Bergamote Citronnelle - 5 ml</v>
          </cell>
          <cell r="J375">
            <v>0.17</v>
          </cell>
        </row>
        <row r="376">
          <cell r="D376">
            <v>4020829076266</v>
          </cell>
          <cell r="F376">
            <v>5050101</v>
          </cell>
          <cell r="G376" t="str">
            <v>Echantillon - Lait pour le corps à la Ficoïde à Cristaux - 5 ml + Flyer</v>
          </cell>
          <cell r="J376">
            <v>0.18</v>
          </cell>
        </row>
        <row r="377">
          <cell r="D377">
            <v>4020829090866</v>
          </cell>
          <cell r="F377">
            <v>5010707</v>
          </cell>
          <cell r="G377" t="str">
            <v>Echantillon - Masque Revitalisant - 2,5 ml</v>
          </cell>
          <cell r="J377">
            <v>0.17</v>
          </cell>
        </row>
        <row r="378">
          <cell r="D378">
            <v>4020829100923</v>
          </cell>
          <cell r="F378">
            <v>5020717</v>
          </cell>
          <cell r="G378" t="str">
            <v>Echantillon - Sérum Contour des Yeux - Régénérant Intensif 1,5ml</v>
          </cell>
          <cell r="J378">
            <v>0.21</v>
          </cell>
        </row>
        <row r="379">
          <cell r="D379">
            <v>4020829074286</v>
          </cell>
          <cell r="F379">
            <v>5020704</v>
          </cell>
          <cell r="G379" t="str">
            <v xml:space="preserve">Echantillon - Sérum Huile Régénérant Intensif - 1,5 ml </v>
          </cell>
          <cell r="J379">
            <v>0.2</v>
          </cell>
        </row>
        <row r="380">
          <cell r="D380">
            <v>4020829104556</v>
          </cell>
          <cell r="F380">
            <v>5020201</v>
          </cell>
          <cell r="G380" t="str">
            <v>Echantillon - Sérum Régénérant Jour / Nuit avec fly - 1,5 ml</v>
          </cell>
          <cell r="J380">
            <v>0.18</v>
          </cell>
        </row>
        <row r="381">
          <cell r="D381">
            <v>4020829100978</v>
          </cell>
          <cell r="F381">
            <v>5020718</v>
          </cell>
          <cell r="G381" t="str">
            <v>Echantillon - Sérum de Nuit - Régénérant Intensif 30ml 1,5ml</v>
          </cell>
          <cell r="J381">
            <v>0.21</v>
          </cell>
        </row>
        <row r="382">
          <cell r="D382">
            <v>4020829086050</v>
          </cell>
          <cell r="F382">
            <v>5050503</v>
          </cell>
          <cell r="G382" t="str">
            <v>Echantillon Masque pour le Cuir Chevelu aux Graines de Courge - 2 ml</v>
          </cell>
          <cell r="J382">
            <v>0.21</v>
          </cell>
        </row>
        <row r="383">
          <cell r="D383">
            <v>4020829085909</v>
          </cell>
          <cell r="F383">
            <v>5050501</v>
          </cell>
          <cell r="G383" t="str">
            <v>Echantillon Shampooing à la Ficoïde à Cristaux - 10 ml</v>
          </cell>
          <cell r="J383">
            <v>0.36</v>
          </cell>
        </row>
        <row r="384">
          <cell r="D384">
            <v>4020829086029</v>
          </cell>
          <cell r="F384">
            <v>5050502</v>
          </cell>
          <cell r="G384" t="str">
            <v>Echantillon Shampooing-Crème au Rhassoul - 10ml</v>
          </cell>
          <cell r="J384">
            <v>0.37</v>
          </cell>
        </row>
        <row r="385">
          <cell r="D385">
            <v>4020829092341</v>
          </cell>
          <cell r="F385">
            <v>5050201</v>
          </cell>
          <cell r="G385" t="str">
            <v>Echantillon - Crème Intensive à la Ficoïde à Cristaux - 1,5 ml</v>
          </cell>
          <cell r="J385">
            <v>0.18</v>
          </cell>
        </row>
        <row r="386">
          <cell r="D386">
            <v>9999996300138</v>
          </cell>
          <cell r="F386">
            <v>6300138</v>
          </cell>
          <cell r="G386" t="str">
            <v>Emballage vide Après-Shampooing</v>
          </cell>
          <cell r="J386">
            <v>0.62</v>
          </cell>
        </row>
        <row r="387">
          <cell r="D387">
            <v>9999996300137</v>
          </cell>
          <cell r="F387">
            <v>6300137</v>
          </cell>
          <cell r="G387" t="str">
            <v>Emballage vide Shampooing</v>
          </cell>
          <cell r="J387">
            <v>0.62</v>
          </cell>
        </row>
        <row r="388">
          <cell r="D388">
            <v>4020829072817</v>
          </cell>
          <cell r="F388">
            <v>1010353</v>
          </cell>
          <cell r="G388" t="str">
            <v>Emulsion Teintée - 18 ml</v>
          </cell>
          <cell r="J388">
            <v>5.3533999999999997</v>
          </cell>
        </row>
        <row r="389">
          <cell r="D389">
            <v>9999991810353</v>
          </cell>
          <cell r="F389">
            <v>1810353</v>
          </cell>
          <cell r="G389" t="str">
            <v>Emulsion Teintée - 18 ml*DLV 10/2025* - 10 %*</v>
          </cell>
          <cell r="J389">
            <v>3.4</v>
          </cell>
        </row>
        <row r="390">
          <cell r="D390">
            <v>650014499999</v>
          </cell>
          <cell r="F390">
            <v>6500144</v>
          </cell>
          <cell r="G390" t="str">
            <v>Encart de com. nouveauté maquillage 2024 - kit mise à jour</v>
          </cell>
          <cell r="J390">
            <v>5.86</v>
          </cell>
        </row>
        <row r="391">
          <cell r="D391">
            <v>650014599999</v>
          </cell>
          <cell r="F391">
            <v>6500145</v>
          </cell>
          <cell r="G391" t="str">
            <v>Encart de com. nouveauté maquillage 2024 - meubles</v>
          </cell>
          <cell r="J391">
            <v>5.86</v>
          </cell>
        </row>
        <row r="392">
          <cell r="F392">
            <v>6500161</v>
          </cell>
          <cell r="G392" t="str">
            <v>Encarts de communication ancien meuble Maquillage Printemps 2025</v>
          </cell>
          <cell r="J392">
            <v>0</v>
          </cell>
        </row>
        <row r="393">
          <cell r="F393">
            <v>6500160</v>
          </cell>
          <cell r="G393" t="str">
            <v>Encarts de communication nouveaux meubles Maquillage Printemps 2025</v>
          </cell>
          <cell r="J393">
            <v>0</v>
          </cell>
        </row>
        <row r="394">
          <cell r="D394">
            <v>9999991234567</v>
          </cell>
          <cell r="F394" t="str">
            <v>DDC</v>
          </cell>
          <cell r="G394" t="str">
            <v>Enveloppe 1ère Commande</v>
          </cell>
          <cell r="J394">
            <v>0</v>
          </cell>
        </row>
        <row r="395">
          <cell r="F395">
            <v>6700083</v>
          </cell>
          <cell r="G395" t="str">
            <v xml:space="preserve">Enveloppe 1ère Commande Biocoop grade 1 + dossier des composants </v>
          </cell>
          <cell r="J395">
            <v>0</v>
          </cell>
        </row>
        <row r="396">
          <cell r="F396">
            <v>6700084</v>
          </cell>
          <cell r="G396" t="str">
            <v xml:space="preserve">Enveloppe 1ère Commande Biocoop grade 2 + dossier des composants </v>
          </cell>
          <cell r="J396">
            <v>0</v>
          </cell>
        </row>
        <row r="397">
          <cell r="F397">
            <v>6700085</v>
          </cell>
          <cell r="G397" t="str">
            <v xml:space="preserve">Enveloppe 1ère Commande Biocoop grade 3 + dossier des composants </v>
          </cell>
          <cell r="J397">
            <v>0</v>
          </cell>
        </row>
        <row r="398">
          <cell r="D398">
            <v>4020829080119</v>
          </cell>
          <cell r="F398">
            <v>1080118</v>
          </cell>
          <cell r="G398" t="str">
            <v>Eponge Cosmétique Dr. Hauschka</v>
          </cell>
          <cell r="J398">
            <v>2.5</v>
          </cell>
        </row>
        <row r="399">
          <cell r="D399">
            <v>999999901947</v>
          </cell>
          <cell r="F399">
            <v>901947</v>
          </cell>
          <cell r="G399" t="str">
            <v>Eponges Maquillage  « Goutte »</v>
          </cell>
          <cell r="J399">
            <v>2.35</v>
          </cell>
        </row>
        <row r="400">
          <cell r="F400">
            <v>7031376</v>
          </cell>
          <cell r="G400" t="str">
            <v>Essentiel - MEA Corps 2024</v>
          </cell>
          <cell r="J400">
            <v>7.9</v>
          </cell>
        </row>
        <row r="401">
          <cell r="F401" t="str">
            <v>AV7031376</v>
          </cell>
          <cell r="G401" t="str">
            <v>Essentiel - MEA Corps 2024</v>
          </cell>
          <cell r="J401">
            <v>0</v>
          </cell>
        </row>
        <row r="402">
          <cell r="F402">
            <v>7000364</v>
          </cell>
          <cell r="G402" t="str">
            <v>Essentiel - MEA Crème Purifiante pour le Visage</v>
          </cell>
          <cell r="J402">
            <v>0</v>
          </cell>
        </row>
        <row r="403">
          <cell r="F403" t="str">
            <v>AV7000364</v>
          </cell>
          <cell r="G403" t="str">
            <v>Essentiel - MEA Crème Purifiante pour le Visage</v>
          </cell>
          <cell r="J403">
            <v>0</v>
          </cell>
        </row>
        <row r="404">
          <cell r="F404">
            <v>7000365</v>
          </cell>
          <cell r="G404" t="str">
            <v>Essentiel - MEA Crème Purifiante pour le Visage *sans PLV volumineuse*</v>
          </cell>
          <cell r="J404">
            <v>0</v>
          </cell>
        </row>
        <row r="405">
          <cell r="F405" t="str">
            <v>AV7000365</v>
          </cell>
          <cell r="G405" t="str">
            <v>Essentiel - MEA Crème Purifiante pour le Visage *sans PLV volumineuse*</v>
          </cell>
          <cell r="J405">
            <v>0</v>
          </cell>
        </row>
        <row r="406">
          <cell r="F406" t="str">
            <v>7XXX</v>
          </cell>
          <cell r="G406" t="str">
            <v>Essentiel - MEA Huiles et Laits 2023 (copie)</v>
          </cell>
          <cell r="J406">
            <v>0</v>
          </cell>
        </row>
        <row r="407">
          <cell r="F407" t="str">
            <v>AV7131322</v>
          </cell>
          <cell r="G407" t="str">
            <v>Essentiel - MEA Noël 2023</v>
          </cell>
          <cell r="J407">
            <v>0</v>
          </cell>
        </row>
        <row r="408">
          <cell r="F408" t="str">
            <v>AV7000368</v>
          </cell>
          <cell r="G408" t="str">
            <v>Essentiel - MEA Noël 2024</v>
          </cell>
          <cell r="J408">
            <v>0</v>
          </cell>
        </row>
        <row r="409">
          <cell r="F409">
            <v>7000368</v>
          </cell>
          <cell r="G409" t="str">
            <v>Essentiel - MEA Noël 2024</v>
          </cell>
          <cell r="J409">
            <v>3.9</v>
          </cell>
        </row>
        <row r="410">
          <cell r="F410">
            <v>7000369</v>
          </cell>
          <cell r="G410" t="str">
            <v>Essentiel - MEA Noël 2024 *sans panneau vitrine</v>
          </cell>
          <cell r="J410">
            <v>3.9</v>
          </cell>
        </row>
        <row r="411">
          <cell r="F411" t="str">
            <v>AV7000369</v>
          </cell>
          <cell r="G411" t="str">
            <v>Essentiel - MEA Noël 2024 *sans panneau vitrine*</v>
          </cell>
          <cell r="J411">
            <v>0</v>
          </cell>
        </row>
        <row r="412">
          <cell r="F412" t="str">
            <v>AV7131341</v>
          </cell>
          <cell r="G412" t="str">
            <v>Essentiel - MEA OnPacks 2024</v>
          </cell>
          <cell r="J412">
            <v>0</v>
          </cell>
        </row>
        <row r="413">
          <cell r="F413">
            <v>7131341</v>
          </cell>
          <cell r="G413" t="str">
            <v>Essentiel - MEA OnPacks 2024</v>
          </cell>
          <cell r="J413">
            <v>0</v>
          </cell>
        </row>
        <row r="414">
          <cell r="F414">
            <v>7131342</v>
          </cell>
          <cell r="G414" t="str">
            <v>Essentiel - MEA OnPacks 2024 *sans PLV volumineuse*</v>
          </cell>
          <cell r="J414">
            <v>0</v>
          </cell>
        </row>
        <row r="415">
          <cell r="F415" t="str">
            <v>AV7131342</v>
          </cell>
          <cell r="G415" t="str">
            <v>Essentiel - MEA OnPacks 2024 *sans PLV volumineuse*</v>
          </cell>
          <cell r="J415">
            <v>0</v>
          </cell>
        </row>
        <row r="416">
          <cell r="F416">
            <v>7131300</v>
          </cell>
          <cell r="G416" t="str">
            <v>Essentiel - MEA Partenariat Kenya Édition Limitée 2023</v>
          </cell>
          <cell r="J416">
            <v>67.87</v>
          </cell>
        </row>
        <row r="417">
          <cell r="F417" t="str">
            <v>AV7131308</v>
          </cell>
          <cell r="G417" t="str">
            <v>Essentiel - MEA Partenariat Kenya Édition Limitée 2023 sans PLV</v>
          </cell>
          <cell r="J417">
            <v>0</v>
          </cell>
        </row>
        <row r="418">
          <cell r="F418">
            <v>7131319</v>
          </cell>
          <cell r="G418" t="str">
            <v>Essentiel - MEA Rituel Pureté</v>
          </cell>
          <cell r="J418">
            <v>85.2</v>
          </cell>
        </row>
        <row r="419">
          <cell r="F419" t="str">
            <v>AV6131319</v>
          </cell>
          <cell r="G419" t="str">
            <v>Essentiel - MEA Rituel Pureté</v>
          </cell>
          <cell r="J419">
            <v>0</v>
          </cell>
        </row>
        <row r="420">
          <cell r="F420" t="str">
            <v>AV7021334</v>
          </cell>
          <cell r="G420" t="str">
            <v>Essentiel - MEA Régénérants 2024</v>
          </cell>
          <cell r="J420">
            <v>0</v>
          </cell>
        </row>
        <row r="421">
          <cell r="F421">
            <v>7021334</v>
          </cell>
          <cell r="G421" t="str">
            <v>Essentiel - MEA Régénérants 2024</v>
          </cell>
          <cell r="J421">
            <v>0</v>
          </cell>
        </row>
        <row r="422">
          <cell r="F422">
            <v>7021335</v>
          </cell>
          <cell r="G422" t="str">
            <v>Essentiel - MEA Régénérants 2024 *sans PLV volumineuse*</v>
          </cell>
          <cell r="J422">
            <v>0</v>
          </cell>
        </row>
        <row r="423">
          <cell r="F423" t="str">
            <v>AV7021335</v>
          </cell>
          <cell r="G423" t="str">
            <v>Essentiel - MEA Régénérants 2024 *sans PLV volumineuse*</v>
          </cell>
          <cell r="J423">
            <v>0</v>
          </cell>
        </row>
        <row r="424">
          <cell r="F424">
            <v>7131349</v>
          </cell>
          <cell r="G424" t="str">
            <v>Essentiel - MEA Solaires 2024</v>
          </cell>
          <cell r="J424">
            <v>4.34</v>
          </cell>
        </row>
        <row r="425">
          <cell r="F425" t="str">
            <v>AV7131349</v>
          </cell>
          <cell r="G425" t="str">
            <v>Essentiel - MEA Solaires 2024</v>
          </cell>
          <cell r="J425">
            <v>0</v>
          </cell>
        </row>
        <row r="426">
          <cell r="F426" t="str">
            <v>AV7131354</v>
          </cell>
          <cell r="G426" t="str">
            <v>Essentiel - Édition Limitée Anthyllide 2024</v>
          </cell>
          <cell r="J426">
            <v>0</v>
          </cell>
        </row>
        <row r="427">
          <cell r="F427">
            <v>7131354</v>
          </cell>
          <cell r="G427" t="str">
            <v>Essentiel - Édition Limitée Anthyllide 2024</v>
          </cell>
          <cell r="J427">
            <v>112.71</v>
          </cell>
        </row>
        <row r="428">
          <cell r="D428">
            <v>999999901940</v>
          </cell>
          <cell r="F428">
            <v>901940</v>
          </cell>
          <cell r="G428" t="str">
            <v>Etui pour pinceaux</v>
          </cell>
          <cell r="J428">
            <v>10</v>
          </cell>
        </row>
        <row r="429">
          <cell r="F429" t="str">
            <v>AV7041323</v>
          </cell>
          <cell r="G429" t="str">
            <v>Exclusivité Institut - MEA Noël 2023</v>
          </cell>
          <cell r="J429">
            <v>0</v>
          </cell>
        </row>
        <row r="430">
          <cell r="F430" t="str">
            <v>AV7131320</v>
          </cell>
          <cell r="G430" t="str">
            <v>Exclusivité Institut - MEA Rituel Pureté</v>
          </cell>
          <cell r="J430">
            <v>0</v>
          </cell>
        </row>
        <row r="431">
          <cell r="F431">
            <v>7041329</v>
          </cell>
          <cell r="G431" t="str">
            <v>Exclusivité Institut - MEA2 Noël 2023</v>
          </cell>
          <cell r="J431">
            <v>26.6</v>
          </cell>
        </row>
        <row r="432">
          <cell r="F432" t="str">
            <v>AV7041329</v>
          </cell>
          <cell r="G432" t="str">
            <v>Exclusivité Institut - MEA2 Noël 2023</v>
          </cell>
          <cell r="J432">
            <v>0</v>
          </cell>
        </row>
        <row r="433">
          <cell r="F433">
            <v>7131347</v>
          </cell>
          <cell r="G433" t="str">
            <v>Exclusivité Institut OPCA 400€ - Fête des Mères 2024</v>
          </cell>
          <cell r="J433">
            <v>27.5</v>
          </cell>
        </row>
        <row r="434">
          <cell r="F434" t="str">
            <v>AV7131347</v>
          </cell>
          <cell r="G434" t="str">
            <v>Exclusivité Institut OPCA 400€ - Fête des Mères 2024</v>
          </cell>
          <cell r="J434">
            <v>0</v>
          </cell>
        </row>
        <row r="435">
          <cell r="F435" t="str">
            <v>AV7031346</v>
          </cell>
          <cell r="G435" t="str">
            <v>Exclusivité Institut OPCA 400€ - St Valentin 2024</v>
          </cell>
          <cell r="J435">
            <v>0</v>
          </cell>
        </row>
        <row r="436">
          <cell r="F436">
            <v>7031346</v>
          </cell>
          <cell r="G436" t="str">
            <v>Exclusivité Institut OPCA 400€ - St Valentin 2024</v>
          </cell>
          <cell r="J436">
            <v>26.15</v>
          </cell>
        </row>
        <row r="437">
          <cell r="F437" t="str">
            <v>AV7131324</v>
          </cell>
          <cell r="G437" t="str">
            <v>Exclusivité Institut OPCA 800€ - MEA Noël 2023</v>
          </cell>
          <cell r="J437">
            <v>0</v>
          </cell>
        </row>
        <row r="438">
          <cell r="D438">
            <v>4020829099104</v>
          </cell>
          <cell r="F438">
            <v>1060605</v>
          </cell>
          <cell r="G438" t="str">
            <v>Eyeliner liquide 01 noir</v>
          </cell>
          <cell r="J438">
            <v>4.6690000000000005</v>
          </cell>
        </row>
        <row r="439">
          <cell r="D439">
            <v>4020829058583</v>
          </cell>
          <cell r="F439">
            <v>1060603</v>
          </cell>
          <cell r="G439" t="str">
            <v>Eyeliner liquide 01 noir - Dernières unités avant retour Oct 23</v>
          </cell>
          <cell r="J439">
            <v>4.55</v>
          </cell>
        </row>
        <row r="440">
          <cell r="D440">
            <v>4020829061934</v>
          </cell>
          <cell r="F440">
            <v>6200026</v>
          </cell>
          <cell r="G440" t="str">
            <v>Façade de tiroir Accessoires</v>
          </cell>
          <cell r="J440">
            <v>18.3</v>
          </cell>
        </row>
        <row r="441">
          <cell r="D441">
            <v>4020829061910</v>
          </cell>
          <cell r="F441">
            <v>6200027</v>
          </cell>
          <cell r="G441" t="str">
            <v>Façade de tiroir Lèvres</v>
          </cell>
          <cell r="J441">
            <v>18.3</v>
          </cell>
        </row>
        <row r="442">
          <cell r="D442">
            <v>4020829061927</v>
          </cell>
          <cell r="F442">
            <v>6200024</v>
          </cell>
          <cell r="G442" t="str">
            <v>Façade de tiroir Teints</v>
          </cell>
          <cell r="J442">
            <v>18.3</v>
          </cell>
        </row>
        <row r="443">
          <cell r="D443">
            <v>4020829061903</v>
          </cell>
          <cell r="F443">
            <v>6200025</v>
          </cell>
          <cell r="G443" t="str">
            <v>Façade de tiroir Yeux</v>
          </cell>
          <cell r="J443">
            <v>18.3</v>
          </cell>
        </row>
        <row r="444">
          <cell r="D444">
            <v>9999996700091</v>
          </cell>
          <cell r="F444">
            <v>6700091</v>
          </cell>
          <cell r="G444" t="str">
            <v>Fiche Conseil Beauté</v>
          </cell>
          <cell r="J444">
            <v>0.14000000000000001</v>
          </cell>
        </row>
        <row r="445">
          <cell r="D445">
            <v>999999671685</v>
          </cell>
          <cell r="F445">
            <v>671685</v>
          </cell>
          <cell r="G445" t="str">
            <v>Fiche Diagnostique</v>
          </cell>
          <cell r="J445">
            <v>0.15</v>
          </cell>
        </row>
        <row r="446">
          <cell r="D446" t="str">
            <v>9999FINFO</v>
          </cell>
          <cell r="F446" t="str">
            <v>FINFO</v>
          </cell>
          <cell r="G446" t="str">
            <v>Fiche Info Clients - Offre de mise en place Nvx Packagings</v>
          </cell>
          <cell r="J446">
            <v>0</v>
          </cell>
        </row>
        <row r="447">
          <cell r="D447">
            <v>9999996700081</v>
          </cell>
          <cell r="F447">
            <v>6700081</v>
          </cell>
          <cell r="G447" t="str">
            <v>Fiche conseil peaux matures</v>
          </cell>
          <cell r="J447">
            <v>0.19</v>
          </cell>
        </row>
        <row r="448">
          <cell r="D448" t="str">
            <v>9999FBAINSINST</v>
          </cell>
          <cell r="F448" t="str">
            <v>FBAINSINST</v>
          </cell>
          <cell r="G448" t="str">
            <v>Fiche produit Bains Institut</v>
          </cell>
          <cell r="J448">
            <v>0</v>
          </cell>
        </row>
        <row r="449">
          <cell r="D449" t="str">
            <v>9999FBAINSREV</v>
          </cell>
          <cell r="F449" t="str">
            <v>FBAINSREV</v>
          </cell>
          <cell r="G449" t="str">
            <v>Fiche produit Bains Revendeur</v>
          </cell>
          <cell r="J449">
            <v>0</v>
          </cell>
        </row>
        <row r="450">
          <cell r="D450">
            <v>999999901914</v>
          </cell>
          <cell r="F450">
            <v>901914</v>
          </cell>
          <cell r="G450" t="str">
            <v>Fiche technique</v>
          </cell>
          <cell r="J450">
            <v>0</v>
          </cell>
        </row>
        <row r="451">
          <cell r="D451">
            <v>4020829099173</v>
          </cell>
          <cell r="F451">
            <v>1061029</v>
          </cell>
          <cell r="G451" t="str">
            <v>Fluide Eclat</v>
          </cell>
          <cell r="J451">
            <v>6.5423999999999989</v>
          </cell>
        </row>
        <row r="452">
          <cell r="D452">
            <v>9999998061029</v>
          </cell>
          <cell r="F452">
            <v>8061029</v>
          </cell>
          <cell r="G452" t="str">
            <v>Fluide Eclat</v>
          </cell>
          <cell r="J452">
            <v>0</v>
          </cell>
        </row>
        <row r="453">
          <cell r="D453">
            <v>4020829080553</v>
          </cell>
          <cell r="F453">
            <v>1010360</v>
          </cell>
          <cell r="G453" t="str">
            <v>Fluide de Jour Apaisant - 50 ml</v>
          </cell>
          <cell r="J453">
            <v>7.6385999999999994</v>
          </cell>
        </row>
        <row r="454">
          <cell r="D454">
            <v>4020829080621</v>
          </cell>
          <cell r="F454">
            <v>1010361</v>
          </cell>
          <cell r="G454" t="str">
            <v>Fluide de Jour Equilibrant - 50 ml</v>
          </cell>
          <cell r="J454">
            <v>7.2093999999999996</v>
          </cell>
        </row>
        <row r="455">
          <cell r="D455">
            <v>9999991810361</v>
          </cell>
          <cell r="F455">
            <v>1810361</v>
          </cell>
          <cell r="G455" t="str">
            <v>Fluide de Jour Equilibrant - 50 ml*DLV 03/2025*</v>
          </cell>
          <cell r="J455">
            <v>7.1400000000000006</v>
          </cell>
        </row>
        <row r="456">
          <cell r="D456">
            <v>4020829080508</v>
          </cell>
          <cell r="F456">
            <v>1010359</v>
          </cell>
          <cell r="G456" t="str">
            <v>Fluide de Jour Revitalisant - 50 ml</v>
          </cell>
          <cell r="J456">
            <v>6.5829999999999993</v>
          </cell>
        </row>
        <row r="457">
          <cell r="D457">
            <v>4020829093324</v>
          </cell>
          <cell r="F457">
            <v>6700076</v>
          </cell>
          <cell r="G457" t="str">
            <v>Flyer institutionnel Dr. Hauschka</v>
          </cell>
          <cell r="J457">
            <v>0</v>
          </cell>
        </row>
        <row r="458">
          <cell r="D458">
            <v>4020829098374</v>
          </cell>
          <cell r="F458">
            <v>1061021</v>
          </cell>
          <cell r="G458" t="str">
            <v>Fond de Teint 01 macadamia</v>
          </cell>
          <cell r="J458">
            <v>6.7047999999999996</v>
          </cell>
        </row>
        <row r="459">
          <cell r="D459">
            <v>4020829045101</v>
          </cell>
          <cell r="F459">
            <v>1061001</v>
          </cell>
          <cell r="G459" t="str">
            <v>Fond de Teint 01 macadamia</v>
          </cell>
          <cell r="J459">
            <v>5.08</v>
          </cell>
        </row>
        <row r="460">
          <cell r="D460">
            <v>4020829098398</v>
          </cell>
          <cell r="F460">
            <v>1061022</v>
          </cell>
          <cell r="G460" t="str">
            <v>Fond de Teint 02 amande</v>
          </cell>
          <cell r="J460">
            <v>6.7047999999999996</v>
          </cell>
        </row>
        <row r="461">
          <cell r="D461">
            <v>4020829045125</v>
          </cell>
          <cell r="F461">
            <v>1061002</v>
          </cell>
          <cell r="G461" t="str">
            <v>Fond de Teint 02 amande - Dernières unités avant retour Oct 23</v>
          </cell>
          <cell r="J461">
            <v>6.54</v>
          </cell>
        </row>
        <row r="462">
          <cell r="D462">
            <v>4020829098411</v>
          </cell>
          <cell r="F462">
            <v>1061023</v>
          </cell>
          <cell r="G462" t="str">
            <v>Fond de Teint 03 châtaigne</v>
          </cell>
          <cell r="J462">
            <v>6.7047999999999996</v>
          </cell>
        </row>
        <row r="463">
          <cell r="D463">
            <v>4020829045149</v>
          </cell>
          <cell r="F463">
            <v>1061003</v>
          </cell>
          <cell r="G463" t="str">
            <v>Fond de Teint 03 châtaigne - Dernières unités avant retour Oct 23</v>
          </cell>
          <cell r="J463">
            <v>6.54</v>
          </cell>
        </row>
        <row r="464">
          <cell r="D464">
            <v>4020829098435</v>
          </cell>
          <cell r="F464">
            <v>1061024</v>
          </cell>
          <cell r="G464" t="str">
            <v>Fond de Teint 04 noisette</v>
          </cell>
          <cell r="J464">
            <v>6.7047999999999996</v>
          </cell>
        </row>
        <row r="465">
          <cell r="D465">
            <v>4020829098459</v>
          </cell>
          <cell r="F465">
            <v>1061025</v>
          </cell>
          <cell r="G465" t="str">
            <v>Fond de Teint 05 muscade</v>
          </cell>
          <cell r="J465">
            <v>6.7047999999999996</v>
          </cell>
        </row>
        <row r="466">
          <cell r="D466">
            <v>4020829045187</v>
          </cell>
          <cell r="F466">
            <v>1061005</v>
          </cell>
          <cell r="G466" t="str">
            <v>Fond de Teint 05 muscade - Dernières unités avant retour Oct 23</v>
          </cell>
          <cell r="J466">
            <v>4.21</v>
          </cell>
        </row>
        <row r="467">
          <cell r="D467">
            <v>4020829098473</v>
          </cell>
          <cell r="F467">
            <v>1061026</v>
          </cell>
          <cell r="G467" t="str">
            <v>Fond de Teint 06 noix</v>
          </cell>
          <cell r="J467">
            <v>6.7047999999999996</v>
          </cell>
        </row>
        <row r="468">
          <cell r="D468">
            <v>4020829045200</v>
          </cell>
          <cell r="F468">
            <v>1061006</v>
          </cell>
          <cell r="G468" t="str">
            <v>Fond de Teint 06 noix</v>
          </cell>
          <cell r="J468">
            <v>6.54</v>
          </cell>
        </row>
        <row r="469">
          <cell r="D469">
            <v>4020829098336</v>
          </cell>
          <cell r="F469">
            <v>1061027</v>
          </cell>
          <cell r="G469" t="str">
            <v>Fond de teint - 001 cajou</v>
          </cell>
          <cell r="J469">
            <v>6.7047999999999996</v>
          </cell>
        </row>
        <row r="470">
          <cell r="D470">
            <v>4020829075641</v>
          </cell>
          <cell r="F470">
            <v>1061012</v>
          </cell>
          <cell r="G470" t="str">
            <v>Fond de teint - 001 cajou - Dernières unités avant retour Oct 23</v>
          </cell>
          <cell r="J470">
            <v>1.51</v>
          </cell>
        </row>
        <row r="471">
          <cell r="D471">
            <v>4020829098350</v>
          </cell>
          <cell r="F471">
            <v>1061028</v>
          </cell>
          <cell r="G471" t="str">
            <v>Fond de teint - 002 pignon de pin</v>
          </cell>
          <cell r="J471">
            <v>6.7047999999999996</v>
          </cell>
        </row>
        <row r="472">
          <cell r="F472" t="str">
            <v>9FU03</v>
          </cell>
          <cell r="G472" t="str">
            <v>Forfait 3 Gym faciale 45 min - 1 séance utilisée</v>
          </cell>
          <cell r="J472">
            <v>0</v>
          </cell>
        </row>
        <row r="473">
          <cell r="F473" t="str">
            <v>FV-GYM</v>
          </cell>
          <cell r="G473" t="str">
            <v xml:space="preserve">Forfait 3 séances gym faciale </v>
          </cell>
          <cell r="J473">
            <v>0</v>
          </cell>
        </row>
        <row r="474">
          <cell r="D474" t="str">
            <v>999FV-CORPS1H</v>
          </cell>
          <cell r="F474" t="str">
            <v>FV-CORPS1H</v>
          </cell>
          <cell r="G474" t="str">
            <v>Forfait 6 soins du corps 1h</v>
          </cell>
          <cell r="J474">
            <v>0</v>
          </cell>
        </row>
        <row r="475">
          <cell r="F475" t="str">
            <v>FV-CORPS</v>
          </cell>
          <cell r="G475" t="str">
            <v>Forfait 6 soins du corps complets</v>
          </cell>
          <cell r="J475">
            <v>0</v>
          </cell>
        </row>
        <row r="476">
          <cell r="F476" t="str">
            <v>9FU02</v>
          </cell>
          <cell r="G476" t="str">
            <v>Forfait 6 soins du corps complets - 1 soin utilisé</v>
          </cell>
          <cell r="J476">
            <v>0</v>
          </cell>
        </row>
        <row r="477">
          <cell r="F477" t="str">
            <v>FV-HARMONISANT</v>
          </cell>
          <cell r="G477" t="str">
            <v>Forfait 6 soins harmonisant</v>
          </cell>
          <cell r="J477">
            <v>0</v>
          </cell>
        </row>
        <row r="478">
          <cell r="F478" t="str">
            <v>9FU05</v>
          </cell>
          <cell r="G478" t="str">
            <v>Forfait 6 soins harmonisant - 1 soin utilisé</v>
          </cell>
          <cell r="J478">
            <v>0</v>
          </cell>
        </row>
        <row r="479">
          <cell r="F479" t="str">
            <v>FV-PLENITUDE</v>
          </cell>
          <cell r="G479" t="str">
            <v>Forfait 6 soins plénitude</v>
          </cell>
          <cell r="J479">
            <v>0</v>
          </cell>
        </row>
        <row r="480">
          <cell r="F480" t="str">
            <v>9FU01</v>
          </cell>
          <cell r="G480" t="str">
            <v>Forfait 6 soins plénitude - 1 soin utilisé</v>
          </cell>
          <cell r="J480">
            <v>0</v>
          </cell>
        </row>
        <row r="481">
          <cell r="D481" t="str">
            <v>9997SC18</v>
          </cell>
          <cell r="F481" t="str">
            <v>FC-JAMBES</v>
          </cell>
          <cell r="G481" t="str">
            <v>Forfait 8 Cure Revitalisante pour les jambes</v>
          </cell>
          <cell r="J481">
            <v>0</v>
          </cell>
        </row>
        <row r="482">
          <cell r="F482" t="str">
            <v>9FU04</v>
          </cell>
          <cell r="G482" t="str">
            <v>Forfait Cure Légéreté et Fermeté des Jambes 8 séances - 1 séance utilisée</v>
          </cell>
          <cell r="J482">
            <v>0</v>
          </cell>
        </row>
        <row r="483">
          <cell r="F483" t="str">
            <v>7D01</v>
          </cell>
          <cell r="G483" t="str">
            <v>Forfait Déplacement Paris</v>
          </cell>
          <cell r="J483">
            <v>0</v>
          </cell>
        </row>
        <row r="484">
          <cell r="G484" t="str">
            <v>Formation - Soin Visage Initiation 1</v>
          </cell>
          <cell r="J484">
            <v>0</v>
          </cell>
        </row>
        <row r="485">
          <cell r="G485" t="str">
            <v>Formation - Soin Visage Initiation 2</v>
          </cell>
          <cell r="J485">
            <v>0</v>
          </cell>
        </row>
        <row r="486">
          <cell r="G486" t="str">
            <v>Formation - Soin Visage Perfectionnement</v>
          </cell>
          <cell r="J486">
            <v>0</v>
          </cell>
        </row>
        <row r="487">
          <cell r="G487" t="str">
            <v>Formation - Soin du Corps Initiation</v>
          </cell>
          <cell r="J487">
            <v>0</v>
          </cell>
        </row>
        <row r="488">
          <cell r="D488">
            <v>660004499999</v>
          </cell>
          <cell r="F488">
            <v>6600044</v>
          </cell>
          <cell r="G488" t="str">
            <v>Foulard Régénérants 2025</v>
          </cell>
          <cell r="J488">
            <v>5.5</v>
          </cell>
        </row>
        <row r="489">
          <cell r="D489">
            <v>999999982024</v>
          </cell>
          <cell r="F489">
            <v>982024</v>
          </cell>
          <cell r="G489" t="str">
            <v>Frais d'inscription séminaire Allemagne</v>
          </cell>
          <cell r="J489">
            <v>0</v>
          </cell>
        </row>
        <row r="490">
          <cell r="F490">
            <v>982042</v>
          </cell>
          <cell r="G490" t="str">
            <v>Frais de Douane</v>
          </cell>
          <cell r="J490">
            <v>0</v>
          </cell>
        </row>
        <row r="491">
          <cell r="D491">
            <v>999999982031</v>
          </cell>
          <cell r="F491">
            <v>982031</v>
          </cell>
          <cell r="G491" t="str">
            <v>Frais de LCR impayée</v>
          </cell>
          <cell r="J491">
            <v>6.5</v>
          </cell>
        </row>
        <row r="492">
          <cell r="D492">
            <v>999999982030</v>
          </cell>
          <cell r="F492">
            <v>982030</v>
          </cell>
          <cell r="G492" t="str">
            <v>Frais de chèque impayé</v>
          </cell>
          <cell r="J492">
            <v>6.5</v>
          </cell>
        </row>
        <row r="493">
          <cell r="F493" t="str">
            <v>FG</v>
          </cell>
          <cell r="G493" t="str">
            <v>Frais de gestion</v>
          </cell>
          <cell r="J493">
            <v>6.5</v>
          </cell>
        </row>
        <row r="494">
          <cell r="F494" t="str">
            <v>Delivery_007</v>
          </cell>
          <cell r="G494" t="str">
            <v>Frais de port</v>
          </cell>
          <cell r="J494">
            <v>0</v>
          </cell>
        </row>
        <row r="495">
          <cell r="D495">
            <v>999999982038</v>
          </cell>
          <cell r="F495">
            <v>982038</v>
          </cell>
          <cell r="G495" t="str">
            <v>Frais de port - La Poste</v>
          </cell>
          <cell r="J495">
            <v>0</v>
          </cell>
        </row>
        <row r="496">
          <cell r="F496">
            <v>982040</v>
          </cell>
          <cell r="G496" t="str">
            <v>Frais de port - Transporteurs</v>
          </cell>
          <cell r="J496">
            <v>0</v>
          </cell>
        </row>
        <row r="497">
          <cell r="G497" t="str">
            <v>Frais de port du personnel offert</v>
          </cell>
          <cell r="J497">
            <v>0</v>
          </cell>
        </row>
        <row r="498">
          <cell r="F498">
            <v>982046</v>
          </cell>
          <cell r="G498" t="str">
            <v>Frais de transports retour marchandise</v>
          </cell>
          <cell r="J498">
            <v>0</v>
          </cell>
        </row>
        <row r="499">
          <cell r="D499">
            <v>4020829105836</v>
          </cell>
          <cell r="F499">
            <v>6500142</v>
          </cell>
          <cell r="G499" t="str">
            <v>Fronton glorifier Régénérants/Solaires recto/verso 2024</v>
          </cell>
          <cell r="J499">
            <v>1</v>
          </cell>
        </row>
        <row r="500">
          <cell r="D500">
            <v>660003799999</v>
          </cell>
          <cell r="F500">
            <v>6600037</v>
          </cell>
          <cell r="G500" t="str">
            <v>Furoshikis Alice in Food pour Dr. Hauschka</v>
          </cell>
          <cell r="J500">
            <v>1.84</v>
          </cell>
        </row>
        <row r="501">
          <cell r="D501">
            <v>4020829098626</v>
          </cell>
          <cell r="F501">
            <v>1060130</v>
          </cell>
          <cell r="G501" t="str">
            <v>Gel Cils &amp; Sourcils 00 transparent</v>
          </cell>
          <cell r="J501">
            <v>4.3731999999999998</v>
          </cell>
        </row>
        <row r="502">
          <cell r="D502">
            <v>4020829072466</v>
          </cell>
          <cell r="F502">
            <v>1040119</v>
          </cell>
          <cell r="G502" t="str">
            <v>Gel Douche Pin des Alpes et Embruns salés 200 ml</v>
          </cell>
          <cell r="J502">
            <v>7.4993999999999996</v>
          </cell>
        </row>
        <row r="503">
          <cell r="D503">
            <v>4020829045248</v>
          </cell>
          <cell r="F503">
            <v>1060300</v>
          </cell>
          <cell r="G503" t="str">
            <v>Gloss 00 resplendissance - Dernières unités</v>
          </cell>
          <cell r="J503">
            <v>3.7</v>
          </cell>
        </row>
        <row r="504">
          <cell r="D504">
            <v>4020829045262</v>
          </cell>
          <cell r="F504">
            <v>1060301</v>
          </cell>
          <cell r="G504" t="str">
            <v>Gloss 01 baie de carissa - Dernières unités</v>
          </cell>
          <cell r="J504">
            <v>4.2699999999999996</v>
          </cell>
        </row>
        <row r="505">
          <cell r="D505">
            <v>4020829045286</v>
          </cell>
          <cell r="F505">
            <v>1060302</v>
          </cell>
          <cell r="G505" t="str">
            <v>Gloss 02 framboise - Dernières unités</v>
          </cell>
          <cell r="J505">
            <v>4.2699999999999996</v>
          </cell>
        </row>
        <row r="506">
          <cell r="D506">
            <v>4020829045309</v>
          </cell>
          <cell r="F506">
            <v>1060303</v>
          </cell>
          <cell r="G506" t="str">
            <v>Gloss 03 baie de mûrier - Dernières unités</v>
          </cell>
          <cell r="J506">
            <v>4.1100000000000003</v>
          </cell>
        </row>
        <row r="507">
          <cell r="D507">
            <v>4020829045347</v>
          </cell>
          <cell r="F507">
            <v>1060305</v>
          </cell>
          <cell r="G507" t="str">
            <v>Gloss 05 baie de cornouiller - Dernières unités</v>
          </cell>
          <cell r="J507">
            <v>4.2699999999999996</v>
          </cell>
        </row>
        <row r="508">
          <cell r="D508">
            <v>4020829045361</v>
          </cell>
          <cell r="F508">
            <v>1060306</v>
          </cell>
          <cell r="G508" t="str">
            <v>Gloss 06 tamarin - Dernières unités</v>
          </cell>
          <cell r="J508">
            <v>4.2699999999999996</v>
          </cell>
        </row>
        <row r="509">
          <cell r="D509">
            <v>999999901941</v>
          </cell>
          <cell r="F509">
            <v>901941</v>
          </cell>
          <cell r="G509" t="str">
            <v>Goupillon Mascara avec manche</v>
          </cell>
          <cell r="J509">
            <v>2.85</v>
          </cell>
        </row>
        <row r="510">
          <cell r="D510">
            <v>4020829092716</v>
          </cell>
          <cell r="F510">
            <v>6700097</v>
          </cell>
          <cell r="G510" t="str">
            <v>Guide Cosmétiques</v>
          </cell>
          <cell r="J510">
            <v>1.05</v>
          </cell>
        </row>
        <row r="511">
          <cell r="F511">
            <v>6700077</v>
          </cell>
          <cell r="G511" t="str">
            <v>Guide Cosmétiques</v>
          </cell>
          <cell r="J511">
            <v>1.05</v>
          </cell>
        </row>
        <row r="512">
          <cell r="D512">
            <v>9999992345678</v>
          </cell>
          <cell r="F512" t="str">
            <v>GDFOR</v>
          </cell>
          <cell r="G512" t="str">
            <v>Guide Formation Dr. Hauschka</v>
          </cell>
          <cell r="J512">
            <v>28.05</v>
          </cell>
        </row>
        <row r="513">
          <cell r="D513">
            <v>999999982036</v>
          </cell>
          <cell r="F513">
            <v>982036</v>
          </cell>
          <cell r="G513" t="str">
            <v>HOTEL</v>
          </cell>
          <cell r="J513">
            <v>0</v>
          </cell>
        </row>
        <row r="514">
          <cell r="D514">
            <v>4020829098848</v>
          </cell>
          <cell r="F514">
            <v>1060720</v>
          </cell>
          <cell r="G514" t="str">
            <v>Highlighter 01 - Illuminant</v>
          </cell>
          <cell r="J514">
            <v>5.5389999999999997</v>
          </cell>
        </row>
        <row r="515">
          <cell r="D515">
            <v>4020829083851</v>
          </cell>
          <cell r="F515">
            <v>1060710</v>
          </cell>
          <cell r="G515" t="str">
            <v>Highlighter 01 - Illuminant</v>
          </cell>
          <cell r="J515">
            <v>1.05</v>
          </cell>
        </row>
        <row r="516">
          <cell r="D516">
            <v>4020829071421</v>
          </cell>
          <cell r="F516">
            <v>1010352</v>
          </cell>
          <cell r="G516" t="str">
            <v>Huile Equilibrante pour le visage -18 ml</v>
          </cell>
          <cell r="J516">
            <v>6.0784000000000002</v>
          </cell>
        </row>
        <row r="517">
          <cell r="D517">
            <v>4020829103030</v>
          </cell>
          <cell r="F517">
            <v>1020719</v>
          </cell>
          <cell r="G517" t="str">
            <v>Huile Fortifiante - Régénérant Intensif - 20ml</v>
          </cell>
          <cell r="J517">
            <v>18.4208</v>
          </cell>
        </row>
        <row r="518">
          <cell r="D518">
            <v>4020829071384</v>
          </cell>
          <cell r="F518">
            <v>1030308</v>
          </cell>
          <cell r="G518" t="str">
            <v>Huile au Neem pour les Ongles - 18 ml</v>
          </cell>
          <cell r="J518">
            <v>4.8951999999999991</v>
          </cell>
        </row>
        <row r="519">
          <cell r="F519">
            <v>1830308</v>
          </cell>
          <cell r="G519" t="str">
            <v>Huile au Neem pour les Ongles - 18 ml*DLV 08/25* - 15 %*</v>
          </cell>
          <cell r="J519">
            <v>4.71</v>
          </cell>
        </row>
        <row r="520">
          <cell r="D520">
            <v>4020829007741</v>
          </cell>
          <cell r="F520">
            <v>1030204</v>
          </cell>
          <cell r="G520" t="str">
            <v>Huile de Soin Bouleau Arnica - 75 ml</v>
          </cell>
          <cell r="J520">
            <v>4.6573999999999991</v>
          </cell>
        </row>
        <row r="521">
          <cell r="D521">
            <v>4020829007710</v>
          </cell>
          <cell r="F521">
            <v>1030203</v>
          </cell>
          <cell r="G521" t="str">
            <v>Huile de Soin Citron Citronnelle - 75 ml</v>
          </cell>
          <cell r="J521">
            <v>4.9937999999999994</v>
          </cell>
        </row>
        <row r="522">
          <cell r="D522">
            <v>4020829097803</v>
          </cell>
          <cell r="F522">
            <v>1030222</v>
          </cell>
          <cell r="G522" t="str">
            <v>Huile de Soin Moor Lavande - 30 ml</v>
          </cell>
          <cell r="J522">
            <v>2.19</v>
          </cell>
        </row>
        <row r="523">
          <cell r="D523">
            <v>4020829007833</v>
          </cell>
          <cell r="F523">
            <v>1030206</v>
          </cell>
          <cell r="G523" t="str">
            <v>Huile de Soin Moor Lavande - 75 ml</v>
          </cell>
          <cell r="J523">
            <v>5.51</v>
          </cell>
        </row>
        <row r="524">
          <cell r="D524">
            <v>4020829007901</v>
          </cell>
          <cell r="F524">
            <v>1030202</v>
          </cell>
          <cell r="G524" t="str">
            <v xml:space="preserve">Huile de Soin Prunelle - 75 ml   </v>
          </cell>
          <cell r="J524">
            <v>4.9937999999999994</v>
          </cell>
        </row>
        <row r="525">
          <cell r="D525">
            <v>4020829007864</v>
          </cell>
          <cell r="F525">
            <v>1030201</v>
          </cell>
          <cell r="G525" t="str">
            <v>Huile de Soin Rose - 75 ml</v>
          </cell>
          <cell r="J525">
            <v>5.51</v>
          </cell>
        </row>
        <row r="526">
          <cell r="D526">
            <v>4020829109124</v>
          </cell>
          <cell r="F526">
            <v>1030226</v>
          </cell>
          <cell r="G526" t="str">
            <v>Huile de Soin Rose 75 ml Édition Limitée 2025</v>
          </cell>
          <cell r="J526">
            <v>5.46</v>
          </cell>
        </row>
        <row r="527">
          <cell r="D527">
            <v>4020829109117</v>
          </cell>
          <cell r="F527">
            <v>8030226</v>
          </cell>
          <cell r="G527" t="str">
            <v>Huile de Soin Rose 75 ml Édition Limitée 2025 *PRE-SERIE*</v>
          </cell>
          <cell r="J527">
            <v>0</v>
          </cell>
        </row>
        <row r="528">
          <cell r="D528">
            <v>4020829077553</v>
          </cell>
          <cell r="F528">
            <v>1040307</v>
          </cell>
          <cell r="G528" t="str">
            <v>Huile pour les Cheveux - 75 ml</v>
          </cell>
          <cell r="J528">
            <v>4.7037999999999993</v>
          </cell>
        </row>
        <row r="529">
          <cell r="F529" t="str">
            <v>INFO</v>
          </cell>
          <cell r="G529" t="str">
            <v>INFORMATION</v>
          </cell>
          <cell r="J529">
            <v>0</v>
          </cell>
        </row>
        <row r="530">
          <cell r="F530">
            <v>7031309</v>
          </cell>
          <cell r="G530" t="str">
            <v>Implantation - Offre Alice in Food pour Dr. Hauschka</v>
          </cell>
          <cell r="J530">
            <v>46.99</v>
          </cell>
        </row>
        <row r="531">
          <cell r="D531">
            <v>4020829084681</v>
          </cell>
          <cell r="F531">
            <v>6300145</v>
          </cell>
          <cell r="G531" t="str">
            <v>Insert Présentoir-Vendeur - Crème de jour Légère à la Rose</v>
          </cell>
          <cell r="J531">
            <v>0.88</v>
          </cell>
        </row>
        <row r="532">
          <cell r="D532">
            <v>4020829084674</v>
          </cell>
          <cell r="F532">
            <v>6300148</v>
          </cell>
          <cell r="G532" t="str">
            <v>Insert Présentoir-Vendeur - Crème de jour au Coing</v>
          </cell>
          <cell r="J532">
            <v>0.88</v>
          </cell>
        </row>
        <row r="533">
          <cell r="D533">
            <v>4020829084667</v>
          </cell>
          <cell r="F533">
            <v>6300147</v>
          </cell>
          <cell r="G533" t="str">
            <v>Insert Présentoir-Vendeur - Crème de jour à la Mélisse</v>
          </cell>
          <cell r="J533">
            <v>0.88</v>
          </cell>
        </row>
        <row r="534">
          <cell r="D534">
            <v>4020829084698</v>
          </cell>
          <cell r="F534">
            <v>6300144</v>
          </cell>
          <cell r="G534" t="str">
            <v>Insert Présentoir-Vendeur - Crème de jour à la Rose</v>
          </cell>
          <cell r="J534">
            <v>0.88</v>
          </cell>
        </row>
        <row r="535">
          <cell r="D535">
            <v>9999996500137</v>
          </cell>
          <cell r="F535">
            <v>6500137</v>
          </cell>
          <cell r="G535" t="str">
            <v>Insert Réglette prix Présentoir Maquillage Rétroéclairé</v>
          </cell>
          <cell r="J535">
            <v>2.0699999999999998</v>
          </cell>
        </row>
        <row r="536">
          <cell r="D536">
            <v>9999996500136</v>
          </cell>
          <cell r="F536">
            <v>6500136</v>
          </cell>
          <cell r="G536" t="str">
            <v>Insert Réglette prix Présentoir sur Pied Maquillage</v>
          </cell>
          <cell r="J536">
            <v>2.0699999999999998</v>
          </cell>
        </row>
        <row r="537">
          <cell r="D537">
            <v>650014999999</v>
          </cell>
          <cell r="F537">
            <v>6500149</v>
          </cell>
          <cell r="G537" t="str">
            <v>Insert réglette mise à jour nouveauté maquillage 2024 présentoir rétro-éclairé</v>
          </cell>
          <cell r="J537">
            <v>1.57</v>
          </cell>
        </row>
        <row r="538">
          <cell r="D538">
            <v>650015099999</v>
          </cell>
          <cell r="F538">
            <v>6500150</v>
          </cell>
          <cell r="G538" t="str">
            <v>Insert réglette mise à jour nouveauté maquillage 2024 présentoir sur pied</v>
          </cell>
          <cell r="J538">
            <v>1.57</v>
          </cell>
        </row>
        <row r="539">
          <cell r="D539">
            <v>650014899999</v>
          </cell>
          <cell r="F539">
            <v>6500148</v>
          </cell>
          <cell r="G539" t="str">
            <v>Insert tirette mise à jour nouveauté maquillage 2024 ancien présentoir</v>
          </cell>
          <cell r="J539">
            <v>1.57</v>
          </cell>
        </row>
        <row r="540">
          <cell r="G540" t="str">
            <v>Invitations - Externe</v>
          </cell>
          <cell r="J540">
            <v>0</v>
          </cell>
        </row>
        <row r="541">
          <cell r="D541">
            <v>9999992000000</v>
          </cell>
          <cell r="F541" t="str">
            <v>AV2000000</v>
          </cell>
          <cell r="G541" t="str">
            <v>Kit Auto-animation</v>
          </cell>
          <cell r="J541">
            <v>38.229999999999997</v>
          </cell>
        </row>
        <row r="542">
          <cell r="F542" t="str">
            <v>KITAUTOA</v>
          </cell>
          <cell r="G542" t="str">
            <v>Kit Auto-animation</v>
          </cell>
          <cell r="J542">
            <v>0</v>
          </cell>
        </row>
        <row r="543">
          <cell r="D543">
            <v>9999996300200</v>
          </cell>
          <cell r="F543">
            <v>6300200</v>
          </cell>
          <cell r="G543" t="str">
            <v>Kit Inter-comptoir OnPacks 2024</v>
          </cell>
          <cell r="J543">
            <v>19.95</v>
          </cell>
        </row>
        <row r="544">
          <cell r="F544">
            <v>7021252</v>
          </cell>
          <cell r="G544" t="str">
            <v>Kit Offert -  Offre par 15 - Toujours plus rayonnante</v>
          </cell>
          <cell r="J544">
            <v>30.15</v>
          </cell>
        </row>
        <row r="545">
          <cell r="F545">
            <v>7021253</v>
          </cell>
          <cell r="G545" t="str">
            <v>Kit Offert -  Offre par 30 - Toujours plus rayonnante</v>
          </cell>
          <cell r="J545">
            <v>74.38</v>
          </cell>
        </row>
        <row r="546">
          <cell r="F546">
            <v>7021263</v>
          </cell>
          <cell r="G546" t="str">
            <v>Kit Offert - Offre par 10 - Toujours plus rayonnante</v>
          </cell>
          <cell r="J546">
            <v>14.09</v>
          </cell>
        </row>
        <row r="547">
          <cell r="F547">
            <v>7131306</v>
          </cell>
          <cell r="G547" t="str">
            <v>Kit Offert Essentiel - MEA OnPack Rituel 2023 *sans PLV*</v>
          </cell>
          <cell r="J547">
            <v>18.73</v>
          </cell>
        </row>
        <row r="548">
          <cell r="F548">
            <v>7131314</v>
          </cell>
          <cell r="G548" t="str">
            <v>Kit Offert Premium - MEA OnPack Rituel 2023</v>
          </cell>
          <cell r="J548">
            <v>35.96</v>
          </cell>
        </row>
        <row r="549">
          <cell r="F549">
            <v>7131298</v>
          </cell>
          <cell r="G549" t="str">
            <v>Kit Offert Référencement - MEA OnPack Rituel 2023</v>
          </cell>
          <cell r="J549">
            <v>23.34</v>
          </cell>
        </row>
        <row r="550">
          <cell r="F550" t="str">
            <v>AV6300171</v>
          </cell>
          <cell r="G550" t="str">
            <v>Kit PLV Institutionnel Dr. Hauschka</v>
          </cell>
          <cell r="J550">
            <v>0</v>
          </cell>
        </row>
        <row r="551">
          <cell r="F551">
            <v>6300171</v>
          </cell>
          <cell r="G551" t="str">
            <v>Kit PLV institutionnel Dr. Hauschka</v>
          </cell>
          <cell r="J551">
            <v>6.42</v>
          </cell>
        </row>
        <row r="552">
          <cell r="F552" t="str">
            <v>AV7131315</v>
          </cell>
          <cell r="G552" t="str">
            <v>Kit Premium - MEA Crème de Jour à l'Abricot</v>
          </cell>
          <cell r="J552">
            <v>0</v>
          </cell>
        </row>
        <row r="553">
          <cell r="F553" t="str">
            <v>AV7131325</v>
          </cell>
          <cell r="G553" t="str">
            <v>Kit Premium - MEA Crème de Jour à l'Abricot *sans panneau*</v>
          </cell>
          <cell r="J553">
            <v>0</v>
          </cell>
        </row>
        <row r="554">
          <cell r="D554">
            <v>9999996500128</v>
          </cell>
          <cell r="F554">
            <v>6500128</v>
          </cell>
          <cell r="G554" t="str">
            <v>Kit TG - OnPack Routine 2023</v>
          </cell>
          <cell r="J554">
            <v>15</v>
          </cell>
        </row>
        <row r="555">
          <cell r="D555">
            <v>630020799999</v>
          </cell>
          <cell r="F555">
            <v>6300207</v>
          </cell>
          <cell r="G555" t="str">
            <v>Kit TG Crème Purifiante pour le Visage 2024</v>
          </cell>
          <cell r="J555">
            <v>30.4</v>
          </cell>
        </row>
        <row r="556">
          <cell r="D556">
            <v>9999996300199</v>
          </cell>
          <cell r="F556">
            <v>6300199</v>
          </cell>
          <cell r="G556" t="str">
            <v>Kit TG OnPacks 2024</v>
          </cell>
          <cell r="J556">
            <v>41.95</v>
          </cell>
        </row>
        <row r="557">
          <cell r="D557">
            <v>9999994000000</v>
          </cell>
          <cell r="F557" t="str">
            <v>AV4000000</v>
          </cell>
          <cell r="G557" t="str">
            <v>Kit animation</v>
          </cell>
          <cell r="J557">
            <v>88.02</v>
          </cell>
        </row>
        <row r="558">
          <cell r="F558" t="str">
            <v>KITANIM</v>
          </cell>
          <cell r="G558" t="str">
            <v>Kit animation</v>
          </cell>
          <cell r="J558">
            <v>0</v>
          </cell>
        </row>
        <row r="559">
          <cell r="F559" t="str">
            <v>AV5000000</v>
          </cell>
          <cell r="G559" t="str">
            <v>Kit auto-animation Crème Purifiante pour le Visage</v>
          </cell>
          <cell r="J559">
            <v>0</v>
          </cell>
        </row>
        <row r="560">
          <cell r="D560">
            <v>500000099999</v>
          </cell>
          <cell r="F560">
            <v>5000000</v>
          </cell>
          <cell r="G560" t="str">
            <v>Kit auto-animation Crème Purifiante pour le Visage</v>
          </cell>
          <cell r="J560">
            <v>4.49</v>
          </cell>
        </row>
        <row r="561">
          <cell r="D561">
            <v>9999996300191</v>
          </cell>
          <cell r="F561">
            <v>6300191</v>
          </cell>
          <cell r="G561" t="str">
            <v>Kit intercomptoir Rituel Pureté</v>
          </cell>
          <cell r="J561">
            <v>27.3</v>
          </cell>
        </row>
        <row r="562">
          <cell r="D562">
            <v>650015699999</v>
          </cell>
          <cell r="F562">
            <v>6500156</v>
          </cell>
          <cell r="G562" t="str">
            <v>Kit intercomptoir Régénérants 2025</v>
          </cell>
          <cell r="J562">
            <v>10.8</v>
          </cell>
        </row>
        <row r="563">
          <cell r="D563">
            <v>4020829112414</v>
          </cell>
          <cell r="F563">
            <v>6500158</v>
          </cell>
          <cell r="G563" t="str">
            <v>Kit linéaire Rituel de Soin 2025 *PRE-COMMANDE*</v>
          </cell>
          <cell r="J563">
            <v>11.5</v>
          </cell>
        </row>
        <row r="564">
          <cell r="D564">
            <v>630020699999</v>
          </cell>
          <cell r="F564">
            <v>6300206</v>
          </cell>
          <cell r="G564" t="str">
            <v>Kit linéaire et vitrine Noël 2024</v>
          </cell>
          <cell r="J564">
            <v>9.3000000000000007</v>
          </cell>
        </row>
        <row r="565">
          <cell r="D565">
            <v>650014699999</v>
          </cell>
          <cell r="F565">
            <v>6500146</v>
          </cell>
          <cell r="G565" t="str">
            <v>Kit mini stop-rayons essentiels de l'été</v>
          </cell>
          <cell r="J565">
            <v>1</v>
          </cell>
        </row>
        <row r="566">
          <cell r="D566">
            <v>9999996300197</v>
          </cell>
          <cell r="F566">
            <v>6300197</v>
          </cell>
          <cell r="G566" t="str">
            <v>Kit réglette de linéaire + cube Régénérants 2024</v>
          </cell>
          <cell r="J566">
            <v>5.97</v>
          </cell>
        </row>
        <row r="567">
          <cell r="D567">
            <v>650015299999</v>
          </cell>
          <cell r="F567">
            <v>6500152</v>
          </cell>
          <cell r="G567" t="str">
            <v>Kit visibilité linéaire Huiles et Laits</v>
          </cell>
          <cell r="J567">
            <v>15.1</v>
          </cell>
        </row>
        <row r="568">
          <cell r="D568">
            <v>183050299999</v>
          </cell>
          <cell r="F568">
            <v>1830502</v>
          </cell>
          <cell r="G568" t="str">
            <v>Lait Après-Soleil 150 ml*DLV 06/2025*- 10%*</v>
          </cell>
          <cell r="J568">
            <v>6</v>
          </cell>
        </row>
        <row r="569">
          <cell r="D569">
            <v>4020829100374</v>
          </cell>
          <cell r="F569">
            <v>1830127</v>
          </cell>
          <cell r="G569" t="str">
            <v>Lait Crème pour le Corps Amande - 50 ml</v>
          </cell>
          <cell r="J569">
            <v>2.54</v>
          </cell>
        </row>
        <row r="570">
          <cell r="D570">
            <v>4020829100381</v>
          </cell>
          <cell r="F570">
            <v>1830126</v>
          </cell>
          <cell r="G570" t="str">
            <v>Lait Crème pour le Corps Lavande Bois de Santal - 30 ml</v>
          </cell>
          <cell r="J570">
            <v>2.54</v>
          </cell>
        </row>
        <row r="571">
          <cell r="D571">
            <v>4020829095793</v>
          </cell>
          <cell r="F571">
            <v>1830123</v>
          </cell>
          <cell r="G571" t="str">
            <v>Lait Crème pour le Corps Lavande Bois de Santal - 50 ml*DLV 01/25*</v>
          </cell>
          <cell r="J571">
            <v>2.8</v>
          </cell>
        </row>
        <row r="572">
          <cell r="D572">
            <v>4020829100367</v>
          </cell>
          <cell r="F572">
            <v>1830125</v>
          </cell>
          <cell r="G572" t="str">
            <v>Lait Crème pour le Corps Rose - 50 ml</v>
          </cell>
          <cell r="J572">
            <v>2.54</v>
          </cell>
        </row>
        <row r="573">
          <cell r="D573">
            <v>4020829009110</v>
          </cell>
          <cell r="F573">
            <v>1030104</v>
          </cell>
          <cell r="G573" t="str">
            <v>Lait Crème pour le Corps Amande - 145 ml</v>
          </cell>
          <cell r="J573">
            <v>5.8637999999999995</v>
          </cell>
        </row>
        <row r="574">
          <cell r="D574">
            <v>4020829009080</v>
          </cell>
          <cell r="F574">
            <v>1030102</v>
          </cell>
          <cell r="G574" t="str">
            <v>Lait Crème pour le Corps Lavande Bois de Santal - 145 ml</v>
          </cell>
          <cell r="J574">
            <v>5.8637999999999995</v>
          </cell>
        </row>
        <row r="575">
          <cell r="D575">
            <v>18301029999</v>
          </cell>
          <cell r="F575">
            <v>1830102</v>
          </cell>
          <cell r="G575" t="str">
            <v>Lait Crème pour le Corps Lavande Bois de Santal - 145 ml*DLV 11/24* - 15 %*</v>
          </cell>
          <cell r="J575">
            <v>5.72</v>
          </cell>
        </row>
        <row r="576">
          <cell r="D576">
            <v>4020829097391</v>
          </cell>
          <cell r="F576">
            <v>1030124</v>
          </cell>
          <cell r="G576" t="str">
            <v>Lait Crème pour le Corps Lavande Bois de Santal 145ml Edition Limitée 2023 - 25% - DLV au 30/11/24</v>
          </cell>
          <cell r="J576">
            <v>5.63</v>
          </cell>
        </row>
        <row r="577">
          <cell r="D577">
            <v>4020829006751</v>
          </cell>
          <cell r="F577">
            <v>1030101</v>
          </cell>
          <cell r="G577" t="str">
            <v>Lait Crème pour le Corps Rose - 145 ml</v>
          </cell>
          <cell r="J577">
            <v>6.2001999999999997</v>
          </cell>
        </row>
        <row r="578">
          <cell r="D578">
            <v>4020829006720</v>
          </cell>
          <cell r="F578">
            <v>1030128</v>
          </cell>
          <cell r="G578" t="str">
            <v>Lait Crème pour le Corps Rose - 145 ml version Anglaise</v>
          </cell>
          <cell r="J578">
            <v>6.2001999999999997</v>
          </cell>
        </row>
        <row r="579">
          <cell r="D579">
            <v>4020829109162</v>
          </cell>
          <cell r="F579">
            <v>1030129</v>
          </cell>
          <cell r="G579" t="str">
            <v>Lait Crème pour le Corps Rose 145 ml Édition Limitée 2025</v>
          </cell>
          <cell r="J579">
            <v>6.1400000000000006</v>
          </cell>
        </row>
        <row r="580">
          <cell r="D580">
            <v>4020829109148</v>
          </cell>
          <cell r="F580">
            <v>8030129</v>
          </cell>
          <cell r="G580" t="str">
            <v>Lait Crème pour le Corps Rose 145 ml Édition Limitée 2025 *PRE-SERIE*</v>
          </cell>
          <cell r="J580">
            <v>0</v>
          </cell>
        </row>
        <row r="581">
          <cell r="D581">
            <v>4020829090316</v>
          </cell>
          <cell r="F581">
            <v>1030114</v>
          </cell>
          <cell r="G581" t="str">
            <v>Lait Crème pour le Corps Rose Taille Spéciale 30 ml</v>
          </cell>
          <cell r="J581">
            <v>2.16</v>
          </cell>
        </row>
        <row r="582">
          <cell r="F582" t="str">
            <v>INFO LAIT 30 ml</v>
          </cell>
          <cell r="G582" t="str">
            <v>Lait Démaquillant 30 ml *DVL 06/2024*</v>
          </cell>
          <cell r="J582">
            <v>0</v>
          </cell>
        </row>
        <row r="583">
          <cell r="D583">
            <v>4020829006041</v>
          </cell>
          <cell r="F583">
            <v>1010102</v>
          </cell>
          <cell r="G583" t="str">
            <v>Lait Démaquillant et Nettoyant - 145 ml</v>
          </cell>
          <cell r="J583">
            <v>6.5481999999999987</v>
          </cell>
        </row>
        <row r="584">
          <cell r="D584">
            <v>4020829066441</v>
          </cell>
          <cell r="F584">
            <v>1010115</v>
          </cell>
          <cell r="G584" t="str">
            <v>Lait Démaquillant et Nettoyant - 30 ml</v>
          </cell>
          <cell r="J584">
            <v>2.4649999999999999</v>
          </cell>
        </row>
        <row r="585">
          <cell r="D585">
            <v>4020829103160</v>
          </cell>
          <cell r="F585">
            <v>1020107</v>
          </cell>
          <cell r="G585" t="str">
            <v>Lait pour le Corps - Régénérant - 150 ml</v>
          </cell>
          <cell r="J585">
            <v>10.335599999999999</v>
          </cell>
        </row>
        <row r="586">
          <cell r="D586">
            <v>4020829100176</v>
          </cell>
          <cell r="F586">
            <v>1030125</v>
          </cell>
          <cell r="G586" t="str">
            <v>Lait pour le Corps Bergamote Citronnelle - 145 ml</v>
          </cell>
          <cell r="J586">
            <v>5.428799999999999</v>
          </cell>
        </row>
        <row r="587">
          <cell r="D587">
            <v>9999998030125</v>
          </cell>
          <cell r="F587">
            <v>8030125</v>
          </cell>
          <cell r="G587" t="str">
            <v>Lait pour le Corps Bergamote Citronnelle - 145 ml</v>
          </cell>
          <cell r="J587">
            <v>0</v>
          </cell>
        </row>
        <row r="588">
          <cell r="D588">
            <v>4020829009158</v>
          </cell>
          <cell r="F588">
            <v>1030103</v>
          </cell>
          <cell r="G588" t="str">
            <v>Lait pour le Corps Citron Citronnelle - 145 ml*DLV 11/24*- 25%*</v>
          </cell>
          <cell r="J588">
            <v>5.3</v>
          </cell>
        </row>
        <row r="589">
          <cell r="D589">
            <v>4020829009035</v>
          </cell>
          <cell r="F589">
            <v>1030105</v>
          </cell>
          <cell r="G589" t="str">
            <v>Lait pour le Corps Coing - 145 ml</v>
          </cell>
          <cell r="J589">
            <v>5.51</v>
          </cell>
        </row>
        <row r="590">
          <cell r="D590">
            <v>4020829008410</v>
          </cell>
          <cell r="F590">
            <v>1020101</v>
          </cell>
          <cell r="G590" t="str">
            <v>Lait pour le Corps Régénérant - 150 ml</v>
          </cell>
          <cell r="J590">
            <v>10.23</v>
          </cell>
        </row>
        <row r="591">
          <cell r="D591">
            <v>4020829092068</v>
          </cell>
          <cell r="F591">
            <v>1050104</v>
          </cell>
          <cell r="G591" t="str">
            <v>Lait pour le Corps à la Ficoïde à Cristaux - 145 ml</v>
          </cell>
          <cell r="J591">
            <v>6.6641999999999992</v>
          </cell>
        </row>
        <row r="592">
          <cell r="F592" t="str">
            <v>AV7131357</v>
          </cell>
          <cell r="G592" t="str">
            <v>Lancement Baumes Stick Lèvres et Joues - offre Look</v>
          </cell>
          <cell r="J592">
            <v>0</v>
          </cell>
        </row>
        <row r="593">
          <cell r="F593">
            <v>7131357</v>
          </cell>
          <cell r="G593" t="str">
            <v>Lancement Baumes Stick Lèvres et Joues - offre Look</v>
          </cell>
          <cell r="J593">
            <v>34.65</v>
          </cell>
        </row>
        <row r="594">
          <cell r="F594" t="str">
            <v>AV7131358</v>
          </cell>
          <cell r="G594" t="str">
            <v>Lancement Baumes Stick Lèvres et Joues - offre Look *sans Panneau*</v>
          </cell>
          <cell r="J594">
            <v>0</v>
          </cell>
        </row>
        <row r="595">
          <cell r="F595">
            <v>7131358</v>
          </cell>
          <cell r="G595" t="str">
            <v>Lancement Baumes Stick Lèvres et Joues - offre Look *sans panneau*</v>
          </cell>
          <cell r="J595">
            <v>34.65</v>
          </cell>
        </row>
        <row r="596">
          <cell r="F596" t="str">
            <v>NUUL</v>
          </cell>
          <cell r="G596" t="str">
            <v>Libellé article</v>
          </cell>
          <cell r="J596">
            <v>0</v>
          </cell>
        </row>
        <row r="597">
          <cell r="F597" t="str">
            <v>INFODIV</v>
          </cell>
          <cell r="G597" t="str">
            <v>Libellé ligne à modifier</v>
          </cell>
          <cell r="J597">
            <v>0</v>
          </cell>
        </row>
        <row r="598">
          <cell r="G598" t="str">
            <v>Location de salle</v>
          </cell>
          <cell r="J598">
            <v>0</v>
          </cell>
        </row>
        <row r="599">
          <cell r="D599" t="str">
            <v>999999L4010101</v>
          </cell>
          <cell r="F599" t="str">
            <v>L4010101</v>
          </cell>
          <cell r="G599" t="str">
            <v>Lot 5 x Miniature - Crème Purifiante pour le Visage 10 ml - 15% comprise</v>
          </cell>
          <cell r="J599">
            <v>3.9</v>
          </cell>
        </row>
        <row r="600">
          <cell r="D600" t="str">
            <v>999999L4010302</v>
          </cell>
          <cell r="F600" t="str">
            <v>L4010302</v>
          </cell>
          <cell r="G600" t="str">
            <v>Lot 5 x Miniature - Crème de Jour Légère à la Rose 5 ml  - 15% comprise</v>
          </cell>
          <cell r="J600">
            <v>6.8500000000000014</v>
          </cell>
        </row>
        <row r="601">
          <cell r="D601" t="str">
            <v>999999L4010320</v>
          </cell>
          <cell r="F601" t="str">
            <v>L4010320</v>
          </cell>
          <cell r="G601" t="str">
            <v>Lot 5 x Miniature - Crème de Jour Teintée 5 ml - 15% comprise</v>
          </cell>
          <cell r="J601">
            <v>7.8500000000000014</v>
          </cell>
        </row>
        <row r="602">
          <cell r="D602" t="str">
            <v>999999L4010305</v>
          </cell>
          <cell r="F602" t="str">
            <v>L4010305</v>
          </cell>
          <cell r="G602" t="str">
            <v>Lot 5 x Miniature - Crème de Jour au Coing - 15% comprise</v>
          </cell>
          <cell r="J602">
            <v>5.9</v>
          </cell>
        </row>
        <row r="603">
          <cell r="D603" t="str">
            <v>999999L4010306</v>
          </cell>
          <cell r="F603" t="str">
            <v>L4010306</v>
          </cell>
          <cell r="G603" t="str">
            <v>Lot 5 x Miniature - Crème de Jour à la Mélisse 5 ml - 15% comprise</v>
          </cell>
          <cell r="J603">
            <v>6.8500000000000014</v>
          </cell>
        </row>
        <row r="604">
          <cell r="D604" t="str">
            <v>999999L4010310</v>
          </cell>
          <cell r="F604" t="str">
            <v>L4010310</v>
          </cell>
          <cell r="G604" t="str">
            <v>Lot 5 x Miniature - Crème de Jour à la Rose 5 ml - 15% comprise</v>
          </cell>
          <cell r="J604">
            <v>6.8500000000000014</v>
          </cell>
        </row>
        <row r="605">
          <cell r="D605" t="str">
            <v>999999L4030202</v>
          </cell>
          <cell r="F605" t="str">
            <v>L4030202</v>
          </cell>
          <cell r="G605" t="str">
            <v>Lot 5 x Miniature - Huile de Soin Prunelle 10 ml - 15% comprise</v>
          </cell>
          <cell r="J605">
            <v>3.9</v>
          </cell>
        </row>
        <row r="606">
          <cell r="D606" t="str">
            <v>999999L4030201</v>
          </cell>
          <cell r="F606" t="str">
            <v>L4030201</v>
          </cell>
          <cell r="G606" t="str">
            <v>Lot 5 x Miniature - Huile de Soin Rose 10 ml - 15% comprise</v>
          </cell>
          <cell r="J606">
            <v>3.9</v>
          </cell>
        </row>
        <row r="607">
          <cell r="D607" t="str">
            <v>999999L4010307</v>
          </cell>
          <cell r="F607" t="str">
            <v>L4010307</v>
          </cell>
          <cell r="G607" t="str">
            <v>Lot 5 x Miniature - Huile Équilibrante pour le Visage 5 ml - 15% comprise</v>
          </cell>
          <cell r="J607">
            <v>6.8500000000000014</v>
          </cell>
        </row>
        <row r="608">
          <cell r="D608" t="str">
            <v>999999L4010102</v>
          </cell>
          <cell r="F608" t="str">
            <v>L4010102</v>
          </cell>
          <cell r="G608" t="str">
            <v>Lot 5 x Miniature - Lait Démaquillant et Nettoyant 10 ml - 15% comprise</v>
          </cell>
          <cell r="J608">
            <v>3.9</v>
          </cell>
        </row>
        <row r="609">
          <cell r="D609" t="str">
            <v>999999L4030103</v>
          </cell>
          <cell r="F609" t="str">
            <v>L4030103</v>
          </cell>
          <cell r="G609" t="str">
            <v>Lot 5 x Miniature - Lait pour le Corps Citron Citronnelle 10 ml - 15% comprise</v>
          </cell>
          <cell r="J609">
            <v>3.9</v>
          </cell>
        </row>
        <row r="610">
          <cell r="D610" t="str">
            <v>999999L4010202</v>
          </cell>
          <cell r="F610" t="str">
            <v>L4010202</v>
          </cell>
          <cell r="G610" t="str">
            <v>Lot 5 x Miniature - Lotion Clarifiante avec spray 10 ml - 15% comprise</v>
          </cell>
          <cell r="J610">
            <v>4.95</v>
          </cell>
        </row>
        <row r="611">
          <cell r="D611" t="str">
            <v>999999L4010201</v>
          </cell>
          <cell r="F611" t="str">
            <v>L4010201</v>
          </cell>
          <cell r="G611" t="str">
            <v>Lot 5 x Miniature - Lotion Tonifiante avec spray - 10 ml - 15% comprise</v>
          </cell>
          <cell r="J611">
            <v>4.95</v>
          </cell>
        </row>
        <row r="612">
          <cell r="D612" t="str">
            <v>999999L4010709</v>
          </cell>
          <cell r="F612" t="str">
            <v>L4010709</v>
          </cell>
          <cell r="G612" t="str">
            <v>Lot 5 x Miniature - Masque Apaisant 5 ml - 15% comprise</v>
          </cell>
          <cell r="J612">
            <v>8.85</v>
          </cell>
        </row>
        <row r="613">
          <cell r="D613" t="str">
            <v>999999L4010717</v>
          </cell>
          <cell r="F613" t="str">
            <v>L4010717</v>
          </cell>
          <cell r="G613" t="str">
            <v>Lot 5 x Miniature - Masque Crème Nourrissant 5 ml - 15% comprise</v>
          </cell>
          <cell r="J613">
            <v>10.8</v>
          </cell>
        </row>
        <row r="614">
          <cell r="D614" t="str">
            <v>999999L4010707</v>
          </cell>
          <cell r="F614" t="str">
            <v>L4010707</v>
          </cell>
          <cell r="G614" t="str">
            <v>Lot 5 x Miniature - Masque Revitalisant 5 ml - 15% comprise</v>
          </cell>
          <cell r="J614">
            <v>8.85</v>
          </cell>
        </row>
        <row r="615">
          <cell r="D615" t="str">
            <v>999999L4010203</v>
          </cell>
          <cell r="F615" t="str">
            <v>L4010203</v>
          </cell>
          <cell r="G615" t="str">
            <v>Lot 5 x Miniature - Sérum Tonifiant Nuit 2,5ml  - 15% comprise</v>
          </cell>
          <cell r="J615">
            <v>5.9</v>
          </cell>
        </row>
        <row r="616">
          <cell r="D616">
            <v>9999996500101</v>
          </cell>
          <cell r="F616">
            <v>6500101</v>
          </cell>
          <cell r="G616" t="str">
            <v>Lot Balises Linéaire Routine</v>
          </cell>
          <cell r="J616">
            <v>2</v>
          </cell>
        </row>
        <row r="617">
          <cell r="D617">
            <v>999999901904</v>
          </cell>
          <cell r="F617">
            <v>901904</v>
          </cell>
          <cell r="G617" t="str">
            <v>Lot de 10 Charlottes</v>
          </cell>
          <cell r="J617">
            <v>0.75</v>
          </cell>
        </row>
        <row r="618">
          <cell r="D618" t="str">
            <v>999999L5050101</v>
          </cell>
          <cell r="F618" t="str">
            <v>L5050101</v>
          </cell>
          <cell r="G618" t="str">
            <v>Lot de 10 Echantillon Lait pour le corps à la Ficoïde à Cristaux - 5 ml + Flyer</v>
          </cell>
          <cell r="J618">
            <v>1.5</v>
          </cell>
        </row>
        <row r="619">
          <cell r="D619" t="str">
            <v>999999P5010302</v>
          </cell>
          <cell r="F619" t="str">
            <v>L5010302</v>
          </cell>
          <cell r="G619" t="str">
            <v>Lot de 10 Echantillons - Crème de Jour Légère à la Rose - 1,5 ml</v>
          </cell>
          <cell r="J619">
            <v>1.45</v>
          </cell>
        </row>
        <row r="620">
          <cell r="D620" t="str">
            <v>999999P5010305</v>
          </cell>
          <cell r="F620" t="str">
            <v>L5010305</v>
          </cell>
          <cell r="G620" t="str">
            <v>Lot de 10 Echantillons - Crème de Jour au Coing - 1,5 ml</v>
          </cell>
          <cell r="J620">
            <v>1.45</v>
          </cell>
        </row>
        <row r="621">
          <cell r="F621" t="str">
            <v>L5010377</v>
          </cell>
          <cell r="G621" t="str">
            <v>Lot de 10 Echantillons - Crème de Jour à l'Abricot - 1,5ml</v>
          </cell>
          <cell r="J621">
            <v>0</v>
          </cell>
        </row>
        <row r="622">
          <cell r="D622" t="str">
            <v>999999P5010306</v>
          </cell>
          <cell r="F622" t="str">
            <v>L5010306</v>
          </cell>
          <cell r="G622" t="str">
            <v>Lot de 10 Echantillons - Crème de Jour à la Mélisse - 1,5 ml</v>
          </cell>
          <cell r="J622">
            <v>1.45</v>
          </cell>
        </row>
        <row r="623">
          <cell r="D623" t="str">
            <v>999999L5010310</v>
          </cell>
          <cell r="F623" t="str">
            <v>L5010310</v>
          </cell>
          <cell r="G623" t="str">
            <v>Lot de 10 Echantillons - Crème de Jour à la Rose - 1,5 ml</v>
          </cell>
          <cell r="J623">
            <v>1.45</v>
          </cell>
        </row>
        <row r="624">
          <cell r="D624" t="str">
            <v>9999L5010116</v>
          </cell>
          <cell r="F624" t="str">
            <v>L5010116</v>
          </cell>
          <cell r="G624" t="str">
            <v>Lot de 10 x Echantillon - Baume Lacté Nettoyant - 1,5 ml</v>
          </cell>
          <cell r="J624">
            <v>1.7</v>
          </cell>
        </row>
        <row r="625">
          <cell r="D625" t="str">
            <v>999999P5020401</v>
          </cell>
          <cell r="F625" t="str">
            <v>L5020401</v>
          </cell>
          <cell r="G625" t="str">
            <v>Lot de 10 x Echantillon - Crème Régénérante Contour des Yeux - 1,5 ml</v>
          </cell>
          <cell r="J625">
            <v>1.45</v>
          </cell>
        </row>
        <row r="626">
          <cell r="D626" t="str">
            <v>999999P5020302</v>
          </cell>
          <cell r="F626" t="str">
            <v>L5020302</v>
          </cell>
          <cell r="G626" t="str">
            <v>Lot de 10 x Echantillon - Crème de Jour Régénérante -1,5 ml</v>
          </cell>
          <cell r="J626">
            <v>1.45</v>
          </cell>
        </row>
        <row r="627">
          <cell r="D627" t="str">
            <v>999999P5020310</v>
          </cell>
          <cell r="F627" t="str">
            <v>L5020310</v>
          </cell>
          <cell r="G627" t="str">
            <v>Lot de 10 x Echantillon - Crème de Jour Régénérante Eclat du Teint - 1,5 ml</v>
          </cell>
          <cell r="J627">
            <v>1.45</v>
          </cell>
        </row>
        <row r="628">
          <cell r="D628" t="str">
            <v>999999L5030301</v>
          </cell>
          <cell r="F628" t="str">
            <v>L5030301</v>
          </cell>
          <cell r="G628" t="str">
            <v>Lot de 10 x Echantillon - Crème pour les Mains avec Fly - 2,5 ML</v>
          </cell>
          <cell r="J628">
            <v>1.05</v>
          </cell>
        </row>
        <row r="629">
          <cell r="D629" t="str">
            <v>999999L5050103</v>
          </cell>
          <cell r="F629" t="str">
            <v>L5050103</v>
          </cell>
          <cell r="G629" t="str">
            <v>Lot de 10 x Echantillon - Crème pour les Mains à la Ficoïde à Cristaux - 2,5 ml</v>
          </cell>
          <cell r="J629">
            <v>1.5</v>
          </cell>
        </row>
        <row r="630">
          <cell r="D630" t="str">
            <v>999999L5010360</v>
          </cell>
          <cell r="F630" t="str">
            <v>L5010360</v>
          </cell>
          <cell r="G630" t="str">
            <v>Lot de 10 x Echantillon - Fluide de Jour Apaisant -1,5 ml</v>
          </cell>
          <cell r="J630">
            <v>1.6</v>
          </cell>
        </row>
        <row r="631">
          <cell r="D631" t="str">
            <v>999999L5010361</v>
          </cell>
          <cell r="F631" t="str">
            <v>L5010361</v>
          </cell>
          <cell r="G631" t="str">
            <v>Lot de 10 x Echantillon - Fluide de Jour Equilibrant - 1,5ml</v>
          </cell>
          <cell r="J631">
            <v>1.6</v>
          </cell>
        </row>
        <row r="632">
          <cell r="D632" t="str">
            <v>999999P5010359</v>
          </cell>
          <cell r="F632" t="str">
            <v>L5010359</v>
          </cell>
          <cell r="G632" t="str">
            <v>Lot de 10 x Echantillon - Fluide de Jour Revitalisant - 1,5 ml</v>
          </cell>
          <cell r="J632">
            <v>1.6</v>
          </cell>
        </row>
        <row r="633">
          <cell r="D633" t="str">
            <v>999999P5020201</v>
          </cell>
          <cell r="F633" t="str">
            <v>L5020201</v>
          </cell>
          <cell r="G633" t="str">
            <v>Lot de 10 x Echantillon - Sérum Régénérant Jour / Nuit avec fly - 1,5 ml</v>
          </cell>
          <cell r="J633">
            <v>1.45</v>
          </cell>
        </row>
        <row r="634">
          <cell r="D634" t="str">
            <v>9999L5020718</v>
          </cell>
          <cell r="F634" t="str">
            <v>L5020718</v>
          </cell>
          <cell r="G634" t="str">
            <v>Lot de 10 x Echantillon - Sérum de Nuit - Régénérant Intensif 30ml 1,5ml</v>
          </cell>
          <cell r="J634">
            <v>0</v>
          </cell>
        </row>
        <row r="635">
          <cell r="D635" t="str">
            <v>999999P5020703</v>
          </cell>
          <cell r="F635" t="str">
            <v>L5020703</v>
          </cell>
          <cell r="G635" t="str">
            <v>Lot de 10 x Echantillon Crème de Jour Régénérante Intensive - 1,5 ml</v>
          </cell>
          <cell r="J635">
            <v>1.7</v>
          </cell>
        </row>
        <row r="636">
          <cell r="D636" t="str">
            <v>9999L5050503</v>
          </cell>
          <cell r="F636" t="str">
            <v>L5050503</v>
          </cell>
          <cell r="G636" t="str">
            <v>Lot de 10 x Echantillon Masque pour le Cuir Chevelu aux Graines de Courge - 2 ml</v>
          </cell>
          <cell r="J636">
            <v>3.6</v>
          </cell>
        </row>
        <row r="637">
          <cell r="F637" t="str">
            <v>L5050502</v>
          </cell>
          <cell r="G637" t="str">
            <v>Lot de 10 x Echantillon Shampooing à la Ficoïde à Cristaux - 10 ml</v>
          </cell>
          <cell r="J637">
            <v>3.6</v>
          </cell>
        </row>
        <row r="638">
          <cell r="D638" t="str">
            <v>999999P5010102</v>
          </cell>
          <cell r="F638" t="str">
            <v>L5010102</v>
          </cell>
          <cell r="G638" t="str">
            <v>Lot de 10 x Echantillons - Lait Démaquillant et Nettoyant - 5 ml</v>
          </cell>
          <cell r="J638">
            <v>1.45</v>
          </cell>
        </row>
        <row r="639">
          <cell r="D639" t="str">
            <v>999999P5050201</v>
          </cell>
          <cell r="F639" t="str">
            <v>L5050201</v>
          </cell>
          <cell r="G639" t="str">
            <v>Lot de 10 x Echantillon - Crème Intensive à la Ficoïde à Cristaux - 1,5 ml</v>
          </cell>
          <cell r="J639">
            <v>1.5</v>
          </cell>
        </row>
        <row r="640">
          <cell r="D640">
            <v>9999996300188</v>
          </cell>
          <cell r="F640">
            <v>6300188</v>
          </cell>
          <cell r="G640" t="str">
            <v>Lot de 2 cubes Noël 2023</v>
          </cell>
          <cell r="J640">
            <v>6.8</v>
          </cell>
        </row>
        <row r="641">
          <cell r="D641">
            <v>4020829105607</v>
          </cell>
          <cell r="F641">
            <v>6300201</v>
          </cell>
          <cell r="G641" t="str">
            <v>Lot de 2 posters A1 Edition Limitée 2024</v>
          </cell>
          <cell r="J641">
            <v>3.2</v>
          </cell>
        </row>
        <row r="642">
          <cell r="D642">
            <v>9999996500132</v>
          </cell>
          <cell r="F642">
            <v>6500132</v>
          </cell>
          <cell r="G642" t="str">
            <v>Lot de 3 mini stop-rayons</v>
          </cell>
          <cell r="J642">
            <v>1.95</v>
          </cell>
        </row>
        <row r="643">
          <cell r="G643" t="str">
            <v>Lot de 5 * Miniature - Sérum Contour des Yeux - Régénérant Intensif 2,5ml</v>
          </cell>
          <cell r="J643">
            <v>0</v>
          </cell>
        </row>
        <row r="644">
          <cell r="D644">
            <v>9999996600035</v>
          </cell>
          <cell r="F644">
            <v>6600035</v>
          </cell>
          <cell r="G644" t="str">
            <v>Lot de 5 Furoshikis Alice in Food pour Dr. Hauschka</v>
          </cell>
          <cell r="J644">
            <v>9.2000000000000011</v>
          </cell>
        </row>
        <row r="645">
          <cell r="F645" t="str">
            <v>L4050203</v>
          </cell>
          <cell r="G645" t="str">
            <v>Lot de 5 x Miniature - Crème Potentilla Ultra-Apaisante - 3 ml 15% comprise</v>
          </cell>
          <cell r="J645">
            <v>3.9</v>
          </cell>
        </row>
        <row r="646">
          <cell r="D646" t="str">
            <v>999999L4010360</v>
          </cell>
          <cell r="F646" t="str">
            <v>L4010360</v>
          </cell>
          <cell r="G646" t="str">
            <v>Lot de 5 x Miniature - Fluide de Jour Apaisant - 5 ml - 15% comprise</v>
          </cell>
          <cell r="J646">
            <v>5.95</v>
          </cell>
        </row>
        <row r="647">
          <cell r="D647" t="str">
            <v>999999L4010361</v>
          </cell>
          <cell r="F647" t="str">
            <v>L4010361</v>
          </cell>
          <cell r="G647" t="str">
            <v>Lot de 5 x Miniature - Fluide de Jour Equilibrant - 5 ml - 15% comprise</v>
          </cell>
          <cell r="J647">
            <v>5.95</v>
          </cell>
        </row>
        <row r="648">
          <cell r="D648" t="str">
            <v>999999L4010359</v>
          </cell>
          <cell r="F648" t="str">
            <v>L4010359</v>
          </cell>
          <cell r="G648" t="str">
            <v>Lot de 5 x Miniature - Fluide de Jour Revitalisant - 5ml - 15 % comprise</v>
          </cell>
          <cell r="J648">
            <v>5.95</v>
          </cell>
        </row>
        <row r="649">
          <cell r="D649" t="str">
            <v>999999L4010505</v>
          </cell>
          <cell r="F649" t="str">
            <v>L4010505</v>
          </cell>
          <cell r="G649" t="str">
            <v>Lot de 5 x Miniature - Lotion Fraîcheur pour les Yeux 5 ml - 15% comprise</v>
          </cell>
          <cell r="J649">
            <v>3.85</v>
          </cell>
        </row>
        <row r="650">
          <cell r="D650" t="str">
            <v>999999L4010710</v>
          </cell>
          <cell r="F650" t="str">
            <v>L4010710</v>
          </cell>
          <cell r="G650" t="str">
            <v>Lot de 5 x Miniature - Masque Restructurant 5 ml - 15% comprise</v>
          </cell>
          <cell r="J650">
            <v>9.8000000000000007</v>
          </cell>
        </row>
        <row r="651">
          <cell r="F651" t="str">
            <v>L4020717</v>
          </cell>
          <cell r="G651" t="str">
            <v>Lot de 5 x Miniature - Sérum Contour des Yeux - Régénérant Intensif 2,5ml</v>
          </cell>
          <cell r="J651">
            <v>15</v>
          </cell>
        </row>
        <row r="652">
          <cell r="F652" t="str">
            <v>L4020718</v>
          </cell>
          <cell r="G652" t="str">
            <v>Lot de 5 x Miniature - Sérum de Nuit - Régénérant Intensif 30ml 2,5ml</v>
          </cell>
          <cell r="J652">
            <v>0</v>
          </cell>
        </row>
        <row r="653">
          <cell r="D653">
            <v>4020829111189</v>
          </cell>
          <cell r="F653">
            <v>6300211</v>
          </cell>
          <cell r="G653" t="str">
            <v>Lot de posters A1 Édition Limitée 2025</v>
          </cell>
          <cell r="J653">
            <v>2.67</v>
          </cell>
        </row>
        <row r="654">
          <cell r="G654" t="str">
            <v>Lot de posters A1 Édition Limitée 2025</v>
          </cell>
          <cell r="J654">
            <v>2.67</v>
          </cell>
        </row>
        <row r="655">
          <cell r="F655" t="str">
            <v>L4010377</v>
          </cell>
          <cell r="G655" t="str">
            <v>Lot x 5 Miniature - Crème de Jour à l'Abricot - 5 ml</v>
          </cell>
          <cell r="J655">
            <v>7</v>
          </cell>
        </row>
        <row r="656">
          <cell r="D656">
            <v>4020829005297</v>
          </cell>
          <cell r="F656">
            <v>1010202</v>
          </cell>
          <cell r="G656" t="str">
            <v>Lotion Clarifiante - 100 ml</v>
          </cell>
          <cell r="J656">
            <v>7.0585999999999993</v>
          </cell>
        </row>
        <row r="657">
          <cell r="D657">
            <v>4020829077058</v>
          </cell>
          <cell r="F657">
            <v>1010505</v>
          </cell>
          <cell r="G657" t="str">
            <v>Lotion Fraîcheur pour les Yeux - 10 x 5 ml</v>
          </cell>
          <cell r="J657">
            <v>7.2267999999999999</v>
          </cell>
        </row>
        <row r="658">
          <cell r="D658">
            <v>4020829005235</v>
          </cell>
          <cell r="F658">
            <v>1010201</v>
          </cell>
          <cell r="G658" t="str">
            <v>Lotion Tonifiante - 100 ml</v>
          </cell>
          <cell r="J658">
            <v>6.7163999999999993</v>
          </cell>
        </row>
        <row r="659">
          <cell r="D659">
            <v>9999991810205</v>
          </cell>
          <cell r="F659">
            <v>1810205</v>
          </cell>
          <cell r="G659" t="str">
            <v>Lotion Tonifiante - 30 ml</v>
          </cell>
          <cell r="J659">
            <v>2.14</v>
          </cell>
        </row>
        <row r="660">
          <cell r="D660">
            <v>4020829066465</v>
          </cell>
          <cell r="F660">
            <v>1010205</v>
          </cell>
          <cell r="G660" t="str">
            <v>Lotion Tonifiante - 30 ml</v>
          </cell>
          <cell r="J660">
            <v>2.4649999999999999</v>
          </cell>
        </row>
        <row r="661">
          <cell r="D661">
            <v>4020829104464</v>
          </cell>
          <cell r="F661">
            <v>1010213</v>
          </cell>
          <cell r="G661" t="str">
            <v>Lotion Tonifiante 100 ml Edition Limitée 2024</v>
          </cell>
          <cell r="J661">
            <v>6.55</v>
          </cell>
        </row>
        <row r="662">
          <cell r="F662" t="str">
            <v>INFO LOTION 30 ml</v>
          </cell>
          <cell r="G662" t="str">
            <v>Lotion Tonifiante 30 ml *DLV 06/2024*</v>
          </cell>
          <cell r="J662">
            <v>0</v>
          </cell>
        </row>
        <row r="663">
          <cell r="D663">
            <v>4020829006171</v>
          </cell>
          <cell r="F663">
            <v>1030402</v>
          </cell>
          <cell r="G663" t="str">
            <v>Lotion Tonifiante pour les Jambes - 100 ml</v>
          </cell>
          <cell r="J663">
            <v>6.0262000000000002</v>
          </cell>
        </row>
        <row r="664">
          <cell r="D664">
            <v>4020829077515</v>
          </cell>
          <cell r="F664">
            <v>1040306</v>
          </cell>
          <cell r="G664" t="str">
            <v>Lotion pour les Cheveux - 100 ml</v>
          </cell>
          <cell r="J664">
            <v>4.3789999999999996</v>
          </cell>
        </row>
        <row r="665">
          <cell r="F665">
            <v>7031330</v>
          </cell>
          <cell r="G665" t="str">
            <v>MEA Compagnons Naturels</v>
          </cell>
          <cell r="J665">
            <v>75.820000000000007</v>
          </cell>
        </row>
        <row r="666">
          <cell r="F666" t="str">
            <v>AV7031330</v>
          </cell>
          <cell r="G666" t="str">
            <v>MEA Compagnons Naturels</v>
          </cell>
          <cell r="J666">
            <v>0</v>
          </cell>
        </row>
        <row r="667">
          <cell r="F667" t="str">
            <v>AV7031400</v>
          </cell>
          <cell r="G667" t="str">
            <v>MEA Déodorants 2025</v>
          </cell>
          <cell r="J667">
            <v>0</v>
          </cell>
        </row>
        <row r="668">
          <cell r="F668">
            <v>7031400</v>
          </cell>
          <cell r="G668" t="str">
            <v>MEA Déodorants 2025</v>
          </cell>
          <cell r="J668">
            <v>0</v>
          </cell>
        </row>
        <row r="669">
          <cell r="F669" t="str">
            <v>AV7031370</v>
          </cell>
          <cell r="G669" t="str">
            <v>MEA Edition Limitée Crème pour les Mains Noël 2024</v>
          </cell>
          <cell r="J669">
            <v>0</v>
          </cell>
        </row>
        <row r="670">
          <cell r="F670">
            <v>7031370</v>
          </cell>
          <cell r="G670" t="str">
            <v>MEA Edition Limitée Crème pour les Mains Noël 2024</v>
          </cell>
          <cell r="J670">
            <v>16.079999999999998</v>
          </cell>
        </row>
        <row r="671">
          <cell r="F671">
            <v>7131355</v>
          </cell>
          <cell r="G671" t="str">
            <v>MEA Essentiels de l'été</v>
          </cell>
          <cell r="J671">
            <v>16.649999999999999</v>
          </cell>
        </row>
        <row r="672">
          <cell r="F672" t="str">
            <v>AV7131355</v>
          </cell>
          <cell r="G672" t="str">
            <v>MEA Essentiels de l'été</v>
          </cell>
          <cell r="J672">
            <v>0</v>
          </cell>
        </row>
        <row r="673">
          <cell r="F673" t="str">
            <v>AV7131374</v>
          </cell>
          <cell r="G673" t="str">
            <v>MEA Essentiels de l'été V2</v>
          </cell>
          <cell r="J673">
            <v>0</v>
          </cell>
        </row>
        <row r="674">
          <cell r="F674">
            <v>7131374</v>
          </cell>
          <cell r="G674" t="str">
            <v>MEA Essentiels de l'été V2</v>
          </cell>
          <cell r="J674">
            <v>13.47</v>
          </cell>
        </row>
        <row r="675">
          <cell r="F675" t="str">
            <v>AV7201378</v>
          </cell>
          <cell r="G675" t="str">
            <v>MEA Habillage cabine - Linge et accessoires *PRE-COMMANDE*</v>
          </cell>
          <cell r="J675">
            <v>0</v>
          </cell>
        </row>
        <row r="676">
          <cell r="F676">
            <v>7201378</v>
          </cell>
          <cell r="G676" t="str">
            <v>MEA Habillage cabine - Linge et accessoires *PRE-COMMANDE*</v>
          </cell>
          <cell r="J676">
            <v>150.77000000000001</v>
          </cell>
        </row>
        <row r="677">
          <cell r="F677" t="str">
            <v>AV7201379</v>
          </cell>
          <cell r="G677" t="str">
            <v>MEA Lot de linge cabine *PRE-COMMANDE*</v>
          </cell>
          <cell r="J677">
            <v>0</v>
          </cell>
        </row>
        <row r="678">
          <cell r="F678">
            <v>7201379</v>
          </cell>
          <cell r="G678" t="str">
            <v>MEA Lot de linge cabine *PRE-COMMANDE*</v>
          </cell>
          <cell r="J678">
            <v>69.900000000000006</v>
          </cell>
        </row>
        <row r="679">
          <cell r="F679">
            <v>7061396</v>
          </cell>
          <cell r="G679" t="str">
            <v>MEA Maquillage Printanier 2025</v>
          </cell>
          <cell r="J679">
            <v>0</v>
          </cell>
        </row>
        <row r="680">
          <cell r="F680" t="str">
            <v>AV7061396</v>
          </cell>
          <cell r="G680" t="str">
            <v>MEA Maquillage Printanier 2025</v>
          </cell>
          <cell r="J680">
            <v>0</v>
          </cell>
        </row>
        <row r="681">
          <cell r="F681">
            <v>7061376</v>
          </cell>
          <cell r="G681" t="str">
            <v>MEA Maquillage Teint Parfait 2024</v>
          </cell>
          <cell r="J681">
            <v>35.770000000000003</v>
          </cell>
        </row>
        <row r="682">
          <cell r="F682" t="str">
            <v>AV7061376</v>
          </cell>
          <cell r="G682" t="str">
            <v>MEA Maquillage Teint Parfait 2024</v>
          </cell>
          <cell r="J682">
            <v>0</v>
          </cell>
        </row>
        <row r="683">
          <cell r="F683" t="str">
            <v>AV7131385</v>
          </cell>
          <cell r="G683" t="str">
            <v>MEA Rituel de Soin - Essentiel 2025</v>
          </cell>
          <cell r="J683">
            <v>0</v>
          </cell>
        </row>
        <row r="684">
          <cell r="F684">
            <v>7131385</v>
          </cell>
          <cell r="G684" t="str">
            <v>MEA Rituel de Soin - Essentiel 2025 *PRE-COMMANDE*</v>
          </cell>
          <cell r="J684">
            <v>0</v>
          </cell>
        </row>
        <row r="685">
          <cell r="F685" t="str">
            <v>AV7131384</v>
          </cell>
          <cell r="G685" t="str">
            <v>MEA Rituel de Soin - Premium 2025</v>
          </cell>
          <cell r="J685">
            <v>0</v>
          </cell>
        </row>
        <row r="686">
          <cell r="F686">
            <v>7131384</v>
          </cell>
          <cell r="G686" t="str">
            <v>MEA Rituel de Soin - Premium 2025 *PRE-COMMANDE*</v>
          </cell>
          <cell r="J686">
            <v>0</v>
          </cell>
        </row>
        <row r="687">
          <cell r="F687" t="str">
            <v>AV7131387</v>
          </cell>
          <cell r="G687" t="str">
            <v>MEA Rituel de Soin - Référencement 2025</v>
          </cell>
          <cell r="J687">
            <v>0</v>
          </cell>
        </row>
        <row r="688">
          <cell r="F688">
            <v>7131387</v>
          </cell>
          <cell r="G688" t="str">
            <v>MEA Rituel de Soin - Référencement 2025</v>
          </cell>
          <cell r="J688">
            <v>0</v>
          </cell>
        </row>
        <row r="689">
          <cell r="F689" t="str">
            <v>AV7021383</v>
          </cell>
          <cell r="G689" t="str">
            <v>MEA Régénérants - Essentiel 2025</v>
          </cell>
          <cell r="J689">
            <v>0</v>
          </cell>
        </row>
        <row r="690">
          <cell r="F690">
            <v>7021383</v>
          </cell>
          <cell r="G690" t="str">
            <v>MEA Régénérants - Essentiel 2025 *PRE-COMMANDE*</v>
          </cell>
          <cell r="J690">
            <v>0</v>
          </cell>
        </row>
        <row r="691">
          <cell r="F691" t="str">
            <v>AV7131386</v>
          </cell>
          <cell r="G691" t="str">
            <v>MEA Régénérants - Essentiel 2025 *sans PLV*</v>
          </cell>
          <cell r="J691">
            <v>0</v>
          </cell>
        </row>
        <row r="692">
          <cell r="F692">
            <v>7131386</v>
          </cell>
          <cell r="G692" t="str">
            <v>MEA Régénérants - Essentiel 2025 *sans PLV* *PRE-COMMANDE*</v>
          </cell>
          <cell r="J692">
            <v>0</v>
          </cell>
        </row>
        <row r="693">
          <cell r="F693" t="str">
            <v>AV7021381</v>
          </cell>
          <cell r="G693" t="str">
            <v>MEA Régénérants - Premium 2025</v>
          </cell>
          <cell r="J693">
            <v>0</v>
          </cell>
        </row>
        <row r="694">
          <cell r="F694">
            <v>7021381</v>
          </cell>
          <cell r="G694" t="str">
            <v>MEA Régénérants - Premium 2025 *PRÉ-COMMANDE*</v>
          </cell>
          <cell r="J694">
            <v>0</v>
          </cell>
        </row>
        <row r="695">
          <cell r="F695" t="str">
            <v>AV7021382</v>
          </cell>
          <cell r="G695" t="str">
            <v>MEA Régénérants - Premium 2025 *sans PLV*</v>
          </cell>
          <cell r="J695">
            <v>0</v>
          </cell>
        </row>
        <row r="696">
          <cell r="F696">
            <v>7021382</v>
          </cell>
          <cell r="G696" t="str">
            <v>MEA Régénérants - Premium 2025 *sans PLV* *PRÉ-COMMANDE*</v>
          </cell>
          <cell r="J696">
            <v>0</v>
          </cell>
        </row>
        <row r="697">
          <cell r="F697" t="str">
            <v>AV7131398</v>
          </cell>
          <cell r="G697" t="str">
            <v>MEA Solaires 2025</v>
          </cell>
          <cell r="J697">
            <v>0</v>
          </cell>
        </row>
        <row r="698">
          <cell r="F698">
            <v>7131398</v>
          </cell>
          <cell r="G698" t="str">
            <v>MEA Solaires 2025</v>
          </cell>
          <cell r="J698">
            <v>0</v>
          </cell>
        </row>
        <row r="699">
          <cell r="F699">
            <v>7131395</v>
          </cell>
          <cell r="G699" t="str">
            <v>MEA Édition Limitée Rose 2025</v>
          </cell>
          <cell r="J699">
            <v>22.23</v>
          </cell>
        </row>
        <row r="700">
          <cell r="F700" t="str">
            <v>AV7131395</v>
          </cell>
          <cell r="G700" t="str">
            <v>MEA Édition Limitée Rose 2025</v>
          </cell>
          <cell r="J700">
            <v>0</v>
          </cell>
        </row>
        <row r="701">
          <cell r="D701">
            <v>4020829098718</v>
          </cell>
          <cell r="F701">
            <v>1060131</v>
          </cell>
          <cell r="G701" t="str">
            <v>Mascara Précision 01 noir</v>
          </cell>
          <cell r="J701">
            <v>5.2548000000000004</v>
          </cell>
        </row>
        <row r="702">
          <cell r="D702">
            <v>4020829098725</v>
          </cell>
          <cell r="F702">
            <v>1060132</v>
          </cell>
          <cell r="G702" t="str">
            <v>Mascara Précision 02 brun</v>
          </cell>
          <cell r="J702">
            <v>5.2548000000000004</v>
          </cell>
        </row>
        <row r="703">
          <cell r="D703">
            <v>4020829043817</v>
          </cell>
          <cell r="F703">
            <v>1060113</v>
          </cell>
          <cell r="G703" t="str">
            <v>Mascara Précision 03 bleu - Dernières unités</v>
          </cell>
          <cell r="J703">
            <v>5.13</v>
          </cell>
        </row>
        <row r="704">
          <cell r="D704">
            <v>4020829099128</v>
          </cell>
          <cell r="F704">
            <v>1060121</v>
          </cell>
          <cell r="G704" t="str">
            <v>Mascara volume 01 noir</v>
          </cell>
          <cell r="J704">
            <v>5.5389999999999997</v>
          </cell>
        </row>
        <row r="705">
          <cell r="D705">
            <v>4020829099142</v>
          </cell>
          <cell r="F705">
            <v>1060122</v>
          </cell>
          <cell r="G705" t="str">
            <v>Mascara volume 02 brun</v>
          </cell>
          <cell r="J705">
            <v>5.5389999999999997</v>
          </cell>
        </row>
        <row r="706">
          <cell r="D706">
            <v>4020829043688</v>
          </cell>
          <cell r="F706">
            <v>1060102</v>
          </cell>
          <cell r="G706" t="str">
            <v>Mascara volume 02 brun - Retour Oct 23</v>
          </cell>
          <cell r="J706">
            <v>5.41</v>
          </cell>
        </row>
        <row r="707">
          <cell r="D707">
            <v>4020829007314</v>
          </cell>
          <cell r="F707">
            <v>1010709</v>
          </cell>
          <cell r="G707" t="str">
            <v>Masque Apaisant - 30 ml</v>
          </cell>
          <cell r="J707">
            <v>8.7812000000000001</v>
          </cell>
        </row>
        <row r="708">
          <cell r="D708">
            <v>4020829041356</v>
          </cell>
          <cell r="F708">
            <v>1010717</v>
          </cell>
          <cell r="G708" t="str">
            <v>Masque Crème Nourrissant - 30 ml</v>
          </cell>
          <cell r="J708">
            <v>11.3622</v>
          </cell>
        </row>
        <row r="709">
          <cell r="D709">
            <v>4020829004962</v>
          </cell>
          <cell r="F709">
            <v>1010706</v>
          </cell>
          <cell r="G709" t="str">
            <v>Masque Purifiant - 90 g</v>
          </cell>
          <cell r="J709">
            <v>7.7487999999999992</v>
          </cell>
        </row>
        <row r="710">
          <cell r="D710">
            <v>4020829007253</v>
          </cell>
          <cell r="F710">
            <v>1010710</v>
          </cell>
          <cell r="G710" t="str">
            <v>Masque Restructurant - 30 ml</v>
          </cell>
          <cell r="J710">
            <v>10.6778</v>
          </cell>
        </row>
        <row r="711">
          <cell r="D711">
            <v>4020829076235</v>
          </cell>
          <cell r="F711">
            <v>1010723</v>
          </cell>
          <cell r="G711" t="str">
            <v>Masque Revitalisant - 10 ml</v>
          </cell>
          <cell r="J711">
            <v>2.98</v>
          </cell>
        </row>
        <row r="712">
          <cell r="D712">
            <v>4020829007192</v>
          </cell>
          <cell r="F712">
            <v>1010707</v>
          </cell>
          <cell r="G712" t="str">
            <v>Masque Revitalisant - 30 ml</v>
          </cell>
          <cell r="J712">
            <v>8.7812000000000001</v>
          </cell>
        </row>
        <row r="713">
          <cell r="D713">
            <v>4020829085817</v>
          </cell>
          <cell r="F713">
            <v>1050503</v>
          </cell>
          <cell r="G713" t="str">
            <v>Masque pour le Cuir Chevelu aux Graines de Courge - 25 ml</v>
          </cell>
          <cell r="J713">
            <v>5.6491999999999996</v>
          </cell>
        </row>
        <row r="714">
          <cell r="D714">
            <v>185050699999</v>
          </cell>
          <cell r="F714">
            <v>1850506</v>
          </cell>
          <cell r="G714" t="str">
            <v>Masque pour le Cuir Chevelu aux Graines de Courge - 25 ml*DLV 09/24* - 25%*</v>
          </cell>
          <cell r="J714">
            <v>5.43</v>
          </cell>
        </row>
        <row r="715">
          <cell r="D715">
            <v>620000199999</v>
          </cell>
          <cell r="F715">
            <v>6200001</v>
          </cell>
          <cell r="G715" t="str">
            <v>Meuble Présentoir Maquillage Classique</v>
          </cell>
          <cell r="J715">
            <v>298.67</v>
          </cell>
        </row>
        <row r="716">
          <cell r="D716">
            <v>9999996200019</v>
          </cell>
          <cell r="F716">
            <v>6200019</v>
          </cell>
          <cell r="G716" t="str">
            <v xml:space="preserve">Meuble Routine Dr. Hauschka </v>
          </cell>
          <cell r="J716">
            <v>80</v>
          </cell>
        </row>
        <row r="717">
          <cell r="D717">
            <v>4020829069305</v>
          </cell>
          <cell r="F717">
            <v>4050203</v>
          </cell>
          <cell r="G717" t="str">
            <v>Miniature - Crème Potentilla Ultra-Apaisante - 3 ml</v>
          </cell>
          <cell r="J717">
            <v>0.74239999999999995</v>
          </cell>
        </row>
        <row r="718">
          <cell r="D718">
            <v>4020829005150</v>
          </cell>
          <cell r="F718">
            <v>4010101</v>
          </cell>
          <cell r="G718" t="str">
            <v>Miniature - Crème Purifiante pour le Visage - 10 ml</v>
          </cell>
          <cell r="J718">
            <v>0.79</v>
          </cell>
        </row>
        <row r="719">
          <cell r="D719">
            <v>4020829008144</v>
          </cell>
          <cell r="F719">
            <v>4010302</v>
          </cell>
          <cell r="G719" t="str">
            <v>Miniature - Crème de Jour Légère à la Rose - 5 ml</v>
          </cell>
          <cell r="J719">
            <v>1.3166</v>
          </cell>
        </row>
        <row r="720">
          <cell r="D720">
            <v>4020829039094</v>
          </cell>
          <cell r="F720">
            <v>4010320</v>
          </cell>
          <cell r="G720" t="str">
            <v>Miniature - Crème de Jour Teintée - 5 ml</v>
          </cell>
          <cell r="J720">
            <v>1.59</v>
          </cell>
        </row>
        <row r="721">
          <cell r="D721">
            <v>4020829005655</v>
          </cell>
          <cell r="F721">
            <v>4010305</v>
          </cell>
          <cell r="G721" t="str">
            <v>Miniature - Crème de Jour au Coing - 5 ml</v>
          </cell>
          <cell r="J721">
            <v>1.1367999999999998</v>
          </cell>
        </row>
        <row r="722">
          <cell r="D722">
            <v>4020829100688</v>
          </cell>
          <cell r="F722">
            <v>4010377</v>
          </cell>
          <cell r="G722" t="str">
            <v>Miniature - Crème de Jour à l'Abricot - 5 ml</v>
          </cell>
          <cell r="J722">
            <v>1.3166</v>
          </cell>
        </row>
        <row r="723">
          <cell r="D723">
            <v>4020829008939</v>
          </cell>
          <cell r="F723">
            <v>4010306</v>
          </cell>
          <cell r="G723" t="str">
            <v>Miniature - Crème de Jour à la Mélisse - 5 ml</v>
          </cell>
          <cell r="J723">
            <v>1.3166</v>
          </cell>
        </row>
        <row r="724">
          <cell r="D724">
            <v>4020829006232</v>
          </cell>
          <cell r="F724">
            <v>4010310</v>
          </cell>
          <cell r="G724" t="str">
            <v>Miniature - Crème de Jour à la Rose - 5 ml</v>
          </cell>
          <cell r="J724">
            <v>1.3166</v>
          </cell>
        </row>
        <row r="725">
          <cell r="D725">
            <v>4020829005686</v>
          </cell>
          <cell r="F725">
            <v>4030301</v>
          </cell>
          <cell r="G725" t="str">
            <v>Miniature - Crème pour les Mains - 10 ml</v>
          </cell>
          <cell r="J725">
            <v>0.87</v>
          </cell>
        </row>
        <row r="726">
          <cell r="D726">
            <v>4020829080669</v>
          </cell>
          <cell r="F726">
            <v>4010361</v>
          </cell>
          <cell r="G726" t="str">
            <v>Miniature - Fluide de Jour Equilibrant - 5 ml</v>
          </cell>
          <cell r="J726">
            <v>1.2</v>
          </cell>
        </row>
        <row r="727">
          <cell r="D727">
            <v>4020829080539</v>
          </cell>
          <cell r="F727">
            <v>4010359</v>
          </cell>
          <cell r="G727" t="str">
            <v>Miniature - Fluide de Jour Revitalisant - 5 ml</v>
          </cell>
          <cell r="J727">
            <v>1.22</v>
          </cell>
        </row>
        <row r="728">
          <cell r="D728">
            <v>4020829007932</v>
          </cell>
          <cell r="F728">
            <v>4030204</v>
          </cell>
          <cell r="G728" t="str">
            <v>Miniature - Huile de Soin Bouleau Arnica - 10 ml</v>
          </cell>
          <cell r="J728">
            <v>0.79</v>
          </cell>
        </row>
        <row r="729">
          <cell r="D729">
            <v>4020829034570</v>
          </cell>
          <cell r="F729">
            <v>4030206</v>
          </cell>
          <cell r="G729" t="str">
            <v>Miniature - Huile de Soin Moor Lavande - 10 ml</v>
          </cell>
          <cell r="J729">
            <v>0.74239999999999995</v>
          </cell>
        </row>
        <row r="730">
          <cell r="D730">
            <v>4020829007956</v>
          </cell>
          <cell r="F730">
            <v>4030202</v>
          </cell>
          <cell r="G730" t="str">
            <v>Miniature - Huile de Soin Prunelle - 10 ml</v>
          </cell>
          <cell r="J730">
            <v>0.74239999999999995</v>
          </cell>
        </row>
        <row r="731">
          <cell r="D731">
            <v>4020829007949</v>
          </cell>
          <cell r="F731">
            <v>4030201</v>
          </cell>
          <cell r="G731" t="str">
            <v>Miniature - Huile de Soin Rose - 10 ml</v>
          </cell>
          <cell r="J731">
            <v>0.74239999999999995</v>
          </cell>
        </row>
        <row r="732">
          <cell r="G732" t="str">
            <v>Miniature - Huile de Soin Rose 10 ml</v>
          </cell>
          <cell r="J732">
            <v>0</v>
          </cell>
        </row>
        <row r="733">
          <cell r="D733">
            <v>4020829006362</v>
          </cell>
          <cell r="F733">
            <v>4010307</v>
          </cell>
          <cell r="G733" t="str">
            <v>Miniature - Huile Équilibrante pour le Visage - 5 ml</v>
          </cell>
          <cell r="J733">
            <v>1.3166</v>
          </cell>
        </row>
        <row r="734">
          <cell r="D734">
            <v>9999998010102</v>
          </cell>
          <cell r="F734">
            <v>8010102</v>
          </cell>
          <cell r="G734" t="str">
            <v>Miniature - Lait Démaquillant et Nettoyant - 10 ml</v>
          </cell>
          <cell r="J734">
            <v>0.70000000000000007</v>
          </cell>
        </row>
        <row r="735">
          <cell r="D735">
            <v>4020829006034</v>
          </cell>
          <cell r="F735">
            <v>4010102</v>
          </cell>
          <cell r="G735" t="str">
            <v>Miniature - Lait Démaquillant et Nettoyant - 10 ml</v>
          </cell>
          <cell r="J735">
            <v>0.79</v>
          </cell>
        </row>
        <row r="736">
          <cell r="D736">
            <v>4020829038851</v>
          </cell>
          <cell r="F736">
            <v>4010202</v>
          </cell>
          <cell r="G736" t="str">
            <v>Miniature - Lotion Clarifiante avec spray - 10 ml</v>
          </cell>
          <cell r="J736">
            <v>1.02</v>
          </cell>
        </row>
        <row r="737">
          <cell r="D737">
            <v>4020829077089</v>
          </cell>
          <cell r="F737">
            <v>4010505</v>
          </cell>
          <cell r="G737" t="str">
            <v>Miniature - Lotion Fraîcheur pour les Yeux - 5 ml</v>
          </cell>
          <cell r="J737">
            <v>0.37</v>
          </cell>
        </row>
        <row r="738">
          <cell r="D738">
            <v>4020829038844</v>
          </cell>
          <cell r="F738">
            <v>4010201</v>
          </cell>
          <cell r="G738" t="str">
            <v>Miniature - Lotion Tonifiante avec spray - 10 ml</v>
          </cell>
          <cell r="J738">
            <v>0.95699999999999985</v>
          </cell>
        </row>
        <row r="739">
          <cell r="D739">
            <v>4020829041417</v>
          </cell>
          <cell r="F739">
            <v>4010717</v>
          </cell>
          <cell r="G739" t="str">
            <v>Miniature - Masque Crème Nourrissant - 5 ml</v>
          </cell>
          <cell r="J739">
            <v>2.2200000000000002</v>
          </cell>
        </row>
        <row r="740">
          <cell r="D740">
            <v>4020829007277</v>
          </cell>
          <cell r="F740">
            <v>4010710</v>
          </cell>
          <cell r="G740" t="str">
            <v>Miniature - Masque Restructurant - 5 ml</v>
          </cell>
          <cell r="J740">
            <v>2.0099999999999998</v>
          </cell>
        </row>
        <row r="741">
          <cell r="D741">
            <v>4020829085855</v>
          </cell>
          <cell r="F741">
            <v>4050506</v>
          </cell>
          <cell r="G741" t="str">
            <v>Miniature - Masque pour le Cuir Chevelu aux Graines de Courge - 4ml</v>
          </cell>
          <cell r="J741">
            <v>1.4</v>
          </cell>
        </row>
        <row r="742">
          <cell r="D742">
            <v>4020829101159</v>
          </cell>
          <cell r="F742">
            <v>4020717</v>
          </cell>
          <cell r="G742" t="str">
            <v>Miniature - Sérum Contour des Yeux - Régénérant Intensif 2,5ml</v>
          </cell>
          <cell r="J742">
            <v>3</v>
          </cell>
        </row>
        <row r="743">
          <cell r="D743">
            <v>4020829026681</v>
          </cell>
          <cell r="F743">
            <v>4010203</v>
          </cell>
          <cell r="G743" t="str">
            <v xml:space="preserve">Miniature - Sérum Tonifiant Nuit - 2,5 ml </v>
          </cell>
          <cell r="J743">
            <v>1.1367999999999998</v>
          </cell>
        </row>
        <row r="744">
          <cell r="D744">
            <v>4020829101166</v>
          </cell>
          <cell r="F744">
            <v>4020718</v>
          </cell>
          <cell r="G744" t="str">
            <v>Miniature - Sérum de Nuit - Régénérant Intensif 30ml 2,5ml</v>
          </cell>
          <cell r="J744">
            <v>2.15</v>
          </cell>
        </row>
        <row r="745">
          <cell r="D745">
            <v>4020829102187</v>
          </cell>
          <cell r="F745">
            <v>4061029</v>
          </cell>
          <cell r="G745" t="str">
            <v>Miniature Fluide Éclat 5 ml</v>
          </cell>
          <cell r="J745">
            <v>1.31</v>
          </cell>
        </row>
        <row r="746">
          <cell r="D746">
            <v>4020829061866</v>
          </cell>
          <cell r="F746">
            <v>4060101</v>
          </cell>
          <cell r="G746" t="str">
            <v>Miniature Mascara volume 01 Noir 3ml</v>
          </cell>
          <cell r="J746">
            <v>2.84</v>
          </cell>
        </row>
        <row r="747">
          <cell r="D747">
            <v>4020829064485</v>
          </cell>
          <cell r="F747">
            <v>992736</v>
          </cell>
          <cell r="G747" t="str">
            <v>Miroir de poche Dr. Hauschka</v>
          </cell>
          <cell r="J747">
            <v>1.72</v>
          </cell>
        </row>
        <row r="748">
          <cell r="D748">
            <v>9999999110001</v>
          </cell>
          <cell r="F748">
            <v>9110001</v>
          </cell>
          <cell r="G748" t="str">
            <v>Miroir sur pied</v>
          </cell>
          <cell r="J748">
            <v>3.7</v>
          </cell>
        </row>
        <row r="749">
          <cell r="D749">
            <v>4020829083721</v>
          </cell>
          <cell r="F749">
            <v>6200016</v>
          </cell>
          <cell r="G749" t="str">
            <v>Module Logo pour présentoir maquillage</v>
          </cell>
          <cell r="J749">
            <v>12.92</v>
          </cell>
        </row>
        <row r="750">
          <cell r="D750">
            <v>9999996200006</v>
          </cell>
          <cell r="F750">
            <v>6200006</v>
          </cell>
          <cell r="G750" t="str">
            <v>Module pinceaux</v>
          </cell>
          <cell r="J750">
            <v>48.8</v>
          </cell>
        </row>
        <row r="751">
          <cell r="D751">
            <v>4020829084070</v>
          </cell>
          <cell r="F751">
            <v>6200017</v>
          </cell>
          <cell r="G751" t="str">
            <v>Module-Conseil testeur - socle</v>
          </cell>
          <cell r="J751">
            <v>6.3</v>
          </cell>
        </row>
        <row r="752">
          <cell r="D752">
            <v>4020829103597</v>
          </cell>
          <cell r="F752">
            <v>6200020</v>
          </cell>
          <cell r="G752" t="str">
            <v>Modules Mise à Jour Maquillage</v>
          </cell>
          <cell r="J752">
            <v>184.6</v>
          </cell>
        </row>
        <row r="753">
          <cell r="D753">
            <v>9999996100080</v>
          </cell>
          <cell r="F753">
            <v>6100080</v>
          </cell>
          <cell r="G753" t="str">
            <v>Modules pour Testeurs Edition Limitée 2023</v>
          </cell>
          <cell r="J753">
            <v>10.8</v>
          </cell>
        </row>
        <row r="754">
          <cell r="D754">
            <v>4020829107458</v>
          </cell>
          <cell r="F754">
            <v>411433</v>
          </cell>
          <cell r="G754" t="str">
            <v>Mouchoirs en papier</v>
          </cell>
          <cell r="J754">
            <v>2.35</v>
          </cell>
        </row>
        <row r="755">
          <cell r="D755">
            <v>999999982022</v>
          </cell>
          <cell r="F755">
            <v>982022</v>
          </cell>
          <cell r="G755" t="str">
            <v>NOTE DE DEBOURS</v>
          </cell>
          <cell r="J755">
            <v>0</v>
          </cell>
        </row>
        <row r="756">
          <cell r="F756" t="str">
            <v>NUL1111111</v>
          </cell>
          <cell r="G756" t="str">
            <v>NUL1111111</v>
          </cell>
          <cell r="J756">
            <v>0</v>
          </cell>
        </row>
        <row r="757">
          <cell r="F757" t="str">
            <v>AV7131297</v>
          </cell>
          <cell r="G757" t="str">
            <v>OF0223 Kit Offert Essentiel - MEA OnPack Rituel 2023</v>
          </cell>
          <cell r="J757">
            <v>0</v>
          </cell>
        </row>
        <row r="758">
          <cell r="F758" t="str">
            <v>AV7131314</v>
          </cell>
          <cell r="G758" t="str">
            <v>OF0223 Kit Offert Premium - MEA OnPack Rituel 2023</v>
          </cell>
          <cell r="J758">
            <v>0</v>
          </cell>
        </row>
        <row r="759">
          <cell r="F759" t="str">
            <v>AV7131298</v>
          </cell>
          <cell r="G759" t="str">
            <v>OF0223 Kit Offert Référencement - MEA OnPack Rituel 2023</v>
          </cell>
          <cell r="J759">
            <v>0</v>
          </cell>
        </row>
        <row r="760">
          <cell r="F760">
            <v>7031259</v>
          </cell>
          <cell r="G760" t="str">
            <v>OF0322 Promotion Déodorants</v>
          </cell>
          <cell r="J760">
            <v>8.52</v>
          </cell>
        </row>
        <row r="761">
          <cell r="F761" t="str">
            <v>AV7031259</v>
          </cell>
          <cell r="G761" t="str">
            <v>OF0323 Promotion Déodorants</v>
          </cell>
          <cell r="J761">
            <v>0</v>
          </cell>
        </row>
        <row r="762">
          <cell r="F762" t="str">
            <v>AV7131300</v>
          </cell>
          <cell r="G762" t="str">
            <v>OF0423 Essentiel - MEA Partenariat Kenya Édition Limitée 2023</v>
          </cell>
          <cell r="J762">
            <v>0</v>
          </cell>
        </row>
        <row r="763">
          <cell r="F763" t="str">
            <v>AV7131299</v>
          </cell>
          <cell r="G763" t="str">
            <v>OF0423 Premium - MEA Partenariat Kenya Édition Limitée 2023</v>
          </cell>
          <cell r="J763">
            <v>0</v>
          </cell>
        </row>
        <row r="764">
          <cell r="F764" t="str">
            <v>AV7031290</v>
          </cell>
          <cell r="G764" t="str">
            <v>OF1122 - Offre Alice in Food pour Dr. Hauschka - Dès 10 unités</v>
          </cell>
          <cell r="J764">
            <v>0</v>
          </cell>
        </row>
        <row r="765">
          <cell r="F765" t="str">
            <v>AV7031289</v>
          </cell>
          <cell r="G765" t="str">
            <v>OF1122 - Offre Alice in Food pour Dr. Hauschka - Dès 15 unités</v>
          </cell>
          <cell r="J765">
            <v>0</v>
          </cell>
        </row>
        <row r="766">
          <cell r="F766">
            <v>7041390</v>
          </cell>
          <cell r="G766" t="str">
            <v>OP Bains</v>
          </cell>
          <cell r="J766">
            <v>5.03</v>
          </cell>
        </row>
        <row r="767">
          <cell r="F767" t="str">
            <v>AV7041390</v>
          </cell>
          <cell r="G767" t="str">
            <v>OP Bains</v>
          </cell>
          <cell r="J767">
            <v>0</v>
          </cell>
        </row>
        <row r="768">
          <cell r="F768" t="str">
            <v>AV7131344</v>
          </cell>
          <cell r="G768" t="str">
            <v>OPCA 1 Noël 2023</v>
          </cell>
          <cell r="J768">
            <v>0</v>
          </cell>
        </row>
        <row r="769">
          <cell r="F769" t="str">
            <v>AV7131345</v>
          </cell>
          <cell r="G769" t="str">
            <v>OPCA 2 Noël 2023</v>
          </cell>
          <cell r="J769">
            <v>0</v>
          </cell>
        </row>
        <row r="770">
          <cell r="F770" t="str">
            <v>AV7031394</v>
          </cell>
          <cell r="G770" t="str">
            <v>OPCA Institut Fête des Mères 2025 - 600€</v>
          </cell>
          <cell r="J770">
            <v>0</v>
          </cell>
        </row>
        <row r="771">
          <cell r="F771">
            <v>7031394</v>
          </cell>
          <cell r="G771" t="str">
            <v>OPCA Institut Fête des Mères 2025 - 600€</v>
          </cell>
          <cell r="J771">
            <v>50.8</v>
          </cell>
        </row>
        <row r="772">
          <cell r="F772" t="str">
            <v>AV7031393</v>
          </cell>
          <cell r="G772" t="str">
            <v>OPCA Institut St Valentin 2025 - 500€</v>
          </cell>
          <cell r="J772">
            <v>0</v>
          </cell>
        </row>
        <row r="773">
          <cell r="F773">
            <v>7031393</v>
          </cell>
          <cell r="G773" t="str">
            <v>OPCA Institut St Valentin 2025 - 500€</v>
          </cell>
          <cell r="J773">
            <v>25.4</v>
          </cell>
        </row>
        <row r="774">
          <cell r="F774">
            <v>7031290</v>
          </cell>
          <cell r="G774" t="str">
            <v>Offre Alice in Food pour Dr. Hauschka - Dès 10 unités</v>
          </cell>
          <cell r="J774">
            <v>41.39</v>
          </cell>
        </row>
        <row r="775">
          <cell r="F775">
            <v>7031302</v>
          </cell>
          <cell r="G775" t="str">
            <v>Offre Alice in Food pour Dr. Hauschka - Dès 10 unités sans PLV</v>
          </cell>
          <cell r="J775">
            <v>41.39</v>
          </cell>
        </row>
        <row r="776">
          <cell r="F776">
            <v>7031289</v>
          </cell>
          <cell r="G776" t="str">
            <v>Offre Alice in Food pour Dr. Hauschka - Dès 15 unités</v>
          </cell>
          <cell r="J776">
            <v>54.64</v>
          </cell>
        </row>
        <row r="777">
          <cell r="F777">
            <v>7031301</v>
          </cell>
          <cell r="G777" t="str">
            <v>Offre Alice in Food pour Dr. Hauschka - Dès 15 unités sans PLV</v>
          </cell>
          <cell r="J777">
            <v>32.94</v>
          </cell>
        </row>
        <row r="778">
          <cell r="D778" t="str">
            <v>999999OFF-30</v>
          </cell>
          <cell r="F778" t="str">
            <v>OFF-30</v>
          </cell>
          <cell r="G778" t="str">
            <v>Offre Anniversaire 50 ans 2017</v>
          </cell>
          <cell r="J778">
            <v>0</v>
          </cell>
        </row>
        <row r="779">
          <cell r="D779" t="str">
            <v>999999OFF-20</v>
          </cell>
          <cell r="F779" t="str">
            <v>OFF-20</v>
          </cell>
          <cell r="G779" t="str">
            <v>Offre Anniversaire Crème Mains 2017</v>
          </cell>
          <cell r="J779">
            <v>0</v>
          </cell>
        </row>
        <row r="780">
          <cell r="D780" t="str">
            <v>999999OFF-29</v>
          </cell>
          <cell r="F780" t="str">
            <v>OFF-29</v>
          </cell>
          <cell r="G780" t="str">
            <v>Offre Bain Caprice des Saisons 2017</v>
          </cell>
          <cell r="J780">
            <v>0</v>
          </cell>
        </row>
        <row r="781">
          <cell r="D781" t="str">
            <v>999999OFF-41</v>
          </cell>
          <cell r="F781" t="str">
            <v>OFF-41</v>
          </cell>
          <cell r="G781" t="str">
            <v>Offre Bain Caprices des Saisons 2018</v>
          </cell>
          <cell r="J781">
            <v>0</v>
          </cell>
        </row>
        <row r="782">
          <cell r="D782" t="str">
            <v>999999OFF-42</v>
          </cell>
          <cell r="F782" t="str">
            <v>OFF-42</v>
          </cell>
          <cell r="G782" t="str">
            <v>Offre Bain de Bouche 2018</v>
          </cell>
          <cell r="J782">
            <v>0</v>
          </cell>
        </row>
        <row r="783">
          <cell r="D783" t="str">
            <v>999999OFF-23</v>
          </cell>
          <cell r="F783" t="str">
            <v>OFF-23</v>
          </cell>
          <cell r="G783" t="str">
            <v>Offre Bain de Bouche à la Sauge 100 ml 2017</v>
          </cell>
          <cell r="J783">
            <v>0</v>
          </cell>
        </row>
        <row r="784">
          <cell r="D784" t="str">
            <v>999999OFF-12</v>
          </cell>
          <cell r="F784" t="str">
            <v>OFF-12</v>
          </cell>
          <cell r="G784" t="str">
            <v>Offre Calendrier de l’Avent 2016</v>
          </cell>
          <cell r="J784">
            <v>0</v>
          </cell>
        </row>
        <row r="785">
          <cell r="D785" t="str">
            <v>999999OFF-34</v>
          </cell>
          <cell r="F785" t="str">
            <v>OFF-34</v>
          </cell>
          <cell r="G785" t="str">
            <v>Offre Calendrier de l’Avent 2017</v>
          </cell>
          <cell r="J785">
            <v>0</v>
          </cell>
        </row>
        <row r="786">
          <cell r="D786" t="str">
            <v>999999OFF-35</v>
          </cell>
          <cell r="F786" t="str">
            <v>OFF-35</v>
          </cell>
          <cell r="G786" t="str">
            <v>Offre Coffrets Noël 2017</v>
          </cell>
          <cell r="J786">
            <v>0</v>
          </cell>
        </row>
        <row r="787">
          <cell r="D787" t="str">
            <v>999999OFF-28</v>
          </cell>
          <cell r="F787" t="str">
            <v>OFF-28</v>
          </cell>
          <cell r="G787" t="str">
            <v>Offre Coing 2017</v>
          </cell>
          <cell r="J787">
            <v>0</v>
          </cell>
        </row>
        <row r="788">
          <cell r="D788" t="str">
            <v>999999OFF-08</v>
          </cell>
          <cell r="F788" t="str">
            <v>OFF-08</v>
          </cell>
          <cell r="G788" t="str">
            <v>Offre Crayon Kajal vert 2016</v>
          </cell>
          <cell r="J788">
            <v>0</v>
          </cell>
        </row>
        <row r="789">
          <cell r="D789" t="str">
            <v>999999OFF-47</v>
          </cell>
          <cell r="F789" t="str">
            <v>OFF-47</v>
          </cell>
          <cell r="G789" t="str">
            <v>Offre Crème de Jour Régénérante Eclat du Teint 2018</v>
          </cell>
          <cell r="J789">
            <v>0</v>
          </cell>
        </row>
        <row r="790">
          <cell r="D790" t="str">
            <v>999999OFF-04</v>
          </cell>
          <cell r="F790" t="str">
            <v>OFF-04</v>
          </cell>
          <cell r="G790" t="str">
            <v>Offre Crème de jour teintée 2016</v>
          </cell>
          <cell r="J790">
            <v>0</v>
          </cell>
        </row>
        <row r="791">
          <cell r="D791" t="str">
            <v>999999OFF-27</v>
          </cell>
          <cell r="F791" t="str">
            <v>OFF-27</v>
          </cell>
          <cell r="G791" t="str">
            <v>Offre Crème pour les Mains Régénérante 2017</v>
          </cell>
          <cell r="J791">
            <v>0</v>
          </cell>
        </row>
        <row r="792">
          <cell r="D792" t="str">
            <v>999999OFF-05</v>
          </cell>
          <cell r="F792" t="str">
            <v>OFF-05</v>
          </cell>
          <cell r="G792" t="str">
            <v>Offre Crème pour les mains 2016</v>
          </cell>
          <cell r="J792">
            <v>0</v>
          </cell>
        </row>
        <row r="793">
          <cell r="D793" t="str">
            <v>999999OFF-60</v>
          </cell>
          <cell r="F793" t="str">
            <v>OFF-60</v>
          </cell>
          <cell r="G793" t="str">
            <v>Offre Douceur des Yeux 2019</v>
          </cell>
          <cell r="J793">
            <v>0</v>
          </cell>
        </row>
        <row r="794">
          <cell r="D794" t="str">
            <v>999999OFF-50</v>
          </cell>
          <cell r="F794" t="str">
            <v>OFF-50</v>
          </cell>
          <cell r="G794" t="str">
            <v>Offre Dr. Hauschka Med Peau 2018</v>
          </cell>
          <cell r="J794">
            <v>0</v>
          </cell>
        </row>
        <row r="795">
          <cell r="D795" t="str">
            <v>999999OFF-07</v>
          </cell>
          <cell r="F795" t="str">
            <v>OFF-07</v>
          </cell>
          <cell r="G795" t="str">
            <v>Offre Duo Corps Citron Citronnelle 2016</v>
          </cell>
          <cell r="J795">
            <v>0</v>
          </cell>
        </row>
        <row r="796">
          <cell r="D796" t="str">
            <v>999999OFF-51</v>
          </cell>
          <cell r="F796" t="str">
            <v>OFF-51</v>
          </cell>
          <cell r="G796" t="str">
            <v>Offre Démaquillant pour les Yeux 2019</v>
          </cell>
          <cell r="J796">
            <v>0</v>
          </cell>
        </row>
        <row r="797">
          <cell r="D797" t="str">
            <v>999999OFF-21</v>
          </cell>
          <cell r="F797" t="str">
            <v>OFF-21</v>
          </cell>
          <cell r="G797" t="str">
            <v>Offre Déodorant 2017</v>
          </cell>
          <cell r="J797">
            <v>0</v>
          </cell>
        </row>
        <row r="798">
          <cell r="D798" t="str">
            <v>999999OFF-44</v>
          </cell>
          <cell r="F798" t="str">
            <v>OFF-44</v>
          </cell>
          <cell r="G798" t="str">
            <v>Offre Focus Rose 2018</v>
          </cell>
          <cell r="J798">
            <v>0</v>
          </cell>
        </row>
        <row r="799">
          <cell r="D799" t="str">
            <v>999999OFF-22</v>
          </cell>
          <cell r="F799" t="str">
            <v>OFF-22</v>
          </cell>
          <cell r="G799" t="str">
            <v>Offre Institut Soins Rose et Crème Mains taille voyage 2017</v>
          </cell>
          <cell r="J799">
            <v>0</v>
          </cell>
        </row>
        <row r="800">
          <cell r="D800" t="str">
            <v>999999OFF-40</v>
          </cell>
          <cell r="F800" t="str">
            <v>OFF-40</v>
          </cell>
          <cell r="G800" t="str">
            <v>Offre Kit Mère-Enfant 2018</v>
          </cell>
          <cell r="J800">
            <v>0</v>
          </cell>
        </row>
        <row r="801">
          <cell r="D801" t="str">
            <v>999999OFF-32</v>
          </cell>
          <cell r="F801" t="str">
            <v>OFF-32</v>
          </cell>
          <cell r="G801" t="str">
            <v>Offre Kit Soin Corps Régénérant 2017</v>
          </cell>
          <cell r="J801">
            <v>0</v>
          </cell>
        </row>
        <row r="802">
          <cell r="D802" t="str">
            <v>999999OFF-31</v>
          </cell>
          <cell r="F802" t="str">
            <v>OFF-31</v>
          </cell>
          <cell r="G802" t="str">
            <v>Offre Kit Soins des Mains 2017</v>
          </cell>
          <cell r="J802">
            <v>0</v>
          </cell>
        </row>
        <row r="803">
          <cell r="D803" t="str">
            <v>999999OFF-09</v>
          </cell>
          <cell r="F803" t="str">
            <v>OFF-09</v>
          </cell>
          <cell r="G803" t="str">
            <v>Offre Lait Crème pour le Corps Rose 2016</v>
          </cell>
          <cell r="J803">
            <v>0</v>
          </cell>
        </row>
        <row r="804">
          <cell r="F804" t="str">
            <v>AV7131243</v>
          </cell>
          <cell r="G804" t="str">
            <v>Offre Le temps d'une pause par 2 - remise 5%</v>
          </cell>
          <cell r="J804">
            <v>0</v>
          </cell>
        </row>
        <row r="805">
          <cell r="F805" t="str">
            <v>AV7131242</v>
          </cell>
          <cell r="G805" t="str">
            <v>Offre Le temps d'une pause par 4 - remise 10%</v>
          </cell>
          <cell r="J805">
            <v>0</v>
          </cell>
        </row>
        <row r="806">
          <cell r="D806" t="str">
            <v>999999OFF-03</v>
          </cell>
          <cell r="F806" t="str">
            <v>OFF-03</v>
          </cell>
          <cell r="G806" t="str">
            <v>Offre Maquillage Welcome-back 09-2016</v>
          </cell>
          <cell r="J806">
            <v>0</v>
          </cell>
        </row>
        <row r="807">
          <cell r="D807" t="str">
            <v>999999OFF-16</v>
          </cell>
          <cell r="F807" t="str">
            <v>OFF-16</v>
          </cell>
          <cell r="G807" t="str">
            <v>Offre Masque Crème Nourrissant 2016</v>
          </cell>
          <cell r="J807">
            <v>0</v>
          </cell>
        </row>
        <row r="808">
          <cell r="D808" t="str">
            <v>999999OFF-33</v>
          </cell>
          <cell r="F808" t="str">
            <v>OFF-33</v>
          </cell>
          <cell r="G808" t="str">
            <v>Offre Med Peau 2017</v>
          </cell>
          <cell r="J808">
            <v>0</v>
          </cell>
        </row>
        <row r="809">
          <cell r="D809" t="str">
            <v>999999OFF-59</v>
          </cell>
          <cell r="F809" t="str">
            <v>OFF-59</v>
          </cell>
          <cell r="G809" t="str">
            <v>Offre Med dents voyage 2019</v>
          </cell>
          <cell r="J809">
            <v>0</v>
          </cell>
        </row>
        <row r="810">
          <cell r="D810" t="str">
            <v>999999OFF-10</v>
          </cell>
          <cell r="F810" t="str">
            <v>OFF-10</v>
          </cell>
          <cell r="G810" t="str">
            <v>Offre Merveilleux Come-back 2016</v>
          </cell>
          <cell r="J810">
            <v>0</v>
          </cell>
        </row>
        <row r="811">
          <cell r="D811" t="str">
            <v>999999OFF-45</v>
          </cell>
          <cell r="F811" t="str">
            <v>OFF-45</v>
          </cell>
          <cell r="G811" t="str">
            <v>Offre Nouveaux Kits 2018</v>
          </cell>
          <cell r="J811">
            <v>0</v>
          </cell>
        </row>
        <row r="812">
          <cell r="D812" t="str">
            <v>999999OFF-14</v>
          </cell>
          <cell r="F812" t="str">
            <v>OFF-14</v>
          </cell>
          <cell r="G812" t="str">
            <v>Offre Noël 2016</v>
          </cell>
          <cell r="J812">
            <v>0</v>
          </cell>
        </row>
        <row r="813">
          <cell r="D813">
            <v>3770026497012</v>
          </cell>
          <cell r="F813">
            <v>7131361</v>
          </cell>
          <cell r="G813" t="str">
            <v>Offre On Pack Soins de Jour 2024</v>
          </cell>
          <cell r="J813">
            <v>132.57</v>
          </cell>
        </row>
        <row r="814">
          <cell r="F814" t="str">
            <v>AV7131361</v>
          </cell>
          <cell r="G814" t="str">
            <v>Offre On Pack Soins de Jour 2024</v>
          </cell>
          <cell r="J814">
            <v>0</v>
          </cell>
        </row>
        <row r="815">
          <cell r="F815" t="str">
            <v>TESTNINH7021226</v>
          </cell>
          <cell r="G815" t="str">
            <v>Offre OnPack Régénérants - Présentoir</v>
          </cell>
          <cell r="J815">
            <v>261.06</v>
          </cell>
        </row>
        <row r="816">
          <cell r="F816" t="str">
            <v>AV7131307</v>
          </cell>
          <cell r="G816" t="str">
            <v>Offre Premium - MEA Partenariat Kenya Édition Limitée 2023 sans PLV</v>
          </cell>
          <cell r="J816">
            <v>0</v>
          </cell>
        </row>
        <row r="817">
          <cell r="D817" t="str">
            <v>999999OFF-54</v>
          </cell>
          <cell r="F817" t="str">
            <v>OFF-54</v>
          </cell>
          <cell r="G817" t="str">
            <v>Offre Promotionnelle Herbier 2019</v>
          </cell>
          <cell r="J817">
            <v>0</v>
          </cell>
        </row>
        <row r="818">
          <cell r="D818" t="str">
            <v>999999OFF-58</v>
          </cell>
          <cell r="F818" t="str">
            <v>OFF-58</v>
          </cell>
          <cell r="G818" t="str">
            <v>Offre Refresh 2019</v>
          </cell>
          <cell r="J818">
            <v>0</v>
          </cell>
        </row>
        <row r="819">
          <cell r="D819">
            <v>3770026497128</v>
          </cell>
          <cell r="F819">
            <v>7131285</v>
          </cell>
          <cell r="G819" t="str">
            <v>Offre Rituel Pure clarté - offre 1 DH3085</v>
          </cell>
          <cell r="J819">
            <v>114.88</v>
          </cell>
        </row>
        <row r="820">
          <cell r="D820">
            <v>3770026497135</v>
          </cell>
          <cell r="F820">
            <v>7131286</v>
          </cell>
          <cell r="G820" t="str">
            <v>Offre Rituel Pure clarté - offre 2 DH3086</v>
          </cell>
          <cell r="J820">
            <v>189.67</v>
          </cell>
        </row>
        <row r="821">
          <cell r="F821" t="str">
            <v>TMP000179</v>
          </cell>
          <cell r="G821" t="str">
            <v>Offre Routine Soins de Jour et de Nuit</v>
          </cell>
          <cell r="J821">
            <v>342.23</v>
          </cell>
        </row>
        <row r="822">
          <cell r="D822" t="str">
            <v>999999OFF-11</v>
          </cell>
          <cell r="F822" t="str">
            <v>OFF-11</v>
          </cell>
          <cell r="G822" t="str">
            <v>Offre Soin de Jour 2016</v>
          </cell>
          <cell r="J822">
            <v>0</v>
          </cell>
        </row>
        <row r="823">
          <cell r="D823" t="str">
            <v>999999OFF-48</v>
          </cell>
          <cell r="F823" t="str">
            <v>OFF-48</v>
          </cell>
          <cell r="G823" t="str">
            <v>Offre Soin des Mains 2018</v>
          </cell>
          <cell r="J823">
            <v>0</v>
          </cell>
        </row>
        <row r="824">
          <cell r="D824" t="str">
            <v>999999OFF-61</v>
          </cell>
          <cell r="F824" t="str">
            <v>OFF-61</v>
          </cell>
          <cell r="G824" t="str">
            <v>Offre Soin du Cheveu 2020</v>
          </cell>
          <cell r="J824">
            <v>0</v>
          </cell>
        </row>
        <row r="825">
          <cell r="D825" t="str">
            <v>999999OFF-46</v>
          </cell>
          <cell r="F825" t="str">
            <v>OFF-46</v>
          </cell>
          <cell r="G825" t="str">
            <v>Offre Soins Bonne Mine 2018</v>
          </cell>
          <cell r="J825">
            <v>0</v>
          </cell>
        </row>
        <row r="826">
          <cell r="D826" t="str">
            <v>999999OFF-57</v>
          </cell>
          <cell r="F826" t="str">
            <v>OFF-57</v>
          </cell>
          <cell r="G826" t="str">
            <v>Offre Soins Régénérants Visage 2019</v>
          </cell>
          <cell r="J826">
            <v>0</v>
          </cell>
        </row>
        <row r="827">
          <cell r="D827" t="str">
            <v>999999OFF-19</v>
          </cell>
          <cell r="F827" t="str">
            <v>OFF-19</v>
          </cell>
          <cell r="G827" t="str">
            <v>Offre Soins de Jour 2017</v>
          </cell>
          <cell r="J827">
            <v>0</v>
          </cell>
        </row>
        <row r="828">
          <cell r="D828" t="str">
            <v>999999OFF-24</v>
          </cell>
          <cell r="F828" t="str">
            <v>OFF-24</v>
          </cell>
          <cell r="G828" t="str">
            <v>Offre Soins de Nuit 2017</v>
          </cell>
          <cell r="J828">
            <v>0</v>
          </cell>
        </row>
        <row r="829">
          <cell r="D829" t="str">
            <v>999999OFF-37</v>
          </cell>
          <cell r="F829" t="str">
            <v>OFF-37</v>
          </cell>
          <cell r="G829" t="str">
            <v>Offre Soins de jour 2018</v>
          </cell>
          <cell r="J829">
            <v>0</v>
          </cell>
        </row>
        <row r="830">
          <cell r="D830" t="str">
            <v>999999OFF-62</v>
          </cell>
          <cell r="F830" t="str">
            <v>OFF-62</v>
          </cell>
          <cell r="G830" t="str">
            <v>Offre Soins régénérants intensifs 2019</v>
          </cell>
          <cell r="J830">
            <v>0</v>
          </cell>
        </row>
        <row r="831">
          <cell r="D831" t="str">
            <v>999999OFF-18</v>
          </cell>
          <cell r="F831" t="str">
            <v>OFF-18</v>
          </cell>
          <cell r="G831" t="str">
            <v>Offre Trio Lavande Guimauve 2016</v>
          </cell>
          <cell r="J831">
            <v>0</v>
          </cell>
        </row>
        <row r="832">
          <cell r="D832" t="str">
            <v>999999OFF-26</v>
          </cell>
          <cell r="F832" t="str">
            <v>OFF-26</v>
          </cell>
          <cell r="G832" t="str">
            <v>Offre Trousse Rituel Beauté 2017</v>
          </cell>
          <cell r="J832">
            <v>0</v>
          </cell>
        </row>
        <row r="833">
          <cell r="D833" t="str">
            <v>999999OFF-02</v>
          </cell>
          <cell r="F833" t="str">
            <v>OFF-02</v>
          </cell>
          <cell r="G833" t="str">
            <v>Offre Trousse mes indispensables maquillage 2016</v>
          </cell>
          <cell r="J833">
            <v>0</v>
          </cell>
        </row>
        <row r="834">
          <cell r="D834" t="str">
            <v>999999OFF-01</v>
          </cell>
          <cell r="F834" t="str">
            <v>OFF-01</v>
          </cell>
          <cell r="G834" t="str">
            <v>Offre Trousses Soin Visage 2016</v>
          </cell>
          <cell r="J834">
            <v>0</v>
          </cell>
        </row>
        <row r="835">
          <cell r="D835" t="str">
            <v>999999OFF-17</v>
          </cell>
          <cell r="F835" t="str">
            <v>OFF-17</v>
          </cell>
          <cell r="G835" t="str">
            <v>Offre Vitrine Dr. Hauschka Med 2016</v>
          </cell>
          <cell r="J835">
            <v>0</v>
          </cell>
        </row>
        <row r="836">
          <cell r="D836" t="str">
            <v>999999OFF-56</v>
          </cell>
          <cell r="F836" t="str">
            <v>OFF-56</v>
          </cell>
          <cell r="G836" t="str">
            <v>Offre Voyage exclusive institut 2019</v>
          </cell>
          <cell r="J836">
            <v>0</v>
          </cell>
        </row>
        <row r="837">
          <cell r="D837">
            <v>3770026497142</v>
          </cell>
          <cell r="F837">
            <v>7131287</v>
          </cell>
          <cell r="G837" t="str">
            <v>Offre autour de la Rose - offre 1</v>
          </cell>
          <cell r="J837">
            <v>100.65</v>
          </cell>
        </row>
        <row r="838">
          <cell r="D838">
            <v>3770026497159</v>
          </cell>
          <cell r="F838">
            <v>7131288</v>
          </cell>
          <cell r="G838" t="str">
            <v>Offre autour de la Rose - offre 2</v>
          </cell>
          <cell r="J838">
            <v>159.19</v>
          </cell>
        </row>
        <row r="839">
          <cell r="F839">
            <v>7131389</v>
          </cell>
          <cell r="G839" t="str">
            <v>Offre contre achat - Exclusif Institut 1000€</v>
          </cell>
          <cell r="J839">
            <v>81.570000000000007</v>
          </cell>
        </row>
        <row r="840">
          <cell r="F840" t="str">
            <v>AV7131371</v>
          </cell>
          <cell r="G840" t="str">
            <v>Offre contre achat - Exclusif Institut 1000€</v>
          </cell>
          <cell r="J840">
            <v>0</v>
          </cell>
        </row>
        <row r="841">
          <cell r="F841">
            <v>7131371</v>
          </cell>
          <cell r="G841" t="str">
            <v>Offre contre achat - Exclusif Institut 1000€</v>
          </cell>
          <cell r="J841">
            <v>84.06</v>
          </cell>
        </row>
        <row r="842">
          <cell r="F842" t="str">
            <v>AV7131389</v>
          </cell>
          <cell r="G842" t="str">
            <v>Offre contre achat - Exclusif Institut 1000€ V2</v>
          </cell>
          <cell r="J842">
            <v>0</v>
          </cell>
        </row>
        <row r="843">
          <cell r="F843" t="str">
            <v>AV7131372</v>
          </cell>
          <cell r="G843" t="str">
            <v>Offre contre achat - Exclusif Institut 500€</v>
          </cell>
          <cell r="J843">
            <v>0</v>
          </cell>
        </row>
        <row r="844">
          <cell r="F844">
            <v>7131372</v>
          </cell>
          <cell r="G844" t="str">
            <v>Offre contre achat - Exclusif Institut 500€</v>
          </cell>
          <cell r="J844">
            <v>27.19</v>
          </cell>
        </row>
        <row r="845">
          <cell r="F845" t="str">
            <v>AV7131388</v>
          </cell>
          <cell r="G845" t="str">
            <v>Offre contre achat - Exclusif Institut 500€ V2</v>
          </cell>
          <cell r="J845">
            <v>0</v>
          </cell>
        </row>
        <row r="846">
          <cell r="F846">
            <v>7131388</v>
          </cell>
          <cell r="G846" t="str">
            <v>Offre contre achat - Exclusif Institut 500€ V2</v>
          </cell>
          <cell r="J846">
            <v>27.19</v>
          </cell>
        </row>
        <row r="847">
          <cell r="F847">
            <v>7131392</v>
          </cell>
          <cell r="G847" t="str">
            <v>Offre contre achat Noël 2024 - 1000€</v>
          </cell>
          <cell r="J847">
            <v>26.75</v>
          </cell>
        </row>
        <row r="848">
          <cell r="F848" t="str">
            <v>AV7131392</v>
          </cell>
          <cell r="G848" t="str">
            <v>Offre contre achat Noël 2024 - 1000€</v>
          </cell>
          <cell r="J848">
            <v>0</v>
          </cell>
        </row>
        <row r="849">
          <cell r="F849">
            <v>7131391</v>
          </cell>
          <cell r="G849" t="str">
            <v>Offre contre achat Noël 2024 - 500€</v>
          </cell>
          <cell r="J849">
            <v>10.55</v>
          </cell>
        </row>
        <row r="850">
          <cell r="F850" t="str">
            <v>AV7131391</v>
          </cell>
          <cell r="G850" t="str">
            <v>Offre contre achat Noël 2024 - 500€</v>
          </cell>
          <cell r="J850">
            <v>0</v>
          </cell>
        </row>
        <row r="851">
          <cell r="G851" t="str">
            <v>Offre contre achat Noël 2024 - Exclusif retail 500€</v>
          </cell>
          <cell r="J851">
            <v>0</v>
          </cell>
        </row>
        <row r="852">
          <cell r="D852" t="str">
            <v>999999OFF-25</v>
          </cell>
          <cell r="F852" t="str">
            <v>OFF-25</v>
          </cell>
          <cell r="G852" t="str">
            <v>Offre d'implantation Pinceaux 2017</v>
          </cell>
          <cell r="J852">
            <v>0</v>
          </cell>
        </row>
        <row r="853">
          <cell r="D853" t="str">
            <v>999999OFF-55</v>
          </cell>
          <cell r="F853" t="str">
            <v>OFF-55</v>
          </cell>
          <cell r="G853" t="str">
            <v>Offre de lancement Crème Douche 2019</v>
          </cell>
          <cell r="J853">
            <v>0</v>
          </cell>
        </row>
        <row r="854">
          <cell r="D854" t="str">
            <v>999999OFF-52</v>
          </cell>
          <cell r="F854" t="str">
            <v>OFF-52</v>
          </cell>
          <cell r="G854" t="str">
            <v>Offre de lancement Deep Infinity 2018</v>
          </cell>
          <cell r="J854">
            <v>0</v>
          </cell>
        </row>
        <row r="855">
          <cell r="D855" t="str">
            <v>999999OFF-39</v>
          </cell>
          <cell r="F855" t="str">
            <v>OFF-39</v>
          </cell>
          <cell r="G855" t="str">
            <v>Offre de lancement Eyeliners 2018</v>
          </cell>
          <cell r="J855">
            <v>0</v>
          </cell>
        </row>
        <row r="856">
          <cell r="D856" t="str">
            <v>999999OFF-49</v>
          </cell>
          <cell r="F856" t="str">
            <v>OFF-49</v>
          </cell>
          <cell r="G856" t="str">
            <v>Offre de lancement Gloss 00 2018</v>
          </cell>
          <cell r="J856">
            <v>0</v>
          </cell>
        </row>
        <row r="857">
          <cell r="D857" t="str">
            <v>999999OFF-53</v>
          </cell>
          <cell r="F857" t="str">
            <v>OFF-53</v>
          </cell>
          <cell r="G857" t="str">
            <v>Offre de lancement High Spirits 2019</v>
          </cell>
          <cell r="J857">
            <v>0</v>
          </cell>
        </row>
        <row r="858">
          <cell r="D858">
            <v>9999997061201</v>
          </cell>
          <cell r="F858">
            <v>7061201</v>
          </cell>
          <cell r="G858" t="str">
            <v>Offre de référencement pinceaux</v>
          </cell>
          <cell r="J858">
            <v>116.3</v>
          </cell>
        </row>
        <row r="859">
          <cell r="D859" t="str">
            <v>999999OFF-15</v>
          </cell>
          <cell r="F859" t="str">
            <v>OFF-15</v>
          </cell>
          <cell r="G859" t="str">
            <v>Offre exclusive Instituts Huiles de Soin 2016</v>
          </cell>
          <cell r="J859">
            <v>0</v>
          </cell>
        </row>
        <row r="860">
          <cell r="F860" t="str">
            <v>AV7131350</v>
          </cell>
          <cell r="G860" t="str">
            <v>Offre inter comptoir - MEA Rituels Pureté 2024</v>
          </cell>
          <cell r="J860">
            <v>0</v>
          </cell>
        </row>
        <row r="861">
          <cell r="F861">
            <v>7131350</v>
          </cell>
          <cell r="G861" t="str">
            <v>Offre inter comptoir - MEA Rituels Pureté 2024</v>
          </cell>
          <cell r="J861">
            <v>29.25</v>
          </cell>
        </row>
        <row r="862">
          <cell r="F862">
            <v>7131351</v>
          </cell>
          <cell r="G862" t="str">
            <v>Offre linéaire - MEA Rituels Pureté 2024</v>
          </cell>
          <cell r="J862">
            <v>5.95</v>
          </cell>
        </row>
        <row r="863">
          <cell r="F863" t="str">
            <v>AV7131351</v>
          </cell>
          <cell r="G863" t="str">
            <v>Offre linéaire - MEA Rituels Pureté 2024</v>
          </cell>
          <cell r="J863">
            <v>0</v>
          </cell>
        </row>
        <row r="864">
          <cell r="D864" t="str">
            <v>9999INFO1</v>
          </cell>
          <cell r="F864" t="str">
            <v>INFO1</v>
          </cell>
          <cell r="G864" t="str">
            <v>Offre marketing - Nom de l'offre à compléter</v>
          </cell>
          <cell r="J864">
            <v>0</v>
          </cell>
        </row>
        <row r="865">
          <cell r="D865" t="str">
            <v>999999OFF-13</v>
          </cell>
          <cell r="F865" t="str">
            <v>OFF-13</v>
          </cell>
          <cell r="G865" t="str">
            <v>Offre promo Soins Régénérants 2016</v>
          </cell>
          <cell r="J865">
            <v>0</v>
          </cell>
        </row>
        <row r="866">
          <cell r="F866" t="str">
            <v>AV7061397</v>
          </cell>
          <cell r="G866" t="str">
            <v>Offre référencement Baumes Stick Lèvres et Joues</v>
          </cell>
          <cell r="J866">
            <v>0</v>
          </cell>
        </row>
        <row r="867">
          <cell r="F867">
            <v>7061397</v>
          </cell>
          <cell r="G867" t="str">
            <v>Offre référencement Baumes Stick Lèvres et Joues</v>
          </cell>
          <cell r="J867">
            <v>15.37</v>
          </cell>
        </row>
        <row r="868">
          <cell r="F868" t="str">
            <v>AV7131399</v>
          </cell>
          <cell r="G868" t="str">
            <v>Offre référencement Crème Solaire pour le Visage Teintée SPF30</v>
          </cell>
          <cell r="J868">
            <v>0</v>
          </cell>
        </row>
        <row r="869">
          <cell r="F869">
            <v>7131399</v>
          </cell>
          <cell r="G869" t="str">
            <v>Offre référencement Crème Solaire pour le Visage Teintée SPF30</v>
          </cell>
          <cell r="J869">
            <v>5.88</v>
          </cell>
        </row>
        <row r="870">
          <cell r="D870" t="str">
            <v>999999OFF-06</v>
          </cell>
          <cell r="F870" t="str">
            <v>OFF-06</v>
          </cell>
          <cell r="G870" t="str">
            <v>Offres Crème de Jour à la Mélisse 2016</v>
          </cell>
          <cell r="J870">
            <v>0</v>
          </cell>
        </row>
        <row r="871">
          <cell r="D871">
            <v>4020829098787</v>
          </cell>
          <cell r="F871">
            <v>1061121</v>
          </cell>
          <cell r="G871" t="str">
            <v>Ombre à Paupière 04 verdélite</v>
          </cell>
          <cell r="J871">
            <v>3.5031999999999996</v>
          </cell>
        </row>
        <row r="872">
          <cell r="D872">
            <v>4020829044982</v>
          </cell>
          <cell r="F872">
            <v>1061114</v>
          </cell>
          <cell r="G872" t="str">
            <v>Ombre à Paupière 04 verdélite - Dernières unités avant retour Oct 23</v>
          </cell>
          <cell r="J872">
            <v>3.35</v>
          </cell>
        </row>
        <row r="873">
          <cell r="D873">
            <v>4020829098800</v>
          </cell>
          <cell r="F873">
            <v>1061122</v>
          </cell>
          <cell r="G873" t="str">
            <v>Ombre à paupières 07 aigue-marine</v>
          </cell>
          <cell r="J873">
            <v>3.5031999999999996</v>
          </cell>
        </row>
        <row r="874">
          <cell r="D874">
            <v>4020829098824</v>
          </cell>
          <cell r="F874">
            <v>1061123</v>
          </cell>
          <cell r="G874" t="str">
            <v>Ombre à paupières 08 topaze dorée</v>
          </cell>
          <cell r="J874">
            <v>3.5031999999999996</v>
          </cell>
        </row>
        <row r="875">
          <cell r="D875">
            <v>4020829095991</v>
          </cell>
          <cell r="F875">
            <v>1010372</v>
          </cell>
          <cell r="G875" t="str">
            <v>OnPack 2023 Crème de Jour au Coing 30ml + mini Lotion Tonifiante 10ml - 15% DLV 01/2025</v>
          </cell>
          <cell r="J875">
            <v>6.22</v>
          </cell>
        </row>
        <row r="876">
          <cell r="D876">
            <v>3770026497395</v>
          </cell>
          <cell r="F876">
            <v>1010380</v>
          </cell>
          <cell r="G876" t="str">
            <v>OnPack 2024 Crème de Jour au Coing 30ml + mini Emulsion Teintée 2,5ml</v>
          </cell>
          <cell r="J876">
            <v>8.41</v>
          </cell>
        </row>
        <row r="877">
          <cell r="D877">
            <v>3770026497388</v>
          </cell>
          <cell r="F877">
            <v>1010379</v>
          </cell>
          <cell r="G877" t="str">
            <v>OnPack 2024 Fluide de Jour Apaisant 50ml + mini Emulsion Teintée 2,5ml</v>
          </cell>
          <cell r="J877">
            <v>9.82</v>
          </cell>
        </row>
        <row r="878">
          <cell r="D878">
            <v>3770026497371</v>
          </cell>
          <cell r="F878">
            <v>1010378</v>
          </cell>
          <cell r="G878" t="str">
            <v>OnPack 2024 Fluide de Jour Revitalisant 50ml + mini Emulsion Teintée 2,5ml</v>
          </cell>
          <cell r="J878">
            <v>8.7900000000000009</v>
          </cell>
        </row>
        <row r="879">
          <cell r="D879">
            <v>9999996500118</v>
          </cell>
          <cell r="F879">
            <v>6500118</v>
          </cell>
          <cell r="G879" t="str">
            <v>PLV Spécifique Grade 1 par 2</v>
          </cell>
          <cell r="J879">
            <v>6.2</v>
          </cell>
        </row>
        <row r="880">
          <cell r="D880">
            <v>3770026497272</v>
          </cell>
          <cell r="F880" t="str">
            <v>IMPLCHALLENGERC1</v>
          </cell>
          <cell r="G880" t="str">
            <v>Pack Implantation Biocoop Challenger 34 ref C1</v>
          </cell>
          <cell r="J880">
            <v>0</v>
          </cell>
        </row>
        <row r="881">
          <cell r="D881">
            <v>3770026497432</v>
          </cell>
          <cell r="F881" t="str">
            <v>IMPLCHALLENGER</v>
          </cell>
          <cell r="G881" t="str">
            <v>Pack Implantation Biocoop Challenger 36 ref</v>
          </cell>
          <cell r="J881">
            <v>0</v>
          </cell>
        </row>
        <row r="882">
          <cell r="D882">
            <v>377002649722</v>
          </cell>
          <cell r="F882" t="str">
            <v>IMPLCOMPAGNON</v>
          </cell>
          <cell r="G882" t="str">
            <v>Pack Implantation Biocoop Compagnon 49 ref</v>
          </cell>
          <cell r="J882">
            <v>0</v>
          </cell>
        </row>
        <row r="883">
          <cell r="D883">
            <v>3770026497449</v>
          </cell>
          <cell r="F883" t="str">
            <v>IMPLCOMPAGNONC1</v>
          </cell>
          <cell r="G883" t="str">
            <v>Pack Implantation Biocoop Compagnon 52 ref C1</v>
          </cell>
          <cell r="J883">
            <v>0</v>
          </cell>
        </row>
        <row r="884">
          <cell r="D884">
            <v>3770026497456</v>
          </cell>
          <cell r="F884" t="str">
            <v>IMPLCOMPAGNONC2</v>
          </cell>
          <cell r="G884" t="str">
            <v>Pack Implantation Biocoop Compagnon 52 ref C2</v>
          </cell>
          <cell r="J884">
            <v>0</v>
          </cell>
        </row>
        <row r="885">
          <cell r="D885">
            <v>3770026497357</v>
          </cell>
          <cell r="F885" t="str">
            <v>IMPLMAQ23BC1</v>
          </cell>
          <cell r="G885" t="str">
            <v>Pack Implantation Maquillage Biocoop colis 1</v>
          </cell>
          <cell r="J885">
            <v>0</v>
          </cell>
        </row>
        <row r="886">
          <cell r="D886">
            <v>3770026497364</v>
          </cell>
          <cell r="F886" t="str">
            <v>IMPLMAQ23BC2</v>
          </cell>
          <cell r="G886" t="str">
            <v>Pack Implantation Maquillage Biocoop colis 2</v>
          </cell>
          <cell r="J886">
            <v>0</v>
          </cell>
        </row>
        <row r="887">
          <cell r="D887">
            <v>3770026497203</v>
          </cell>
          <cell r="F887">
            <v>7131312</v>
          </cell>
          <cell r="G887" t="str">
            <v>Pack cadeau pour Formation Joli Moi</v>
          </cell>
          <cell r="J887">
            <v>18.21</v>
          </cell>
        </row>
        <row r="888">
          <cell r="F888" t="str">
            <v>INTERNET-U-SOIN</v>
          </cell>
          <cell r="G888" t="str">
            <v>Paiement Soin Internet</v>
          </cell>
          <cell r="J888">
            <v>0</v>
          </cell>
        </row>
        <row r="889">
          <cell r="G889" t="str">
            <v>Palette</v>
          </cell>
          <cell r="J889">
            <v>0</v>
          </cell>
        </row>
        <row r="890">
          <cell r="D890">
            <v>4020829056589</v>
          </cell>
          <cell r="F890">
            <v>6601200</v>
          </cell>
          <cell r="G890" t="str">
            <v>Palette Maquillage Vide</v>
          </cell>
          <cell r="J890">
            <v>36</v>
          </cell>
        </row>
        <row r="891">
          <cell r="D891">
            <v>4020829098732</v>
          </cell>
          <cell r="F891">
            <v>1061133</v>
          </cell>
          <cell r="G891" t="str">
            <v>Palette Yeux &amp; Sourcils 01 caillou</v>
          </cell>
          <cell r="J891">
            <v>8.4563999999999986</v>
          </cell>
        </row>
        <row r="892">
          <cell r="D892">
            <v>4020829044869</v>
          </cell>
          <cell r="F892">
            <v>1061120</v>
          </cell>
          <cell r="G892" t="str">
            <v>Palette Yeux &amp; Sourcils 01 caillou - Dernières unités avant retour Oct 23</v>
          </cell>
          <cell r="J892">
            <v>8.25</v>
          </cell>
        </row>
        <row r="893">
          <cell r="D893">
            <v>9999991061200</v>
          </cell>
          <cell r="F893">
            <v>1061200</v>
          </cell>
          <cell r="G893" t="str">
            <v>Palette maquillage</v>
          </cell>
          <cell r="J893">
            <v>141.91999999999999</v>
          </cell>
        </row>
        <row r="894">
          <cell r="D894">
            <v>9999996300170</v>
          </cell>
          <cell r="F894">
            <v>6300170</v>
          </cell>
          <cell r="G894" t="str">
            <v>Panneau Vitrine Institutionnel</v>
          </cell>
          <cell r="J894">
            <v>20.399999999999999</v>
          </cell>
        </row>
        <row r="895">
          <cell r="D895">
            <v>4020829105294</v>
          </cell>
          <cell r="F895">
            <v>6300194</v>
          </cell>
          <cell r="G895" t="str">
            <v>Panneau Vitrine Maquillage</v>
          </cell>
          <cell r="J895">
            <v>12.69</v>
          </cell>
        </row>
        <row r="896">
          <cell r="D896">
            <v>4020829105218</v>
          </cell>
          <cell r="F896">
            <v>6300204</v>
          </cell>
          <cell r="G896" t="str">
            <v>Panneau vitrine Baumes Sticks Lèvres et Joues</v>
          </cell>
          <cell r="J896">
            <v>10.93</v>
          </cell>
        </row>
        <row r="897">
          <cell r="D897">
            <v>630020899999</v>
          </cell>
          <cell r="F897">
            <v>6300208</v>
          </cell>
          <cell r="G897" t="str">
            <v>Panneau vitrine Crème Purifiante pour le Visage 2024</v>
          </cell>
          <cell r="J897">
            <v>15.9</v>
          </cell>
        </row>
        <row r="898">
          <cell r="D898">
            <v>630020399999</v>
          </cell>
          <cell r="F898">
            <v>6300203</v>
          </cell>
          <cell r="G898" t="str">
            <v>Panneau vitrine Edition Limitée 2024</v>
          </cell>
          <cell r="J898">
            <v>25.7</v>
          </cell>
        </row>
        <row r="899">
          <cell r="D899">
            <v>9999996300187</v>
          </cell>
          <cell r="F899">
            <v>6300187</v>
          </cell>
          <cell r="G899" t="str">
            <v>Panneau vitrine MEA Crème de Jour à l'Abricot</v>
          </cell>
          <cell r="J899">
            <v>20.6</v>
          </cell>
        </row>
        <row r="900">
          <cell r="D900">
            <v>9999996300189</v>
          </cell>
          <cell r="F900">
            <v>6300189</v>
          </cell>
          <cell r="G900" t="str">
            <v>Panneau vitrine Noël 2023</v>
          </cell>
          <cell r="J900">
            <v>20.6</v>
          </cell>
        </row>
        <row r="901">
          <cell r="D901">
            <v>630020599999</v>
          </cell>
          <cell r="F901">
            <v>6300205</v>
          </cell>
          <cell r="G901" t="str">
            <v>Panneau vitrine Noël 2024</v>
          </cell>
          <cell r="J901">
            <v>15.9</v>
          </cell>
        </row>
        <row r="902">
          <cell r="D902">
            <v>9999996500198</v>
          </cell>
          <cell r="F902">
            <v>6300198</v>
          </cell>
          <cell r="G902" t="str">
            <v>Panneau vitrine OnPacks 2024</v>
          </cell>
          <cell r="J902">
            <v>20.95</v>
          </cell>
        </row>
        <row r="903">
          <cell r="D903">
            <v>630020999999</v>
          </cell>
          <cell r="F903">
            <v>6300209</v>
          </cell>
          <cell r="G903" t="str">
            <v>Panneau vitrine Régénérants 2025</v>
          </cell>
          <cell r="J903">
            <v>29.9</v>
          </cell>
        </row>
        <row r="904">
          <cell r="D904">
            <v>4020829105867</v>
          </cell>
          <cell r="F904">
            <v>6300196</v>
          </cell>
          <cell r="G904" t="str">
            <v>Panneau vitrine Régénérants Intensifs 2024</v>
          </cell>
          <cell r="J904">
            <v>8.98</v>
          </cell>
        </row>
        <row r="905">
          <cell r="D905">
            <v>4020829104754</v>
          </cell>
          <cell r="F905">
            <v>6300202</v>
          </cell>
          <cell r="G905" t="str">
            <v>Panneau vitrine Solaires 2024</v>
          </cell>
          <cell r="J905">
            <v>11.84</v>
          </cell>
        </row>
        <row r="906">
          <cell r="D906">
            <v>9999996300185</v>
          </cell>
          <cell r="F906">
            <v>6300185</v>
          </cell>
          <cell r="G906" t="str">
            <v>Panneau vitrine institut 2023</v>
          </cell>
          <cell r="J906">
            <v>22.35</v>
          </cell>
        </row>
        <row r="907">
          <cell r="D907">
            <v>999999661645</v>
          </cell>
          <cell r="F907">
            <v>661645</v>
          </cell>
          <cell r="G907" t="str">
            <v>Papier de soie Dr.Hauschka</v>
          </cell>
          <cell r="J907">
            <v>4.3</v>
          </cell>
        </row>
        <row r="908">
          <cell r="D908">
            <v>4020829105102</v>
          </cell>
          <cell r="F908">
            <v>6200023</v>
          </cell>
          <cell r="G908" t="str">
            <v>Pied Présentoir Maquillage Rétroéclairé</v>
          </cell>
          <cell r="J908">
            <v>95</v>
          </cell>
        </row>
        <row r="909">
          <cell r="D909">
            <v>620000299999</v>
          </cell>
          <cell r="F909">
            <v>6200002</v>
          </cell>
          <cell r="G909" t="str">
            <v>Pied de Présentoir Maquillage Classique</v>
          </cell>
          <cell r="J909">
            <v>348</v>
          </cell>
        </row>
        <row r="910">
          <cell r="D910">
            <v>9999996600026</v>
          </cell>
          <cell r="F910">
            <v>6600026</v>
          </cell>
          <cell r="G910" t="str">
            <v>Pince à épiler Dr. Hauschka</v>
          </cell>
          <cell r="J910">
            <v>0.65</v>
          </cell>
        </row>
        <row r="911">
          <cell r="D911">
            <v>4020829042407</v>
          </cell>
          <cell r="F911">
            <v>1061202</v>
          </cell>
          <cell r="G911" t="str">
            <v>Pinceau Blush</v>
          </cell>
          <cell r="J911">
            <v>7.98</v>
          </cell>
        </row>
        <row r="912">
          <cell r="D912">
            <v>999999901943</v>
          </cell>
          <cell r="F912">
            <v>901943</v>
          </cell>
          <cell r="G912" t="str">
            <v>Pinceau Concealer</v>
          </cell>
          <cell r="J912">
            <v>5.05</v>
          </cell>
        </row>
        <row r="913">
          <cell r="D913">
            <v>4020829042384</v>
          </cell>
          <cell r="F913">
            <v>1061201</v>
          </cell>
          <cell r="G913" t="str">
            <v>Pinceau Fond de teint</v>
          </cell>
          <cell r="J913">
            <v>8.9600000000000009</v>
          </cell>
        </row>
        <row r="914">
          <cell r="D914">
            <v>4020829042490</v>
          </cell>
          <cell r="F914">
            <v>1061206</v>
          </cell>
          <cell r="G914" t="str">
            <v>Pinceau Lèvres</v>
          </cell>
          <cell r="J914">
            <v>4.93</v>
          </cell>
        </row>
        <row r="915">
          <cell r="D915">
            <v>4020829042445</v>
          </cell>
          <cell r="F915">
            <v>1061204</v>
          </cell>
          <cell r="G915" t="str">
            <v>Pinceau Ombre à Paupières</v>
          </cell>
          <cell r="J915">
            <v>5.33</v>
          </cell>
        </row>
        <row r="916">
          <cell r="D916">
            <v>4020829042476</v>
          </cell>
          <cell r="F916">
            <v>1061205</v>
          </cell>
          <cell r="G916" t="str">
            <v>Pinceau Yeux Précision</v>
          </cell>
          <cell r="J916">
            <v>4.9800000000000004</v>
          </cell>
        </row>
        <row r="917">
          <cell r="D917">
            <v>4020829042421</v>
          </cell>
          <cell r="F917">
            <v>1061203</v>
          </cell>
          <cell r="G917" t="str">
            <v>Pinceau poudre</v>
          </cell>
          <cell r="J917">
            <v>12.78</v>
          </cell>
        </row>
        <row r="918">
          <cell r="D918">
            <v>999999431460</v>
          </cell>
          <cell r="F918">
            <v>431460</v>
          </cell>
          <cell r="G918" t="str">
            <v>Pinceaux pour Stimulation Lymphatique (2)</v>
          </cell>
          <cell r="J918">
            <v>11.09</v>
          </cell>
        </row>
        <row r="919">
          <cell r="D919">
            <v>9999996700090</v>
          </cell>
          <cell r="F919">
            <v>6700090</v>
          </cell>
          <cell r="G919" t="str">
            <v>Plaquette de soin institut 2023</v>
          </cell>
          <cell r="J919">
            <v>1.1200000000000001</v>
          </cell>
        </row>
        <row r="920">
          <cell r="D920">
            <v>9999996700088</v>
          </cell>
          <cell r="F920">
            <v>6700088</v>
          </cell>
          <cell r="G920" t="str">
            <v>Plaquette prospection institut 2023</v>
          </cell>
          <cell r="J920">
            <v>2.1</v>
          </cell>
        </row>
        <row r="921">
          <cell r="D921">
            <v>9999996700087</v>
          </cell>
          <cell r="F921">
            <v>6700087</v>
          </cell>
          <cell r="G921" t="str">
            <v>Plaquette prospection pharmacie 2023</v>
          </cell>
          <cell r="J921">
            <v>0.99</v>
          </cell>
        </row>
        <row r="922">
          <cell r="D922">
            <v>9999996600022</v>
          </cell>
          <cell r="F922">
            <v>6600022</v>
          </cell>
          <cell r="G922" t="str">
            <v>Pochette Dr. Hauschka 2019</v>
          </cell>
          <cell r="J922">
            <v>2.8</v>
          </cell>
        </row>
        <row r="923">
          <cell r="D923" t="str">
            <v>999999MANPOINTS</v>
          </cell>
          <cell r="F923" t="str">
            <v>MANPOINTS</v>
          </cell>
          <cell r="G923" t="str">
            <v>Point manuel</v>
          </cell>
          <cell r="J923">
            <v>0</v>
          </cell>
        </row>
        <row r="924">
          <cell r="D924">
            <v>4020829083547</v>
          </cell>
          <cell r="F924">
            <v>6300132</v>
          </cell>
          <cell r="G924" t="str">
            <v>Poster A1 - Soin de Jour</v>
          </cell>
          <cell r="J924">
            <v>16.02</v>
          </cell>
        </row>
        <row r="925">
          <cell r="D925">
            <v>4020829099579</v>
          </cell>
          <cell r="F925">
            <v>6300181</v>
          </cell>
          <cell r="G925" t="str">
            <v>Poster Edition Limitée 2023</v>
          </cell>
          <cell r="J925">
            <v>2.12</v>
          </cell>
        </row>
        <row r="926">
          <cell r="D926">
            <v>9999996300190</v>
          </cell>
          <cell r="F926">
            <v>6300190</v>
          </cell>
          <cell r="G926" t="str">
            <v>Poster Noël 2023</v>
          </cell>
          <cell r="J926">
            <v>7.65</v>
          </cell>
        </row>
        <row r="927">
          <cell r="D927">
            <v>4020829099197</v>
          </cell>
          <cell r="F927">
            <v>1060823</v>
          </cell>
          <cell r="G927" t="str">
            <v>Poudre Bronzante 01 bronze</v>
          </cell>
          <cell r="J927">
            <v>7.0063999999999993</v>
          </cell>
        </row>
        <row r="928">
          <cell r="D928">
            <v>4020829099159</v>
          </cell>
          <cell r="F928">
            <v>1060807</v>
          </cell>
          <cell r="G928" t="str">
            <v>Poudre Compacte 00 transparente</v>
          </cell>
          <cell r="J928">
            <v>6.4205999999999994</v>
          </cell>
        </row>
        <row r="929">
          <cell r="D929">
            <v>4020829043848</v>
          </cell>
          <cell r="F929">
            <v>1060803</v>
          </cell>
          <cell r="G929" t="str">
            <v>Poudre Compacte 03 muscade - Dernières unités</v>
          </cell>
          <cell r="J929">
            <v>6.26</v>
          </cell>
        </row>
        <row r="930">
          <cell r="D930">
            <v>4020829098657</v>
          </cell>
          <cell r="F930">
            <v>1060805</v>
          </cell>
          <cell r="G930" t="str">
            <v>Poudre Compacte Correctrice - 01 vivifiante</v>
          </cell>
          <cell r="J930">
            <v>8.4563999999999986</v>
          </cell>
        </row>
        <row r="931">
          <cell r="D931">
            <v>4020829069954</v>
          </cell>
          <cell r="F931">
            <v>1060812</v>
          </cell>
          <cell r="G931" t="str">
            <v xml:space="preserve">Poudre Compacte Correctrice - 01 vivifiante - Dernières unités avant retour Oct </v>
          </cell>
          <cell r="J931">
            <v>8.25</v>
          </cell>
        </row>
        <row r="932">
          <cell r="D932">
            <v>4020829098671</v>
          </cell>
          <cell r="F932">
            <v>1060806</v>
          </cell>
          <cell r="G932" t="str">
            <v>Poudre Compacte Correctrice - 02 apaisante</v>
          </cell>
          <cell r="J932">
            <v>8.4563999999999986</v>
          </cell>
        </row>
        <row r="933">
          <cell r="D933">
            <v>4020829098633</v>
          </cell>
          <cell r="F933">
            <v>1060804</v>
          </cell>
          <cell r="G933" t="str">
            <v>Poudre Compacte Correctrice 00 transparente</v>
          </cell>
          <cell r="J933">
            <v>8.4563999999999986</v>
          </cell>
        </row>
        <row r="934">
          <cell r="D934">
            <v>4020829099111</v>
          </cell>
          <cell r="F934">
            <v>1060822</v>
          </cell>
          <cell r="G934" t="str">
            <v>Poudre Libre 00 transparente</v>
          </cell>
          <cell r="J934">
            <v>7.2847999999999997</v>
          </cell>
        </row>
        <row r="935">
          <cell r="D935">
            <v>9999991830601</v>
          </cell>
          <cell r="F935">
            <v>1830601</v>
          </cell>
          <cell r="G935" t="str">
            <v>Poudre de Soie - 50 g</v>
          </cell>
          <cell r="J935">
            <v>6.4</v>
          </cell>
        </row>
        <row r="936">
          <cell r="D936">
            <v>4020829005631</v>
          </cell>
          <cell r="F936">
            <v>1030601</v>
          </cell>
          <cell r="G936" t="str">
            <v>Poudre de Soie - 50 g</v>
          </cell>
          <cell r="J936">
            <v>6.9889999999999999</v>
          </cell>
        </row>
        <row r="937">
          <cell r="F937" t="str">
            <v>TIPS</v>
          </cell>
          <cell r="G937" t="str">
            <v>Pourboires</v>
          </cell>
          <cell r="J937">
            <v>0</v>
          </cell>
        </row>
        <row r="938">
          <cell r="F938">
            <v>7031375</v>
          </cell>
          <cell r="G938" t="str">
            <v>Premium - MEA Corps 2024</v>
          </cell>
          <cell r="J938">
            <v>15.8</v>
          </cell>
        </row>
        <row r="939">
          <cell r="F939" t="str">
            <v>AV7031375</v>
          </cell>
          <cell r="G939" t="str">
            <v>Premium - MEA Corps 2024</v>
          </cell>
          <cell r="J939">
            <v>0</v>
          </cell>
        </row>
        <row r="940">
          <cell r="F940" t="str">
            <v>AV7000363</v>
          </cell>
          <cell r="G940" t="str">
            <v>Premium - MEA Crème Purifiante pour le Visage</v>
          </cell>
          <cell r="J940">
            <v>0</v>
          </cell>
        </row>
        <row r="941">
          <cell r="F941">
            <v>7000362</v>
          </cell>
          <cell r="G941" t="str">
            <v>Premium - MEA Crème Purifiante pour le Visage</v>
          </cell>
          <cell r="J941">
            <v>0.99</v>
          </cell>
        </row>
        <row r="942">
          <cell r="F942" t="str">
            <v>AV7000362</v>
          </cell>
          <cell r="G942" t="str">
            <v>Premium - MEA Crème Purifiante pour le Visage</v>
          </cell>
          <cell r="J942">
            <v>0</v>
          </cell>
        </row>
        <row r="943">
          <cell r="F943">
            <v>7000363</v>
          </cell>
          <cell r="G943" t="str">
            <v>Premium - MEA Crème Purifiante pour le Visage *sans PLV volumineuse* *PRE-COMMANDE*</v>
          </cell>
          <cell r="J943">
            <v>0.99</v>
          </cell>
        </row>
        <row r="944">
          <cell r="F944" t="str">
            <v>AV7131326</v>
          </cell>
          <cell r="G944" t="str">
            <v>Premium - MEA Noël 2023*sans panneau vitrine*</v>
          </cell>
          <cell r="J944">
            <v>0</v>
          </cell>
        </row>
        <row r="945">
          <cell r="F945">
            <v>7031366</v>
          </cell>
          <cell r="G945" t="str">
            <v>Premium - MEA Noël 2024</v>
          </cell>
          <cell r="J945">
            <v>14.45</v>
          </cell>
        </row>
        <row r="946">
          <cell r="F946" t="str">
            <v>AV7031366</v>
          </cell>
          <cell r="G946" t="str">
            <v>Premium - MEA Noël 2024</v>
          </cell>
          <cell r="J946">
            <v>0</v>
          </cell>
        </row>
        <row r="947">
          <cell r="F947">
            <v>7031367</v>
          </cell>
          <cell r="G947" t="str">
            <v>Premium - MEA Noël 2024 *sans panneau vitrine</v>
          </cell>
          <cell r="J947">
            <v>14.45</v>
          </cell>
        </row>
        <row r="948">
          <cell r="F948" t="str">
            <v>AV7031367</v>
          </cell>
          <cell r="G948" t="str">
            <v>Premium - MEA Noël 2024 *sans panneau vitrine*</v>
          </cell>
          <cell r="J948">
            <v>0</v>
          </cell>
        </row>
        <row r="949">
          <cell r="F949">
            <v>7131339</v>
          </cell>
          <cell r="G949" t="str">
            <v>Premium - MEA OnPacks 2024</v>
          </cell>
          <cell r="J949">
            <v>0</v>
          </cell>
        </row>
        <row r="950">
          <cell r="F950" t="str">
            <v>AV7131339</v>
          </cell>
          <cell r="G950" t="str">
            <v>Premium - MEA OnPacks 2024</v>
          </cell>
          <cell r="J950">
            <v>0</v>
          </cell>
        </row>
        <row r="951">
          <cell r="F951" t="str">
            <v>AV7131340</v>
          </cell>
          <cell r="G951" t="str">
            <v>Premium - MEA OnPacks 2024 *sans PLV volumineuse*</v>
          </cell>
          <cell r="J951">
            <v>0</v>
          </cell>
        </row>
        <row r="952">
          <cell r="F952">
            <v>7131340</v>
          </cell>
          <cell r="G952" t="str">
            <v>Premium - MEA OnPacks 2024 *sans PLV volumineuse*</v>
          </cell>
          <cell r="J952">
            <v>0</v>
          </cell>
        </row>
        <row r="953">
          <cell r="F953">
            <v>7131318</v>
          </cell>
          <cell r="G953" t="str">
            <v>Premium - MEA Rituel Pureté</v>
          </cell>
          <cell r="J953">
            <v>162.4</v>
          </cell>
        </row>
        <row r="954">
          <cell r="F954" t="str">
            <v>AV6131318</v>
          </cell>
          <cell r="G954" t="str">
            <v>Premium - MEA Rituel Pureté</v>
          </cell>
          <cell r="J954">
            <v>0</v>
          </cell>
        </row>
        <row r="955">
          <cell r="F955">
            <v>7021332</v>
          </cell>
          <cell r="G955" t="str">
            <v>Premium - MEA Régénérants 2024</v>
          </cell>
          <cell r="J955">
            <v>0</v>
          </cell>
        </row>
        <row r="956">
          <cell r="F956" t="str">
            <v>AV7021332</v>
          </cell>
          <cell r="G956" t="str">
            <v>Premium - MEA Régénérants 2024</v>
          </cell>
          <cell r="J956">
            <v>0</v>
          </cell>
        </row>
        <row r="957">
          <cell r="F957">
            <v>7021333</v>
          </cell>
          <cell r="G957" t="str">
            <v>Premium - MEA Régénérants 2024 *sans PLV volumineuse*</v>
          </cell>
          <cell r="J957">
            <v>25.94</v>
          </cell>
        </row>
        <row r="958">
          <cell r="F958" t="str">
            <v>AV7021333</v>
          </cell>
          <cell r="G958" t="str">
            <v>Premium - MEA Régénérants 2024 *sans PLV volumineuse*</v>
          </cell>
          <cell r="J958">
            <v>0</v>
          </cell>
        </row>
        <row r="959">
          <cell r="F959">
            <v>7131348</v>
          </cell>
          <cell r="G959" t="str">
            <v>Premium - MEA Solaires 2024</v>
          </cell>
          <cell r="J959">
            <v>29.71</v>
          </cell>
        </row>
        <row r="960">
          <cell r="F960" t="str">
            <v>AV7131348</v>
          </cell>
          <cell r="G960" t="str">
            <v>Premium - MEA Solaires 2024</v>
          </cell>
          <cell r="J960">
            <v>0</v>
          </cell>
        </row>
        <row r="961">
          <cell r="F961">
            <v>7131352</v>
          </cell>
          <cell r="G961" t="str">
            <v>Premium - Édition Limitée Anthyllide 2024</v>
          </cell>
          <cell r="J961">
            <v>177.15</v>
          </cell>
        </row>
        <row r="962">
          <cell r="F962" t="str">
            <v>AV7131352</v>
          </cell>
          <cell r="G962" t="str">
            <v>Premium - Édition Limitée Anthyllide 2024</v>
          </cell>
          <cell r="J962">
            <v>0</v>
          </cell>
        </row>
        <row r="963">
          <cell r="F963" t="str">
            <v>AV7131353</v>
          </cell>
          <cell r="G963" t="str">
            <v>Premium - Édition Limitée Anthyllide 2024 *sans panneau vitrine*</v>
          </cell>
          <cell r="J963">
            <v>0</v>
          </cell>
        </row>
        <row r="964">
          <cell r="F964">
            <v>7131353</v>
          </cell>
          <cell r="G964" t="str">
            <v>Premium - Édition Limitée Anthyllide 2024 *sans panneau* vitrine*</v>
          </cell>
          <cell r="J964">
            <v>141.25</v>
          </cell>
        </row>
        <row r="965">
          <cell r="F965" t="str">
            <v>AV7031380</v>
          </cell>
          <cell r="G965" t="str">
            <v>Premium spécial retail - MEA Corps 2024</v>
          </cell>
          <cell r="J965">
            <v>0</v>
          </cell>
        </row>
        <row r="966">
          <cell r="F966">
            <v>7031380</v>
          </cell>
          <cell r="G966" t="str">
            <v>Premium spécial retail - MEA Corps 2024</v>
          </cell>
          <cell r="J966">
            <v>14.8</v>
          </cell>
        </row>
        <row r="967">
          <cell r="F967">
            <v>982050</v>
          </cell>
          <cell r="G967" t="str">
            <v>Prestation de service Installation pour Maquillage</v>
          </cell>
          <cell r="J967">
            <v>0</v>
          </cell>
        </row>
        <row r="968">
          <cell r="F968">
            <v>982051</v>
          </cell>
          <cell r="G968" t="str">
            <v>Prestation de service Livraison &amp; Installation pour Maquillage</v>
          </cell>
          <cell r="J968">
            <v>0</v>
          </cell>
        </row>
        <row r="969">
          <cell r="F969">
            <v>982047</v>
          </cell>
          <cell r="G969" t="str">
            <v>Prestation à la bulle Dr. Hauschka</v>
          </cell>
          <cell r="J969">
            <v>0</v>
          </cell>
        </row>
        <row r="970">
          <cell r="G970" t="str">
            <v>Produit gratuit - MEA Rituel de Soin - Essentiel 2025 *PRE-COMMANDE*</v>
          </cell>
          <cell r="J970">
            <v>0</v>
          </cell>
        </row>
        <row r="971">
          <cell r="G971" t="str">
            <v>Produit gratuit - MEA Rituel de Soin - Premium 2025 *PRE-COMMANDE*</v>
          </cell>
          <cell r="J971">
            <v>0</v>
          </cell>
        </row>
        <row r="972">
          <cell r="G972" t="str">
            <v>Produit gratuit - MEA Rituel de Soin - Référencement 2025</v>
          </cell>
          <cell r="J972">
            <v>0</v>
          </cell>
        </row>
        <row r="973">
          <cell r="G973" t="str">
            <v>Produit gratuit - OP Bains</v>
          </cell>
          <cell r="J973">
            <v>0</v>
          </cell>
        </row>
        <row r="974">
          <cell r="G974" t="str">
            <v>Produit gratuit - OP Bains</v>
          </cell>
          <cell r="J974">
            <v>0</v>
          </cell>
        </row>
        <row r="975">
          <cell r="F975" t="str">
            <v>PREPA</v>
          </cell>
          <cell r="G975" t="str">
            <v>Préparateur</v>
          </cell>
          <cell r="J975">
            <v>0</v>
          </cell>
        </row>
        <row r="976">
          <cell r="D976">
            <v>9999996100182</v>
          </cell>
          <cell r="F976">
            <v>6100182</v>
          </cell>
          <cell r="G976" t="str">
            <v>Présentoir Bain Moor Lavande Edition Limitée Noël 2023</v>
          </cell>
          <cell r="J976">
            <v>0</v>
          </cell>
        </row>
        <row r="977">
          <cell r="D977">
            <v>4020829102088</v>
          </cell>
          <cell r="F977">
            <v>6100082</v>
          </cell>
          <cell r="G977" t="str">
            <v>Présentoir Bain Moor Lavande Edition Limitée Noël 2023</v>
          </cell>
          <cell r="J977">
            <v>11.2</v>
          </cell>
        </row>
        <row r="978">
          <cell r="D978">
            <v>620002899999</v>
          </cell>
          <cell r="F978">
            <v>6200028</v>
          </cell>
          <cell r="G978" t="str">
            <v>Présentoir Crème Purifiante pour le Visage 2024</v>
          </cell>
          <cell r="J978">
            <v>32.9</v>
          </cell>
        </row>
        <row r="979">
          <cell r="D979">
            <v>9999996100181</v>
          </cell>
          <cell r="F979">
            <v>6100081</v>
          </cell>
          <cell r="G979" t="str">
            <v>Présentoir Crème de Jour à l'Abricot</v>
          </cell>
          <cell r="J979">
            <v>9.35</v>
          </cell>
        </row>
        <row r="980">
          <cell r="D980">
            <v>4020829084650</v>
          </cell>
          <cell r="F980">
            <v>6100060</v>
          </cell>
          <cell r="G980" t="str">
            <v>Présentoir Crème de jour - support vide</v>
          </cell>
          <cell r="J980">
            <v>5.45</v>
          </cell>
        </row>
        <row r="981">
          <cell r="D981">
            <v>4020829107328</v>
          </cell>
          <cell r="F981">
            <v>6100090</v>
          </cell>
          <cell r="G981" t="str">
            <v>Présentoir Crème pour les Mains Édition Limitée Noël 2024</v>
          </cell>
          <cell r="J981">
            <v>9.58</v>
          </cell>
        </row>
        <row r="982">
          <cell r="D982">
            <v>4020829099661</v>
          </cell>
          <cell r="F982">
            <v>6100079</v>
          </cell>
          <cell r="G982" t="str">
            <v>Présentoir Edition Limitée 2023</v>
          </cell>
          <cell r="J982">
            <v>10.75</v>
          </cell>
        </row>
        <row r="983">
          <cell r="D983">
            <v>4020829105560</v>
          </cell>
          <cell r="F983">
            <v>6100086</v>
          </cell>
          <cell r="G983" t="str">
            <v>Présentoir Edition Limitée 2024</v>
          </cell>
          <cell r="J983">
            <v>10.199999999999999</v>
          </cell>
        </row>
        <row r="984">
          <cell r="D984">
            <v>610008999999</v>
          </cell>
          <cell r="F984">
            <v>6100089</v>
          </cell>
          <cell r="G984" t="str">
            <v>Présentoir Essentiels de l'été 2024</v>
          </cell>
          <cell r="J984">
            <v>24.7</v>
          </cell>
        </row>
        <row r="985">
          <cell r="D985">
            <v>9999996100084</v>
          </cell>
          <cell r="F985">
            <v>6100084</v>
          </cell>
          <cell r="G985" t="str">
            <v>Présentoir Mains &amp; Lèvres 2023</v>
          </cell>
          <cell r="J985">
            <v>15.95</v>
          </cell>
        </row>
        <row r="986">
          <cell r="D986">
            <v>4020829103566</v>
          </cell>
          <cell r="F986">
            <v>6200021</v>
          </cell>
          <cell r="G986" t="str">
            <v>Présentoir Maquillage Rétroéclairé</v>
          </cell>
          <cell r="J986">
            <v>856.1</v>
          </cell>
        </row>
        <row r="987">
          <cell r="D987">
            <v>4020829108820</v>
          </cell>
          <cell r="F987">
            <v>6100091</v>
          </cell>
          <cell r="G987" t="str">
            <v>Présentoir Maquillage Teint Parfait</v>
          </cell>
          <cell r="J987">
            <v>14.55</v>
          </cell>
        </row>
        <row r="988">
          <cell r="D988">
            <v>4020829007000</v>
          </cell>
          <cell r="F988" t="str">
            <v>L4010706</v>
          </cell>
          <cell r="G988" t="str">
            <v>Présentoir Miniature - Masque Purifiant 10 x 10  g - 15% comprise</v>
          </cell>
          <cell r="J988">
            <v>10.335599999999999</v>
          </cell>
        </row>
        <row r="989">
          <cell r="D989">
            <v>4020829105720</v>
          </cell>
          <cell r="F989">
            <v>6100085</v>
          </cell>
          <cell r="G989" t="str">
            <v>Présentoir Régénérants Intensifs recto/verso 2024</v>
          </cell>
          <cell r="J989">
            <v>9.56</v>
          </cell>
        </row>
        <row r="990">
          <cell r="D990">
            <v>4020829024465</v>
          </cell>
          <cell r="F990">
            <v>6100001</v>
          </cell>
          <cell r="G990" t="str">
            <v>Présentoir Soin de Nuit vide</v>
          </cell>
          <cell r="J990">
            <v>10.26</v>
          </cell>
        </row>
        <row r="991">
          <cell r="D991">
            <v>9999999010002</v>
          </cell>
          <cell r="F991">
            <v>9010002</v>
          </cell>
          <cell r="G991" t="str">
            <v>Présentoir Soins de Nuit plein - remise 5% comprise</v>
          </cell>
          <cell r="J991">
            <v>63.05</v>
          </cell>
        </row>
        <row r="992">
          <cell r="D992">
            <v>4020829072763</v>
          </cell>
          <cell r="F992">
            <v>6100048</v>
          </cell>
          <cell r="G992" t="str">
            <v xml:space="preserve">Présentoir Soins des Ongles vide </v>
          </cell>
          <cell r="J992">
            <v>5.76</v>
          </cell>
        </row>
        <row r="993">
          <cell r="D993">
            <v>4020829104808</v>
          </cell>
          <cell r="F993">
            <v>6100087</v>
          </cell>
          <cell r="G993" t="str">
            <v>Présentoir Solaires 2024</v>
          </cell>
          <cell r="J993">
            <v>13.53</v>
          </cell>
        </row>
        <row r="994">
          <cell r="D994">
            <v>6100093999999</v>
          </cell>
          <cell r="F994">
            <v>6100093</v>
          </cell>
          <cell r="G994" t="str">
            <v>Présentoir Solaires 2025</v>
          </cell>
          <cell r="J994">
            <v>20</v>
          </cell>
        </row>
        <row r="995">
          <cell r="D995">
            <v>4020829072749</v>
          </cell>
          <cell r="F995">
            <v>6100045</v>
          </cell>
          <cell r="G995" t="str">
            <v>Présentoir Stick Correcteur vide</v>
          </cell>
          <cell r="J995">
            <v>6.81</v>
          </cell>
        </row>
        <row r="996">
          <cell r="D996">
            <v>9999996100078</v>
          </cell>
          <cell r="F996">
            <v>6100078</v>
          </cell>
          <cell r="G996" t="str">
            <v>Présentoir de comptoir - Alice in Food pour Dr. Hauschka</v>
          </cell>
          <cell r="J996">
            <v>22</v>
          </cell>
        </row>
        <row r="997">
          <cell r="D997">
            <v>4020829112483</v>
          </cell>
          <cell r="F997">
            <v>6200029</v>
          </cell>
          <cell r="G997" t="str">
            <v>Présentoir de sol Rituel de Soin 2025 *PRE-COMMANDE*</v>
          </cell>
          <cell r="J997">
            <v>44</v>
          </cell>
        </row>
        <row r="998">
          <cell r="D998">
            <v>610008899999</v>
          </cell>
          <cell r="F998">
            <v>6100088</v>
          </cell>
          <cell r="G998" t="str">
            <v>Présentoir lancement Baumes Sticks Lèvres et Joues</v>
          </cell>
          <cell r="J998">
            <v>20</v>
          </cell>
        </row>
        <row r="999">
          <cell r="D999">
            <v>4020829103573</v>
          </cell>
          <cell r="F999">
            <v>6200022</v>
          </cell>
          <cell r="G999" t="str">
            <v>Présentoir sur pied Maquillage</v>
          </cell>
          <cell r="J999">
            <v>612.49</v>
          </cell>
        </row>
        <row r="1000">
          <cell r="D1000">
            <v>4020829111127</v>
          </cell>
          <cell r="F1000">
            <v>6100092</v>
          </cell>
          <cell r="G1000" t="str">
            <v>Présentoir Édition Limitée 2025</v>
          </cell>
          <cell r="J1000">
            <v>10.98</v>
          </cell>
        </row>
        <row r="1001">
          <cell r="D1001">
            <v>4020829068803</v>
          </cell>
          <cell r="F1001">
            <v>9110002</v>
          </cell>
          <cell r="G1001" t="str">
            <v>Présentoirs produits pour animation maquillage</v>
          </cell>
          <cell r="J1001">
            <v>6.2</v>
          </cell>
        </row>
        <row r="1002">
          <cell r="F1002">
            <v>992238</v>
          </cell>
          <cell r="G1002" t="str">
            <v>RFA</v>
          </cell>
          <cell r="J1002">
            <v>0</v>
          </cell>
        </row>
        <row r="1003">
          <cell r="G1003" t="str">
            <v>Recharger le eWallet</v>
          </cell>
          <cell r="J1003">
            <v>0</v>
          </cell>
        </row>
        <row r="1004">
          <cell r="F1004">
            <v>982060</v>
          </cell>
          <cell r="G1004" t="str">
            <v>Remboursement Transporteurs</v>
          </cell>
          <cell r="J1004">
            <v>0</v>
          </cell>
        </row>
        <row r="1005">
          <cell r="F1005" t="str">
            <v>DISC</v>
          </cell>
          <cell r="G1005" t="str">
            <v>Remise</v>
          </cell>
          <cell r="J1005">
            <v>0</v>
          </cell>
        </row>
        <row r="1006">
          <cell r="D1006">
            <v>9999982027</v>
          </cell>
          <cell r="F1006">
            <v>982027</v>
          </cell>
          <cell r="G1006" t="str">
            <v>Remise</v>
          </cell>
          <cell r="J1006">
            <v>0</v>
          </cell>
        </row>
        <row r="1007">
          <cell r="D1007">
            <v>999999982027</v>
          </cell>
          <cell r="F1007" t="str">
            <v>982027_0</v>
          </cell>
          <cell r="G1007" t="str">
            <v xml:space="preserve">Remise </v>
          </cell>
          <cell r="J1007">
            <v>0</v>
          </cell>
        </row>
        <row r="1008">
          <cell r="G1008" t="str">
            <v>Remise 10% sur les laits</v>
          </cell>
          <cell r="J1008">
            <v>0</v>
          </cell>
        </row>
        <row r="1009">
          <cell r="F1009">
            <v>982048</v>
          </cell>
          <cell r="G1009" t="str">
            <v>Remise exceptionnelle sur implantation Maquillage</v>
          </cell>
          <cell r="J1009">
            <v>0</v>
          </cell>
        </row>
        <row r="1010">
          <cell r="D1010">
            <v>4020829098909</v>
          </cell>
          <cell r="F1010">
            <v>1060250</v>
          </cell>
          <cell r="G1010" t="str">
            <v>Rouge à Lèvres 02 mandevilla</v>
          </cell>
          <cell r="J1010">
            <v>5.5389999999999997</v>
          </cell>
        </row>
        <row r="1011">
          <cell r="D1011">
            <v>4020829044265</v>
          </cell>
          <cell r="F1011">
            <v>1060202</v>
          </cell>
          <cell r="G1011" t="str">
            <v>Rouge à Lèvres 02 mandevilla - Retour Oct 23</v>
          </cell>
          <cell r="J1011">
            <v>5.41</v>
          </cell>
        </row>
        <row r="1012">
          <cell r="D1012">
            <v>4020829111073</v>
          </cell>
          <cell r="F1012">
            <v>1060260</v>
          </cell>
          <cell r="G1012" t="str">
            <v>Rouge à Lèvres 02 mandevilla Édition Limitée 2025</v>
          </cell>
          <cell r="J1012">
            <v>5.49</v>
          </cell>
        </row>
        <row r="1013">
          <cell r="D1013">
            <v>8060260999999</v>
          </cell>
          <cell r="F1013">
            <v>8060260</v>
          </cell>
          <cell r="G1013" t="str">
            <v>Rouge à Lèvres 02 mandevilla Édition Limitée 2025 *PRE-SERIE*</v>
          </cell>
          <cell r="J1013">
            <v>0</v>
          </cell>
        </row>
        <row r="1014">
          <cell r="D1014">
            <v>4020829098923</v>
          </cell>
          <cell r="F1014">
            <v>1060251</v>
          </cell>
          <cell r="G1014" t="str">
            <v>Rouge à Lèvres 03 camellia</v>
          </cell>
          <cell r="J1014">
            <v>5.5389999999999997</v>
          </cell>
        </row>
        <row r="1015">
          <cell r="D1015">
            <v>4020829098947</v>
          </cell>
          <cell r="F1015">
            <v>1060252</v>
          </cell>
          <cell r="G1015" t="str">
            <v>Rouge à Lèvres 06 azalea</v>
          </cell>
          <cell r="J1015">
            <v>5.5389999999999997</v>
          </cell>
        </row>
        <row r="1016">
          <cell r="D1016">
            <v>4020829044319</v>
          </cell>
          <cell r="F1016">
            <v>1060207</v>
          </cell>
          <cell r="G1016" t="str">
            <v>Rouge à Lèvres 07 orphin</v>
          </cell>
          <cell r="J1016">
            <v>5.22</v>
          </cell>
        </row>
        <row r="1017">
          <cell r="D1017">
            <v>4020829098961</v>
          </cell>
          <cell r="F1017">
            <v>1060253</v>
          </cell>
          <cell r="G1017" t="str">
            <v>Rouge à Lèvres 07 orphin</v>
          </cell>
          <cell r="J1017">
            <v>5.5389999999999997</v>
          </cell>
        </row>
        <row r="1018">
          <cell r="D1018">
            <v>4020829098985</v>
          </cell>
          <cell r="F1018">
            <v>1060254</v>
          </cell>
          <cell r="G1018" t="str">
            <v>Rouge à Lèvres 10 dahlia</v>
          </cell>
          <cell r="J1018">
            <v>5.5389999999999997</v>
          </cell>
        </row>
        <row r="1019">
          <cell r="D1019">
            <v>4020829099005</v>
          </cell>
          <cell r="F1019">
            <v>1060255</v>
          </cell>
          <cell r="G1019" t="str">
            <v>Rouge à Lèvres 11 amaryllis</v>
          </cell>
          <cell r="J1019">
            <v>5.5389999999999997</v>
          </cell>
        </row>
        <row r="1020">
          <cell r="D1020">
            <v>4020829044364</v>
          </cell>
          <cell r="F1020">
            <v>1060212</v>
          </cell>
          <cell r="G1020" t="str">
            <v>Rouge à Lèvres 12 paeonia - Dernières unités</v>
          </cell>
          <cell r="J1020">
            <v>5.31</v>
          </cell>
        </row>
        <row r="1021">
          <cell r="D1021">
            <v>4020829099029</v>
          </cell>
          <cell r="F1021">
            <v>1060256</v>
          </cell>
          <cell r="G1021" t="str">
            <v>Rouge à Lèvres 13 bromelia</v>
          </cell>
          <cell r="J1021">
            <v>5.5389999999999997</v>
          </cell>
        </row>
        <row r="1022">
          <cell r="D1022">
            <v>4020829044371</v>
          </cell>
          <cell r="F1022">
            <v>1060213</v>
          </cell>
          <cell r="G1022" t="str">
            <v>Rouge à Lèvres 13 bromelia</v>
          </cell>
          <cell r="J1022">
            <v>5.41</v>
          </cell>
        </row>
        <row r="1023">
          <cell r="D1023">
            <v>4020829099043</v>
          </cell>
          <cell r="F1023">
            <v>1060257</v>
          </cell>
          <cell r="G1023" t="str">
            <v>Rouge à Lèvres 14 caralluma</v>
          </cell>
          <cell r="J1023">
            <v>5.5389999999999997</v>
          </cell>
        </row>
        <row r="1024">
          <cell r="D1024">
            <v>4020829044388</v>
          </cell>
          <cell r="F1024">
            <v>1060214</v>
          </cell>
          <cell r="G1024" t="str">
            <v>Rouge à Lèvres 14 caralluma - Dernières unités avant retour Oct 23</v>
          </cell>
          <cell r="J1024">
            <v>5.41</v>
          </cell>
        </row>
        <row r="1025">
          <cell r="D1025">
            <v>4020829083943</v>
          </cell>
          <cell r="F1025">
            <v>1060241</v>
          </cell>
          <cell r="G1025" t="str">
            <v>Rouge à Lèvres 21 Digitalis - Dernières unités</v>
          </cell>
          <cell r="J1025">
            <v>5.41</v>
          </cell>
        </row>
        <row r="1026">
          <cell r="D1026">
            <v>4020829099067</v>
          </cell>
          <cell r="F1026">
            <v>1060258</v>
          </cell>
          <cell r="G1026" t="str">
            <v>Rouge à Lèvres 22 Calibrachoa</v>
          </cell>
          <cell r="J1026">
            <v>5.5389999999999997</v>
          </cell>
        </row>
        <row r="1027">
          <cell r="D1027">
            <v>4020829083967</v>
          </cell>
          <cell r="F1027">
            <v>1060243</v>
          </cell>
          <cell r="G1027" t="str">
            <v>Rouge à Lèvres 23 Chocamocha - Dernières unités</v>
          </cell>
          <cell r="J1027">
            <v>4.05</v>
          </cell>
        </row>
        <row r="1028">
          <cell r="D1028">
            <v>4020829083974</v>
          </cell>
          <cell r="F1028">
            <v>1060244</v>
          </cell>
          <cell r="G1028" t="str">
            <v>Rouge à Lèvres 24 Oyat - Dernières unités</v>
          </cell>
          <cell r="J1028">
            <v>3.75</v>
          </cell>
        </row>
        <row r="1029">
          <cell r="D1029">
            <v>4020829083981</v>
          </cell>
          <cell r="F1029">
            <v>1060245</v>
          </cell>
          <cell r="G1029" t="str">
            <v>Rouge à Lèvres 25 Esparcette - Dernières unités</v>
          </cell>
          <cell r="J1029">
            <v>5.41</v>
          </cell>
        </row>
        <row r="1030">
          <cell r="D1030">
            <v>4020829099081</v>
          </cell>
          <cell r="F1030">
            <v>1060259</v>
          </cell>
          <cell r="G1030" t="str">
            <v>Rouge à Lèvres 26 Hibiscus</v>
          </cell>
          <cell r="J1030">
            <v>5.5389999999999997</v>
          </cell>
        </row>
        <row r="1031">
          <cell r="D1031">
            <v>4020829083998</v>
          </cell>
          <cell r="F1031">
            <v>1060246</v>
          </cell>
          <cell r="G1031" t="str">
            <v>Rouge à Lèvres 26 Hibiscus - Dernières unités avant retour Oct 23</v>
          </cell>
          <cell r="J1031">
            <v>5.41</v>
          </cell>
        </row>
        <row r="1032">
          <cell r="D1032">
            <v>650015499999</v>
          </cell>
          <cell r="F1032">
            <v>6500154</v>
          </cell>
          <cell r="G1032" t="str">
            <v>Rouleau de stickers QR code Crème Purifiante pour le Visage</v>
          </cell>
          <cell r="J1032">
            <v>8.5</v>
          </cell>
        </row>
        <row r="1033">
          <cell r="D1033">
            <v>999999982029</v>
          </cell>
          <cell r="F1033">
            <v>982029</v>
          </cell>
          <cell r="G1033" t="str">
            <v>RÉGULARISATION TVA 19,60%</v>
          </cell>
          <cell r="J1033">
            <v>0</v>
          </cell>
        </row>
        <row r="1034">
          <cell r="F1034">
            <v>7131317</v>
          </cell>
          <cell r="G1034" t="str">
            <v>Réassort - MEA Crème de Jour à l'Abricot</v>
          </cell>
          <cell r="J1034">
            <v>6.52</v>
          </cell>
        </row>
        <row r="1035">
          <cell r="F1035" t="str">
            <v>AV7131317</v>
          </cell>
          <cell r="G1035" t="str">
            <v>Réassort - MEA Crème de Jour à l'Abricot</v>
          </cell>
          <cell r="J1035">
            <v>0</v>
          </cell>
        </row>
        <row r="1036">
          <cell r="F1036" t="str">
            <v>AV7021338</v>
          </cell>
          <cell r="G1036" t="str">
            <v>Réassort - Nouveautés Régénérants Intensifs 2024</v>
          </cell>
          <cell r="J1036">
            <v>0</v>
          </cell>
        </row>
        <row r="1037">
          <cell r="F1037">
            <v>7021338</v>
          </cell>
          <cell r="G1037" t="str">
            <v>Réassort - Nouveautés Régénérants Intensifs 2024</v>
          </cell>
          <cell r="J1037">
            <v>0</v>
          </cell>
        </row>
        <row r="1038">
          <cell r="F1038" t="str">
            <v>AV7131359</v>
          </cell>
          <cell r="G1038" t="str">
            <v>Référencement - Lancement Baumes Stick Lèvres et Joues</v>
          </cell>
          <cell r="J1038">
            <v>0</v>
          </cell>
        </row>
        <row r="1039">
          <cell r="F1039">
            <v>7131359</v>
          </cell>
          <cell r="G1039" t="str">
            <v>Référencement - Lancement Baumes Stick Lèvres et Joues</v>
          </cell>
          <cell r="J1039">
            <v>34.65</v>
          </cell>
        </row>
        <row r="1040">
          <cell r="F1040" t="str">
            <v>AV7131360</v>
          </cell>
          <cell r="G1040" t="str">
            <v>Référencement - Lancement Baumes Stick Lèvres et Joues *sans panneau vitrine*</v>
          </cell>
          <cell r="J1040">
            <v>0</v>
          </cell>
        </row>
        <row r="1041">
          <cell r="F1041">
            <v>7131360</v>
          </cell>
          <cell r="G1041" t="str">
            <v>Référencement - Lancement Baumes Stick Lèvres et Joues *sans panneau vitrine*</v>
          </cell>
          <cell r="J1041">
            <v>34.65</v>
          </cell>
        </row>
        <row r="1042">
          <cell r="F1042" t="str">
            <v>AV7131356</v>
          </cell>
          <cell r="G1042" t="str">
            <v>Référencement - MEA Essentiels de l'été</v>
          </cell>
          <cell r="J1042">
            <v>0</v>
          </cell>
        </row>
        <row r="1043">
          <cell r="F1043">
            <v>7131356</v>
          </cell>
          <cell r="G1043" t="str">
            <v>Référencement - MEA Essentiels de l'été</v>
          </cell>
          <cell r="J1043">
            <v>0</v>
          </cell>
        </row>
        <row r="1044">
          <cell r="F1044" t="str">
            <v>AV7131343</v>
          </cell>
          <cell r="G1044" t="str">
            <v>Référencement - MEA OnPacks 2024</v>
          </cell>
          <cell r="J1044">
            <v>0</v>
          </cell>
        </row>
        <row r="1045">
          <cell r="F1045">
            <v>7131343</v>
          </cell>
          <cell r="G1045" t="str">
            <v>Référencement - MEA OnPacks 2024</v>
          </cell>
          <cell r="J1045">
            <v>0</v>
          </cell>
        </row>
        <row r="1046">
          <cell r="F1046">
            <v>7021337</v>
          </cell>
          <cell r="G1046" t="str">
            <v>Référencement - Nouveautés Régénérants Intensifs 2024 *sans PLV volumineuse*</v>
          </cell>
          <cell r="J1046">
            <v>0</v>
          </cell>
        </row>
        <row r="1047">
          <cell r="F1047" t="str">
            <v>AV7021337</v>
          </cell>
          <cell r="G1047" t="str">
            <v>Référencement - Nouveautés Régénérants Intensifs 2024 *sans PLV volumineuse*</v>
          </cell>
          <cell r="J1047">
            <v>0</v>
          </cell>
        </row>
        <row r="1048">
          <cell r="F1048">
            <v>7021336</v>
          </cell>
          <cell r="G1048" t="str">
            <v>Référencement - Régénérants Intensifs 2024</v>
          </cell>
          <cell r="J1048">
            <v>0</v>
          </cell>
        </row>
        <row r="1049">
          <cell r="F1049" t="str">
            <v>AV7021336</v>
          </cell>
          <cell r="G1049" t="str">
            <v>Référencement - Régénérants Intensifs 2024</v>
          </cell>
          <cell r="J1049">
            <v>0</v>
          </cell>
        </row>
        <row r="1050">
          <cell r="F1050" t="str">
            <v>AV7031327</v>
          </cell>
          <cell r="G1050" t="str">
            <v>Référencement Lait pour le Corps Bergamote Citronnelle</v>
          </cell>
          <cell r="J1050">
            <v>0</v>
          </cell>
        </row>
        <row r="1051">
          <cell r="D1051">
            <v>9999996500103</v>
          </cell>
          <cell r="F1051">
            <v>6500103</v>
          </cell>
          <cell r="G1051" t="str">
            <v xml:space="preserve">Réglette Ajustable Gamme Med </v>
          </cell>
          <cell r="J1051">
            <v>6</v>
          </cell>
        </row>
        <row r="1052">
          <cell r="D1052">
            <v>9999996500063</v>
          </cell>
          <cell r="F1052">
            <v>6500063</v>
          </cell>
          <cell r="G1052" t="str">
            <v>Réglette pour étagère vide avec insert</v>
          </cell>
          <cell r="J1052">
            <v>0.88</v>
          </cell>
        </row>
        <row r="1053">
          <cell r="D1053">
            <v>9999996500138</v>
          </cell>
          <cell r="F1053">
            <v>6500138</v>
          </cell>
          <cell r="G1053" t="str">
            <v>Réglette tiroir pour présentoir actuel mis à jour</v>
          </cell>
          <cell r="J1053">
            <v>2.0699999999999998</v>
          </cell>
        </row>
        <row r="1054">
          <cell r="D1054">
            <v>999999982028</v>
          </cell>
          <cell r="F1054">
            <v>982028</v>
          </cell>
          <cell r="G1054" t="str">
            <v>Régularisation remise</v>
          </cell>
          <cell r="J1054">
            <v>0</v>
          </cell>
        </row>
        <row r="1055">
          <cell r="D1055">
            <v>4020829073623</v>
          </cell>
          <cell r="F1055">
            <v>6600001</v>
          </cell>
          <cell r="G1055" t="str">
            <v>Sac Dr.Hauschka grand modèle</v>
          </cell>
          <cell r="J1055">
            <v>0.47</v>
          </cell>
        </row>
        <row r="1056">
          <cell r="D1056">
            <v>4020829073630</v>
          </cell>
          <cell r="F1056">
            <v>6600002</v>
          </cell>
          <cell r="G1056" t="str">
            <v>Sac Dr.Hauschka petit modèle</v>
          </cell>
          <cell r="J1056">
            <v>0.37</v>
          </cell>
        </row>
        <row r="1057">
          <cell r="D1057">
            <v>3770026497418</v>
          </cell>
          <cell r="F1057">
            <v>1011042</v>
          </cell>
          <cell r="G1057" t="str">
            <v>Sac Les Essentiels de l'Eté - Dr. Hauschka x Laure de Sagazan - 10%</v>
          </cell>
          <cell r="J1057">
            <v>11.29</v>
          </cell>
        </row>
        <row r="1058">
          <cell r="D1058">
            <v>4020829107281</v>
          </cell>
          <cell r="F1058">
            <v>6600043</v>
          </cell>
          <cell r="G1058" t="str">
            <v>Sac cadeau Noël 2024</v>
          </cell>
          <cell r="J1058">
            <v>0.75</v>
          </cell>
        </row>
        <row r="1059">
          <cell r="D1059">
            <v>66000459999</v>
          </cell>
          <cell r="F1059">
            <v>6600045</v>
          </cell>
          <cell r="G1059" t="str">
            <v>Sac vide Laure de Sagazan</v>
          </cell>
          <cell r="J1059">
            <v>6.4</v>
          </cell>
        </row>
        <row r="1060">
          <cell r="D1060">
            <v>992053999999</v>
          </cell>
          <cell r="F1060">
            <v>992053</v>
          </cell>
          <cell r="G1060" t="str">
            <v>Sacoche marmotte de prospection</v>
          </cell>
          <cell r="J1060">
            <v>87</v>
          </cell>
        </row>
        <row r="1061">
          <cell r="D1061">
            <v>9999992080426</v>
          </cell>
          <cell r="F1061">
            <v>2080426</v>
          </cell>
          <cell r="G1061" t="str">
            <v>Serviette de toilette 50 x 100 cm</v>
          </cell>
          <cell r="J1061">
            <v>7.46</v>
          </cell>
        </row>
        <row r="1062">
          <cell r="F1062" t="str">
            <v>SETANIM</v>
          </cell>
          <cell r="G1062" t="str">
            <v>Set Animation Fluide</v>
          </cell>
          <cell r="J1062">
            <v>0</v>
          </cell>
        </row>
        <row r="1063">
          <cell r="D1063">
            <v>99996300176</v>
          </cell>
          <cell r="F1063">
            <v>6300176</v>
          </cell>
          <cell r="G1063" t="str">
            <v>Set de couvertures présentoir sur pied Maquillage</v>
          </cell>
          <cell r="J1063">
            <v>12.95</v>
          </cell>
        </row>
        <row r="1064">
          <cell r="D1064">
            <v>9999996300127</v>
          </cell>
          <cell r="F1064">
            <v>6300127</v>
          </cell>
          <cell r="G1064" t="str">
            <v>Set emballages vides</v>
          </cell>
          <cell r="J1064">
            <v>1.8</v>
          </cell>
        </row>
        <row r="1065">
          <cell r="D1065">
            <v>4020829077430</v>
          </cell>
          <cell r="F1065">
            <v>1040308</v>
          </cell>
          <cell r="G1065" t="str">
            <v>Shampooing - 150 ml</v>
          </cell>
          <cell r="J1065">
            <v>4.7037999999999993</v>
          </cell>
        </row>
        <row r="1066">
          <cell r="D1066">
            <v>4020829085756</v>
          </cell>
          <cell r="F1066">
            <v>1050501</v>
          </cell>
          <cell r="G1066" t="str">
            <v>Shampooing à la Ficoïde à Cristaux - 150 ml</v>
          </cell>
          <cell r="J1066">
            <v>5.3243999999999998</v>
          </cell>
        </row>
        <row r="1067">
          <cell r="D1067">
            <v>105050299999</v>
          </cell>
          <cell r="F1067">
            <v>1850502</v>
          </cell>
          <cell r="G1067" t="str">
            <v>Shampooing à la Ficoïde à Cristaux - 150 ml*DLV 11/24*-15 %*</v>
          </cell>
          <cell r="J1067">
            <v>5.2</v>
          </cell>
        </row>
        <row r="1068">
          <cell r="D1068">
            <v>4020829085787</v>
          </cell>
          <cell r="F1068">
            <v>1050502</v>
          </cell>
          <cell r="G1068" t="str">
            <v>Shampooing-Crème au Rhassoul - 150 ml</v>
          </cell>
          <cell r="J1068">
            <v>6.0609999999999991</v>
          </cell>
        </row>
        <row r="1069">
          <cell r="F1069" t="str">
            <v>9F37</v>
          </cell>
          <cell r="G1069" t="str">
            <v>Soin Future Maman</v>
          </cell>
          <cell r="J1069">
            <v>0</v>
          </cell>
        </row>
        <row r="1070">
          <cell r="F1070" t="str">
            <v>9F36</v>
          </cell>
          <cell r="G1070" t="str">
            <v>Soin Légèreté de la Tête</v>
          </cell>
          <cell r="J1070">
            <v>0</v>
          </cell>
        </row>
        <row r="1071">
          <cell r="F1071" t="str">
            <v>9F34</v>
          </cell>
          <cell r="G1071" t="str">
            <v>Soin Relaxant pour le Corps Dr. Hauschka - 1ère personne</v>
          </cell>
          <cell r="J1071">
            <v>0</v>
          </cell>
        </row>
        <row r="1072">
          <cell r="F1072" t="str">
            <v>9F34-3</v>
          </cell>
          <cell r="G1072" t="str">
            <v>Soin Relaxant pour le Corps Dr. Hauschka - 2ème personne</v>
          </cell>
          <cell r="J1072">
            <v>0</v>
          </cell>
        </row>
        <row r="1073">
          <cell r="F1073" t="str">
            <v>9F38</v>
          </cell>
          <cell r="G1073" t="str">
            <v>Soin Signature Maison Elle</v>
          </cell>
          <cell r="J1073">
            <v>0</v>
          </cell>
        </row>
        <row r="1074">
          <cell r="D1074">
            <v>4020829069329</v>
          </cell>
          <cell r="F1074">
            <v>1050301</v>
          </cell>
          <cell r="G1074" t="str">
            <v>Soin des Lèvres - 5 ml</v>
          </cell>
          <cell r="J1074">
            <v>2.9289999999999998</v>
          </cell>
        </row>
        <row r="1075">
          <cell r="G1075" t="str">
            <v>Soin du Corps Initiation</v>
          </cell>
          <cell r="J1075">
            <v>0</v>
          </cell>
        </row>
        <row r="1076">
          <cell r="D1076">
            <v>999741887</v>
          </cell>
          <cell r="F1076" t="str">
            <v>9F04</v>
          </cell>
          <cell r="G1076" t="str">
            <v>Soin du Visage Dr. Hauschka - 1ère personne</v>
          </cell>
          <cell r="J1076">
            <v>0</v>
          </cell>
        </row>
        <row r="1077">
          <cell r="F1077" t="str">
            <v>9F04-2</v>
          </cell>
          <cell r="G1077" t="str">
            <v>Soin du Visage Dr. Hauschka - 2ème personne</v>
          </cell>
          <cell r="J1077">
            <v>0</v>
          </cell>
        </row>
        <row r="1078">
          <cell r="G1078" t="str">
            <v>Soin plénitude</v>
          </cell>
          <cell r="J1078">
            <v>0</v>
          </cell>
        </row>
        <row r="1079">
          <cell r="D1079">
            <v>4020829068797</v>
          </cell>
          <cell r="F1079">
            <v>9110004</v>
          </cell>
          <cell r="G1079" t="str">
            <v>Sous mains pour animation maquillage</v>
          </cell>
          <cell r="J1079">
            <v>1.37</v>
          </cell>
        </row>
        <row r="1080">
          <cell r="D1080">
            <v>4020829095014</v>
          </cell>
          <cell r="F1080">
            <v>1010406</v>
          </cell>
          <cell r="G1080" t="str">
            <v>Stick Correcteur 01 - 1.9 g</v>
          </cell>
          <cell r="J1080">
            <v>4.0889999999999995</v>
          </cell>
        </row>
        <row r="1081">
          <cell r="D1081">
            <v>4020829095021</v>
          </cell>
          <cell r="F1081">
            <v>1010407</v>
          </cell>
          <cell r="G1081" t="str">
            <v>Stick Correcteur 02 - 1.9 g</v>
          </cell>
          <cell r="J1081">
            <v>4.0889999999999995</v>
          </cell>
        </row>
        <row r="1082">
          <cell r="D1082">
            <v>9999991810601</v>
          </cell>
          <cell r="F1082">
            <v>1810601</v>
          </cell>
          <cell r="G1082" t="str">
            <v>Stick Eclat des Lèvres - 4,9 g</v>
          </cell>
          <cell r="J1082">
            <v>1.69</v>
          </cell>
        </row>
        <row r="1083">
          <cell r="D1083">
            <v>4020829014374</v>
          </cell>
          <cell r="F1083">
            <v>1010601</v>
          </cell>
          <cell r="G1083" t="str">
            <v>Stick Eclat des Lèvres - 4,9 g</v>
          </cell>
          <cell r="J1083">
            <v>2.581</v>
          </cell>
        </row>
        <row r="1084">
          <cell r="D1084">
            <v>9999996500105</v>
          </cell>
          <cell r="F1084">
            <v>6500105</v>
          </cell>
          <cell r="G1084" t="str">
            <v>Sticker institutionnel</v>
          </cell>
          <cell r="J1084">
            <v>3.45</v>
          </cell>
        </row>
        <row r="1085">
          <cell r="D1085">
            <v>4020829105898</v>
          </cell>
          <cell r="F1085">
            <v>6500141</v>
          </cell>
          <cell r="G1085" t="str">
            <v>Sticker vitrine Régénérants Intensifs 2024</v>
          </cell>
          <cell r="J1085">
            <v>8.23</v>
          </cell>
        </row>
        <row r="1086">
          <cell r="D1086">
            <v>9999996500069</v>
          </cell>
          <cell r="F1086">
            <v>6500069</v>
          </cell>
          <cell r="G1086" t="str">
            <v>Stop Rayon Dr. Hauschka Institutionnel</v>
          </cell>
          <cell r="J1086">
            <v>0.9</v>
          </cell>
        </row>
        <row r="1087">
          <cell r="D1087">
            <v>9999996500084</v>
          </cell>
          <cell r="F1087">
            <v>6500084</v>
          </cell>
          <cell r="G1087" t="str">
            <v>Stop Rayon pour Testeur</v>
          </cell>
          <cell r="J1087">
            <v>0.63</v>
          </cell>
        </row>
        <row r="1088">
          <cell r="D1088">
            <v>9999996500129</v>
          </cell>
          <cell r="F1088">
            <v>6500129</v>
          </cell>
          <cell r="G1088" t="str">
            <v>Stop-Rayon - Alice in Food pour Dr. Hauschka</v>
          </cell>
          <cell r="J1088">
            <v>0.99</v>
          </cell>
        </row>
        <row r="1089">
          <cell r="D1089">
            <v>9999996500123</v>
          </cell>
          <cell r="F1089">
            <v>6500123</v>
          </cell>
          <cell r="G1089" t="str">
            <v>Stop-Rayon - Alice in Food pour Dr. Hauschka par 2</v>
          </cell>
          <cell r="J1089">
            <v>1.98</v>
          </cell>
        </row>
        <row r="1090">
          <cell r="D1090">
            <v>9999996500107</v>
          </cell>
          <cell r="F1090">
            <v>6500107</v>
          </cell>
          <cell r="G1090" t="str">
            <v>Stop-Rayon - Certifiés</v>
          </cell>
          <cell r="J1090">
            <v>0.93</v>
          </cell>
        </row>
        <row r="1091">
          <cell r="D1091">
            <v>9999996500108</v>
          </cell>
          <cell r="F1091">
            <v>6500108</v>
          </cell>
          <cell r="G1091" t="str">
            <v>Stop-Rayon - Diagnostic</v>
          </cell>
          <cell r="J1091">
            <v>0.93</v>
          </cell>
        </row>
        <row r="1092">
          <cell r="D1092">
            <v>9999996500106</v>
          </cell>
          <cell r="F1092">
            <v>6500106</v>
          </cell>
          <cell r="G1092" t="str">
            <v>Stop-Rayon - Prix Découverte</v>
          </cell>
          <cell r="J1092">
            <v>0.99</v>
          </cell>
        </row>
        <row r="1093">
          <cell r="D1093">
            <v>9999996500117</v>
          </cell>
          <cell r="F1093">
            <v>6500117</v>
          </cell>
          <cell r="G1093" t="str">
            <v>Stop-Rayon - Rituel Pureté</v>
          </cell>
          <cell r="J1093">
            <v>0.99</v>
          </cell>
        </row>
        <row r="1094">
          <cell r="D1094">
            <v>9999996500110</v>
          </cell>
          <cell r="F1094">
            <v>6500110</v>
          </cell>
          <cell r="G1094" t="str">
            <v>Stop-Rayon - Vierge</v>
          </cell>
          <cell r="J1094">
            <v>0.93</v>
          </cell>
        </row>
        <row r="1095">
          <cell r="D1095">
            <v>9999996500079</v>
          </cell>
          <cell r="F1095">
            <v>6500079</v>
          </cell>
          <cell r="G1095" t="str">
            <v>Stop-Rayon Beauté Stars</v>
          </cell>
          <cell r="J1095">
            <v>0.73</v>
          </cell>
        </row>
        <row r="1096">
          <cell r="D1096">
            <v>9999996500120</v>
          </cell>
          <cell r="F1096">
            <v>6500120</v>
          </cell>
          <cell r="G1096" t="str">
            <v>Stop-Rayon – Trousse Rituel Découverte</v>
          </cell>
          <cell r="J1096">
            <v>1</v>
          </cell>
        </row>
        <row r="1097">
          <cell r="D1097">
            <v>9999996500131</v>
          </cell>
          <cell r="F1097">
            <v>6500131</v>
          </cell>
          <cell r="G1097" t="str">
            <v>Stop-rayon MEA Crème de Jour à l'Abricot</v>
          </cell>
          <cell r="J1097">
            <v>1</v>
          </cell>
        </row>
        <row r="1098">
          <cell r="D1098">
            <v>650015199999</v>
          </cell>
          <cell r="F1098">
            <v>6500151</v>
          </cell>
          <cell r="G1098" t="str">
            <v>Stop-rayon OPCA Huiles et Laits</v>
          </cell>
          <cell r="J1098">
            <v>1.5</v>
          </cell>
        </row>
        <row r="1099">
          <cell r="D1099">
            <v>6500159999999</v>
          </cell>
          <cell r="F1099">
            <v>6500159</v>
          </cell>
          <cell r="G1099" t="str">
            <v>Stop-rayon OPCA Maquillage Printemps 2025</v>
          </cell>
          <cell r="J1099">
            <v>4.74</v>
          </cell>
        </row>
        <row r="1100">
          <cell r="D1100">
            <v>650015799999</v>
          </cell>
          <cell r="F1100">
            <v>6500157</v>
          </cell>
          <cell r="G1100" t="str">
            <v>Stop-rayon OPCA Régénérants 2025</v>
          </cell>
          <cell r="J1100">
            <v>1.5</v>
          </cell>
        </row>
        <row r="1101">
          <cell r="D1101">
            <v>650015399999</v>
          </cell>
          <cell r="F1101">
            <v>6500153</v>
          </cell>
          <cell r="G1101" t="str">
            <v>Stop-rayon OPCA Teint Parfait</v>
          </cell>
          <cell r="J1101">
            <v>0</v>
          </cell>
        </row>
        <row r="1102">
          <cell r="D1102">
            <v>6500162999999</v>
          </cell>
          <cell r="F1102">
            <v>6500162</v>
          </cell>
          <cell r="G1102" t="str">
            <v>Stop-rayon OPCA estivale 2025</v>
          </cell>
          <cell r="J1102">
            <v>0</v>
          </cell>
        </row>
        <row r="1103">
          <cell r="G1103" t="str">
            <v>Stop-rayon collaboration Laure de Sagazan</v>
          </cell>
          <cell r="J1103">
            <v>0</v>
          </cell>
        </row>
        <row r="1104">
          <cell r="D1104">
            <v>650014799999</v>
          </cell>
          <cell r="F1104">
            <v>6500147</v>
          </cell>
          <cell r="G1104" t="str">
            <v>Stop-rayon collaboration Laure de Sagazan</v>
          </cell>
          <cell r="J1104">
            <v>1</v>
          </cell>
        </row>
        <row r="1105">
          <cell r="G1105" t="str">
            <v>Stop-rayon collaboration Laure de Sagazan</v>
          </cell>
          <cell r="J1105">
            <v>0</v>
          </cell>
        </row>
        <row r="1106">
          <cell r="F1106">
            <v>6500163</v>
          </cell>
          <cell r="G1106" t="str">
            <v>Stop-rayon nouveauté Crème Solaire pour le Visage Teintée SPF 30</v>
          </cell>
          <cell r="J1106">
            <v>0</v>
          </cell>
        </row>
        <row r="1107">
          <cell r="D1107">
            <v>6500143999999</v>
          </cell>
          <cell r="F1107">
            <v>6500143</v>
          </cell>
          <cell r="G1107" t="str">
            <v>Stop-rayon nouveautés Régénérants Intensifs 2024</v>
          </cell>
          <cell r="J1107">
            <v>1.07</v>
          </cell>
        </row>
        <row r="1108">
          <cell r="D1108">
            <v>9999996200003</v>
          </cell>
          <cell r="F1108">
            <v>6200003</v>
          </cell>
          <cell r="G1108" t="str">
            <v>Support pour présentoir étagère</v>
          </cell>
          <cell r="J1108">
            <v>228</v>
          </cell>
        </row>
        <row r="1109">
          <cell r="D1109">
            <v>9999998020717</v>
          </cell>
          <cell r="F1109">
            <v>8020717</v>
          </cell>
          <cell r="G1109" t="str">
            <v>Sérum Contour des Yeux - Régénérant Intensif -15 ml</v>
          </cell>
          <cell r="J1109">
            <v>0</v>
          </cell>
        </row>
        <row r="1110">
          <cell r="D1110">
            <v>4020829101067</v>
          </cell>
          <cell r="F1110">
            <v>1020717</v>
          </cell>
          <cell r="G1110" t="str">
            <v>Sérum Contour des Yeux - Régénérant Intensif -15 ml</v>
          </cell>
          <cell r="J1110">
            <v>17.817599999999999</v>
          </cell>
        </row>
        <row r="1111">
          <cell r="F1111">
            <v>1820717</v>
          </cell>
          <cell r="G1111" t="str">
            <v>Sérum Contour des Yeux - Régénérant Intensif -15 ml*DLV 07/25*-10%*</v>
          </cell>
          <cell r="J1111">
            <v>17.64</v>
          </cell>
        </row>
        <row r="1112">
          <cell r="D1112">
            <v>4020829074101</v>
          </cell>
          <cell r="F1112">
            <v>1020704</v>
          </cell>
          <cell r="G1112" t="str">
            <v>Sérum Huile Régénérant Intensif - 20 ml</v>
          </cell>
          <cell r="J1112">
            <v>18.239999999999998</v>
          </cell>
        </row>
        <row r="1113">
          <cell r="F1113">
            <v>1820704</v>
          </cell>
          <cell r="G1113" t="str">
            <v>Sérum Huile Régénérant Intensif - 20 ml*DLV 05/25*-20%*</v>
          </cell>
          <cell r="J1113">
            <v>17.97</v>
          </cell>
        </row>
        <row r="1114">
          <cell r="D1114">
            <v>4020829103115</v>
          </cell>
          <cell r="F1114">
            <v>1020202</v>
          </cell>
          <cell r="G1114" t="str">
            <v>Sérum Jour/Nuit - Régénérant - 30 ml</v>
          </cell>
          <cell r="J1114">
            <v>15.839799999999999</v>
          </cell>
        </row>
        <row r="1115">
          <cell r="D1115">
            <v>4020829007390</v>
          </cell>
          <cell r="F1115">
            <v>1020201</v>
          </cell>
          <cell r="G1115" t="str">
            <v>Sérum Régénérant Jour/Nuit - 30 ml</v>
          </cell>
          <cell r="J1115">
            <v>15.68</v>
          </cell>
        </row>
        <row r="1116">
          <cell r="D1116">
            <v>4020829065437</v>
          </cell>
          <cell r="F1116">
            <v>1010209</v>
          </cell>
          <cell r="G1116" t="str">
            <v xml:space="preserve">Sérum Tonifiant Nuit - 20 ml </v>
          </cell>
          <cell r="J1116">
            <v>8.2707999999999995</v>
          </cell>
        </row>
        <row r="1117">
          <cell r="D1117">
            <v>4020829101111</v>
          </cell>
          <cell r="F1117">
            <v>1020718</v>
          </cell>
          <cell r="G1117" t="str">
            <v>Sérum de Nuit - Régénérant Intensif - 30 ml</v>
          </cell>
          <cell r="J1117">
            <v>18.2758</v>
          </cell>
        </row>
        <row r="1118">
          <cell r="D1118">
            <v>9999998020718</v>
          </cell>
          <cell r="F1118">
            <v>8020718</v>
          </cell>
          <cell r="G1118" t="str">
            <v>Sérum de Nuit - Régénérant Intensif - 30 ml</v>
          </cell>
          <cell r="J1118">
            <v>0</v>
          </cell>
        </row>
        <row r="1119">
          <cell r="G1119" t="str">
            <v>Sérum de Nuit - Régénérant Intensif - 30 ml*DLV 06/2025*- 10%*</v>
          </cell>
          <cell r="J1119">
            <v>0</v>
          </cell>
        </row>
        <row r="1120">
          <cell r="D1120">
            <v>182071899999</v>
          </cell>
          <cell r="F1120">
            <v>1820718</v>
          </cell>
          <cell r="G1120" t="str">
            <v>Sérum de Nuit - Régénérant Intensif - 30 ml*DLV 06/2025*-20%*</v>
          </cell>
          <cell r="J1120">
            <v>18.100000000000001</v>
          </cell>
        </row>
        <row r="1121">
          <cell r="D1121">
            <v>9999992080403</v>
          </cell>
          <cell r="F1121">
            <v>2080403</v>
          </cell>
          <cell r="G1121" t="str">
            <v>T-Shirt Dr. Hauschka Blanc - taille L</v>
          </cell>
          <cell r="J1121">
            <v>29.96</v>
          </cell>
        </row>
        <row r="1122">
          <cell r="D1122">
            <v>9999992080402</v>
          </cell>
          <cell r="F1122">
            <v>2080402</v>
          </cell>
          <cell r="G1122" t="str">
            <v>T-Shirt Dr. Hauschka Blanc - taille M</v>
          </cell>
          <cell r="J1122">
            <v>29.96</v>
          </cell>
        </row>
        <row r="1123">
          <cell r="D1123">
            <v>9999992080401</v>
          </cell>
          <cell r="F1123">
            <v>2080401</v>
          </cell>
          <cell r="G1123" t="str">
            <v>T-Shirt Dr. Hauschka Blanc - taille S</v>
          </cell>
          <cell r="J1123">
            <v>29.96</v>
          </cell>
        </row>
        <row r="1124">
          <cell r="D1124">
            <v>9999992080405</v>
          </cell>
          <cell r="F1124">
            <v>2080405</v>
          </cell>
          <cell r="G1124" t="str">
            <v>T-Shirt Dr. Hauschka Blanc - taille XL</v>
          </cell>
          <cell r="J1124">
            <v>29.96</v>
          </cell>
        </row>
        <row r="1125">
          <cell r="D1125">
            <v>9999992080404</v>
          </cell>
          <cell r="F1125">
            <v>2080404</v>
          </cell>
          <cell r="G1125" t="str">
            <v>T-Shirt Dr. Hauschka Blanc - taille XS</v>
          </cell>
          <cell r="J1125">
            <v>29.96</v>
          </cell>
        </row>
        <row r="1126">
          <cell r="D1126">
            <v>9999992080421</v>
          </cell>
          <cell r="F1126">
            <v>2080421</v>
          </cell>
          <cell r="G1126" t="str">
            <v>T-Shirt Dr. Hauschka Maquillage 2017 - taille L</v>
          </cell>
          <cell r="J1126">
            <v>20.8</v>
          </cell>
        </row>
        <row r="1127">
          <cell r="D1127">
            <v>9999992080422</v>
          </cell>
          <cell r="F1127">
            <v>2080422</v>
          </cell>
          <cell r="G1127" t="str">
            <v>T-Shirt Dr. Hauschka Maquillage 2017 - taille XL</v>
          </cell>
          <cell r="J1127">
            <v>20.8</v>
          </cell>
        </row>
        <row r="1128">
          <cell r="D1128">
            <v>9999992080423</v>
          </cell>
          <cell r="F1128">
            <v>2080423</v>
          </cell>
          <cell r="G1128" t="str">
            <v>T-Shirt Dr. Hauschka Maquillage 2017 - taille XS</v>
          </cell>
          <cell r="J1128">
            <v>20.8</v>
          </cell>
        </row>
        <row r="1129">
          <cell r="D1129">
            <v>9999992080408</v>
          </cell>
          <cell r="F1129">
            <v>2080408</v>
          </cell>
          <cell r="G1129" t="str">
            <v>T-Shirt Dr. Hauschka Noir - taille L</v>
          </cell>
          <cell r="J1129">
            <v>20.5</v>
          </cell>
        </row>
        <row r="1130">
          <cell r="D1130">
            <v>9999992080410</v>
          </cell>
          <cell r="F1130">
            <v>2080410</v>
          </cell>
          <cell r="G1130" t="str">
            <v>T-Shirt Dr. Hauschka Noir - taille XL</v>
          </cell>
          <cell r="J1130">
            <v>20.5</v>
          </cell>
        </row>
        <row r="1131">
          <cell r="D1131">
            <v>4020829047815</v>
          </cell>
          <cell r="F1131">
            <v>1061207</v>
          </cell>
          <cell r="G1131" t="str">
            <v>Taille crayon</v>
          </cell>
          <cell r="J1131">
            <v>0.7</v>
          </cell>
        </row>
        <row r="1132">
          <cell r="D1132">
            <v>4020829071827</v>
          </cell>
          <cell r="F1132">
            <v>1061209</v>
          </cell>
          <cell r="G1132" t="str">
            <v>Taille crayon High Spirit</v>
          </cell>
          <cell r="J1132">
            <v>0.43</v>
          </cell>
        </row>
        <row r="1133">
          <cell r="D1133">
            <v>4020829094208</v>
          </cell>
          <cell r="F1133">
            <v>3010117</v>
          </cell>
          <cell r="G1133" t="str">
            <v>Testeur - Baume Lacté Nettoyant - 30 ml</v>
          </cell>
          <cell r="J1133">
            <v>1.57</v>
          </cell>
        </row>
        <row r="1134">
          <cell r="D1134">
            <v>4020829094079</v>
          </cell>
          <cell r="F1134">
            <v>3010116</v>
          </cell>
          <cell r="G1134" t="str">
            <v>Testeur - Baume Lacté Nettoyant - 75 ml - 15% comprise</v>
          </cell>
          <cell r="J1134">
            <v>3.55</v>
          </cell>
        </row>
        <row r="1135">
          <cell r="D1135">
            <v>4020829102903</v>
          </cell>
          <cell r="F1135">
            <v>3060731</v>
          </cell>
          <cell r="G1135" t="str">
            <v>Testeur - Baume Stick Lèvres et Joues 01 pêche</v>
          </cell>
          <cell r="J1135">
            <v>5.81</v>
          </cell>
        </row>
        <row r="1136">
          <cell r="D1136">
            <v>4020829102958</v>
          </cell>
          <cell r="F1136">
            <v>3060732</v>
          </cell>
          <cell r="G1136" t="str">
            <v>Testeur - Baume Stick Lèvres et Joues 03 bois de rose</v>
          </cell>
          <cell r="J1136">
            <v>5.81</v>
          </cell>
        </row>
        <row r="1137">
          <cell r="D1137">
            <v>4020829102927</v>
          </cell>
          <cell r="F1137">
            <v>3060733</v>
          </cell>
          <cell r="G1137" t="str">
            <v>Testeur - Baume Stick Lèvres et Joues 04 doré</v>
          </cell>
          <cell r="J1137">
            <v>5.81</v>
          </cell>
        </row>
        <row r="1138">
          <cell r="D1138">
            <v>4020829098572</v>
          </cell>
          <cell r="F1138">
            <v>3060721</v>
          </cell>
          <cell r="G1138" t="str">
            <v>Testeur - Blush 01 - Framboise -15% inclus</v>
          </cell>
          <cell r="J1138">
            <v>4.07</v>
          </cell>
        </row>
        <row r="1139">
          <cell r="D1139">
            <v>4020829098596</v>
          </cell>
          <cell r="F1139">
            <v>3060722</v>
          </cell>
          <cell r="G1139" t="str">
            <v>Testeur - Blush 02 - Abricot -15% inclus</v>
          </cell>
          <cell r="J1139">
            <v>4.07</v>
          </cell>
        </row>
        <row r="1140">
          <cell r="D1140">
            <v>4020829098268</v>
          </cell>
          <cell r="F1140">
            <v>3060911</v>
          </cell>
          <cell r="G1140" t="str">
            <v>Testeur - Concealer 01 macadamia - 15% comprise</v>
          </cell>
          <cell r="J1140">
            <v>3.79</v>
          </cell>
        </row>
        <row r="1141">
          <cell r="D1141">
            <v>4020829098275</v>
          </cell>
          <cell r="F1141">
            <v>3060912</v>
          </cell>
          <cell r="G1141" t="str">
            <v>Testeur - Concealer 02 châtaigne - 15% comprise</v>
          </cell>
          <cell r="J1141">
            <v>3.79</v>
          </cell>
        </row>
        <row r="1142">
          <cell r="D1142">
            <v>4020829098497</v>
          </cell>
          <cell r="F1142">
            <v>3060910</v>
          </cell>
          <cell r="G1142" t="str">
            <v>Testeur - Concealer éclat 00 transparent - 15% comprise</v>
          </cell>
          <cell r="J1142">
            <v>3.79</v>
          </cell>
        </row>
        <row r="1143">
          <cell r="D1143">
            <v>4020829098305</v>
          </cell>
          <cell r="F1143">
            <v>3060521</v>
          </cell>
          <cell r="G1143" t="str">
            <v>Testeur - Crayon Contour des Yeux 01 noir - 15% comprise</v>
          </cell>
          <cell r="J1143">
            <v>3.27</v>
          </cell>
        </row>
        <row r="1144">
          <cell r="D1144">
            <v>4020829098312</v>
          </cell>
          <cell r="F1144">
            <v>3060522</v>
          </cell>
          <cell r="G1144" t="str">
            <v>Testeur - Crayon Contour des Yeux 02 brun - 15% comprise</v>
          </cell>
          <cell r="J1144">
            <v>3.27</v>
          </cell>
        </row>
        <row r="1145">
          <cell r="D1145">
            <v>4020829098329</v>
          </cell>
          <cell r="F1145">
            <v>3060523</v>
          </cell>
          <cell r="G1145" t="str">
            <v>Testeur - Crayon Contour des Yeux 05 taupe - 15% comprise</v>
          </cell>
          <cell r="J1145">
            <v>3.27</v>
          </cell>
        </row>
        <row r="1146">
          <cell r="D1146">
            <v>4020829098503</v>
          </cell>
          <cell r="F1146">
            <v>3060411</v>
          </cell>
          <cell r="G1146" t="str">
            <v>Testeur - Crayon à Lèvres Precision 00 transparent - 15% comprise</v>
          </cell>
          <cell r="J1146">
            <v>3.27</v>
          </cell>
        </row>
        <row r="1147">
          <cell r="D1147">
            <v>4020829098510</v>
          </cell>
          <cell r="F1147">
            <v>3060412</v>
          </cell>
          <cell r="G1147" t="str">
            <v>Testeur - Crayon à Lèvres Precision 01 liriodendron - 15% comprise</v>
          </cell>
          <cell r="J1147">
            <v>3.27</v>
          </cell>
        </row>
        <row r="1148">
          <cell r="D1148">
            <v>4020829098527</v>
          </cell>
          <cell r="F1148">
            <v>3060413</v>
          </cell>
          <cell r="G1148" t="str">
            <v>Testeur - Crayon à Lèvres Precision 04 cumaru - 15% comprise</v>
          </cell>
          <cell r="J1148">
            <v>3.27</v>
          </cell>
        </row>
        <row r="1149">
          <cell r="D1149">
            <v>4020829097025</v>
          </cell>
          <cell r="F1149">
            <v>3060531</v>
          </cell>
          <cell r="G1149" t="str">
            <v>Testeur - Crayon à Sourcils 01 brun clair - 15% comprise</v>
          </cell>
          <cell r="J1149">
            <v>3.27</v>
          </cell>
        </row>
        <row r="1150">
          <cell r="D1150">
            <v>4020829097049</v>
          </cell>
          <cell r="F1150">
            <v>3060532</v>
          </cell>
          <cell r="G1150" t="str">
            <v>Testeur - Crayon à Sourcils 02 brun foncé - 15% comprise</v>
          </cell>
          <cell r="J1150">
            <v>3.27</v>
          </cell>
        </row>
        <row r="1151">
          <cell r="D1151">
            <v>4020829006461</v>
          </cell>
          <cell r="F1151">
            <v>3010503</v>
          </cell>
          <cell r="G1151" t="str">
            <v>Testeur - Crème Fluide Contour des Yeux 12,5 ml - 15% comprise</v>
          </cell>
          <cell r="J1151">
            <v>6.07</v>
          </cell>
        </row>
        <row r="1152">
          <cell r="D1152">
            <v>4020829004634</v>
          </cell>
          <cell r="F1152">
            <v>3030403</v>
          </cell>
          <cell r="G1152" t="str">
            <v>Testeur - Crème Hydratante pour les Pieds 75 ml - 15% comprise</v>
          </cell>
          <cell r="J1152">
            <v>3.28</v>
          </cell>
        </row>
        <row r="1153">
          <cell r="D1153">
            <v>4020829051270</v>
          </cell>
          <cell r="F1153">
            <v>3020102</v>
          </cell>
          <cell r="G1153" t="str">
            <v>Testeur - Crème Mains Régénérante 50 ml - 15% comprise</v>
          </cell>
          <cell r="J1153">
            <v>4.8099999999999996</v>
          </cell>
        </row>
        <row r="1154">
          <cell r="D1154">
            <v>4020829004610</v>
          </cell>
          <cell r="F1154">
            <v>3010101</v>
          </cell>
          <cell r="G1154" t="str">
            <v>Testeur - Crème Purifiante pour le Visage 50 ml - 15% comprise</v>
          </cell>
          <cell r="J1154">
            <v>2.91</v>
          </cell>
        </row>
        <row r="1155">
          <cell r="D1155">
            <v>4020829104495</v>
          </cell>
          <cell r="F1155">
            <v>3010119</v>
          </cell>
          <cell r="G1155" t="str">
            <v>Testeur - Crème Purifiante pour le Visage 50 ml Edition Limitée 2024 - 15% comprise</v>
          </cell>
          <cell r="J1155">
            <v>2.84</v>
          </cell>
        </row>
        <row r="1156">
          <cell r="D1156">
            <v>4020829013940</v>
          </cell>
          <cell r="F1156">
            <v>3020401</v>
          </cell>
          <cell r="G1156" t="str">
            <v>Testeur - Crème Régénérante Contour des Yeux 15 ml - 15% comprise</v>
          </cell>
          <cell r="J1156">
            <v>11.36</v>
          </cell>
        </row>
        <row r="1157">
          <cell r="D1157">
            <v>4020829008397</v>
          </cell>
          <cell r="F1157">
            <v>3020302</v>
          </cell>
          <cell r="G1157" t="str">
            <v>Testeur - Crème Régénérante Cou et Décolleté 40 ml - 15% comprise</v>
          </cell>
          <cell r="J1157">
            <v>10.11</v>
          </cell>
        </row>
        <row r="1158">
          <cell r="D1158">
            <v>4020829088986</v>
          </cell>
          <cell r="F1158">
            <v>3030503</v>
          </cell>
          <cell r="G1158" t="str">
            <v>Testeur - Crème Solaire pour le Visage Teintée SPF 30 - 40ml - 15% comprise</v>
          </cell>
          <cell r="J1158">
            <v>5.94</v>
          </cell>
        </row>
        <row r="1159">
          <cell r="D1159">
            <v>4020829103207</v>
          </cell>
          <cell r="F1159">
            <v>3020720</v>
          </cell>
          <cell r="G1159" t="str">
            <v>Testeur - Crème de Jour - Régénérant Intensif - 40ml - 15 % comprise</v>
          </cell>
          <cell r="J1159">
            <v>12.59</v>
          </cell>
        </row>
        <row r="1160">
          <cell r="D1160">
            <v>4020829006775</v>
          </cell>
          <cell r="F1160">
            <v>3010302</v>
          </cell>
          <cell r="G1160" t="str">
            <v>Testeur - Crème de Jour Légère à la Rose 30 ml - 15% comprise</v>
          </cell>
          <cell r="J1160">
            <v>5.18</v>
          </cell>
        </row>
        <row r="1161">
          <cell r="D1161">
            <v>4020829109391</v>
          </cell>
          <cell r="F1161">
            <v>3010384</v>
          </cell>
          <cell r="G1161" t="str">
            <v>Testeur - Crème de Jour Légère à la Rose 30 ml Édition Limitée 2025 - 15% comprise</v>
          </cell>
          <cell r="J1161">
            <v>5.13</v>
          </cell>
        </row>
        <row r="1162">
          <cell r="D1162">
            <v>4020829097131</v>
          </cell>
          <cell r="F1162">
            <v>3010375</v>
          </cell>
          <cell r="G1162" t="str">
            <v>Testeur - Crème de Jour Légère à la Rose 30ml Edition Limitée 2023</v>
          </cell>
          <cell r="J1162">
            <v>4.9800000000000004</v>
          </cell>
        </row>
        <row r="1163">
          <cell r="D1163">
            <v>4020829104488</v>
          </cell>
          <cell r="F1163">
            <v>3010382</v>
          </cell>
          <cell r="G1163" t="str">
            <v>Testeur - Crème de Jour Légère à la Rose Edition Limitée 30 ml 2024 - 15% comprise</v>
          </cell>
          <cell r="J1163">
            <v>5.05</v>
          </cell>
        </row>
        <row r="1164">
          <cell r="D1164">
            <v>4020829007123</v>
          </cell>
          <cell r="F1164">
            <v>3020301</v>
          </cell>
          <cell r="G1164" t="str">
            <v>Testeur - Crème de Jour Régénérante 40 ml - 15% comprise</v>
          </cell>
          <cell r="J1164">
            <v>10.85</v>
          </cell>
        </row>
        <row r="1165">
          <cell r="D1165">
            <v>4020829061026</v>
          </cell>
          <cell r="F1165">
            <v>3020310</v>
          </cell>
          <cell r="G1165" t="str">
            <v>Testeur - Crème de Jour Régénérante Eclat du Teint 40 ml - 15% comprise</v>
          </cell>
          <cell r="J1165">
            <v>11.88</v>
          </cell>
        </row>
        <row r="1166">
          <cell r="D1166">
            <v>4020829074071</v>
          </cell>
          <cell r="F1166">
            <v>3020703</v>
          </cell>
          <cell r="G1166" t="str">
            <v>Testeur - Crème de Jour Régénérante Intensive - 40 ml - 15 % comprise</v>
          </cell>
          <cell r="J1166">
            <v>12.29</v>
          </cell>
        </row>
        <row r="1167">
          <cell r="D1167">
            <v>4020829039087</v>
          </cell>
          <cell r="F1167">
            <v>3010320</v>
          </cell>
          <cell r="G1167" t="str">
            <v>Testeur - Crème de Jour Teintée 30 ml - 15% comprise</v>
          </cell>
          <cell r="J1167">
            <v>5.43</v>
          </cell>
        </row>
        <row r="1168">
          <cell r="D1168">
            <v>4020829005761</v>
          </cell>
          <cell r="F1168">
            <v>3010305</v>
          </cell>
          <cell r="G1168" t="str">
            <v>Testeur - Crème de Jour au Coing 30 ml - 15% comprise</v>
          </cell>
          <cell r="J1168">
            <v>4.55</v>
          </cell>
        </row>
        <row r="1169">
          <cell r="D1169">
            <v>4020829100671</v>
          </cell>
          <cell r="F1169">
            <v>3010377</v>
          </cell>
          <cell r="G1169" t="str">
            <v>Testeur - Crème de Jour à l'Abricot - 30 ml - 15% comprise</v>
          </cell>
          <cell r="J1169">
            <v>4.9400000000000004</v>
          </cell>
        </row>
        <row r="1170">
          <cell r="D1170">
            <v>4020829008809</v>
          </cell>
          <cell r="F1170">
            <v>3010306</v>
          </cell>
          <cell r="G1170" t="str">
            <v>Testeur - Crème de Jour à la Mélisse 30 ml  - 15% comprise</v>
          </cell>
          <cell r="J1170">
            <v>4.9400000000000004</v>
          </cell>
        </row>
        <row r="1171">
          <cell r="D1171">
            <v>4020829006225</v>
          </cell>
          <cell r="F1171">
            <v>3010310</v>
          </cell>
          <cell r="G1171" t="str">
            <v>Testeur - Crème de Jour à la Rose 30 ml - 15% comprise</v>
          </cell>
          <cell r="J1171">
            <v>5.18</v>
          </cell>
        </row>
        <row r="1172">
          <cell r="D1172">
            <v>4020829005679</v>
          </cell>
          <cell r="F1172">
            <v>3030301</v>
          </cell>
          <cell r="G1172" t="str">
            <v>Testeur - Crème pour les Mains 50 ml - 15% comprise</v>
          </cell>
          <cell r="J1172">
            <v>2.79</v>
          </cell>
        </row>
        <row r="1173">
          <cell r="D1173">
            <v>4020829104501</v>
          </cell>
          <cell r="F1173">
            <v>3030310</v>
          </cell>
          <cell r="G1173" t="str">
            <v>Testeur - Crème pour les Mains 50 ml Edition Limitée 2024 - 15% comprise</v>
          </cell>
          <cell r="J1173">
            <v>2.72</v>
          </cell>
        </row>
        <row r="1174">
          <cell r="D1174">
            <v>4020829106567</v>
          </cell>
          <cell r="F1174">
            <v>3030311</v>
          </cell>
          <cell r="G1174" t="str">
            <v>Testeur - Crème pour les Mains 50ml Edition Limitée Noël - 15% comprise 2024</v>
          </cell>
          <cell r="J1174">
            <v>2.76</v>
          </cell>
        </row>
        <row r="1175">
          <cell r="D1175">
            <v>4020829103016</v>
          </cell>
          <cell r="F1175">
            <v>3020721</v>
          </cell>
          <cell r="G1175" t="str">
            <v>Testeur - Cure Fortifiante - Régénérant - 40ml - 15% comprise</v>
          </cell>
          <cell r="J1175">
            <v>12.37</v>
          </cell>
        </row>
        <row r="1176">
          <cell r="D1176">
            <v>4020829097674</v>
          </cell>
          <cell r="F1176">
            <v>3010724</v>
          </cell>
          <cell r="G1176" t="str">
            <v>Testeur - Cure Intensive Clarifiante (avant 25 ans) - 40 ml - 15% comprise</v>
          </cell>
          <cell r="J1176">
            <v>9.33</v>
          </cell>
        </row>
        <row r="1177">
          <cell r="D1177">
            <v>4020829007017</v>
          </cell>
          <cell r="F1177">
            <v>3010711</v>
          </cell>
          <cell r="G1177" t="str">
            <v>Testeur - Cure Intensive Clarifiante (avant 25 ans) 40 ml - 15% comprise</v>
          </cell>
          <cell r="J1177">
            <v>5.98</v>
          </cell>
        </row>
        <row r="1178">
          <cell r="D1178">
            <v>4020829097667</v>
          </cell>
          <cell r="F1178">
            <v>3010725</v>
          </cell>
          <cell r="G1178" t="str">
            <v>Testeur - Cure Intensive Clarifiante (à partir de 25 ans) - 40 ml - 15% comprise</v>
          </cell>
          <cell r="J1178">
            <v>9.33</v>
          </cell>
        </row>
        <row r="1179">
          <cell r="D1179">
            <v>4020829097681</v>
          </cell>
          <cell r="F1179">
            <v>3020715</v>
          </cell>
          <cell r="G1179" t="str">
            <v>Testeur - Cure Intensive Régénérante 40 ml - 15% comprise</v>
          </cell>
          <cell r="J1179">
            <v>12.25</v>
          </cell>
        </row>
        <row r="1180">
          <cell r="D1180">
            <v>4020829103009</v>
          </cell>
          <cell r="F1180">
            <v>3020722</v>
          </cell>
          <cell r="G1180" t="str">
            <v>Testeur - Cure Intensive Rééquilibrante - Régénérant 40ml - 15% comprise</v>
          </cell>
          <cell r="J1180">
            <v>12.37</v>
          </cell>
        </row>
        <row r="1181">
          <cell r="D1181">
            <v>4020829007055</v>
          </cell>
          <cell r="F1181">
            <v>3020702</v>
          </cell>
          <cell r="G1181" t="str">
            <v>Testeur - Cure Intensive Rééquilibrante 40 ml - 15% comprise</v>
          </cell>
          <cell r="J1181">
            <v>12.07</v>
          </cell>
        </row>
        <row r="1182">
          <cell r="D1182">
            <v>4020829097704</v>
          </cell>
          <cell r="F1182">
            <v>3020716</v>
          </cell>
          <cell r="G1182" t="str">
            <v>Testeur - Cure Intensive Rééquilibrante 40 ml - 15% comprise</v>
          </cell>
          <cell r="J1182">
            <v>12.37</v>
          </cell>
        </row>
        <row r="1183">
          <cell r="D1183">
            <v>4020829063174</v>
          </cell>
          <cell r="F1183">
            <v>3010110</v>
          </cell>
          <cell r="G1183" t="str">
            <v>Testeur - Démaquillant pour les Yeux 75 ml - 15% comprise</v>
          </cell>
          <cell r="J1183">
            <v>4.45</v>
          </cell>
        </row>
        <row r="1184">
          <cell r="D1184">
            <v>4020829072831</v>
          </cell>
          <cell r="F1184">
            <v>3010353</v>
          </cell>
          <cell r="G1184" t="str">
            <v>Testeur - Emulsion Teintée - 18 ml - 15 % comprise</v>
          </cell>
          <cell r="J1184">
            <v>4.21</v>
          </cell>
        </row>
        <row r="1185">
          <cell r="D1185">
            <v>4020829098534</v>
          </cell>
          <cell r="F1185">
            <v>3060605</v>
          </cell>
          <cell r="G1185" t="str">
            <v>Testeur - Eyeliner liquide 01 noir - 15% comprise</v>
          </cell>
          <cell r="J1185">
            <v>4.03</v>
          </cell>
        </row>
        <row r="1186">
          <cell r="D1186">
            <v>4020829097148</v>
          </cell>
          <cell r="F1186">
            <v>3010374</v>
          </cell>
          <cell r="G1186" t="str">
            <v>Testeur - Fluide Apaisant 50ml Edition Limitée 2023</v>
          </cell>
          <cell r="J1186">
            <v>5.38</v>
          </cell>
        </row>
        <row r="1187">
          <cell r="D1187">
            <v>4020829099180</v>
          </cell>
          <cell r="F1187">
            <v>3061029</v>
          </cell>
          <cell r="G1187" t="str">
            <v>Testeur - Fluide Eclat - 15% comprise</v>
          </cell>
          <cell r="J1187">
            <v>5.64</v>
          </cell>
        </row>
        <row r="1188">
          <cell r="D1188">
            <v>4020829080607</v>
          </cell>
          <cell r="F1188">
            <v>3010360</v>
          </cell>
          <cell r="G1188" t="str">
            <v>Testeur - Fluide de Jour Apaisant - 50 ml - 15% compris</v>
          </cell>
          <cell r="J1188">
            <v>5.6</v>
          </cell>
        </row>
        <row r="1189">
          <cell r="D1189">
            <v>4020829080652</v>
          </cell>
          <cell r="F1189">
            <v>3010361</v>
          </cell>
          <cell r="G1189" t="str">
            <v>Testeur - Fluide de Jour Equilibrant  - 50 ml -15% compris</v>
          </cell>
          <cell r="J1189">
            <v>5.29</v>
          </cell>
        </row>
        <row r="1190">
          <cell r="D1190">
            <v>4020829080591</v>
          </cell>
          <cell r="F1190">
            <v>3010359</v>
          </cell>
          <cell r="G1190" t="str">
            <v>Testeur - Fluide de Jour Revitalisant - 50 ml - 15% compris</v>
          </cell>
          <cell r="J1190">
            <v>4.83</v>
          </cell>
        </row>
        <row r="1191">
          <cell r="D1191">
            <v>4020829098381</v>
          </cell>
          <cell r="F1191">
            <v>3061021</v>
          </cell>
          <cell r="G1191" t="str">
            <v>Testeur - Fond de Teint 01 macadamia - 15% comprise</v>
          </cell>
          <cell r="J1191">
            <v>5.79</v>
          </cell>
        </row>
        <row r="1192">
          <cell r="D1192">
            <v>4020829098404</v>
          </cell>
          <cell r="F1192">
            <v>3061022</v>
          </cell>
          <cell r="G1192" t="str">
            <v>Testeur - Fond de Teint 02 amande - 15% comprise</v>
          </cell>
          <cell r="J1192">
            <v>5.79</v>
          </cell>
        </row>
        <row r="1193">
          <cell r="D1193">
            <v>4020829098428</v>
          </cell>
          <cell r="F1193">
            <v>3061023</v>
          </cell>
          <cell r="G1193" t="str">
            <v>Testeur - Fond de Teint 03 châtaigne - 15% comprise</v>
          </cell>
          <cell r="J1193">
            <v>5.79</v>
          </cell>
        </row>
        <row r="1194">
          <cell r="D1194">
            <v>4020829098442</v>
          </cell>
          <cell r="F1194">
            <v>3061024</v>
          </cell>
          <cell r="G1194" t="str">
            <v>Testeur - Fond de Teint 04 noisette - 15% comprise</v>
          </cell>
          <cell r="J1194">
            <v>5.79</v>
          </cell>
        </row>
        <row r="1195">
          <cell r="D1195">
            <v>4020829098466</v>
          </cell>
          <cell r="F1195">
            <v>3061025</v>
          </cell>
          <cell r="G1195" t="str">
            <v>Testeur - Fond de Teint 05 muscade - 15% comprise</v>
          </cell>
          <cell r="J1195">
            <v>5.79</v>
          </cell>
        </row>
        <row r="1196">
          <cell r="D1196">
            <v>4020829098480</v>
          </cell>
          <cell r="F1196">
            <v>3061026</v>
          </cell>
          <cell r="G1196" t="str">
            <v>Testeur - Fond de Teint 06 noix - 15% comprise</v>
          </cell>
          <cell r="J1196">
            <v>5.79</v>
          </cell>
        </row>
        <row r="1197">
          <cell r="D1197">
            <v>4020829098343</v>
          </cell>
          <cell r="F1197">
            <v>3061027</v>
          </cell>
          <cell r="G1197" t="str">
            <v>Testeur - Fond de teint - 001 cajou - 15 % comprise*</v>
          </cell>
          <cell r="J1197">
            <v>5.79</v>
          </cell>
        </row>
        <row r="1198">
          <cell r="D1198">
            <v>4020829098367</v>
          </cell>
          <cell r="F1198">
            <v>3061028</v>
          </cell>
          <cell r="G1198" t="str">
            <v>Testeur - Fond de teint - 002 pignon de pin - 15 % comprise*</v>
          </cell>
          <cell r="J1198">
            <v>5.79</v>
          </cell>
        </row>
        <row r="1199">
          <cell r="D1199">
            <v>4020829098251</v>
          </cell>
          <cell r="F1199">
            <v>3060130</v>
          </cell>
          <cell r="G1199" t="str">
            <v>Testeur - Gel Cils &amp; Sourcils 00 transparent - 15% comprise</v>
          </cell>
          <cell r="J1199">
            <v>3.79</v>
          </cell>
        </row>
        <row r="1200">
          <cell r="D1200">
            <v>4020829098855</v>
          </cell>
          <cell r="F1200">
            <v>3060720</v>
          </cell>
          <cell r="G1200" t="str">
            <v>Testeur - Highlighter 01 - Illuminant -15% inclus</v>
          </cell>
          <cell r="J1200">
            <v>4.07</v>
          </cell>
        </row>
        <row r="1201">
          <cell r="D1201">
            <v>4020829103061</v>
          </cell>
          <cell r="F1201">
            <v>3020719</v>
          </cell>
          <cell r="G1201" t="str">
            <v>Testeur - Huile Fortifiante - Régénérant Intensif - 20ml - 15% comprise</v>
          </cell>
          <cell r="J1201">
            <v>13.5</v>
          </cell>
        </row>
        <row r="1202">
          <cell r="D1202">
            <v>4020829049130</v>
          </cell>
          <cell r="F1202">
            <v>3030221</v>
          </cell>
          <cell r="G1202" t="str">
            <v>Testeur - Huile de Soin Bouleau Arnica 30 ml - 15% comprise</v>
          </cell>
          <cell r="J1202">
            <v>1.37</v>
          </cell>
        </row>
        <row r="1203">
          <cell r="D1203">
            <v>4020829036659</v>
          </cell>
          <cell r="F1203">
            <v>3030220</v>
          </cell>
          <cell r="G1203" t="str">
            <v>Testeur - Huile de Soin Citron Citronnelle 30 ml - 15% comprise</v>
          </cell>
          <cell r="J1203">
            <v>1.5</v>
          </cell>
        </row>
        <row r="1204">
          <cell r="D1204">
            <v>4020829036680</v>
          </cell>
          <cell r="F1204">
            <v>3030223</v>
          </cell>
          <cell r="G1204" t="str">
            <v>Testeur - Huile de Soin Moor Lavande 30 ml - 15% comprise</v>
          </cell>
          <cell r="J1204">
            <v>1.64</v>
          </cell>
        </row>
        <row r="1205">
          <cell r="D1205">
            <v>4020829049147</v>
          </cell>
          <cell r="F1205">
            <v>3030219</v>
          </cell>
          <cell r="G1205" t="str">
            <v>Testeur - Huile de Soin Prunelle 30 ml - 15% comprise</v>
          </cell>
          <cell r="J1205">
            <v>1.5</v>
          </cell>
        </row>
        <row r="1206">
          <cell r="D1206">
            <v>4020829033436</v>
          </cell>
          <cell r="F1206">
            <v>3030218</v>
          </cell>
          <cell r="G1206" t="str">
            <v>Testeur - Huile de Soin Rose 30 ml - 15% comprise</v>
          </cell>
          <cell r="J1206">
            <v>1.64</v>
          </cell>
        </row>
        <row r="1207">
          <cell r="D1207">
            <v>4020829109407</v>
          </cell>
          <cell r="F1207">
            <v>3030226</v>
          </cell>
          <cell r="G1207" t="str">
            <v>Testeur - Huile de Soin Rose 30 ml Édition Limitée 2025 - 15% comprise</v>
          </cell>
          <cell r="J1207">
            <v>1.62</v>
          </cell>
        </row>
        <row r="1208">
          <cell r="D1208">
            <v>4020829087439</v>
          </cell>
          <cell r="F1208">
            <v>3030502</v>
          </cell>
          <cell r="G1208" t="str">
            <v>Testeur - Lait Après-Soleil 150 ml - 15% comprise</v>
          </cell>
          <cell r="J1208">
            <v>4.45</v>
          </cell>
        </row>
        <row r="1209">
          <cell r="D1209">
            <v>4020829009196</v>
          </cell>
          <cell r="F1209">
            <v>3030104</v>
          </cell>
          <cell r="G1209" t="str">
            <v>Testeur - Lait Crème pour le Corps Amande 145 ml - 15% comprise</v>
          </cell>
          <cell r="J1209">
            <v>4.29</v>
          </cell>
        </row>
        <row r="1210">
          <cell r="D1210">
            <v>4020829009189</v>
          </cell>
          <cell r="F1210">
            <v>3030102</v>
          </cell>
          <cell r="G1210" t="str">
            <v>Testeur - Lait Crème pour le Corps Lavande Bois de Santal 145 ml - 15% comprise</v>
          </cell>
          <cell r="J1210">
            <v>4.29</v>
          </cell>
        </row>
        <row r="1211">
          <cell r="D1211">
            <v>4020829097728</v>
          </cell>
          <cell r="F1211">
            <v>3030124</v>
          </cell>
          <cell r="G1211" t="str">
            <v>Testeur - Lait Crème pour le Corps Lavande Bois de Santal 145ml Ed Limitée 2023</v>
          </cell>
          <cell r="J1211">
            <v>4.13</v>
          </cell>
        </row>
        <row r="1212">
          <cell r="D1212">
            <v>4020829006782</v>
          </cell>
          <cell r="F1212">
            <v>3030101</v>
          </cell>
          <cell r="G1212" t="str">
            <v>Testeur - Lait Crème pour le Corps Rose 145 ml - 15% comprise</v>
          </cell>
          <cell r="J1212">
            <v>4.55</v>
          </cell>
        </row>
        <row r="1213">
          <cell r="D1213">
            <v>4020829109414</v>
          </cell>
          <cell r="F1213">
            <v>3030129</v>
          </cell>
          <cell r="G1213" t="str">
            <v>Testeur - Lait Crème pour le Corps Rose 145 ml Édition Limitée 2025 - 15% comprise</v>
          </cell>
          <cell r="J1213">
            <v>4.5</v>
          </cell>
        </row>
        <row r="1214">
          <cell r="D1214">
            <v>4020829006072</v>
          </cell>
          <cell r="F1214">
            <v>3010102</v>
          </cell>
          <cell r="G1214" t="str">
            <v>Testeur - Lait Démaquillant et Nettoyant 145 ml - 15% comprise</v>
          </cell>
          <cell r="J1214">
            <v>4.8099999999999996</v>
          </cell>
        </row>
        <row r="1215">
          <cell r="D1215">
            <v>4020829103191</v>
          </cell>
          <cell r="F1215">
            <v>3020107</v>
          </cell>
          <cell r="G1215" t="str">
            <v>Testeur - Lait pour le Corps - Régénérant - 150ml - 15% comprise</v>
          </cell>
          <cell r="J1215">
            <v>7.56</v>
          </cell>
        </row>
        <row r="1216">
          <cell r="D1216">
            <v>4020829100213</v>
          </cell>
          <cell r="F1216">
            <v>3030125</v>
          </cell>
          <cell r="G1216" t="str">
            <v>Testeur - Lait pour le Corps Bergamote Citronnelle - 145 ml - 15% comprise</v>
          </cell>
          <cell r="J1216">
            <v>3.98</v>
          </cell>
        </row>
        <row r="1217">
          <cell r="D1217">
            <v>4020829009172</v>
          </cell>
          <cell r="F1217">
            <v>3030105</v>
          </cell>
          <cell r="G1217" t="str">
            <v>Testeur - Lait pour le Corps Coing 145 ml - 15% comprise</v>
          </cell>
          <cell r="J1217">
            <v>4.04</v>
          </cell>
        </row>
        <row r="1218">
          <cell r="D1218">
            <v>4020829008458</v>
          </cell>
          <cell r="F1218">
            <v>3020101</v>
          </cell>
          <cell r="G1218" t="str">
            <v>Testeur - Lait pour le Corps Régénérant 150 ml - 15% comprise</v>
          </cell>
          <cell r="J1218">
            <v>7.49</v>
          </cell>
        </row>
        <row r="1219">
          <cell r="D1219">
            <v>4020829004603</v>
          </cell>
          <cell r="F1219">
            <v>3010202</v>
          </cell>
          <cell r="G1219" t="str">
            <v>Testeur - Lotion Clarifiante 100 ml - 15% comprise</v>
          </cell>
          <cell r="J1219">
            <v>5.18</v>
          </cell>
        </row>
        <row r="1220">
          <cell r="D1220">
            <v>4020829005204</v>
          </cell>
          <cell r="F1220">
            <v>3010201</v>
          </cell>
          <cell r="G1220" t="str">
            <v>Testeur - Lotion Tonifiante 100 ml - 15% comprise</v>
          </cell>
          <cell r="J1220">
            <v>4.9400000000000004</v>
          </cell>
        </row>
        <row r="1221">
          <cell r="D1221">
            <v>4020829104518</v>
          </cell>
          <cell r="F1221">
            <v>3010213</v>
          </cell>
          <cell r="G1221" t="str">
            <v>Testeur - Lotion Tonifiante 100 ml Edition Limitée 2024 - 15% comprise</v>
          </cell>
          <cell r="J1221">
            <v>4.82</v>
          </cell>
        </row>
        <row r="1222">
          <cell r="D1222">
            <v>4020829004641</v>
          </cell>
          <cell r="F1222">
            <v>3030402</v>
          </cell>
          <cell r="G1222" t="str">
            <v>Testeur - Lotion Tonifiante pour les Jambes 100 ml - 15% comprise</v>
          </cell>
          <cell r="J1222">
            <v>4.41</v>
          </cell>
        </row>
        <row r="1223">
          <cell r="D1223">
            <v>4020829098282</v>
          </cell>
          <cell r="F1223">
            <v>3060131</v>
          </cell>
          <cell r="G1223" t="str">
            <v>Testeur - Mascara Précision 01 noir - 15% comprise</v>
          </cell>
          <cell r="J1223">
            <v>4.53</v>
          </cell>
        </row>
        <row r="1224">
          <cell r="D1224">
            <v>4020829098299</v>
          </cell>
          <cell r="F1224">
            <v>3060132</v>
          </cell>
          <cell r="G1224" t="str">
            <v>Testeur - Mascara Précision 02 brun - 15% comprise</v>
          </cell>
          <cell r="J1224">
            <v>4.53</v>
          </cell>
        </row>
        <row r="1225">
          <cell r="D1225">
            <v>4020829099135</v>
          </cell>
          <cell r="F1225">
            <v>3060121</v>
          </cell>
          <cell r="G1225" t="str">
            <v>Testeur - Mascara volume 01 noir - 15% comprise</v>
          </cell>
          <cell r="J1225">
            <v>4.79</v>
          </cell>
        </row>
        <row r="1226">
          <cell r="D1226">
            <v>4020829098558</v>
          </cell>
          <cell r="F1226">
            <v>3060122</v>
          </cell>
          <cell r="G1226" t="str">
            <v>Testeur - Mascara volume 02 brun - 15% comprise</v>
          </cell>
          <cell r="J1226">
            <v>4.79</v>
          </cell>
        </row>
        <row r="1227">
          <cell r="D1227">
            <v>4020829007321</v>
          </cell>
          <cell r="F1227">
            <v>3010709</v>
          </cell>
          <cell r="G1227" t="str">
            <v>Testeur - Masque Apaisant 30 ml - 15% comprise</v>
          </cell>
          <cell r="J1227">
            <v>6.42</v>
          </cell>
        </row>
        <row r="1228">
          <cell r="D1228">
            <v>4020829041301</v>
          </cell>
          <cell r="F1228">
            <v>3010717</v>
          </cell>
          <cell r="G1228" t="str">
            <v>Testeur - Masque Crème Nourrissant 30 ml - 15% comprise</v>
          </cell>
          <cell r="J1228">
            <v>8.33</v>
          </cell>
        </row>
        <row r="1229">
          <cell r="D1229">
            <v>4020829007260</v>
          </cell>
          <cell r="F1229">
            <v>3010710</v>
          </cell>
          <cell r="G1229" t="str">
            <v>Testeur - Masque Restructurant 30 ml - 15% comprise</v>
          </cell>
          <cell r="J1229">
            <v>7.81</v>
          </cell>
        </row>
        <row r="1230">
          <cell r="D1230">
            <v>4020829007208</v>
          </cell>
          <cell r="F1230">
            <v>3010707</v>
          </cell>
          <cell r="G1230" t="str">
            <v>Testeur - Masque Revitalisant 30 ml - 15% comprise</v>
          </cell>
          <cell r="J1230">
            <v>6.42</v>
          </cell>
        </row>
        <row r="1231">
          <cell r="D1231">
            <v>4020829098794</v>
          </cell>
          <cell r="F1231">
            <v>3061121</v>
          </cell>
          <cell r="G1231" t="str">
            <v>Testeur - Ombre à paupières 04 verdélite - 15% comprise</v>
          </cell>
          <cell r="J1231">
            <v>2.57</v>
          </cell>
        </row>
        <row r="1232">
          <cell r="D1232">
            <v>4020829098817</v>
          </cell>
          <cell r="F1232">
            <v>3061122</v>
          </cell>
          <cell r="G1232" t="str">
            <v>Testeur - Ombre à paupières 07 aigue-marine - 15% comprise</v>
          </cell>
          <cell r="J1232">
            <v>2.57</v>
          </cell>
        </row>
        <row r="1233">
          <cell r="D1233">
            <v>4020829098831</v>
          </cell>
          <cell r="F1233">
            <v>3061123</v>
          </cell>
          <cell r="G1233" t="str">
            <v>Testeur - Ombre à paupières 08 topaze dorée - 15% comprise</v>
          </cell>
          <cell r="J1233">
            <v>2.57</v>
          </cell>
        </row>
        <row r="1234">
          <cell r="D1234">
            <v>4020829098749</v>
          </cell>
          <cell r="F1234">
            <v>3061133</v>
          </cell>
          <cell r="G1234" t="str">
            <v>Testeur - Palette Yeux &amp; Sourcils 01 caillou - 15% comprise</v>
          </cell>
          <cell r="J1234">
            <v>6.2</v>
          </cell>
        </row>
        <row r="1235">
          <cell r="D1235">
            <v>4020829098619</v>
          </cell>
          <cell r="F1235">
            <v>3060823</v>
          </cell>
          <cell r="G1235" t="str">
            <v>Testeur - Poudre Bronzante 01 bronze - 15% comprise</v>
          </cell>
          <cell r="J1235">
            <v>5.14</v>
          </cell>
        </row>
        <row r="1236">
          <cell r="D1236">
            <v>4020829099166</v>
          </cell>
          <cell r="F1236">
            <v>3060807</v>
          </cell>
          <cell r="G1236" t="str">
            <v>Testeur - Poudre Compacte 00 transparente - 15% comprise</v>
          </cell>
          <cell r="J1236">
            <v>4.72</v>
          </cell>
        </row>
        <row r="1237">
          <cell r="D1237">
            <v>4020829098664</v>
          </cell>
          <cell r="F1237">
            <v>3060805</v>
          </cell>
          <cell r="G1237" t="str">
            <v>Testeur - Poudre Compacte Correctrice - 01 vivifiante - 15 % comprise*</v>
          </cell>
          <cell r="J1237">
            <v>6.2</v>
          </cell>
        </row>
        <row r="1238">
          <cell r="D1238">
            <v>4020829098688</v>
          </cell>
          <cell r="F1238">
            <v>3060806</v>
          </cell>
          <cell r="G1238" t="str">
            <v>Testeur - Poudre Compacte Correctrice - 02 apaisante - 15 % comprise*</v>
          </cell>
          <cell r="J1238">
            <v>6.2</v>
          </cell>
        </row>
        <row r="1239">
          <cell r="D1239">
            <v>4020829098640</v>
          </cell>
          <cell r="F1239">
            <v>3060804</v>
          </cell>
          <cell r="G1239" t="str">
            <v>Testeur - Poudre Compacte Correctrice 00 transparente - 15% comprise</v>
          </cell>
          <cell r="J1239">
            <v>6.2</v>
          </cell>
        </row>
        <row r="1240">
          <cell r="D1240">
            <v>4020829098541</v>
          </cell>
          <cell r="F1240">
            <v>3060822</v>
          </cell>
          <cell r="G1240" t="str">
            <v>Testeur - Poudre Libre 00 transparente - 15% comprise</v>
          </cell>
          <cell r="J1240">
            <v>6.28</v>
          </cell>
        </row>
        <row r="1241">
          <cell r="D1241">
            <v>4020829004665</v>
          </cell>
          <cell r="F1241">
            <v>3030601</v>
          </cell>
          <cell r="G1241" t="str">
            <v>Testeur - Poudre de Soie 50 g - 15% comprise</v>
          </cell>
          <cell r="J1241">
            <v>5.18</v>
          </cell>
        </row>
        <row r="1242">
          <cell r="D1242">
            <v>4020829098916</v>
          </cell>
          <cell r="F1242">
            <v>3060250</v>
          </cell>
          <cell r="G1242" t="str">
            <v>Testeur - Rouge à Lèvres 02 mandevilla - 15% comprise</v>
          </cell>
          <cell r="J1242">
            <v>4.67</v>
          </cell>
        </row>
        <row r="1243">
          <cell r="D1243">
            <v>4020829111080</v>
          </cell>
          <cell r="F1243">
            <v>3060260</v>
          </cell>
          <cell r="G1243" t="str">
            <v>Testeur - Rouge à Lèvres 02 mandevilla Édition Limitée 2025 - 15% comprise</v>
          </cell>
          <cell r="J1243">
            <v>4.74</v>
          </cell>
        </row>
        <row r="1244">
          <cell r="D1244">
            <v>4020829098930</v>
          </cell>
          <cell r="F1244">
            <v>3060251</v>
          </cell>
          <cell r="G1244" t="str">
            <v>Testeur - Rouge à Lèvres 03 camellia - 15% comprise</v>
          </cell>
          <cell r="J1244">
            <v>4.79</v>
          </cell>
        </row>
        <row r="1245">
          <cell r="D1245">
            <v>4020829098954</v>
          </cell>
          <cell r="F1245">
            <v>3060252</v>
          </cell>
          <cell r="G1245" t="str">
            <v>Testeur - Rouge à Lèvres 06 azalea - 15% comprise</v>
          </cell>
          <cell r="J1245">
            <v>4.79</v>
          </cell>
        </row>
        <row r="1246">
          <cell r="D1246">
            <v>4020829098978</v>
          </cell>
          <cell r="F1246">
            <v>3060253</v>
          </cell>
          <cell r="G1246" t="str">
            <v>Testeur - Rouge à Lèvres 07 orphin - 15% comprise</v>
          </cell>
          <cell r="J1246">
            <v>4.79</v>
          </cell>
        </row>
        <row r="1247">
          <cell r="D1247">
            <v>4020829098992</v>
          </cell>
          <cell r="F1247">
            <v>3060254</v>
          </cell>
          <cell r="G1247" t="str">
            <v>Testeur - Rouge à Lèvres 10 dahlia - 15% comprise</v>
          </cell>
          <cell r="J1247">
            <v>4.79</v>
          </cell>
        </row>
        <row r="1248">
          <cell r="D1248">
            <v>4020829099012</v>
          </cell>
          <cell r="F1248">
            <v>3060255</v>
          </cell>
          <cell r="G1248" t="str">
            <v>Testeur - Rouge à Lèvres 11 amaryllis - 15% comprise</v>
          </cell>
          <cell r="J1248">
            <v>4.79</v>
          </cell>
        </row>
        <row r="1249">
          <cell r="D1249">
            <v>4020829099036</v>
          </cell>
          <cell r="F1249">
            <v>3060256</v>
          </cell>
          <cell r="G1249" t="str">
            <v>Testeur - Rouge à Lèvres 13 bromelia - 15% comprise</v>
          </cell>
          <cell r="J1249">
            <v>4.79</v>
          </cell>
        </row>
        <row r="1250">
          <cell r="D1250">
            <v>4020829099050</v>
          </cell>
          <cell r="F1250">
            <v>3060257</v>
          </cell>
          <cell r="G1250" t="str">
            <v>Testeur - Rouge à Lèvres 14 caralluma - 15% comprise</v>
          </cell>
          <cell r="J1250">
            <v>4.79</v>
          </cell>
        </row>
        <row r="1251">
          <cell r="D1251">
            <v>4020829099074</v>
          </cell>
          <cell r="F1251">
            <v>3060258</v>
          </cell>
          <cell r="G1251" t="str">
            <v>Testeur - Rouge à Lèvres 22 Calibrachoa - 15% compris</v>
          </cell>
          <cell r="J1251">
            <v>4.79</v>
          </cell>
        </row>
        <row r="1252">
          <cell r="D1252">
            <v>4020829099098</v>
          </cell>
          <cell r="F1252">
            <v>3060259</v>
          </cell>
          <cell r="G1252" t="str">
            <v>Testeur - Rouge à Lèvres 26 Hibiscus - 15% compris</v>
          </cell>
          <cell r="J1252">
            <v>4.79</v>
          </cell>
        </row>
        <row r="1253">
          <cell r="D1253">
            <v>4020829095038</v>
          </cell>
          <cell r="F1253">
            <v>3010406</v>
          </cell>
          <cell r="G1253" t="str">
            <v>Testeur - Stick Correcteur 01 - 1.9 g - 15% comprise</v>
          </cell>
          <cell r="J1253">
            <v>2.99</v>
          </cell>
        </row>
        <row r="1254">
          <cell r="D1254">
            <v>4020829095045</v>
          </cell>
          <cell r="F1254">
            <v>3010407</v>
          </cell>
          <cell r="G1254" t="str">
            <v>Testeur - Stick Correcteur 02 - 1.9 g - 15% comprise</v>
          </cell>
          <cell r="J1254">
            <v>2.99</v>
          </cell>
        </row>
        <row r="1255">
          <cell r="D1255">
            <v>4020829101098</v>
          </cell>
          <cell r="F1255">
            <v>3020717</v>
          </cell>
          <cell r="G1255" t="str">
            <v>Testeur - Sérum Contour des Yeux - Régénérant Intensif -15 ml - 15% comprise</v>
          </cell>
          <cell r="J1255">
            <v>13.06</v>
          </cell>
        </row>
        <row r="1256">
          <cell r="D1256">
            <v>4020829074132</v>
          </cell>
          <cell r="F1256">
            <v>3020704</v>
          </cell>
          <cell r="G1256" t="str">
            <v>Testeur - Sérum Huile Régénérant Intensif - 20 ml - 15 % comprise</v>
          </cell>
          <cell r="J1256">
            <v>13.37</v>
          </cell>
        </row>
        <row r="1257">
          <cell r="D1257">
            <v>4020829103146</v>
          </cell>
          <cell r="F1257">
            <v>3020202</v>
          </cell>
          <cell r="G1257" t="str">
            <v>Testeur - Sérum Jour / Nuit - Régénérant 30ml - 15% comprise</v>
          </cell>
          <cell r="J1257">
            <v>11.62</v>
          </cell>
        </row>
        <row r="1258">
          <cell r="D1258">
            <v>4020829007093</v>
          </cell>
          <cell r="F1258">
            <v>3020201</v>
          </cell>
          <cell r="G1258" t="str">
            <v>Testeur - Sérum Régénérant Jour/Nuit 30 ml - 15% comprise</v>
          </cell>
          <cell r="J1258">
            <v>11.5</v>
          </cell>
        </row>
        <row r="1259">
          <cell r="D1259">
            <v>4020829062658</v>
          </cell>
          <cell r="F1259">
            <v>3010209</v>
          </cell>
          <cell r="G1259" t="str">
            <v>Testeur - Sérum Tonifiant Nuit 20 ml  - 15% comprise</v>
          </cell>
          <cell r="J1259">
            <v>6.07</v>
          </cell>
        </row>
        <row r="1260">
          <cell r="D1260">
            <v>4020829101142</v>
          </cell>
          <cell r="F1260">
            <v>3020718</v>
          </cell>
          <cell r="G1260" t="str">
            <v>Testeur - Sérum de Nuit - Régénérant Intensif 30ml - 15% comprise</v>
          </cell>
          <cell r="J1260">
            <v>13.39</v>
          </cell>
        </row>
        <row r="1261">
          <cell r="D1261">
            <v>4020829100145</v>
          </cell>
          <cell r="F1261">
            <v>3040224</v>
          </cell>
          <cell r="G1261" t="str">
            <v>Testeur Bain Moor Lavande 30ml Edition Limitée Noël 2023</v>
          </cell>
          <cell r="J1261">
            <v>1.45</v>
          </cell>
        </row>
        <row r="1262">
          <cell r="D1262">
            <v>4020829097698</v>
          </cell>
          <cell r="F1262">
            <v>3010726</v>
          </cell>
          <cell r="G1262" t="str">
            <v>Testeur- - Cure Intensive pour Peaux Réactives - 40 ml - 15% comprise</v>
          </cell>
          <cell r="J1262">
            <v>9.33</v>
          </cell>
        </row>
        <row r="1263">
          <cell r="D1263">
            <v>9999996500139</v>
          </cell>
          <cell r="F1263">
            <v>6500139</v>
          </cell>
          <cell r="G1263" t="str">
            <v>Tirette pour présentoir actuel</v>
          </cell>
          <cell r="J1263">
            <v>2.0699999999999998</v>
          </cell>
        </row>
        <row r="1264">
          <cell r="F1264" t="str">
            <v>TC</v>
          </cell>
          <cell r="G1264" t="str">
            <v>Total Colis</v>
          </cell>
          <cell r="J1264">
            <v>0</v>
          </cell>
        </row>
        <row r="1265">
          <cell r="F1265" t="str">
            <v>TT</v>
          </cell>
          <cell r="G1265" t="str">
            <v>Total facture</v>
          </cell>
          <cell r="J1265">
            <v>0</v>
          </cell>
        </row>
        <row r="1266">
          <cell r="D1266">
            <v>4020829045026</v>
          </cell>
          <cell r="F1266">
            <v>1061101</v>
          </cell>
          <cell r="G1266" t="str">
            <v>Trio Ombres à Paupières 01 saphir - Dernières unités</v>
          </cell>
          <cell r="J1266">
            <v>4.26</v>
          </cell>
        </row>
        <row r="1267">
          <cell r="D1267">
            <v>4020829045040</v>
          </cell>
          <cell r="F1267">
            <v>1061102</v>
          </cell>
          <cell r="G1267" t="str">
            <v>Trio Ombres à Paupières 02 jade - Dernières unités</v>
          </cell>
          <cell r="J1267">
            <v>7.11</v>
          </cell>
        </row>
        <row r="1268">
          <cell r="D1268">
            <v>4020829045064</v>
          </cell>
          <cell r="F1268">
            <v>1061103</v>
          </cell>
          <cell r="G1268" t="str">
            <v>Trio Ombres à Paupières 03 amétrine - Dernières unités</v>
          </cell>
          <cell r="J1268">
            <v>7.11</v>
          </cell>
        </row>
        <row r="1269">
          <cell r="D1269">
            <v>4020829045088</v>
          </cell>
          <cell r="F1269">
            <v>1061104</v>
          </cell>
          <cell r="G1269" t="str">
            <v>Trio Ombres à Paupières 04 pierre de soleil - Dernières unités</v>
          </cell>
          <cell r="J1269">
            <v>6.3500000000000014</v>
          </cell>
        </row>
        <row r="1270">
          <cell r="D1270">
            <v>4020829090583</v>
          </cell>
          <cell r="F1270">
            <v>6600015</v>
          </cell>
          <cell r="G1270" t="str">
            <v>Trousse Orange Cosmétiques Tailles Spéciales</v>
          </cell>
          <cell r="J1270">
            <v>1.54</v>
          </cell>
        </row>
        <row r="1271">
          <cell r="D1271">
            <v>9999996600038</v>
          </cell>
          <cell r="F1271">
            <v>6600038</v>
          </cell>
          <cell r="G1271" t="str">
            <v>Trousse vide Rituel découverte</v>
          </cell>
          <cell r="J1271">
            <v>4.9000000000000004</v>
          </cell>
        </row>
        <row r="1272">
          <cell r="D1272">
            <v>660004199999</v>
          </cell>
          <cell r="F1272">
            <v>6600041</v>
          </cell>
          <cell r="G1272" t="str">
            <v>Trousse vide en coton</v>
          </cell>
          <cell r="J1272">
            <v>5.07</v>
          </cell>
        </row>
        <row r="1273">
          <cell r="D1273">
            <v>208042899999</v>
          </cell>
          <cell r="F1273">
            <v>2080428</v>
          </cell>
          <cell r="G1273" t="str">
            <v>Tshirt institut - taille 36</v>
          </cell>
          <cell r="J1273">
            <v>28.95</v>
          </cell>
        </row>
        <row r="1274">
          <cell r="D1274">
            <v>208042999999</v>
          </cell>
          <cell r="F1274">
            <v>2080429</v>
          </cell>
          <cell r="G1274" t="str">
            <v>Tshirt institut - taille 38</v>
          </cell>
          <cell r="J1274">
            <v>28.95</v>
          </cell>
        </row>
        <row r="1275">
          <cell r="D1275">
            <v>208043099999</v>
          </cell>
          <cell r="F1275">
            <v>2080430</v>
          </cell>
          <cell r="G1275" t="str">
            <v>Tshirt institut - taille 40</v>
          </cell>
          <cell r="J1275">
            <v>28.95</v>
          </cell>
        </row>
        <row r="1276">
          <cell r="D1276">
            <v>208043199999</v>
          </cell>
          <cell r="F1276">
            <v>2080431</v>
          </cell>
          <cell r="G1276" t="str">
            <v>Tshirt institut - taille 42</v>
          </cell>
          <cell r="J1276">
            <v>28.95</v>
          </cell>
        </row>
        <row r="1277">
          <cell r="D1277">
            <v>208043299999</v>
          </cell>
          <cell r="F1277">
            <v>2080432</v>
          </cell>
          <cell r="G1277" t="str">
            <v>Tshirt institut - taille 44</v>
          </cell>
          <cell r="J1277">
            <v>28.95</v>
          </cell>
        </row>
        <row r="1278">
          <cell r="D1278">
            <v>208043399999</v>
          </cell>
          <cell r="F1278">
            <v>2080433</v>
          </cell>
          <cell r="G1278" t="str">
            <v>Tshirt institut - taille 46</v>
          </cell>
          <cell r="J1278">
            <v>28.95</v>
          </cell>
        </row>
        <row r="1279">
          <cell r="D1279">
            <v>208043499999</v>
          </cell>
          <cell r="F1279">
            <v>2080434</v>
          </cell>
          <cell r="G1279" t="str">
            <v>Tshirt institut - taille 50</v>
          </cell>
          <cell r="J1279">
            <v>28.95</v>
          </cell>
        </row>
        <row r="1280">
          <cell r="D1280">
            <v>9999997131247</v>
          </cell>
          <cell r="F1280">
            <v>7131247</v>
          </cell>
          <cell r="G1280" t="str">
            <v>Un bronzage Sublime</v>
          </cell>
          <cell r="J1280">
            <v>0</v>
          </cell>
        </row>
        <row r="1281">
          <cell r="F1281" t="str">
            <v>INTERNET-V-ACOMPTE</v>
          </cell>
          <cell r="G1281" t="str">
            <v>Vente Acompte soin Internet</v>
          </cell>
          <cell r="J1281">
            <v>0</v>
          </cell>
        </row>
        <row r="1282">
          <cell r="F1282" t="str">
            <v>INTERNET-V-SOIN</v>
          </cell>
          <cell r="G1282" t="str">
            <v>Vente Soin intégral Internet</v>
          </cell>
          <cell r="J1282">
            <v>0</v>
          </cell>
        </row>
        <row r="1283">
          <cell r="F1283" t="str">
            <v>CDE1</v>
          </cell>
          <cell r="G1283" t="str">
            <v>Votre commande N° par COURRIEL ou TELECOPIE ou COURRIER du xx mois année</v>
          </cell>
          <cell r="J1283">
            <v>0</v>
          </cell>
        </row>
        <row r="1284">
          <cell r="F1284" t="str">
            <v>CDE2</v>
          </cell>
          <cell r="G1284" t="str">
            <v>Votre commande N° par COURRIEL ou TELECOPIE ou COURRIER du xx mois année via vot</v>
          </cell>
          <cell r="J1284">
            <v>0</v>
          </cell>
        </row>
        <row r="1285">
          <cell r="F1285" t="str">
            <v>AV7XXX</v>
          </cell>
          <cell r="G1285" t="str">
            <v>XXX Essentiel - MEA Noël 2023 (copie)</v>
          </cell>
          <cell r="J1285">
            <v>0</v>
          </cell>
        </row>
        <row r="1286">
          <cell r="G1286" t="str">
            <v>[EvtCo15Portail] 15% sur votre commande.</v>
          </cell>
          <cell r="J1286">
            <v>0</v>
          </cell>
        </row>
        <row r="1287">
          <cell r="G1287" t="str">
            <v>offre</v>
          </cell>
          <cell r="J1287">
            <v>0</v>
          </cell>
        </row>
        <row r="1288">
          <cell r="D1288">
            <v>999999982025</v>
          </cell>
          <cell r="F1288">
            <v>982025</v>
          </cell>
          <cell r="G1288" t="str">
            <v>refacturation hébergement</v>
          </cell>
          <cell r="J1288">
            <v>186</v>
          </cell>
        </row>
      </sheetData>
      <sheetData sheetId="5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E131-41C4-4EB2-B5AE-3C3575E99ED2}">
  <sheetPr>
    <tabColor theme="3" tint="0.79998168889431442"/>
  </sheetPr>
  <dimension ref="B1:EB370"/>
  <sheetViews>
    <sheetView showGridLines="0" zoomScale="90" zoomScaleNormal="90" workbookViewId="0">
      <pane xSplit="6" ySplit="20" topLeftCell="L21" activePane="bottomRight" state="frozen"/>
      <selection pane="topRight" activeCell="G1" sqref="G1"/>
      <selection pane="bottomLeft" activeCell="A21" sqref="A21"/>
      <selection pane="bottomRight" activeCell="T22" sqref="T22"/>
    </sheetView>
  </sheetViews>
  <sheetFormatPr defaultColWidth="12.5703125" defaultRowHeight="12.75" outlineLevelRow="1" outlineLevelCol="1"/>
  <cols>
    <col min="1" max="1" width="0.85546875" style="1" customWidth="1"/>
    <col min="2" max="2" width="4.42578125" style="1" customWidth="1" outlineLevel="1"/>
    <col min="3" max="3" width="12.5703125" style="1" customWidth="1"/>
    <col min="4" max="4" width="49.140625" style="1" bestFit="1" customWidth="1"/>
    <col min="5" max="5" width="15.85546875" style="2" customWidth="1" outlineLevel="1"/>
    <col min="6" max="6" width="12.5703125" style="1"/>
    <col min="7" max="7" width="0.85546875" style="1" customWidth="1"/>
    <col min="8" max="8" width="12.5703125" style="1"/>
    <col min="9" max="9" width="0.85546875" style="1" customWidth="1"/>
    <col min="10" max="10" width="12.5703125" style="1"/>
    <col min="11" max="11" width="12.5703125" style="1" customWidth="1" outlineLevel="1"/>
    <col min="12" max="12" width="0.85546875" style="1" customWidth="1"/>
    <col min="13" max="13" width="12.5703125" style="1"/>
    <col min="14" max="14" width="12.5703125" style="1" customWidth="1" outlineLevel="1"/>
    <col min="15" max="15" width="0.85546875" style="1" customWidth="1"/>
    <col min="16" max="16" width="12.5703125" style="1"/>
    <col min="17" max="17" width="0.85546875" style="1" customWidth="1"/>
    <col min="18" max="18" width="12.5703125" style="1"/>
    <col min="19" max="19" width="0.85546875" style="1" customWidth="1"/>
    <col min="20" max="20" width="12.5703125" style="1"/>
    <col min="21" max="21" width="0.5703125" style="1" customWidth="1"/>
    <col min="22" max="22" width="12.5703125" style="1"/>
    <col min="23" max="23" width="0.85546875" style="1" customWidth="1"/>
    <col min="24" max="24" width="12.5703125" style="1"/>
    <col min="25" max="25" width="0.85546875" style="1" customWidth="1"/>
    <col min="26" max="26" width="12.5703125" style="1" customWidth="1"/>
    <col min="27" max="27" width="0.85546875" style="1" customWidth="1"/>
    <col min="28" max="31" width="12.5703125" style="1" customWidth="1" outlineLevel="1"/>
    <col min="32" max="32" width="0.85546875" style="1" customWidth="1" outlineLevel="1"/>
    <col min="33" max="36" width="12.5703125" style="1" customWidth="1" outlineLevel="1"/>
    <col min="37" max="37" width="0.85546875" style="1" customWidth="1" outlineLevel="1"/>
    <col min="38" max="41" width="12.5703125" style="1" customWidth="1" outlineLevel="1"/>
    <col min="42" max="42" width="0.85546875" style="1" customWidth="1" outlineLevel="1"/>
    <col min="43" max="46" width="12.5703125" style="1" customWidth="1" outlineLevel="1"/>
    <col min="47" max="47" width="0.85546875" style="1" customWidth="1" outlineLevel="1"/>
    <col min="48" max="51" width="12.5703125" style="1" customWidth="1" outlineLevel="1"/>
    <col min="52" max="52" width="0.85546875" style="1" customWidth="1" outlineLevel="1"/>
    <col min="53" max="56" width="12.5703125" style="1" customWidth="1" outlineLevel="1"/>
    <col min="57" max="57" width="0.85546875" style="1" customWidth="1" outlineLevel="1"/>
    <col min="58" max="61" width="12.5703125" style="1" customWidth="1" outlineLevel="1"/>
    <col min="62" max="62" width="0.85546875" style="1" customWidth="1" outlineLevel="1"/>
    <col min="63" max="66" width="12.5703125" style="1" customWidth="1" outlineLevel="1"/>
    <col min="67" max="67" width="0.85546875" style="1" customWidth="1" outlineLevel="1"/>
    <col min="68" max="71" width="12.5703125" style="1" customWidth="1" outlineLevel="1"/>
    <col min="72" max="72" width="0.85546875" style="1" customWidth="1" outlineLevel="1"/>
    <col min="73" max="76" width="12.5703125" style="1" customWidth="1" outlineLevel="1"/>
    <col min="77" max="77" width="0.85546875" style="1" customWidth="1" outlineLevel="1"/>
    <col min="78" max="81" width="12.5703125" style="1" customWidth="1" outlineLevel="1"/>
    <col min="82" max="83" width="0.85546875" style="1" customWidth="1"/>
    <col min="84" max="86" width="12.5703125" style="1"/>
    <col min="87" max="87" width="0.85546875" style="1" customWidth="1"/>
    <col min="88" max="88" width="12.5703125" style="1"/>
    <col min="89" max="89" width="12.5703125" style="3"/>
    <col min="90" max="100" width="12.5703125" style="1"/>
    <col min="101" max="120" width="12.5703125" style="4"/>
    <col min="121" max="121" width="12.5703125" style="1"/>
    <col min="122" max="125" width="12.5703125" style="1" outlineLevel="1"/>
    <col min="126" max="126" width="12.5703125" style="1"/>
    <col min="127" max="127" width="4.85546875" style="1" customWidth="1"/>
    <col min="128" max="128" width="24.42578125" style="1" customWidth="1"/>
    <col min="129" max="129" width="44.85546875" style="1" bestFit="1" customWidth="1"/>
    <col min="130" max="130" width="28" style="1" customWidth="1"/>
    <col min="131" max="131" width="26.85546875" style="1" customWidth="1"/>
    <col min="132" max="132" width="6.42578125" style="1" customWidth="1"/>
    <col min="133" max="16384" width="12.5703125" style="1"/>
  </cols>
  <sheetData>
    <row r="1" spans="3:132" outlineLevel="1">
      <c r="C1" s="1">
        <v>2</v>
      </c>
      <c r="D1" s="1">
        <v>3</v>
      </c>
      <c r="E1" s="2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16</v>
      </c>
      <c r="T1" s="1">
        <v>17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  <c r="BT1" s="1">
        <v>63</v>
      </c>
      <c r="BU1" s="1">
        <v>64</v>
      </c>
      <c r="BV1" s="1">
        <v>65</v>
      </c>
      <c r="BW1" s="1">
        <v>66</v>
      </c>
      <c r="BX1" s="1">
        <v>67</v>
      </c>
      <c r="BY1" s="1">
        <v>68</v>
      </c>
      <c r="BZ1" s="1">
        <v>69</v>
      </c>
      <c r="CA1" s="1">
        <v>70</v>
      </c>
      <c r="CB1" s="1">
        <v>71</v>
      </c>
      <c r="CC1" s="1">
        <v>72</v>
      </c>
      <c r="CD1" s="1">
        <v>73</v>
      </c>
      <c r="CE1" s="1">
        <v>74</v>
      </c>
      <c r="CF1" s="1">
        <v>75</v>
      </c>
      <c r="CG1" s="1">
        <v>76</v>
      </c>
      <c r="CH1" s="1">
        <v>77</v>
      </c>
      <c r="CI1" s="1">
        <v>78</v>
      </c>
      <c r="CK1" s="3">
        <f>SUM(CK11:CK370)</f>
        <v>22550</v>
      </c>
      <c r="DQ1" s="1">
        <f>SUM(DQ11:DQ317)</f>
        <v>18</v>
      </c>
      <c r="DU1" s="1">
        <f>SUM(DU11:DU370)</f>
        <v>244.39000000000001</v>
      </c>
    </row>
    <row r="2" spans="3:132" outlineLevel="1">
      <c r="H2" s="5">
        <f>(SUMIF($F$22:$F$62,"&lt;&gt;*PLV*",$H$22:$H$62)*$CF$20)+(SUMIF($F$22:$F$62,"PLV (PDC ou autre)",$H$22:$H$62)*$CJ$20)+(SUMIF($F$22:$F$62,"PLV (vitrine)",$H$22:$H$62)*$CJ$18)+(SUMIF($F$77:$F$98,"&lt;&gt;*PLV*",$H$77:$H$98)*$CF$75)+(SUMIF($F$77:$F$98,"PLV (PDC ou autre)",$H$77:$H$98)*$CJ$75)+(SUMIF($F$77:$F$98,"PLV (vitrine)",$H$77:$H$98)*$CJ$73)+(SUMIF($F$114:$F$153,"&lt;&gt;*PLV*",$H$114:$H$153)*$CF$112)+(SUMIF($F$114:$F$153,"PLV (PDC ou autre)",$H$114:$H$153)*$CJ$112)+(SUMIF($F$114:$F$153,"PLV (vitrine)",$H$114:$H$153)*$CJ$110)+(SUMIF($F$168:$F$207,"&lt;&gt;*PLV*",$H$168:$H$207)*$CF$166)+(SUMIF($F$168:$F$207,"PLV (PDC ou autre)",$H$168:$H$207)*$CJ$166)+(SUMIF($F$168:$F$207,"PLV (vitrine)",$H$168:$H$207)*$CJ$164)+(SUMIF($F$223:$F$262,"&lt;&gt;*PLV*",$H$223:$H$262)*$CF$221)+(SUMIF($F$223:$F$262,"PLV (PDC ou autre)",$H$223:$H$262)*$CJ$221)+(SUMIF($F$223:$F$262,"PLV (vitrine)",$H$223:$H$262)*$CJ$219)+(SUMIF($F$277:$F$316,"&lt;&gt;*PLV*",$H$277:$H$316)*$CF$275)+(SUMIF($F$277:$F$316,"PLV (PDC ou autre)",$H$277:$H$316)*$CJ$275)+(SUMIF($F$277:$F$316,"PLV (vitrine)",$H$277:$H$316)*$CJ$273)+(SUMIF($F$331:$F$370,"&lt;&gt;*PLV*",$H$331:$H$370)*$CF$329)+(SUMIF($F$331:$F$370,"PLV (PDC ou autre)",$H$331:$H$370)*$CJ$329)+(SUMIF($F$331:$F$370,"PLV (vitrine)",$H$331:$H$370)*$CJ$327)</f>
        <v>22550</v>
      </c>
      <c r="K2" s="1">
        <f>K20*CF20+K75*CF75+K112*CF112+K166*CF166+K221*CF221+K275*CF275+K329*CF329</f>
        <v>344873.54099999991</v>
      </c>
      <c r="CK2" s="6" t="b">
        <f>IFERROR(H2=CK1,"FAUX")</f>
        <v>1</v>
      </c>
      <c r="DU2" s="1">
        <f>SUMIFS(DU22:DU371,F22:F371,"*PLV*")</f>
        <v>244.39000000000001</v>
      </c>
    </row>
    <row r="3" spans="3:132" s="7" customFormat="1">
      <c r="E3" s="8"/>
      <c r="K3" s="7">
        <f>(SUMIFS($K$22:$K$62,$F$22:$F$62,"*PLV*")*$CF$20)+(SUMIFS($K$77:$K$98,$F$77:$F$98,"*PLV*")*$CF$75)+(SUMIFS($K$114:$K$153,$F$114:$F$153,"*PLV*")*$CF$112)+(SUMIFS($K$168:$K$207,$F$168:$F$207,"*PLV*")*$CF$166)+(SUMIFS($K$223:$K$262,$F$223:$F$262,"*PLV*")*$CF$221)+(SUMIFS($K$277:$K$316,$F$277:$F$316,"*PLV*")*$CF$275)+(SUMIFS($K$331:$K$370,$F$331:$F$370,"*PLV*")*$CF$329)</f>
        <v>31367.750000000004</v>
      </c>
      <c r="CG3" s="7">
        <f>SUM(CG8:CG370)</f>
        <v>510390.18097035919</v>
      </c>
      <c r="CK3" s="6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S3" s="7">
        <f>SUM(DS8:DS371,DT8:DT371)</f>
        <v>0</v>
      </c>
      <c r="DU3" s="7">
        <f>SUMIFS(DU22:DU371,F22:F371,"Produit Vente")</f>
        <v>0</v>
      </c>
    </row>
    <row r="4" spans="3:132" s="7" customFormat="1">
      <c r="C4" s="10"/>
      <c r="E4" s="8"/>
      <c r="K4" s="6">
        <f>(SUMIFS($K$22:$K$62,$F$22:$F$62,"Produit Vente")*$CF$20)+(SUMIFS($K$77:$K$98,$F$77:$F$98,"Produit Vente")*$CF$75)+(SUMIFS($K$114:$K$153,$F$114:$F$153,"Produit Vente")*$CF$112)+(SUMIFS($K$168:$K$207,$F$168:$F$207,"Produit Vente")*$CF$166)+(SUMIFS($K$223:$K$262,$F$223:$F$262,"Produit Vente")*$CF$221)+(SUMIFS($K$277:$K$316,$F$277:$F$316,"Produit Vente")*$CF$275)+(SUMIFS($K$331:$K$370,$F$331:$F$370,"Produit Vente")*$CF$329)</f>
        <v>282002.64099999995</v>
      </c>
      <c r="CF4" s="11"/>
      <c r="CG4" s="11"/>
      <c r="CH4" s="11"/>
      <c r="CK4" s="6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U4" s="7">
        <f>SUMIFS(DU22:DU371,F22:F371,"UG")</f>
        <v>0</v>
      </c>
    </row>
    <row r="5" spans="3:132" s="7" customFormat="1">
      <c r="C5" s="12" t="str">
        <f ca="1">MID(CELL("filename",C5),FIND("]",CELL("filename",C5))+1,255)</f>
        <v>REGENERANTS</v>
      </c>
      <c r="E5" s="8"/>
      <c r="K5" s="6">
        <f>(SUMIFS($K$22:$K$62,$F$22:$F$62,"UG")*$CF$20)+(SUMIFS($K$77:$K$98,$F$77:$F$98,"UG")*$CF$75)+(SUMIFS($K$114:$K$153,$F$114:$F$153,"UG")*$CF$112)+(SUMIFS($K$168:$K$207,$F$168:$F$207,"UG")*$CF$166)+(SUMIFS($K$223:$K$262,$F$223:$F$262,"UG")*$CF$221)+(SUMIFS($K$277:$K$316,$F$277:$F$316,"UG")*$CF$275)+(SUMIFS($K$331:$K$370,$F$331:$F$370,"UG")*$CF$329)</f>
        <v>0</v>
      </c>
      <c r="CF5" s="13"/>
      <c r="CG5" s="6"/>
      <c r="CK5" s="6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U5" s="7">
        <f>SUMIFS(DU22:DU371,F22:F371,"Testeur")</f>
        <v>0</v>
      </c>
    </row>
    <row r="6" spans="3:132" s="7" customFormat="1" ht="15">
      <c r="C6" s="14" t="str">
        <f>"&lt;&lt;"</f>
        <v>&lt;&lt;</v>
      </c>
      <c r="E6" s="8"/>
      <c r="K6" s="6">
        <f>(SUMIFS($K$22:$K$62,$F$22:$F$62,"Testeur")*$CF$20)+(SUMIFS($K$77:$K$98,$F$77:$F$98,"Testeur")*$CF$75)+(SUMIFS($K$114:$K$153,$F$114:$F$153,"Testeur")*$CF$112)+(SUMIFS($K$168:$K$207,$F$168:$F$207,"Testeur")*$CF$166)+(SUMIFS($K$223:$K$262,$F$223:$F$262,"Testeur")*$CF$221)+(SUMIFS($K$277:$K$316,$F$277:$F$316,"Testeur")*$CF$275)+(SUMIFS($K$331:$K$370,$F$331:$F$370,"Testeur")*$CF$329)</f>
        <v>31503.15</v>
      </c>
      <c r="CF6" s="13"/>
      <c r="CK6" s="6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</row>
    <row r="7" spans="3:132" s="15" customFormat="1" ht="13.5" thickBot="1">
      <c r="E7" s="16"/>
      <c r="CK7" s="17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</row>
    <row r="8" spans="3:132">
      <c r="CN8" s="19" t="s">
        <v>0</v>
      </c>
      <c r="CO8" s="19" t="s">
        <v>1</v>
      </c>
      <c r="CP8" s="19" t="s">
        <v>2</v>
      </c>
    </row>
    <row r="9" spans="3:132" ht="15" customHeight="1">
      <c r="C9" s="1" t="s">
        <v>3</v>
      </c>
      <c r="AB9" s="1">
        <v>65</v>
      </c>
      <c r="CM9" s="1" t="s">
        <v>4</v>
      </c>
      <c r="CN9" s="20">
        <f>SUMIFS($AB20:$AT20,$AB17:$AT17,CN8)+SUMIFS($BZ20:$CC20,$BZ17:$CC17,CN8)+SUMIFS($AB75:$AT75,$AB72:$AT72,CN8)+SUMIFS($BZ75:$CC75,$BZ72:$CC72,CN8)+SUMIFS($AB112:$AT112,$AB109:$AT109,CN8)+SUMIFS($BZ112:$CC112,$BZ109:$CC109,CN8)+SUMIFS($AB166:$AT166,$AB163:$AT163,CN8)+SUMIFS($BZ166:$CC166,$BZ163:$CC163,CN8)+SUMIFS($AB221:$AT221,$AB218:$AT218,CN8)+SUMIFS($BZ221:$CC221,$BZ218:$CC218,CN8)+SUMIFS($AB275:$AT275,$AB272:$AT272,CN8)+SUMIFS($BZ275:$CC275,$BZ272:$CC272,CN8)+SUMIFS($AB329:$AT329,$AB326:$AT326,CN8)+SUMIFS($BZ329:$CC329,$BZ326:$CC326,CN8)</f>
        <v>524</v>
      </c>
      <c r="CO9" s="20">
        <f>SUMIFS($AB20:$AT20,$AB17:$AT17,CO8)+SUMIFS($BZ20:$CC20,$BZ17:$CC17,CO8)+SUMIFS($AB75:$AT75,$AB72:$AT72,CO8)+SUMIFS($BZ75:$CC75,$BZ72:$CC72,CO8)+SUMIFS($AB112:$AT112,$AB109:$AT109,CO8)+SUMIFS($BZ112:$CC112,$BZ109:$CC109,CO8)+SUMIFS($AB166:$AT166,$AB163:$AT163,CO8)+SUMIFS($BZ166:$CC166,$BZ163:$CC163,CO8)+SUMIFS($AB221:$AT221,$AB218:$AT218,CO8)+SUMIFS($BZ221:$CC221,$BZ218:$CC218,CO8)+SUMIFS($AB275:$AT275,$AB272:$AT272,CO8)+SUMIFS($BZ275:$CC275,$BZ272:$CC272,CO8)+SUMIFS($AB329:$AT329,$AB326:$AT326,CO8)+SUMIFS($BZ329:$CC329,$BZ326:$CC326,CO8)</f>
        <v>387617.15945502068</v>
      </c>
      <c r="CP9" s="21">
        <f>IFERROR(SUM(CH38,CH93,CH130,CH184,CH239,CH293,CH347)/CO9,0)</f>
        <v>0.35357413497305246</v>
      </c>
    </row>
    <row r="10" spans="3:132">
      <c r="C10" s="22" t="s">
        <v>5</v>
      </c>
      <c r="D10" s="23"/>
      <c r="E10" s="24"/>
      <c r="F10" s="25" t="s">
        <v>6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M10" s="1" t="s">
        <v>7</v>
      </c>
      <c r="CN10" s="20">
        <f>SUMIFS($AV20:$BX20,$AV17:$BX17,CN8)+SUMIFS($AV75:$BX75,$AV72:$BX72,CN8)+SUMIFS($AV112:$BX112,$AV109:$BX109,CN8)+SUMIFS($AV166:$BX166,$AV163:$BX163,CN8)+SUMIFS($AV221:$BX221,$AV218:$BX218,CN8)+SUMIFS($AV275:$BX275,$AV272:$BX272,CN8)+SUMIFS($AV329:$BX329,$AV326:$BX326,CN8)</f>
        <v>236</v>
      </c>
      <c r="CO10" s="20">
        <f>SUMIFS($AV20:$BX20,$AV17:$BX17,CO8)+SUMIFS($AV75:$BX75,$AV72:$BX72,CO8)+SUMIFS($AV112:$BX112,$AV109:$BX109,CO8)+SUMIFS($AV166:$BX166,$AV163:$BX163,CO8)+SUMIFS($AV221:$BX221,$AV218:$BX218,CO8)+SUMIFS($AV275:$BX275,$AV272:$BX272,CO8)+SUMIFS($AV329:$BX329,$AV326:$BX326,CO8)</f>
        <v>122773.02151533854</v>
      </c>
      <c r="CP10" s="21">
        <f>IFERROR(SUM(CH44,CH99,CH136,CH190,CH245,CH299,CH353)/CO10,0)</f>
        <v>0.23185255004726149</v>
      </c>
    </row>
    <row r="11" spans="3:132" ht="5.25" customHeight="1"/>
    <row r="12" spans="3:132" ht="12.95" customHeight="1" thickBot="1">
      <c r="AB12" s="26">
        <v>0.5</v>
      </c>
      <c r="AC12" s="26"/>
      <c r="AD12" s="26"/>
      <c r="AE12" s="26"/>
      <c r="AF12" s="26"/>
      <c r="AG12" s="26">
        <v>0.2</v>
      </c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>
        <v>0.19</v>
      </c>
      <c r="AW12" s="26"/>
      <c r="AX12" s="26"/>
      <c r="AY12" s="26"/>
      <c r="AZ12" s="26"/>
      <c r="BA12" s="26">
        <v>0.1</v>
      </c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E12" s="27"/>
      <c r="CF12" s="28"/>
      <c r="CG12" s="28"/>
      <c r="CH12" s="28"/>
      <c r="CI12" s="29"/>
    </row>
    <row r="13" spans="3:132">
      <c r="AB13" s="30" t="s">
        <v>8</v>
      </c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V13" s="31" t="s">
        <v>9</v>
      </c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Z13" s="32" t="s">
        <v>10</v>
      </c>
      <c r="CA13" s="32"/>
      <c r="CB13" s="32"/>
      <c r="CC13" s="32"/>
      <c r="CE13" s="33"/>
      <c r="CF13" s="34" t="s">
        <v>11</v>
      </c>
      <c r="CG13" s="34"/>
      <c r="CH13" s="34"/>
      <c r="CI13" s="35"/>
      <c r="DW13" s="36"/>
      <c r="DX13" s="37"/>
      <c r="DY13" s="37"/>
      <c r="DZ13" s="37"/>
      <c r="EA13" s="37"/>
      <c r="EB13" s="38"/>
    </row>
    <row r="14" spans="3:132" ht="5.25" customHeight="1">
      <c r="CE14" s="33"/>
      <c r="CF14" s="39"/>
      <c r="CG14" s="39"/>
      <c r="CH14" s="39"/>
      <c r="CI14" s="35"/>
      <c r="DW14" s="40"/>
      <c r="EB14" s="41"/>
    </row>
    <row r="15" spans="3:132">
      <c r="P15" s="1" t="s">
        <v>12</v>
      </c>
      <c r="AB15" s="42" t="s">
        <v>13</v>
      </c>
      <c r="AC15" s="42"/>
      <c r="AD15" s="42"/>
      <c r="AE15" s="42"/>
      <c r="AG15" s="42" t="s">
        <v>14</v>
      </c>
      <c r="AH15" s="42"/>
      <c r="AI15" s="42"/>
      <c r="AJ15" s="42"/>
      <c r="AL15" s="42" t="s">
        <v>15</v>
      </c>
      <c r="AM15" s="42"/>
      <c r="AN15" s="42"/>
      <c r="AO15" s="42"/>
      <c r="AQ15" s="42" t="s">
        <v>16</v>
      </c>
      <c r="AR15" s="42"/>
      <c r="AS15" s="42"/>
      <c r="AT15" s="42"/>
      <c r="AV15" s="43" t="s">
        <v>17</v>
      </c>
      <c r="AW15" s="43"/>
      <c r="AX15" s="43"/>
      <c r="AY15" s="43"/>
      <c r="BA15" s="43" t="s">
        <v>18</v>
      </c>
      <c r="BB15" s="43"/>
      <c r="BC15" s="43"/>
      <c r="BD15" s="43"/>
      <c r="BF15" s="43" t="s">
        <v>19</v>
      </c>
      <c r="BG15" s="43"/>
      <c r="BH15" s="43"/>
      <c r="BI15" s="43"/>
      <c r="BK15" s="43" t="s">
        <v>20</v>
      </c>
      <c r="BL15" s="43"/>
      <c r="BM15" s="43"/>
      <c r="BN15" s="43"/>
      <c r="BP15" s="43" t="s">
        <v>21</v>
      </c>
      <c r="BQ15" s="43"/>
      <c r="BR15" s="43"/>
      <c r="BS15" s="43"/>
      <c r="BU15" s="43" t="s">
        <v>22</v>
      </c>
      <c r="BV15" s="43"/>
      <c r="BW15" s="43"/>
      <c r="BX15" s="43"/>
      <c r="BZ15" s="44" t="s">
        <v>10</v>
      </c>
      <c r="CA15" s="44"/>
      <c r="CB15" s="44"/>
      <c r="CC15" s="44"/>
      <c r="CE15" s="33"/>
      <c r="CF15" s="45" t="s">
        <v>23</v>
      </c>
      <c r="CG15" s="45"/>
      <c r="CH15" s="45"/>
      <c r="CI15" s="35"/>
      <c r="DW15" s="40"/>
      <c r="EB15" s="41"/>
    </row>
    <row r="16" spans="3:132" ht="5.25" customHeight="1">
      <c r="CE16" s="33"/>
      <c r="CF16" s="39"/>
      <c r="CG16" s="39"/>
      <c r="CH16" s="39"/>
      <c r="CI16" s="35"/>
      <c r="DW16" s="40"/>
      <c r="EB16" s="41"/>
    </row>
    <row r="17" spans="2:132" s="46" customFormat="1" ht="30.95" customHeight="1">
      <c r="E17" s="47"/>
      <c r="H17" s="48" t="s">
        <v>24</v>
      </c>
      <c r="J17" s="48" t="s">
        <v>25</v>
      </c>
      <c r="K17" s="48" t="s">
        <v>26</v>
      </c>
      <c r="M17" s="48" t="s">
        <v>27</v>
      </c>
      <c r="N17" s="48" t="s">
        <v>28</v>
      </c>
      <c r="P17" s="48" t="s">
        <v>29</v>
      </c>
      <c r="R17" s="48" t="s">
        <v>30</v>
      </c>
      <c r="T17" s="48" t="s">
        <v>31</v>
      </c>
      <c r="U17" s="48"/>
      <c r="V17" s="48" t="s">
        <v>32</v>
      </c>
      <c r="X17" s="48" t="s">
        <v>33</v>
      </c>
      <c r="Z17" s="48" t="s">
        <v>34</v>
      </c>
      <c r="AB17" s="48" t="s">
        <v>0</v>
      </c>
      <c r="AC17" s="48" t="s">
        <v>35</v>
      </c>
      <c r="AD17" s="48" t="s">
        <v>1</v>
      </c>
      <c r="AE17" s="48" t="s">
        <v>2</v>
      </c>
      <c r="AG17" s="48" t="s">
        <v>0</v>
      </c>
      <c r="AH17" s="48" t="s">
        <v>35</v>
      </c>
      <c r="AI17" s="48" t="s">
        <v>1</v>
      </c>
      <c r="AJ17" s="48" t="s">
        <v>2</v>
      </c>
      <c r="AL17" s="48" t="s">
        <v>0</v>
      </c>
      <c r="AM17" s="48" t="s">
        <v>35</v>
      </c>
      <c r="AN17" s="48" t="s">
        <v>1</v>
      </c>
      <c r="AO17" s="48" t="s">
        <v>2</v>
      </c>
      <c r="AQ17" s="48" t="s">
        <v>0</v>
      </c>
      <c r="AR17" s="48" t="s">
        <v>35</v>
      </c>
      <c r="AS17" s="48" t="s">
        <v>1</v>
      </c>
      <c r="AT17" s="48" t="s">
        <v>2</v>
      </c>
      <c r="AV17" s="48" t="s">
        <v>0</v>
      </c>
      <c r="AW17" s="48" t="s">
        <v>35</v>
      </c>
      <c r="AX17" s="48" t="s">
        <v>1</v>
      </c>
      <c r="AY17" s="48" t="s">
        <v>2</v>
      </c>
      <c r="BA17" s="48" t="s">
        <v>0</v>
      </c>
      <c r="BB17" s="48" t="s">
        <v>35</v>
      </c>
      <c r="BC17" s="48" t="s">
        <v>1</v>
      </c>
      <c r="BD17" s="48" t="s">
        <v>2</v>
      </c>
      <c r="BF17" s="48" t="s">
        <v>0</v>
      </c>
      <c r="BG17" s="48" t="s">
        <v>35</v>
      </c>
      <c r="BH17" s="48" t="s">
        <v>1</v>
      </c>
      <c r="BI17" s="48" t="s">
        <v>2</v>
      </c>
      <c r="BK17" s="48" t="s">
        <v>0</v>
      </c>
      <c r="BL17" s="48" t="s">
        <v>35</v>
      </c>
      <c r="BM17" s="48" t="s">
        <v>1</v>
      </c>
      <c r="BN17" s="48" t="s">
        <v>2</v>
      </c>
      <c r="BP17" s="48" t="s">
        <v>0</v>
      </c>
      <c r="BQ17" s="48" t="s">
        <v>35</v>
      </c>
      <c r="BR17" s="48" t="s">
        <v>1</v>
      </c>
      <c r="BS17" s="48" t="s">
        <v>2</v>
      </c>
      <c r="BU17" s="48" t="s">
        <v>0</v>
      </c>
      <c r="BV17" s="48" t="s">
        <v>35</v>
      </c>
      <c r="BW17" s="48" t="s">
        <v>1</v>
      </c>
      <c r="BX17" s="48" t="s">
        <v>2</v>
      </c>
      <c r="BZ17" s="48" t="s">
        <v>0</v>
      </c>
      <c r="CA17" s="48" t="s">
        <v>35</v>
      </c>
      <c r="CB17" s="48" t="s">
        <v>1</v>
      </c>
      <c r="CC17" s="48" t="s">
        <v>2</v>
      </c>
      <c r="CE17" s="49"/>
      <c r="CF17" s="50" t="s">
        <v>0</v>
      </c>
      <c r="CG17" s="50" t="s">
        <v>1</v>
      </c>
      <c r="CH17" s="50" t="s">
        <v>2</v>
      </c>
      <c r="CI17" s="51"/>
      <c r="CK17" s="52"/>
      <c r="CN17" s="260" t="s">
        <v>36</v>
      </c>
      <c r="CO17" s="260"/>
      <c r="CP17" s="260"/>
      <c r="CQ17" s="260"/>
      <c r="CR17" s="260"/>
      <c r="CS17" s="260"/>
      <c r="CT17" s="261" t="s">
        <v>37</v>
      </c>
      <c r="CU17" s="261"/>
      <c r="CV17" s="53"/>
      <c r="CW17" s="54" t="s">
        <v>38</v>
      </c>
      <c r="CX17" s="55" t="s">
        <v>39</v>
      </c>
      <c r="CY17" s="262" t="s">
        <v>40</v>
      </c>
      <c r="CZ17" s="262"/>
      <c r="DA17" s="262"/>
      <c r="DB17" s="263" t="s">
        <v>41</v>
      </c>
      <c r="DC17" s="263"/>
      <c r="DD17" s="263"/>
      <c r="DE17" s="264" t="s">
        <v>42</v>
      </c>
      <c r="DF17" s="264"/>
      <c r="DG17" s="264"/>
      <c r="DH17" s="264"/>
      <c r="DI17" s="264"/>
      <c r="DJ17" s="264"/>
      <c r="DK17" s="264"/>
      <c r="DL17" s="264"/>
      <c r="DM17" s="264"/>
      <c r="DN17" s="264"/>
      <c r="DO17" s="264"/>
      <c r="DP17" s="56" t="s">
        <v>10</v>
      </c>
      <c r="DQ17" s="46" t="s">
        <v>23</v>
      </c>
      <c r="DR17" s="46" t="s">
        <v>43</v>
      </c>
      <c r="DS17" s="46" t="s">
        <v>44</v>
      </c>
      <c r="DT17" s="46" t="s">
        <v>45</v>
      </c>
      <c r="DU17" s="46" t="s">
        <v>46</v>
      </c>
      <c r="DW17" s="57"/>
      <c r="DX17" s="257" t="s">
        <v>47</v>
      </c>
      <c r="DY17" s="257"/>
      <c r="DZ17" s="257"/>
      <c r="EA17" s="58" t="s">
        <v>48</v>
      </c>
      <c r="EB17" s="59"/>
    </row>
    <row r="18" spans="2:132" ht="26.25" thickBot="1">
      <c r="C18" s="60" t="s">
        <v>49</v>
      </c>
      <c r="D18" s="60" t="s">
        <v>50</v>
      </c>
      <c r="E18" s="60" t="s">
        <v>51</v>
      </c>
      <c r="F18" s="60" t="s">
        <v>52</v>
      </c>
      <c r="H18" s="61" t="s">
        <v>53</v>
      </c>
      <c r="J18" s="61" t="s">
        <v>54</v>
      </c>
      <c r="K18" s="61" t="s">
        <v>54</v>
      </c>
      <c r="M18" s="61" t="s">
        <v>54</v>
      </c>
      <c r="N18" s="61" t="s">
        <v>54</v>
      </c>
      <c r="P18" s="61" t="s">
        <v>54</v>
      </c>
      <c r="R18" s="61" t="s">
        <v>54</v>
      </c>
      <c r="T18" s="61" t="s">
        <v>54</v>
      </c>
      <c r="U18" s="62"/>
      <c r="V18" s="61" t="s">
        <v>54</v>
      </c>
      <c r="X18" s="61" t="s">
        <v>54</v>
      </c>
      <c r="Z18" s="61" t="s">
        <v>54</v>
      </c>
      <c r="AB18" s="61" t="s">
        <v>53</v>
      </c>
      <c r="AC18" s="61" t="s">
        <v>54</v>
      </c>
      <c r="AD18" s="61" t="s">
        <v>54</v>
      </c>
      <c r="AE18" s="61" t="s">
        <v>54</v>
      </c>
      <c r="AG18" s="61" t="s">
        <v>53</v>
      </c>
      <c r="AH18" s="61" t="s">
        <v>54</v>
      </c>
      <c r="AI18" s="61" t="s">
        <v>54</v>
      </c>
      <c r="AJ18" s="61" t="s">
        <v>54</v>
      </c>
      <c r="AL18" s="61" t="s">
        <v>53</v>
      </c>
      <c r="AM18" s="61" t="s">
        <v>54</v>
      </c>
      <c r="AN18" s="61" t="s">
        <v>54</v>
      </c>
      <c r="AO18" s="61" t="s">
        <v>54</v>
      </c>
      <c r="AQ18" s="61" t="s">
        <v>53</v>
      </c>
      <c r="AR18" s="61" t="s">
        <v>54</v>
      </c>
      <c r="AS18" s="61" t="s">
        <v>54</v>
      </c>
      <c r="AT18" s="61" t="s">
        <v>54</v>
      </c>
      <c r="AV18" s="61" t="s">
        <v>53</v>
      </c>
      <c r="AW18" s="61" t="s">
        <v>54</v>
      </c>
      <c r="AX18" s="61" t="s">
        <v>54</v>
      </c>
      <c r="AY18" s="61" t="s">
        <v>54</v>
      </c>
      <c r="BA18" s="61" t="s">
        <v>53</v>
      </c>
      <c r="BB18" s="61" t="s">
        <v>54</v>
      </c>
      <c r="BC18" s="61" t="s">
        <v>54</v>
      </c>
      <c r="BD18" s="61" t="s">
        <v>54</v>
      </c>
      <c r="BF18" s="61" t="s">
        <v>53</v>
      </c>
      <c r="BG18" s="61" t="s">
        <v>54</v>
      </c>
      <c r="BH18" s="61" t="s">
        <v>54</v>
      </c>
      <c r="BI18" s="61" t="s">
        <v>54</v>
      </c>
      <c r="BK18" s="61" t="s">
        <v>53</v>
      </c>
      <c r="BL18" s="61" t="s">
        <v>54</v>
      </c>
      <c r="BM18" s="61" t="s">
        <v>54</v>
      </c>
      <c r="BN18" s="61" t="s">
        <v>54</v>
      </c>
      <c r="BP18" s="61" t="s">
        <v>53</v>
      </c>
      <c r="BQ18" s="61" t="s">
        <v>54</v>
      </c>
      <c r="BR18" s="61" t="s">
        <v>54</v>
      </c>
      <c r="BS18" s="61" t="s">
        <v>54</v>
      </c>
      <c r="BU18" s="61" t="s">
        <v>53</v>
      </c>
      <c r="BV18" s="61" t="s">
        <v>54</v>
      </c>
      <c r="BW18" s="61" t="s">
        <v>54</v>
      </c>
      <c r="BX18" s="61" t="s">
        <v>54</v>
      </c>
      <c r="BZ18" s="61" t="s">
        <v>53</v>
      </c>
      <c r="CA18" s="61" t="s">
        <v>54</v>
      </c>
      <c r="CB18" s="61" t="s">
        <v>54</v>
      </c>
      <c r="CC18" s="61" t="s">
        <v>54</v>
      </c>
      <c r="CE18" s="33"/>
      <c r="CF18" s="63" t="s">
        <v>53</v>
      </c>
      <c r="CG18" s="63" t="s">
        <v>54</v>
      </c>
      <c r="CH18" s="63" t="s">
        <v>54</v>
      </c>
      <c r="CI18" s="35"/>
      <c r="CJ18" s="64">
        <f>ROUNDUP(CF20*40%,-1)</f>
        <v>30</v>
      </c>
      <c r="DW18" s="40"/>
      <c r="EB18" s="41"/>
    </row>
    <row r="19" spans="2:132" ht="5.25" customHeight="1">
      <c r="R19" s="1" t="s">
        <v>55</v>
      </c>
      <c r="V19"/>
      <c r="X19"/>
      <c r="CE19" s="33"/>
      <c r="CF19" s="39"/>
      <c r="CG19" s="39"/>
      <c r="CH19" s="39"/>
      <c r="CI19" s="35"/>
      <c r="DW19" s="40"/>
      <c r="EB19" s="41"/>
    </row>
    <row r="20" spans="2:132" s="64" customFormat="1" ht="12.95" customHeight="1" thickBot="1">
      <c r="B20" s="64" t="str">
        <f>C10</f>
        <v>REGENERANTS 1 - Premium</v>
      </c>
      <c r="C20" s="65" t="s">
        <v>56</v>
      </c>
      <c r="D20" s="65"/>
      <c r="E20" s="66"/>
      <c r="F20" s="65"/>
      <c r="H20" s="67">
        <f>IFERROR(SUMIFS(H22:H62,F22:F62,"Produit Vente"),"Non trouvé")</f>
        <v>50</v>
      </c>
      <c r="J20" s="68">
        <f>IFERROR($K20/$H20,"Non Trouvé")</f>
        <v>17.154620000000001</v>
      </c>
      <c r="K20" s="68">
        <f>IFERROR(SUM(K22:K62),"Non Trouvé")</f>
        <v>857.73099999999999</v>
      </c>
      <c r="M20" s="68">
        <f>IFERROR($N20/$H20,"Non Trouvé")</f>
        <v>39.781034793587487</v>
      </c>
      <c r="N20" s="68">
        <f>IFERROR(SUM(N22:N62),"Non Trouvé")</f>
        <v>1989.0517396793744</v>
      </c>
      <c r="P20" s="69">
        <f>IFERROR(-(R20-N20)/N20,"Non Trouvé")</f>
        <v>0.15</v>
      </c>
      <c r="R20" s="68">
        <f>IFERROR(SUM(R22:R62),"Non Trouvé")</f>
        <v>1690.6939787274682</v>
      </c>
      <c r="T20" s="68">
        <f>IFERROR(SUM(T22:T62),"Non Trouvé")</f>
        <v>863.39614304461031</v>
      </c>
      <c r="U20" s="70"/>
      <c r="V20" s="68">
        <f>IFERROR(SUM(V22:V62),"Non Trouvé")</f>
        <v>733.88672158791871</v>
      </c>
      <c r="X20" s="68">
        <f>IFERROR(SUM(X22:X62),"Non Trouvé")</f>
        <v>129.50942145669154</v>
      </c>
      <c r="Z20" s="68">
        <f>IFERROR(SUM(Z22:Z62),"Non Trouvé")</f>
        <v>3381.3</v>
      </c>
      <c r="AB20" s="71">
        <f>ROUND($AB$9*AB12,0)</f>
        <v>33</v>
      </c>
      <c r="AC20" s="72">
        <f>IFERROR(VLOOKUP(AB15,'[1]Paramètres Généraux'!$O:$P,2,FALSE),"Non Trouvé")</f>
        <v>0.17</v>
      </c>
      <c r="AD20" s="68">
        <f>IFERROR(SUM(AD22:AD62),"Non Trouvé")</f>
        <v>44634.321038405164</v>
      </c>
      <c r="AE20" s="69">
        <f>IFERROR((AD20-$K20*AB20)/AD20,"Non Trouvé")</f>
        <v>0.36584398862827699</v>
      </c>
      <c r="AG20" s="71">
        <f>ROUND($AB$9*AG12,0)</f>
        <v>13</v>
      </c>
      <c r="AH20" s="72">
        <f>IFERROR(VLOOKUP(AG15,'[1]Paramètres Généraux'!$O:$P,2,FALSE),"Non Trouvé")</f>
        <v>0.13</v>
      </c>
      <c r="AI20" s="68">
        <f>IFERROR(SUM(AI22:AI62),"Non Trouvé")</f>
        <v>18617.524283398943</v>
      </c>
      <c r="AJ20" s="69">
        <f>IFERROR((AI20-$K20*AG20)/AI20,"Non Trouvé")</f>
        <v>0.40107487814892817</v>
      </c>
      <c r="AL20" s="71">
        <f>ROUND($AB$9*AL12,0)</f>
        <v>0</v>
      </c>
      <c r="AM20" s="72">
        <f>IFERROR(VLOOKUP(AL15,'[1]Paramètres Généraux'!$O:$P,2,FALSE),"Non Trouvé")</f>
        <v>0.08</v>
      </c>
      <c r="AN20" s="68">
        <f>IFERROR(SUM(AN22:AN62),"Non Trouvé")</f>
        <v>0</v>
      </c>
      <c r="AO20" s="69" t="str">
        <f>IFERROR((AN20-$K20*AL20)/AN20,"Non Trouvé")</f>
        <v>Non Trouvé</v>
      </c>
      <c r="AQ20" s="71">
        <f>ROUND($AB$9*AQ12,0)</f>
        <v>0</v>
      </c>
      <c r="AR20" s="72">
        <f>IFERROR(VLOOKUP(AQ15,'[1]Paramètres Généraux'!$O:$P,2,FALSE),"Non Trouvé")</f>
        <v>0.05</v>
      </c>
      <c r="AS20" s="68">
        <f>IFERROR(SUM(AS22:AS62),"Non Trouvé")</f>
        <v>0</v>
      </c>
      <c r="AT20" s="69" t="str">
        <f>IFERROR((AS20-$K20*AQ20)/AS20,"Non Trouvé")</f>
        <v>Non Trouvé</v>
      </c>
      <c r="AV20" s="71">
        <f>ROUND($AB$9*AV12,0)</f>
        <v>12</v>
      </c>
      <c r="AW20" s="72">
        <f>IFERROR(VLOOKUP(AV15,'[1]Paramètres Généraux'!$O:$P,2,FALSE),"Non Trouvé")</f>
        <v>0.32500000000000001</v>
      </c>
      <c r="AX20" s="68">
        <f>IFERROR(SUM(AX22:AX62),"Non Trouvé")</f>
        <v>12531.025959980059</v>
      </c>
      <c r="AY20" s="69">
        <f>IFERROR((AX20-$K20*AV20)/AX20,"Non Trouvé")</f>
        <v>0.17861697574710156</v>
      </c>
      <c r="BA20" s="71">
        <f>ROUND($AB$9*BA12,0)</f>
        <v>7</v>
      </c>
      <c r="BB20" s="72">
        <f>IFERROR(VLOOKUP(BA15,'[1]Paramètres Généraux'!$O:$P,2,FALSE),"Non Trouvé")</f>
        <v>0.29499999999999998</v>
      </c>
      <c r="BC20" s="68">
        <f>IFERROR(SUM(BC22:BC62),"Non Trouvé")</f>
        <v>7727.4660086543718</v>
      </c>
      <c r="BD20" s="69">
        <f>IFERROR((BC20-$K20*BA20)/BC20,"Non Trouvé")</f>
        <v>0.22301605813915037</v>
      </c>
      <c r="BF20" s="71">
        <f>ROUND($AB$9*BF12,0)</f>
        <v>0</v>
      </c>
      <c r="BG20" s="72">
        <f>IFERROR(VLOOKUP(BF15,'[1]Paramètres Généraux'!$O:$P,2,FALSE),"Non Trouvé")</f>
        <v>0.27500000000000002</v>
      </c>
      <c r="BH20" s="68">
        <f>IFERROR(SUM(BH22:BH62),"Non Trouvé")</f>
        <v>0</v>
      </c>
      <c r="BI20" s="69" t="str">
        <f>IFERROR((BH20-$K20*BF20)/BH20,"Non Trouvé")</f>
        <v>Non Trouvé</v>
      </c>
      <c r="BK20" s="71">
        <f>ROUND($AB$9*BK12,0)</f>
        <v>0</v>
      </c>
      <c r="BL20" s="72">
        <f>IFERROR(VLOOKUP(BK15,'[1]Paramètres Généraux'!$O:$P,2,FALSE),"Non Trouvé")</f>
        <v>0.245</v>
      </c>
      <c r="BM20" s="68">
        <f>IFERROR(SUM(BM22:BM62),"Non Trouvé")</f>
        <v>0</v>
      </c>
      <c r="BN20" s="69" t="str">
        <f>IFERROR((BM20-$K20*BK20)/BM20,"Non Trouvé")</f>
        <v>Non Trouvé</v>
      </c>
      <c r="BP20" s="71">
        <f>ROUND($AB$9*BP12,0)</f>
        <v>0</v>
      </c>
      <c r="BQ20" s="72">
        <f>IFERROR(VLOOKUP(BP15,'[1]Paramètres Généraux'!$O:$P,2,FALSE),"Non Trouvé")</f>
        <v>0.22500000000000001</v>
      </c>
      <c r="BR20" s="68">
        <f>IFERROR(SUM(BR22:BR62),"Non Trouvé")</f>
        <v>0</v>
      </c>
      <c r="BS20" s="69" t="str">
        <f>IFERROR((BR20-$K20*BP20)/BR20,"Non Trouvé")</f>
        <v>Non Trouvé</v>
      </c>
      <c r="BU20" s="71">
        <f>ROUND($AB$9*BU12,0)</f>
        <v>0</v>
      </c>
      <c r="BV20" s="72">
        <f>IFERROR(VLOOKUP(BU15,'[1]Paramètres Généraux'!$O:$P,2,FALSE),"Non Trouvé")</f>
        <v>0.17499999999999999</v>
      </c>
      <c r="BW20" s="68">
        <f>IFERROR(SUM(BW22:BW62),"Non Trouvé")</f>
        <v>0</v>
      </c>
      <c r="BX20" s="69" t="str">
        <f>IFERROR((BW20-$K20*BU20)/BW20,"Non Trouvé")</f>
        <v>Non Trouvé</v>
      </c>
      <c r="BZ20" s="71">
        <f>ROUND($AB$9*BZ12,0)</f>
        <v>0</v>
      </c>
      <c r="CA20" s="72">
        <f>IFERROR(VLOOKUP(BZ15,'[1]Paramètres Généraux'!$O:$P,2,FALSE),"Non Trouvé")</f>
        <v>0.15</v>
      </c>
      <c r="CB20" s="68">
        <f>IFERROR(SUM(CB22:CB62),"Non Trouvé")</f>
        <v>0</v>
      </c>
      <c r="CC20" s="69" t="str">
        <f>IFERROR((CB20-$K20*BZ20)/CB20,"Non Trouvé")</f>
        <v>Non Trouvé</v>
      </c>
      <c r="CE20" s="73"/>
      <c r="CF20" s="67">
        <f>SUMIFS($AB20:$CC20,$AB17:$CC17,CF17)</f>
        <v>65</v>
      </c>
      <c r="CG20" s="67">
        <f>SUMIFS($AB20:$CC20,$AB17:$CC17,CG17)</f>
        <v>83510.337290438547</v>
      </c>
      <c r="CH20" s="74">
        <f>IFERROR((CG20-$K20*CF20)/CG20,"Non Trouvé")</f>
        <v>0.33238785988733704</v>
      </c>
      <c r="CI20" s="75"/>
      <c r="CJ20" s="64">
        <f>ROUNDUP(CF20*70%,-1)</f>
        <v>50</v>
      </c>
      <c r="CK20" s="76"/>
      <c r="CL20" s="77"/>
      <c r="CN20" s="78" t="s">
        <v>57</v>
      </c>
      <c r="CO20" s="78" t="s">
        <v>58</v>
      </c>
      <c r="CP20" s="78" t="s">
        <v>59</v>
      </c>
      <c r="CQ20" s="78" t="s">
        <v>60</v>
      </c>
      <c r="CR20" s="78" t="s">
        <v>61</v>
      </c>
      <c r="CS20" s="78" t="s">
        <v>62</v>
      </c>
      <c r="CT20" s="78" t="s">
        <v>63</v>
      </c>
      <c r="CU20" s="78" t="s">
        <v>64</v>
      </c>
      <c r="CV20" s="78" t="s">
        <v>65</v>
      </c>
      <c r="CW20" s="79" t="s">
        <v>66</v>
      </c>
      <c r="CX20" s="79" t="s">
        <v>67</v>
      </c>
      <c r="CY20" s="79" t="s">
        <v>68</v>
      </c>
      <c r="CZ20" s="79" t="s">
        <v>69</v>
      </c>
      <c r="DA20" s="79" t="s">
        <v>70</v>
      </c>
      <c r="DB20" s="79" t="s">
        <v>71</v>
      </c>
      <c r="DC20" s="79" t="s">
        <v>72</v>
      </c>
      <c r="DD20" s="79" t="s">
        <v>73</v>
      </c>
      <c r="DE20" s="79" t="s">
        <v>74</v>
      </c>
      <c r="DF20" s="79" t="s">
        <v>75</v>
      </c>
      <c r="DG20" s="79" t="s">
        <v>76</v>
      </c>
      <c r="DH20" s="79" t="s">
        <v>77</v>
      </c>
      <c r="DI20" s="79" t="s">
        <v>78</v>
      </c>
      <c r="DJ20" s="79" t="s">
        <v>79</v>
      </c>
      <c r="DK20" s="79" t="s">
        <v>80</v>
      </c>
      <c r="DL20" s="79" t="s">
        <v>81</v>
      </c>
      <c r="DM20" s="79" t="s">
        <v>82</v>
      </c>
      <c r="DN20" s="79" t="s">
        <v>83</v>
      </c>
      <c r="DO20" s="79" t="s">
        <v>84</v>
      </c>
      <c r="DP20" s="79" t="s">
        <v>85</v>
      </c>
      <c r="DQ20" s="78"/>
      <c r="DR20" s="78"/>
      <c r="DS20" s="78"/>
      <c r="DT20" s="78"/>
      <c r="DU20" s="78"/>
      <c r="DW20" s="80"/>
      <c r="DX20" s="81" t="s">
        <v>86</v>
      </c>
      <c r="DY20" s="81" t="s">
        <v>87</v>
      </c>
      <c r="DZ20" s="81" t="s">
        <v>88</v>
      </c>
      <c r="EA20" s="81" t="s">
        <v>89</v>
      </c>
      <c r="EB20" s="82"/>
    </row>
    <row r="21" spans="2:132" ht="5.25" customHeight="1">
      <c r="V21"/>
      <c r="X21"/>
      <c r="CE21" s="33"/>
      <c r="CF21" s="39"/>
      <c r="CG21" s="39"/>
      <c r="CH21" s="39"/>
      <c r="CI21" s="35"/>
      <c r="DW21" s="40"/>
      <c r="EA21" s="83"/>
      <c r="EB21" s="41"/>
    </row>
    <row r="22" spans="2:132" ht="12.95" customHeight="1" thickBot="1">
      <c r="B22" s="84">
        <v>1</v>
      </c>
      <c r="C22" s="85">
        <v>1020202</v>
      </c>
      <c r="D22" s="86" t="str">
        <f>IFERROR(IF($C22="","",VLOOKUP($C22,'[1]Paramètres Articles'!$B:$G,2,FALSE)),"Non Trouvé")</f>
        <v>Sérum Jour/Nuit - Régénérant - 30 ml</v>
      </c>
      <c r="E22" s="87">
        <f>IFERROR(IF($C22="","",_xlfn.XLOOKUP(REGENERANTS!$C22,'[1]New Base PA'!$F:$F,'[1]New Base PA'!$D:$D,"Not Found",0)),"Non Trouvé")</f>
        <v>4020829103115</v>
      </c>
      <c r="F22" s="88" t="s">
        <v>90</v>
      </c>
      <c r="H22" s="89">
        <v>7</v>
      </c>
      <c r="J22" s="90">
        <f>IFERROR(IF($C22="","",VLOOKUP($C22,'[1]New Base PA'!$F:$J,5,FALSE)),"Non Trouvé")</f>
        <v>15.839799999999999</v>
      </c>
      <c r="K22" s="90">
        <f t="shared" ref="K22:K62" si="0">IFERROR(IF($C22="","",$J22*$H22),"Non Trouvé")</f>
        <v>110.87859999999999</v>
      </c>
      <c r="L22" s="91"/>
      <c r="M22" s="90">
        <f>IFERROR(IF(AND($F22="Produit Vente",H22&gt;0),VLOOKUP($C22,'[1]Paramètres Articles'!$B:$G,6,FALSE),0),"Non Trouvé")</f>
        <v>41.117049418604651</v>
      </c>
      <c r="N22" s="90">
        <f t="shared" ref="N22:N62" si="1">IFERROR(IF($C22="","",$M22*$H22),"Non Trouvé")</f>
        <v>287.81934593023254</v>
      </c>
      <c r="P22" s="92">
        <v>0.15</v>
      </c>
      <c r="R22" s="90">
        <f t="shared" ref="R22:R62" si="2">IFERROR(IF($C22="","",$N22*(1-$P22)),"Non Trouvé")</f>
        <v>244.64644404069765</v>
      </c>
      <c r="S22" s="91"/>
      <c r="T22" s="90">
        <f>IFERROR(IF($C22="","",VLOOKUP($C22,'[1]Paramètres Articles'!$B:$H,7,FALSE)),"Non Trouvé")</f>
        <v>69.900000000000006</v>
      </c>
      <c r="U22" s="93"/>
      <c r="V22" s="90">
        <f>IFERROR(IF($C22="","",IF($P22="","",$T22*(1-$P22))),"Non Trouvé")</f>
        <v>59.415000000000006</v>
      </c>
      <c r="W22" s="91"/>
      <c r="X22" s="90">
        <f>IFERROR(T22-V22,"")</f>
        <v>10.484999999999999</v>
      </c>
      <c r="Y22" s="91"/>
      <c r="Z22" s="90">
        <f>IFERROR(IF(OR(T22=0,T22=""),0,T22*H22),"Non Trouvé")</f>
        <v>489.30000000000007</v>
      </c>
      <c r="AB22" s="94">
        <f>AB20</f>
        <v>33</v>
      </c>
      <c r="AC22" s="94">
        <f>AC20</f>
        <v>0.17</v>
      </c>
      <c r="AD22" s="90">
        <f>IFERROR(IF($C22="","",IF($P$15="Cascade",$R22*(1-AC22)*AB22,IF($P$15="Additionnelle",($N22-($N22*($P22+AC22)))*AB22))),"Non Trouvé")</f>
        <v>6458.6661226744181</v>
      </c>
      <c r="AG22" s="94">
        <f>AG20</f>
        <v>13</v>
      </c>
      <c r="AH22" s="94">
        <f>AH20</f>
        <v>0.13</v>
      </c>
      <c r="AI22" s="90">
        <f>IFERROR(IF($C22="","",IF($P$15="Cascade",$R22*(1-AH22)*AG22,IF($P$15="Additionnelle",($N22-($N22*($P22+AH22)))*AG22))),"Non Trouvé")</f>
        <v>2693.9890779069765</v>
      </c>
      <c r="AL22" s="94">
        <f>AL20</f>
        <v>0</v>
      </c>
      <c r="AM22" s="94">
        <f>AM20</f>
        <v>0.08</v>
      </c>
      <c r="AN22" s="90">
        <f>IFERROR(IF($C22="","",IF($P$15="Cascade",$R22*(1-AM22)*AL22,IF($P$15="Additionnelle",($N22-($N22*($P22+AM22)))*AL22))),"Non Trouvé")</f>
        <v>0</v>
      </c>
      <c r="AQ22" s="94">
        <f>AQ20</f>
        <v>0</v>
      </c>
      <c r="AR22" s="94">
        <f>AR20</f>
        <v>0.05</v>
      </c>
      <c r="AS22" s="90">
        <f>IFERROR(IF($C22="","",IF($P$15="Cascade",$R22*(1-AR22)*AQ22,IF($P$15="Additionnelle",($N22-($N22*($P22+AR22)))*AQ22))),"Non Trouvé")</f>
        <v>0</v>
      </c>
      <c r="AV22" s="94">
        <f>AV20</f>
        <v>12</v>
      </c>
      <c r="AW22" s="94">
        <f>AW20</f>
        <v>0.32500000000000001</v>
      </c>
      <c r="AX22" s="90">
        <f>IFERROR(IF($C22="","",IF($P$15="Cascade",$R22*(1-AW22)*AV22,IF($P$15="Additionnelle",($N22-($N22*($P22+AW22)))*AV22))),"Non Trouvé")</f>
        <v>1813.2618793604652</v>
      </c>
      <c r="BA22" s="94">
        <f>BA20</f>
        <v>7</v>
      </c>
      <c r="BB22" s="94">
        <f>BB20</f>
        <v>0.29499999999999998</v>
      </c>
      <c r="BC22" s="90">
        <f>IFERROR(IF($C22="","",IF($P$15="Cascade",$R22*(1-BB22)*BA22,IF($P$15="Additionnelle",($N22-($N22*($P22+BB22)))*BA22))),"Non Trouvé")</f>
        <v>1118.1781589389534</v>
      </c>
      <c r="BF22" s="94">
        <f>BF20</f>
        <v>0</v>
      </c>
      <c r="BG22" s="94">
        <f>BG20</f>
        <v>0.27500000000000002</v>
      </c>
      <c r="BH22" s="90">
        <f>IFERROR(IF($C22="","",IF($P$15="Cascade",$R22*(1-BG22)*BF22,IF($P$15="Additionnelle",($N22-($N22*($P22+BG22)))*BF22))),"Non Trouvé")</f>
        <v>0</v>
      </c>
      <c r="BK22" s="94">
        <f>BK20</f>
        <v>0</v>
      </c>
      <c r="BL22" s="94">
        <f>BL20</f>
        <v>0.245</v>
      </c>
      <c r="BM22" s="90">
        <f>IFERROR(IF($C22="","",IF($P$15="Cascade",$R22*(1-BL22)*BK22,IF($P$15="Additionnelle",($N22-($N22*($P22+BL22)))*BK22))),"Non Trouvé")</f>
        <v>0</v>
      </c>
      <c r="BP22" s="94">
        <f>BP20</f>
        <v>0</v>
      </c>
      <c r="BQ22" s="94">
        <f>BQ20</f>
        <v>0.22500000000000001</v>
      </c>
      <c r="BR22" s="90">
        <f>IFERROR(IF($C22="","",IF($P$15="Cascade",$R22*(1-BQ22)*BP22,IF($P$15="Additionnelle",($N22-($N22*($P22+BQ22)))*BP22))),"Non Trouvé")</f>
        <v>0</v>
      </c>
      <c r="BU22" s="94">
        <f>BU20</f>
        <v>0</v>
      </c>
      <c r="BV22" s="94">
        <f>BV20</f>
        <v>0.17499999999999999</v>
      </c>
      <c r="BW22" s="90">
        <f>IFERROR(IF($C22="","",IF($P$15="Cascade",$R22*(1-BV22)*BU22,IF($P$15="Additionnelle",($N22-($N22*($P22+BV22)))*BU22))),"Non Trouvé")</f>
        <v>0</v>
      </c>
      <c r="BZ22" s="94">
        <f>BZ20</f>
        <v>0</v>
      </c>
      <c r="CA22" s="94">
        <f>CA20</f>
        <v>0.15</v>
      </c>
      <c r="CB22" s="90">
        <f>IFERROR(IF($C22="","",IF($P$15="Cascade",$R22*(1-CA22)*BZ22,IF($P$15="Additionnelle",($N22-($N22*($P22+CA22)))*BZ22))),"Non Trouvé")</f>
        <v>0</v>
      </c>
      <c r="CE22" s="95"/>
      <c r="CF22" s="96"/>
      <c r="CG22" s="97"/>
      <c r="CH22" s="97"/>
      <c r="CI22" s="98"/>
      <c r="CK22" s="99">
        <f>IFERROR(IF(F22='[1]Paramètres Généraux'!$K$12,ROUNDUP((REGENERANTS!H22*REGENERANTS!$CF$20)*'[1]Paramètres Généraux'!$M$12,-1),IF(F22='[1]Paramètres Généraux'!$K$15,ROUNDUP((REGENERANTS!H22*REGENERANTS!$CF$20)*'[1]Paramètres Généraux'!$M$15,-1),REGENERANTS!H22*REGENERANTS!$CF$20)),"nd")</f>
        <v>455</v>
      </c>
      <c r="CN22" s="100"/>
      <c r="CO22" s="101"/>
      <c r="CP22" s="101"/>
      <c r="CQ22" s="101"/>
      <c r="CR22" s="101"/>
      <c r="CS22" s="102"/>
      <c r="CT22" s="101"/>
      <c r="CU22" s="101"/>
      <c r="CV22" s="103"/>
      <c r="CW22" s="104"/>
      <c r="CX22" s="105"/>
      <c r="CY22" s="106"/>
      <c r="CZ22" s="104"/>
      <c r="DA22" s="107"/>
      <c r="DB22" s="108"/>
      <c r="DC22" s="104"/>
      <c r="DD22" s="109"/>
      <c r="DE22" s="108"/>
      <c r="DF22" s="104"/>
      <c r="DG22" s="104"/>
      <c r="DH22" s="104"/>
      <c r="DI22" s="104"/>
      <c r="DJ22" s="104"/>
      <c r="DK22" s="104"/>
      <c r="DL22" s="104"/>
      <c r="DM22" s="104"/>
      <c r="DN22" s="104"/>
      <c r="DO22" s="107"/>
      <c r="DP22" s="106"/>
      <c r="DQ22" s="20">
        <f>SUM(CN22:DP22)</f>
        <v>0</v>
      </c>
      <c r="DR22" s="20">
        <f t="shared" ref="DR22:DR62" si="3">SUM(CV22:DP22)</f>
        <v>0</v>
      </c>
      <c r="DS22" s="20">
        <f>IFERROR((IF(AND($F22="Produit Vente",CO22&gt;0),VLOOKUP($C22,'[1]Paramètres Articles'!$B:$H,7,FALSE)*$CO22)*(1-20%)),0)</f>
        <v>0</v>
      </c>
      <c r="DT22" s="20">
        <f>IFERROR((IF(AND($F22="Produit Vente",DR22&gt;0),VLOOKUP($C22,'[1]Paramètres Articles'!$B:$H,6,FALSE)*$DR22)*(1-15%)),0)</f>
        <v>0</v>
      </c>
      <c r="DU22" s="20">
        <f>IFERROR(DQ22*J22,0)</f>
        <v>0</v>
      </c>
      <c r="DW22" s="40"/>
      <c r="DX22" s="110"/>
      <c r="DY22" s="111" t="e">
        <f ca="1">VLOOKUP(DX22,C:D,2,FALSE)</f>
        <v>#N/A</v>
      </c>
      <c r="DZ22" s="112" t="e">
        <f>SUMIFS('[1]Moteur Produits'!$C:$C,'[1]Moteur Produits'!$B:$B,$DX22)</f>
        <v>#VALUE!</v>
      </c>
      <c r="EA22" s="113"/>
      <c r="EB22" s="41"/>
    </row>
    <row r="23" spans="2:132" ht="12.95" customHeight="1" thickBot="1">
      <c r="B23" s="1">
        <f>IF(C23="",0,COUNTIFS($B$22:B22,"&gt;"&amp;0)+1)</f>
        <v>2</v>
      </c>
      <c r="C23" s="85">
        <v>1020310</v>
      </c>
      <c r="D23" s="86" t="str">
        <f>IFERROR(IF($C23="","",VLOOKUP($C23,'[1]Paramètres Articles'!$B:$G,2,FALSE)),"Non Trouvé")</f>
        <v>Crème de Jour Eclat du Teint - Régénérant - 40 ml</v>
      </c>
      <c r="E23" s="87">
        <f>IFERROR(IF($C23="","",_xlfn.XLOOKUP(REGENERANTS!$C23,'[1]New Base PA'!$F:$F,'[1]New Base PA'!$D:$D,"Not Found",0)),"Non Trouvé")</f>
        <v>4020829060999</v>
      </c>
      <c r="F23" s="88" t="s">
        <v>90</v>
      </c>
      <c r="H23" s="89">
        <v>4</v>
      </c>
      <c r="J23" s="90">
        <f>IFERROR(IF($C23="","",VLOOKUP($C23,'[1]New Base PA'!$F:$J,5,FALSE)),"Non Trouvé")</f>
        <v>16.2226</v>
      </c>
      <c r="K23" s="90">
        <f t="shared" si="0"/>
        <v>64.8904</v>
      </c>
      <c r="L23" s="91"/>
      <c r="M23" s="90">
        <f>IFERROR(IF(AND($F23="Produit Vente",H23&gt;0),VLOOKUP($C23,'[1]Paramètres Articles'!$B:$G,6,FALSE),0),"Non Trouvé")</f>
        <v>41.12</v>
      </c>
      <c r="N23" s="90">
        <f t="shared" si="1"/>
        <v>164.48</v>
      </c>
      <c r="P23" s="92">
        <v>0.15</v>
      </c>
      <c r="R23" s="90">
        <f t="shared" si="2"/>
        <v>139.80799999999999</v>
      </c>
      <c r="S23" s="91"/>
      <c r="T23" s="90">
        <f>IFERROR(IF($C23="","",VLOOKUP($C23,'[1]Paramètres Articles'!$B:$H,7,FALSE)),"Non Trouvé")</f>
        <v>69.900000000000006</v>
      </c>
      <c r="U23" s="93"/>
      <c r="V23" s="90">
        <f t="shared" ref="V23:V62" si="4">IFERROR(IF($C23="","",IF($P23="","",$T23*(1-$P23))),"Non Trouvé")</f>
        <v>59.415000000000006</v>
      </c>
      <c r="W23" s="91"/>
      <c r="X23" s="90">
        <f t="shared" ref="X23:X62" si="5">IFERROR(T23-V23,"")</f>
        <v>10.484999999999999</v>
      </c>
      <c r="Y23" s="91"/>
      <c r="Z23" s="90">
        <f t="shared" ref="Z23:Z62" si="6">IFERROR(IF(OR(T23=0,T23=""),0,T23*H23),"Non Trouvé")</f>
        <v>279.60000000000002</v>
      </c>
      <c r="AB23" s="94">
        <f>AB22</f>
        <v>33</v>
      </c>
      <c r="AC23" s="94">
        <f>AC22</f>
        <v>0.17</v>
      </c>
      <c r="AD23" s="90">
        <f t="shared" ref="AD23:AD62" si="7">IFERROR(IF($C23="","",IF($P$15="Cascade",$R23*(1-AC23)*AB23,IF($P$15="Additionnelle",($N23-($N23*($P23+AC23)))*AB23))),"Non Trouvé")</f>
        <v>3690.9311999999995</v>
      </c>
      <c r="AG23" s="94">
        <f>AG22</f>
        <v>13</v>
      </c>
      <c r="AH23" s="94">
        <f>AH22</f>
        <v>0.13</v>
      </c>
      <c r="AI23" s="90">
        <f t="shared" ref="AI23:AI62" si="8">IFERROR(IF($C23="","",IF($P$15="Cascade",$R23*(1-AH23)*AG23,IF($P$15="Additionnelle",($N23-($N23*($P23+AH23)))*AG23))),"Non Trouvé")</f>
        <v>1539.5328</v>
      </c>
      <c r="AL23" s="94">
        <f>AL22</f>
        <v>0</v>
      </c>
      <c r="AM23" s="94">
        <f>AM22</f>
        <v>0.08</v>
      </c>
      <c r="AN23" s="90">
        <f t="shared" ref="AN23:AN62" si="9">IFERROR(IF($C23="","",IF($P$15="Cascade",$R23*(1-AM23)*AL23,IF($P$15="Additionnelle",($N23-($N23*($P23+AM23)))*AL23))),"Non Trouvé")</f>
        <v>0</v>
      </c>
      <c r="AQ23" s="94">
        <f>AQ22</f>
        <v>0</v>
      </c>
      <c r="AR23" s="94">
        <f>AR22</f>
        <v>0.05</v>
      </c>
      <c r="AS23" s="90">
        <f t="shared" ref="AS23:AS62" si="10">IFERROR(IF($C23="","",IF($P$15="Cascade",$R23*(1-AR23)*AQ23,IF($P$15="Additionnelle",($N23-($N23*($P23+AR23)))*AQ23))),"Non Trouvé")</f>
        <v>0</v>
      </c>
      <c r="AV23" s="94">
        <f>AV22</f>
        <v>12</v>
      </c>
      <c r="AW23" s="94">
        <f>AW22</f>
        <v>0.32500000000000001</v>
      </c>
      <c r="AX23" s="90">
        <f t="shared" ref="AX23:AX62" si="11">IFERROR(IF($C23="","",IF($P$15="Cascade",$R23*(1-AW23)*AV23,IF($P$15="Additionnelle",($N23-($N23*($P23+AW23)))*AV23))),"Non Trouvé")</f>
        <v>1036.2240000000002</v>
      </c>
      <c r="BA23" s="94">
        <f>BA22</f>
        <v>7</v>
      </c>
      <c r="BB23" s="94">
        <f>BB22</f>
        <v>0.29499999999999998</v>
      </c>
      <c r="BC23" s="90">
        <f t="shared" ref="BC23:BC62" si="12">IFERROR(IF($C23="","",IF($P$15="Cascade",$R23*(1-BB23)*BA23,IF($P$15="Additionnelle",($N23-($N23*($P23+BB23)))*BA23))),"Non Trouvé")</f>
        <v>639.00480000000005</v>
      </c>
      <c r="BF23" s="94">
        <f>BF22</f>
        <v>0</v>
      </c>
      <c r="BG23" s="94">
        <f>BG22</f>
        <v>0.27500000000000002</v>
      </c>
      <c r="BH23" s="90">
        <f t="shared" ref="BH23:BH62" si="13">IFERROR(IF($C23="","",IF($P$15="Cascade",$R23*(1-BG23)*BF23,IF($P$15="Additionnelle",($N23-($N23*($P23+BG23)))*BF23))),"Non Trouvé")</f>
        <v>0</v>
      </c>
      <c r="BK23" s="94">
        <f>BK22</f>
        <v>0</v>
      </c>
      <c r="BL23" s="94">
        <f>BL22</f>
        <v>0.245</v>
      </c>
      <c r="BM23" s="90">
        <f t="shared" ref="BM23:BM62" si="14">IFERROR(IF($C23="","",IF($P$15="Cascade",$R23*(1-BL23)*BK23,IF($P$15="Additionnelle",($N23-($N23*($P23+BL23)))*BK23))),"Non Trouvé")</f>
        <v>0</v>
      </c>
      <c r="BP23" s="94">
        <f>BP22</f>
        <v>0</v>
      </c>
      <c r="BQ23" s="94">
        <f>BQ22</f>
        <v>0.22500000000000001</v>
      </c>
      <c r="BR23" s="90">
        <f t="shared" ref="BR23:BR62" si="15">IFERROR(IF($C23="","",IF($P$15="Cascade",$R23*(1-BQ23)*BP23,IF($P$15="Additionnelle",($N23-($N23*($P23+BQ23)))*BP23))),"Non Trouvé")</f>
        <v>0</v>
      </c>
      <c r="BU23" s="94">
        <f>BU22</f>
        <v>0</v>
      </c>
      <c r="BV23" s="94">
        <f>BV22</f>
        <v>0.17499999999999999</v>
      </c>
      <c r="BW23" s="90">
        <f t="shared" ref="BW23:BW62" si="16">IFERROR(IF($C23="","",IF($P$15="Cascade",$R23*(1-BV23)*BU23,IF($P$15="Additionnelle",($N23-($N23*($P23+BV23)))*BU23))),"Non Trouvé")</f>
        <v>0</v>
      </c>
      <c r="BZ23" s="94">
        <f>BZ22</f>
        <v>0</v>
      </c>
      <c r="CA23" s="94">
        <f>CA22</f>
        <v>0.15</v>
      </c>
      <c r="CB23" s="90">
        <f t="shared" ref="CB23:CB62" si="17">IFERROR(IF($C23="","",IF($P$15="Cascade",$R23*(1-CA23)*BZ23,IF($P$15="Additionnelle",($N23-($N23*($P23+CA23)))*BZ23))),"Non Trouvé")</f>
        <v>0</v>
      </c>
      <c r="CE23" s="95"/>
      <c r="CF23" s="114"/>
      <c r="CG23" s="115" t="s">
        <v>91</v>
      </c>
      <c r="CH23" s="116">
        <f>CG20/CF20</f>
        <v>1284.7744198529008</v>
      </c>
      <c r="CI23" s="98"/>
      <c r="CK23" s="99">
        <f>IFERROR(IF(F23='[1]Paramètres Généraux'!$K$12,ROUNDUP((REGENERANTS!H23*REGENERANTS!$CF$20)*'[1]Paramètres Généraux'!$M$12,-1),IF(F23='[1]Paramètres Généraux'!$K$15,ROUNDUP((REGENERANTS!H23*REGENERANTS!$CF$20)*'[1]Paramètres Généraux'!$M$15,-1),REGENERANTS!H23*REGENERANTS!$CF$20)),"nd")</f>
        <v>260</v>
      </c>
      <c r="CL23" s="117"/>
      <c r="CN23" s="100"/>
      <c r="CO23" s="101"/>
      <c r="CP23" s="101"/>
      <c r="CQ23" s="101"/>
      <c r="CR23" s="101"/>
      <c r="CS23" s="102"/>
      <c r="CT23" s="101"/>
      <c r="CU23" s="101"/>
      <c r="CV23" s="103"/>
      <c r="CW23" s="104"/>
      <c r="CX23" s="105"/>
      <c r="CY23" s="106"/>
      <c r="CZ23" s="104"/>
      <c r="DA23" s="107"/>
      <c r="DB23" s="108"/>
      <c r="DC23" s="104"/>
      <c r="DD23" s="109"/>
      <c r="DE23" s="108"/>
      <c r="DF23" s="104"/>
      <c r="DG23" s="104"/>
      <c r="DH23" s="104"/>
      <c r="DI23" s="104"/>
      <c r="DJ23" s="104"/>
      <c r="DK23" s="104"/>
      <c r="DL23" s="104"/>
      <c r="DM23" s="104"/>
      <c r="DN23" s="104"/>
      <c r="DO23" s="107"/>
      <c r="DP23" s="106"/>
      <c r="DQ23" s="20">
        <f t="shared" ref="DQ23:DQ62" si="18">SUM(CN23:DP23)</f>
        <v>0</v>
      </c>
      <c r="DR23" s="20">
        <f t="shared" si="3"/>
        <v>0</v>
      </c>
      <c r="DS23" s="20">
        <f>IFERROR((IF(AND($F23="Produit Vente",CO23&gt;0),VLOOKUP($C23,'[1]Paramètres Articles'!$B:$H,7,FALSE)*$CO23)*(1-20%)),0)</f>
        <v>0</v>
      </c>
      <c r="DT23" s="20">
        <f>IFERROR((IF(AND($F23="Produit Vente",DR23&gt;0),VLOOKUP($C23,'[1]Paramètres Articles'!$B:$H,6,FALSE)*$DR23)*(1-15%)),0)</f>
        <v>0</v>
      </c>
      <c r="DU23" s="20">
        <f t="shared" ref="DU23:DU62" si="19">IFERROR(DQ23*J23,0)</f>
        <v>0</v>
      </c>
      <c r="DW23" s="40"/>
      <c r="DX23" s="110"/>
      <c r="DY23" s="111" t="e">
        <f ca="1">VLOOKUP(DX23,C:D,2,FALSE)</f>
        <v>#N/A</v>
      </c>
      <c r="DZ23" s="112" t="e">
        <f>SUMIFS('[1]Moteur Produits'!$C:$C,'[1]Moteur Produits'!$B:$B,$DX23)</f>
        <v>#VALUE!</v>
      </c>
      <c r="EA23" s="113"/>
      <c r="EB23" s="41"/>
    </row>
    <row r="24" spans="2:132" ht="12.95" customHeight="1" thickBot="1">
      <c r="B24" s="1">
        <f>IF(C24="",0,COUNTIFS($B$22:B23,"&gt;"&amp;0)+1)</f>
        <v>3</v>
      </c>
      <c r="C24" s="85">
        <v>1020401</v>
      </c>
      <c r="D24" s="86" t="str">
        <f>IFERROR(IF($C24="","",VLOOKUP($C24,'[1]Paramètres Articles'!$B:$G,2,FALSE)),"Non Trouvé")</f>
        <v>Crème Contour des Yeux - Régénérant - 15 ml</v>
      </c>
      <c r="E24" s="87">
        <f>IFERROR(IF($C24="","",_xlfn.XLOOKUP(REGENERANTS!$C24,'[1]New Base PA'!$F:$F,'[1]New Base PA'!$D:$D,"Not Found",0)),"Non Trouvé")</f>
        <v>4020829013919</v>
      </c>
      <c r="F24" s="88" t="s">
        <v>90</v>
      </c>
      <c r="H24" s="89">
        <v>5</v>
      </c>
      <c r="J24" s="90">
        <f>IFERROR(IF($C24="","",VLOOKUP($C24,'[1]New Base PA'!$F:$J,5,FALSE)),"Non Trouvé")</f>
        <v>15.4918</v>
      </c>
      <c r="K24" s="90">
        <f t="shared" si="0"/>
        <v>77.459000000000003</v>
      </c>
      <c r="L24" s="91"/>
      <c r="M24" s="90">
        <f>IFERROR(IF(AND($F24="Produit Vente",H24&gt;0),VLOOKUP($C24,'[1]Paramètres Articles'!$B:$G,6,FALSE),0),"Non Trouvé")</f>
        <v>39.71</v>
      </c>
      <c r="N24" s="90">
        <f t="shared" si="1"/>
        <v>198.55</v>
      </c>
      <c r="P24" s="92">
        <v>0.15</v>
      </c>
      <c r="R24" s="90">
        <f t="shared" si="2"/>
        <v>168.76750000000001</v>
      </c>
      <c r="S24" s="91"/>
      <c r="T24" s="90">
        <f>IFERROR(IF($C24="","",VLOOKUP($C24,'[1]Paramètres Articles'!$B:$H,7,FALSE)),"Non Trouvé")</f>
        <v>67.5</v>
      </c>
      <c r="U24" s="93"/>
      <c r="V24" s="90">
        <f t="shared" si="4"/>
        <v>57.375</v>
      </c>
      <c r="W24" s="91"/>
      <c r="X24" s="90">
        <f t="shared" si="5"/>
        <v>10.125</v>
      </c>
      <c r="Y24" s="91"/>
      <c r="Z24" s="90">
        <f t="shared" si="6"/>
        <v>337.5</v>
      </c>
      <c r="AB24" s="94">
        <f t="shared" ref="AB24:AC39" si="20">AB23</f>
        <v>33</v>
      </c>
      <c r="AC24" s="94">
        <f t="shared" si="20"/>
        <v>0.17</v>
      </c>
      <c r="AD24" s="90">
        <f t="shared" si="7"/>
        <v>4455.4620000000004</v>
      </c>
      <c r="AG24" s="94">
        <f t="shared" ref="AG24:AH39" si="21">AG23</f>
        <v>13</v>
      </c>
      <c r="AH24" s="94">
        <f t="shared" si="21"/>
        <v>0.13</v>
      </c>
      <c r="AI24" s="90">
        <f t="shared" si="8"/>
        <v>1858.4280000000003</v>
      </c>
      <c r="AL24" s="94">
        <f t="shared" ref="AL24:AM39" si="22">AL23</f>
        <v>0</v>
      </c>
      <c r="AM24" s="94">
        <f t="shared" si="22"/>
        <v>0.08</v>
      </c>
      <c r="AN24" s="90">
        <f t="shared" si="9"/>
        <v>0</v>
      </c>
      <c r="AQ24" s="94">
        <f t="shared" ref="AQ24:AR39" si="23">AQ23</f>
        <v>0</v>
      </c>
      <c r="AR24" s="94">
        <f t="shared" si="23"/>
        <v>0.05</v>
      </c>
      <c r="AS24" s="90">
        <f t="shared" si="10"/>
        <v>0</v>
      </c>
      <c r="AV24" s="94">
        <f t="shared" ref="AV24:AW39" si="24">AV23</f>
        <v>12</v>
      </c>
      <c r="AW24" s="94">
        <f t="shared" si="24"/>
        <v>0.32500000000000001</v>
      </c>
      <c r="AX24" s="90">
        <f t="shared" si="11"/>
        <v>1250.8650000000002</v>
      </c>
      <c r="BA24" s="94">
        <f t="shared" ref="BA24:BB39" si="25">BA23</f>
        <v>7</v>
      </c>
      <c r="BB24" s="94">
        <f t="shared" si="25"/>
        <v>0.29499999999999998</v>
      </c>
      <c r="BC24" s="90">
        <f t="shared" si="12"/>
        <v>771.36675000000014</v>
      </c>
      <c r="BF24" s="94">
        <f t="shared" ref="BF24:BG39" si="26">BF23</f>
        <v>0</v>
      </c>
      <c r="BG24" s="94">
        <f t="shared" si="26"/>
        <v>0.27500000000000002</v>
      </c>
      <c r="BH24" s="90">
        <f t="shared" si="13"/>
        <v>0</v>
      </c>
      <c r="BK24" s="94">
        <f t="shared" ref="BK24:BL39" si="27">BK23</f>
        <v>0</v>
      </c>
      <c r="BL24" s="94">
        <f t="shared" si="27"/>
        <v>0.245</v>
      </c>
      <c r="BM24" s="90">
        <f t="shared" si="14"/>
        <v>0</v>
      </c>
      <c r="BP24" s="94">
        <f t="shared" ref="BP24:BQ39" si="28">BP23</f>
        <v>0</v>
      </c>
      <c r="BQ24" s="94">
        <f t="shared" si="28"/>
        <v>0.22500000000000001</v>
      </c>
      <c r="BR24" s="90">
        <f t="shared" si="15"/>
        <v>0</v>
      </c>
      <c r="BU24" s="94">
        <f t="shared" ref="BU24:BV39" si="29">BU23</f>
        <v>0</v>
      </c>
      <c r="BV24" s="94">
        <f t="shared" si="29"/>
        <v>0.17499999999999999</v>
      </c>
      <c r="BW24" s="90">
        <f t="shared" si="16"/>
        <v>0</v>
      </c>
      <c r="BZ24" s="94">
        <f t="shared" ref="BZ24:CA39" si="30">BZ23</f>
        <v>0</v>
      </c>
      <c r="CA24" s="94">
        <f t="shared" si="30"/>
        <v>0.15</v>
      </c>
      <c r="CB24" s="90">
        <f t="shared" si="17"/>
        <v>0</v>
      </c>
      <c r="CE24" s="95"/>
      <c r="CF24" s="114"/>
      <c r="CG24" s="115" t="s">
        <v>92</v>
      </c>
      <c r="CH24" s="118">
        <f>SUM(CH26:CH29)</f>
        <v>9.7979436443360435E-2</v>
      </c>
      <c r="CI24" s="98"/>
      <c r="CK24" s="99">
        <f>IFERROR(IF(F24='[1]Paramètres Généraux'!$K$12,ROUNDUP((REGENERANTS!H24*REGENERANTS!$CF$20)*'[1]Paramètres Généraux'!$M$12,-1),IF(F24='[1]Paramètres Généraux'!$K$15,ROUNDUP((REGENERANTS!H24*REGENERANTS!$CF$20)*'[1]Paramètres Généraux'!$M$15,-1),REGENERANTS!H24*REGENERANTS!$CF$20)),"nd")</f>
        <v>325</v>
      </c>
      <c r="CN24" s="100"/>
      <c r="CO24" s="101"/>
      <c r="CP24" s="101"/>
      <c r="CQ24" s="101"/>
      <c r="CR24" s="101"/>
      <c r="CS24" s="102"/>
      <c r="CT24" s="101"/>
      <c r="CU24" s="101"/>
      <c r="CV24" s="103"/>
      <c r="CW24" s="104"/>
      <c r="CX24" s="105"/>
      <c r="CY24" s="106"/>
      <c r="CZ24" s="104"/>
      <c r="DA24" s="107"/>
      <c r="DB24" s="108"/>
      <c r="DC24" s="104"/>
      <c r="DD24" s="109"/>
      <c r="DE24" s="108"/>
      <c r="DF24" s="104"/>
      <c r="DG24" s="104"/>
      <c r="DH24" s="104"/>
      <c r="DI24" s="104"/>
      <c r="DJ24" s="104"/>
      <c r="DK24" s="104"/>
      <c r="DL24" s="104"/>
      <c r="DM24" s="104"/>
      <c r="DN24" s="104"/>
      <c r="DO24" s="107"/>
      <c r="DP24" s="106"/>
      <c r="DQ24" s="20">
        <f t="shared" si="18"/>
        <v>0</v>
      </c>
      <c r="DR24" s="20">
        <f t="shared" si="3"/>
        <v>0</v>
      </c>
      <c r="DS24" s="20">
        <f>IFERROR((IF(AND($F24="Produit Vente",CO24&gt;0),VLOOKUP($C24,'[1]Paramètres Articles'!$B:$H,7,FALSE)*$CO24)*(1-20%)),0)</f>
        <v>0</v>
      </c>
      <c r="DT24" s="20">
        <f>IFERROR((IF(AND($F24="Produit Vente",DR24&gt;0),VLOOKUP($C24,'[1]Paramètres Articles'!$B:$H,6,FALSE)*$DR24)*(1-15%)),0)</f>
        <v>0</v>
      </c>
      <c r="DU24" s="20">
        <f t="shared" si="19"/>
        <v>0</v>
      </c>
      <c r="DW24" s="40"/>
      <c r="DX24" s="110"/>
      <c r="DY24" s="111" t="e">
        <f ca="1">VLOOKUP(DX24,C:D,2,FALSE)</f>
        <v>#N/A</v>
      </c>
      <c r="DZ24" s="112" t="e">
        <f>SUMIFS('[1]Moteur Produits'!$C:$C,'[1]Moteur Produits'!$B:$B,$DX24)</f>
        <v>#VALUE!</v>
      </c>
      <c r="EA24" s="113"/>
      <c r="EB24" s="41"/>
    </row>
    <row r="25" spans="2:132" ht="12.95" customHeight="1">
      <c r="B25" s="1">
        <f>IF(C25="",0,COUNTIFS($B$22:B24,"&gt;"&amp;0)+1)</f>
        <v>4</v>
      </c>
      <c r="C25" s="85">
        <v>1020302</v>
      </c>
      <c r="D25" s="86" t="str">
        <f>IFERROR(IF($C25="","",VLOOKUP($C25,'[1]Paramètres Articles'!$B:$G,2,FALSE)),"Non Trouvé")</f>
        <v>Crème Cou et Décolleté - Régénérant - 40 ml</v>
      </c>
      <c r="E25" s="87">
        <f>IFERROR(IF($C25="","",_xlfn.XLOOKUP(REGENERANTS!$C25,'[1]New Base PA'!$F:$F,'[1]New Base PA'!$D:$D,"Not Found",0)),"Non Trouvé")</f>
        <v>4020829008366</v>
      </c>
      <c r="F25" s="88" t="s">
        <v>90</v>
      </c>
      <c r="H25" s="89">
        <v>1</v>
      </c>
      <c r="J25" s="90">
        <f>IFERROR(IF($C25="","",VLOOKUP($C25,'[1]New Base PA'!$F:$J,5,FALSE)),"Non Trouvé")</f>
        <v>13.774999999999999</v>
      </c>
      <c r="K25" s="90">
        <f t="shared" si="0"/>
        <v>13.774999999999999</v>
      </c>
      <c r="L25" s="91"/>
      <c r="M25" s="90">
        <f>IFERROR(IF(AND($F25="Produit Vente",H25&gt;0),VLOOKUP($C25,'[1]Paramètres Articles'!$B:$G,6,FALSE),0),"Non Trouvé")</f>
        <v>35.878166666666665</v>
      </c>
      <c r="N25" s="90">
        <f t="shared" si="1"/>
        <v>35.878166666666665</v>
      </c>
      <c r="P25" s="92">
        <v>0.15</v>
      </c>
      <c r="R25" s="90">
        <f t="shared" si="2"/>
        <v>30.496441666666666</v>
      </c>
      <c r="S25" s="91"/>
      <c r="T25" s="90">
        <f>IFERROR(IF($C25="","",VLOOKUP($C25,'[1]Paramètres Articles'!$B:$H,7,FALSE)),"Non Trouvé")</f>
        <v>61</v>
      </c>
      <c r="U25" s="93"/>
      <c r="V25" s="90">
        <f t="shared" si="4"/>
        <v>51.85</v>
      </c>
      <c r="W25" s="91"/>
      <c r="X25" s="90">
        <f t="shared" si="5"/>
        <v>9.1499999999999986</v>
      </c>
      <c r="Y25" s="91"/>
      <c r="Z25" s="90">
        <f t="shared" si="6"/>
        <v>61</v>
      </c>
      <c r="AB25" s="94">
        <f t="shared" si="20"/>
        <v>33</v>
      </c>
      <c r="AC25" s="94">
        <f t="shared" si="20"/>
        <v>0.17</v>
      </c>
      <c r="AD25" s="90">
        <f t="shared" si="7"/>
        <v>805.10605999999996</v>
      </c>
      <c r="AG25" s="94">
        <f t="shared" si="21"/>
        <v>13</v>
      </c>
      <c r="AH25" s="94">
        <f t="shared" si="21"/>
        <v>0.13</v>
      </c>
      <c r="AI25" s="90">
        <f t="shared" si="8"/>
        <v>335.81963999999994</v>
      </c>
      <c r="AL25" s="94">
        <f t="shared" si="22"/>
        <v>0</v>
      </c>
      <c r="AM25" s="94">
        <f t="shared" si="22"/>
        <v>0.08</v>
      </c>
      <c r="AN25" s="90">
        <f t="shared" si="9"/>
        <v>0</v>
      </c>
      <c r="AQ25" s="94">
        <f t="shared" si="23"/>
        <v>0</v>
      </c>
      <c r="AR25" s="94">
        <f t="shared" si="23"/>
        <v>0.05</v>
      </c>
      <c r="AS25" s="90">
        <f t="shared" si="10"/>
        <v>0</v>
      </c>
      <c r="AV25" s="94">
        <f t="shared" si="24"/>
        <v>12</v>
      </c>
      <c r="AW25" s="94">
        <f t="shared" si="24"/>
        <v>0.32500000000000001</v>
      </c>
      <c r="AX25" s="90">
        <f t="shared" si="11"/>
        <v>226.03244999999998</v>
      </c>
      <c r="BA25" s="94">
        <f t="shared" si="25"/>
        <v>7</v>
      </c>
      <c r="BB25" s="94">
        <f t="shared" si="25"/>
        <v>0.29499999999999998</v>
      </c>
      <c r="BC25" s="90">
        <f t="shared" si="12"/>
        <v>139.38667749999999</v>
      </c>
      <c r="BF25" s="94">
        <f t="shared" si="26"/>
        <v>0</v>
      </c>
      <c r="BG25" s="94">
        <f t="shared" si="26"/>
        <v>0.27500000000000002</v>
      </c>
      <c r="BH25" s="90">
        <f t="shared" si="13"/>
        <v>0</v>
      </c>
      <c r="BK25" s="94">
        <f t="shared" si="27"/>
        <v>0</v>
      </c>
      <c r="BL25" s="94">
        <f t="shared" si="27"/>
        <v>0.245</v>
      </c>
      <c r="BM25" s="90">
        <f t="shared" si="14"/>
        <v>0</v>
      </c>
      <c r="BP25" s="94">
        <f t="shared" si="28"/>
        <v>0</v>
      </c>
      <c r="BQ25" s="94">
        <f t="shared" si="28"/>
        <v>0.22500000000000001</v>
      </c>
      <c r="BR25" s="90">
        <f t="shared" si="15"/>
        <v>0</v>
      </c>
      <c r="BU25" s="94">
        <f t="shared" si="29"/>
        <v>0</v>
      </c>
      <c r="BV25" s="94">
        <f t="shared" si="29"/>
        <v>0.17499999999999999</v>
      </c>
      <c r="BW25" s="90">
        <f t="shared" si="16"/>
        <v>0</v>
      </c>
      <c r="BZ25" s="94">
        <f t="shared" si="30"/>
        <v>0</v>
      </c>
      <c r="CA25" s="94">
        <f t="shared" si="30"/>
        <v>0.15</v>
      </c>
      <c r="CB25" s="90">
        <f t="shared" si="17"/>
        <v>0</v>
      </c>
      <c r="CE25" s="95"/>
      <c r="CF25" s="96"/>
      <c r="CG25" s="97"/>
      <c r="CH25" s="97"/>
      <c r="CI25" s="98"/>
      <c r="CK25" s="99">
        <f>IFERROR(IF(F25='[1]Paramètres Généraux'!$K$12,ROUNDUP((REGENERANTS!H25*REGENERANTS!$CF$20)*'[1]Paramètres Généraux'!$M$12,-1),IF(F25='[1]Paramètres Généraux'!$K$15,ROUNDUP((REGENERANTS!H25*REGENERANTS!$CF$20)*'[1]Paramètres Généraux'!$M$15,-1),REGENERANTS!H25*REGENERANTS!$CF$20)),"nd")</f>
        <v>65</v>
      </c>
      <c r="CN25" s="100"/>
      <c r="CO25" s="101"/>
      <c r="CP25" s="101"/>
      <c r="CQ25" s="101"/>
      <c r="CR25" s="101"/>
      <c r="CS25" s="102"/>
      <c r="CT25" s="101"/>
      <c r="CU25" s="101"/>
      <c r="CV25" s="103"/>
      <c r="CW25" s="104"/>
      <c r="CX25" s="105"/>
      <c r="CY25" s="106"/>
      <c r="CZ25" s="104"/>
      <c r="DA25" s="107"/>
      <c r="DB25" s="108"/>
      <c r="DC25" s="104"/>
      <c r="DD25" s="109"/>
      <c r="DE25" s="108"/>
      <c r="DF25" s="104"/>
      <c r="DG25" s="104"/>
      <c r="DH25" s="104"/>
      <c r="DI25" s="104"/>
      <c r="DJ25" s="104"/>
      <c r="DK25" s="104"/>
      <c r="DL25" s="104"/>
      <c r="DM25" s="104"/>
      <c r="DN25" s="104"/>
      <c r="DO25" s="107"/>
      <c r="DP25" s="106"/>
      <c r="DQ25" s="20">
        <f t="shared" si="18"/>
        <v>0</v>
      </c>
      <c r="DR25" s="20">
        <f t="shared" si="3"/>
        <v>0</v>
      </c>
      <c r="DS25" s="20">
        <f>IFERROR((IF(AND($F25="Produit Vente",CO25&gt;0),VLOOKUP($C25,'[1]Paramètres Articles'!$B:$H,7,FALSE)*$CO25)*(1-20%)),0)</f>
        <v>0</v>
      </c>
      <c r="DT25" s="20">
        <f>IFERROR((IF(AND($F25="Produit Vente",DR25&gt;0),VLOOKUP($C25,'[1]Paramètres Articles'!$B:$H,6,FALSE)*$DR25)*(1-15%)),0)</f>
        <v>0</v>
      </c>
      <c r="DU25" s="20">
        <f t="shared" si="19"/>
        <v>0</v>
      </c>
      <c r="DW25" s="40"/>
      <c r="DX25" s="110"/>
      <c r="DY25" s="111" t="e">
        <f ca="1">VLOOKUP(DX25,C:D,2,FALSE)</f>
        <v>#N/A</v>
      </c>
      <c r="DZ25" s="112" t="e">
        <f>SUMIFS('[1]Moteur Produits'!$C:$C,'[1]Moteur Produits'!$B:$B,$DX25)</f>
        <v>#VALUE!</v>
      </c>
      <c r="EA25" s="119"/>
      <c r="EB25" s="41"/>
    </row>
    <row r="26" spans="2:132" ht="12.95" customHeight="1">
      <c r="B26" s="1">
        <f>IF(C26="",0,COUNTIFS($B$22:B25,"&gt;"&amp;0)+1)</f>
        <v>5</v>
      </c>
      <c r="C26" s="85">
        <v>1020721</v>
      </c>
      <c r="D26" s="86" t="str">
        <f>IFERROR(IF($C26="","",VLOOKUP($C26,'[1]Paramètres Articles'!$B:$G,2,FALSE)),"Non Trouvé")</f>
        <v>Cure Intensive Fortifiante - Régénérant - 40ml</v>
      </c>
      <c r="E26" s="87">
        <f>IFERROR(IF($C26="","",_xlfn.XLOOKUP(REGENERANTS!$C26,'[1]New Base PA'!$F:$F,'[1]New Base PA'!$D:$D,"Not Found",0)),"Non Trouvé")</f>
        <v>4020829102941</v>
      </c>
      <c r="F26" s="88" t="s">
        <v>90</v>
      </c>
      <c r="H26" s="89">
        <v>0</v>
      </c>
      <c r="J26" s="90">
        <f>IFERROR(IF($C26="","",VLOOKUP($C26,'[1]New Base PA'!$F:$J,5,FALSE)),"Non Trouvé")</f>
        <v>16.878</v>
      </c>
      <c r="K26" s="90">
        <f t="shared" si="0"/>
        <v>0</v>
      </c>
      <c r="L26" s="91"/>
      <c r="M26" s="90">
        <f>IFERROR(IF(AND($F26="Produit Vente",H26&gt;0),VLOOKUP($C26,'[1]Paramètres Articles'!$B:$G,6,FALSE),0),"Non Trouvé")</f>
        <v>0</v>
      </c>
      <c r="N26" s="90">
        <f t="shared" si="1"/>
        <v>0</v>
      </c>
      <c r="P26" s="92">
        <v>0.15</v>
      </c>
      <c r="R26" s="90">
        <f t="shared" si="2"/>
        <v>0</v>
      </c>
      <c r="S26" s="91"/>
      <c r="T26" s="90">
        <f>IFERROR(IF($C26="","",VLOOKUP($C26,'[1]Paramètres Articles'!$B:$H,7,FALSE)),"Non Trouvé")</f>
        <v>72.898071522305145</v>
      </c>
      <c r="U26" s="93"/>
      <c r="V26" s="90">
        <f t="shared" si="4"/>
        <v>61.963360793959374</v>
      </c>
      <c r="W26" s="91"/>
      <c r="X26" s="90">
        <f t="shared" si="5"/>
        <v>10.93471072834577</v>
      </c>
      <c r="Y26" s="91"/>
      <c r="Z26" s="90">
        <f t="shared" si="6"/>
        <v>0</v>
      </c>
      <c r="AB26" s="94">
        <f t="shared" si="20"/>
        <v>33</v>
      </c>
      <c r="AC26" s="94">
        <f t="shared" si="20"/>
        <v>0.17</v>
      </c>
      <c r="AD26" s="90">
        <f t="shared" si="7"/>
        <v>0</v>
      </c>
      <c r="AG26" s="94">
        <f t="shared" si="21"/>
        <v>13</v>
      </c>
      <c r="AH26" s="94">
        <f t="shared" si="21"/>
        <v>0.13</v>
      </c>
      <c r="AI26" s="90">
        <f t="shared" si="8"/>
        <v>0</v>
      </c>
      <c r="AL26" s="94">
        <f t="shared" si="22"/>
        <v>0</v>
      </c>
      <c r="AM26" s="94">
        <f t="shared" si="22"/>
        <v>0.08</v>
      </c>
      <c r="AN26" s="90">
        <f t="shared" si="9"/>
        <v>0</v>
      </c>
      <c r="AQ26" s="94">
        <f t="shared" si="23"/>
        <v>0</v>
      </c>
      <c r="AR26" s="94">
        <f t="shared" si="23"/>
        <v>0.05</v>
      </c>
      <c r="AS26" s="90">
        <f t="shared" si="10"/>
        <v>0</v>
      </c>
      <c r="AV26" s="94">
        <f t="shared" si="24"/>
        <v>12</v>
      </c>
      <c r="AW26" s="94">
        <f t="shared" si="24"/>
        <v>0.32500000000000001</v>
      </c>
      <c r="AX26" s="90">
        <f t="shared" si="11"/>
        <v>0</v>
      </c>
      <c r="BA26" s="94">
        <f t="shared" si="25"/>
        <v>7</v>
      </c>
      <c r="BB26" s="94">
        <f t="shared" si="25"/>
        <v>0.29499999999999998</v>
      </c>
      <c r="BC26" s="90">
        <f t="shared" si="12"/>
        <v>0</v>
      </c>
      <c r="BF26" s="94">
        <f t="shared" si="26"/>
        <v>0</v>
      </c>
      <c r="BG26" s="94">
        <f t="shared" si="26"/>
        <v>0.27500000000000002</v>
      </c>
      <c r="BH26" s="90">
        <f t="shared" si="13"/>
        <v>0</v>
      </c>
      <c r="BK26" s="94">
        <f t="shared" si="27"/>
        <v>0</v>
      </c>
      <c r="BL26" s="94">
        <f t="shared" si="27"/>
        <v>0.245</v>
      </c>
      <c r="BM26" s="90">
        <f t="shared" si="14"/>
        <v>0</v>
      </c>
      <c r="BP26" s="94">
        <f t="shared" si="28"/>
        <v>0</v>
      </c>
      <c r="BQ26" s="94">
        <f t="shared" si="28"/>
        <v>0.22500000000000001</v>
      </c>
      <c r="BR26" s="90">
        <f t="shared" si="15"/>
        <v>0</v>
      </c>
      <c r="BU26" s="94">
        <f t="shared" si="29"/>
        <v>0</v>
      </c>
      <c r="BV26" s="94">
        <f t="shared" si="29"/>
        <v>0.17499999999999999</v>
      </c>
      <c r="BW26" s="90">
        <f t="shared" si="16"/>
        <v>0</v>
      </c>
      <c r="BZ26" s="94">
        <f t="shared" si="30"/>
        <v>0</v>
      </c>
      <c r="CA26" s="94">
        <f t="shared" si="30"/>
        <v>0.15</v>
      </c>
      <c r="CB26" s="90">
        <f t="shared" si="17"/>
        <v>0</v>
      </c>
      <c r="CE26" s="95"/>
      <c r="CF26" s="96"/>
      <c r="CG26" s="88" t="s">
        <v>93</v>
      </c>
      <c r="CH26" s="120">
        <f>SUMIFS(K22:K62,F22:F62,CG26)/SUMIFS(K22:K62,F22:F62,"Produit Vente")</f>
        <v>0</v>
      </c>
      <c r="CI26" s="98"/>
      <c r="CK26" s="99">
        <f>IFERROR(IF(F26='[1]Paramètres Généraux'!$K$12,ROUNDUP((REGENERANTS!H26*REGENERANTS!$CF$20)*'[1]Paramètres Généraux'!$M$12,-1),IF(F26='[1]Paramètres Généraux'!$K$15,ROUNDUP((REGENERANTS!H26*REGENERANTS!$CF$20)*'[1]Paramètres Généraux'!$M$15,-1),REGENERANTS!H26*REGENERANTS!$CF$20)),"nd")</f>
        <v>0</v>
      </c>
      <c r="CN26" s="100"/>
      <c r="CO26" s="101"/>
      <c r="CP26" s="101"/>
      <c r="CQ26" s="101"/>
      <c r="CR26" s="101"/>
      <c r="CS26" s="102"/>
      <c r="CT26" s="101"/>
      <c r="CU26" s="101"/>
      <c r="CV26" s="103"/>
      <c r="CW26" s="104"/>
      <c r="CX26" s="105"/>
      <c r="CY26" s="106"/>
      <c r="CZ26" s="104"/>
      <c r="DA26" s="107"/>
      <c r="DB26" s="108"/>
      <c r="DC26" s="104"/>
      <c r="DD26" s="109"/>
      <c r="DE26" s="108"/>
      <c r="DF26" s="104"/>
      <c r="DG26" s="104"/>
      <c r="DH26" s="104"/>
      <c r="DI26" s="104"/>
      <c r="DJ26" s="104"/>
      <c r="DK26" s="104"/>
      <c r="DL26" s="104"/>
      <c r="DM26" s="104"/>
      <c r="DN26" s="104"/>
      <c r="DO26" s="107"/>
      <c r="DP26" s="106"/>
      <c r="DQ26" s="20">
        <f t="shared" si="18"/>
        <v>0</v>
      </c>
      <c r="DR26" s="20">
        <f t="shared" si="3"/>
        <v>0</v>
      </c>
      <c r="DS26" s="20">
        <f>IFERROR((IF(AND($F26="Produit Vente",CO26&gt;0),VLOOKUP($C26,'[1]Paramètres Articles'!$B:$H,7,FALSE)*$CO26)*(1-20%)),0)</f>
        <v>0</v>
      </c>
      <c r="DT26" s="20">
        <f>IFERROR((IF(AND($F26="Produit Vente",DR26&gt;0),VLOOKUP($C26,'[1]Paramètres Articles'!$B:$H,6,FALSE)*$DR26)*(1-15%)),0)</f>
        <v>0</v>
      </c>
      <c r="DU26" s="20">
        <f t="shared" si="19"/>
        <v>0</v>
      </c>
      <c r="DW26" s="40"/>
      <c r="DX26" s="110"/>
      <c r="DY26" s="111" t="e">
        <f ca="1">VLOOKUP(DX26,C:D,2,FALSE)</f>
        <v>#N/A</v>
      </c>
      <c r="DZ26" s="112" t="e">
        <f>SUMIFS('[1]Moteur Produits'!$C:$C,'[1]Moteur Produits'!$B:$B,$DX26)</f>
        <v>#VALUE!</v>
      </c>
      <c r="EA26" s="119"/>
      <c r="EB26" s="41"/>
    </row>
    <row r="27" spans="2:132" ht="12.95" customHeight="1">
      <c r="B27" s="1">
        <f>IF(C27="",0,COUNTIFS($B$22:B26,"&gt;"&amp;0)+1)</f>
        <v>6</v>
      </c>
      <c r="C27" s="85">
        <v>1020107</v>
      </c>
      <c r="D27" s="86" t="str">
        <f>IFERROR(IF($C27="","",VLOOKUP($C27,'[1]Paramètres Articles'!$B:$G,2,FALSE)),"Non Trouvé")</f>
        <v>Lait pour le Corps - Régénérant - 150 ml</v>
      </c>
      <c r="E27" s="87">
        <f>IFERROR(IF($C27="","",_xlfn.XLOOKUP(REGENERANTS!$C27,'[1]New Base PA'!$F:$F,'[1]New Base PA'!$D:$D,"Not Found",0)),"Non Trouvé")</f>
        <v>4020829103160</v>
      </c>
      <c r="F27" s="88" t="s">
        <v>90</v>
      </c>
      <c r="H27" s="89">
        <v>3</v>
      </c>
      <c r="J27" s="90">
        <f>IFERROR(IF($C27="","",VLOOKUP($C27,'[1]New Base PA'!$F:$J,5,FALSE)),"Non Trouvé")</f>
        <v>10.335599999999999</v>
      </c>
      <c r="K27" s="90">
        <f t="shared" si="0"/>
        <v>31.006799999999998</v>
      </c>
      <c r="L27" s="91"/>
      <c r="M27" s="90">
        <f>IFERROR(IF(AND($F27="Produit Vente",H27&gt;0),VLOOKUP($C27,'[1]Paramètres Articles'!$B:$G,6,FALSE),0),"Non Trouvé")</f>
        <v>26.119999999999997</v>
      </c>
      <c r="N27" s="90">
        <f t="shared" si="1"/>
        <v>78.359999999999985</v>
      </c>
      <c r="P27" s="92">
        <v>0.15</v>
      </c>
      <c r="R27" s="90">
        <f t="shared" si="2"/>
        <v>66.60599999999998</v>
      </c>
      <c r="S27" s="91"/>
      <c r="T27" s="90">
        <f>IFERROR(IF($C27="","",VLOOKUP($C27,'[1]Paramètres Articles'!$B:$H,7,FALSE)),"Non Trouvé")</f>
        <v>44.4</v>
      </c>
      <c r="U27" s="93"/>
      <c r="V27" s="90">
        <f t="shared" si="4"/>
        <v>37.739999999999995</v>
      </c>
      <c r="W27" s="91"/>
      <c r="X27" s="90">
        <f t="shared" si="5"/>
        <v>6.6600000000000037</v>
      </c>
      <c r="Y27" s="91"/>
      <c r="Z27" s="90">
        <f t="shared" si="6"/>
        <v>133.19999999999999</v>
      </c>
      <c r="AB27" s="94">
        <f t="shared" si="20"/>
        <v>33</v>
      </c>
      <c r="AC27" s="94">
        <f t="shared" si="20"/>
        <v>0.17</v>
      </c>
      <c r="AD27" s="90">
        <f t="shared" si="7"/>
        <v>1758.3983999999996</v>
      </c>
      <c r="AG27" s="94">
        <f t="shared" si="21"/>
        <v>13</v>
      </c>
      <c r="AH27" s="94">
        <f t="shared" si="21"/>
        <v>0.13</v>
      </c>
      <c r="AI27" s="90">
        <f t="shared" si="8"/>
        <v>733.44959999999992</v>
      </c>
      <c r="AL27" s="94">
        <f t="shared" si="22"/>
        <v>0</v>
      </c>
      <c r="AM27" s="94">
        <f t="shared" si="22"/>
        <v>0.08</v>
      </c>
      <c r="AN27" s="90">
        <f t="shared" si="9"/>
        <v>0</v>
      </c>
      <c r="AQ27" s="94">
        <f t="shared" si="23"/>
        <v>0</v>
      </c>
      <c r="AR27" s="94">
        <f t="shared" si="23"/>
        <v>0.05</v>
      </c>
      <c r="AS27" s="90">
        <f t="shared" si="10"/>
        <v>0</v>
      </c>
      <c r="AV27" s="94">
        <f t="shared" si="24"/>
        <v>12</v>
      </c>
      <c r="AW27" s="94">
        <f t="shared" si="24"/>
        <v>0.32500000000000001</v>
      </c>
      <c r="AX27" s="90">
        <f t="shared" si="11"/>
        <v>493.66799999999995</v>
      </c>
      <c r="BA27" s="94">
        <f t="shared" si="25"/>
        <v>7</v>
      </c>
      <c r="BB27" s="94">
        <f t="shared" si="25"/>
        <v>0.29499999999999998</v>
      </c>
      <c r="BC27" s="90">
        <f t="shared" si="12"/>
        <v>304.42859999999996</v>
      </c>
      <c r="BF27" s="94">
        <f t="shared" si="26"/>
        <v>0</v>
      </c>
      <c r="BG27" s="94">
        <f t="shared" si="26"/>
        <v>0.27500000000000002</v>
      </c>
      <c r="BH27" s="90">
        <f t="shared" si="13"/>
        <v>0</v>
      </c>
      <c r="BK27" s="94">
        <f t="shared" si="27"/>
        <v>0</v>
      </c>
      <c r="BL27" s="94">
        <f t="shared" si="27"/>
        <v>0.245</v>
      </c>
      <c r="BM27" s="90">
        <f t="shared" si="14"/>
        <v>0</v>
      </c>
      <c r="BP27" s="94">
        <f t="shared" si="28"/>
        <v>0</v>
      </c>
      <c r="BQ27" s="94">
        <f t="shared" si="28"/>
        <v>0.22500000000000001</v>
      </c>
      <c r="BR27" s="90">
        <f t="shared" si="15"/>
        <v>0</v>
      </c>
      <c r="BU27" s="94">
        <f t="shared" si="29"/>
        <v>0</v>
      </c>
      <c r="BV27" s="94">
        <f t="shared" si="29"/>
        <v>0.17499999999999999</v>
      </c>
      <c r="BW27" s="90">
        <f t="shared" si="16"/>
        <v>0</v>
      </c>
      <c r="BZ27" s="94">
        <f t="shared" si="30"/>
        <v>0</v>
      </c>
      <c r="CA27" s="94">
        <f t="shared" si="30"/>
        <v>0.15</v>
      </c>
      <c r="CB27" s="90">
        <f t="shared" si="17"/>
        <v>0</v>
      </c>
      <c r="CE27" s="95"/>
      <c r="CF27" s="96"/>
      <c r="CG27" s="88" t="s">
        <v>94</v>
      </c>
      <c r="CH27" s="120">
        <f>(SUMIFS(K22:K62,F22:F62,"PLV (PDC ou autre)")+SUMIFS(K22:K62,F22:F62,"PLV (vitrine)"))/K20</f>
        <v>4.1493195419076603E-2</v>
      </c>
      <c r="CI27" s="98"/>
      <c r="CK27" s="99">
        <f>IFERROR(IF(F27='[1]Paramètres Généraux'!$K$12,ROUNDUP((REGENERANTS!H27*REGENERANTS!$CF$20)*'[1]Paramètres Généraux'!$M$12,-1),IF(F27='[1]Paramètres Généraux'!$K$15,ROUNDUP((REGENERANTS!H27*REGENERANTS!$CF$20)*'[1]Paramètres Généraux'!$M$15,-1),REGENERANTS!H27*REGENERANTS!$CF$20)),"nd")</f>
        <v>195</v>
      </c>
      <c r="CN27" s="100"/>
      <c r="CO27" s="101"/>
      <c r="CP27" s="101"/>
      <c r="CQ27" s="101"/>
      <c r="CR27" s="101"/>
      <c r="CS27" s="102"/>
      <c r="CT27" s="101"/>
      <c r="CU27" s="101"/>
      <c r="CV27" s="103"/>
      <c r="CW27" s="104"/>
      <c r="CX27" s="105"/>
      <c r="CY27" s="106"/>
      <c r="CZ27" s="104"/>
      <c r="DA27" s="107"/>
      <c r="DB27" s="108"/>
      <c r="DC27" s="104"/>
      <c r="DD27" s="109"/>
      <c r="DE27" s="108"/>
      <c r="DF27" s="104"/>
      <c r="DG27" s="104"/>
      <c r="DH27" s="104"/>
      <c r="DI27" s="104"/>
      <c r="DJ27" s="104"/>
      <c r="DK27" s="104"/>
      <c r="DL27" s="104"/>
      <c r="DM27" s="104"/>
      <c r="DN27" s="104"/>
      <c r="DO27" s="107"/>
      <c r="DP27" s="106"/>
      <c r="DQ27" s="20">
        <f t="shared" si="18"/>
        <v>0</v>
      </c>
      <c r="DR27" s="20">
        <f t="shared" si="3"/>
        <v>0</v>
      </c>
      <c r="DS27" s="20">
        <f>IFERROR((IF(AND($F27="Produit Vente",CO27&gt;0),VLOOKUP($C27,'[1]Paramètres Articles'!$B:$H,7,FALSE)*$CO27)*(1-20%)),0)</f>
        <v>0</v>
      </c>
      <c r="DT27" s="20">
        <f>IFERROR((IF(AND($F27="Produit Vente",DR27&gt;0),VLOOKUP($C27,'[1]Paramètres Articles'!$B:$H,6,FALSE)*$DR27)*(1-15%)),0)</f>
        <v>0</v>
      </c>
      <c r="DU27" s="20">
        <f t="shared" si="19"/>
        <v>0</v>
      </c>
      <c r="DW27" s="40"/>
      <c r="DX27" s="110"/>
      <c r="EA27" s="119"/>
      <c r="EB27" s="41"/>
    </row>
    <row r="28" spans="2:132" ht="12.95" customHeight="1">
      <c r="B28" s="1">
        <f>IF(C28="",0,COUNTIFS($B$22:B27,"&gt;"&amp;0)+1)</f>
        <v>7</v>
      </c>
      <c r="C28" s="85">
        <v>1020102</v>
      </c>
      <c r="D28" s="86" t="str">
        <f>IFERROR(IF($C28="","",VLOOKUP($C28,'[1]Paramètres Articles'!$B:$G,2,FALSE)),"Non Trouvé")</f>
        <v>Crème pour les Mains - Régénérant - 50 ml</v>
      </c>
      <c r="E28" s="87">
        <f>IFERROR(IF($C28="","",_xlfn.XLOOKUP(REGENERANTS!$C28,'[1]New Base PA'!$F:$F,'[1]New Base PA'!$D:$D,"Not Found",0)),"Non Trouvé")</f>
        <v>4020829049666</v>
      </c>
      <c r="F28" s="88" t="s">
        <v>90</v>
      </c>
      <c r="H28" s="89">
        <v>3</v>
      </c>
      <c r="J28" s="90">
        <f>IFERROR(IF($C28="","",VLOOKUP($C28,'[1]New Base PA'!$F:$J,5,FALSE)),"Non Trouvé")</f>
        <v>6.5481999999999987</v>
      </c>
      <c r="K28" s="90">
        <f t="shared" si="0"/>
        <v>19.644599999999997</v>
      </c>
      <c r="L28" s="91"/>
      <c r="M28" s="90">
        <f>IFERROR(IF(AND($F28="Produit Vente",H28&gt;0),VLOOKUP($C28,'[1]Paramètres Articles'!$B:$G,6,FALSE),0),"Non Trouvé")</f>
        <v>17.352941176470591</v>
      </c>
      <c r="N28" s="90">
        <f t="shared" si="1"/>
        <v>52.058823529411768</v>
      </c>
      <c r="P28" s="92">
        <v>0.15</v>
      </c>
      <c r="R28" s="90">
        <f t="shared" si="2"/>
        <v>44.25</v>
      </c>
      <c r="S28" s="91"/>
      <c r="T28" s="90">
        <f>IFERROR(IF($C28="","",VLOOKUP($C28,'[1]Paramètres Articles'!$B:$H,7,FALSE)),"Non Trouvé")</f>
        <v>29.5</v>
      </c>
      <c r="U28" s="93"/>
      <c r="V28" s="90">
        <f t="shared" si="4"/>
        <v>25.074999999999999</v>
      </c>
      <c r="W28" s="91"/>
      <c r="X28" s="90">
        <f t="shared" si="5"/>
        <v>4.4250000000000007</v>
      </c>
      <c r="Y28" s="91"/>
      <c r="Z28" s="90">
        <f t="shared" si="6"/>
        <v>88.5</v>
      </c>
      <c r="AB28" s="94">
        <f t="shared" si="20"/>
        <v>33</v>
      </c>
      <c r="AC28" s="94">
        <f t="shared" si="20"/>
        <v>0.17</v>
      </c>
      <c r="AD28" s="90">
        <f t="shared" si="7"/>
        <v>1168.2000000000003</v>
      </c>
      <c r="AG28" s="94">
        <f t="shared" si="21"/>
        <v>13</v>
      </c>
      <c r="AH28" s="94">
        <f t="shared" si="21"/>
        <v>0.13</v>
      </c>
      <c r="AI28" s="90">
        <f t="shared" si="8"/>
        <v>487.27058823529416</v>
      </c>
      <c r="AL28" s="94">
        <f t="shared" si="22"/>
        <v>0</v>
      </c>
      <c r="AM28" s="94">
        <f t="shared" si="22"/>
        <v>0.08</v>
      </c>
      <c r="AN28" s="90">
        <f t="shared" si="9"/>
        <v>0</v>
      </c>
      <c r="AQ28" s="94">
        <f t="shared" si="23"/>
        <v>0</v>
      </c>
      <c r="AR28" s="94">
        <f t="shared" si="23"/>
        <v>0.05</v>
      </c>
      <c r="AS28" s="90">
        <f t="shared" si="10"/>
        <v>0</v>
      </c>
      <c r="AV28" s="94">
        <f t="shared" si="24"/>
        <v>12</v>
      </c>
      <c r="AW28" s="94">
        <f t="shared" si="24"/>
        <v>0.32500000000000001</v>
      </c>
      <c r="AX28" s="90">
        <f t="shared" si="11"/>
        <v>327.97058823529414</v>
      </c>
      <c r="BA28" s="94">
        <f t="shared" si="25"/>
        <v>7</v>
      </c>
      <c r="BB28" s="94">
        <f t="shared" si="25"/>
        <v>0.29499999999999998</v>
      </c>
      <c r="BC28" s="90">
        <f t="shared" si="12"/>
        <v>202.24852941176474</v>
      </c>
      <c r="BF28" s="94">
        <f t="shared" si="26"/>
        <v>0</v>
      </c>
      <c r="BG28" s="94">
        <f t="shared" si="26"/>
        <v>0.27500000000000002</v>
      </c>
      <c r="BH28" s="90">
        <f t="shared" si="13"/>
        <v>0</v>
      </c>
      <c r="BK28" s="94">
        <f t="shared" si="27"/>
        <v>0</v>
      </c>
      <c r="BL28" s="94">
        <f t="shared" si="27"/>
        <v>0.245</v>
      </c>
      <c r="BM28" s="90">
        <f t="shared" si="14"/>
        <v>0</v>
      </c>
      <c r="BP28" s="94">
        <f t="shared" si="28"/>
        <v>0</v>
      </c>
      <c r="BQ28" s="94">
        <f t="shared" si="28"/>
        <v>0.22500000000000001</v>
      </c>
      <c r="BR28" s="90">
        <f t="shared" si="15"/>
        <v>0</v>
      </c>
      <c r="BU28" s="94">
        <f t="shared" si="29"/>
        <v>0</v>
      </c>
      <c r="BV28" s="94">
        <f t="shared" si="29"/>
        <v>0.17499999999999999</v>
      </c>
      <c r="BW28" s="90">
        <f t="shared" si="16"/>
        <v>0</v>
      </c>
      <c r="BZ28" s="94">
        <f t="shared" si="30"/>
        <v>0</v>
      </c>
      <c r="CA28" s="94">
        <f t="shared" si="30"/>
        <v>0.15</v>
      </c>
      <c r="CB28" s="90">
        <f t="shared" si="17"/>
        <v>0</v>
      </c>
      <c r="CE28" s="95"/>
      <c r="CF28" s="96"/>
      <c r="CG28" s="88" t="s">
        <v>95</v>
      </c>
      <c r="CH28" s="120">
        <f>SUMIFS(K22:K62,F22:F62,CG28)/K20</f>
        <v>0</v>
      </c>
      <c r="CI28" s="98"/>
      <c r="CK28" s="99">
        <f>IFERROR(IF(F28='[1]Paramètres Généraux'!$K$12,ROUNDUP((REGENERANTS!H28*REGENERANTS!$CF$20)*'[1]Paramètres Généraux'!$M$12,-1),IF(F28='[1]Paramètres Généraux'!$K$15,ROUNDUP((REGENERANTS!H28*REGENERANTS!$CF$20)*'[1]Paramètres Généraux'!$M$15,-1),REGENERANTS!H28*REGENERANTS!$CF$20)),"nd")</f>
        <v>195</v>
      </c>
      <c r="CN28" s="100"/>
      <c r="CO28" s="101"/>
      <c r="CP28" s="101"/>
      <c r="CQ28" s="101"/>
      <c r="CR28" s="101"/>
      <c r="CS28" s="102"/>
      <c r="CT28" s="101"/>
      <c r="CU28" s="101"/>
      <c r="CV28" s="103"/>
      <c r="CW28" s="104"/>
      <c r="CX28" s="105"/>
      <c r="CY28" s="106"/>
      <c r="CZ28" s="104"/>
      <c r="DA28" s="107"/>
      <c r="DB28" s="108"/>
      <c r="DC28" s="104"/>
      <c r="DD28" s="109"/>
      <c r="DE28" s="108"/>
      <c r="DF28" s="104"/>
      <c r="DG28" s="104"/>
      <c r="DH28" s="104"/>
      <c r="DI28" s="104"/>
      <c r="DJ28" s="104"/>
      <c r="DK28" s="104"/>
      <c r="DL28" s="104"/>
      <c r="DM28" s="104"/>
      <c r="DN28" s="104"/>
      <c r="DO28" s="107"/>
      <c r="DP28" s="106"/>
      <c r="DQ28" s="20">
        <f t="shared" si="18"/>
        <v>0</v>
      </c>
      <c r="DR28" s="20">
        <f t="shared" si="3"/>
        <v>0</v>
      </c>
      <c r="DS28" s="20">
        <f>IFERROR((IF(AND($F28="Produit Vente",CO28&gt;0),VLOOKUP($C28,'[1]Paramètres Articles'!$B:$H,7,FALSE)*$CO28)*(1-20%)),0)</f>
        <v>0</v>
      </c>
      <c r="DT28" s="20">
        <f>IFERROR((IF(AND($F28="Produit Vente",DR28&gt;0),VLOOKUP($C28,'[1]Paramètres Articles'!$B:$H,6,FALSE)*$DR28)*(1-15%)),0)</f>
        <v>0</v>
      </c>
      <c r="DU28" s="20">
        <f t="shared" si="19"/>
        <v>0</v>
      </c>
      <c r="DW28" s="40"/>
      <c r="DX28" s="110"/>
      <c r="EA28" s="119"/>
      <c r="EB28" s="41"/>
    </row>
    <row r="29" spans="2:132" ht="12.95" customHeight="1">
      <c r="B29" s="1">
        <f>IF(C29="",0,COUNTIFS($B$22:B28,"&gt;"&amp;0)+1)</f>
        <v>8</v>
      </c>
      <c r="C29" s="85">
        <v>1020722</v>
      </c>
      <c r="D29" s="86" t="str">
        <f>IFERROR(IF($C29="","",VLOOKUP($C29,'[1]Paramètres Articles'!$B:$G,2,FALSE)),"Non Trouvé")</f>
        <v>Cure Intensive Rééquilibrante - Régénérant Intensif - 40ml</v>
      </c>
      <c r="E29" s="87">
        <f>IFERROR(IF($C29="","",_xlfn.XLOOKUP(REGENERANTS!$C29,'[1]New Base PA'!$F:$F,'[1]New Base PA'!$D:$D,"Not Found",0)),"Non Trouvé")</f>
        <v>4020829102934</v>
      </c>
      <c r="F29" s="88" t="s">
        <v>90</v>
      </c>
      <c r="H29" s="89">
        <v>0</v>
      </c>
      <c r="J29" s="90">
        <f>IFERROR(IF($C29="","",VLOOKUP($C29,'[1]New Base PA'!$F:$J,5,FALSE)),"Non Trouvé")</f>
        <v>16.878</v>
      </c>
      <c r="K29" s="90">
        <f t="shared" si="0"/>
        <v>0</v>
      </c>
      <c r="L29" s="91"/>
      <c r="M29" s="90">
        <f>IFERROR(IF(AND($F29="Produit Vente",H29&gt;0),VLOOKUP($C29,'[1]Paramètres Articles'!$B:$G,6,FALSE),0),"Non Trouvé")</f>
        <v>0</v>
      </c>
      <c r="N29" s="90">
        <f t="shared" si="1"/>
        <v>0</v>
      </c>
      <c r="P29" s="92">
        <v>0.15</v>
      </c>
      <c r="R29" s="90">
        <f t="shared" si="2"/>
        <v>0</v>
      </c>
      <c r="S29" s="91"/>
      <c r="T29" s="90">
        <f>IFERROR(IF($C29="","",VLOOKUP($C29,'[1]Paramètres Articles'!$B:$H,7,FALSE)),"Non Trouvé")</f>
        <v>72.898071522305145</v>
      </c>
      <c r="U29" s="93"/>
      <c r="V29" s="90">
        <f t="shared" si="4"/>
        <v>61.963360793959374</v>
      </c>
      <c r="W29" s="91"/>
      <c r="X29" s="90">
        <f t="shared" si="5"/>
        <v>10.93471072834577</v>
      </c>
      <c r="Y29" s="91"/>
      <c r="Z29" s="90">
        <f t="shared" si="6"/>
        <v>0</v>
      </c>
      <c r="AB29" s="94">
        <f t="shared" si="20"/>
        <v>33</v>
      </c>
      <c r="AC29" s="94">
        <f t="shared" si="20"/>
        <v>0.17</v>
      </c>
      <c r="AD29" s="90">
        <f t="shared" si="7"/>
        <v>0</v>
      </c>
      <c r="AG29" s="94">
        <f t="shared" si="21"/>
        <v>13</v>
      </c>
      <c r="AH29" s="94">
        <f t="shared" si="21"/>
        <v>0.13</v>
      </c>
      <c r="AI29" s="90">
        <f t="shared" si="8"/>
        <v>0</v>
      </c>
      <c r="AL29" s="94">
        <f t="shared" si="22"/>
        <v>0</v>
      </c>
      <c r="AM29" s="94">
        <f t="shared" si="22"/>
        <v>0.08</v>
      </c>
      <c r="AN29" s="90">
        <f t="shared" si="9"/>
        <v>0</v>
      </c>
      <c r="AQ29" s="94">
        <f t="shared" si="23"/>
        <v>0</v>
      </c>
      <c r="AR29" s="94">
        <f t="shared" si="23"/>
        <v>0.05</v>
      </c>
      <c r="AS29" s="90">
        <f t="shared" si="10"/>
        <v>0</v>
      </c>
      <c r="AV29" s="94">
        <f t="shared" si="24"/>
        <v>12</v>
      </c>
      <c r="AW29" s="94">
        <f t="shared" si="24"/>
        <v>0.32500000000000001</v>
      </c>
      <c r="AX29" s="90">
        <f t="shared" si="11"/>
        <v>0</v>
      </c>
      <c r="BA29" s="94">
        <f t="shared" si="25"/>
        <v>7</v>
      </c>
      <c r="BB29" s="94">
        <f t="shared" si="25"/>
        <v>0.29499999999999998</v>
      </c>
      <c r="BC29" s="90">
        <f t="shared" si="12"/>
        <v>0</v>
      </c>
      <c r="BF29" s="94">
        <f t="shared" si="26"/>
        <v>0</v>
      </c>
      <c r="BG29" s="94">
        <f t="shared" si="26"/>
        <v>0.27500000000000002</v>
      </c>
      <c r="BH29" s="90">
        <f t="shared" si="13"/>
        <v>0</v>
      </c>
      <c r="BK29" s="94">
        <f t="shared" si="27"/>
        <v>0</v>
      </c>
      <c r="BL29" s="94">
        <f t="shared" si="27"/>
        <v>0.245</v>
      </c>
      <c r="BM29" s="90">
        <f t="shared" si="14"/>
        <v>0</v>
      </c>
      <c r="BP29" s="94">
        <f t="shared" si="28"/>
        <v>0</v>
      </c>
      <c r="BQ29" s="94">
        <f t="shared" si="28"/>
        <v>0.22500000000000001</v>
      </c>
      <c r="BR29" s="90">
        <f t="shared" si="15"/>
        <v>0</v>
      </c>
      <c r="BU29" s="94">
        <f t="shared" si="29"/>
        <v>0</v>
      </c>
      <c r="BV29" s="94">
        <f t="shared" si="29"/>
        <v>0.17499999999999999</v>
      </c>
      <c r="BW29" s="90">
        <f t="shared" si="16"/>
        <v>0</v>
      </c>
      <c r="BZ29" s="94">
        <f t="shared" si="30"/>
        <v>0</v>
      </c>
      <c r="CA29" s="94">
        <f t="shared" si="30"/>
        <v>0.15</v>
      </c>
      <c r="CB29" s="90">
        <f t="shared" si="17"/>
        <v>0</v>
      </c>
      <c r="CE29" s="95"/>
      <c r="CF29" s="96"/>
      <c r="CG29" s="88" t="s">
        <v>96</v>
      </c>
      <c r="CH29" s="120">
        <f>SUMIFS(K22:K62,F22:F62,CG29)/K20</f>
        <v>5.6486241024283838E-2</v>
      </c>
      <c r="CI29" s="98"/>
      <c r="CK29" s="99">
        <f>IFERROR(IF(F29='[1]Paramètres Généraux'!$K$12,ROUNDUP((REGENERANTS!H29*REGENERANTS!$CF$20)*'[1]Paramètres Généraux'!$M$12,-1),IF(F29='[1]Paramètres Généraux'!$K$15,ROUNDUP((REGENERANTS!H29*REGENERANTS!$CF$20)*'[1]Paramètres Généraux'!$M$15,-1),REGENERANTS!H29*REGENERANTS!$CF$20)),"nd")</f>
        <v>0</v>
      </c>
      <c r="CN29" s="100"/>
      <c r="CO29" s="101"/>
      <c r="CP29" s="101"/>
      <c r="CQ29" s="101"/>
      <c r="CR29" s="101"/>
      <c r="CS29" s="102"/>
      <c r="CT29" s="101"/>
      <c r="CU29" s="101"/>
      <c r="CV29" s="103"/>
      <c r="CW29" s="104"/>
      <c r="CX29" s="105"/>
      <c r="CY29" s="106"/>
      <c r="CZ29" s="104"/>
      <c r="DA29" s="107"/>
      <c r="DB29" s="108"/>
      <c r="DC29" s="104"/>
      <c r="DD29" s="109"/>
      <c r="DE29" s="108"/>
      <c r="DF29" s="104"/>
      <c r="DG29" s="104"/>
      <c r="DH29" s="104"/>
      <c r="DI29" s="104"/>
      <c r="DJ29" s="104"/>
      <c r="DK29" s="104"/>
      <c r="DL29" s="104"/>
      <c r="DM29" s="104"/>
      <c r="DN29" s="104"/>
      <c r="DO29" s="107"/>
      <c r="DP29" s="106"/>
      <c r="DQ29" s="20">
        <f t="shared" si="18"/>
        <v>0</v>
      </c>
      <c r="DR29" s="20">
        <f t="shared" si="3"/>
        <v>0</v>
      </c>
      <c r="DS29" s="20">
        <f>IFERROR((IF(AND($F29="Produit Vente",CO29&gt;0),VLOOKUP($C29,'[1]Paramètres Articles'!$B:$H,7,FALSE)*$CO29)*(1-20%)),0)</f>
        <v>0</v>
      </c>
      <c r="DT29" s="20">
        <f>IFERROR((IF(AND($F29="Produit Vente",DR29&gt;0),VLOOKUP($C29,'[1]Paramètres Articles'!$B:$H,6,FALSE)*$DR29)*(1-15%)),0)</f>
        <v>0</v>
      </c>
      <c r="DU29" s="20">
        <f t="shared" si="19"/>
        <v>0</v>
      </c>
      <c r="DW29" s="40"/>
      <c r="DX29" s="110"/>
      <c r="EB29" s="41"/>
    </row>
    <row r="30" spans="2:132" ht="12.95" customHeight="1">
      <c r="B30" s="1">
        <f>IF(C30="",0,COUNTIFS($B$22:B29,"&gt;"&amp;0)+1)</f>
        <v>9</v>
      </c>
      <c r="C30" s="85">
        <v>1020719</v>
      </c>
      <c r="D30" s="86" t="str">
        <f>IFERROR(IF($C30="","",VLOOKUP($C30,'[1]Paramètres Articles'!$B:$G,2,FALSE)),"Non Trouvé")</f>
        <v>Huile Fortifiante - Régénérant Intensif - 20ml</v>
      </c>
      <c r="E30" s="87">
        <f>IFERROR(IF($C30="","",_xlfn.XLOOKUP(REGENERANTS!$C30,'[1]New Base PA'!$F:$F,'[1]New Base PA'!$D:$D,"Not Found",0)),"Non Trouvé")</f>
        <v>4020829103030</v>
      </c>
      <c r="F30" s="88" t="s">
        <v>90</v>
      </c>
      <c r="H30" s="89">
        <v>3</v>
      </c>
      <c r="J30" s="90">
        <f>IFERROR(IF($C30="","",VLOOKUP($C30,'[1]New Base PA'!$F:$J,5,FALSE)),"Non Trouvé")</f>
        <v>18.4208</v>
      </c>
      <c r="K30" s="90">
        <f t="shared" si="0"/>
        <v>55.2624</v>
      </c>
      <c r="L30" s="91"/>
      <c r="M30" s="90">
        <f>IFERROR(IF(AND($F30="Produit Vente",H30&gt;0),VLOOKUP($C30,'[1]Paramètres Articles'!$B:$G,6,FALSE),0),"Non Trouvé")</f>
        <v>46.768280254777068</v>
      </c>
      <c r="N30" s="90">
        <f t="shared" si="1"/>
        <v>140.3048407643312</v>
      </c>
      <c r="P30" s="92">
        <v>0.15</v>
      </c>
      <c r="R30" s="90">
        <f t="shared" si="2"/>
        <v>119.25911464968152</v>
      </c>
      <c r="S30" s="91"/>
      <c r="T30" s="90">
        <f>IFERROR(IF($C30="","",VLOOKUP($C30,'[1]Paramètres Articles'!$B:$H,7,FALSE)),"Non Trouvé")</f>
        <v>79.5</v>
      </c>
      <c r="U30" s="93"/>
      <c r="V30" s="90">
        <f t="shared" si="4"/>
        <v>67.575000000000003</v>
      </c>
      <c r="W30" s="91"/>
      <c r="X30" s="90">
        <f t="shared" si="5"/>
        <v>11.924999999999997</v>
      </c>
      <c r="Y30" s="91"/>
      <c r="Z30" s="90">
        <f t="shared" si="6"/>
        <v>238.5</v>
      </c>
      <c r="AB30" s="94">
        <f t="shared" si="20"/>
        <v>33</v>
      </c>
      <c r="AC30" s="94">
        <f t="shared" si="20"/>
        <v>0.17</v>
      </c>
      <c r="AD30" s="90">
        <f t="shared" si="7"/>
        <v>3148.4406267515924</v>
      </c>
      <c r="AG30" s="94">
        <f t="shared" si="21"/>
        <v>13</v>
      </c>
      <c r="AH30" s="94">
        <f t="shared" si="21"/>
        <v>0.13</v>
      </c>
      <c r="AI30" s="90">
        <f t="shared" si="8"/>
        <v>1313.2533095541401</v>
      </c>
      <c r="AL30" s="94">
        <f t="shared" si="22"/>
        <v>0</v>
      </c>
      <c r="AM30" s="94">
        <f t="shared" si="22"/>
        <v>0.08</v>
      </c>
      <c r="AN30" s="90">
        <f t="shared" si="9"/>
        <v>0</v>
      </c>
      <c r="AQ30" s="94">
        <f t="shared" si="23"/>
        <v>0</v>
      </c>
      <c r="AR30" s="94">
        <f t="shared" si="23"/>
        <v>0.05</v>
      </c>
      <c r="AS30" s="90">
        <f t="shared" si="10"/>
        <v>0</v>
      </c>
      <c r="AV30" s="94">
        <f t="shared" si="24"/>
        <v>12</v>
      </c>
      <c r="AW30" s="94">
        <f t="shared" si="24"/>
        <v>0.32500000000000001</v>
      </c>
      <c r="AX30" s="90">
        <f t="shared" si="11"/>
        <v>883.9204968152867</v>
      </c>
      <c r="BA30" s="94">
        <f t="shared" si="25"/>
        <v>7</v>
      </c>
      <c r="BB30" s="94">
        <f t="shared" si="25"/>
        <v>0.29499999999999998</v>
      </c>
      <c r="BC30" s="90">
        <f t="shared" si="12"/>
        <v>545.08430636942671</v>
      </c>
      <c r="BF30" s="94">
        <f t="shared" si="26"/>
        <v>0</v>
      </c>
      <c r="BG30" s="94">
        <f t="shared" si="26"/>
        <v>0.27500000000000002</v>
      </c>
      <c r="BH30" s="90">
        <f t="shared" si="13"/>
        <v>0</v>
      </c>
      <c r="BK30" s="94">
        <f t="shared" si="27"/>
        <v>0</v>
      </c>
      <c r="BL30" s="94">
        <f t="shared" si="27"/>
        <v>0.245</v>
      </c>
      <c r="BM30" s="90">
        <f t="shared" si="14"/>
        <v>0</v>
      </c>
      <c r="BP30" s="94">
        <f t="shared" si="28"/>
        <v>0</v>
      </c>
      <c r="BQ30" s="94">
        <f t="shared" si="28"/>
        <v>0.22500000000000001</v>
      </c>
      <c r="BR30" s="90">
        <f t="shared" si="15"/>
        <v>0</v>
      </c>
      <c r="BU30" s="94">
        <f t="shared" si="29"/>
        <v>0</v>
      </c>
      <c r="BV30" s="94">
        <f t="shared" si="29"/>
        <v>0.17499999999999999</v>
      </c>
      <c r="BW30" s="90">
        <f t="shared" si="16"/>
        <v>0</v>
      </c>
      <c r="BZ30" s="94">
        <f t="shared" si="30"/>
        <v>0</v>
      </c>
      <c r="CA30" s="94">
        <f t="shared" si="30"/>
        <v>0.15</v>
      </c>
      <c r="CB30" s="90">
        <f t="shared" si="17"/>
        <v>0</v>
      </c>
      <c r="CE30" s="95"/>
      <c r="CF30" s="96"/>
      <c r="CG30" s="97"/>
      <c r="CH30" s="97"/>
      <c r="CI30" s="98"/>
      <c r="CK30" s="99">
        <f>IFERROR(IF(F30='[1]Paramètres Généraux'!$K$12,ROUNDUP((REGENERANTS!H30*REGENERANTS!$CF$20)*'[1]Paramètres Généraux'!$M$12,-1),IF(F30='[1]Paramètres Généraux'!$K$15,ROUNDUP((REGENERANTS!H30*REGENERANTS!$CF$20)*'[1]Paramètres Généraux'!$M$15,-1),REGENERANTS!H30*REGENERANTS!$CF$20)),"nd")</f>
        <v>195</v>
      </c>
      <c r="CN30" s="100"/>
      <c r="CO30" s="101"/>
      <c r="CP30" s="101"/>
      <c r="CQ30" s="101"/>
      <c r="CR30" s="101"/>
      <c r="CS30" s="102"/>
      <c r="CT30" s="101"/>
      <c r="CU30" s="101"/>
      <c r="CV30" s="103"/>
      <c r="CW30" s="104"/>
      <c r="CX30" s="105"/>
      <c r="CY30" s="106"/>
      <c r="CZ30" s="104"/>
      <c r="DA30" s="107"/>
      <c r="DB30" s="108"/>
      <c r="DC30" s="104"/>
      <c r="DD30" s="109"/>
      <c r="DE30" s="108"/>
      <c r="DF30" s="104"/>
      <c r="DG30" s="104"/>
      <c r="DH30" s="104"/>
      <c r="DI30" s="104"/>
      <c r="DJ30" s="104"/>
      <c r="DK30" s="104"/>
      <c r="DL30" s="104"/>
      <c r="DM30" s="104"/>
      <c r="DN30" s="104"/>
      <c r="DO30" s="107"/>
      <c r="DP30" s="106"/>
      <c r="DQ30" s="20">
        <f t="shared" si="18"/>
        <v>0</v>
      </c>
      <c r="DR30" s="20">
        <f t="shared" si="3"/>
        <v>0</v>
      </c>
      <c r="DS30" s="20">
        <f>IFERROR((IF(AND($F30="Produit Vente",CO30&gt;0),VLOOKUP($C30,'[1]Paramètres Articles'!$B:$H,7,FALSE)*$CO30)*(1-20%)),0)</f>
        <v>0</v>
      </c>
      <c r="DT30" s="20">
        <f>IFERROR((IF(AND($F30="Produit Vente",DR30&gt;0),VLOOKUP($C30,'[1]Paramètres Articles'!$B:$H,6,FALSE)*$DR30)*(1-15%)),0)</f>
        <v>0</v>
      </c>
      <c r="DU30" s="20">
        <f t="shared" si="19"/>
        <v>0</v>
      </c>
      <c r="DW30" s="40"/>
      <c r="DX30" s="112"/>
      <c r="EB30" s="41"/>
    </row>
    <row r="31" spans="2:132" ht="12.95" customHeight="1" thickBot="1">
      <c r="B31" s="1">
        <f>IF(C31="",0,COUNTIFS($B$22:B30,"&gt;"&amp;0)+1)</f>
        <v>10</v>
      </c>
      <c r="C31" s="85">
        <v>1020717</v>
      </c>
      <c r="D31" s="86" t="str">
        <f>IFERROR(IF($C31="","",VLOOKUP($C31,'[1]Paramètres Articles'!$B:$G,2,FALSE)),"Non Trouvé")</f>
        <v>Sérum Contour des Yeux - Régénérant Intensif -15 ml</v>
      </c>
      <c r="E31" s="87">
        <f>IFERROR(IF($C31="","",_xlfn.XLOOKUP(REGENERANTS!$C31,'[1]New Base PA'!$F:$F,'[1]New Base PA'!$D:$D,"Not Found",0)),"Non Trouvé")</f>
        <v>4020829101067</v>
      </c>
      <c r="F31" s="88" t="s">
        <v>90</v>
      </c>
      <c r="H31" s="89">
        <v>3</v>
      </c>
      <c r="J31" s="90">
        <f>IFERROR(IF($C31="","",VLOOKUP($C31,'[1]New Base PA'!$F:$J,5,FALSE)),"Non Trouvé")</f>
        <v>17.817599999999999</v>
      </c>
      <c r="K31" s="90">
        <f t="shared" si="0"/>
        <v>53.452799999999996</v>
      </c>
      <c r="L31" s="91"/>
      <c r="M31" s="90">
        <f>IFERROR(IF(AND($F31="Produit Vente",H31&gt;0),VLOOKUP($C31,'[1]Paramètres Articles'!$B:$G,6,FALSE),0),"Non Trouvé")</f>
        <v>44.12</v>
      </c>
      <c r="N31" s="90">
        <f t="shared" si="1"/>
        <v>132.35999999999999</v>
      </c>
      <c r="P31" s="92">
        <v>0.15</v>
      </c>
      <c r="R31" s="90">
        <f t="shared" si="2"/>
        <v>112.50599999999999</v>
      </c>
      <c r="S31" s="91"/>
      <c r="T31" s="90">
        <f>IFERROR(IF($C31="","",VLOOKUP($C31,'[1]Paramètres Articles'!$B:$H,7,FALSE)),"Non Trouvé")</f>
        <v>75</v>
      </c>
      <c r="U31" s="93"/>
      <c r="V31" s="90">
        <f t="shared" si="4"/>
        <v>63.75</v>
      </c>
      <c r="W31" s="91"/>
      <c r="X31" s="90">
        <f t="shared" si="5"/>
        <v>11.25</v>
      </c>
      <c r="Y31" s="91"/>
      <c r="Z31" s="90">
        <f t="shared" si="6"/>
        <v>225</v>
      </c>
      <c r="AB31" s="94">
        <f t="shared" si="20"/>
        <v>33</v>
      </c>
      <c r="AC31" s="94">
        <f t="shared" si="20"/>
        <v>0.17</v>
      </c>
      <c r="AD31" s="90">
        <f t="shared" si="7"/>
        <v>2970.1583999999998</v>
      </c>
      <c r="AG31" s="94">
        <f t="shared" si="21"/>
        <v>13</v>
      </c>
      <c r="AH31" s="94">
        <f t="shared" si="21"/>
        <v>0.13</v>
      </c>
      <c r="AI31" s="90">
        <f t="shared" si="8"/>
        <v>1238.8895999999997</v>
      </c>
      <c r="AL31" s="94">
        <f t="shared" si="22"/>
        <v>0</v>
      </c>
      <c r="AM31" s="94">
        <f t="shared" si="22"/>
        <v>0.08</v>
      </c>
      <c r="AN31" s="90">
        <f t="shared" si="9"/>
        <v>0</v>
      </c>
      <c r="AQ31" s="94">
        <f t="shared" si="23"/>
        <v>0</v>
      </c>
      <c r="AR31" s="94">
        <f t="shared" si="23"/>
        <v>0.05</v>
      </c>
      <c r="AS31" s="90">
        <f t="shared" si="10"/>
        <v>0</v>
      </c>
      <c r="AV31" s="94">
        <f t="shared" si="24"/>
        <v>12</v>
      </c>
      <c r="AW31" s="94">
        <f t="shared" si="24"/>
        <v>0.32500000000000001</v>
      </c>
      <c r="AX31" s="90">
        <f t="shared" si="11"/>
        <v>833.86800000000005</v>
      </c>
      <c r="BA31" s="94">
        <f t="shared" si="25"/>
        <v>7</v>
      </c>
      <c r="BB31" s="94">
        <f t="shared" si="25"/>
        <v>0.29499999999999998</v>
      </c>
      <c r="BC31" s="90">
        <f t="shared" si="12"/>
        <v>514.21860000000004</v>
      </c>
      <c r="BF31" s="94">
        <f t="shared" si="26"/>
        <v>0</v>
      </c>
      <c r="BG31" s="94">
        <f t="shared" si="26"/>
        <v>0.27500000000000002</v>
      </c>
      <c r="BH31" s="90">
        <f t="shared" si="13"/>
        <v>0</v>
      </c>
      <c r="BK31" s="94">
        <f t="shared" si="27"/>
        <v>0</v>
      </c>
      <c r="BL31" s="94">
        <f t="shared" si="27"/>
        <v>0.245</v>
      </c>
      <c r="BM31" s="90">
        <f t="shared" si="14"/>
        <v>0</v>
      </c>
      <c r="BP31" s="94">
        <f t="shared" si="28"/>
        <v>0</v>
      </c>
      <c r="BQ31" s="94">
        <f t="shared" si="28"/>
        <v>0.22500000000000001</v>
      </c>
      <c r="BR31" s="90">
        <f t="shared" si="15"/>
        <v>0</v>
      </c>
      <c r="BU31" s="94">
        <f t="shared" si="29"/>
        <v>0</v>
      </c>
      <c r="BV31" s="94">
        <f t="shared" si="29"/>
        <v>0.17499999999999999</v>
      </c>
      <c r="BW31" s="90">
        <f t="shared" si="16"/>
        <v>0</v>
      </c>
      <c r="BZ31" s="94">
        <f t="shared" si="30"/>
        <v>0</v>
      </c>
      <c r="CA31" s="94">
        <f t="shared" si="30"/>
        <v>0.15</v>
      </c>
      <c r="CB31" s="90">
        <f t="shared" si="17"/>
        <v>0</v>
      </c>
      <c r="CE31" s="95"/>
      <c r="CF31" s="96"/>
      <c r="CG31" s="97"/>
      <c r="CH31" s="97"/>
      <c r="CI31" s="98"/>
      <c r="CK31" s="99">
        <f>IFERROR(IF(F31='[1]Paramètres Généraux'!$K$12,ROUNDUP((REGENERANTS!H31*REGENERANTS!$CF$20)*'[1]Paramètres Généraux'!$M$12,-1),IF(F31='[1]Paramètres Généraux'!$K$15,ROUNDUP((REGENERANTS!H31*REGENERANTS!$CF$20)*'[1]Paramètres Généraux'!$M$15,-1),REGENERANTS!H31*REGENERANTS!$CF$20)),"nd")</f>
        <v>195</v>
      </c>
      <c r="CN31" s="100"/>
      <c r="CO31" s="101"/>
      <c r="CP31" s="101"/>
      <c r="CQ31" s="101"/>
      <c r="CR31" s="101"/>
      <c r="CS31" s="102"/>
      <c r="CT31" s="101"/>
      <c r="CU31" s="101"/>
      <c r="CV31" s="103"/>
      <c r="CW31" s="104"/>
      <c r="CX31" s="105"/>
      <c r="CY31" s="106"/>
      <c r="CZ31" s="104"/>
      <c r="DA31" s="107"/>
      <c r="DB31" s="108"/>
      <c r="DC31" s="104"/>
      <c r="DD31" s="109"/>
      <c r="DE31" s="108"/>
      <c r="DF31" s="104"/>
      <c r="DG31" s="104"/>
      <c r="DH31" s="104"/>
      <c r="DI31" s="104"/>
      <c r="DJ31" s="104"/>
      <c r="DK31" s="104"/>
      <c r="DL31" s="104"/>
      <c r="DM31" s="104"/>
      <c r="DN31" s="104"/>
      <c r="DO31" s="107"/>
      <c r="DP31" s="106"/>
      <c r="DQ31" s="20">
        <f t="shared" si="18"/>
        <v>0</v>
      </c>
      <c r="DR31" s="20">
        <f t="shared" si="3"/>
        <v>0</v>
      </c>
      <c r="DS31" s="20">
        <f>IFERROR((IF(AND($F31="Produit Vente",CO31&gt;0),VLOOKUP($C31,'[1]Paramètres Articles'!$B:$H,7,FALSE)*$CO31)*(1-20%)),0)</f>
        <v>0</v>
      </c>
      <c r="DT31" s="20">
        <f>IFERROR((IF(AND($F31="Produit Vente",DR31&gt;0),VLOOKUP($C31,'[1]Paramètres Articles'!$B:$H,6,FALSE)*$DR31)*(1-15%)),0)</f>
        <v>0</v>
      </c>
      <c r="DU31" s="20">
        <f t="shared" si="19"/>
        <v>0</v>
      </c>
      <c r="DW31" s="121"/>
      <c r="DX31" s="122"/>
      <c r="DY31" s="123"/>
      <c r="DZ31" s="123"/>
      <c r="EA31" s="123"/>
      <c r="EB31" s="124"/>
    </row>
    <row r="32" spans="2:132" ht="12.95" customHeight="1" thickBot="1">
      <c r="B32" s="1">
        <f>IF(C32="",0,COUNTIFS($B$22:B31,"&gt;"&amp;0)+1)</f>
        <v>11</v>
      </c>
      <c r="C32" s="85">
        <v>1020718</v>
      </c>
      <c r="D32" s="86" t="str">
        <f>IFERROR(IF($C32="","",VLOOKUP($C32,'[1]Paramètres Articles'!$B:$G,2,FALSE)),"Non Trouvé")</f>
        <v>Sérum de Nuit - Régénérant Intensif - 30 ml</v>
      </c>
      <c r="E32" s="87">
        <f>IFERROR(IF($C32="","",_xlfn.XLOOKUP(REGENERANTS!$C32,'[1]New Base PA'!$F:$F,'[1]New Base PA'!$D:$D,"Not Found",0)),"Non Trouvé")</f>
        <v>4020829101111</v>
      </c>
      <c r="F32" s="88" t="s">
        <v>90</v>
      </c>
      <c r="H32" s="89">
        <v>5</v>
      </c>
      <c r="J32" s="90">
        <f>IFERROR(IF($C32="","",VLOOKUP($C32,'[1]New Base PA'!$F:$J,5,FALSE)),"Non Trouvé")</f>
        <v>18.2758</v>
      </c>
      <c r="K32" s="90">
        <f t="shared" si="0"/>
        <v>91.379000000000005</v>
      </c>
      <c r="L32" s="91"/>
      <c r="M32" s="90">
        <f>IFERROR(IF(AND($F32="Produit Vente",H32&gt;0),VLOOKUP($C32,'[1]Paramètres Articles'!$B:$G,6,FALSE),0),"Non Trouvé")</f>
        <v>46.758152866242035</v>
      </c>
      <c r="N32" s="90">
        <f t="shared" si="1"/>
        <v>233.79076433121017</v>
      </c>
      <c r="P32" s="92">
        <v>0.15</v>
      </c>
      <c r="R32" s="90">
        <f t="shared" si="2"/>
        <v>198.72214968152863</v>
      </c>
      <c r="S32" s="91"/>
      <c r="T32" s="90">
        <f>IFERROR(IF($C32="","",VLOOKUP($C32,'[1]Paramètres Articles'!$B:$H,7,FALSE)),"Non Trouvé")</f>
        <v>79.5</v>
      </c>
      <c r="U32" s="93"/>
      <c r="V32" s="90">
        <f t="shared" si="4"/>
        <v>67.575000000000003</v>
      </c>
      <c r="W32" s="91"/>
      <c r="X32" s="90">
        <f t="shared" si="5"/>
        <v>11.924999999999997</v>
      </c>
      <c r="Y32" s="91"/>
      <c r="Z32" s="90">
        <f t="shared" si="6"/>
        <v>397.5</v>
      </c>
      <c r="AB32" s="94">
        <f t="shared" si="20"/>
        <v>33</v>
      </c>
      <c r="AC32" s="94">
        <f t="shared" si="20"/>
        <v>0.17</v>
      </c>
      <c r="AD32" s="90">
        <f t="shared" si="7"/>
        <v>5246.2647515923563</v>
      </c>
      <c r="AG32" s="94">
        <f t="shared" si="21"/>
        <v>13</v>
      </c>
      <c r="AH32" s="94">
        <f t="shared" si="21"/>
        <v>0.13</v>
      </c>
      <c r="AI32" s="90">
        <f t="shared" si="8"/>
        <v>2188.2815541401269</v>
      </c>
      <c r="AL32" s="94">
        <f t="shared" si="22"/>
        <v>0</v>
      </c>
      <c r="AM32" s="94">
        <f t="shared" si="22"/>
        <v>0.08</v>
      </c>
      <c r="AN32" s="90">
        <f t="shared" si="9"/>
        <v>0</v>
      </c>
      <c r="AQ32" s="94">
        <f t="shared" si="23"/>
        <v>0</v>
      </c>
      <c r="AR32" s="94">
        <f t="shared" si="23"/>
        <v>0.05</v>
      </c>
      <c r="AS32" s="90">
        <f t="shared" si="10"/>
        <v>0</v>
      </c>
      <c r="AV32" s="94">
        <f t="shared" si="24"/>
        <v>12</v>
      </c>
      <c r="AW32" s="94">
        <f t="shared" si="24"/>
        <v>0.32500000000000001</v>
      </c>
      <c r="AX32" s="90">
        <f t="shared" si="11"/>
        <v>1472.8818152866243</v>
      </c>
      <c r="BA32" s="94">
        <f t="shared" si="25"/>
        <v>7</v>
      </c>
      <c r="BB32" s="94">
        <f t="shared" si="25"/>
        <v>0.29499999999999998</v>
      </c>
      <c r="BC32" s="90">
        <f t="shared" si="12"/>
        <v>908.2771194267516</v>
      </c>
      <c r="BF32" s="94">
        <f t="shared" si="26"/>
        <v>0</v>
      </c>
      <c r="BG32" s="94">
        <f t="shared" si="26"/>
        <v>0.27500000000000002</v>
      </c>
      <c r="BH32" s="90">
        <f t="shared" si="13"/>
        <v>0</v>
      </c>
      <c r="BK32" s="94">
        <f t="shared" si="27"/>
        <v>0</v>
      </c>
      <c r="BL32" s="94">
        <f t="shared" si="27"/>
        <v>0.245</v>
      </c>
      <c r="BM32" s="90">
        <f t="shared" si="14"/>
        <v>0</v>
      </c>
      <c r="BP32" s="94">
        <f t="shared" si="28"/>
        <v>0</v>
      </c>
      <c r="BQ32" s="94">
        <f t="shared" si="28"/>
        <v>0.22500000000000001</v>
      </c>
      <c r="BR32" s="90">
        <f t="shared" si="15"/>
        <v>0</v>
      </c>
      <c r="BU32" s="94">
        <f t="shared" si="29"/>
        <v>0</v>
      </c>
      <c r="BV32" s="94">
        <f t="shared" si="29"/>
        <v>0.17499999999999999</v>
      </c>
      <c r="BW32" s="90">
        <f t="shared" si="16"/>
        <v>0</v>
      </c>
      <c r="BZ32" s="94">
        <f t="shared" si="30"/>
        <v>0</v>
      </c>
      <c r="CA32" s="94">
        <f t="shared" si="30"/>
        <v>0.15</v>
      </c>
      <c r="CB32" s="90">
        <f t="shared" si="17"/>
        <v>0</v>
      </c>
      <c r="CE32" s="95"/>
      <c r="CF32" s="96"/>
      <c r="CG32" s="97"/>
      <c r="CH32" s="97"/>
      <c r="CI32" s="98"/>
      <c r="CK32" s="99">
        <f>IFERROR(IF(F32='[1]Paramètres Généraux'!$K$12,ROUNDUP((REGENERANTS!H32*REGENERANTS!$CF$20)*'[1]Paramètres Généraux'!$M$12,-1),IF(F32='[1]Paramètres Généraux'!$K$15,ROUNDUP((REGENERANTS!H32*REGENERANTS!$CF$20)*'[1]Paramètres Généraux'!$M$15,-1),REGENERANTS!H32*REGENERANTS!$CF$20)),"nd")</f>
        <v>325</v>
      </c>
      <c r="CN32" s="100"/>
      <c r="CO32" s="101"/>
      <c r="CP32" s="101"/>
      <c r="CQ32" s="101"/>
      <c r="CR32" s="101"/>
      <c r="CS32" s="102"/>
      <c r="CT32" s="101"/>
      <c r="CU32" s="101"/>
      <c r="CV32" s="103"/>
      <c r="CW32" s="104"/>
      <c r="CX32" s="105"/>
      <c r="CY32" s="106"/>
      <c r="CZ32" s="104"/>
      <c r="DA32" s="107"/>
      <c r="DB32" s="108"/>
      <c r="DC32" s="104"/>
      <c r="DD32" s="109"/>
      <c r="DE32" s="108"/>
      <c r="DF32" s="104"/>
      <c r="DG32" s="104"/>
      <c r="DH32" s="104"/>
      <c r="DI32" s="104"/>
      <c r="DJ32" s="104"/>
      <c r="DK32" s="104"/>
      <c r="DL32" s="104"/>
      <c r="DM32" s="104"/>
      <c r="DN32" s="104"/>
      <c r="DO32" s="107"/>
      <c r="DP32" s="106"/>
      <c r="DQ32" s="20">
        <f t="shared" si="18"/>
        <v>0</v>
      </c>
      <c r="DR32" s="20">
        <f t="shared" si="3"/>
        <v>0</v>
      </c>
      <c r="DS32" s="20">
        <f>IFERROR((IF(AND($F32="Produit Vente",CO32&gt;0),VLOOKUP($C32,'[1]Paramètres Articles'!$B:$H,7,FALSE)*$CO32)*(1-20%)),0)</f>
        <v>0</v>
      </c>
      <c r="DT32" s="20">
        <f>IFERROR((IF(AND($F32="Produit Vente",DR32&gt;0),VLOOKUP($C32,'[1]Paramètres Articles'!$B:$H,6,FALSE)*$DR32)*(1-15%)),0)</f>
        <v>0</v>
      </c>
      <c r="DU32" s="20">
        <f t="shared" si="19"/>
        <v>0</v>
      </c>
    </row>
    <row r="33" spans="2:132" ht="12.95" customHeight="1">
      <c r="B33" s="1">
        <f>IF(C33="",0,COUNTIFS($B$22:B32,"&gt;"&amp;0)+1)</f>
        <v>12</v>
      </c>
      <c r="C33" s="85">
        <v>1020301</v>
      </c>
      <c r="D33" s="86" t="str">
        <f>IFERROR(IF($C33="","",VLOOKUP($C33,'[1]Paramètres Articles'!$B:$G,2,FALSE)),"Non Trouvé")</f>
        <v>Crème de Jour - Régénérant - 40 ml</v>
      </c>
      <c r="E33" s="87">
        <f>IFERROR(IF($C33="","",_xlfn.XLOOKUP(REGENERANTS!$C33,'[1]New Base PA'!$F:$F,'[1]New Base PA'!$D:$D,"Not Found",0)),"Non Trouvé")</f>
        <v>4020829007383</v>
      </c>
      <c r="F33" s="88" t="s">
        <v>90</v>
      </c>
      <c r="H33" s="89">
        <v>8</v>
      </c>
      <c r="J33" s="90">
        <f>IFERROR(IF($C33="","",VLOOKUP($C33,'[1]New Base PA'!$F:$J,5,FALSE)),"Non Trouvé")</f>
        <v>14.801599999999999</v>
      </c>
      <c r="K33" s="90">
        <f t="shared" si="0"/>
        <v>118.41279999999999</v>
      </c>
      <c r="L33" s="91"/>
      <c r="M33" s="90">
        <f>IFERROR(IF(AND($F33="Produit Vente",H33&gt;0),VLOOKUP($C33,'[1]Paramètres Articles'!$B:$G,6,FALSE),0),"Non Trouvé")</f>
        <v>38.532973805855164</v>
      </c>
      <c r="N33" s="90">
        <f t="shared" si="1"/>
        <v>308.26379044684131</v>
      </c>
      <c r="P33" s="92">
        <v>0.15</v>
      </c>
      <c r="R33" s="90">
        <f t="shared" si="2"/>
        <v>262.02422187981512</v>
      </c>
      <c r="S33" s="91"/>
      <c r="T33" s="90">
        <f>IFERROR(IF($C33="","",VLOOKUP($C33,'[1]Paramètres Articles'!$B:$H,7,FALSE)),"Non Trouvé")</f>
        <v>65.5</v>
      </c>
      <c r="U33" s="93"/>
      <c r="V33" s="90">
        <f t="shared" si="4"/>
        <v>55.674999999999997</v>
      </c>
      <c r="W33" s="91"/>
      <c r="X33" s="90">
        <f t="shared" si="5"/>
        <v>9.8250000000000028</v>
      </c>
      <c r="Y33" s="91"/>
      <c r="Z33" s="90">
        <f t="shared" si="6"/>
        <v>524</v>
      </c>
      <c r="AB33" s="94">
        <f t="shared" si="20"/>
        <v>33</v>
      </c>
      <c r="AC33" s="94">
        <f t="shared" si="20"/>
        <v>0.17</v>
      </c>
      <c r="AD33" s="90">
        <f t="shared" si="7"/>
        <v>6917.4394576271188</v>
      </c>
      <c r="AG33" s="94">
        <f t="shared" si="21"/>
        <v>13</v>
      </c>
      <c r="AH33" s="94">
        <f t="shared" si="21"/>
        <v>0.13</v>
      </c>
      <c r="AI33" s="90">
        <f t="shared" si="8"/>
        <v>2885.3490785824347</v>
      </c>
      <c r="AL33" s="94">
        <f t="shared" si="22"/>
        <v>0</v>
      </c>
      <c r="AM33" s="94">
        <f t="shared" si="22"/>
        <v>0.08</v>
      </c>
      <c r="AN33" s="90">
        <f t="shared" si="9"/>
        <v>0</v>
      </c>
      <c r="AQ33" s="94">
        <f t="shared" si="23"/>
        <v>0</v>
      </c>
      <c r="AR33" s="94">
        <f t="shared" si="23"/>
        <v>0.05</v>
      </c>
      <c r="AS33" s="90">
        <f t="shared" si="10"/>
        <v>0</v>
      </c>
      <c r="AV33" s="94">
        <f t="shared" si="24"/>
        <v>12</v>
      </c>
      <c r="AW33" s="94">
        <f t="shared" si="24"/>
        <v>0.32500000000000001</v>
      </c>
      <c r="AX33" s="90">
        <f t="shared" si="11"/>
        <v>1942.0618798151004</v>
      </c>
      <c r="BA33" s="94">
        <f t="shared" si="25"/>
        <v>7</v>
      </c>
      <c r="BB33" s="94">
        <f t="shared" si="25"/>
        <v>0.29499999999999998</v>
      </c>
      <c r="BC33" s="90">
        <f t="shared" si="12"/>
        <v>1197.6048258859787</v>
      </c>
      <c r="BF33" s="94">
        <f t="shared" si="26"/>
        <v>0</v>
      </c>
      <c r="BG33" s="94">
        <f t="shared" si="26"/>
        <v>0.27500000000000002</v>
      </c>
      <c r="BH33" s="90">
        <f t="shared" si="13"/>
        <v>0</v>
      </c>
      <c r="BK33" s="94">
        <f t="shared" si="27"/>
        <v>0</v>
      </c>
      <c r="BL33" s="94">
        <f t="shared" si="27"/>
        <v>0.245</v>
      </c>
      <c r="BM33" s="90">
        <f t="shared" si="14"/>
        <v>0</v>
      </c>
      <c r="BP33" s="94">
        <f t="shared" si="28"/>
        <v>0</v>
      </c>
      <c r="BQ33" s="94">
        <f t="shared" si="28"/>
        <v>0.22500000000000001</v>
      </c>
      <c r="BR33" s="90">
        <f t="shared" si="15"/>
        <v>0</v>
      </c>
      <c r="BU33" s="94">
        <f t="shared" si="29"/>
        <v>0</v>
      </c>
      <c r="BV33" s="94">
        <f t="shared" si="29"/>
        <v>0.17499999999999999</v>
      </c>
      <c r="BW33" s="90">
        <f t="shared" si="16"/>
        <v>0</v>
      </c>
      <c r="BZ33" s="94">
        <f t="shared" si="30"/>
        <v>0</v>
      </c>
      <c r="CA33" s="94">
        <f t="shared" si="30"/>
        <v>0.15</v>
      </c>
      <c r="CB33" s="90">
        <f t="shared" si="17"/>
        <v>0</v>
      </c>
      <c r="CE33" s="95"/>
      <c r="CF33" s="96"/>
      <c r="CG33" s="97"/>
      <c r="CH33" s="97"/>
      <c r="CI33" s="98"/>
      <c r="CK33" s="99">
        <f>IFERROR(IF(F33='[1]Paramètres Généraux'!$K$12,ROUNDUP((REGENERANTS!H33*REGENERANTS!$CF$20)*'[1]Paramètres Généraux'!$M$12,-1),IF(F33='[1]Paramètres Généraux'!$K$15,ROUNDUP((REGENERANTS!H33*REGENERANTS!$CF$20)*'[1]Paramètres Généraux'!$M$15,-1),REGENERANTS!H33*REGENERANTS!$CF$20)),"nd")</f>
        <v>520</v>
      </c>
      <c r="CN33" s="100"/>
      <c r="CO33" s="101"/>
      <c r="CP33" s="101"/>
      <c r="CQ33" s="101"/>
      <c r="CR33" s="101"/>
      <c r="CS33" s="102"/>
      <c r="CT33" s="101"/>
      <c r="CU33" s="101"/>
      <c r="CV33" s="103"/>
      <c r="CW33" s="104"/>
      <c r="CX33" s="105"/>
      <c r="CY33" s="106"/>
      <c r="CZ33" s="104"/>
      <c r="DA33" s="107"/>
      <c r="DB33" s="108"/>
      <c r="DC33" s="104"/>
      <c r="DD33" s="109"/>
      <c r="DE33" s="108"/>
      <c r="DF33" s="104"/>
      <c r="DG33" s="104"/>
      <c r="DH33" s="104"/>
      <c r="DI33" s="104"/>
      <c r="DJ33" s="104"/>
      <c r="DK33" s="104"/>
      <c r="DL33" s="104"/>
      <c r="DM33" s="104"/>
      <c r="DN33" s="104"/>
      <c r="DO33" s="107"/>
      <c r="DP33" s="106"/>
      <c r="DQ33" s="20">
        <f t="shared" si="18"/>
        <v>0</v>
      </c>
      <c r="DR33" s="20">
        <f t="shared" si="3"/>
        <v>0</v>
      </c>
      <c r="DS33" s="20">
        <f>IFERROR((IF(AND($F33="Produit Vente",CO33&gt;0),VLOOKUP($C33,'[1]Paramètres Articles'!$B:$H,7,FALSE)*$CO33)*(1-20%)),0)</f>
        <v>0</v>
      </c>
      <c r="DT33" s="20">
        <f>IFERROR((IF(AND($F33="Produit Vente",DR33&gt;0),VLOOKUP($C33,'[1]Paramètres Articles'!$B:$H,6,FALSE)*$DR33)*(1-15%)),0)</f>
        <v>0</v>
      </c>
      <c r="DU33" s="20">
        <f t="shared" si="19"/>
        <v>0</v>
      </c>
      <c r="DW33" s="125"/>
      <c r="DX33" s="126"/>
      <c r="DY33" s="126"/>
      <c r="DZ33" s="126"/>
      <c r="EA33" s="126"/>
      <c r="EB33" s="127"/>
    </row>
    <row r="34" spans="2:132" ht="12.95" customHeight="1">
      <c r="B34" s="1">
        <f>IF(C34="",0,COUNTIFS($B$22:B33,"&gt;"&amp;0)+1)</f>
        <v>13</v>
      </c>
      <c r="C34" s="85">
        <v>1020720</v>
      </c>
      <c r="D34" s="86" t="str">
        <f>IFERROR(IF($C34="","",VLOOKUP($C34,'[1]Paramètres Articles'!$B:$G,2,FALSE)),"Non Trouvé")</f>
        <v>Crème de Jour - Régénérant Intensif - 40ml</v>
      </c>
      <c r="E34" s="87">
        <f>IFERROR(IF($C34="","",_xlfn.XLOOKUP(REGENERANTS!$C34,'[1]New Base PA'!$F:$F,'[1]New Base PA'!$D:$D,"Not Found",0)),"Non Trouvé")</f>
        <v>4020829102972</v>
      </c>
      <c r="F34" s="88" t="s">
        <v>90</v>
      </c>
      <c r="H34" s="89">
        <v>8</v>
      </c>
      <c r="J34" s="90">
        <f>IFERROR(IF($C34="","",VLOOKUP($C34,'[1]New Base PA'!$F:$J,5,FALSE)),"Non Trouvé")</f>
        <v>17.191199999999998</v>
      </c>
      <c r="K34" s="90">
        <f t="shared" si="0"/>
        <v>137.52959999999999</v>
      </c>
      <c r="L34" s="91"/>
      <c r="M34" s="90">
        <f>IFERROR(IF(AND($F34="Produit Vente",H34&gt;0),VLOOKUP($C34,'[1]Paramètres Articles'!$B:$G,6,FALSE),0),"Non Trouvé")</f>
        <v>44.648251001335112</v>
      </c>
      <c r="N34" s="90">
        <f t="shared" si="1"/>
        <v>357.18600801068089</v>
      </c>
      <c r="P34" s="92">
        <v>0.15</v>
      </c>
      <c r="R34" s="90">
        <f t="shared" si="2"/>
        <v>303.60810680907878</v>
      </c>
      <c r="S34" s="91"/>
      <c r="T34" s="90">
        <f>IFERROR(IF($C34="","",VLOOKUP($C34,'[1]Paramètres Articles'!$B:$H,7,FALSE)),"Non Trouvé")</f>
        <v>75.900000000000006</v>
      </c>
      <c r="U34" s="93"/>
      <c r="V34" s="90">
        <f t="shared" si="4"/>
        <v>64.515000000000001</v>
      </c>
      <c r="W34" s="91"/>
      <c r="X34" s="90">
        <f t="shared" si="5"/>
        <v>11.385000000000005</v>
      </c>
      <c r="Y34" s="91"/>
      <c r="Z34" s="90">
        <f t="shared" si="6"/>
        <v>607.20000000000005</v>
      </c>
      <c r="AB34" s="94">
        <f t="shared" si="20"/>
        <v>33</v>
      </c>
      <c r="AC34" s="94">
        <f t="shared" si="20"/>
        <v>0.17</v>
      </c>
      <c r="AD34" s="90">
        <f t="shared" si="7"/>
        <v>8015.2540197596791</v>
      </c>
      <c r="AG34" s="94">
        <f t="shared" si="21"/>
        <v>13</v>
      </c>
      <c r="AH34" s="94">
        <f t="shared" si="21"/>
        <v>0.13</v>
      </c>
      <c r="AI34" s="90">
        <f t="shared" si="8"/>
        <v>3343.2610349799725</v>
      </c>
      <c r="AL34" s="94">
        <f t="shared" si="22"/>
        <v>0</v>
      </c>
      <c r="AM34" s="94">
        <f t="shared" si="22"/>
        <v>0.08</v>
      </c>
      <c r="AN34" s="90">
        <f t="shared" si="9"/>
        <v>0</v>
      </c>
      <c r="AQ34" s="94">
        <f t="shared" si="23"/>
        <v>0</v>
      </c>
      <c r="AR34" s="94">
        <f t="shared" si="23"/>
        <v>0.05</v>
      </c>
      <c r="AS34" s="90">
        <f t="shared" si="10"/>
        <v>0</v>
      </c>
      <c r="AV34" s="94">
        <f t="shared" si="24"/>
        <v>12</v>
      </c>
      <c r="AW34" s="94">
        <f t="shared" si="24"/>
        <v>0.32500000000000001</v>
      </c>
      <c r="AX34" s="90">
        <f t="shared" si="11"/>
        <v>2250.2718504672894</v>
      </c>
      <c r="BA34" s="94">
        <f t="shared" si="25"/>
        <v>7</v>
      </c>
      <c r="BB34" s="94">
        <f t="shared" si="25"/>
        <v>0.29499999999999998</v>
      </c>
      <c r="BC34" s="90">
        <f t="shared" si="12"/>
        <v>1387.6676411214953</v>
      </c>
      <c r="BF34" s="94">
        <f t="shared" si="26"/>
        <v>0</v>
      </c>
      <c r="BG34" s="94">
        <f t="shared" si="26"/>
        <v>0.27500000000000002</v>
      </c>
      <c r="BH34" s="90">
        <f t="shared" si="13"/>
        <v>0</v>
      </c>
      <c r="BK34" s="94">
        <f t="shared" si="27"/>
        <v>0</v>
      </c>
      <c r="BL34" s="94">
        <f t="shared" si="27"/>
        <v>0.245</v>
      </c>
      <c r="BM34" s="90">
        <f t="shared" si="14"/>
        <v>0</v>
      </c>
      <c r="BP34" s="94">
        <f t="shared" si="28"/>
        <v>0</v>
      </c>
      <c r="BQ34" s="94">
        <f t="shared" si="28"/>
        <v>0.22500000000000001</v>
      </c>
      <c r="BR34" s="90">
        <f t="shared" si="15"/>
        <v>0</v>
      </c>
      <c r="BU34" s="94">
        <f t="shared" si="29"/>
        <v>0</v>
      </c>
      <c r="BV34" s="94">
        <f t="shared" si="29"/>
        <v>0.17499999999999999</v>
      </c>
      <c r="BW34" s="90">
        <f t="shared" si="16"/>
        <v>0</v>
      </c>
      <c r="BZ34" s="94">
        <f t="shared" si="30"/>
        <v>0</v>
      </c>
      <c r="CA34" s="94">
        <f t="shared" si="30"/>
        <v>0.15</v>
      </c>
      <c r="CB34" s="90">
        <f t="shared" si="17"/>
        <v>0</v>
      </c>
      <c r="CE34" s="95"/>
      <c r="CF34" s="96"/>
      <c r="CG34" s="128" t="s">
        <v>4</v>
      </c>
      <c r="CH34" s="97"/>
      <c r="CI34" s="98"/>
      <c r="CK34" s="99">
        <f>IFERROR(IF(F34='[1]Paramètres Généraux'!$K$12,ROUNDUP((REGENERANTS!H34*REGENERANTS!$CF$20)*'[1]Paramètres Généraux'!$M$12,-1),IF(F34='[1]Paramètres Généraux'!$K$15,ROUNDUP((REGENERANTS!H34*REGENERANTS!$CF$20)*'[1]Paramètres Généraux'!$M$15,-1),REGENERANTS!H34*REGENERANTS!$CF$20)),"nd")</f>
        <v>520</v>
      </c>
      <c r="CN34" s="100"/>
      <c r="CO34" s="101"/>
      <c r="CP34" s="101"/>
      <c r="CQ34" s="101"/>
      <c r="CR34" s="101"/>
      <c r="CS34" s="102"/>
      <c r="CT34" s="101"/>
      <c r="CU34" s="101"/>
      <c r="CV34" s="103"/>
      <c r="CW34" s="104"/>
      <c r="CX34" s="105"/>
      <c r="CY34" s="106"/>
      <c r="CZ34" s="104"/>
      <c r="DA34" s="107"/>
      <c r="DB34" s="108"/>
      <c r="DC34" s="104"/>
      <c r="DD34" s="109"/>
      <c r="DE34" s="108"/>
      <c r="DF34" s="104"/>
      <c r="DG34" s="104"/>
      <c r="DH34" s="104"/>
      <c r="DI34" s="104"/>
      <c r="DJ34" s="104"/>
      <c r="DK34" s="104"/>
      <c r="DL34" s="104"/>
      <c r="DM34" s="104"/>
      <c r="DN34" s="104"/>
      <c r="DO34" s="107"/>
      <c r="DP34" s="106"/>
      <c r="DQ34" s="20">
        <f t="shared" si="18"/>
        <v>0</v>
      </c>
      <c r="DR34" s="20">
        <f t="shared" si="3"/>
        <v>0</v>
      </c>
      <c r="DS34" s="20">
        <f>IFERROR((IF(AND($F34="Produit Vente",CO34&gt;0),VLOOKUP($C34,'[1]Paramètres Articles'!$B:$H,7,FALSE)*$CO34)*(1-20%)),0)</f>
        <v>0</v>
      </c>
      <c r="DT34" s="20">
        <f>IFERROR((IF(AND($F34="Produit Vente",DR34&gt;0),VLOOKUP($C34,'[1]Paramètres Articles'!$B:$H,6,FALSE)*$DR34)*(1-15%)),0)</f>
        <v>0</v>
      </c>
      <c r="DU34" s="20">
        <f t="shared" si="19"/>
        <v>0</v>
      </c>
      <c r="DW34" s="129"/>
      <c r="EB34" s="130"/>
    </row>
    <row r="35" spans="2:132" ht="12.95" customHeight="1">
      <c r="B35" s="1">
        <f>IF(C35="",0,COUNTIFS($B$22:B34,"&gt;"&amp;0)+1)</f>
        <v>14</v>
      </c>
      <c r="C35" s="85" t="s">
        <v>97</v>
      </c>
      <c r="D35" s="86" t="str">
        <f>IFERROR(IF($C35="","",VLOOKUP($C35,'[1]Paramètres Articles'!$B:$G,2,FALSE)),"Non Trouvé")</f>
        <v>Panneau vitrine Régénérants 2026</v>
      </c>
      <c r="E35" s="87">
        <f>IFERROR(IF($C35="","",_xlfn.XLOOKUP(REGENERANTS!$C35,'[1]New Base PA'!$F:$F,'[1]New Base PA'!$D:$D,"Not Found",0)),"Non Trouvé")</f>
        <v>0</v>
      </c>
      <c r="F35" s="88" t="s">
        <v>98</v>
      </c>
      <c r="H35" s="89">
        <v>1</v>
      </c>
      <c r="J35" s="90">
        <f>IFERROR(IF($C35="","",VLOOKUP($C35,'[1]New Base PA'!$F:$J,5,FALSE)),"Non Trouvé")</f>
        <v>20.079999999999998</v>
      </c>
      <c r="K35" s="131">
        <f t="shared" si="0"/>
        <v>20.079999999999998</v>
      </c>
      <c r="L35" s="132"/>
      <c r="M35" s="131">
        <f>IFERROR(IF(AND($F35="Produit Vente",H35&gt;0),VLOOKUP($C35,'[1]Paramètres Articles'!$B:$G,6,FALSE),0),"Non Trouvé")</f>
        <v>0</v>
      </c>
      <c r="N35" s="131">
        <f t="shared" si="1"/>
        <v>0</v>
      </c>
      <c r="P35" s="92"/>
      <c r="R35" s="90">
        <f t="shared" si="2"/>
        <v>0</v>
      </c>
      <c r="S35" s="91"/>
      <c r="T35" s="90">
        <f>IFERROR(IF($C35="","",VLOOKUP($C35,'[1]Paramètres Articles'!$B:$H,7,FALSE)),"Non Trouvé")</f>
        <v>0</v>
      </c>
      <c r="U35" s="93"/>
      <c r="V35" s="90" t="str">
        <f t="shared" si="4"/>
        <v/>
      </c>
      <c r="W35" s="91"/>
      <c r="X35" s="90" t="str">
        <f t="shared" si="5"/>
        <v/>
      </c>
      <c r="Y35" s="91"/>
      <c r="Z35" s="90">
        <f t="shared" si="6"/>
        <v>0</v>
      </c>
      <c r="AB35" s="94">
        <f t="shared" si="20"/>
        <v>33</v>
      </c>
      <c r="AC35" s="94">
        <f t="shared" si="20"/>
        <v>0.17</v>
      </c>
      <c r="AD35" s="90">
        <f t="shared" si="7"/>
        <v>0</v>
      </c>
      <c r="AG35" s="94">
        <f t="shared" si="21"/>
        <v>13</v>
      </c>
      <c r="AH35" s="94">
        <f t="shared" si="21"/>
        <v>0.13</v>
      </c>
      <c r="AI35" s="90">
        <f t="shared" si="8"/>
        <v>0</v>
      </c>
      <c r="AL35" s="94">
        <f t="shared" si="22"/>
        <v>0</v>
      </c>
      <c r="AM35" s="94">
        <f t="shared" si="22"/>
        <v>0.08</v>
      </c>
      <c r="AN35" s="90">
        <f t="shared" si="9"/>
        <v>0</v>
      </c>
      <c r="AQ35" s="94">
        <f t="shared" si="23"/>
        <v>0</v>
      </c>
      <c r="AR35" s="94">
        <f t="shared" si="23"/>
        <v>0.05</v>
      </c>
      <c r="AS35" s="90">
        <f t="shared" si="10"/>
        <v>0</v>
      </c>
      <c r="AV35" s="94">
        <f t="shared" si="24"/>
        <v>12</v>
      </c>
      <c r="AW35" s="94">
        <f t="shared" si="24"/>
        <v>0.32500000000000001</v>
      </c>
      <c r="AX35" s="90">
        <f t="shared" si="11"/>
        <v>0</v>
      </c>
      <c r="BA35" s="94">
        <f t="shared" si="25"/>
        <v>7</v>
      </c>
      <c r="BB35" s="94">
        <f t="shared" si="25"/>
        <v>0.29499999999999998</v>
      </c>
      <c r="BC35" s="90">
        <f t="shared" si="12"/>
        <v>0</v>
      </c>
      <c r="BF35" s="94">
        <f t="shared" si="26"/>
        <v>0</v>
      </c>
      <c r="BG35" s="94">
        <f t="shared" si="26"/>
        <v>0.27500000000000002</v>
      </c>
      <c r="BH35" s="90">
        <f t="shared" si="13"/>
        <v>0</v>
      </c>
      <c r="BK35" s="94">
        <f t="shared" si="27"/>
        <v>0</v>
      </c>
      <c r="BL35" s="94">
        <f t="shared" si="27"/>
        <v>0.245</v>
      </c>
      <c r="BM35" s="90">
        <f t="shared" si="14"/>
        <v>0</v>
      </c>
      <c r="BP35" s="94">
        <f t="shared" si="28"/>
        <v>0</v>
      </c>
      <c r="BQ35" s="94">
        <f t="shared" si="28"/>
        <v>0.22500000000000001</v>
      </c>
      <c r="BR35" s="90">
        <f t="shared" si="15"/>
        <v>0</v>
      </c>
      <c r="BU35" s="94">
        <f t="shared" si="29"/>
        <v>0</v>
      </c>
      <c r="BV35" s="94">
        <f t="shared" si="29"/>
        <v>0.17499999999999999</v>
      </c>
      <c r="BW35" s="90">
        <f t="shared" si="16"/>
        <v>0</v>
      </c>
      <c r="BZ35" s="94">
        <f t="shared" si="30"/>
        <v>0</v>
      </c>
      <c r="CA35" s="94">
        <f t="shared" si="30"/>
        <v>0.15</v>
      </c>
      <c r="CB35" s="90">
        <f t="shared" si="17"/>
        <v>0</v>
      </c>
      <c r="CE35" s="95"/>
      <c r="CF35" s="96"/>
      <c r="CG35" s="97" t="s">
        <v>0</v>
      </c>
      <c r="CH35" s="133">
        <f>SUMIFS($AB20:$AT20,$AB17:$AT17,CG35)+SUMIFS($BZ20:$CC20,$BZ17:$CC17,CG35)</f>
        <v>46</v>
      </c>
      <c r="CI35" s="98"/>
      <c r="CK35" s="99">
        <f>IFERROR(IF(F35='[1]Paramètres Généraux'!$K$12,ROUNDUP((REGENERANTS!H35*REGENERANTS!$CF$20)*'[1]Paramètres Généraux'!$M$12,-1),IF(F35='[1]Paramètres Généraux'!$K$15,ROUNDUP((REGENERANTS!H35*REGENERANTS!$CF$20)*'[1]Paramètres Généraux'!$M$15,-1),REGENERANTS!H35*REGENERANTS!$CF$20)),"nd")</f>
        <v>30</v>
      </c>
      <c r="CN35" s="100"/>
      <c r="CO35" s="101"/>
      <c r="CP35" s="101"/>
      <c r="CQ35" s="101"/>
      <c r="CR35" s="101"/>
      <c r="CS35" s="102">
        <v>1</v>
      </c>
      <c r="CT35" s="101"/>
      <c r="CU35" s="101"/>
      <c r="CV35" s="103"/>
      <c r="CW35" s="104"/>
      <c r="CX35" s="105"/>
      <c r="CY35" s="106"/>
      <c r="CZ35" s="104"/>
      <c r="DA35" s="107"/>
      <c r="DB35" s="108"/>
      <c r="DC35" s="104"/>
      <c r="DD35" s="109"/>
      <c r="DE35" s="108"/>
      <c r="DF35" s="104"/>
      <c r="DG35" s="104"/>
      <c r="DH35" s="104"/>
      <c r="DI35" s="104"/>
      <c r="DJ35" s="104"/>
      <c r="DK35" s="104"/>
      <c r="DL35" s="104"/>
      <c r="DM35" s="104"/>
      <c r="DN35" s="104"/>
      <c r="DO35" s="107"/>
      <c r="DP35" s="106"/>
      <c r="DQ35" s="20">
        <f t="shared" si="18"/>
        <v>1</v>
      </c>
      <c r="DR35" s="20">
        <f t="shared" si="3"/>
        <v>0</v>
      </c>
      <c r="DS35" s="20">
        <f>IFERROR((IF(AND($F35="Produit Vente",CO35&gt;0),VLOOKUP($C35,'[1]Paramètres Articles'!$B:$H,7,FALSE)*$CO35)*(1-20%)),0)</f>
        <v>0</v>
      </c>
      <c r="DT35" s="20">
        <f>IFERROR((IF(AND($F35="Produit Vente",DR35&gt;0),VLOOKUP($C35,'[1]Paramètres Articles'!$B:$H,6,FALSE)*$DR35)*(1-15%)),0)</f>
        <v>0</v>
      </c>
      <c r="DU35" s="20">
        <f t="shared" si="19"/>
        <v>20.079999999999998</v>
      </c>
      <c r="DW35" s="129"/>
      <c r="EB35" s="130"/>
    </row>
    <row r="36" spans="2:132" ht="12.95" customHeight="1">
      <c r="B36" s="1">
        <f>IF(C36="",0,COUNTIFS($B$22:B35,"&gt;"&amp;0)+1)</f>
        <v>15</v>
      </c>
      <c r="C36" s="85" t="s">
        <v>99</v>
      </c>
      <c r="D36" s="86" t="str">
        <f>IFERROR(IF($C36="","",VLOOKUP($C36,'[1]Paramètres Articles'!$B:$G,2,FALSE)),"Non Trouvé")</f>
        <v>Présentoir Régénérants 2026</v>
      </c>
      <c r="E36" s="87">
        <f>IFERROR(IF($C36="","",_xlfn.XLOOKUP(REGENERANTS!$C36,'[1]New Base PA'!$F:$F,'[1]New Base PA'!$D:$D,"Not Found",0)),"Non Trouvé")</f>
        <v>0</v>
      </c>
      <c r="F36" s="88" t="s">
        <v>100</v>
      </c>
      <c r="H36" s="89">
        <v>1</v>
      </c>
      <c r="J36" s="90">
        <f>IFERROR(IF($C36="","",VLOOKUP($C36,'[1]New Base PA'!$F:$J,5,FALSE)),"Non Trouvé")</f>
        <v>13.92</v>
      </c>
      <c r="K36" s="131">
        <f t="shared" si="0"/>
        <v>13.92</v>
      </c>
      <c r="L36" s="132"/>
      <c r="M36" s="131">
        <f>IFERROR(IF(AND($F36="Produit Vente",H36&gt;0),VLOOKUP($C36,'[1]Paramètres Articles'!$B:$G,6,FALSE),0),"Non Trouvé")</f>
        <v>0</v>
      </c>
      <c r="N36" s="131">
        <f t="shared" si="1"/>
        <v>0</v>
      </c>
      <c r="P36" s="92"/>
      <c r="R36" s="90">
        <f t="shared" si="2"/>
        <v>0</v>
      </c>
      <c r="S36" s="91"/>
      <c r="T36" s="90">
        <f>IFERROR(IF($C36="","",VLOOKUP($C36,'[1]Paramètres Articles'!$B:$H,7,FALSE)),"Non Trouvé")</f>
        <v>0</v>
      </c>
      <c r="U36" s="93"/>
      <c r="V36" s="90" t="str">
        <f t="shared" si="4"/>
        <v/>
      </c>
      <c r="W36" s="91"/>
      <c r="X36" s="90" t="str">
        <f t="shared" si="5"/>
        <v/>
      </c>
      <c r="Y36" s="91"/>
      <c r="Z36" s="90">
        <f t="shared" si="6"/>
        <v>0</v>
      </c>
      <c r="AB36" s="94">
        <f t="shared" si="20"/>
        <v>33</v>
      </c>
      <c r="AC36" s="94">
        <f t="shared" si="20"/>
        <v>0.17</v>
      </c>
      <c r="AD36" s="90">
        <f t="shared" si="7"/>
        <v>0</v>
      </c>
      <c r="AG36" s="94">
        <f t="shared" si="21"/>
        <v>13</v>
      </c>
      <c r="AH36" s="94">
        <f t="shared" si="21"/>
        <v>0.13</v>
      </c>
      <c r="AI36" s="90">
        <f t="shared" si="8"/>
        <v>0</v>
      </c>
      <c r="AL36" s="94">
        <f t="shared" si="22"/>
        <v>0</v>
      </c>
      <c r="AM36" s="94">
        <f t="shared" si="22"/>
        <v>0.08</v>
      </c>
      <c r="AN36" s="90">
        <f t="shared" si="9"/>
        <v>0</v>
      </c>
      <c r="AQ36" s="94">
        <f t="shared" si="23"/>
        <v>0</v>
      </c>
      <c r="AR36" s="94">
        <f t="shared" si="23"/>
        <v>0.05</v>
      </c>
      <c r="AS36" s="90">
        <f t="shared" si="10"/>
        <v>0</v>
      </c>
      <c r="AV36" s="94">
        <f t="shared" si="24"/>
        <v>12</v>
      </c>
      <c r="AW36" s="94">
        <f t="shared" si="24"/>
        <v>0.32500000000000001</v>
      </c>
      <c r="AX36" s="90">
        <f t="shared" si="11"/>
        <v>0</v>
      </c>
      <c r="BA36" s="94">
        <f t="shared" si="25"/>
        <v>7</v>
      </c>
      <c r="BB36" s="94">
        <f t="shared" si="25"/>
        <v>0.29499999999999998</v>
      </c>
      <c r="BC36" s="90">
        <f t="shared" si="12"/>
        <v>0</v>
      </c>
      <c r="BF36" s="94">
        <f t="shared" si="26"/>
        <v>0</v>
      </c>
      <c r="BG36" s="94">
        <f t="shared" si="26"/>
        <v>0.27500000000000002</v>
      </c>
      <c r="BH36" s="90">
        <f t="shared" si="13"/>
        <v>0</v>
      </c>
      <c r="BK36" s="94">
        <f t="shared" si="27"/>
        <v>0</v>
      </c>
      <c r="BL36" s="94">
        <f t="shared" si="27"/>
        <v>0.245</v>
      </c>
      <c r="BM36" s="90">
        <f t="shared" si="14"/>
        <v>0</v>
      </c>
      <c r="BP36" s="94">
        <f t="shared" si="28"/>
        <v>0</v>
      </c>
      <c r="BQ36" s="94">
        <f t="shared" si="28"/>
        <v>0.22500000000000001</v>
      </c>
      <c r="BR36" s="90">
        <f t="shared" si="15"/>
        <v>0</v>
      </c>
      <c r="BU36" s="94">
        <f t="shared" si="29"/>
        <v>0</v>
      </c>
      <c r="BV36" s="94">
        <f t="shared" si="29"/>
        <v>0.17499999999999999</v>
      </c>
      <c r="BW36" s="90">
        <f t="shared" si="16"/>
        <v>0</v>
      </c>
      <c r="BZ36" s="94">
        <f t="shared" si="30"/>
        <v>0</v>
      </c>
      <c r="CA36" s="94">
        <f t="shared" si="30"/>
        <v>0.15</v>
      </c>
      <c r="CB36" s="90">
        <f t="shared" si="17"/>
        <v>0</v>
      </c>
      <c r="CE36" s="95"/>
      <c r="CF36" s="96"/>
      <c r="CG36" s="97" t="s">
        <v>1</v>
      </c>
      <c r="CH36" s="134">
        <f>SUMIFS($AB20:$AT20,$AB17:$AT17,CG36)+SUMIFS($BZ20:$CC20,$BZ17:$CC17,CG36)</f>
        <v>63251.84532180411</v>
      </c>
      <c r="CI36" s="98"/>
      <c r="CK36" s="99">
        <f>IFERROR(IF(F36='[1]Paramètres Généraux'!$K$12,ROUNDUP((REGENERANTS!H36*REGENERANTS!$CF$20)*'[1]Paramètres Généraux'!$M$12,-1),IF(F36='[1]Paramètres Généraux'!$K$15,ROUNDUP((REGENERANTS!H36*REGENERANTS!$CF$20)*'[1]Paramètres Généraux'!$M$15,-1),REGENERANTS!H36*REGENERANTS!$CF$20)),"nd")</f>
        <v>50</v>
      </c>
      <c r="CN36" s="100"/>
      <c r="CO36" s="101"/>
      <c r="CP36" s="101"/>
      <c r="CQ36" s="101"/>
      <c r="CR36" s="101"/>
      <c r="CS36" s="102">
        <v>1</v>
      </c>
      <c r="CT36" s="101"/>
      <c r="CU36" s="101"/>
      <c r="CV36" s="103"/>
      <c r="CW36" s="104"/>
      <c r="CX36" s="105">
        <v>15</v>
      </c>
      <c r="CY36" s="106"/>
      <c r="CZ36" s="104"/>
      <c r="DA36" s="107"/>
      <c r="DB36" s="108"/>
      <c r="DC36" s="104"/>
      <c r="DD36" s="109"/>
      <c r="DE36" s="108"/>
      <c r="DF36" s="104"/>
      <c r="DG36" s="104"/>
      <c r="DH36" s="104"/>
      <c r="DI36" s="104"/>
      <c r="DJ36" s="104"/>
      <c r="DK36" s="104"/>
      <c r="DL36" s="104"/>
      <c r="DM36" s="104"/>
      <c r="DN36" s="104"/>
      <c r="DO36" s="107"/>
      <c r="DP36" s="106"/>
      <c r="DQ36" s="20">
        <f t="shared" si="18"/>
        <v>16</v>
      </c>
      <c r="DR36" s="20">
        <f t="shared" si="3"/>
        <v>15</v>
      </c>
      <c r="DS36" s="20">
        <f>IFERROR((IF(AND($F36="Produit Vente",CO36&gt;0),VLOOKUP($C36,'[1]Paramètres Articles'!$B:$H,7,FALSE)*$CO36)*(1-20%)),0)</f>
        <v>0</v>
      </c>
      <c r="DT36" s="20">
        <f>IFERROR((IF(AND($F36="Produit Vente",DR36&gt;0),VLOOKUP($C36,'[1]Paramètres Articles'!$B:$H,6,FALSE)*$DR36)*(1-15%)),0)</f>
        <v>0</v>
      </c>
      <c r="DU36" s="20">
        <f t="shared" si="19"/>
        <v>222.72</v>
      </c>
      <c r="DW36" s="129"/>
      <c r="DX36" s="256" t="s">
        <v>101</v>
      </c>
      <c r="DY36" s="256"/>
      <c r="DZ36" s="256"/>
      <c r="EA36" s="258" t="s">
        <v>102</v>
      </c>
      <c r="EB36" s="130"/>
    </row>
    <row r="37" spans="2:132" ht="12.95" customHeight="1">
      <c r="B37" s="1">
        <f>IF(C37="",0,COUNTIFS($B$22:B36,"&gt;"&amp;0)+1)</f>
        <v>16</v>
      </c>
      <c r="C37" s="85">
        <v>3020202</v>
      </c>
      <c r="D37" s="86" t="str">
        <f>IFERROR(IF($C37="","",VLOOKUP($C37,'[1]Paramètres Articles'!$B:$G,2,FALSE)),"Non Trouvé")</f>
        <v>Testeur - Sérum Jour / Nuit - Régénérant 30ml - 15% comprise</v>
      </c>
      <c r="E37" s="87">
        <f>IFERROR(IF($C37="","",_xlfn.XLOOKUP(REGENERANTS!$C37,'[1]New Base PA'!$F:$F,'[1]New Base PA'!$D:$D,"Not Found",0)),"Non Trouvé")</f>
        <v>4020829103146</v>
      </c>
      <c r="F37" s="88" t="s">
        <v>96</v>
      </c>
      <c r="H37" s="89">
        <v>1</v>
      </c>
      <c r="J37" s="90">
        <f>IFERROR(IF($C37="","",VLOOKUP($C37,'[1]New Base PA'!$F:$J,5,FALSE)),"Non Trouvé")</f>
        <v>11.62</v>
      </c>
      <c r="K37" s="131">
        <f t="shared" si="0"/>
        <v>11.62</v>
      </c>
      <c r="L37" s="132"/>
      <c r="M37" s="131">
        <f>IFERROR(IF(AND($F37="Produit Vente",H37&gt;0),VLOOKUP($C37,'[1]Paramètres Articles'!$B:$G,6,FALSE),0),"Non Trouvé")</f>
        <v>0</v>
      </c>
      <c r="N37" s="131">
        <f t="shared" si="1"/>
        <v>0</v>
      </c>
      <c r="P37" s="92"/>
      <c r="R37" s="90">
        <f t="shared" si="2"/>
        <v>0</v>
      </c>
      <c r="S37" s="91"/>
      <c r="T37" s="90" t="str">
        <f>IFERROR(IF($C37="","",VLOOKUP($C37,'[1]Paramètres Articles'!$B:$H,7,FALSE)),"Non Trouvé")</f>
        <v>Non Trouvé</v>
      </c>
      <c r="U37" s="93"/>
      <c r="V37" s="90" t="str">
        <f t="shared" si="4"/>
        <v/>
      </c>
      <c r="W37" s="91"/>
      <c r="X37" s="90" t="str">
        <f t="shared" si="5"/>
        <v/>
      </c>
      <c r="Y37" s="91"/>
      <c r="Z37" s="90" t="str">
        <f t="shared" si="6"/>
        <v>Non Trouvé</v>
      </c>
      <c r="AB37" s="94">
        <f t="shared" si="20"/>
        <v>33</v>
      </c>
      <c r="AC37" s="94">
        <f t="shared" si="20"/>
        <v>0.17</v>
      </c>
      <c r="AD37" s="90">
        <f t="shared" si="7"/>
        <v>0</v>
      </c>
      <c r="AG37" s="94">
        <f t="shared" si="21"/>
        <v>13</v>
      </c>
      <c r="AH37" s="94">
        <f t="shared" si="21"/>
        <v>0.13</v>
      </c>
      <c r="AI37" s="90">
        <f t="shared" si="8"/>
        <v>0</v>
      </c>
      <c r="AL37" s="94">
        <f t="shared" si="22"/>
        <v>0</v>
      </c>
      <c r="AM37" s="94">
        <f t="shared" si="22"/>
        <v>0.08</v>
      </c>
      <c r="AN37" s="90">
        <f t="shared" si="9"/>
        <v>0</v>
      </c>
      <c r="AQ37" s="94">
        <f t="shared" si="23"/>
        <v>0</v>
      </c>
      <c r="AR37" s="94">
        <f t="shared" si="23"/>
        <v>0.05</v>
      </c>
      <c r="AS37" s="90">
        <f t="shared" si="10"/>
        <v>0</v>
      </c>
      <c r="AV37" s="94">
        <f t="shared" si="24"/>
        <v>12</v>
      </c>
      <c r="AW37" s="94">
        <f t="shared" si="24"/>
        <v>0.32500000000000001</v>
      </c>
      <c r="AX37" s="90">
        <f t="shared" si="11"/>
        <v>0</v>
      </c>
      <c r="BA37" s="94">
        <f t="shared" si="25"/>
        <v>7</v>
      </c>
      <c r="BB37" s="94">
        <f t="shared" si="25"/>
        <v>0.29499999999999998</v>
      </c>
      <c r="BC37" s="90">
        <f t="shared" si="12"/>
        <v>0</v>
      </c>
      <c r="BF37" s="94">
        <f t="shared" si="26"/>
        <v>0</v>
      </c>
      <c r="BG37" s="94">
        <f t="shared" si="26"/>
        <v>0.27500000000000002</v>
      </c>
      <c r="BH37" s="90">
        <f t="shared" si="13"/>
        <v>0</v>
      </c>
      <c r="BK37" s="94">
        <f t="shared" si="27"/>
        <v>0</v>
      </c>
      <c r="BL37" s="94">
        <f t="shared" si="27"/>
        <v>0.245</v>
      </c>
      <c r="BM37" s="90">
        <f t="shared" si="14"/>
        <v>0</v>
      </c>
      <c r="BP37" s="94">
        <f t="shared" si="28"/>
        <v>0</v>
      </c>
      <c r="BQ37" s="94">
        <f t="shared" si="28"/>
        <v>0.22500000000000001</v>
      </c>
      <c r="BR37" s="90">
        <f t="shared" si="15"/>
        <v>0</v>
      </c>
      <c r="BU37" s="94">
        <f t="shared" si="29"/>
        <v>0</v>
      </c>
      <c r="BV37" s="94">
        <f t="shared" si="29"/>
        <v>0.17499999999999999</v>
      </c>
      <c r="BW37" s="90">
        <f t="shared" si="16"/>
        <v>0</v>
      </c>
      <c r="BZ37" s="94">
        <f t="shared" si="30"/>
        <v>0</v>
      </c>
      <c r="CA37" s="94">
        <f t="shared" si="30"/>
        <v>0.15</v>
      </c>
      <c r="CB37" s="90">
        <f t="shared" si="17"/>
        <v>0</v>
      </c>
      <c r="CE37" s="95"/>
      <c r="CF37" s="96"/>
      <c r="CG37" s="97" t="s">
        <v>2</v>
      </c>
      <c r="CH37" s="135">
        <f>IFERROR((CH36-$K20*CH35)/CH36,"Non Trouvé")</f>
        <v>0.37621383535511027</v>
      </c>
      <c r="CI37" s="98"/>
      <c r="CK37" s="99">
        <f>IFERROR(IF(F37='[1]Paramètres Généraux'!$K$12,ROUNDUP((REGENERANTS!H37*REGENERANTS!$CF$20)*'[1]Paramètres Généraux'!$M$12,-1),IF(F37='[1]Paramètres Généraux'!$K$15,ROUNDUP((REGENERANTS!H37*REGENERANTS!$CF$20)*'[1]Paramètres Généraux'!$M$15,-1),REGENERANTS!H37*REGENERANTS!$CF$20)),"nd")</f>
        <v>65</v>
      </c>
      <c r="CN37" s="100"/>
      <c r="CO37" s="101"/>
      <c r="CP37" s="101"/>
      <c r="CQ37" s="101"/>
      <c r="CR37" s="101"/>
      <c r="CS37" s="102"/>
      <c r="CT37" s="101"/>
      <c r="CU37" s="101"/>
      <c r="CV37" s="103"/>
      <c r="CW37" s="136"/>
      <c r="CX37" s="137"/>
      <c r="CY37" s="106"/>
      <c r="CZ37" s="104"/>
      <c r="DA37" s="107"/>
      <c r="DB37" s="138"/>
      <c r="DC37" s="136"/>
      <c r="DD37" s="139"/>
      <c r="DE37" s="138"/>
      <c r="DF37" s="104"/>
      <c r="DG37" s="104"/>
      <c r="DH37" s="104"/>
      <c r="DI37" s="104"/>
      <c r="DJ37" s="104"/>
      <c r="DK37" s="104"/>
      <c r="DL37" s="104"/>
      <c r="DM37" s="104"/>
      <c r="DN37" s="104"/>
      <c r="DO37" s="107"/>
      <c r="DP37" s="106"/>
      <c r="DQ37" s="20">
        <f t="shared" si="18"/>
        <v>0</v>
      </c>
      <c r="DR37" s="20">
        <f t="shared" si="3"/>
        <v>0</v>
      </c>
      <c r="DS37" s="20">
        <f>IFERROR((IF(AND($F37="Produit Vente",CO37&gt;0),VLOOKUP($C37,'[1]Paramètres Articles'!$B:$H,7,FALSE)*$CO37)*(1-20%)),0)</f>
        <v>0</v>
      </c>
      <c r="DT37" s="20">
        <f>IFERROR((IF(AND($F37="Produit Vente",DR37&gt;0),VLOOKUP($C37,'[1]Paramètres Articles'!$B:$H,6,FALSE)*$DR37)*(1-15%)),0)</f>
        <v>0</v>
      </c>
      <c r="DU37" s="20">
        <f t="shared" si="19"/>
        <v>0</v>
      </c>
      <c r="DW37" s="140"/>
      <c r="DX37" s="257"/>
      <c r="DY37" s="257"/>
      <c r="DZ37" s="257"/>
      <c r="EA37" s="259"/>
      <c r="EB37" s="141"/>
    </row>
    <row r="38" spans="2:132" ht="12.95" customHeight="1">
      <c r="B38" s="1">
        <f>IF(C38="",0,COUNTIFS($B$22:B37,"&gt;"&amp;0)+1)</f>
        <v>17</v>
      </c>
      <c r="C38" s="85">
        <v>3020301</v>
      </c>
      <c r="D38" s="86" t="str">
        <f>IFERROR(IF($C38="","",VLOOKUP($C38,'[1]Paramètres Articles'!$B:$G,2,FALSE)),"Non Trouvé")</f>
        <v>Testeur - Crème de Jour Régénérante 40 ml - 15% comprise</v>
      </c>
      <c r="E38" s="87">
        <f>IFERROR(IF($C38="","",_xlfn.XLOOKUP(REGENERANTS!$C38,'[1]New Base PA'!$F:$F,'[1]New Base PA'!$D:$D,"Not Found",0)),"Non Trouvé")</f>
        <v>4020829007123</v>
      </c>
      <c r="F38" s="88" t="s">
        <v>96</v>
      </c>
      <c r="H38" s="89">
        <v>1</v>
      </c>
      <c r="J38" s="90">
        <f>IFERROR(IF($C38="","",VLOOKUP($C38,'[1]New Base PA'!$F:$J,5,FALSE)),"Non Trouvé")</f>
        <v>10.85</v>
      </c>
      <c r="K38" s="131">
        <f t="shared" si="0"/>
        <v>10.85</v>
      </c>
      <c r="L38" s="132"/>
      <c r="M38" s="131">
        <f>IFERROR(IF(AND($F38="Produit Vente",H38&gt;0),VLOOKUP($C38,'[1]Paramètres Articles'!$B:$G,6,FALSE),0),"Non Trouvé")</f>
        <v>0</v>
      </c>
      <c r="N38" s="131">
        <f t="shared" si="1"/>
        <v>0</v>
      </c>
      <c r="P38" s="92"/>
      <c r="R38" s="90">
        <f t="shared" si="2"/>
        <v>0</v>
      </c>
      <c r="S38" s="91"/>
      <c r="T38" s="90" t="str">
        <f>IFERROR(IF($C38="","",VLOOKUP($C38,'[1]Paramètres Articles'!$B:$H,7,FALSE)),"Non Trouvé")</f>
        <v>Non Trouvé</v>
      </c>
      <c r="U38" s="93"/>
      <c r="V38" s="90" t="str">
        <f t="shared" si="4"/>
        <v/>
      </c>
      <c r="W38" s="91"/>
      <c r="X38" s="90" t="str">
        <f t="shared" si="5"/>
        <v/>
      </c>
      <c r="Y38" s="91"/>
      <c r="Z38" s="90" t="str">
        <f t="shared" si="6"/>
        <v>Non Trouvé</v>
      </c>
      <c r="AB38" s="94">
        <f t="shared" si="20"/>
        <v>33</v>
      </c>
      <c r="AC38" s="94">
        <f t="shared" si="20"/>
        <v>0.17</v>
      </c>
      <c r="AD38" s="90">
        <f t="shared" si="7"/>
        <v>0</v>
      </c>
      <c r="AG38" s="94">
        <f t="shared" si="21"/>
        <v>13</v>
      </c>
      <c r="AH38" s="94">
        <f t="shared" si="21"/>
        <v>0.13</v>
      </c>
      <c r="AI38" s="90">
        <f t="shared" si="8"/>
        <v>0</v>
      </c>
      <c r="AL38" s="94">
        <f t="shared" si="22"/>
        <v>0</v>
      </c>
      <c r="AM38" s="94">
        <f t="shared" si="22"/>
        <v>0.08</v>
      </c>
      <c r="AN38" s="90">
        <f t="shared" si="9"/>
        <v>0</v>
      </c>
      <c r="AQ38" s="94">
        <f t="shared" si="23"/>
        <v>0</v>
      </c>
      <c r="AR38" s="94">
        <f t="shared" si="23"/>
        <v>0.05</v>
      </c>
      <c r="AS38" s="90">
        <f t="shared" si="10"/>
        <v>0</v>
      </c>
      <c r="AV38" s="94">
        <f t="shared" si="24"/>
        <v>12</v>
      </c>
      <c r="AW38" s="94">
        <f t="shared" si="24"/>
        <v>0.32500000000000001</v>
      </c>
      <c r="AX38" s="90">
        <f t="shared" si="11"/>
        <v>0</v>
      </c>
      <c r="BA38" s="94">
        <f t="shared" si="25"/>
        <v>7</v>
      </c>
      <c r="BB38" s="94">
        <f t="shared" si="25"/>
        <v>0.29499999999999998</v>
      </c>
      <c r="BC38" s="90">
        <f t="shared" si="12"/>
        <v>0</v>
      </c>
      <c r="BF38" s="94">
        <f t="shared" si="26"/>
        <v>0</v>
      </c>
      <c r="BG38" s="94">
        <f t="shared" si="26"/>
        <v>0.27500000000000002</v>
      </c>
      <c r="BH38" s="90">
        <f t="shared" si="13"/>
        <v>0</v>
      </c>
      <c r="BK38" s="94">
        <f t="shared" si="27"/>
        <v>0</v>
      </c>
      <c r="BL38" s="94">
        <f t="shared" si="27"/>
        <v>0.245</v>
      </c>
      <c r="BM38" s="90">
        <f t="shared" si="14"/>
        <v>0</v>
      </c>
      <c r="BP38" s="94">
        <f t="shared" si="28"/>
        <v>0</v>
      </c>
      <c r="BQ38" s="94">
        <f t="shared" si="28"/>
        <v>0.22500000000000001</v>
      </c>
      <c r="BR38" s="90">
        <f t="shared" si="15"/>
        <v>0</v>
      </c>
      <c r="BU38" s="94">
        <f t="shared" si="29"/>
        <v>0</v>
      </c>
      <c r="BV38" s="94">
        <f t="shared" si="29"/>
        <v>0.17499999999999999</v>
      </c>
      <c r="BW38" s="90">
        <f t="shared" si="16"/>
        <v>0</v>
      </c>
      <c r="BZ38" s="94">
        <f t="shared" si="30"/>
        <v>0</v>
      </c>
      <c r="CA38" s="94">
        <f t="shared" si="30"/>
        <v>0.15</v>
      </c>
      <c r="CB38" s="90">
        <f t="shared" si="17"/>
        <v>0</v>
      </c>
      <c r="CE38" s="95"/>
      <c r="CF38" s="96"/>
      <c r="CG38" s="97" t="s">
        <v>103</v>
      </c>
      <c r="CH38" s="134">
        <f>IFERROR(CH36*CH37,0)</f>
        <v>23796.219321804114</v>
      </c>
      <c r="CI38" s="98"/>
      <c r="CK38" s="99">
        <f>IFERROR(IF(F38='[1]Paramètres Généraux'!$K$12,ROUNDUP((REGENERANTS!H38*REGENERANTS!$CF$20)*'[1]Paramètres Généraux'!$M$12,-1),IF(F38='[1]Paramètres Généraux'!$K$15,ROUNDUP((REGENERANTS!H38*REGENERANTS!$CF$20)*'[1]Paramètres Généraux'!$M$15,-1),REGENERANTS!H38*REGENERANTS!$CF$20)),"nd")</f>
        <v>65</v>
      </c>
      <c r="CN38" s="100"/>
      <c r="CO38" s="101"/>
      <c r="CP38" s="101"/>
      <c r="CQ38" s="101"/>
      <c r="CR38" s="101"/>
      <c r="CS38" s="102"/>
      <c r="CT38" s="101"/>
      <c r="CU38" s="101"/>
      <c r="CV38" s="103"/>
      <c r="CW38" s="104"/>
      <c r="CX38" s="105"/>
      <c r="CY38" s="106"/>
      <c r="CZ38" s="104"/>
      <c r="DA38" s="107"/>
      <c r="DB38" s="108"/>
      <c r="DC38" s="104"/>
      <c r="DD38" s="109"/>
      <c r="DE38" s="108"/>
      <c r="DF38" s="104"/>
      <c r="DG38" s="104"/>
      <c r="DH38" s="104"/>
      <c r="DI38" s="104"/>
      <c r="DJ38" s="104"/>
      <c r="DK38" s="104"/>
      <c r="DL38" s="104"/>
      <c r="DM38" s="104"/>
      <c r="DN38" s="104"/>
      <c r="DO38" s="107"/>
      <c r="DP38" s="106"/>
      <c r="DQ38" s="20">
        <f t="shared" si="18"/>
        <v>0</v>
      </c>
      <c r="DR38" s="20">
        <f t="shared" si="3"/>
        <v>0</v>
      </c>
      <c r="DS38" s="20">
        <f>IFERROR((IF(AND($F38="Produit Vente",CO38&gt;0),VLOOKUP($C38,'[1]Paramètres Articles'!$B:$H,7,FALSE)*$CO38)*(1-20%)),0)</f>
        <v>0</v>
      </c>
      <c r="DT38" s="20">
        <f>IFERROR((IF(AND($F38="Produit Vente",DR38&gt;0),VLOOKUP($C38,'[1]Paramètres Articles'!$B:$H,6,FALSE)*$DR38)*(1-15%)),0)</f>
        <v>0</v>
      </c>
      <c r="DU38" s="20">
        <f t="shared" si="19"/>
        <v>0</v>
      </c>
      <c r="DW38" s="129"/>
      <c r="EB38" s="130"/>
    </row>
    <row r="39" spans="2:132" ht="12.95" customHeight="1">
      <c r="B39" s="1">
        <f>IF(C39="",0,COUNTIFS($B$22:B38,"&gt;"&amp;0)+1)</f>
        <v>18</v>
      </c>
      <c r="C39" s="85">
        <v>3020720</v>
      </c>
      <c r="D39" s="86" t="str">
        <f>IFERROR(IF($C39="","",VLOOKUP($C39,'[1]Paramètres Articles'!$B:$G,2,FALSE)),"Non Trouvé")</f>
        <v>Testeur - Crème de Jour - Régénérant Intensif - 40ml - 15 % comprise</v>
      </c>
      <c r="E39" s="87">
        <f>IFERROR(IF($C39="","",_xlfn.XLOOKUP(REGENERANTS!$C39,'[1]New Base PA'!$F:$F,'[1]New Base PA'!$D:$D,"Not Found",0)),"Non Trouvé")</f>
        <v>4020829103207</v>
      </c>
      <c r="F39" s="88" t="s">
        <v>96</v>
      </c>
      <c r="H39" s="89">
        <v>1</v>
      </c>
      <c r="J39" s="90">
        <f>IFERROR(IF($C39="","",VLOOKUP($C39,'[1]New Base PA'!$F:$J,5,FALSE)),"Non Trouvé")</f>
        <v>12.59</v>
      </c>
      <c r="K39" s="131">
        <f t="shared" si="0"/>
        <v>12.59</v>
      </c>
      <c r="L39" s="132"/>
      <c r="M39" s="131">
        <f>IFERROR(IF(AND($F39="Produit Vente",H39&gt;0),VLOOKUP($C39,'[1]Paramètres Articles'!$B:$G,6,FALSE),0),"Non Trouvé")</f>
        <v>0</v>
      </c>
      <c r="N39" s="131">
        <f t="shared" si="1"/>
        <v>0</v>
      </c>
      <c r="P39" s="92"/>
      <c r="R39" s="90">
        <f t="shared" si="2"/>
        <v>0</v>
      </c>
      <c r="S39" s="91"/>
      <c r="T39" s="90" t="str">
        <f>IFERROR(IF($C39="","",VLOOKUP($C39,'[1]Paramètres Articles'!$B:$H,7,FALSE)),"Non Trouvé")</f>
        <v>Non Trouvé</v>
      </c>
      <c r="U39" s="93"/>
      <c r="V39" s="90" t="str">
        <f t="shared" si="4"/>
        <v/>
      </c>
      <c r="W39" s="91"/>
      <c r="X39" s="90" t="str">
        <f t="shared" si="5"/>
        <v/>
      </c>
      <c r="Y39" s="91"/>
      <c r="Z39" s="90" t="str">
        <f t="shared" si="6"/>
        <v>Non Trouvé</v>
      </c>
      <c r="AB39" s="94">
        <f t="shared" si="20"/>
        <v>33</v>
      </c>
      <c r="AC39" s="94">
        <f t="shared" si="20"/>
        <v>0.17</v>
      </c>
      <c r="AD39" s="90">
        <f t="shared" si="7"/>
        <v>0</v>
      </c>
      <c r="AG39" s="94">
        <f t="shared" si="21"/>
        <v>13</v>
      </c>
      <c r="AH39" s="94">
        <f t="shared" si="21"/>
        <v>0.13</v>
      </c>
      <c r="AI39" s="90">
        <f t="shared" si="8"/>
        <v>0</v>
      </c>
      <c r="AL39" s="94">
        <f t="shared" si="22"/>
        <v>0</v>
      </c>
      <c r="AM39" s="94">
        <f t="shared" si="22"/>
        <v>0.08</v>
      </c>
      <c r="AN39" s="90">
        <f t="shared" si="9"/>
        <v>0</v>
      </c>
      <c r="AQ39" s="94">
        <f t="shared" si="23"/>
        <v>0</v>
      </c>
      <c r="AR39" s="94">
        <f t="shared" si="23"/>
        <v>0.05</v>
      </c>
      <c r="AS39" s="90">
        <f t="shared" si="10"/>
        <v>0</v>
      </c>
      <c r="AV39" s="94">
        <f t="shared" si="24"/>
        <v>12</v>
      </c>
      <c r="AW39" s="94">
        <f t="shared" si="24"/>
        <v>0.32500000000000001</v>
      </c>
      <c r="AX39" s="90">
        <f t="shared" si="11"/>
        <v>0</v>
      </c>
      <c r="BA39" s="94">
        <f t="shared" si="25"/>
        <v>7</v>
      </c>
      <c r="BB39" s="94">
        <f t="shared" si="25"/>
        <v>0.29499999999999998</v>
      </c>
      <c r="BC39" s="90">
        <f t="shared" si="12"/>
        <v>0</v>
      </c>
      <c r="BF39" s="94">
        <f t="shared" si="26"/>
        <v>0</v>
      </c>
      <c r="BG39" s="94">
        <f t="shared" si="26"/>
        <v>0.27500000000000002</v>
      </c>
      <c r="BH39" s="90">
        <f t="shared" si="13"/>
        <v>0</v>
      </c>
      <c r="BK39" s="94">
        <f t="shared" si="27"/>
        <v>0</v>
      </c>
      <c r="BL39" s="94">
        <f t="shared" si="27"/>
        <v>0.245</v>
      </c>
      <c r="BM39" s="90">
        <f t="shared" si="14"/>
        <v>0</v>
      </c>
      <c r="BP39" s="94">
        <f t="shared" si="28"/>
        <v>0</v>
      </c>
      <c r="BQ39" s="94">
        <f t="shared" si="28"/>
        <v>0.22500000000000001</v>
      </c>
      <c r="BR39" s="90">
        <f t="shared" si="15"/>
        <v>0</v>
      </c>
      <c r="BU39" s="94">
        <f t="shared" si="29"/>
        <v>0</v>
      </c>
      <c r="BV39" s="94">
        <f t="shared" si="29"/>
        <v>0.17499999999999999</v>
      </c>
      <c r="BW39" s="90">
        <f t="shared" si="16"/>
        <v>0</v>
      </c>
      <c r="BZ39" s="94">
        <f t="shared" si="30"/>
        <v>0</v>
      </c>
      <c r="CA39" s="94">
        <f t="shared" si="30"/>
        <v>0.15</v>
      </c>
      <c r="CB39" s="90">
        <f t="shared" si="17"/>
        <v>0</v>
      </c>
      <c r="CE39" s="95"/>
      <c r="CF39" s="96"/>
      <c r="CG39" s="96"/>
      <c r="CH39" s="96"/>
      <c r="CI39" s="98"/>
      <c r="CK39" s="99">
        <f>IFERROR(IF(F39='[1]Paramètres Généraux'!$K$12,ROUNDUP((REGENERANTS!H39*REGENERANTS!$CF$20)*'[1]Paramètres Généraux'!$M$12,-1),IF(F39='[1]Paramètres Généraux'!$K$15,ROUNDUP((REGENERANTS!H39*REGENERANTS!$CF$20)*'[1]Paramètres Généraux'!$M$15,-1),REGENERANTS!H39*REGENERANTS!$CF$20)),"nd")</f>
        <v>65</v>
      </c>
      <c r="CN39" s="100"/>
      <c r="CO39" s="101"/>
      <c r="CP39" s="101"/>
      <c r="CQ39" s="101"/>
      <c r="CR39" s="101"/>
      <c r="CS39" s="102"/>
      <c r="CT39" s="101"/>
      <c r="CU39" s="101"/>
      <c r="CV39" s="103"/>
      <c r="CW39" s="104"/>
      <c r="CX39" s="105"/>
      <c r="CY39" s="106"/>
      <c r="CZ39" s="104"/>
      <c r="DA39" s="107"/>
      <c r="DB39" s="108"/>
      <c r="DC39" s="104"/>
      <c r="DD39" s="109"/>
      <c r="DE39" s="108"/>
      <c r="DF39" s="104"/>
      <c r="DG39" s="104"/>
      <c r="DH39" s="104"/>
      <c r="DI39" s="104"/>
      <c r="DJ39" s="104"/>
      <c r="DK39" s="104"/>
      <c r="DL39" s="104"/>
      <c r="DM39" s="104"/>
      <c r="DN39" s="104"/>
      <c r="DO39" s="107"/>
      <c r="DP39" s="106"/>
      <c r="DQ39" s="20">
        <f t="shared" si="18"/>
        <v>0</v>
      </c>
      <c r="DR39" s="20">
        <f t="shared" si="3"/>
        <v>0</v>
      </c>
      <c r="DS39" s="20">
        <f>IFERROR((IF(AND($F39="Produit Vente",CO39&gt;0),VLOOKUP($C39,'[1]Paramètres Articles'!$B:$H,7,FALSE)*$CO39)*(1-20%)),0)</f>
        <v>0</v>
      </c>
      <c r="DT39" s="20">
        <f>IFERROR((IF(AND($F39="Produit Vente",DR39&gt;0),VLOOKUP($C39,'[1]Paramètres Articles'!$B:$H,6,FALSE)*$DR39)*(1-15%)),0)</f>
        <v>0</v>
      </c>
      <c r="DU39" s="20">
        <f t="shared" si="19"/>
        <v>0</v>
      </c>
      <c r="DW39" s="129"/>
      <c r="EB39" s="130"/>
    </row>
    <row r="40" spans="2:132" ht="12.95" customHeight="1">
      <c r="B40" s="1">
        <f>IF(C40="",0,COUNTIFS($B$22:B39,"&gt;"&amp;0)+1)</f>
        <v>19</v>
      </c>
      <c r="C40" s="85">
        <v>3020718</v>
      </c>
      <c r="D40" s="86" t="str">
        <f>IFERROR(IF($C40="","",VLOOKUP($C40,'[1]Paramètres Articles'!$B:$G,2,FALSE)),"Non Trouvé")</f>
        <v>Testeur - Sérum de Nuit - Régénérant Intensif 30ml - 15% comprise</v>
      </c>
      <c r="E40" s="87">
        <f>IFERROR(IF($C40="","",_xlfn.XLOOKUP(REGENERANTS!$C40,'[1]New Base PA'!$F:$F,'[1]New Base PA'!$D:$D,"Not Found",0)),"Non Trouvé")</f>
        <v>4020829101142</v>
      </c>
      <c r="F40" s="88" t="s">
        <v>96</v>
      </c>
      <c r="H40" s="89">
        <v>1</v>
      </c>
      <c r="J40" s="90">
        <f>IFERROR(IF($C40="","",VLOOKUP($C40,'[1]New Base PA'!$F:$J,5,FALSE)),"Non Trouvé")</f>
        <v>13.39</v>
      </c>
      <c r="K40" s="131">
        <f t="shared" si="0"/>
        <v>13.39</v>
      </c>
      <c r="L40" s="132"/>
      <c r="M40" s="131">
        <f>IFERROR(IF(AND($F40="Produit Vente",H40&gt;0),VLOOKUP($C40,'[1]Paramètres Articles'!$B:$G,6,FALSE),0),"Non Trouvé")</f>
        <v>0</v>
      </c>
      <c r="N40" s="131">
        <f t="shared" si="1"/>
        <v>0</v>
      </c>
      <c r="P40" s="92"/>
      <c r="R40" s="90">
        <f t="shared" si="2"/>
        <v>0</v>
      </c>
      <c r="S40" s="91"/>
      <c r="T40" s="90" t="str">
        <f>IFERROR(IF($C40="","",VLOOKUP($C40,'[1]Paramètres Articles'!$B:$H,7,FALSE)),"Non Trouvé")</f>
        <v>Non Trouvé</v>
      </c>
      <c r="U40" s="93"/>
      <c r="V40" s="90" t="str">
        <f t="shared" si="4"/>
        <v/>
      </c>
      <c r="W40" s="91"/>
      <c r="X40" s="90" t="str">
        <f t="shared" si="5"/>
        <v/>
      </c>
      <c r="Y40" s="91"/>
      <c r="Z40" s="90" t="str">
        <f t="shared" si="6"/>
        <v>Non Trouvé</v>
      </c>
      <c r="AB40" s="94">
        <f t="shared" ref="AB40:AC55" si="31">AB39</f>
        <v>33</v>
      </c>
      <c r="AC40" s="94">
        <f t="shared" si="31"/>
        <v>0.17</v>
      </c>
      <c r="AD40" s="90">
        <f t="shared" si="7"/>
        <v>0</v>
      </c>
      <c r="AG40" s="94">
        <f t="shared" ref="AG40:AH55" si="32">AG39</f>
        <v>13</v>
      </c>
      <c r="AH40" s="94">
        <f t="shared" si="32"/>
        <v>0.13</v>
      </c>
      <c r="AI40" s="90">
        <f t="shared" si="8"/>
        <v>0</v>
      </c>
      <c r="AL40" s="94">
        <f t="shared" ref="AL40:AM55" si="33">AL39</f>
        <v>0</v>
      </c>
      <c r="AM40" s="94">
        <f t="shared" si="33"/>
        <v>0.08</v>
      </c>
      <c r="AN40" s="90">
        <f t="shared" si="9"/>
        <v>0</v>
      </c>
      <c r="AQ40" s="94">
        <f t="shared" ref="AQ40:AR55" si="34">AQ39</f>
        <v>0</v>
      </c>
      <c r="AR40" s="94">
        <f t="shared" si="34"/>
        <v>0.05</v>
      </c>
      <c r="AS40" s="90">
        <f t="shared" si="10"/>
        <v>0</v>
      </c>
      <c r="AV40" s="94">
        <f t="shared" ref="AV40:AW55" si="35">AV39</f>
        <v>12</v>
      </c>
      <c r="AW40" s="94">
        <f t="shared" si="35"/>
        <v>0.32500000000000001</v>
      </c>
      <c r="AX40" s="90">
        <f t="shared" si="11"/>
        <v>0</v>
      </c>
      <c r="BA40" s="94">
        <f t="shared" ref="BA40:BB55" si="36">BA39</f>
        <v>7</v>
      </c>
      <c r="BB40" s="94">
        <f t="shared" si="36"/>
        <v>0.29499999999999998</v>
      </c>
      <c r="BC40" s="90">
        <f t="shared" si="12"/>
        <v>0</v>
      </c>
      <c r="BF40" s="94">
        <f t="shared" ref="BF40:BG55" si="37">BF39</f>
        <v>0</v>
      </c>
      <c r="BG40" s="94">
        <f t="shared" si="37"/>
        <v>0.27500000000000002</v>
      </c>
      <c r="BH40" s="90">
        <f t="shared" si="13"/>
        <v>0</v>
      </c>
      <c r="BK40" s="94">
        <f t="shared" ref="BK40:BL55" si="38">BK39</f>
        <v>0</v>
      </c>
      <c r="BL40" s="94">
        <f t="shared" si="38"/>
        <v>0.245</v>
      </c>
      <c r="BM40" s="90">
        <f t="shared" si="14"/>
        <v>0</v>
      </c>
      <c r="BP40" s="94">
        <f t="shared" ref="BP40:BQ55" si="39">BP39</f>
        <v>0</v>
      </c>
      <c r="BQ40" s="94">
        <f t="shared" si="39"/>
        <v>0.22500000000000001</v>
      </c>
      <c r="BR40" s="90">
        <f t="shared" si="15"/>
        <v>0</v>
      </c>
      <c r="BU40" s="94">
        <f t="shared" ref="BU40:BV55" si="40">BU39</f>
        <v>0</v>
      </c>
      <c r="BV40" s="94">
        <f t="shared" si="40"/>
        <v>0.17499999999999999</v>
      </c>
      <c r="BW40" s="90">
        <f t="shared" si="16"/>
        <v>0</v>
      </c>
      <c r="BZ40" s="94">
        <f t="shared" ref="BZ40:CA55" si="41">BZ39</f>
        <v>0</v>
      </c>
      <c r="CA40" s="94">
        <f t="shared" si="41"/>
        <v>0.15</v>
      </c>
      <c r="CB40" s="90">
        <f t="shared" si="17"/>
        <v>0</v>
      </c>
      <c r="CE40" s="95"/>
      <c r="CF40" s="96"/>
      <c r="CG40" s="128" t="s">
        <v>7</v>
      </c>
      <c r="CH40" s="96"/>
      <c r="CI40" s="98"/>
      <c r="CK40" s="99">
        <f>IFERROR(IF(F40='[1]Paramètres Généraux'!$K$12,ROUNDUP((REGENERANTS!H40*REGENERANTS!$CF$20)*'[1]Paramètres Généraux'!$M$12,-1),IF(F40='[1]Paramètres Généraux'!$K$15,ROUNDUP((REGENERANTS!H40*REGENERANTS!$CF$20)*'[1]Paramètres Généraux'!$M$15,-1),REGENERANTS!H40*REGENERANTS!$CF$20)),"nd")</f>
        <v>65</v>
      </c>
      <c r="CN40" s="100"/>
      <c r="CO40" s="101"/>
      <c r="CP40" s="101"/>
      <c r="CQ40" s="101"/>
      <c r="CR40" s="101"/>
      <c r="CS40" s="102"/>
      <c r="CT40" s="101"/>
      <c r="CU40" s="101"/>
      <c r="CV40" s="103"/>
      <c r="CW40" s="104"/>
      <c r="CX40" s="105"/>
      <c r="CY40" s="106"/>
      <c r="CZ40" s="104"/>
      <c r="DA40" s="107"/>
      <c r="DB40" s="108"/>
      <c r="DC40" s="104"/>
      <c r="DD40" s="109"/>
      <c r="DE40" s="108"/>
      <c r="DF40" s="104"/>
      <c r="DG40" s="104"/>
      <c r="DH40" s="104"/>
      <c r="DI40" s="104"/>
      <c r="DJ40" s="104"/>
      <c r="DK40" s="104"/>
      <c r="DL40" s="104"/>
      <c r="DM40" s="104"/>
      <c r="DN40" s="104"/>
      <c r="DO40" s="107"/>
      <c r="DP40" s="106"/>
      <c r="DQ40" s="20">
        <f t="shared" si="18"/>
        <v>0</v>
      </c>
      <c r="DR40" s="20">
        <f t="shared" si="3"/>
        <v>0</v>
      </c>
      <c r="DS40" s="20">
        <f>IFERROR((IF(AND($F40="Produit Vente",CO40&gt;0),VLOOKUP($C40,'[1]Paramètres Articles'!$B:$H,7,FALSE)*$CO40)*(1-20%)),0)</f>
        <v>0</v>
      </c>
      <c r="DT40" s="20">
        <f>IFERROR((IF(AND($F40="Produit Vente",DR40&gt;0),VLOOKUP($C40,'[1]Paramètres Articles'!$B:$H,6,FALSE)*$DR40)*(1-15%)),0)</f>
        <v>0</v>
      </c>
      <c r="DU40" s="20">
        <f t="shared" si="19"/>
        <v>0</v>
      </c>
      <c r="DW40" s="142"/>
      <c r="DX40" s="81" t="s">
        <v>86</v>
      </c>
      <c r="DY40" s="81" t="s">
        <v>87</v>
      </c>
      <c r="DZ40" s="81" t="s">
        <v>88</v>
      </c>
      <c r="EA40" s="81" t="s">
        <v>104</v>
      </c>
      <c r="EB40" s="143"/>
    </row>
    <row r="41" spans="2:132" ht="12.95" customHeight="1">
      <c r="B41" s="1">
        <f>IF(C41="",0,COUNTIFS($B$22:B40,"&gt;"&amp;0)+1)</f>
        <v>20</v>
      </c>
      <c r="C41" s="85" t="s">
        <v>105</v>
      </c>
      <c r="D41" s="86" t="str">
        <f>IFERROR(IF($C41="","",VLOOKUP($C41,'[1]Paramètres Articles'!$B:$G,2,FALSE)),"Non Trouvé")</f>
        <v>Stop-rayon promo Régénérants 2026 -10€</v>
      </c>
      <c r="E41" s="87">
        <f>IFERROR(IF($C41="","",_xlfn.XLOOKUP(REGENERANTS!$C41,'[1]New Base PA'!$F:$F,'[1]New Base PA'!$D:$D,"Not Found",0)),"Non Trouvé")</f>
        <v>0</v>
      </c>
      <c r="F41" s="88" t="s">
        <v>100</v>
      </c>
      <c r="H41" s="89">
        <v>1</v>
      </c>
      <c r="J41" s="90">
        <f>IFERROR(IF($C41="","",VLOOKUP($C41,'[1]New Base PA'!$F:$J,5,FALSE)),"Non Trouvé")</f>
        <v>1.59</v>
      </c>
      <c r="K41" s="131">
        <f t="shared" si="0"/>
        <v>1.59</v>
      </c>
      <c r="L41" s="132"/>
      <c r="M41" s="131">
        <f>IFERROR(IF(AND($F41="Produit Vente",H41&gt;0),VLOOKUP($C41,'[1]Paramètres Articles'!$B:$G,6,FALSE),0),"Non Trouvé")</f>
        <v>0</v>
      </c>
      <c r="N41" s="131">
        <f t="shared" si="1"/>
        <v>0</v>
      </c>
      <c r="P41" s="92"/>
      <c r="R41" s="90">
        <f t="shared" si="2"/>
        <v>0</v>
      </c>
      <c r="S41" s="91"/>
      <c r="T41" s="90">
        <f>IFERROR(IF($C41="","",VLOOKUP($C41,'[1]Paramètres Articles'!$B:$H,7,FALSE)),"Non Trouvé")</f>
        <v>0</v>
      </c>
      <c r="U41" s="93"/>
      <c r="V41" s="90" t="str">
        <f t="shared" si="4"/>
        <v/>
      </c>
      <c r="W41" s="91"/>
      <c r="X41" s="90" t="str">
        <f t="shared" si="5"/>
        <v/>
      </c>
      <c r="Y41" s="91"/>
      <c r="Z41" s="90">
        <f t="shared" si="6"/>
        <v>0</v>
      </c>
      <c r="AB41" s="94">
        <f t="shared" si="31"/>
        <v>33</v>
      </c>
      <c r="AC41" s="94">
        <f t="shared" si="31"/>
        <v>0.17</v>
      </c>
      <c r="AD41" s="90">
        <f t="shared" si="7"/>
        <v>0</v>
      </c>
      <c r="AG41" s="94">
        <f t="shared" si="32"/>
        <v>13</v>
      </c>
      <c r="AH41" s="94">
        <f t="shared" si="32"/>
        <v>0.13</v>
      </c>
      <c r="AI41" s="90">
        <f t="shared" si="8"/>
        <v>0</v>
      </c>
      <c r="AL41" s="94">
        <f t="shared" si="33"/>
        <v>0</v>
      </c>
      <c r="AM41" s="94">
        <f t="shared" si="33"/>
        <v>0.08</v>
      </c>
      <c r="AN41" s="90">
        <f t="shared" si="9"/>
        <v>0</v>
      </c>
      <c r="AQ41" s="94">
        <f t="shared" si="34"/>
        <v>0</v>
      </c>
      <c r="AR41" s="94">
        <f t="shared" si="34"/>
        <v>0.05</v>
      </c>
      <c r="AS41" s="90">
        <f t="shared" si="10"/>
        <v>0</v>
      </c>
      <c r="AV41" s="94">
        <f t="shared" si="35"/>
        <v>12</v>
      </c>
      <c r="AW41" s="94">
        <f t="shared" si="35"/>
        <v>0.32500000000000001</v>
      </c>
      <c r="AX41" s="90">
        <f t="shared" si="11"/>
        <v>0</v>
      </c>
      <c r="BA41" s="94">
        <f t="shared" si="36"/>
        <v>7</v>
      </c>
      <c r="BB41" s="94">
        <f t="shared" si="36"/>
        <v>0.29499999999999998</v>
      </c>
      <c r="BC41" s="90">
        <f t="shared" si="12"/>
        <v>0</v>
      </c>
      <c r="BF41" s="94">
        <f t="shared" si="37"/>
        <v>0</v>
      </c>
      <c r="BG41" s="94">
        <f t="shared" si="37"/>
        <v>0.27500000000000002</v>
      </c>
      <c r="BH41" s="90">
        <f t="shared" si="13"/>
        <v>0</v>
      </c>
      <c r="BK41" s="94">
        <f t="shared" si="38"/>
        <v>0</v>
      </c>
      <c r="BL41" s="94">
        <f t="shared" si="38"/>
        <v>0.245</v>
      </c>
      <c r="BM41" s="90">
        <f t="shared" si="14"/>
        <v>0</v>
      </c>
      <c r="BP41" s="94">
        <f t="shared" si="39"/>
        <v>0</v>
      </c>
      <c r="BQ41" s="94">
        <f t="shared" si="39"/>
        <v>0.22500000000000001</v>
      </c>
      <c r="BR41" s="90">
        <f t="shared" si="15"/>
        <v>0</v>
      </c>
      <c r="BU41" s="94">
        <f t="shared" si="40"/>
        <v>0</v>
      </c>
      <c r="BV41" s="94">
        <f t="shared" si="40"/>
        <v>0.17499999999999999</v>
      </c>
      <c r="BW41" s="90">
        <f t="shared" si="16"/>
        <v>0</v>
      </c>
      <c r="BZ41" s="94">
        <f t="shared" si="41"/>
        <v>0</v>
      </c>
      <c r="CA41" s="94">
        <f t="shared" si="41"/>
        <v>0.15</v>
      </c>
      <c r="CB41" s="90">
        <f t="shared" si="17"/>
        <v>0</v>
      </c>
      <c r="CE41" s="95"/>
      <c r="CF41" s="96"/>
      <c r="CG41" s="97" t="s">
        <v>0</v>
      </c>
      <c r="CH41" s="133">
        <f>SUMIFS($AV20:$BX20,$AV17:$BX17,CG41)</f>
        <v>19</v>
      </c>
      <c r="CI41" s="98"/>
      <c r="CK41" s="99">
        <f>IFERROR(IF(F41='[1]Paramètres Généraux'!$K$12,ROUNDUP((REGENERANTS!H41*REGENERANTS!$CF$20)*'[1]Paramètres Généraux'!$M$12,-1),IF(F41='[1]Paramètres Généraux'!$K$15,ROUNDUP((REGENERANTS!H41*REGENERANTS!$CF$20)*'[1]Paramètres Généraux'!$M$15,-1),REGENERANTS!H41*REGENERANTS!$CF$20)),"nd")</f>
        <v>50</v>
      </c>
      <c r="CN41" s="100"/>
      <c r="CO41" s="101"/>
      <c r="CP41" s="101"/>
      <c r="CQ41" s="101"/>
      <c r="CR41" s="101"/>
      <c r="CS41" s="102">
        <v>1</v>
      </c>
      <c r="CT41" s="101"/>
      <c r="CU41" s="101"/>
      <c r="CV41" s="103"/>
      <c r="CW41" s="104"/>
      <c r="CX41" s="105"/>
      <c r="CY41" s="106"/>
      <c r="CZ41" s="104"/>
      <c r="DA41" s="107"/>
      <c r="DB41" s="108"/>
      <c r="DC41" s="104"/>
      <c r="DD41" s="109"/>
      <c r="DE41" s="108"/>
      <c r="DF41" s="104"/>
      <c r="DG41" s="104"/>
      <c r="DH41" s="104"/>
      <c r="DI41" s="104"/>
      <c r="DJ41" s="104"/>
      <c r="DK41" s="104"/>
      <c r="DL41" s="104"/>
      <c r="DM41" s="104"/>
      <c r="DN41" s="104"/>
      <c r="DO41" s="107"/>
      <c r="DP41" s="106"/>
      <c r="DQ41" s="20">
        <f t="shared" si="18"/>
        <v>1</v>
      </c>
      <c r="DR41" s="20">
        <f t="shared" si="3"/>
        <v>0</v>
      </c>
      <c r="DS41" s="20">
        <f>IFERROR((IF(AND($F41="Produit Vente",CO41&gt;0),VLOOKUP($C41,'[1]Paramètres Articles'!$B:$H,7,FALSE)*$CO41)*(1-20%)),0)</f>
        <v>0</v>
      </c>
      <c r="DT41" s="20">
        <f>IFERROR((IF(AND($F41="Produit Vente",DR41&gt;0),VLOOKUP($C41,'[1]Paramètres Articles'!$B:$H,6,FALSE)*$DR41)*(1-15%)),0)</f>
        <v>0</v>
      </c>
      <c r="DU41" s="20">
        <f t="shared" si="19"/>
        <v>1.59</v>
      </c>
      <c r="DW41" s="129"/>
      <c r="EA41" s="83"/>
      <c r="EB41" s="130"/>
    </row>
    <row r="42" spans="2:132" ht="12.95" customHeight="1">
      <c r="B42" s="1">
        <f>IF(C42="",0,COUNTIFS($B$22:B41,"&gt;"&amp;0)+1)</f>
        <v>0</v>
      </c>
      <c r="C42" s="85"/>
      <c r="D42" s="86" t="str">
        <f>IFERROR(IF($C42="","",VLOOKUP($C42,'[1]Paramètres Articles'!$B:$G,2,FALSE)),"Non Trouvé")</f>
        <v/>
      </c>
      <c r="E42" s="87" t="str">
        <f>IFERROR(IF($C42="","",_xlfn.XLOOKUP(REGENERANTS!$C42,'[1]New Base PA'!$F:$F,'[1]New Base PA'!$D:$D,"Not Found",0)),"Non Trouvé")</f>
        <v/>
      </c>
      <c r="F42" s="88"/>
      <c r="H42" s="101"/>
      <c r="J42" s="90" t="str">
        <f>IFERROR(IF($C42="","",VLOOKUP($C42,'[1]New Base PA'!$F:$J,5,FALSE)),"Non Trouvé")</f>
        <v/>
      </c>
      <c r="K42" s="131" t="str">
        <f t="shared" si="0"/>
        <v/>
      </c>
      <c r="L42" s="132"/>
      <c r="M42" s="131">
        <f>IFERROR(IF(AND($F42="Produit Vente",H42&gt;0),VLOOKUP($C42,'[1]Paramètres Articles'!$B:$G,6,FALSE),0),"Non Trouvé")</f>
        <v>0</v>
      </c>
      <c r="N42" s="131" t="str">
        <f t="shared" si="1"/>
        <v/>
      </c>
      <c r="P42" s="92"/>
      <c r="R42" s="90" t="str">
        <f t="shared" si="2"/>
        <v/>
      </c>
      <c r="S42" s="91"/>
      <c r="T42" s="90" t="str">
        <f>IFERROR(IF($C42="","",VLOOKUP($C42,'[1]Paramètres Articles'!$B:$H,7,FALSE)),"Non Trouvé")</f>
        <v/>
      </c>
      <c r="U42" s="93"/>
      <c r="V42" s="90" t="str">
        <f t="shared" si="4"/>
        <v/>
      </c>
      <c r="W42" s="91"/>
      <c r="X42" s="90" t="str">
        <f t="shared" si="5"/>
        <v/>
      </c>
      <c r="Y42" s="91"/>
      <c r="Z42" s="90">
        <f t="shared" si="6"/>
        <v>0</v>
      </c>
      <c r="AB42" s="94">
        <f t="shared" si="31"/>
        <v>33</v>
      </c>
      <c r="AC42" s="94">
        <f t="shared" si="31"/>
        <v>0.17</v>
      </c>
      <c r="AD42" s="90" t="str">
        <f t="shared" si="7"/>
        <v/>
      </c>
      <c r="AG42" s="94">
        <f t="shared" si="32"/>
        <v>13</v>
      </c>
      <c r="AH42" s="94">
        <f t="shared" si="32"/>
        <v>0.13</v>
      </c>
      <c r="AI42" s="90" t="str">
        <f t="shared" si="8"/>
        <v/>
      </c>
      <c r="AL42" s="94">
        <f t="shared" si="33"/>
        <v>0</v>
      </c>
      <c r="AM42" s="94">
        <f t="shared" si="33"/>
        <v>0.08</v>
      </c>
      <c r="AN42" s="90" t="str">
        <f t="shared" si="9"/>
        <v/>
      </c>
      <c r="AQ42" s="94">
        <f t="shared" si="34"/>
        <v>0</v>
      </c>
      <c r="AR42" s="94">
        <f t="shared" si="34"/>
        <v>0.05</v>
      </c>
      <c r="AS42" s="90" t="str">
        <f t="shared" si="10"/>
        <v/>
      </c>
      <c r="AV42" s="94">
        <f t="shared" si="35"/>
        <v>12</v>
      </c>
      <c r="AW42" s="94">
        <f t="shared" si="35"/>
        <v>0.32500000000000001</v>
      </c>
      <c r="AX42" s="90" t="str">
        <f t="shared" si="11"/>
        <v/>
      </c>
      <c r="BA42" s="94">
        <f t="shared" si="36"/>
        <v>7</v>
      </c>
      <c r="BB42" s="94">
        <f t="shared" si="36"/>
        <v>0.29499999999999998</v>
      </c>
      <c r="BC42" s="90" t="str">
        <f t="shared" si="12"/>
        <v/>
      </c>
      <c r="BF42" s="94">
        <f t="shared" si="37"/>
        <v>0</v>
      </c>
      <c r="BG42" s="94">
        <f t="shared" si="37"/>
        <v>0.27500000000000002</v>
      </c>
      <c r="BH42" s="90" t="str">
        <f t="shared" si="13"/>
        <v/>
      </c>
      <c r="BK42" s="94">
        <f t="shared" si="38"/>
        <v>0</v>
      </c>
      <c r="BL42" s="94">
        <f t="shared" si="38"/>
        <v>0.245</v>
      </c>
      <c r="BM42" s="90" t="str">
        <f t="shared" si="14"/>
        <v/>
      </c>
      <c r="BP42" s="94">
        <f t="shared" si="39"/>
        <v>0</v>
      </c>
      <c r="BQ42" s="94">
        <f t="shared" si="39"/>
        <v>0.22500000000000001</v>
      </c>
      <c r="BR42" s="90" t="str">
        <f t="shared" si="15"/>
        <v/>
      </c>
      <c r="BU42" s="94">
        <f t="shared" si="40"/>
        <v>0</v>
      </c>
      <c r="BV42" s="94">
        <f t="shared" si="40"/>
        <v>0.17499999999999999</v>
      </c>
      <c r="BW42" s="90" t="str">
        <f t="shared" si="16"/>
        <v/>
      </c>
      <c r="BZ42" s="94">
        <f t="shared" si="41"/>
        <v>0</v>
      </c>
      <c r="CA42" s="94">
        <f t="shared" si="41"/>
        <v>0.15</v>
      </c>
      <c r="CB42" s="90" t="str">
        <f t="shared" si="17"/>
        <v/>
      </c>
      <c r="CE42" s="95"/>
      <c r="CF42" s="96"/>
      <c r="CG42" s="97" t="s">
        <v>1</v>
      </c>
      <c r="CH42" s="134">
        <f>SUMIFS($AV20:$BX20,$AV17:$BX17,CG42)</f>
        <v>20258.491968634429</v>
      </c>
      <c r="CI42" s="98"/>
      <c r="CK42" s="99">
        <f>IFERROR(IF(F42='[1]Paramètres Généraux'!$K$12,ROUNDUP((REGENERANTS!H42*REGENERANTS!$CF$20)*'[1]Paramètres Généraux'!$M$12,-1),IF(F42='[1]Paramètres Généraux'!$K$15,ROUNDUP((REGENERANTS!H42*REGENERANTS!$CF$20)*'[1]Paramètres Généraux'!$M$15,-1),REGENERANTS!H42*REGENERANTS!$CF$20)),"nd")</f>
        <v>0</v>
      </c>
      <c r="CN42" s="100"/>
      <c r="CO42" s="101"/>
      <c r="CP42" s="101"/>
      <c r="CQ42" s="101"/>
      <c r="CR42" s="101"/>
      <c r="CS42" s="144"/>
      <c r="CT42" s="101"/>
      <c r="CU42" s="101"/>
      <c r="CV42" s="103"/>
      <c r="CW42" s="104"/>
      <c r="CX42" s="105"/>
      <c r="CY42" s="106"/>
      <c r="CZ42" s="104"/>
      <c r="DA42" s="107"/>
      <c r="DB42" s="108"/>
      <c r="DC42" s="104"/>
      <c r="DD42" s="109"/>
      <c r="DE42" s="108"/>
      <c r="DF42" s="104"/>
      <c r="DG42" s="104"/>
      <c r="DH42" s="104"/>
      <c r="DI42" s="104"/>
      <c r="DJ42" s="104"/>
      <c r="DK42" s="104"/>
      <c r="DL42" s="104"/>
      <c r="DM42" s="104"/>
      <c r="DN42" s="104"/>
      <c r="DO42" s="107"/>
      <c r="DP42" s="106"/>
      <c r="DQ42" s="20">
        <f t="shared" si="18"/>
        <v>0</v>
      </c>
      <c r="DR42" s="20">
        <f t="shared" si="3"/>
        <v>0</v>
      </c>
      <c r="DS42" s="20">
        <f>IFERROR((IF(AND($F42="Produit Vente",CO42&gt;0),VLOOKUP($C42,'[1]Paramètres Articles'!$B:$H,7,FALSE)*$CO42)*(1-20%)),0)</f>
        <v>0</v>
      </c>
      <c r="DT42" s="20">
        <f>IFERROR((IF(AND($F42="Produit Vente",DR42&gt;0),VLOOKUP($C42,'[1]Paramètres Articles'!$B:$H,6,FALSE)*$DR42)*(1-15%)),0)</f>
        <v>0</v>
      </c>
      <c r="DU42" s="20">
        <f t="shared" si="19"/>
        <v>0</v>
      </c>
      <c r="DW42" s="129"/>
      <c r="DX42" s="145" t="str">
        <f>C35</f>
        <v>PANNEAU REGE</v>
      </c>
      <c r="DY42" s="111" t="str">
        <f ca="1">VLOOKUP(DX42,C:D,2,FALSE)</f>
        <v>Panneau vitrine Régénérants 2026</v>
      </c>
      <c r="DZ42" s="112" t="e">
        <f>SUMIFS('[1]Moteur Produits'!$C:$C,'[1]Moteur Produits'!$B:$B,$DX42)</f>
        <v>#VALUE!</v>
      </c>
      <c r="EA42" s="113">
        <v>350</v>
      </c>
      <c r="EB42" s="130"/>
    </row>
    <row r="43" spans="2:132" ht="12.95" customHeight="1">
      <c r="B43" s="1">
        <f>IF(C43="",0,COUNTIFS($B$22:B42,"&gt;"&amp;0)+1)</f>
        <v>0</v>
      </c>
      <c r="C43" s="85"/>
      <c r="D43" s="86" t="str">
        <f>IFERROR(IF($C43="","",VLOOKUP($C43,'[1]Paramètres Articles'!$B:$G,2,FALSE)),"Non Trouvé")</f>
        <v/>
      </c>
      <c r="E43" s="87" t="str">
        <f>IFERROR(IF($C43="","",_xlfn.XLOOKUP(REGENERANTS!$C43,'[1]New Base PA'!$F:$F,'[1]New Base PA'!$D:$D,"Not Found",0)),"Non Trouvé")</f>
        <v/>
      </c>
      <c r="F43" s="88"/>
      <c r="H43" s="101"/>
      <c r="J43" s="90" t="str">
        <f>IFERROR(IF($C43="","",VLOOKUP($C43,'[1]New Base PA'!$F:$J,5,FALSE)),"Non Trouvé")</f>
        <v/>
      </c>
      <c r="K43" s="131" t="str">
        <f t="shared" si="0"/>
        <v/>
      </c>
      <c r="L43" s="132"/>
      <c r="M43" s="131">
        <f>IFERROR(IF(AND($F43="Produit Vente",H43&gt;0),VLOOKUP($C43,'[1]Paramètres Articles'!$B:$G,6,FALSE),0),"Non Trouvé")</f>
        <v>0</v>
      </c>
      <c r="N43" s="131" t="str">
        <f t="shared" si="1"/>
        <v/>
      </c>
      <c r="P43" s="92"/>
      <c r="R43" s="90" t="str">
        <f t="shared" si="2"/>
        <v/>
      </c>
      <c r="S43" s="91"/>
      <c r="T43" s="90" t="str">
        <f>IFERROR(IF($C43="","",VLOOKUP($C43,'[1]Paramètres Articles'!$B:$H,7,FALSE)),"Non Trouvé")</f>
        <v/>
      </c>
      <c r="U43" s="93"/>
      <c r="V43" s="90" t="str">
        <f t="shared" si="4"/>
        <v/>
      </c>
      <c r="W43" s="91"/>
      <c r="X43" s="90" t="str">
        <f t="shared" si="5"/>
        <v/>
      </c>
      <c r="Y43" s="91"/>
      <c r="Z43" s="90">
        <f t="shared" si="6"/>
        <v>0</v>
      </c>
      <c r="AB43" s="94">
        <f t="shared" si="31"/>
        <v>33</v>
      </c>
      <c r="AC43" s="94">
        <f t="shared" si="31"/>
        <v>0.17</v>
      </c>
      <c r="AD43" s="90" t="str">
        <f t="shared" si="7"/>
        <v/>
      </c>
      <c r="AG43" s="94">
        <f t="shared" si="32"/>
        <v>13</v>
      </c>
      <c r="AH43" s="94">
        <f t="shared" si="32"/>
        <v>0.13</v>
      </c>
      <c r="AI43" s="90" t="str">
        <f t="shared" si="8"/>
        <v/>
      </c>
      <c r="AL43" s="94">
        <f t="shared" si="33"/>
        <v>0</v>
      </c>
      <c r="AM43" s="94">
        <f t="shared" si="33"/>
        <v>0.08</v>
      </c>
      <c r="AN43" s="90" t="str">
        <f t="shared" si="9"/>
        <v/>
      </c>
      <c r="AQ43" s="94">
        <f t="shared" si="34"/>
        <v>0</v>
      </c>
      <c r="AR43" s="94">
        <f t="shared" si="34"/>
        <v>0.05</v>
      </c>
      <c r="AS43" s="90" t="str">
        <f t="shared" si="10"/>
        <v/>
      </c>
      <c r="AV43" s="94">
        <f t="shared" si="35"/>
        <v>12</v>
      </c>
      <c r="AW43" s="94">
        <f t="shared" si="35"/>
        <v>0.32500000000000001</v>
      </c>
      <c r="AX43" s="90" t="str">
        <f t="shared" si="11"/>
        <v/>
      </c>
      <c r="BA43" s="94">
        <f t="shared" si="36"/>
        <v>7</v>
      </c>
      <c r="BB43" s="94">
        <f t="shared" si="36"/>
        <v>0.29499999999999998</v>
      </c>
      <c r="BC43" s="90" t="str">
        <f t="shared" si="12"/>
        <v/>
      </c>
      <c r="BF43" s="94">
        <f t="shared" si="37"/>
        <v>0</v>
      </c>
      <c r="BG43" s="94">
        <f t="shared" si="37"/>
        <v>0.27500000000000002</v>
      </c>
      <c r="BH43" s="90" t="str">
        <f t="shared" si="13"/>
        <v/>
      </c>
      <c r="BK43" s="94">
        <f t="shared" si="38"/>
        <v>0</v>
      </c>
      <c r="BL43" s="94">
        <f t="shared" si="38"/>
        <v>0.245</v>
      </c>
      <c r="BM43" s="90" t="str">
        <f t="shared" si="14"/>
        <v/>
      </c>
      <c r="BP43" s="94">
        <f t="shared" si="39"/>
        <v>0</v>
      </c>
      <c r="BQ43" s="94">
        <f t="shared" si="39"/>
        <v>0.22500000000000001</v>
      </c>
      <c r="BR43" s="90" t="str">
        <f t="shared" si="15"/>
        <v/>
      </c>
      <c r="BU43" s="94">
        <f t="shared" si="40"/>
        <v>0</v>
      </c>
      <c r="BV43" s="94">
        <f t="shared" si="40"/>
        <v>0.17499999999999999</v>
      </c>
      <c r="BW43" s="90" t="str">
        <f t="shared" si="16"/>
        <v/>
      </c>
      <c r="BZ43" s="94">
        <f t="shared" si="41"/>
        <v>0</v>
      </c>
      <c r="CA43" s="94">
        <f t="shared" si="41"/>
        <v>0.15</v>
      </c>
      <c r="CB43" s="90" t="str">
        <f t="shared" si="17"/>
        <v/>
      </c>
      <c r="CE43" s="95"/>
      <c r="CF43" s="96"/>
      <c r="CG43" s="97" t="s">
        <v>2</v>
      </c>
      <c r="CH43" s="135">
        <f>IFERROR((CH42-$K20*CH41)/CH42,"Non Trouvé")</f>
        <v>0.19555270820592432</v>
      </c>
      <c r="CI43" s="98"/>
      <c r="CK43" s="99">
        <f>IFERROR(IF(F43='[1]Paramètres Généraux'!$K$12,ROUNDUP((REGENERANTS!H43*REGENERANTS!$CF$20)*'[1]Paramètres Généraux'!$M$12,-1),IF(F43='[1]Paramètres Généraux'!$K$15,ROUNDUP((REGENERANTS!H43*REGENERANTS!$CF$20)*'[1]Paramètres Généraux'!$M$15,-1),REGENERANTS!H43*REGENERANTS!$CF$20)),"nd")</f>
        <v>0</v>
      </c>
      <c r="CN43" s="100"/>
      <c r="CO43" s="101"/>
      <c r="CP43" s="101"/>
      <c r="CQ43" s="101"/>
      <c r="CR43" s="101"/>
      <c r="CS43" s="144"/>
      <c r="CT43" s="101"/>
      <c r="CU43" s="101"/>
      <c r="CV43" s="103"/>
      <c r="CW43" s="104"/>
      <c r="CX43" s="105"/>
      <c r="CY43" s="106"/>
      <c r="CZ43" s="104"/>
      <c r="DA43" s="107"/>
      <c r="DB43" s="108"/>
      <c r="DC43" s="104"/>
      <c r="DD43" s="109"/>
      <c r="DE43" s="108"/>
      <c r="DF43" s="104"/>
      <c r="DG43" s="104"/>
      <c r="DH43" s="104"/>
      <c r="DI43" s="104"/>
      <c r="DJ43" s="104"/>
      <c r="DK43" s="104"/>
      <c r="DL43" s="104"/>
      <c r="DM43" s="104"/>
      <c r="DN43" s="104"/>
      <c r="DO43" s="107"/>
      <c r="DP43" s="106"/>
      <c r="DQ43" s="20">
        <f t="shared" si="18"/>
        <v>0</v>
      </c>
      <c r="DR43" s="20">
        <f t="shared" si="3"/>
        <v>0</v>
      </c>
      <c r="DS43" s="20">
        <f>IFERROR((IF(AND($F43="Produit Vente",CO43&gt;0),VLOOKUP($C43,'[1]Paramètres Articles'!$B:$H,7,FALSE)*$CO43)*(1-20%)),0)</f>
        <v>0</v>
      </c>
      <c r="DT43" s="20">
        <f>IFERROR((IF(AND($F43="Produit Vente",DR43&gt;0),VLOOKUP($C43,'[1]Paramètres Articles'!$B:$H,6,FALSE)*$DR43)*(1-15%)),0)</f>
        <v>0</v>
      </c>
      <c r="DU43" s="20">
        <f t="shared" si="19"/>
        <v>0</v>
      </c>
      <c r="DW43" s="129"/>
      <c r="DX43" s="145" t="str">
        <f>C36</f>
        <v>PRESENTOIR REGE</v>
      </c>
      <c r="DY43" s="111" t="str">
        <f ca="1">VLOOKUP(DX43,C:D,2,FALSE)</f>
        <v>Présentoir Régénérants 2026</v>
      </c>
      <c r="DZ43" s="112" t="e">
        <f>SUMIFS('[1]Moteur Produits'!$C:$C,'[1]Moteur Produits'!$B:$B,$DX43)</f>
        <v>#VALUE!</v>
      </c>
      <c r="EA43" s="113">
        <v>400</v>
      </c>
      <c r="EB43" s="130"/>
    </row>
    <row r="44" spans="2:132" ht="12.95" customHeight="1">
      <c r="B44" s="1">
        <f>IF(C44="",0,COUNTIFS($B$22:B43,"&gt;"&amp;0)+1)</f>
        <v>0</v>
      </c>
      <c r="C44" s="85"/>
      <c r="D44" s="86" t="str">
        <f>IFERROR(IF($C44="","",VLOOKUP($C44,'[1]Paramètres Articles'!$B:$G,2,FALSE)),"Non Trouvé")</f>
        <v/>
      </c>
      <c r="E44" s="87" t="str">
        <f>IFERROR(IF($C44="","",_xlfn.XLOOKUP(REGENERANTS!$C44,'[1]New Base PA'!$F:$F,'[1]New Base PA'!$D:$D,"Not Found",0)),"Non Trouvé")</f>
        <v/>
      </c>
      <c r="F44" s="88"/>
      <c r="H44" s="101"/>
      <c r="J44" s="90" t="str">
        <f>IFERROR(IF($C44="","",VLOOKUP($C44,'[1]New Base PA'!$F:$J,5,FALSE)),"Non Trouvé")</f>
        <v/>
      </c>
      <c r="K44" s="131" t="str">
        <f t="shared" si="0"/>
        <v/>
      </c>
      <c r="L44" s="132"/>
      <c r="M44" s="131">
        <f>IFERROR(IF(AND($F44="Produit Vente",H44&gt;0),VLOOKUP($C44,'[1]Paramètres Articles'!$B:$G,6,FALSE),0),"Non Trouvé")</f>
        <v>0</v>
      </c>
      <c r="N44" s="131" t="str">
        <f t="shared" si="1"/>
        <v/>
      </c>
      <c r="P44" s="92"/>
      <c r="R44" s="90" t="str">
        <f t="shared" si="2"/>
        <v/>
      </c>
      <c r="S44" s="91"/>
      <c r="T44" s="90" t="str">
        <f>IFERROR(IF($C44="","",VLOOKUP($C44,'[1]Paramètres Articles'!$B:$H,7,FALSE)),"Non Trouvé")</f>
        <v/>
      </c>
      <c r="U44" s="93"/>
      <c r="V44" s="90" t="str">
        <f t="shared" si="4"/>
        <v/>
      </c>
      <c r="W44" s="91"/>
      <c r="X44" s="90" t="str">
        <f t="shared" si="5"/>
        <v/>
      </c>
      <c r="Y44" s="91"/>
      <c r="Z44" s="90">
        <f t="shared" si="6"/>
        <v>0</v>
      </c>
      <c r="AB44" s="94">
        <f t="shared" si="31"/>
        <v>33</v>
      </c>
      <c r="AC44" s="94">
        <f t="shared" si="31"/>
        <v>0.17</v>
      </c>
      <c r="AD44" s="90" t="str">
        <f t="shared" si="7"/>
        <v/>
      </c>
      <c r="AG44" s="94">
        <f t="shared" si="32"/>
        <v>13</v>
      </c>
      <c r="AH44" s="94">
        <f t="shared" si="32"/>
        <v>0.13</v>
      </c>
      <c r="AI44" s="90" t="str">
        <f t="shared" si="8"/>
        <v/>
      </c>
      <c r="AL44" s="94">
        <f t="shared" si="33"/>
        <v>0</v>
      </c>
      <c r="AM44" s="94">
        <f t="shared" si="33"/>
        <v>0.08</v>
      </c>
      <c r="AN44" s="90" t="str">
        <f t="shared" si="9"/>
        <v/>
      </c>
      <c r="AQ44" s="94">
        <f t="shared" si="34"/>
        <v>0</v>
      </c>
      <c r="AR44" s="94">
        <f t="shared" si="34"/>
        <v>0.05</v>
      </c>
      <c r="AS44" s="90" t="str">
        <f t="shared" si="10"/>
        <v/>
      </c>
      <c r="AV44" s="94">
        <f t="shared" si="35"/>
        <v>12</v>
      </c>
      <c r="AW44" s="94">
        <f t="shared" si="35"/>
        <v>0.32500000000000001</v>
      </c>
      <c r="AX44" s="90" t="str">
        <f t="shared" si="11"/>
        <v/>
      </c>
      <c r="BA44" s="94">
        <f t="shared" si="36"/>
        <v>7</v>
      </c>
      <c r="BB44" s="94">
        <f t="shared" si="36"/>
        <v>0.29499999999999998</v>
      </c>
      <c r="BC44" s="90" t="str">
        <f t="shared" si="12"/>
        <v/>
      </c>
      <c r="BF44" s="94">
        <f t="shared" si="37"/>
        <v>0</v>
      </c>
      <c r="BG44" s="94">
        <f t="shared" si="37"/>
        <v>0.27500000000000002</v>
      </c>
      <c r="BH44" s="90" t="str">
        <f t="shared" si="13"/>
        <v/>
      </c>
      <c r="BK44" s="94">
        <f t="shared" si="38"/>
        <v>0</v>
      </c>
      <c r="BL44" s="94">
        <f t="shared" si="38"/>
        <v>0.245</v>
      </c>
      <c r="BM44" s="90" t="str">
        <f t="shared" si="14"/>
        <v/>
      </c>
      <c r="BP44" s="94">
        <f t="shared" si="39"/>
        <v>0</v>
      </c>
      <c r="BQ44" s="94">
        <f t="shared" si="39"/>
        <v>0.22500000000000001</v>
      </c>
      <c r="BR44" s="90" t="str">
        <f t="shared" si="15"/>
        <v/>
      </c>
      <c r="BU44" s="94">
        <f t="shared" si="40"/>
        <v>0</v>
      </c>
      <c r="BV44" s="94">
        <f t="shared" si="40"/>
        <v>0.17499999999999999</v>
      </c>
      <c r="BW44" s="90" t="str">
        <f t="shared" si="16"/>
        <v/>
      </c>
      <c r="BZ44" s="94">
        <f t="shared" si="41"/>
        <v>0</v>
      </c>
      <c r="CA44" s="94">
        <f t="shared" si="41"/>
        <v>0.15</v>
      </c>
      <c r="CB44" s="90" t="str">
        <f t="shared" si="17"/>
        <v/>
      </c>
      <c r="CE44" s="95"/>
      <c r="CF44" s="96"/>
      <c r="CG44" s="97" t="s">
        <v>103</v>
      </c>
      <c r="CH44" s="134">
        <f>IFERROR(CH42*CH43,0)</f>
        <v>3961.60296863443</v>
      </c>
      <c r="CI44" s="98"/>
      <c r="CK44" s="99">
        <f>IFERROR(IF(F44='[1]Paramètres Généraux'!$K$12,ROUNDUP((REGENERANTS!H44*REGENERANTS!$CF$20)*'[1]Paramètres Généraux'!$M$12,-1),IF(F44='[1]Paramètres Généraux'!$K$15,ROUNDUP((REGENERANTS!H44*REGENERANTS!$CF$20)*'[1]Paramètres Généraux'!$M$15,-1),REGENERANTS!H44*REGENERANTS!$CF$20)),"nd")</f>
        <v>0</v>
      </c>
      <c r="CN44" s="100"/>
      <c r="CO44" s="101"/>
      <c r="CP44" s="101"/>
      <c r="CQ44" s="101"/>
      <c r="CR44" s="101"/>
      <c r="CS44" s="144"/>
      <c r="CT44" s="101"/>
      <c r="CU44" s="101"/>
      <c r="CV44" s="103"/>
      <c r="CW44" s="104"/>
      <c r="CX44" s="105"/>
      <c r="CY44" s="106"/>
      <c r="CZ44" s="104"/>
      <c r="DA44" s="107"/>
      <c r="DB44" s="108"/>
      <c r="DC44" s="104"/>
      <c r="DD44" s="109"/>
      <c r="DE44" s="108"/>
      <c r="DF44" s="104"/>
      <c r="DG44" s="104"/>
      <c r="DH44" s="104"/>
      <c r="DI44" s="104"/>
      <c r="DJ44" s="104"/>
      <c r="DK44" s="104"/>
      <c r="DL44" s="104"/>
      <c r="DM44" s="104"/>
      <c r="DN44" s="104"/>
      <c r="DO44" s="107"/>
      <c r="DP44" s="106"/>
      <c r="DQ44" s="20">
        <f t="shared" si="18"/>
        <v>0</v>
      </c>
      <c r="DR44" s="20">
        <f t="shared" si="3"/>
        <v>0</v>
      </c>
      <c r="DS44" s="20">
        <f>IFERROR((IF(AND($F44="Produit Vente",CO44&gt;0),VLOOKUP($C44,'[1]Paramètres Articles'!$B:$H,7,FALSE)*$CO44)*(1-20%)),0)</f>
        <v>0</v>
      </c>
      <c r="DT44" s="20">
        <f>IFERROR((IF(AND($F44="Produit Vente",DR44&gt;0),VLOOKUP($C44,'[1]Paramètres Articles'!$B:$H,6,FALSE)*$DR44)*(1-15%)),0)</f>
        <v>0</v>
      </c>
      <c r="DU44" s="20">
        <f t="shared" si="19"/>
        <v>0</v>
      </c>
      <c r="DW44" s="129"/>
      <c r="DX44" s="145" t="str">
        <f>C41</f>
        <v>SR REGE RETAIL 1</v>
      </c>
      <c r="DY44" s="111" t="str">
        <f ca="1">VLOOKUP(DX44,C:D,2,FALSE)</f>
        <v>Stop-rayon promo Régénérants 2026 -10€</v>
      </c>
      <c r="DZ44" s="112" t="e">
        <f>SUMIFS('[1]Moteur Produits'!$C:$C,'[1]Moteur Produits'!$B:$B,$DX44)</f>
        <v>#VALUE!</v>
      </c>
      <c r="EA44" s="113"/>
      <c r="EB44" s="130"/>
    </row>
    <row r="45" spans="2:132" ht="12.95" customHeight="1">
      <c r="B45" s="1">
        <f>IF(C45="",0,COUNTIFS($B$22:B44,"&gt;"&amp;0)+1)</f>
        <v>0</v>
      </c>
      <c r="C45" s="85"/>
      <c r="D45" s="86" t="str">
        <f>IFERROR(IF($C45="","",VLOOKUP($C45,'[1]Paramètres Articles'!$B:$G,2,FALSE)),"Non Trouvé")</f>
        <v/>
      </c>
      <c r="E45" s="87" t="str">
        <f>IFERROR(IF($C45="","",_xlfn.XLOOKUP(REGENERANTS!$C45,'[1]New Base PA'!$F:$F,'[1]New Base PA'!$D:$D,"Not Found",0)),"Non Trouvé")</f>
        <v/>
      </c>
      <c r="F45" s="88"/>
      <c r="H45" s="101"/>
      <c r="J45" s="90" t="str">
        <f>IFERROR(IF($C45="","",VLOOKUP($C45,'[1]New Base PA'!$F:$J,5,FALSE)),"Non Trouvé")</f>
        <v/>
      </c>
      <c r="K45" s="131" t="str">
        <f t="shared" si="0"/>
        <v/>
      </c>
      <c r="L45" s="132"/>
      <c r="M45" s="131">
        <f>IFERROR(IF(AND($F45="Produit Vente",H45&gt;0),VLOOKUP($C45,'[1]Paramètres Articles'!$B:$G,6,FALSE),0),"Non Trouvé")</f>
        <v>0</v>
      </c>
      <c r="N45" s="131" t="str">
        <f t="shared" si="1"/>
        <v/>
      </c>
      <c r="P45" s="92"/>
      <c r="R45" s="90" t="str">
        <f t="shared" si="2"/>
        <v/>
      </c>
      <c r="S45" s="91"/>
      <c r="T45" s="90" t="str">
        <f>IFERROR(IF($C45="","",VLOOKUP($C45,'[1]Paramètres Articles'!$B:$H,7,FALSE)),"Non Trouvé")</f>
        <v/>
      </c>
      <c r="U45" s="93"/>
      <c r="V45" s="90" t="str">
        <f t="shared" si="4"/>
        <v/>
      </c>
      <c r="W45" s="91"/>
      <c r="X45" s="90" t="str">
        <f t="shared" si="5"/>
        <v/>
      </c>
      <c r="Y45" s="91"/>
      <c r="Z45" s="90">
        <f t="shared" si="6"/>
        <v>0</v>
      </c>
      <c r="AB45" s="94">
        <f t="shared" si="31"/>
        <v>33</v>
      </c>
      <c r="AC45" s="94">
        <f t="shared" si="31"/>
        <v>0.17</v>
      </c>
      <c r="AD45" s="90" t="str">
        <f t="shared" si="7"/>
        <v/>
      </c>
      <c r="AG45" s="94">
        <f t="shared" si="32"/>
        <v>13</v>
      </c>
      <c r="AH45" s="94">
        <f t="shared" si="32"/>
        <v>0.13</v>
      </c>
      <c r="AI45" s="90" t="str">
        <f t="shared" si="8"/>
        <v/>
      </c>
      <c r="AL45" s="94">
        <f t="shared" si="33"/>
        <v>0</v>
      </c>
      <c r="AM45" s="94">
        <f t="shared" si="33"/>
        <v>0.08</v>
      </c>
      <c r="AN45" s="90" t="str">
        <f t="shared" si="9"/>
        <v/>
      </c>
      <c r="AQ45" s="94">
        <f t="shared" si="34"/>
        <v>0</v>
      </c>
      <c r="AR45" s="94">
        <f t="shared" si="34"/>
        <v>0.05</v>
      </c>
      <c r="AS45" s="90" t="str">
        <f t="shared" si="10"/>
        <v/>
      </c>
      <c r="AV45" s="94">
        <f t="shared" si="35"/>
        <v>12</v>
      </c>
      <c r="AW45" s="94">
        <f t="shared" si="35"/>
        <v>0.32500000000000001</v>
      </c>
      <c r="AX45" s="90" t="str">
        <f t="shared" si="11"/>
        <v/>
      </c>
      <c r="BA45" s="94">
        <f t="shared" si="36"/>
        <v>7</v>
      </c>
      <c r="BB45" s="94">
        <f t="shared" si="36"/>
        <v>0.29499999999999998</v>
      </c>
      <c r="BC45" s="90" t="str">
        <f t="shared" si="12"/>
        <v/>
      </c>
      <c r="BF45" s="94">
        <f t="shared" si="37"/>
        <v>0</v>
      </c>
      <c r="BG45" s="94">
        <f t="shared" si="37"/>
        <v>0.27500000000000002</v>
      </c>
      <c r="BH45" s="90" t="str">
        <f t="shared" si="13"/>
        <v/>
      </c>
      <c r="BK45" s="94">
        <f t="shared" si="38"/>
        <v>0</v>
      </c>
      <c r="BL45" s="94">
        <f t="shared" si="38"/>
        <v>0.245</v>
      </c>
      <c r="BM45" s="90" t="str">
        <f t="shared" si="14"/>
        <v/>
      </c>
      <c r="BP45" s="94">
        <f t="shared" si="39"/>
        <v>0</v>
      </c>
      <c r="BQ45" s="94">
        <f t="shared" si="39"/>
        <v>0.22500000000000001</v>
      </c>
      <c r="BR45" s="90" t="str">
        <f t="shared" si="15"/>
        <v/>
      </c>
      <c r="BU45" s="94">
        <f t="shared" si="40"/>
        <v>0</v>
      </c>
      <c r="BV45" s="94">
        <f t="shared" si="40"/>
        <v>0.17499999999999999</v>
      </c>
      <c r="BW45" s="90" t="str">
        <f t="shared" si="16"/>
        <v/>
      </c>
      <c r="BZ45" s="94">
        <f t="shared" si="41"/>
        <v>0</v>
      </c>
      <c r="CA45" s="94">
        <f t="shared" si="41"/>
        <v>0.15</v>
      </c>
      <c r="CB45" s="90" t="str">
        <f t="shared" si="17"/>
        <v/>
      </c>
      <c r="CE45" s="95"/>
      <c r="CF45" s="96"/>
      <c r="CG45" s="97"/>
      <c r="CH45" s="97"/>
      <c r="CI45" s="98"/>
      <c r="CK45" s="99">
        <f>IFERROR(IF(F45='[1]Paramètres Généraux'!$K$12,ROUNDUP((REGENERANTS!H45*REGENERANTS!$CF$20)*'[1]Paramètres Généraux'!$M$12,-1),IF(F45='[1]Paramètres Généraux'!$K$15,ROUNDUP((REGENERANTS!H45*REGENERANTS!$CF$20)*'[1]Paramètres Généraux'!$M$15,-1),REGENERANTS!H45*REGENERANTS!$CF$20)),"nd")</f>
        <v>0</v>
      </c>
      <c r="CN45" s="100"/>
      <c r="CO45" s="101"/>
      <c r="CP45" s="101"/>
      <c r="CQ45" s="101"/>
      <c r="CR45" s="101"/>
      <c r="CS45" s="144"/>
      <c r="CT45" s="101"/>
      <c r="CU45" s="101"/>
      <c r="CV45" s="103"/>
      <c r="CW45" s="104"/>
      <c r="CX45" s="105"/>
      <c r="CY45" s="106"/>
      <c r="CZ45" s="104"/>
      <c r="DA45" s="107"/>
      <c r="DB45" s="108"/>
      <c r="DC45" s="104"/>
      <c r="DD45" s="109"/>
      <c r="DE45" s="108"/>
      <c r="DF45" s="104"/>
      <c r="DG45" s="104"/>
      <c r="DH45" s="104"/>
      <c r="DI45" s="104"/>
      <c r="DJ45" s="104"/>
      <c r="DK45" s="104"/>
      <c r="DL45" s="104"/>
      <c r="DM45" s="104"/>
      <c r="DN45" s="104"/>
      <c r="DO45" s="107"/>
      <c r="DP45" s="106"/>
      <c r="DQ45" s="20">
        <f t="shared" si="18"/>
        <v>0</v>
      </c>
      <c r="DR45" s="20">
        <f t="shared" si="3"/>
        <v>0</v>
      </c>
      <c r="DS45" s="20">
        <f>IFERROR((IF(AND($F45="Produit Vente",CO45&gt;0),VLOOKUP($C45,'[1]Paramètres Articles'!$B:$H,7,FALSE)*$CO45)*(1-20%)),0)</f>
        <v>0</v>
      </c>
      <c r="DT45" s="20">
        <f>IFERROR((IF(AND($F45="Produit Vente",DR45&gt;0),VLOOKUP($C45,'[1]Paramètres Articles'!$B:$H,6,FALSE)*$DR45)*(1-15%)),0)</f>
        <v>0</v>
      </c>
      <c r="DU45" s="20">
        <f t="shared" si="19"/>
        <v>0</v>
      </c>
      <c r="DW45" s="129"/>
      <c r="DX45" s="145" t="str">
        <f>C133</f>
        <v>SR REGE RETAIL 2</v>
      </c>
      <c r="DY45" s="111" t="str">
        <f ca="1">VLOOKUP(DX45,C:D,2,FALSE)</f>
        <v>Stop-rayon promo Régénérants 2026 vierge</v>
      </c>
      <c r="DZ45" s="112" t="e">
        <f>SUMIFS('[1]Moteur Produits'!$C:$C,'[1]Moteur Produits'!$B:$B,$DX45)</f>
        <v>#VALUE!</v>
      </c>
      <c r="EA45" s="119"/>
      <c r="EB45" s="130"/>
    </row>
    <row r="46" spans="2:132" ht="12.95" customHeight="1">
      <c r="B46" s="1">
        <f>IF(C46="",0,COUNTIFS($B$22:B45,"&gt;"&amp;0)+1)</f>
        <v>0</v>
      </c>
      <c r="C46" s="85"/>
      <c r="D46" s="86" t="str">
        <f>IFERROR(IF($C46="","",VLOOKUP($C46,'[1]Paramètres Articles'!$B:$G,2,FALSE)),"Non Trouvé")</f>
        <v/>
      </c>
      <c r="E46" s="87" t="str">
        <f>IFERROR(IF($C46="","",_xlfn.XLOOKUP(REGENERANTS!$C46,'[1]New Base PA'!$F:$F,'[1]New Base PA'!$D:$D,"Not Found",0)),"Non Trouvé")</f>
        <v/>
      </c>
      <c r="F46" s="88"/>
      <c r="H46" s="101"/>
      <c r="J46" s="90" t="str">
        <f>IFERROR(IF($C46="","",VLOOKUP($C46,'[1]New Base PA'!$F:$J,5,FALSE)),"Non Trouvé")</f>
        <v/>
      </c>
      <c r="K46" s="131" t="str">
        <f t="shared" si="0"/>
        <v/>
      </c>
      <c r="L46" s="132"/>
      <c r="M46" s="131">
        <f>IFERROR(IF(AND($F46="Produit Vente",H46&gt;0),VLOOKUP($C46,'[1]Paramètres Articles'!$B:$G,6,FALSE),0),"Non Trouvé")</f>
        <v>0</v>
      </c>
      <c r="N46" s="131" t="str">
        <f t="shared" si="1"/>
        <v/>
      </c>
      <c r="P46" s="92"/>
      <c r="R46" s="90" t="str">
        <f t="shared" si="2"/>
        <v/>
      </c>
      <c r="S46" s="91"/>
      <c r="T46" s="90" t="str">
        <f>IFERROR(IF($C46="","",VLOOKUP($C46,'[1]Paramètres Articles'!$B:$H,7,FALSE)),"Non Trouvé")</f>
        <v/>
      </c>
      <c r="U46" s="93"/>
      <c r="V46" s="90" t="str">
        <f t="shared" si="4"/>
        <v/>
      </c>
      <c r="W46" s="91"/>
      <c r="X46" s="90" t="str">
        <f t="shared" si="5"/>
        <v/>
      </c>
      <c r="Y46" s="91"/>
      <c r="Z46" s="90">
        <f t="shared" si="6"/>
        <v>0</v>
      </c>
      <c r="AB46" s="94">
        <f t="shared" si="31"/>
        <v>33</v>
      </c>
      <c r="AC46" s="94">
        <f t="shared" si="31"/>
        <v>0.17</v>
      </c>
      <c r="AD46" s="90" t="str">
        <f t="shared" si="7"/>
        <v/>
      </c>
      <c r="AG46" s="94">
        <f t="shared" si="32"/>
        <v>13</v>
      </c>
      <c r="AH46" s="94">
        <f t="shared" si="32"/>
        <v>0.13</v>
      </c>
      <c r="AI46" s="90" t="str">
        <f t="shared" si="8"/>
        <v/>
      </c>
      <c r="AL46" s="94">
        <f t="shared" si="33"/>
        <v>0</v>
      </c>
      <c r="AM46" s="94">
        <f t="shared" si="33"/>
        <v>0.08</v>
      </c>
      <c r="AN46" s="90" t="str">
        <f t="shared" si="9"/>
        <v/>
      </c>
      <c r="AQ46" s="94">
        <f t="shared" si="34"/>
        <v>0</v>
      </c>
      <c r="AR46" s="94">
        <f t="shared" si="34"/>
        <v>0.05</v>
      </c>
      <c r="AS46" s="90" t="str">
        <f t="shared" si="10"/>
        <v/>
      </c>
      <c r="AV46" s="94">
        <f t="shared" si="35"/>
        <v>12</v>
      </c>
      <c r="AW46" s="94">
        <f t="shared" si="35"/>
        <v>0.32500000000000001</v>
      </c>
      <c r="AX46" s="90" t="str">
        <f t="shared" si="11"/>
        <v/>
      </c>
      <c r="BA46" s="94">
        <f t="shared" si="36"/>
        <v>7</v>
      </c>
      <c r="BB46" s="94">
        <f t="shared" si="36"/>
        <v>0.29499999999999998</v>
      </c>
      <c r="BC46" s="90" t="str">
        <f t="shared" si="12"/>
        <v/>
      </c>
      <c r="BF46" s="94">
        <f t="shared" si="37"/>
        <v>0</v>
      </c>
      <c r="BG46" s="94">
        <f t="shared" si="37"/>
        <v>0.27500000000000002</v>
      </c>
      <c r="BH46" s="90" t="str">
        <f t="shared" si="13"/>
        <v/>
      </c>
      <c r="BK46" s="94">
        <f t="shared" si="38"/>
        <v>0</v>
      </c>
      <c r="BL46" s="94">
        <f t="shared" si="38"/>
        <v>0.245</v>
      </c>
      <c r="BM46" s="90" t="str">
        <f t="shared" si="14"/>
        <v/>
      </c>
      <c r="BP46" s="94">
        <f t="shared" si="39"/>
        <v>0</v>
      </c>
      <c r="BQ46" s="94">
        <f t="shared" si="39"/>
        <v>0.22500000000000001</v>
      </c>
      <c r="BR46" s="90" t="str">
        <f t="shared" si="15"/>
        <v/>
      </c>
      <c r="BU46" s="94">
        <f t="shared" si="40"/>
        <v>0</v>
      </c>
      <c r="BV46" s="94">
        <f t="shared" si="40"/>
        <v>0.17499999999999999</v>
      </c>
      <c r="BW46" s="90" t="str">
        <f t="shared" si="16"/>
        <v/>
      </c>
      <c r="BZ46" s="94">
        <f t="shared" si="41"/>
        <v>0</v>
      </c>
      <c r="CA46" s="94">
        <f t="shared" si="41"/>
        <v>0.15</v>
      </c>
      <c r="CB46" s="90" t="str">
        <f t="shared" si="17"/>
        <v/>
      </c>
      <c r="CE46" s="95"/>
      <c r="CF46" s="96"/>
      <c r="CG46" s="97"/>
      <c r="CH46" s="97"/>
      <c r="CI46" s="98"/>
      <c r="CK46" s="99">
        <f>IFERROR(IF(F46='[1]Paramètres Généraux'!$K$12,ROUNDUP((REGENERANTS!H46*REGENERANTS!$CF$20)*'[1]Paramètres Généraux'!$M$12,-1),IF(F46='[1]Paramètres Généraux'!$K$15,ROUNDUP((REGENERANTS!H46*REGENERANTS!$CF$20)*'[1]Paramètres Généraux'!$M$15,-1),REGENERANTS!H46*REGENERANTS!$CF$20)),"nd")</f>
        <v>0</v>
      </c>
      <c r="CN46" s="100"/>
      <c r="CO46" s="101"/>
      <c r="CP46" s="101"/>
      <c r="CQ46" s="101"/>
      <c r="CR46" s="101"/>
      <c r="CS46" s="144"/>
      <c r="CT46" s="101"/>
      <c r="CU46" s="101"/>
      <c r="CV46" s="103"/>
      <c r="CW46" s="104"/>
      <c r="CX46" s="105"/>
      <c r="CY46" s="106"/>
      <c r="CZ46" s="104"/>
      <c r="DA46" s="107"/>
      <c r="DB46" s="108"/>
      <c r="DC46" s="104"/>
      <c r="DD46" s="109"/>
      <c r="DE46" s="108"/>
      <c r="DF46" s="104"/>
      <c r="DG46" s="104"/>
      <c r="DH46" s="104"/>
      <c r="DI46" s="104"/>
      <c r="DJ46" s="104"/>
      <c r="DK46" s="104"/>
      <c r="DL46" s="104"/>
      <c r="DM46" s="104"/>
      <c r="DN46" s="104"/>
      <c r="DO46" s="107"/>
      <c r="DP46" s="106"/>
      <c r="DQ46" s="20">
        <f t="shared" si="18"/>
        <v>0</v>
      </c>
      <c r="DR46" s="20">
        <f t="shared" si="3"/>
        <v>0</v>
      </c>
      <c r="DS46" s="20">
        <f>IFERROR((IF(AND($F46="Produit Vente",CO46&gt;0),VLOOKUP($C46,'[1]Paramètres Articles'!$B:$H,7,FALSE)*$CO46)*(1-20%)),0)</f>
        <v>0</v>
      </c>
      <c r="DT46" s="20">
        <f>IFERROR((IF(AND($F46="Produit Vente",DR46&gt;0),VLOOKUP($C46,'[1]Paramètres Articles'!$B:$H,6,FALSE)*$DR46)*(1-15%)),0)</f>
        <v>0</v>
      </c>
      <c r="DU46" s="20">
        <f t="shared" si="19"/>
        <v>0</v>
      </c>
      <c r="DW46" s="129"/>
      <c r="DX46" s="145"/>
      <c r="DY46" s="111"/>
      <c r="DZ46" s="112" t="e">
        <f>SUMIFS('[1]Moteur Produits'!$C:$C,'[1]Moteur Produits'!$B:$B,$DX46)</f>
        <v>#VALUE!</v>
      </c>
      <c r="EA46" s="119"/>
      <c r="EB46" s="130"/>
    </row>
    <row r="47" spans="2:132" ht="12.95" customHeight="1">
      <c r="B47" s="1">
        <f>IF(C47="",0,COUNTIFS($B$22:B46,"&gt;"&amp;0)+1)</f>
        <v>0</v>
      </c>
      <c r="C47" s="85"/>
      <c r="D47" s="86" t="str">
        <f>IFERROR(IF($C47="","",VLOOKUP($C47,'[1]Paramètres Articles'!$B:$G,2,FALSE)),"Non Trouvé")</f>
        <v/>
      </c>
      <c r="E47" s="87" t="str">
        <f>IFERROR(IF($C47="","",_xlfn.XLOOKUP(REGENERANTS!$C47,'[1]New Base PA'!$F:$F,'[1]New Base PA'!$D:$D,"Not Found",0)),"Non Trouvé")</f>
        <v/>
      </c>
      <c r="F47" s="88"/>
      <c r="H47" s="101"/>
      <c r="J47" s="90" t="str">
        <f>IFERROR(IF($C47="","",VLOOKUP($C47,'[1]New Base PA'!$F:$J,5,FALSE)),"Non Trouvé")</f>
        <v/>
      </c>
      <c r="K47" s="131" t="str">
        <f t="shared" si="0"/>
        <v/>
      </c>
      <c r="L47" s="132"/>
      <c r="M47" s="131">
        <f>IFERROR(IF(AND($F47="Produit Vente",H47&gt;0),VLOOKUP($C47,'[1]Paramètres Articles'!$B:$G,6,FALSE),0),"Non Trouvé")</f>
        <v>0</v>
      </c>
      <c r="N47" s="131" t="str">
        <f t="shared" si="1"/>
        <v/>
      </c>
      <c r="P47" s="92"/>
      <c r="R47" s="90" t="str">
        <f t="shared" si="2"/>
        <v/>
      </c>
      <c r="S47" s="91"/>
      <c r="T47" s="90" t="str">
        <f>IFERROR(IF($C47="","",VLOOKUP($C47,'[1]Paramètres Articles'!$B:$H,7,FALSE)),"Non Trouvé")</f>
        <v/>
      </c>
      <c r="U47" s="93"/>
      <c r="V47" s="90" t="str">
        <f t="shared" si="4"/>
        <v/>
      </c>
      <c r="W47" s="91"/>
      <c r="X47" s="90" t="str">
        <f t="shared" si="5"/>
        <v/>
      </c>
      <c r="Y47" s="91"/>
      <c r="Z47" s="90">
        <f t="shared" si="6"/>
        <v>0</v>
      </c>
      <c r="AB47" s="94">
        <f t="shared" si="31"/>
        <v>33</v>
      </c>
      <c r="AC47" s="94">
        <f t="shared" si="31"/>
        <v>0.17</v>
      </c>
      <c r="AD47" s="90" t="str">
        <f t="shared" si="7"/>
        <v/>
      </c>
      <c r="AG47" s="94">
        <f t="shared" si="32"/>
        <v>13</v>
      </c>
      <c r="AH47" s="94">
        <f t="shared" si="32"/>
        <v>0.13</v>
      </c>
      <c r="AI47" s="90" t="str">
        <f t="shared" si="8"/>
        <v/>
      </c>
      <c r="AL47" s="94">
        <f t="shared" si="33"/>
        <v>0</v>
      </c>
      <c r="AM47" s="94">
        <f t="shared" si="33"/>
        <v>0.08</v>
      </c>
      <c r="AN47" s="90" t="str">
        <f t="shared" si="9"/>
        <v/>
      </c>
      <c r="AQ47" s="94">
        <f t="shared" si="34"/>
        <v>0</v>
      </c>
      <c r="AR47" s="94">
        <f t="shared" si="34"/>
        <v>0.05</v>
      </c>
      <c r="AS47" s="90" t="str">
        <f t="shared" si="10"/>
        <v/>
      </c>
      <c r="AV47" s="94">
        <f t="shared" si="35"/>
        <v>12</v>
      </c>
      <c r="AW47" s="94">
        <f t="shared" si="35"/>
        <v>0.32500000000000001</v>
      </c>
      <c r="AX47" s="90" t="str">
        <f t="shared" si="11"/>
        <v/>
      </c>
      <c r="BA47" s="94">
        <f t="shared" si="36"/>
        <v>7</v>
      </c>
      <c r="BB47" s="94">
        <f t="shared" si="36"/>
        <v>0.29499999999999998</v>
      </c>
      <c r="BC47" s="90" t="str">
        <f t="shared" si="12"/>
        <v/>
      </c>
      <c r="BF47" s="94">
        <f t="shared" si="37"/>
        <v>0</v>
      </c>
      <c r="BG47" s="94">
        <f t="shared" si="37"/>
        <v>0.27500000000000002</v>
      </c>
      <c r="BH47" s="90" t="str">
        <f t="shared" si="13"/>
        <v/>
      </c>
      <c r="BK47" s="94">
        <f t="shared" si="38"/>
        <v>0</v>
      </c>
      <c r="BL47" s="94">
        <f t="shared" si="38"/>
        <v>0.245</v>
      </c>
      <c r="BM47" s="90" t="str">
        <f t="shared" si="14"/>
        <v/>
      </c>
      <c r="BP47" s="94">
        <f t="shared" si="39"/>
        <v>0</v>
      </c>
      <c r="BQ47" s="94">
        <f t="shared" si="39"/>
        <v>0.22500000000000001</v>
      </c>
      <c r="BR47" s="90" t="str">
        <f t="shared" si="15"/>
        <v/>
      </c>
      <c r="BU47" s="94">
        <f t="shared" si="40"/>
        <v>0</v>
      </c>
      <c r="BV47" s="94">
        <f t="shared" si="40"/>
        <v>0.17499999999999999</v>
      </c>
      <c r="BW47" s="90" t="str">
        <f t="shared" si="16"/>
        <v/>
      </c>
      <c r="BZ47" s="94">
        <f t="shared" si="41"/>
        <v>0</v>
      </c>
      <c r="CA47" s="94">
        <f t="shared" si="41"/>
        <v>0.15</v>
      </c>
      <c r="CB47" s="90" t="str">
        <f t="shared" si="17"/>
        <v/>
      </c>
      <c r="CE47" s="95"/>
      <c r="CF47" s="96"/>
      <c r="CG47" s="97"/>
      <c r="CH47" s="97"/>
      <c r="CI47" s="98"/>
      <c r="CK47" s="99">
        <f>IFERROR(IF(F47='[1]Paramètres Généraux'!$K$12,ROUNDUP((REGENERANTS!H47*REGENERANTS!$CF$20)*'[1]Paramètres Généraux'!$M$12,-1),IF(F47='[1]Paramètres Généraux'!$K$15,ROUNDUP((REGENERANTS!H47*REGENERANTS!$CF$20)*'[1]Paramètres Généraux'!$M$15,-1),REGENERANTS!H47*REGENERANTS!$CF$20)),"nd")</f>
        <v>0</v>
      </c>
      <c r="CN47" s="100"/>
      <c r="CO47" s="101"/>
      <c r="CP47" s="101"/>
      <c r="CQ47" s="101"/>
      <c r="CR47" s="101"/>
      <c r="CS47" s="144"/>
      <c r="CT47" s="101"/>
      <c r="CU47" s="101"/>
      <c r="CV47" s="103"/>
      <c r="CW47" s="104"/>
      <c r="CX47" s="105"/>
      <c r="CY47" s="106"/>
      <c r="CZ47" s="104"/>
      <c r="DA47" s="107"/>
      <c r="DB47" s="108"/>
      <c r="DC47" s="104"/>
      <c r="DD47" s="109"/>
      <c r="DE47" s="108"/>
      <c r="DF47" s="104"/>
      <c r="DG47" s="104"/>
      <c r="DH47" s="104"/>
      <c r="DI47" s="104"/>
      <c r="DJ47" s="104"/>
      <c r="DK47" s="104"/>
      <c r="DL47" s="104"/>
      <c r="DM47" s="104"/>
      <c r="DN47" s="104"/>
      <c r="DO47" s="107"/>
      <c r="DP47" s="106"/>
      <c r="DQ47" s="20">
        <f t="shared" si="18"/>
        <v>0</v>
      </c>
      <c r="DR47" s="20">
        <f t="shared" si="3"/>
        <v>0</v>
      </c>
      <c r="DS47" s="20">
        <f>IFERROR((IF(AND($F47="Produit Vente",CO47&gt;0),VLOOKUP($C47,'[1]Paramètres Articles'!$B:$H,7,FALSE)*$CO47)*(1-20%)),0)</f>
        <v>0</v>
      </c>
      <c r="DT47" s="20">
        <f>IFERROR((IF(AND($F47="Produit Vente",DR47&gt;0),VLOOKUP($C47,'[1]Paramètres Articles'!$B:$H,6,FALSE)*$DR47)*(1-15%)),0)</f>
        <v>0</v>
      </c>
      <c r="DU47" s="20">
        <f t="shared" si="19"/>
        <v>0</v>
      </c>
      <c r="DW47" s="129"/>
      <c r="DX47" s="145"/>
      <c r="DY47" s="111"/>
      <c r="EA47" s="119"/>
      <c r="EB47" s="130"/>
    </row>
    <row r="48" spans="2:132" ht="12.95" customHeight="1">
      <c r="B48" s="1">
        <f>IF(C48="",0,COUNTIFS($B$22:B47,"&gt;"&amp;0)+1)</f>
        <v>0</v>
      </c>
      <c r="C48" s="85"/>
      <c r="D48" s="86" t="str">
        <f>IFERROR(IF($C48="","",VLOOKUP($C48,'[1]Paramètres Articles'!$B:$G,2,FALSE)),"Non Trouvé")</f>
        <v/>
      </c>
      <c r="E48" s="87" t="str">
        <f>IFERROR(IF($C48="","",_xlfn.XLOOKUP(REGENERANTS!$C48,'[1]New Base PA'!$F:$F,'[1]New Base PA'!$D:$D,"Not Found",0)),"Non Trouvé")</f>
        <v/>
      </c>
      <c r="F48" s="88"/>
      <c r="H48" s="101"/>
      <c r="J48" s="90" t="str">
        <f>IFERROR(IF($C48="","",VLOOKUP($C48,'[1]New Base PA'!$F:$J,5,FALSE)),"Non Trouvé")</f>
        <v/>
      </c>
      <c r="K48" s="131" t="str">
        <f t="shared" si="0"/>
        <v/>
      </c>
      <c r="L48" s="132"/>
      <c r="M48" s="131">
        <f>IFERROR(IF(AND($F48="Produit Vente",H48&gt;0),VLOOKUP($C48,'[1]Paramètres Articles'!$B:$G,6,FALSE),0),"Non Trouvé")</f>
        <v>0</v>
      </c>
      <c r="N48" s="131" t="str">
        <f t="shared" si="1"/>
        <v/>
      </c>
      <c r="P48" s="92"/>
      <c r="R48" s="90" t="str">
        <f t="shared" si="2"/>
        <v/>
      </c>
      <c r="S48" s="91"/>
      <c r="T48" s="90" t="str">
        <f>IFERROR(IF($C48="","",VLOOKUP($C48,'[1]Paramètres Articles'!$B:$H,7,FALSE)),"Non Trouvé")</f>
        <v/>
      </c>
      <c r="U48" s="93"/>
      <c r="V48" s="90" t="str">
        <f t="shared" si="4"/>
        <v/>
      </c>
      <c r="W48" s="91"/>
      <c r="X48" s="90" t="str">
        <f t="shared" si="5"/>
        <v/>
      </c>
      <c r="Y48" s="91"/>
      <c r="Z48" s="90">
        <f t="shared" si="6"/>
        <v>0</v>
      </c>
      <c r="AB48" s="94">
        <f t="shared" si="31"/>
        <v>33</v>
      </c>
      <c r="AC48" s="94">
        <f t="shared" si="31"/>
        <v>0.17</v>
      </c>
      <c r="AD48" s="90" t="str">
        <f t="shared" si="7"/>
        <v/>
      </c>
      <c r="AG48" s="94">
        <f t="shared" si="32"/>
        <v>13</v>
      </c>
      <c r="AH48" s="94">
        <f t="shared" si="32"/>
        <v>0.13</v>
      </c>
      <c r="AI48" s="90" t="str">
        <f t="shared" si="8"/>
        <v/>
      </c>
      <c r="AL48" s="94">
        <f t="shared" si="33"/>
        <v>0</v>
      </c>
      <c r="AM48" s="94">
        <f t="shared" si="33"/>
        <v>0.08</v>
      </c>
      <c r="AN48" s="90" t="str">
        <f t="shared" si="9"/>
        <v/>
      </c>
      <c r="AQ48" s="94">
        <f t="shared" si="34"/>
        <v>0</v>
      </c>
      <c r="AR48" s="94">
        <f t="shared" si="34"/>
        <v>0.05</v>
      </c>
      <c r="AS48" s="90" t="str">
        <f t="shared" si="10"/>
        <v/>
      </c>
      <c r="AV48" s="94">
        <f t="shared" si="35"/>
        <v>12</v>
      </c>
      <c r="AW48" s="94">
        <f t="shared" si="35"/>
        <v>0.32500000000000001</v>
      </c>
      <c r="AX48" s="90" t="str">
        <f t="shared" si="11"/>
        <v/>
      </c>
      <c r="BA48" s="94">
        <f t="shared" si="36"/>
        <v>7</v>
      </c>
      <c r="BB48" s="94">
        <f t="shared" si="36"/>
        <v>0.29499999999999998</v>
      </c>
      <c r="BC48" s="90" t="str">
        <f t="shared" si="12"/>
        <v/>
      </c>
      <c r="BF48" s="94">
        <f t="shared" si="37"/>
        <v>0</v>
      </c>
      <c r="BG48" s="94">
        <f t="shared" si="37"/>
        <v>0.27500000000000002</v>
      </c>
      <c r="BH48" s="90" t="str">
        <f t="shared" si="13"/>
        <v/>
      </c>
      <c r="BK48" s="94">
        <f t="shared" si="38"/>
        <v>0</v>
      </c>
      <c r="BL48" s="94">
        <f t="shared" si="38"/>
        <v>0.245</v>
      </c>
      <c r="BM48" s="90" t="str">
        <f t="shared" si="14"/>
        <v/>
      </c>
      <c r="BP48" s="94">
        <f t="shared" si="39"/>
        <v>0</v>
      </c>
      <c r="BQ48" s="94">
        <f t="shared" si="39"/>
        <v>0.22500000000000001</v>
      </c>
      <c r="BR48" s="90" t="str">
        <f t="shared" si="15"/>
        <v/>
      </c>
      <c r="BU48" s="94">
        <f t="shared" si="40"/>
        <v>0</v>
      </c>
      <c r="BV48" s="94">
        <f t="shared" si="40"/>
        <v>0.17499999999999999</v>
      </c>
      <c r="BW48" s="90" t="str">
        <f t="shared" si="16"/>
        <v/>
      </c>
      <c r="BZ48" s="94">
        <f t="shared" si="41"/>
        <v>0</v>
      </c>
      <c r="CA48" s="94">
        <f t="shared" si="41"/>
        <v>0.15</v>
      </c>
      <c r="CB48" s="90" t="str">
        <f t="shared" si="17"/>
        <v/>
      </c>
      <c r="CE48" s="95"/>
      <c r="CF48" s="96"/>
      <c r="CG48" s="97"/>
      <c r="CH48" s="97"/>
      <c r="CI48" s="98"/>
      <c r="CK48" s="99">
        <f>IFERROR(IF(F48='[1]Paramètres Généraux'!$K$12,ROUNDUP((REGENERANTS!H48*REGENERANTS!$CF$20)*'[1]Paramètres Généraux'!$M$12,-1),IF(F48='[1]Paramètres Généraux'!$K$15,ROUNDUP((REGENERANTS!H48*REGENERANTS!$CF$20)*'[1]Paramètres Généraux'!$M$15,-1),REGENERANTS!H48*REGENERANTS!$CF$20)),"nd")</f>
        <v>0</v>
      </c>
      <c r="CN48" s="146"/>
      <c r="CO48" s="147"/>
      <c r="CP48" s="147"/>
      <c r="CQ48" s="147"/>
      <c r="CR48" s="147"/>
      <c r="CS48" s="144"/>
      <c r="CT48" s="147"/>
      <c r="CU48" s="147"/>
      <c r="CV48" s="148"/>
      <c r="CW48" s="136"/>
      <c r="CX48" s="149"/>
      <c r="CY48" s="150"/>
      <c r="CZ48" s="136"/>
      <c r="DA48" s="149"/>
      <c r="DB48" s="150"/>
      <c r="DC48" s="136"/>
      <c r="DD48" s="149"/>
      <c r="DE48" s="150"/>
      <c r="DF48" s="136"/>
      <c r="DG48" s="136"/>
      <c r="DH48" s="136"/>
      <c r="DI48" s="136"/>
      <c r="DJ48" s="136"/>
      <c r="DK48" s="136"/>
      <c r="DL48" s="136"/>
      <c r="DM48" s="136"/>
      <c r="DN48" s="136"/>
      <c r="DO48" s="149"/>
      <c r="DP48" s="150"/>
      <c r="DQ48" s="20">
        <f t="shared" si="18"/>
        <v>0</v>
      </c>
      <c r="DR48" s="20">
        <f t="shared" si="3"/>
        <v>0</v>
      </c>
      <c r="DS48" s="20">
        <f>IFERROR((IF(AND($F48="Produit Vente",CO48&gt;0),VLOOKUP($C48,'[1]Paramètres Articles'!$B:$H,7,FALSE)*$CO48)*(1-20%)),0)</f>
        <v>0</v>
      </c>
      <c r="DT48" s="20">
        <f>IFERROR((IF(AND($F48="Produit Vente",DR48&gt;0),VLOOKUP($C48,'[1]Paramètres Articles'!$B:$H,6,FALSE)*$DR48)*(1-15%)),0)</f>
        <v>0</v>
      </c>
      <c r="DU48" s="20">
        <f t="shared" si="19"/>
        <v>0</v>
      </c>
      <c r="DW48" s="129"/>
      <c r="DX48" s="145"/>
      <c r="DY48" s="111"/>
      <c r="EA48" s="119"/>
      <c r="EB48" s="130"/>
    </row>
    <row r="49" spans="2:132" ht="12.95" customHeight="1">
      <c r="B49" s="1">
        <f>IF(C49="",0,COUNTIFS($B$22:B48,"&gt;"&amp;0)+1)</f>
        <v>0</v>
      </c>
      <c r="C49" s="85"/>
      <c r="D49" s="86" t="str">
        <f>IFERROR(IF($C49="","",VLOOKUP($C49,'[1]Paramètres Articles'!$B:$G,2,FALSE)),"Non Trouvé")</f>
        <v/>
      </c>
      <c r="E49" s="87" t="str">
        <f>IFERROR(IF($C49="","",_xlfn.XLOOKUP(REGENERANTS!$C49,'[1]New Base PA'!$F:$F,'[1]New Base PA'!$D:$D,"Not Found",0)),"Non Trouvé")</f>
        <v/>
      </c>
      <c r="F49" s="88"/>
      <c r="H49" s="101"/>
      <c r="J49" s="90" t="str">
        <f>IFERROR(IF($C49="","",VLOOKUP($C49,'[1]New Base PA'!$F:$J,5,FALSE)),"Non Trouvé")</f>
        <v/>
      </c>
      <c r="K49" s="131" t="str">
        <f t="shared" si="0"/>
        <v/>
      </c>
      <c r="L49" s="132"/>
      <c r="M49" s="131">
        <f>IFERROR(IF(AND($F49="Produit Vente",H49&gt;0),VLOOKUP($C49,'[1]Paramètres Articles'!$B:$G,6,FALSE),0),"Non Trouvé")</f>
        <v>0</v>
      </c>
      <c r="N49" s="131" t="str">
        <f t="shared" si="1"/>
        <v/>
      </c>
      <c r="P49" s="92"/>
      <c r="R49" s="90" t="str">
        <f t="shared" si="2"/>
        <v/>
      </c>
      <c r="S49" s="91"/>
      <c r="T49" s="90" t="str">
        <f>IFERROR(IF($C49="","",VLOOKUP($C49,'[1]Paramètres Articles'!$B:$H,7,FALSE)),"Non Trouvé")</f>
        <v/>
      </c>
      <c r="U49" s="93"/>
      <c r="V49" s="90" t="str">
        <f t="shared" si="4"/>
        <v/>
      </c>
      <c r="W49" s="91"/>
      <c r="X49" s="90" t="str">
        <f t="shared" si="5"/>
        <v/>
      </c>
      <c r="Y49" s="91"/>
      <c r="Z49" s="90">
        <f t="shared" si="6"/>
        <v>0</v>
      </c>
      <c r="AB49" s="94">
        <f t="shared" si="31"/>
        <v>33</v>
      </c>
      <c r="AC49" s="94">
        <f t="shared" si="31"/>
        <v>0.17</v>
      </c>
      <c r="AD49" s="90" t="str">
        <f t="shared" si="7"/>
        <v/>
      </c>
      <c r="AG49" s="94">
        <f t="shared" si="32"/>
        <v>13</v>
      </c>
      <c r="AH49" s="94">
        <f t="shared" si="32"/>
        <v>0.13</v>
      </c>
      <c r="AI49" s="90" t="str">
        <f t="shared" si="8"/>
        <v/>
      </c>
      <c r="AL49" s="94">
        <f t="shared" si="33"/>
        <v>0</v>
      </c>
      <c r="AM49" s="94">
        <f t="shared" si="33"/>
        <v>0.08</v>
      </c>
      <c r="AN49" s="90" t="str">
        <f t="shared" si="9"/>
        <v/>
      </c>
      <c r="AQ49" s="94">
        <f t="shared" si="34"/>
        <v>0</v>
      </c>
      <c r="AR49" s="94">
        <f t="shared" si="34"/>
        <v>0.05</v>
      </c>
      <c r="AS49" s="90" t="str">
        <f t="shared" si="10"/>
        <v/>
      </c>
      <c r="AV49" s="94">
        <f t="shared" si="35"/>
        <v>12</v>
      </c>
      <c r="AW49" s="94">
        <f t="shared" si="35"/>
        <v>0.32500000000000001</v>
      </c>
      <c r="AX49" s="90" t="str">
        <f t="shared" si="11"/>
        <v/>
      </c>
      <c r="BA49" s="94">
        <f t="shared" si="36"/>
        <v>7</v>
      </c>
      <c r="BB49" s="94">
        <f t="shared" si="36"/>
        <v>0.29499999999999998</v>
      </c>
      <c r="BC49" s="90" t="str">
        <f t="shared" si="12"/>
        <v/>
      </c>
      <c r="BF49" s="94">
        <f t="shared" si="37"/>
        <v>0</v>
      </c>
      <c r="BG49" s="94">
        <f t="shared" si="37"/>
        <v>0.27500000000000002</v>
      </c>
      <c r="BH49" s="90" t="str">
        <f t="shared" si="13"/>
        <v/>
      </c>
      <c r="BK49" s="94">
        <f t="shared" si="38"/>
        <v>0</v>
      </c>
      <c r="BL49" s="94">
        <f t="shared" si="38"/>
        <v>0.245</v>
      </c>
      <c r="BM49" s="90" t="str">
        <f t="shared" si="14"/>
        <v/>
      </c>
      <c r="BP49" s="94">
        <f t="shared" si="39"/>
        <v>0</v>
      </c>
      <c r="BQ49" s="94">
        <f t="shared" si="39"/>
        <v>0.22500000000000001</v>
      </c>
      <c r="BR49" s="90" t="str">
        <f t="shared" si="15"/>
        <v/>
      </c>
      <c r="BU49" s="94">
        <f t="shared" si="40"/>
        <v>0</v>
      </c>
      <c r="BV49" s="94">
        <f t="shared" si="40"/>
        <v>0.17499999999999999</v>
      </c>
      <c r="BW49" s="90" t="str">
        <f t="shared" si="16"/>
        <v/>
      </c>
      <c r="BZ49" s="94">
        <f t="shared" si="41"/>
        <v>0</v>
      </c>
      <c r="CA49" s="94">
        <f t="shared" si="41"/>
        <v>0.15</v>
      </c>
      <c r="CB49" s="90" t="str">
        <f t="shared" si="17"/>
        <v/>
      </c>
      <c r="CE49" s="95"/>
      <c r="CF49" s="96"/>
      <c r="CG49" s="97"/>
      <c r="CH49" s="97"/>
      <c r="CI49" s="98"/>
      <c r="CK49" s="99">
        <f>IFERROR(IF(F49='[1]Paramètres Généraux'!$K$12,ROUNDUP((REGENERANTS!H49*REGENERANTS!$CF$20)*'[1]Paramètres Généraux'!$M$12,-1),IF(F49='[1]Paramètres Généraux'!$K$15,ROUNDUP((REGENERANTS!H49*REGENERANTS!$CF$20)*'[1]Paramètres Généraux'!$M$15,-1),REGENERANTS!H49*REGENERANTS!$CF$20)),"nd")</f>
        <v>0</v>
      </c>
      <c r="CN49" s="146"/>
      <c r="CO49" s="147"/>
      <c r="CP49" s="147"/>
      <c r="CQ49" s="147"/>
      <c r="CR49" s="147"/>
      <c r="CS49" s="144"/>
      <c r="CT49" s="147"/>
      <c r="CU49" s="147"/>
      <c r="CV49" s="148"/>
      <c r="CW49" s="136"/>
      <c r="CX49" s="149"/>
      <c r="CY49" s="150"/>
      <c r="CZ49" s="136"/>
      <c r="DA49" s="149"/>
      <c r="DB49" s="150"/>
      <c r="DC49" s="136"/>
      <c r="DD49" s="149"/>
      <c r="DE49" s="150"/>
      <c r="DF49" s="136"/>
      <c r="DG49" s="136"/>
      <c r="DH49" s="136"/>
      <c r="DI49" s="136"/>
      <c r="DJ49" s="136"/>
      <c r="DK49" s="136"/>
      <c r="DL49" s="136"/>
      <c r="DM49" s="136"/>
      <c r="DN49" s="136"/>
      <c r="DO49" s="149"/>
      <c r="DP49" s="150"/>
      <c r="DQ49" s="20">
        <f t="shared" si="18"/>
        <v>0</v>
      </c>
      <c r="DR49" s="20">
        <f t="shared" si="3"/>
        <v>0</v>
      </c>
      <c r="DS49" s="20">
        <f>IFERROR((IF(AND($F49="Produit Vente",CO49&gt;0),VLOOKUP($C49,'[1]Paramètres Articles'!$B:$H,7,FALSE)*$CO49)*(1-20%)),0)</f>
        <v>0</v>
      </c>
      <c r="DT49" s="20">
        <f>IFERROR((IF(AND($F49="Produit Vente",DR49&gt;0),VLOOKUP($C49,'[1]Paramètres Articles'!$B:$H,6,FALSE)*$DR49)*(1-15%)),0)</f>
        <v>0</v>
      </c>
      <c r="DU49" s="20">
        <f t="shared" si="19"/>
        <v>0</v>
      </c>
      <c r="DW49" s="129"/>
      <c r="DX49" s="145"/>
      <c r="DY49" s="111"/>
      <c r="EB49" s="130"/>
    </row>
    <row r="50" spans="2:132" ht="12.95" customHeight="1">
      <c r="B50" s="1">
        <f>IF(C50="",0,COUNTIFS($B$22:B49,"&gt;"&amp;0)+1)</f>
        <v>0</v>
      </c>
      <c r="C50" s="85"/>
      <c r="D50" s="86" t="str">
        <f>IFERROR(IF($C50="","",VLOOKUP($C50,'[1]Paramètres Articles'!$B:$G,2,FALSE)),"Non Trouvé")</f>
        <v/>
      </c>
      <c r="E50" s="87" t="str">
        <f>IFERROR(IF($C50="","",_xlfn.XLOOKUP(REGENERANTS!$C50,'[1]New Base PA'!$F:$F,'[1]New Base PA'!$D:$D,"Not Found",0)),"Non Trouvé")</f>
        <v/>
      </c>
      <c r="F50" s="88"/>
      <c r="H50" s="101"/>
      <c r="J50" s="90" t="str">
        <f>IFERROR(IF($C50="","",VLOOKUP($C50,'[1]New Base PA'!$F:$J,5,FALSE)),"Non Trouvé")</f>
        <v/>
      </c>
      <c r="K50" s="131" t="str">
        <f t="shared" si="0"/>
        <v/>
      </c>
      <c r="L50" s="132"/>
      <c r="M50" s="131">
        <f>IFERROR(IF(AND($F50="Produit Vente",H50&gt;0),VLOOKUP($C50,'[1]Paramètres Articles'!$B:$G,6,FALSE),0),"Non Trouvé")</f>
        <v>0</v>
      </c>
      <c r="N50" s="131" t="str">
        <f t="shared" si="1"/>
        <v/>
      </c>
      <c r="P50" s="92"/>
      <c r="R50" s="90" t="str">
        <f t="shared" si="2"/>
        <v/>
      </c>
      <c r="S50" s="91"/>
      <c r="T50" s="90" t="str">
        <f>IFERROR(IF($C50="","",VLOOKUP($C50,'[1]Paramètres Articles'!$B:$H,7,FALSE)),"Non Trouvé")</f>
        <v/>
      </c>
      <c r="U50" s="93"/>
      <c r="V50" s="90" t="str">
        <f t="shared" si="4"/>
        <v/>
      </c>
      <c r="W50" s="91"/>
      <c r="X50" s="90" t="str">
        <f t="shared" si="5"/>
        <v/>
      </c>
      <c r="Y50" s="91"/>
      <c r="Z50" s="90">
        <f t="shared" si="6"/>
        <v>0</v>
      </c>
      <c r="AB50" s="94">
        <f t="shared" si="31"/>
        <v>33</v>
      </c>
      <c r="AC50" s="94">
        <f t="shared" si="31"/>
        <v>0.17</v>
      </c>
      <c r="AD50" s="90" t="str">
        <f t="shared" si="7"/>
        <v/>
      </c>
      <c r="AG50" s="94">
        <f t="shared" si="32"/>
        <v>13</v>
      </c>
      <c r="AH50" s="94">
        <f t="shared" si="32"/>
        <v>0.13</v>
      </c>
      <c r="AI50" s="90" t="str">
        <f t="shared" si="8"/>
        <v/>
      </c>
      <c r="AL50" s="94">
        <f t="shared" si="33"/>
        <v>0</v>
      </c>
      <c r="AM50" s="94">
        <f t="shared" si="33"/>
        <v>0.08</v>
      </c>
      <c r="AN50" s="90" t="str">
        <f t="shared" si="9"/>
        <v/>
      </c>
      <c r="AQ50" s="94">
        <f t="shared" si="34"/>
        <v>0</v>
      </c>
      <c r="AR50" s="94">
        <f t="shared" si="34"/>
        <v>0.05</v>
      </c>
      <c r="AS50" s="90" t="str">
        <f t="shared" si="10"/>
        <v/>
      </c>
      <c r="AV50" s="94">
        <f t="shared" si="35"/>
        <v>12</v>
      </c>
      <c r="AW50" s="94">
        <f t="shared" si="35"/>
        <v>0.32500000000000001</v>
      </c>
      <c r="AX50" s="90" t="str">
        <f t="shared" si="11"/>
        <v/>
      </c>
      <c r="BA50" s="94">
        <f t="shared" si="36"/>
        <v>7</v>
      </c>
      <c r="BB50" s="94">
        <f t="shared" si="36"/>
        <v>0.29499999999999998</v>
      </c>
      <c r="BC50" s="90" t="str">
        <f t="shared" si="12"/>
        <v/>
      </c>
      <c r="BF50" s="94">
        <f t="shared" si="37"/>
        <v>0</v>
      </c>
      <c r="BG50" s="94">
        <f t="shared" si="37"/>
        <v>0.27500000000000002</v>
      </c>
      <c r="BH50" s="90" t="str">
        <f t="shared" si="13"/>
        <v/>
      </c>
      <c r="BK50" s="94">
        <f t="shared" si="38"/>
        <v>0</v>
      </c>
      <c r="BL50" s="94">
        <f t="shared" si="38"/>
        <v>0.245</v>
      </c>
      <c r="BM50" s="90" t="str">
        <f t="shared" si="14"/>
        <v/>
      </c>
      <c r="BP50" s="94">
        <f t="shared" si="39"/>
        <v>0</v>
      </c>
      <c r="BQ50" s="94">
        <f t="shared" si="39"/>
        <v>0.22500000000000001</v>
      </c>
      <c r="BR50" s="90" t="str">
        <f t="shared" si="15"/>
        <v/>
      </c>
      <c r="BU50" s="94">
        <f t="shared" si="40"/>
        <v>0</v>
      </c>
      <c r="BV50" s="94">
        <f t="shared" si="40"/>
        <v>0.17499999999999999</v>
      </c>
      <c r="BW50" s="90" t="str">
        <f t="shared" si="16"/>
        <v/>
      </c>
      <c r="BZ50" s="94">
        <f t="shared" si="41"/>
        <v>0</v>
      </c>
      <c r="CA50" s="94">
        <f t="shared" si="41"/>
        <v>0.15</v>
      </c>
      <c r="CB50" s="90" t="str">
        <f t="shared" si="17"/>
        <v/>
      </c>
      <c r="CE50" s="95"/>
      <c r="CF50" s="96"/>
      <c r="CG50" s="97"/>
      <c r="CH50" s="97"/>
      <c r="CI50" s="98"/>
      <c r="CK50" s="99">
        <f>IFERROR(IF(F50='[1]Paramètres Généraux'!$K$12,ROUNDUP((REGENERANTS!H50*REGENERANTS!$CF$20)*'[1]Paramètres Généraux'!$M$12,-1),IF(F50='[1]Paramètres Généraux'!$K$15,ROUNDUP((REGENERANTS!H50*REGENERANTS!$CF$20)*'[1]Paramètres Généraux'!$M$15,-1),REGENERANTS!H50*REGENERANTS!$CF$20)),"nd")</f>
        <v>0</v>
      </c>
      <c r="CN50" s="146"/>
      <c r="CO50" s="147"/>
      <c r="CP50" s="147"/>
      <c r="CQ50" s="147"/>
      <c r="CR50" s="147"/>
      <c r="CS50" s="144"/>
      <c r="CT50" s="147"/>
      <c r="CU50" s="147"/>
      <c r="CV50" s="148"/>
      <c r="CW50" s="136"/>
      <c r="CX50" s="149"/>
      <c r="CY50" s="150"/>
      <c r="CZ50" s="136"/>
      <c r="DA50" s="149"/>
      <c r="DB50" s="150"/>
      <c r="DC50" s="136"/>
      <c r="DD50" s="149"/>
      <c r="DE50" s="150"/>
      <c r="DF50" s="136"/>
      <c r="DG50" s="136"/>
      <c r="DH50" s="136"/>
      <c r="DI50" s="136"/>
      <c r="DJ50" s="136"/>
      <c r="DK50" s="136"/>
      <c r="DL50" s="136"/>
      <c r="DM50" s="136"/>
      <c r="DN50" s="136"/>
      <c r="DO50" s="149"/>
      <c r="DP50" s="150"/>
      <c r="DQ50" s="20">
        <f t="shared" si="18"/>
        <v>0</v>
      </c>
      <c r="DR50" s="20">
        <f t="shared" si="3"/>
        <v>0</v>
      </c>
      <c r="DS50" s="20">
        <f>IFERROR((IF(AND($F50="Produit Vente",CO50&gt;0),VLOOKUP($C50,'[1]Paramètres Articles'!$B:$H,7,FALSE)*$CO50)*(1-20%)),0)</f>
        <v>0</v>
      </c>
      <c r="DT50" s="20">
        <f>IFERROR((IF(AND($F50="Produit Vente",DR50&gt;0),VLOOKUP($C50,'[1]Paramètres Articles'!$B:$H,6,FALSE)*$DR50)*(1-15%)),0)</f>
        <v>0</v>
      </c>
      <c r="DU50" s="20">
        <f t="shared" si="19"/>
        <v>0</v>
      </c>
      <c r="DW50" s="129"/>
      <c r="DX50" s="112"/>
      <c r="EB50" s="130"/>
    </row>
    <row r="51" spans="2:132" ht="12.95" customHeight="1" outlineLevel="1" thickBot="1">
      <c r="B51" s="1">
        <f>IF(C51="",0,COUNTIFS($B$22:B50,"&gt;"&amp;0)+1)</f>
        <v>0</v>
      </c>
      <c r="C51" s="85"/>
      <c r="D51" s="86" t="str">
        <f>IFERROR(IF($C51="","",VLOOKUP($C51,'[1]Paramètres Articles'!$B:$G,2,FALSE)),"Non Trouvé")</f>
        <v/>
      </c>
      <c r="E51" s="87" t="str">
        <f>IFERROR(IF($C51="","",_xlfn.XLOOKUP(REGENERANTS!$C51,'[1]New Base PA'!$F:$F,'[1]New Base PA'!$D:$D,"Not Found",0)),"Non Trouvé")</f>
        <v/>
      </c>
      <c r="F51" s="88"/>
      <c r="H51" s="101"/>
      <c r="J51" s="90" t="str">
        <f>IFERROR(IF($C51="","",VLOOKUP($C51,'[1]New Base PA'!$F:$J,5,FALSE)),"Non Trouvé")</f>
        <v/>
      </c>
      <c r="K51" s="131" t="str">
        <f t="shared" si="0"/>
        <v/>
      </c>
      <c r="L51" s="132"/>
      <c r="M51" s="131">
        <f>IFERROR(IF(AND($F51="Produit Vente",H51&gt;0),VLOOKUP($C51,'[1]Paramètres Articles'!$B:$G,6,FALSE),0),"Non Trouvé")</f>
        <v>0</v>
      </c>
      <c r="N51" s="131" t="str">
        <f t="shared" si="1"/>
        <v/>
      </c>
      <c r="P51" s="92"/>
      <c r="R51" s="90" t="str">
        <f t="shared" si="2"/>
        <v/>
      </c>
      <c r="S51" s="91"/>
      <c r="T51" s="90" t="str">
        <f>IFERROR(IF($C51="","",VLOOKUP($C51,'[1]Paramètres Articles'!$B:$H,7,FALSE)),"Non Trouvé")</f>
        <v/>
      </c>
      <c r="U51" s="93"/>
      <c r="V51" s="90" t="str">
        <f t="shared" si="4"/>
        <v/>
      </c>
      <c r="W51" s="91"/>
      <c r="X51" s="90" t="str">
        <f t="shared" si="5"/>
        <v/>
      </c>
      <c r="Y51" s="91"/>
      <c r="Z51" s="90">
        <f t="shared" si="6"/>
        <v>0</v>
      </c>
      <c r="AB51" s="94">
        <f t="shared" si="31"/>
        <v>33</v>
      </c>
      <c r="AC51" s="94">
        <f t="shared" si="31"/>
        <v>0.17</v>
      </c>
      <c r="AD51" s="90" t="str">
        <f t="shared" si="7"/>
        <v/>
      </c>
      <c r="AG51" s="94">
        <f t="shared" si="32"/>
        <v>13</v>
      </c>
      <c r="AH51" s="94">
        <f t="shared" si="32"/>
        <v>0.13</v>
      </c>
      <c r="AI51" s="90" t="str">
        <f t="shared" si="8"/>
        <v/>
      </c>
      <c r="AL51" s="94">
        <f t="shared" si="33"/>
        <v>0</v>
      </c>
      <c r="AM51" s="94">
        <f t="shared" si="33"/>
        <v>0.08</v>
      </c>
      <c r="AN51" s="90" t="str">
        <f t="shared" si="9"/>
        <v/>
      </c>
      <c r="AQ51" s="94">
        <f t="shared" si="34"/>
        <v>0</v>
      </c>
      <c r="AR51" s="94">
        <f t="shared" si="34"/>
        <v>0.05</v>
      </c>
      <c r="AS51" s="90" t="str">
        <f t="shared" si="10"/>
        <v/>
      </c>
      <c r="AV51" s="94">
        <f t="shared" si="35"/>
        <v>12</v>
      </c>
      <c r="AW51" s="94">
        <f t="shared" si="35"/>
        <v>0.32500000000000001</v>
      </c>
      <c r="AX51" s="90" t="str">
        <f t="shared" si="11"/>
        <v/>
      </c>
      <c r="BA51" s="94">
        <f t="shared" si="36"/>
        <v>7</v>
      </c>
      <c r="BB51" s="94">
        <f t="shared" si="36"/>
        <v>0.29499999999999998</v>
      </c>
      <c r="BC51" s="90" t="str">
        <f t="shared" si="12"/>
        <v/>
      </c>
      <c r="BF51" s="94">
        <f t="shared" si="37"/>
        <v>0</v>
      </c>
      <c r="BG51" s="94">
        <f t="shared" si="37"/>
        <v>0.27500000000000002</v>
      </c>
      <c r="BH51" s="90" t="str">
        <f t="shared" si="13"/>
        <v/>
      </c>
      <c r="BK51" s="94">
        <f t="shared" si="38"/>
        <v>0</v>
      </c>
      <c r="BL51" s="94">
        <f t="shared" si="38"/>
        <v>0.245</v>
      </c>
      <c r="BM51" s="90" t="str">
        <f t="shared" si="14"/>
        <v/>
      </c>
      <c r="BP51" s="94">
        <f t="shared" si="39"/>
        <v>0</v>
      </c>
      <c r="BQ51" s="94">
        <f t="shared" si="39"/>
        <v>0.22500000000000001</v>
      </c>
      <c r="BR51" s="90" t="str">
        <f t="shared" si="15"/>
        <v/>
      </c>
      <c r="BU51" s="94">
        <f t="shared" si="40"/>
        <v>0</v>
      </c>
      <c r="BV51" s="94">
        <f t="shared" si="40"/>
        <v>0.17499999999999999</v>
      </c>
      <c r="BW51" s="90" t="str">
        <f t="shared" si="16"/>
        <v/>
      </c>
      <c r="BZ51" s="94">
        <f t="shared" si="41"/>
        <v>0</v>
      </c>
      <c r="CA51" s="94">
        <f t="shared" si="41"/>
        <v>0.15</v>
      </c>
      <c r="CB51" s="90" t="str">
        <f t="shared" si="17"/>
        <v/>
      </c>
      <c r="CE51" s="95"/>
      <c r="CF51" s="96"/>
      <c r="CG51" s="97"/>
      <c r="CH51" s="97"/>
      <c r="CI51" s="98"/>
      <c r="CK51" s="99">
        <f>IFERROR(IF(F51='[1]Paramètres Généraux'!$K$12,ROUNDUP((REGENERANTS!H51*REGENERANTS!$CF$20)*'[1]Paramètres Généraux'!$M$12,-1),IF(F51='[1]Paramètres Généraux'!$K$15,ROUNDUP((REGENERANTS!H51*REGENERANTS!$CF$20)*'[1]Paramètres Généraux'!$M$15,-1),REGENERANTS!H51*REGENERANTS!$CF$20)),"nd")</f>
        <v>0</v>
      </c>
      <c r="CN51" s="146"/>
      <c r="CO51" s="147"/>
      <c r="CP51" s="147"/>
      <c r="CQ51" s="147"/>
      <c r="CR51" s="147"/>
      <c r="CS51" s="144"/>
      <c r="CT51" s="147"/>
      <c r="CU51" s="147"/>
      <c r="CV51" s="148"/>
      <c r="CW51" s="136"/>
      <c r="CX51" s="149"/>
      <c r="CY51" s="150"/>
      <c r="CZ51" s="136"/>
      <c r="DA51" s="149"/>
      <c r="DB51" s="150"/>
      <c r="DC51" s="136"/>
      <c r="DD51" s="149"/>
      <c r="DE51" s="150"/>
      <c r="DF51" s="136"/>
      <c r="DG51" s="136"/>
      <c r="DH51" s="136"/>
      <c r="DI51" s="136"/>
      <c r="DJ51" s="136"/>
      <c r="DK51" s="136"/>
      <c r="DL51" s="136"/>
      <c r="DM51" s="136"/>
      <c r="DN51" s="136"/>
      <c r="DO51" s="149"/>
      <c r="DP51" s="150"/>
      <c r="DQ51" s="20">
        <f t="shared" si="18"/>
        <v>0</v>
      </c>
      <c r="DR51" s="20">
        <f t="shared" si="3"/>
        <v>0</v>
      </c>
      <c r="DS51" s="20">
        <f>IFERROR((IF(AND($F51="Produit Vente",CO51&gt;0),VLOOKUP($C51,'[1]Paramètres Articles'!$B:$H,7,FALSE)*$CO51)*(1-20%)),0)</f>
        <v>0</v>
      </c>
      <c r="DT51" s="20">
        <f>IFERROR((IF(AND($F51="Produit Vente",DR51&gt;0),VLOOKUP($C51,'[1]Paramètres Articles'!$B:$H,6,FALSE)*$DR51)*(1-15%)),0)</f>
        <v>0</v>
      </c>
      <c r="DU51" s="20">
        <f t="shared" si="19"/>
        <v>0</v>
      </c>
      <c r="DW51" s="151"/>
      <c r="DX51" s="152"/>
      <c r="DY51" s="153"/>
      <c r="DZ51" s="153"/>
      <c r="EA51" s="153"/>
      <c r="EB51" s="154"/>
    </row>
    <row r="52" spans="2:132" ht="12.95" customHeight="1" outlineLevel="1">
      <c r="B52" s="1">
        <f>IF(C52="",0,COUNTIFS($B$22:B51,"&gt;"&amp;0)+1)</f>
        <v>0</v>
      </c>
      <c r="C52" s="85"/>
      <c r="D52" s="86" t="str">
        <f>IFERROR(IF($C52="","",VLOOKUP($C52,'[1]Paramètres Articles'!$B:$G,2,FALSE)),"Non Trouvé")</f>
        <v/>
      </c>
      <c r="E52" s="87" t="str">
        <f>IFERROR(IF($C52="","",_xlfn.XLOOKUP(REGENERANTS!$C52,'[1]New Base PA'!$F:$F,'[1]New Base PA'!$D:$D,"Not Found",0)),"Non Trouvé")</f>
        <v/>
      </c>
      <c r="F52" s="88"/>
      <c r="H52" s="101"/>
      <c r="J52" s="90" t="str">
        <f>IFERROR(IF($C52="","",VLOOKUP($C52,'[1]New Base PA'!$F:$J,5,FALSE)),"Non Trouvé")</f>
        <v/>
      </c>
      <c r="K52" s="131" t="str">
        <f t="shared" si="0"/>
        <v/>
      </c>
      <c r="L52" s="132"/>
      <c r="M52" s="131">
        <f>IFERROR(IF(AND($F52="Produit Vente",H52&gt;0),VLOOKUP($C52,'[1]Paramètres Articles'!$B:$G,6,FALSE),0),"Non Trouvé")</f>
        <v>0</v>
      </c>
      <c r="N52" s="131" t="str">
        <f t="shared" si="1"/>
        <v/>
      </c>
      <c r="P52" s="92"/>
      <c r="R52" s="90" t="str">
        <f t="shared" si="2"/>
        <v/>
      </c>
      <c r="S52" s="91"/>
      <c r="T52" s="90" t="str">
        <f>IFERROR(IF($C52="","",VLOOKUP($C52,'[1]Paramètres Articles'!$B:$H,7,FALSE)),"Non Trouvé")</f>
        <v/>
      </c>
      <c r="U52" s="93"/>
      <c r="V52" s="90" t="str">
        <f t="shared" si="4"/>
        <v/>
      </c>
      <c r="W52" s="91"/>
      <c r="X52" s="90" t="str">
        <f t="shared" si="5"/>
        <v/>
      </c>
      <c r="Y52" s="91"/>
      <c r="Z52" s="90">
        <f t="shared" si="6"/>
        <v>0</v>
      </c>
      <c r="AB52" s="94">
        <f t="shared" si="31"/>
        <v>33</v>
      </c>
      <c r="AC52" s="94">
        <f t="shared" si="31"/>
        <v>0.17</v>
      </c>
      <c r="AD52" s="90" t="str">
        <f t="shared" si="7"/>
        <v/>
      </c>
      <c r="AG52" s="94">
        <f t="shared" si="32"/>
        <v>13</v>
      </c>
      <c r="AH52" s="94">
        <f t="shared" si="32"/>
        <v>0.13</v>
      </c>
      <c r="AI52" s="90" t="str">
        <f t="shared" si="8"/>
        <v/>
      </c>
      <c r="AL52" s="94">
        <f t="shared" si="33"/>
        <v>0</v>
      </c>
      <c r="AM52" s="94">
        <f t="shared" si="33"/>
        <v>0.08</v>
      </c>
      <c r="AN52" s="90" t="str">
        <f t="shared" si="9"/>
        <v/>
      </c>
      <c r="AQ52" s="94">
        <f t="shared" si="34"/>
        <v>0</v>
      </c>
      <c r="AR52" s="94">
        <f t="shared" si="34"/>
        <v>0.05</v>
      </c>
      <c r="AS52" s="90" t="str">
        <f t="shared" si="10"/>
        <v/>
      </c>
      <c r="AV52" s="94">
        <f t="shared" si="35"/>
        <v>12</v>
      </c>
      <c r="AW52" s="94">
        <f t="shared" si="35"/>
        <v>0.32500000000000001</v>
      </c>
      <c r="AX52" s="90" t="str">
        <f t="shared" si="11"/>
        <v/>
      </c>
      <c r="BA52" s="94">
        <f t="shared" si="36"/>
        <v>7</v>
      </c>
      <c r="BB52" s="94">
        <f t="shared" si="36"/>
        <v>0.29499999999999998</v>
      </c>
      <c r="BC52" s="90" t="str">
        <f t="shared" si="12"/>
        <v/>
      </c>
      <c r="BF52" s="94">
        <f t="shared" si="37"/>
        <v>0</v>
      </c>
      <c r="BG52" s="94">
        <f t="shared" si="37"/>
        <v>0.27500000000000002</v>
      </c>
      <c r="BH52" s="90" t="str">
        <f t="shared" si="13"/>
        <v/>
      </c>
      <c r="BK52" s="94">
        <f t="shared" si="38"/>
        <v>0</v>
      </c>
      <c r="BL52" s="94">
        <f t="shared" si="38"/>
        <v>0.245</v>
      </c>
      <c r="BM52" s="90" t="str">
        <f t="shared" si="14"/>
        <v/>
      </c>
      <c r="BP52" s="94">
        <f t="shared" si="39"/>
        <v>0</v>
      </c>
      <c r="BQ52" s="94">
        <f t="shared" si="39"/>
        <v>0.22500000000000001</v>
      </c>
      <c r="BR52" s="90" t="str">
        <f t="shared" si="15"/>
        <v/>
      </c>
      <c r="BU52" s="94">
        <f t="shared" si="40"/>
        <v>0</v>
      </c>
      <c r="BV52" s="94">
        <f t="shared" si="40"/>
        <v>0.17499999999999999</v>
      </c>
      <c r="BW52" s="90" t="str">
        <f t="shared" si="16"/>
        <v/>
      </c>
      <c r="BZ52" s="94">
        <f t="shared" si="41"/>
        <v>0</v>
      </c>
      <c r="CA52" s="94">
        <f t="shared" si="41"/>
        <v>0.15</v>
      </c>
      <c r="CB52" s="90" t="str">
        <f t="shared" si="17"/>
        <v/>
      </c>
      <c r="CE52" s="95"/>
      <c r="CF52" s="96"/>
      <c r="CG52" s="97"/>
      <c r="CH52" s="97"/>
      <c r="CI52" s="98"/>
      <c r="CK52" s="99">
        <f>IFERROR(IF(F52='[1]Paramètres Généraux'!$K$12,ROUNDUP((REGENERANTS!H52*REGENERANTS!$CF$20)*'[1]Paramètres Généraux'!$M$12,-1),IF(F52='[1]Paramètres Généraux'!$K$15,ROUNDUP((REGENERANTS!H52*REGENERANTS!$CF$20)*'[1]Paramètres Généraux'!$M$15,-1),REGENERANTS!H52*REGENERANTS!$CF$20)),"nd")</f>
        <v>0</v>
      </c>
      <c r="CN52" s="146"/>
      <c r="CO52" s="147"/>
      <c r="CP52" s="147"/>
      <c r="CQ52" s="147"/>
      <c r="CR52" s="147"/>
      <c r="CS52" s="144"/>
      <c r="CT52" s="147"/>
      <c r="CU52" s="147"/>
      <c r="CV52" s="148"/>
      <c r="CW52" s="136"/>
      <c r="CX52" s="149"/>
      <c r="CY52" s="150"/>
      <c r="CZ52" s="136"/>
      <c r="DA52" s="149"/>
      <c r="DB52" s="150"/>
      <c r="DC52" s="136"/>
      <c r="DD52" s="149"/>
      <c r="DE52" s="150"/>
      <c r="DF52" s="136"/>
      <c r="DG52" s="136"/>
      <c r="DH52" s="136"/>
      <c r="DI52" s="136"/>
      <c r="DJ52" s="136"/>
      <c r="DK52" s="136"/>
      <c r="DL52" s="136"/>
      <c r="DM52" s="136"/>
      <c r="DN52" s="136"/>
      <c r="DO52" s="149"/>
      <c r="DP52" s="150"/>
      <c r="DQ52" s="20">
        <f t="shared" si="18"/>
        <v>0</v>
      </c>
      <c r="DR52" s="20">
        <f t="shared" si="3"/>
        <v>0</v>
      </c>
      <c r="DS52" s="20">
        <f>IFERROR((IF(AND($F52="Produit Vente",CO52&gt;0),VLOOKUP($C52,'[1]Paramètres Articles'!$B:$H,7,FALSE)*$CO52)*(1-20%)),0)</f>
        <v>0</v>
      </c>
      <c r="DT52" s="20">
        <f>IFERROR((IF(AND($F52="Produit Vente",DR52&gt;0),VLOOKUP($C52,'[1]Paramètres Articles'!$B:$H,6,FALSE)*$DR52)*(1-15%)),0)</f>
        <v>0</v>
      </c>
      <c r="DU52" s="20">
        <f t="shared" si="19"/>
        <v>0</v>
      </c>
    </row>
    <row r="53" spans="2:132" ht="12.95" customHeight="1" outlineLevel="1">
      <c r="B53" s="1">
        <f>IF(C53="",0,COUNTIFS($B$22:B52,"&gt;"&amp;0)+1)</f>
        <v>0</v>
      </c>
      <c r="C53" s="85"/>
      <c r="D53" s="86" t="str">
        <f>IFERROR(IF($C53="","",VLOOKUP($C53,'[1]Paramètres Articles'!$B:$G,2,FALSE)),"Non Trouvé")</f>
        <v/>
      </c>
      <c r="E53" s="87" t="str">
        <f>IFERROR(IF($C53="","",_xlfn.XLOOKUP(REGENERANTS!$C53,'[1]New Base PA'!$F:$F,'[1]New Base PA'!$D:$D,"Not Found",0)),"Non Trouvé")</f>
        <v/>
      </c>
      <c r="F53" s="88"/>
      <c r="H53" s="101"/>
      <c r="J53" s="90" t="str">
        <f>IFERROR(IF($C53="","",VLOOKUP($C53,'[1]New Base PA'!$F:$J,5,FALSE)),"Non Trouvé")</f>
        <v/>
      </c>
      <c r="K53" s="131" t="str">
        <f t="shared" si="0"/>
        <v/>
      </c>
      <c r="L53" s="132"/>
      <c r="M53" s="131">
        <f>IFERROR(IF(AND($F53="Produit Vente",H53&gt;0),VLOOKUP($C53,'[1]Paramètres Articles'!$B:$G,6,FALSE),0),"Non Trouvé")</f>
        <v>0</v>
      </c>
      <c r="N53" s="131" t="str">
        <f t="shared" si="1"/>
        <v/>
      </c>
      <c r="P53" s="92"/>
      <c r="R53" s="90" t="str">
        <f t="shared" si="2"/>
        <v/>
      </c>
      <c r="S53" s="91"/>
      <c r="T53" s="90" t="str">
        <f>IFERROR(IF($C53="","",VLOOKUP($C53,'[1]Paramètres Articles'!$B:$H,7,FALSE)),"Non Trouvé")</f>
        <v/>
      </c>
      <c r="U53" s="93"/>
      <c r="V53" s="90" t="str">
        <f t="shared" si="4"/>
        <v/>
      </c>
      <c r="W53" s="91"/>
      <c r="X53" s="90" t="str">
        <f t="shared" si="5"/>
        <v/>
      </c>
      <c r="Y53" s="91"/>
      <c r="Z53" s="90">
        <f t="shared" si="6"/>
        <v>0</v>
      </c>
      <c r="AB53" s="94">
        <f t="shared" si="31"/>
        <v>33</v>
      </c>
      <c r="AC53" s="94">
        <f t="shared" si="31"/>
        <v>0.17</v>
      </c>
      <c r="AD53" s="90" t="str">
        <f t="shared" si="7"/>
        <v/>
      </c>
      <c r="AG53" s="94">
        <f t="shared" si="32"/>
        <v>13</v>
      </c>
      <c r="AH53" s="94">
        <f t="shared" si="32"/>
        <v>0.13</v>
      </c>
      <c r="AI53" s="90" t="str">
        <f t="shared" si="8"/>
        <v/>
      </c>
      <c r="AL53" s="94">
        <f t="shared" si="33"/>
        <v>0</v>
      </c>
      <c r="AM53" s="94">
        <f t="shared" si="33"/>
        <v>0.08</v>
      </c>
      <c r="AN53" s="90" t="str">
        <f t="shared" si="9"/>
        <v/>
      </c>
      <c r="AQ53" s="94">
        <f t="shared" si="34"/>
        <v>0</v>
      </c>
      <c r="AR53" s="94">
        <f t="shared" si="34"/>
        <v>0.05</v>
      </c>
      <c r="AS53" s="90" t="str">
        <f t="shared" si="10"/>
        <v/>
      </c>
      <c r="AV53" s="94">
        <f t="shared" si="35"/>
        <v>12</v>
      </c>
      <c r="AW53" s="94">
        <f t="shared" si="35"/>
        <v>0.32500000000000001</v>
      </c>
      <c r="AX53" s="90" t="str">
        <f t="shared" si="11"/>
        <v/>
      </c>
      <c r="BA53" s="94">
        <f t="shared" si="36"/>
        <v>7</v>
      </c>
      <c r="BB53" s="94">
        <f t="shared" si="36"/>
        <v>0.29499999999999998</v>
      </c>
      <c r="BC53" s="90" t="str">
        <f t="shared" si="12"/>
        <v/>
      </c>
      <c r="BF53" s="94">
        <f t="shared" si="37"/>
        <v>0</v>
      </c>
      <c r="BG53" s="94">
        <f t="shared" si="37"/>
        <v>0.27500000000000002</v>
      </c>
      <c r="BH53" s="90" t="str">
        <f t="shared" si="13"/>
        <v/>
      </c>
      <c r="BK53" s="94">
        <f t="shared" si="38"/>
        <v>0</v>
      </c>
      <c r="BL53" s="94">
        <f t="shared" si="38"/>
        <v>0.245</v>
      </c>
      <c r="BM53" s="90" t="str">
        <f t="shared" si="14"/>
        <v/>
      </c>
      <c r="BP53" s="94">
        <f t="shared" si="39"/>
        <v>0</v>
      </c>
      <c r="BQ53" s="94">
        <f t="shared" si="39"/>
        <v>0.22500000000000001</v>
      </c>
      <c r="BR53" s="90" t="str">
        <f t="shared" si="15"/>
        <v/>
      </c>
      <c r="BU53" s="94">
        <f t="shared" si="40"/>
        <v>0</v>
      </c>
      <c r="BV53" s="94">
        <f t="shared" si="40"/>
        <v>0.17499999999999999</v>
      </c>
      <c r="BW53" s="90" t="str">
        <f t="shared" si="16"/>
        <v/>
      </c>
      <c r="BZ53" s="94">
        <f t="shared" si="41"/>
        <v>0</v>
      </c>
      <c r="CA53" s="94">
        <f t="shared" si="41"/>
        <v>0.15</v>
      </c>
      <c r="CB53" s="90" t="str">
        <f t="shared" si="17"/>
        <v/>
      </c>
      <c r="CE53" s="95"/>
      <c r="CF53" s="96"/>
      <c r="CG53" s="97"/>
      <c r="CH53" s="97"/>
      <c r="CI53" s="98"/>
      <c r="CK53" s="99">
        <f>IFERROR(IF(F53='[1]Paramètres Généraux'!$K$12,ROUNDUP((REGENERANTS!H53*REGENERANTS!$CF$20)*'[1]Paramètres Généraux'!$M$12,-1),IF(F53='[1]Paramètres Généraux'!$K$15,ROUNDUP((REGENERANTS!H53*REGENERANTS!$CF$20)*'[1]Paramètres Généraux'!$M$15,-1),REGENERANTS!H53*REGENERANTS!$CF$20)),"nd")</f>
        <v>0</v>
      </c>
      <c r="CN53" s="146"/>
      <c r="CO53" s="147"/>
      <c r="CP53" s="147"/>
      <c r="CQ53" s="147"/>
      <c r="CR53" s="147"/>
      <c r="CS53" s="144"/>
      <c r="CT53" s="147"/>
      <c r="CU53" s="147"/>
      <c r="CV53" s="148"/>
      <c r="CW53" s="136"/>
      <c r="CX53" s="149"/>
      <c r="CY53" s="150"/>
      <c r="CZ53" s="136"/>
      <c r="DA53" s="149"/>
      <c r="DB53" s="150"/>
      <c r="DC53" s="136"/>
      <c r="DD53" s="149"/>
      <c r="DE53" s="150"/>
      <c r="DF53" s="136"/>
      <c r="DG53" s="136"/>
      <c r="DH53" s="136"/>
      <c r="DI53" s="136"/>
      <c r="DJ53" s="136"/>
      <c r="DK53" s="136"/>
      <c r="DL53" s="136"/>
      <c r="DM53" s="136"/>
      <c r="DN53" s="136"/>
      <c r="DO53" s="149"/>
      <c r="DP53" s="150"/>
      <c r="DQ53" s="20">
        <f t="shared" si="18"/>
        <v>0</v>
      </c>
      <c r="DR53" s="20">
        <f t="shared" si="3"/>
        <v>0</v>
      </c>
      <c r="DS53" s="20">
        <f>IFERROR((IF(AND($F53="Produit Vente",CO53&gt;0),VLOOKUP($C53,'[1]Paramètres Articles'!$B:$H,7,FALSE)*$CO53)*(1-20%)),0)</f>
        <v>0</v>
      </c>
      <c r="DT53" s="20">
        <f>IFERROR((IF(AND($F53="Produit Vente",DR53&gt;0),VLOOKUP($C53,'[1]Paramètres Articles'!$B:$H,6,FALSE)*$DR53)*(1-15%)),0)</f>
        <v>0</v>
      </c>
      <c r="DU53" s="20">
        <f t="shared" si="19"/>
        <v>0</v>
      </c>
    </row>
    <row r="54" spans="2:132" ht="12.95" customHeight="1" outlineLevel="1">
      <c r="B54" s="1">
        <f>IF(C54="",0,COUNTIFS($B$22:B53,"&gt;"&amp;0)+1)</f>
        <v>0</v>
      </c>
      <c r="C54" s="85"/>
      <c r="D54" s="86" t="str">
        <f>IFERROR(IF($C54="","",VLOOKUP($C54,'[1]Paramètres Articles'!$B:$G,2,FALSE)),"Non Trouvé")</f>
        <v/>
      </c>
      <c r="E54" s="87" t="str">
        <f>IFERROR(IF($C54="","",_xlfn.XLOOKUP(REGENERANTS!$C54,'[1]New Base PA'!$F:$F,'[1]New Base PA'!$D:$D,"Not Found",0)),"Non Trouvé")</f>
        <v/>
      </c>
      <c r="F54" s="88"/>
      <c r="H54" s="101"/>
      <c r="J54" s="90" t="str">
        <f>IFERROR(IF($C54="","",VLOOKUP($C54,'[1]New Base PA'!$F:$J,5,FALSE)),"Non Trouvé")</f>
        <v/>
      </c>
      <c r="K54" s="131" t="str">
        <f t="shared" si="0"/>
        <v/>
      </c>
      <c r="L54" s="132"/>
      <c r="M54" s="131">
        <f>IFERROR(IF(AND($F54="Produit Vente",H54&gt;0),VLOOKUP($C54,'[1]Paramètres Articles'!$B:$G,6,FALSE),0),"Non Trouvé")</f>
        <v>0</v>
      </c>
      <c r="N54" s="131" t="str">
        <f t="shared" si="1"/>
        <v/>
      </c>
      <c r="P54" s="92"/>
      <c r="R54" s="90" t="str">
        <f t="shared" si="2"/>
        <v/>
      </c>
      <c r="S54" s="91"/>
      <c r="T54" s="90" t="str">
        <f>IFERROR(IF($C54="","",VLOOKUP($C54,'[1]Paramètres Articles'!$B:$H,7,FALSE)),"Non Trouvé")</f>
        <v/>
      </c>
      <c r="U54" s="93"/>
      <c r="V54" s="90" t="str">
        <f t="shared" si="4"/>
        <v/>
      </c>
      <c r="W54" s="91"/>
      <c r="X54" s="90" t="str">
        <f t="shared" si="5"/>
        <v/>
      </c>
      <c r="Y54" s="91"/>
      <c r="Z54" s="90">
        <f t="shared" si="6"/>
        <v>0</v>
      </c>
      <c r="AB54" s="94">
        <f t="shared" si="31"/>
        <v>33</v>
      </c>
      <c r="AC54" s="94">
        <f t="shared" si="31"/>
        <v>0.17</v>
      </c>
      <c r="AD54" s="90" t="str">
        <f t="shared" si="7"/>
        <v/>
      </c>
      <c r="AG54" s="94">
        <f t="shared" si="32"/>
        <v>13</v>
      </c>
      <c r="AH54" s="94">
        <f t="shared" si="32"/>
        <v>0.13</v>
      </c>
      <c r="AI54" s="90" t="str">
        <f t="shared" si="8"/>
        <v/>
      </c>
      <c r="AL54" s="94">
        <f t="shared" si="33"/>
        <v>0</v>
      </c>
      <c r="AM54" s="94">
        <f t="shared" si="33"/>
        <v>0.08</v>
      </c>
      <c r="AN54" s="90" t="str">
        <f t="shared" si="9"/>
        <v/>
      </c>
      <c r="AQ54" s="94">
        <f t="shared" si="34"/>
        <v>0</v>
      </c>
      <c r="AR54" s="94">
        <f t="shared" si="34"/>
        <v>0.05</v>
      </c>
      <c r="AS54" s="90" t="str">
        <f t="shared" si="10"/>
        <v/>
      </c>
      <c r="AV54" s="94">
        <f t="shared" si="35"/>
        <v>12</v>
      </c>
      <c r="AW54" s="94">
        <f t="shared" si="35"/>
        <v>0.32500000000000001</v>
      </c>
      <c r="AX54" s="90" t="str">
        <f t="shared" si="11"/>
        <v/>
      </c>
      <c r="BA54" s="94">
        <f t="shared" si="36"/>
        <v>7</v>
      </c>
      <c r="BB54" s="94">
        <f t="shared" si="36"/>
        <v>0.29499999999999998</v>
      </c>
      <c r="BC54" s="90" t="str">
        <f t="shared" si="12"/>
        <v/>
      </c>
      <c r="BF54" s="94">
        <f t="shared" si="37"/>
        <v>0</v>
      </c>
      <c r="BG54" s="94">
        <f t="shared" si="37"/>
        <v>0.27500000000000002</v>
      </c>
      <c r="BH54" s="90" t="str">
        <f t="shared" si="13"/>
        <v/>
      </c>
      <c r="BK54" s="94">
        <f t="shared" si="38"/>
        <v>0</v>
      </c>
      <c r="BL54" s="94">
        <f t="shared" si="38"/>
        <v>0.245</v>
      </c>
      <c r="BM54" s="90" t="str">
        <f t="shared" si="14"/>
        <v/>
      </c>
      <c r="BP54" s="94">
        <f t="shared" si="39"/>
        <v>0</v>
      </c>
      <c r="BQ54" s="94">
        <f t="shared" si="39"/>
        <v>0.22500000000000001</v>
      </c>
      <c r="BR54" s="90" t="str">
        <f t="shared" si="15"/>
        <v/>
      </c>
      <c r="BU54" s="94">
        <f t="shared" si="40"/>
        <v>0</v>
      </c>
      <c r="BV54" s="94">
        <f t="shared" si="40"/>
        <v>0.17499999999999999</v>
      </c>
      <c r="BW54" s="90" t="str">
        <f t="shared" si="16"/>
        <v/>
      </c>
      <c r="BZ54" s="94">
        <f t="shared" si="41"/>
        <v>0</v>
      </c>
      <c r="CA54" s="94">
        <f t="shared" si="41"/>
        <v>0.15</v>
      </c>
      <c r="CB54" s="90" t="str">
        <f t="shared" si="17"/>
        <v/>
      </c>
      <c r="CE54" s="95"/>
      <c r="CF54" s="96"/>
      <c r="CG54" s="97"/>
      <c r="CH54" s="97"/>
      <c r="CI54" s="98"/>
      <c r="CK54" s="99">
        <f>IFERROR(IF(F54='[1]Paramètres Généraux'!$K$12,ROUNDUP((REGENERANTS!H54*REGENERANTS!$CF$20)*'[1]Paramètres Généraux'!$M$12,-1),IF(F54='[1]Paramètres Généraux'!$K$15,ROUNDUP((REGENERANTS!H54*REGENERANTS!$CF$20)*'[1]Paramètres Généraux'!$M$15,-1),REGENERANTS!H54*REGENERANTS!$CF$20)),"nd")</f>
        <v>0</v>
      </c>
      <c r="CN54" s="146"/>
      <c r="CO54" s="147"/>
      <c r="CP54" s="147"/>
      <c r="CQ54" s="147"/>
      <c r="CR54" s="147"/>
      <c r="CS54" s="144"/>
      <c r="CT54" s="147"/>
      <c r="CU54" s="147"/>
      <c r="CV54" s="148"/>
      <c r="CW54" s="136"/>
      <c r="CX54" s="149"/>
      <c r="CY54" s="150"/>
      <c r="CZ54" s="136"/>
      <c r="DA54" s="149"/>
      <c r="DB54" s="150"/>
      <c r="DC54" s="136"/>
      <c r="DD54" s="149"/>
      <c r="DE54" s="150"/>
      <c r="DF54" s="136"/>
      <c r="DG54" s="136"/>
      <c r="DH54" s="136"/>
      <c r="DI54" s="136"/>
      <c r="DJ54" s="136"/>
      <c r="DK54" s="136"/>
      <c r="DL54" s="136"/>
      <c r="DM54" s="136"/>
      <c r="DN54" s="136"/>
      <c r="DO54" s="149"/>
      <c r="DP54" s="150"/>
      <c r="DQ54" s="20">
        <f t="shared" si="18"/>
        <v>0</v>
      </c>
      <c r="DR54" s="20">
        <f t="shared" si="3"/>
        <v>0</v>
      </c>
      <c r="DS54" s="20">
        <f>IFERROR((IF(AND($F54="Produit Vente",CO54&gt;0),VLOOKUP($C54,'[1]Paramètres Articles'!$B:$H,7,FALSE)*$CO54)*(1-20%)),0)</f>
        <v>0</v>
      </c>
      <c r="DT54" s="20">
        <f>IFERROR((IF(AND($F54="Produit Vente",DR54&gt;0),VLOOKUP($C54,'[1]Paramètres Articles'!$B:$H,6,FALSE)*$DR54)*(1-15%)),0)</f>
        <v>0</v>
      </c>
      <c r="DU54" s="20">
        <f t="shared" si="19"/>
        <v>0</v>
      </c>
    </row>
    <row r="55" spans="2:132" ht="12.95" customHeight="1" outlineLevel="1">
      <c r="B55" s="1">
        <f>IF(C55="",0,COUNTIFS($B$22:B54,"&gt;"&amp;0)+1)</f>
        <v>0</v>
      </c>
      <c r="C55" s="85"/>
      <c r="D55" s="86" t="str">
        <f>IFERROR(IF($C55="","",VLOOKUP($C55,'[1]Paramètres Articles'!$B:$G,2,FALSE)),"Non Trouvé")</f>
        <v/>
      </c>
      <c r="E55" s="87" t="str">
        <f>IFERROR(IF($C55="","",_xlfn.XLOOKUP(REGENERANTS!$C55,'[1]New Base PA'!$F:$F,'[1]New Base PA'!$D:$D,"Not Found",0)),"Non Trouvé")</f>
        <v/>
      </c>
      <c r="F55" s="88"/>
      <c r="H55" s="101"/>
      <c r="J55" s="90" t="str">
        <f>IFERROR(IF($C55="","",VLOOKUP($C55,'[1]New Base PA'!$F:$J,5,FALSE)),"Non Trouvé")</f>
        <v/>
      </c>
      <c r="K55" s="131" t="str">
        <f t="shared" si="0"/>
        <v/>
      </c>
      <c r="L55" s="132"/>
      <c r="M55" s="131">
        <f>IFERROR(IF(AND($F55="Produit Vente",H55&gt;0),VLOOKUP($C55,'[1]Paramètres Articles'!$B:$G,6,FALSE),0),"Non Trouvé")</f>
        <v>0</v>
      </c>
      <c r="N55" s="131" t="str">
        <f t="shared" si="1"/>
        <v/>
      </c>
      <c r="P55" s="92"/>
      <c r="R55" s="90" t="str">
        <f t="shared" si="2"/>
        <v/>
      </c>
      <c r="S55" s="91"/>
      <c r="T55" s="90" t="str">
        <f>IFERROR(IF($C55="","",VLOOKUP($C55,'[1]Paramètres Articles'!$B:$H,7,FALSE)),"Non Trouvé")</f>
        <v/>
      </c>
      <c r="U55" s="93"/>
      <c r="V55" s="90" t="str">
        <f t="shared" si="4"/>
        <v/>
      </c>
      <c r="W55" s="91"/>
      <c r="X55" s="90" t="str">
        <f t="shared" si="5"/>
        <v/>
      </c>
      <c r="Y55" s="91"/>
      <c r="Z55" s="90">
        <f t="shared" si="6"/>
        <v>0</v>
      </c>
      <c r="AB55" s="94">
        <f t="shared" si="31"/>
        <v>33</v>
      </c>
      <c r="AC55" s="94">
        <f t="shared" si="31"/>
        <v>0.17</v>
      </c>
      <c r="AD55" s="90" t="str">
        <f t="shared" si="7"/>
        <v/>
      </c>
      <c r="AG55" s="94">
        <f t="shared" si="32"/>
        <v>13</v>
      </c>
      <c r="AH55" s="94">
        <f t="shared" si="32"/>
        <v>0.13</v>
      </c>
      <c r="AI55" s="90" t="str">
        <f t="shared" si="8"/>
        <v/>
      </c>
      <c r="AL55" s="94">
        <f t="shared" si="33"/>
        <v>0</v>
      </c>
      <c r="AM55" s="94">
        <f t="shared" si="33"/>
        <v>0.08</v>
      </c>
      <c r="AN55" s="90" t="str">
        <f t="shared" si="9"/>
        <v/>
      </c>
      <c r="AQ55" s="94">
        <f t="shared" si="34"/>
        <v>0</v>
      </c>
      <c r="AR55" s="94">
        <f t="shared" si="34"/>
        <v>0.05</v>
      </c>
      <c r="AS55" s="90" t="str">
        <f t="shared" si="10"/>
        <v/>
      </c>
      <c r="AV55" s="94">
        <f t="shared" si="35"/>
        <v>12</v>
      </c>
      <c r="AW55" s="94">
        <f t="shared" si="35"/>
        <v>0.32500000000000001</v>
      </c>
      <c r="AX55" s="90" t="str">
        <f t="shared" si="11"/>
        <v/>
      </c>
      <c r="BA55" s="94">
        <f t="shared" si="36"/>
        <v>7</v>
      </c>
      <c r="BB55" s="94">
        <f t="shared" si="36"/>
        <v>0.29499999999999998</v>
      </c>
      <c r="BC55" s="90" t="str">
        <f t="shared" si="12"/>
        <v/>
      </c>
      <c r="BF55" s="94">
        <f t="shared" si="37"/>
        <v>0</v>
      </c>
      <c r="BG55" s="94">
        <f t="shared" si="37"/>
        <v>0.27500000000000002</v>
      </c>
      <c r="BH55" s="90" t="str">
        <f t="shared" si="13"/>
        <v/>
      </c>
      <c r="BK55" s="94">
        <f t="shared" si="38"/>
        <v>0</v>
      </c>
      <c r="BL55" s="94">
        <f t="shared" si="38"/>
        <v>0.245</v>
      </c>
      <c r="BM55" s="90" t="str">
        <f t="shared" si="14"/>
        <v/>
      </c>
      <c r="BP55" s="94">
        <f t="shared" si="39"/>
        <v>0</v>
      </c>
      <c r="BQ55" s="94">
        <f t="shared" si="39"/>
        <v>0.22500000000000001</v>
      </c>
      <c r="BR55" s="90" t="str">
        <f t="shared" si="15"/>
        <v/>
      </c>
      <c r="BU55" s="94">
        <f t="shared" si="40"/>
        <v>0</v>
      </c>
      <c r="BV55" s="94">
        <f t="shared" si="40"/>
        <v>0.17499999999999999</v>
      </c>
      <c r="BW55" s="90" t="str">
        <f t="shared" si="16"/>
        <v/>
      </c>
      <c r="BZ55" s="94">
        <f t="shared" si="41"/>
        <v>0</v>
      </c>
      <c r="CA55" s="94">
        <f t="shared" si="41"/>
        <v>0.15</v>
      </c>
      <c r="CB55" s="90" t="str">
        <f t="shared" si="17"/>
        <v/>
      </c>
      <c r="CE55" s="95"/>
      <c r="CF55" s="96"/>
      <c r="CG55" s="97"/>
      <c r="CH55" s="97"/>
      <c r="CI55" s="98"/>
      <c r="CK55" s="99">
        <f>IFERROR(IF(F55='[1]Paramètres Généraux'!$K$12,ROUNDUP((REGENERANTS!H55*REGENERANTS!$CF$20)*'[1]Paramètres Généraux'!$M$12,-1),IF(F55='[1]Paramètres Généraux'!$K$15,ROUNDUP((REGENERANTS!H55*REGENERANTS!$CF$20)*'[1]Paramètres Généraux'!$M$15,-1),REGENERANTS!H55*REGENERANTS!$CF$20)),"nd")</f>
        <v>0</v>
      </c>
      <c r="CN55" s="146"/>
      <c r="CO55" s="147"/>
      <c r="CP55" s="147"/>
      <c r="CQ55" s="147"/>
      <c r="CR55" s="147"/>
      <c r="CS55" s="144"/>
      <c r="CT55" s="147"/>
      <c r="CU55" s="147"/>
      <c r="CV55" s="148"/>
      <c r="CW55" s="136"/>
      <c r="CX55" s="149"/>
      <c r="CY55" s="150"/>
      <c r="CZ55" s="136"/>
      <c r="DA55" s="149"/>
      <c r="DB55" s="150"/>
      <c r="DC55" s="136"/>
      <c r="DD55" s="149"/>
      <c r="DE55" s="150"/>
      <c r="DF55" s="136"/>
      <c r="DG55" s="136"/>
      <c r="DH55" s="136"/>
      <c r="DI55" s="136"/>
      <c r="DJ55" s="136"/>
      <c r="DK55" s="136"/>
      <c r="DL55" s="136"/>
      <c r="DM55" s="136"/>
      <c r="DN55" s="136"/>
      <c r="DO55" s="149"/>
      <c r="DP55" s="150"/>
      <c r="DQ55" s="20">
        <f t="shared" si="18"/>
        <v>0</v>
      </c>
      <c r="DR55" s="20">
        <f t="shared" si="3"/>
        <v>0</v>
      </c>
      <c r="DS55" s="20">
        <f>IFERROR((IF(AND($F55="Produit Vente",CO55&gt;0),VLOOKUP($C55,'[1]Paramètres Articles'!$B:$H,7,FALSE)*$CO55)*(1-20%)),0)</f>
        <v>0</v>
      </c>
      <c r="DT55" s="20">
        <f>IFERROR((IF(AND($F55="Produit Vente",DR55&gt;0),VLOOKUP($C55,'[1]Paramètres Articles'!$B:$H,6,FALSE)*$DR55)*(1-15%)),0)</f>
        <v>0</v>
      </c>
      <c r="DU55" s="20">
        <f t="shared" si="19"/>
        <v>0</v>
      </c>
    </row>
    <row r="56" spans="2:132" ht="12.95" customHeight="1" outlineLevel="1">
      <c r="B56" s="1">
        <f>IF(C56="",0,COUNTIFS($B$22:B55,"&gt;"&amp;0)+1)</f>
        <v>0</v>
      </c>
      <c r="C56" s="85"/>
      <c r="D56" s="86" t="str">
        <f>IFERROR(IF($C56="","",VLOOKUP($C56,'[1]Paramètres Articles'!$B:$G,2,FALSE)),"Non Trouvé")</f>
        <v/>
      </c>
      <c r="E56" s="87" t="str">
        <f>IFERROR(IF($C56="","",_xlfn.XLOOKUP(REGENERANTS!$C56,'[1]New Base PA'!$F:$F,'[1]New Base PA'!$D:$D,"Not Found",0)),"Non Trouvé")</f>
        <v/>
      </c>
      <c r="F56" s="88"/>
      <c r="H56" s="101"/>
      <c r="J56" s="90" t="str">
        <f>IFERROR(IF($C56="","",VLOOKUP($C56,'[1]New Base PA'!$F:$J,5,FALSE)),"Non Trouvé")</f>
        <v/>
      </c>
      <c r="K56" s="131" t="str">
        <f t="shared" si="0"/>
        <v/>
      </c>
      <c r="L56" s="132"/>
      <c r="M56" s="131">
        <f>IFERROR(IF(AND($F56="Produit Vente",H56&gt;0),VLOOKUP($C56,'[1]Paramètres Articles'!$B:$G,6,FALSE),0),"Non Trouvé")</f>
        <v>0</v>
      </c>
      <c r="N56" s="131" t="str">
        <f t="shared" si="1"/>
        <v/>
      </c>
      <c r="P56" s="92"/>
      <c r="R56" s="90" t="str">
        <f t="shared" si="2"/>
        <v/>
      </c>
      <c r="S56" s="91"/>
      <c r="T56" s="90" t="str">
        <f>IFERROR(IF($C56="","",VLOOKUP($C56,'[1]Paramètres Articles'!$B:$H,7,FALSE)),"Non Trouvé")</f>
        <v/>
      </c>
      <c r="U56" s="93"/>
      <c r="V56" s="90" t="str">
        <f t="shared" si="4"/>
        <v/>
      </c>
      <c r="W56" s="91"/>
      <c r="X56" s="90" t="str">
        <f t="shared" si="5"/>
        <v/>
      </c>
      <c r="Y56" s="91"/>
      <c r="Z56" s="90">
        <f t="shared" si="6"/>
        <v>0</v>
      </c>
      <c r="AB56" s="94">
        <f t="shared" ref="AB56:AC62" si="42">AB55</f>
        <v>33</v>
      </c>
      <c r="AC56" s="94">
        <f t="shared" si="42"/>
        <v>0.17</v>
      </c>
      <c r="AD56" s="90" t="str">
        <f t="shared" si="7"/>
        <v/>
      </c>
      <c r="AG56" s="94">
        <f t="shared" ref="AG56:AH62" si="43">AG55</f>
        <v>13</v>
      </c>
      <c r="AH56" s="94">
        <f t="shared" si="43"/>
        <v>0.13</v>
      </c>
      <c r="AI56" s="90" t="str">
        <f t="shared" si="8"/>
        <v/>
      </c>
      <c r="AL56" s="94">
        <f t="shared" ref="AL56:AM62" si="44">AL55</f>
        <v>0</v>
      </c>
      <c r="AM56" s="94">
        <f t="shared" si="44"/>
        <v>0.08</v>
      </c>
      <c r="AN56" s="90" t="str">
        <f t="shared" si="9"/>
        <v/>
      </c>
      <c r="AQ56" s="94">
        <f t="shared" ref="AQ56:AR62" si="45">AQ55</f>
        <v>0</v>
      </c>
      <c r="AR56" s="94">
        <f t="shared" si="45"/>
        <v>0.05</v>
      </c>
      <c r="AS56" s="90" t="str">
        <f t="shared" si="10"/>
        <v/>
      </c>
      <c r="AV56" s="94">
        <f t="shared" ref="AV56:AW62" si="46">AV55</f>
        <v>12</v>
      </c>
      <c r="AW56" s="94">
        <f t="shared" si="46"/>
        <v>0.32500000000000001</v>
      </c>
      <c r="AX56" s="90" t="str">
        <f t="shared" si="11"/>
        <v/>
      </c>
      <c r="BA56" s="94">
        <f t="shared" ref="BA56:BB62" si="47">BA55</f>
        <v>7</v>
      </c>
      <c r="BB56" s="94">
        <f t="shared" si="47"/>
        <v>0.29499999999999998</v>
      </c>
      <c r="BC56" s="90" t="str">
        <f t="shared" si="12"/>
        <v/>
      </c>
      <c r="BF56" s="94">
        <f t="shared" ref="BF56:BG62" si="48">BF55</f>
        <v>0</v>
      </c>
      <c r="BG56" s="94">
        <f t="shared" si="48"/>
        <v>0.27500000000000002</v>
      </c>
      <c r="BH56" s="90" t="str">
        <f t="shared" si="13"/>
        <v/>
      </c>
      <c r="BK56" s="94">
        <f t="shared" ref="BK56:BL62" si="49">BK55</f>
        <v>0</v>
      </c>
      <c r="BL56" s="94">
        <f t="shared" si="49"/>
        <v>0.245</v>
      </c>
      <c r="BM56" s="90" t="str">
        <f t="shared" si="14"/>
        <v/>
      </c>
      <c r="BP56" s="94">
        <f t="shared" ref="BP56:BQ62" si="50">BP55</f>
        <v>0</v>
      </c>
      <c r="BQ56" s="94">
        <f t="shared" si="50"/>
        <v>0.22500000000000001</v>
      </c>
      <c r="BR56" s="90" t="str">
        <f t="shared" si="15"/>
        <v/>
      </c>
      <c r="BU56" s="94">
        <f t="shared" ref="BU56:BV62" si="51">BU55</f>
        <v>0</v>
      </c>
      <c r="BV56" s="94">
        <f t="shared" si="51"/>
        <v>0.17499999999999999</v>
      </c>
      <c r="BW56" s="90" t="str">
        <f t="shared" si="16"/>
        <v/>
      </c>
      <c r="BZ56" s="94">
        <f t="shared" ref="BZ56:CA62" si="52">BZ55</f>
        <v>0</v>
      </c>
      <c r="CA56" s="94">
        <f t="shared" si="52"/>
        <v>0.15</v>
      </c>
      <c r="CB56" s="90" t="str">
        <f t="shared" si="17"/>
        <v/>
      </c>
      <c r="CE56" s="95"/>
      <c r="CF56" s="96"/>
      <c r="CG56" s="97"/>
      <c r="CH56" s="97"/>
      <c r="CI56" s="98"/>
      <c r="CK56" s="99">
        <f>IFERROR(IF(F56='[1]Paramètres Généraux'!$K$12,ROUNDUP((REGENERANTS!H56*REGENERANTS!$CF$20)*'[1]Paramètres Généraux'!$M$12,-1),IF(F56='[1]Paramètres Généraux'!$K$15,ROUNDUP((REGENERANTS!H56*REGENERANTS!$CF$20)*'[1]Paramètres Généraux'!$M$15,-1),REGENERANTS!H56*REGENERANTS!$CF$20)),"nd")</f>
        <v>0</v>
      </c>
      <c r="CN56" s="146"/>
      <c r="CO56" s="147"/>
      <c r="CP56" s="147"/>
      <c r="CQ56" s="147"/>
      <c r="CR56" s="147"/>
      <c r="CS56" s="144"/>
      <c r="CT56" s="147"/>
      <c r="CU56" s="147"/>
      <c r="CV56" s="148"/>
      <c r="CW56" s="136"/>
      <c r="CX56" s="149"/>
      <c r="CY56" s="150"/>
      <c r="CZ56" s="136"/>
      <c r="DA56" s="149"/>
      <c r="DB56" s="150"/>
      <c r="DC56" s="136"/>
      <c r="DD56" s="149"/>
      <c r="DE56" s="150"/>
      <c r="DF56" s="136"/>
      <c r="DG56" s="136"/>
      <c r="DH56" s="136"/>
      <c r="DI56" s="136"/>
      <c r="DJ56" s="136"/>
      <c r="DK56" s="136"/>
      <c r="DL56" s="136"/>
      <c r="DM56" s="136"/>
      <c r="DN56" s="136"/>
      <c r="DO56" s="149"/>
      <c r="DP56" s="150"/>
      <c r="DQ56" s="20">
        <f t="shared" si="18"/>
        <v>0</v>
      </c>
      <c r="DR56" s="20">
        <f t="shared" si="3"/>
        <v>0</v>
      </c>
      <c r="DS56" s="20">
        <f>IFERROR((IF(AND($F56="Produit Vente",CO56&gt;0),VLOOKUP($C56,'[1]Paramètres Articles'!$B:$H,7,FALSE)*$CO56)*(1-20%)),0)</f>
        <v>0</v>
      </c>
      <c r="DT56" s="20">
        <f>IFERROR((IF(AND($F56="Produit Vente",DR56&gt;0),VLOOKUP($C56,'[1]Paramètres Articles'!$B:$H,6,FALSE)*$DR56)*(1-15%)),0)</f>
        <v>0</v>
      </c>
      <c r="DU56" s="20">
        <f t="shared" si="19"/>
        <v>0</v>
      </c>
    </row>
    <row r="57" spans="2:132" ht="12.95" customHeight="1" outlineLevel="1">
      <c r="B57" s="1">
        <f>IF(C57="",0,COUNTIFS($B$22:B56,"&gt;"&amp;0)+1)</f>
        <v>0</v>
      </c>
      <c r="C57" s="85"/>
      <c r="D57" s="86" t="str">
        <f>IFERROR(IF($C57="","",VLOOKUP($C57,'[1]Paramètres Articles'!$B:$G,2,FALSE)),"Non Trouvé")</f>
        <v/>
      </c>
      <c r="E57" s="87" t="str">
        <f>IFERROR(IF($C57="","",_xlfn.XLOOKUP(REGENERANTS!$C57,'[1]New Base PA'!$F:$F,'[1]New Base PA'!$D:$D,"Not Found",0)),"Non Trouvé")</f>
        <v/>
      </c>
      <c r="F57" s="88"/>
      <c r="H57" s="101"/>
      <c r="J57" s="90" t="str">
        <f>IFERROR(IF($C57="","",VLOOKUP($C57,'[1]New Base PA'!$F:$J,5,FALSE)),"Non Trouvé")</f>
        <v/>
      </c>
      <c r="K57" s="131" t="str">
        <f t="shared" si="0"/>
        <v/>
      </c>
      <c r="L57" s="132"/>
      <c r="M57" s="131">
        <f>IFERROR(IF(AND($F57="Produit Vente",H57&gt;0),VLOOKUP($C57,'[1]Paramètres Articles'!$B:$G,6,FALSE),0),"Non Trouvé")</f>
        <v>0</v>
      </c>
      <c r="N57" s="131" t="str">
        <f t="shared" si="1"/>
        <v/>
      </c>
      <c r="P57" s="92"/>
      <c r="R57" s="90" t="str">
        <f t="shared" si="2"/>
        <v/>
      </c>
      <c r="S57" s="91"/>
      <c r="T57" s="90" t="str">
        <f>IFERROR(IF($C57="","",VLOOKUP($C57,'[1]Paramètres Articles'!$B:$H,7,FALSE)),"Non Trouvé")</f>
        <v/>
      </c>
      <c r="U57" s="93"/>
      <c r="V57" s="90" t="str">
        <f t="shared" si="4"/>
        <v/>
      </c>
      <c r="W57" s="91"/>
      <c r="X57" s="90" t="str">
        <f t="shared" si="5"/>
        <v/>
      </c>
      <c r="Y57" s="91"/>
      <c r="Z57" s="90">
        <f t="shared" si="6"/>
        <v>0</v>
      </c>
      <c r="AB57" s="94">
        <f t="shared" si="42"/>
        <v>33</v>
      </c>
      <c r="AC57" s="94">
        <f t="shared" si="42"/>
        <v>0.17</v>
      </c>
      <c r="AD57" s="90" t="str">
        <f t="shared" si="7"/>
        <v/>
      </c>
      <c r="AG57" s="94">
        <f t="shared" si="43"/>
        <v>13</v>
      </c>
      <c r="AH57" s="94">
        <f t="shared" si="43"/>
        <v>0.13</v>
      </c>
      <c r="AI57" s="90" t="str">
        <f t="shared" si="8"/>
        <v/>
      </c>
      <c r="AL57" s="94">
        <f t="shared" si="44"/>
        <v>0</v>
      </c>
      <c r="AM57" s="94">
        <f t="shared" si="44"/>
        <v>0.08</v>
      </c>
      <c r="AN57" s="90" t="str">
        <f t="shared" si="9"/>
        <v/>
      </c>
      <c r="AQ57" s="94">
        <f t="shared" si="45"/>
        <v>0</v>
      </c>
      <c r="AR57" s="94">
        <f t="shared" si="45"/>
        <v>0.05</v>
      </c>
      <c r="AS57" s="90" t="str">
        <f t="shared" si="10"/>
        <v/>
      </c>
      <c r="AV57" s="94">
        <f t="shared" si="46"/>
        <v>12</v>
      </c>
      <c r="AW57" s="94">
        <f t="shared" si="46"/>
        <v>0.32500000000000001</v>
      </c>
      <c r="AX57" s="90" t="str">
        <f t="shared" si="11"/>
        <v/>
      </c>
      <c r="BA57" s="94">
        <f t="shared" si="47"/>
        <v>7</v>
      </c>
      <c r="BB57" s="94">
        <f t="shared" si="47"/>
        <v>0.29499999999999998</v>
      </c>
      <c r="BC57" s="90" t="str">
        <f t="shared" si="12"/>
        <v/>
      </c>
      <c r="BF57" s="94">
        <f t="shared" si="48"/>
        <v>0</v>
      </c>
      <c r="BG57" s="94">
        <f t="shared" si="48"/>
        <v>0.27500000000000002</v>
      </c>
      <c r="BH57" s="90" t="str">
        <f t="shared" si="13"/>
        <v/>
      </c>
      <c r="BK57" s="94">
        <f t="shared" si="49"/>
        <v>0</v>
      </c>
      <c r="BL57" s="94">
        <f t="shared" si="49"/>
        <v>0.245</v>
      </c>
      <c r="BM57" s="90" t="str">
        <f t="shared" si="14"/>
        <v/>
      </c>
      <c r="BP57" s="94">
        <f t="shared" si="50"/>
        <v>0</v>
      </c>
      <c r="BQ57" s="94">
        <f t="shared" si="50"/>
        <v>0.22500000000000001</v>
      </c>
      <c r="BR57" s="90" t="str">
        <f t="shared" si="15"/>
        <v/>
      </c>
      <c r="BU57" s="94">
        <f t="shared" si="51"/>
        <v>0</v>
      </c>
      <c r="BV57" s="94">
        <f t="shared" si="51"/>
        <v>0.17499999999999999</v>
      </c>
      <c r="BW57" s="90" t="str">
        <f t="shared" si="16"/>
        <v/>
      </c>
      <c r="BZ57" s="94">
        <f t="shared" si="52"/>
        <v>0</v>
      </c>
      <c r="CA57" s="94">
        <f t="shared" si="52"/>
        <v>0.15</v>
      </c>
      <c r="CB57" s="90" t="str">
        <f t="shared" si="17"/>
        <v/>
      </c>
      <c r="CE57" s="95"/>
      <c r="CF57" s="96"/>
      <c r="CG57" s="97"/>
      <c r="CH57" s="97"/>
      <c r="CI57" s="98"/>
      <c r="CK57" s="99">
        <f>IFERROR(IF(F57='[1]Paramètres Généraux'!$K$12,ROUNDUP((REGENERANTS!H57*REGENERANTS!$CF$20)*'[1]Paramètres Généraux'!$M$12,-1),IF(F57='[1]Paramètres Généraux'!$K$15,ROUNDUP((REGENERANTS!H57*REGENERANTS!$CF$20)*'[1]Paramètres Généraux'!$M$15,-1),REGENERANTS!H57*REGENERANTS!$CF$20)),"nd")</f>
        <v>0</v>
      </c>
      <c r="CN57" s="146"/>
      <c r="CO57" s="147"/>
      <c r="CP57" s="147"/>
      <c r="CQ57" s="147"/>
      <c r="CR57" s="147"/>
      <c r="CS57" s="144"/>
      <c r="CT57" s="147"/>
      <c r="CU57" s="147"/>
      <c r="CV57" s="148"/>
      <c r="CW57" s="136"/>
      <c r="CX57" s="149"/>
      <c r="CY57" s="150"/>
      <c r="CZ57" s="136"/>
      <c r="DA57" s="149"/>
      <c r="DB57" s="150"/>
      <c r="DC57" s="136"/>
      <c r="DD57" s="149"/>
      <c r="DE57" s="150"/>
      <c r="DF57" s="136"/>
      <c r="DG57" s="136"/>
      <c r="DH57" s="136"/>
      <c r="DI57" s="136"/>
      <c r="DJ57" s="136"/>
      <c r="DK57" s="136"/>
      <c r="DL57" s="136"/>
      <c r="DM57" s="136"/>
      <c r="DN57" s="136"/>
      <c r="DO57" s="149"/>
      <c r="DP57" s="150"/>
      <c r="DQ57" s="20">
        <f t="shared" si="18"/>
        <v>0</v>
      </c>
      <c r="DR57" s="20">
        <f t="shared" si="3"/>
        <v>0</v>
      </c>
      <c r="DS57" s="20">
        <f>IFERROR((IF(AND($F57="Produit Vente",CO57&gt;0),VLOOKUP($C57,'[1]Paramètres Articles'!$B:$H,7,FALSE)*$CO57)*(1-20%)),0)</f>
        <v>0</v>
      </c>
      <c r="DT57" s="20">
        <f>IFERROR((IF(AND($F57="Produit Vente",DR57&gt;0),VLOOKUP($C57,'[1]Paramètres Articles'!$B:$H,6,FALSE)*$DR57)*(1-15%)),0)</f>
        <v>0</v>
      </c>
      <c r="DU57" s="20">
        <f t="shared" si="19"/>
        <v>0</v>
      </c>
    </row>
    <row r="58" spans="2:132" ht="12.95" customHeight="1" outlineLevel="1">
      <c r="B58" s="1">
        <f>IF(C58="",0,COUNTIFS($B$22:B57,"&gt;"&amp;0)+1)</f>
        <v>0</v>
      </c>
      <c r="C58" s="85"/>
      <c r="D58" s="86" t="str">
        <f>IFERROR(IF($C58="","",VLOOKUP($C58,'[1]Paramètres Articles'!$B:$G,2,FALSE)),"Non Trouvé")</f>
        <v/>
      </c>
      <c r="E58" s="87" t="str">
        <f>IFERROR(IF($C58="","",_xlfn.XLOOKUP(REGENERANTS!$C58,'[1]New Base PA'!$F:$F,'[1]New Base PA'!$D:$D,"Not Found",0)),"Non Trouvé")</f>
        <v/>
      </c>
      <c r="F58" s="88"/>
      <c r="H58" s="101"/>
      <c r="J58" s="90" t="str">
        <f>IFERROR(IF($C58="","",VLOOKUP($C58,'[1]New Base PA'!$F:$J,5,FALSE)),"Non Trouvé")</f>
        <v/>
      </c>
      <c r="K58" s="131" t="str">
        <f t="shared" si="0"/>
        <v/>
      </c>
      <c r="L58" s="132"/>
      <c r="M58" s="131">
        <f>IFERROR(IF(AND($F58="Produit Vente",H58&gt;0),VLOOKUP($C58,'[1]Paramètres Articles'!$B:$G,6,FALSE),0),"Non Trouvé")</f>
        <v>0</v>
      </c>
      <c r="N58" s="131" t="str">
        <f t="shared" si="1"/>
        <v/>
      </c>
      <c r="P58" s="92"/>
      <c r="R58" s="90" t="str">
        <f t="shared" si="2"/>
        <v/>
      </c>
      <c r="S58" s="91"/>
      <c r="T58" s="90" t="str">
        <f>IFERROR(IF($C58="","",VLOOKUP($C58,'[1]Paramètres Articles'!$B:$H,7,FALSE)),"Non Trouvé")</f>
        <v/>
      </c>
      <c r="U58" s="93"/>
      <c r="V58" s="90" t="str">
        <f t="shared" si="4"/>
        <v/>
      </c>
      <c r="W58" s="91"/>
      <c r="X58" s="90" t="str">
        <f t="shared" si="5"/>
        <v/>
      </c>
      <c r="Y58" s="91"/>
      <c r="Z58" s="90">
        <f t="shared" si="6"/>
        <v>0</v>
      </c>
      <c r="AB58" s="94">
        <f t="shared" si="42"/>
        <v>33</v>
      </c>
      <c r="AC58" s="94">
        <f t="shared" si="42"/>
        <v>0.17</v>
      </c>
      <c r="AD58" s="90" t="str">
        <f t="shared" si="7"/>
        <v/>
      </c>
      <c r="AG58" s="94">
        <f t="shared" si="43"/>
        <v>13</v>
      </c>
      <c r="AH58" s="94">
        <f t="shared" si="43"/>
        <v>0.13</v>
      </c>
      <c r="AI58" s="90" t="str">
        <f t="shared" si="8"/>
        <v/>
      </c>
      <c r="AL58" s="94">
        <f t="shared" si="44"/>
        <v>0</v>
      </c>
      <c r="AM58" s="94">
        <f t="shared" si="44"/>
        <v>0.08</v>
      </c>
      <c r="AN58" s="90" t="str">
        <f t="shared" si="9"/>
        <v/>
      </c>
      <c r="AQ58" s="94">
        <f t="shared" si="45"/>
        <v>0</v>
      </c>
      <c r="AR58" s="94">
        <f t="shared" si="45"/>
        <v>0.05</v>
      </c>
      <c r="AS58" s="90" t="str">
        <f t="shared" si="10"/>
        <v/>
      </c>
      <c r="AV58" s="94">
        <f t="shared" si="46"/>
        <v>12</v>
      </c>
      <c r="AW58" s="94">
        <f t="shared" si="46"/>
        <v>0.32500000000000001</v>
      </c>
      <c r="AX58" s="90" t="str">
        <f t="shared" si="11"/>
        <v/>
      </c>
      <c r="BA58" s="94">
        <f t="shared" si="47"/>
        <v>7</v>
      </c>
      <c r="BB58" s="94">
        <f t="shared" si="47"/>
        <v>0.29499999999999998</v>
      </c>
      <c r="BC58" s="90" t="str">
        <f t="shared" si="12"/>
        <v/>
      </c>
      <c r="BF58" s="94">
        <f t="shared" si="48"/>
        <v>0</v>
      </c>
      <c r="BG58" s="94">
        <f t="shared" si="48"/>
        <v>0.27500000000000002</v>
      </c>
      <c r="BH58" s="90" t="str">
        <f t="shared" si="13"/>
        <v/>
      </c>
      <c r="BK58" s="94">
        <f t="shared" si="49"/>
        <v>0</v>
      </c>
      <c r="BL58" s="94">
        <f t="shared" si="49"/>
        <v>0.245</v>
      </c>
      <c r="BM58" s="90" t="str">
        <f t="shared" si="14"/>
        <v/>
      </c>
      <c r="BP58" s="94">
        <f t="shared" si="50"/>
        <v>0</v>
      </c>
      <c r="BQ58" s="94">
        <f t="shared" si="50"/>
        <v>0.22500000000000001</v>
      </c>
      <c r="BR58" s="90" t="str">
        <f t="shared" si="15"/>
        <v/>
      </c>
      <c r="BU58" s="94">
        <f t="shared" si="51"/>
        <v>0</v>
      </c>
      <c r="BV58" s="94">
        <f t="shared" si="51"/>
        <v>0.17499999999999999</v>
      </c>
      <c r="BW58" s="90" t="str">
        <f t="shared" si="16"/>
        <v/>
      </c>
      <c r="BZ58" s="94">
        <f t="shared" si="52"/>
        <v>0</v>
      </c>
      <c r="CA58" s="94">
        <f t="shared" si="52"/>
        <v>0.15</v>
      </c>
      <c r="CB58" s="90" t="str">
        <f t="shared" si="17"/>
        <v/>
      </c>
      <c r="CE58" s="95"/>
      <c r="CF58" s="96"/>
      <c r="CG58" s="97"/>
      <c r="CH58" s="97"/>
      <c r="CI58" s="98"/>
      <c r="CK58" s="99">
        <f>IFERROR(IF(F58='[1]Paramètres Généraux'!$K$12,ROUNDUP((REGENERANTS!H58*REGENERANTS!$CF$20)*'[1]Paramètres Généraux'!$M$12,-1),IF(F58='[1]Paramètres Généraux'!$K$15,ROUNDUP((REGENERANTS!H58*REGENERANTS!$CF$20)*'[1]Paramètres Généraux'!$M$15,-1),REGENERANTS!H58*REGENERANTS!$CF$20)),"nd")</f>
        <v>0</v>
      </c>
      <c r="CN58" s="146"/>
      <c r="CO58" s="147"/>
      <c r="CP58" s="147"/>
      <c r="CQ58" s="147"/>
      <c r="CR58" s="147"/>
      <c r="CS58" s="144"/>
      <c r="CT58" s="147"/>
      <c r="CU58" s="147"/>
      <c r="CV58" s="148"/>
      <c r="CW58" s="136"/>
      <c r="CX58" s="149"/>
      <c r="CY58" s="150"/>
      <c r="CZ58" s="136"/>
      <c r="DA58" s="149"/>
      <c r="DB58" s="150"/>
      <c r="DC58" s="136"/>
      <c r="DD58" s="149"/>
      <c r="DE58" s="150"/>
      <c r="DF58" s="136"/>
      <c r="DG58" s="136"/>
      <c r="DH58" s="136"/>
      <c r="DI58" s="136"/>
      <c r="DJ58" s="136"/>
      <c r="DK58" s="136"/>
      <c r="DL58" s="136"/>
      <c r="DM58" s="136"/>
      <c r="DN58" s="136"/>
      <c r="DO58" s="149"/>
      <c r="DP58" s="150"/>
      <c r="DQ58" s="20">
        <f t="shared" si="18"/>
        <v>0</v>
      </c>
      <c r="DR58" s="20">
        <f t="shared" si="3"/>
        <v>0</v>
      </c>
      <c r="DS58" s="20">
        <f>IFERROR((IF(AND($F58="Produit Vente",CO58&gt;0),VLOOKUP($C58,'[1]Paramètres Articles'!$B:$H,7,FALSE)*$CO58)*(1-20%)),0)</f>
        <v>0</v>
      </c>
      <c r="DT58" s="20">
        <f>IFERROR((IF(AND($F58="Produit Vente",DR58&gt;0),VLOOKUP($C58,'[1]Paramètres Articles'!$B:$H,6,FALSE)*$DR58)*(1-15%)),0)</f>
        <v>0</v>
      </c>
      <c r="DU58" s="20">
        <f t="shared" si="19"/>
        <v>0</v>
      </c>
    </row>
    <row r="59" spans="2:132" ht="12.95" customHeight="1" outlineLevel="1">
      <c r="B59" s="1">
        <f>IF(C59="",0,COUNTIFS($B$22:B58,"&gt;"&amp;0)+1)</f>
        <v>0</v>
      </c>
      <c r="C59" s="85"/>
      <c r="D59" s="86" t="str">
        <f>IFERROR(IF($C59="","",VLOOKUP($C59,'[1]Paramètres Articles'!$B:$G,2,FALSE)),"Non Trouvé")</f>
        <v/>
      </c>
      <c r="E59" s="87" t="str">
        <f>IFERROR(IF($C59="","",_xlfn.XLOOKUP(REGENERANTS!$C59,'[1]New Base PA'!$F:$F,'[1]New Base PA'!$D:$D,"Not Found",0)),"Non Trouvé")</f>
        <v/>
      </c>
      <c r="F59" s="88"/>
      <c r="H59" s="101"/>
      <c r="J59" s="90" t="str">
        <f>IFERROR(IF($C59="","",VLOOKUP($C59,'[1]New Base PA'!$F:$J,5,FALSE)),"Non Trouvé")</f>
        <v/>
      </c>
      <c r="K59" s="131" t="str">
        <f t="shared" si="0"/>
        <v/>
      </c>
      <c r="L59" s="132"/>
      <c r="M59" s="131">
        <f>IFERROR(IF(AND($F59="Produit Vente",H59&gt;0),VLOOKUP($C59,'[1]Paramètres Articles'!$B:$G,6,FALSE),0),"Non Trouvé")</f>
        <v>0</v>
      </c>
      <c r="N59" s="131" t="str">
        <f t="shared" si="1"/>
        <v/>
      </c>
      <c r="P59" s="92"/>
      <c r="R59" s="90" t="str">
        <f t="shared" si="2"/>
        <v/>
      </c>
      <c r="S59" s="91"/>
      <c r="T59" s="90" t="str">
        <f>IFERROR(IF($C59="","",VLOOKUP($C59,'[1]Paramètres Articles'!$B:$H,7,FALSE)),"Non Trouvé")</f>
        <v/>
      </c>
      <c r="U59" s="93"/>
      <c r="V59" s="90" t="str">
        <f t="shared" si="4"/>
        <v/>
      </c>
      <c r="W59" s="91"/>
      <c r="X59" s="90" t="str">
        <f t="shared" si="5"/>
        <v/>
      </c>
      <c r="Y59" s="91"/>
      <c r="Z59" s="90">
        <f t="shared" si="6"/>
        <v>0</v>
      </c>
      <c r="AB59" s="94">
        <f t="shared" si="42"/>
        <v>33</v>
      </c>
      <c r="AC59" s="94">
        <f t="shared" si="42"/>
        <v>0.17</v>
      </c>
      <c r="AD59" s="90" t="str">
        <f t="shared" si="7"/>
        <v/>
      </c>
      <c r="AG59" s="94">
        <f t="shared" si="43"/>
        <v>13</v>
      </c>
      <c r="AH59" s="94">
        <f t="shared" si="43"/>
        <v>0.13</v>
      </c>
      <c r="AI59" s="90" t="str">
        <f t="shared" si="8"/>
        <v/>
      </c>
      <c r="AL59" s="94">
        <f t="shared" si="44"/>
        <v>0</v>
      </c>
      <c r="AM59" s="94">
        <f t="shared" si="44"/>
        <v>0.08</v>
      </c>
      <c r="AN59" s="90" t="str">
        <f t="shared" si="9"/>
        <v/>
      </c>
      <c r="AQ59" s="94">
        <f t="shared" si="45"/>
        <v>0</v>
      </c>
      <c r="AR59" s="94">
        <f t="shared" si="45"/>
        <v>0.05</v>
      </c>
      <c r="AS59" s="90" t="str">
        <f t="shared" si="10"/>
        <v/>
      </c>
      <c r="AV59" s="94">
        <f t="shared" si="46"/>
        <v>12</v>
      </c>
      <c r="AW59" s="94">
        <f t="shared" si="46"/>
        <v>0.32500000000000001</v>
      </c>
      <c r="AX59" s="90" t="str">
        <f t="shared" si="11"/>
        <v/>
      </c>
      <c r="BA59" s="94">
        <f t="shared" si="47"/>
        <v>7</v>
      </c>
      <c r="BB59" s="94">
        <f t="shared" si="47"/>
        <v>0.29499999999999998</v>
      </c>
      <c r="BC59" s="90" t="str">
        <f t="shared" si="12"/>
        <v/>
      </c>
      <c r="BF59" s="94">
        <f t="shared" si="48"/>
        <v>0</v>
      </c>
      <c r="BG59" s="94">
        <f t="shared" si="48"/>
        <v>0.27500000000000002</v>
      </c>
      <c r="BH59" s="90" t="str">
        <f t="shared" si="13"/>
        <v/>
      </c>
      <c r="BK59" s="94">
        <f t="shared" si="49"/>
        <v>0</v>
      </c>
      <c r="BL59" s="94">
        <f t="shared" si="49"/>
        <v>0.245</v>
      </c>
      <c r="BM59" s="90" t="str">
        <f t="shared" si="14"/>
        <v/>
      </c>
      <c r="BP59" s="94">
        <f t="shared" si="50"/>
        <v>0</v>
      </c>
      <c r="BQ59" s="94">
        <f t="shared" si="50"/>
        <v>0.22500000000000001</v>
      </c>
      <c r="BR59" s="90" t="str">
        <f t="shared" si="15"/>
        <v/>
      </c>
      <c r="BU59" s="94">
        <f t="shared" si="51"/>
        <v>0</v>
      </c>
      <c r="BV59" s="94">
        <f t="shared" si="51"/>
        <v>0.17499999999999999</v>
      </c>
      <c r="BW59" s="90" t="str">
        <f t="shared" si="16"/>
        <v/>
      </c>
      <c r="BZ59" s="94">
        <f t="shared" si="52"/>
        <v>0</v>
      </c>
      <c r="CA59" s="94">
        <f t="shared" si="52"/>
        <v>0.15</v>
      </c>
      <c r="CB59" s="90" t="str">
        <f t="shared" si="17"/>
        <v/>
      </c>
      <c r="CE59" s="95"/>
      <c r="CF59" s="96"/>
      <c r="CG59" s="97"/>
      <c r="CH59" s="97"/>
      <c r="CI59" s="98"/>
      <c r="CK59" s="99">
        <f>IFERROR(IF(F59='[1]Paramètres Généraux'!$K$12,ROUNDUP((REGENERANTS!H59*REGENERANTS!$CF$20)*'[1]Paramètres Généraux'!$M$12,-1),IF(F59='[1]Paramètres Généraux'!$K$15,ROUNDUP((REGENERANTS!H59*REGENERANTS!$CF$20)*'[1]Paramètres Généraux'!$M$15,-1),REGENERANTS!H59*REGENERANTS!$CF$20)),"nd")</f>
        <v>0</v>
      </c>
      <c r="CN59" s="146"/>
      <c r="CO59" s="147"/>
      <c r="CP59" s="147"/>
      <c r="CQ59" s="147"/>
      <c r="CR59" s="147"/>
      <c r="CS59" s="144"/>
      <c r="CT59" s="147"/>
      <c r="CU59" s="147"/>
      <c r="CV59" s="148"/>
      <c r="CW59" s="136"/>
      <c r="CX59" s="149"/>
      <c r="CY59" s="150"/>
      <c r="CZ59" s="136"/>
      <c r="DA59" s="149"/>
      <c r="DB59" s="150"/>
      <c r="DC59" s="136"/>
      <c r="DD59" s="149"/>
      <c r="DE59" s="150"/>
      <c r="DF59" s="136"/>
      <c r="DG59" s="136"/>
      <c r="DH59" s="136"/>
      <c r="DI59" s="136"/>
      <c r="DJ59" s="136"/>
      <c r="DK59" s="136"/>
      <c r="DL59" s="136"/>
      <c r="DM59" s="136"/>
      <c r="DN59" s="136"/>
      <c r="DO59" s="149"/>
      <c r="DP59" s="150"/>
      <c r="DQ59" s="20">
        <f t="shared" si="18"/>
        <v>0</v>
      </c>
      <c r="DR59" s="20">
        <f t="shared" si="3"/>
        <v>0</v>
      </c>
      <c r="DS59" s="20">
        <f>IFERROR((IF(AND($F59="Produit Vente",CO59&gt;0),VLOOKUP($C59,'[1]Paramètres Articles'!$B:$H,7,FALSE)*$CO59)*(1-20%)),0)</f>
        <v>0</v>
      </c>
      <c r="DT59" s="20">
        <f>IFERROR((IF(AND($F59="Produit Vente",DR59&gt;0),VLOOKUP($C59,'[1]Paramètres Articles'!$B:$H,6,FALSE)*$DR59)*(1-15%)),0)</f>
        <v>0</v>
      </c>
      <c r="DU59" s="20">
        <f t="shared" si="19"/>
        <v>0</v>
      </c>
    </row>
    <row r="60" spans="2:132" ht="12.95" customHeight="1" outlineLevel="1">
      <c r="B60" s="1">
        <f>IF(C60="",0,COUNTIFS($B$22:B59,"&gt;"&amp;0)+1)</f>
        <v>0</v>
      </c>
      <c r="C60" s="85"/>
      <c r="D60" s="86" t="str">
        <f>IFERROR(IF($C60="","",VLOOKUP($C60,'[1]Paramètres Articles'!$B:$G,2,FALSE)),"Non Trouvé")</f>
        <v/>
      </c>
      <c r="E60" s="87" t="str">
        <f>IFERROR(IF($C60="","",_xlfn.XLOOKUP(REGENERANTS!$C60,'[1]New Base PA'!$F:$F,'[1]New Base PA'!$D:$D,"Not Found",0)),"Non Trouvé")</f>
        <v/>
      </c>
      <c r="F60" s="88"/>
      <c r="H60" s="101"/>
      <c r="J60" s="90" t="str">
        <f>IFERROR(IF($C60="","",VLOOKUP($C60,'[1]New Base PA'!$F:$J,5,FALSE)),"Non Trouvé")</f>
        <v/>
      </c>
      <c r="K60" s="131" t="str">
        <f t="shared" si="0"/>
        <v/>
      </c>
      <c r="L60" s="132"/>
      <c r="M60" s="131">
        <f>IFERROR(IF(AND($F60="Produit Vente",H60&gt;0),VLOOKUP($C60,'[1]Paramètres Articles'!$B:$G,6,FALSE),0),"Non Trouvé")</f>
        <v>0</v>
      </c>
      <c r="N60" s="131" t="str">
        <f t="shared" si="1"/>
        <v/>
      </c>
      <c r="P60" s="92"/>
      <c r="R60" s="90" t="str">
        <f t="shared" si="2"/>
        <v/>
      </c>
      <c r="S60" s="91"/>
      <c r="T60" s="90" t="str">
        <f>IFERROR(IF($C60="","",VLOOKUP($C60,'[1]Paramètres Articles'!$B:$H,7,FALSE)),"Non Trouvé")</f>
        <v/>
      </c>
      <c r="U60" s="93"/>
      <c r="V60" s="90" t="str">
        <f t="shared" si="4"/>
        <v/>
      </c>
      <c r="W60" s="91"/>
      <c r="X60" s="90" t="str">
        <f t="shared" si="5"/>
        <v/>
      </c>
      <c r="Y60" s="91"/>
      <c r="Z60" s="90">
        <f t="shared" si="6"/>
        <v>0</v>
      </c>
      <c r="AB60" s="94">
        <f t="shared" si="42"/>
        <v>33</v>
      </c>
      <c r="AC60" s="94">
        <f t="shared" si="42"/>
        <v>0.17</v>
      </c>
      <c r="AD60" s="90" t="str">
        <f t="shared" si="7"/>
        <v/>
      </c>
      <c r="AG60" s="94">
        <f t="shared" si="43"/>
        <v>13</v>
      </c>
      <c r="AH60" s="94">
        <f t="shared" si="43"/>
        <v>0.13</v>
      </c>
      <c r="AI60" s="90" t="str">
        <f t="shared" si="8"/>
        <v/>
      </c>
      <c r="AL60" s="94">
        <f t="shared" si="44"/>
        <v>0</v>
      </c>
      <c r="AM60" s="94">
        <f t="shared" si="44"/>
        <v>0.08</v>
      </c>
      <c r="AN60" s="90" t="str">
        <f t="shared" si="9"/>
        <v/>
      </c>
      <c r="AQ60" s="94">
        <f t="shared" si="45"/>
        <v>0</v>
      </c>
      <c r="AR60" s="94">
        <f t="shared" si="45"/>
        <v>0.05</v>
      </c>
      <c r="AS60" s="90" t="str">
        <f t="shared" si="10"/>
        <v/>
      </c>
      <c r="AV60" s="94">
        <f t="shared" si="46"/>
        <v>12</v>
      </c>
      <c r="AW60" s="94">
        <f t="shared" si="46"/>
        <v>0.32500000000000001</v>
      </c>
      <c r="AX60" s="90" t="str">
        <f t="shared" si="11"/>
        <v/>
      </c>
      <c r="BA60" s="94">
        <f t="shared" si="47"/>
        <v>7</v>
      </c>
      <c r="BB60" s="94">
        <f t="shared" si="47"/>
        <v>0.29499999999999998</v>
      </c>
      <c r="BC60" s="90" t="str">
        <f t="shared" si="12"/>
        <v/>
      </c>
      <c r="BF60" s="94">
        <f t="shared" si="48"/>
        <v>0</v>
      </c>
      <c r="BG60" s="94">
        <f t="shared" si="48"/>
        <v>0.27500000000000002</v>
      </c>
      <c r="BH60" s="90" t="str">
        <f t="shared" si="13"/>
        <v/>
      </c>
      <c r="BK60" s="94">
        <f t="shared" si="49"/>
        <v>0</v>
      </c>
      <c r="BL60" s="94">
        <f t="shared" si="49"/>
        <v>0.245</v>
      </c>
      <c r="BM60" s="90" t="str">
        <f t="shared" si="14"/>
        <v/>
      </c>
      <c r="BP60" s="94">
        <f t="shared" si="50"/>
        <v>0</v>
      </c>
      <c r="BQ60" s="94">
        <f t="shared" si="50"/>
        <v>0.22500000000000001</v>
      </c>
      <c r="BR60" s="90" t="str">
        <f t="shared" si="15"/>
        <v/>
      </c>
      <c r="BU60" s="94">
        <f t="shared" si="51"/>
        <v>0</v>
      </c>
      <c r="BV60" s="94">
        <f t="shared" si="51"/>
        <v>0.17499999999999999</v>
      </c>
      <c r="BW60" s="90" t="str">
        <f t="shared" si="16"/>
        <v/>
      </c>
      <c r="BZ60" s="94">
        <f t="shared" si="52"/>
        <v>0</v>
      </c>
      <c r="CA60" s="94">
        <f t="shared" si="52"/>
        <v>0.15</v>
      </c>
      <c r="CB60" s="90" t="str">
        <f t="shared" si="17"/>
        <v/>
      </c>
      <c r="CE60" s="95"/>
      <c r="CF60" s="96"/>
      <c r="CG60" s="97"/>
      <c r="CH60" s="97"/>
      <c r="CI60" s="98"/>
      <c r="CK60" s="99">
        <f>IFERROR(IF(F60='[1]Paramètres Généraux'!$K$12,ROUNDUP((REGENERANTS!H60*REGENERANTS!$CF$20)*'[1]Paramètres Généraux'!$M$12,-1),IF(F60='[1]Paramètres Généraux'!$K$15,ROUNDUP((REGENERANTS!H60*REGENERANTS!$CF$20)*'[1]Paramètres Généraux'!$M$15,-1),REGENERANTS!H60*REGENERANTS!$CF$20)),"nd")</f>
        <v>0</v>
      </c>
      <c r="CN60" s="146"/>
      <c r="CO60" s="147"/>
      <c r="CP60" s="147"/>
      <c r="CQ60" s="147"/>
      <c r="CR60" s="147"/>
      <c r="CS60" s="144"/>
      <c r="CT60" s="147"/>
      <c r="CU60" s="147"/>
      <c r="CV60" s="148"/>
      <c r="CW60" s="136"/>
      <c r="CX60" s="149"/>
      <c r="CY60" s="150"/>
      <c r="CZ60" s="136"/>
      <c r="DA60" s="149"/>
      <c r="DB60" s="150"/>
      <c r="DC60" s="136"/>
      <c r="DD60" s="149"/>
      <c r="DE60" s="150"/>
      <c r="DF60" s="136"/>
      <c r="DG60" s="136"/>
      <c r="DH60" s="136"/>
      <c r="DI60" s="136"/>
      <c r="DJ60" s="136"/>
      <c r="DK60" s="136"/>
      <c r="DL60" s="136"/>
      <c r="DM60" s="136"/>
      <c r="DN60" s="136"/>
      <c r="DO60" s="149"/>
      <c r="DP60" s="150"/>
      <c r="DQ60" s="20">
        <f t="shared" si="18"/>
        <v>0</v>
      </c>
      <c r="DR60" s="20">
        <f t="shared" si="3"/>
        <v>0</v>
      </c>
      <c r="DS60" s="20">
        <f>IFERROR((IF(AND($F60="Produit Vente",CO60&gt;0),VLOOKUP($C60,'[1]Paramètres Articles'!$B:$H,7,FALSE)*$CO60)*(1-20%)),0)</f>
        <v>0</v>
      </c>
      <c r="DT60" s="20">
        <f>IFERROR((IF(AND($F60="Produit Vente",DR60&gt;0),VLOOKUP($C60,'[1]Paramètres Articles'!$B:$H,6,FALSE)*$DR60)*(1-15%)),0)</f>
        <v>0</v>
      </c>
      <c r="DU60" s="20">
        <f t="shared" si="19"/>
        <v>0</v>
      </c>
    </row>
    <row r="61" spans="2:132" ht="12.95" customHeight="1" outlineLevel="1">
      <c r="B61" s="1">
        <f>IF(C61="",0,COUNTIFS($B$22:B60,"&gt;"&amp;0)+1)</f>
        <v>0</v>
      </c>
      <c r="C61" s="85"/>
      <c r="D61" s="86" t="str">
        <f>IFERROR(IF($C61="","",VLOOKUP($C61,'[1]Paramètres Articles'!$B:$G,2,FALSE)),"Non Trouvé")</f>
        <v/>
      </c>
      <c r="E61" s="87" t="str">
        <f>IFERROR(IF($C61="","",_xlfn.XLOOKUP(REGENERANTS!$C61,'[1]New Base PA'!$F:$F,'[1]New Base PA'!$D:$D,"Not Found",0)),"Non Trouvé")</f>
        <v/>
      </c>
      <c r="F61" s="88"/>
      <c r="H61" s="101"/>
      <c r="J61" s="90" t="str">
        <f>IFERROR(IF($C61="","",VLOOKUP($C61,'[1]New Base PA'!$F:$J,5,FALSE)),"Non Trouvé")</f>
        <v/>
      </c>
      <c r="K61" s="131" t="str">
        <f t="shared" si="0"/>
        <v/>
      </c>
      <c r="L61" s="132"/>
      <c r="M61" s="131">
        <f>IFERROR(IF(AND($F61="Produit Vente",H61&gt;0),VLOOKUP($C61,'[1]Paramètres Articles'!$B:$G,6,FALSE),0),"Non Trouvé")</f>
        <v>0</v>
      </c>
      <c r="N61" s="131" t="str">
        <f t="shared" si="1"/>
        <v/>
      </c>
      <c r="P61" s="92"/>
      <c r="R61" s="90" t="str">
        <f t="shared" si="2"/>
        <v/>
      </c>
      <c r="S61" s="91"/>
      <c r="T61" s="90" t="str">
        <f>IFERROR(IF($C61="","",VLOOKUP($C61,'[1]Paramètres Articles'!$B:$H,7,FALSE)),"Non Trouvé")</f>
        <v/>
      </c>
      <c r="U61" s="93"/>
      <c r="V61" s="90" t="str">
        <f t="shared" si="4"/>
        <v/>
      </c>
      <c r="W61" s="91"/>
      <c r="X61" s="90" t="str">
        <f t="shared" si="5"/>
        <v/>
      </c>
      <c r="Y61" s="91"/>
      <c r="Z61" s="90">
        <f t="shared" si="6"/>
        <v>0</v>
      </c>
      <c r="AB61" s="94">
        <f t="shared" si="42"/>
        <v>33</v>
      </c>
      <c r="AC61" s="94">
        <f t="shared" si="42"/>
        <v>0.17</v>
      </c>
      <c r="AD61" s="90" t="str">
        <f t="shared" si="7"/>
        <v/>
      </c>
      <c r="AG61" s="94">
        <f t="shared" si="43"/>
        <v>13</v>
      </c>
      <c r="AH61" s="94">
        <f t="shared" si="43"/>
        <v>0.13</v>
      </c>
      <c r="AI61" s="90" t="str">
        <f t="shared" si="8"/>
        <v/>
      </c>
      <c r="AL61" s="94">
        <f t="shared" si="44"/>
        <v>0</v>
      </c>
      <c r="AM61" s="94">
        <f t="shared" si="44"/>
        <v>0.08</v>
      </c>
      <c r="AN61" s="90" t="str">
        <f t="shared" si="9"/>
        <v/>
      </c>
      <c r="AQ61" s="94">
        <f t="shared" si="45"/>
        <v>0</v>
      </c>
      <c r="AR61" s="94">
        <f t="shared" si="45"/>
        <v>0.05</v>
      </c>
      <c r="AS61" s="90" t="str">
        <f t="shared" si="10"/>
        <v/>
      </c>
      <c r="AV61" s="94">
        <f t="shared" si="46"/>
        <v>12</v>
      </c>
      <c r="AW61" s="94">
        <f t="shared" si="46"/>
        <v>0.32500000000000001</v>
      </c>
      <c r="AX61" s="90" t="str">
        <f t="shared" si="11"/>
        <v/>
      </c>
      <c r="BA61" s="94">
        <f t="shared" si="47"/>
        <v>7</v>
      </c>
      <c r="BB61" s="94">
        <f t="shared" si="47"/>
        <v>0.29499999999999998</v>
      </c>
      <c r="BC61" s="90" t="str">
        <f t="shared" si="12"/>
        <v/>
      </c>
      <c r="BF61" s="94">
        <f t="shared" si="48"/>
        <v>0</v>
      </c>
      <c r="BG61" s="94">
        <f t="shared" si="48"/>
        <v>0.27500000000000002</v>
      </c>
      <c r="BH61" s="90" t="str">
        <f t="shared" si="13"/>
        <v/>
      </c>
      <c r="BK61" s="94">
        <f t="shared" si="49"/>
        <v>0</v>
      </c>
      <c r="BL61" s="94">
        <f t="shared" si="49"/>
        <v>0.245</v>
      </c>
      <c r="BM61" s="90" t="str">
        <f t="shared" si="14"/>
        <v/>
      </c>
      <c r="BP61" s="94">
        <f t="shared" si="50"/>
        <v>0</v>
      </c>
      <c r="BQ61" s="94">
        <f t="shared" si="50"/>
        <v>0.22500000000000001</v>
      </c>
      <c r="BR61" s="90" t="str">
        <f t="shared" si="15"/>
        <v/>
      </c>
      <c r="BU61" s="94">
        <f t="shared" si="51"/>
        <v>0</v>
      </c>
      <c r="BV61" s="94">
        <f t="shared" si="51"/>
        <v>0.17499999999999999</v>
      </c>
      <c r="BW61" s="90" t="str">
        <f t="shared" si="16"/>
        <v/>
      </c>
      <c r="BZ61" s="94">
        <f t="shared" si="52"/>
        <v>0</v>
      </c>
      <c r="CA61" s="94">
        <f t="shared" si="52"/>
        <v>0.15</v>
      </c>
      <c r="CB61" s="90" t="str">
        <f t="shared" si="17"/>
        <v/>
      </c>
      <c r="CE61" s="95"/>
      <c r="CF61" s="96"/>
      <c r="CG61" s="97"/>
      <c r="CH61" s="97"/>
      <c r="CI61" s="98"/>
      <c r="CK61" s="99">
        <f>IFERROR(IF(F61='[1]Paramètres Généraux'!$K$12,ROUNDUP((REGENERANTS!H61*REGENERANTS!$CF$20)*'[1]Paramètres Généraux'!$M$12,-1),IF(F61='[1]Paramètres Généraux'!$K$15,ROUNDUP((REGENERANTS!H61*REGENERANTS!$CF$20)*'[1]Paramètres Généraux'!$M$15,-1),REGENERANTS!H61*REGENERANTS!$CF$20)),"nd")</f>
        <v>0</v>
      </c>
      <c r="CN61" s="146"/>
      <c r="CO61" s="147"/>
      <c r="CP61" s="147"/>
      <c r="CQ61" s="147"/>
      <c r="CR61" s="147"/>
      <c r="CS61" s="144"/>
      <c r="CT61" s="147"/>
      <c r="CU61" s="147"/>
      <c r="CV61" s="148"/>
      <c r="CW61" s="136"/>
      <c r="CX61" s="149"/>
      <c r="CY61" s="150"/>
      <c r="CZ61" s="136"/>
      <c r="DA61" s="149"/>
      <c r="DB61" s="150"/>
      <c r="DC61" s="136"/>
      <c r="DD61" s="149"/>
      <c r="DE61" s="150"/>
      <c r="DF61" s="136"/>
      <c r="DG61" s="136"/>
      <c r="DH61" s="136"/>
      <c r="DI61" s="136"/>
      <c r="DJ61" s="136"/>
      <c r="DK61" s="136"/>
      <c r="DL61" s="136"/>
      <c r="DM61" s="136"/>
      <c r="DN61" s="136"/>
      <c r="DO61" s="149"/>
      <c r="DP61" s="150"/>
      <c r="DQ61" s="20">
        <f t="shared" si="18"/>
        <v>0</v>
      </c>
      <c r="DR61" s="20">
        <f t="shared" si="3"/>
        <v>0</v>
      </c>
      <c r="DS61" s="20">
        <f>IFERROR((IF(AND($F61="Produit Vente",CO61&gt;0),VLOOKUP($C61,'[1]Paramètres Articles'!$B:$H,7,FALSE)*$CO61)*(1-20%)),0)</f>
        <v>0</v>
      </c>
      <c r="DT61" s="20">
        <f>IFERROR((IF(AND($F61="Produit Vente",DR61&gt;0),VLOOKUP($C61,'[1]Paramètres Articles'!$B:$H,6,FALSE)*$DR61)*(1-15%)),0)</f>
        <v>0</v>
      </c>
      <c r="DU61" s="20">
        <f t="shared" si="19"/>
        <v>0</v>
      </c>
    </row>
    <row r="62" spans="2:132" ht="12.95" customHeight="1" outlineLevel="1">
      <c r="B62" s="1">
        <f>IF(C62="",0,COUNTIFS($B$22:B61,"&gt;"&amp;0)+1)</f>
        <v>0</v>
      </c>
      <c r="C62" s="85"/>
      <c r="D62" s="86" t="str">
        <f>IFERROR(IF($C62="","",VLOOKUP($C62,'[1]Paramètres Articles'!$B:$G,2,FALSE)),"Non Trouvé")</f>
        <v/>
      </c>
      <c r="E62" s="87" t="str">
        <f>IFERROR(IF($C62="","",_xlfn.XLOOKUP(REGENERANTS!$C62,'[1]New Base PA'!$F:$F,'[1]New Base PA'!$D:$D,"Not Found",0)),"Non Trouvé")</f>
        <v/>
      </c>
      <c r="F62" s="88"/>
      <c r="H62" s="101"/>
      <c r="J62" s="90" t="str">
        <f>IFERROR(IF($C62="","",VLOOKUP($C62,'[1]New Base PA'!$F:$J,5,FALSE)),"Non Trouvé")</f>
        <v/>
      </c>
      <c r="K62" s="131" t="str">
        <f t="shared" si="0"/>
        <v/>
      </c>
      <c r="L62" s="132"/>
      <c r="M62" s="131">
        <f>IFERROR(IF(AND($F62="Produit Vente",H62&gt;0),VLOOKUP($C62,'[1]Paramètres Articles'!$B:$G,6,FALSE),0),"Non Trouvé")</f>
        <v>0</v>
      </c>
      <c r="N62" s="131" t="str">
        <f t="shared" si="1"/>
        <v/>
      </c>
      <c r="P62" s="92"/>
      <c r="R62" s="90" t="str">
        <f t="shared" si="2"/>
        <v/>
      </c>
      <c r="S62" s="91"/>
      <c r="T62" s="90" t="str">
        <f>IFERROR(IF($C62="","",VLOOKUP($C62,'[1]Paramètres Articles'!$B:$H,7,FALSE)),"Non Trouvé")</f>
        <v/>
      </c>
      <c r="U62" s="93"/>
      <c r="V62" s="90" t="str">
        <f t="shared" si="4"/>
        <v/>
      </c>
      <c r="W62" s="91"/>
      <c r="X62" s="90" t="str">
        <f t="shared" si="5"/>
        <v/>
      </c>
      <c r="Y62" s="91"/>
      <c r="Z62" s="90">
        <f t="shared" si="6"/>
        <v>0</v>
      </c>
      <c r="AB62" s="94">
        <f t="shared" si="42"/>
        <v>33</v>
      </c>
      <c r="AC62" s="94">
        <f t="shared" si="42"/>
        <v>0.17</v>
      </c>
      <c r="AD62" s="90" t="str">
        <f t="shared" si="7"/>
        <v/>
      </c>
      <c r="AG62" s="94">
        <f t="shared" si="43"/>
        <v>13</v>
      </c>
      <c r="AH62" s="94">
        <f t="shared" si="43"/>
        <v>0.13</v>
      </c>
      <c r="AI62" s="90" t="str">
        <f t="shared" si="8"/>
        <v/>
      </c>
      <c r="AL62" s="94">
        <f t="shared" si="44"/>
        <v>0</v>
      </c>
      <c r="AM62" s="94">
        <f t="shared" si="44"/>
        <v>0.08</v>
      </c>
      <c r="AN62" s="90" t="str">
        <f t="shared" si="9"/>
        <v/>
      </c>
      <c r="AQ62" s="94">
        <f t="shared" si="45"/>
        <v>0</v>
      </c>
      <c r="AR62" s="94">
        <f t="shared" si="45"/>
        <v>0.05</v>
      </c>
      <c r="AS62" s="90" t="str">
        <f t="shared" si="10"/>
        <v/>
      </c>
      <c r="AV62" s="94">
        <f t="shared" si="46"/>
        <v>12</v>
      </c>
      <c r="AW62" s="94">
        <f t="shared" si="46"/>
        <v>0.32500000000000001</v>
      </c>
      <c r="AX62" s="90" t="str">
        <f t="shared" si="11"/>
        <v/>
      </c>
      <c r="BA62" s="94">
        <f t="shared" si="47"/>
        <v>7</v>
      </c>
      <c r="BB62" s="94">
        <f t="shared" si="47"/>
        <v>0.29499999999999998</v>
      </c>
      <c r="BC62" s="90" t="str">
        <f t="shared" si="12"/>
        <v/>
      </c>
      <c r="BF62" s="94">
        <f t="shared" si="48"/>
        <v>0</v>
      </c>
      <c r="BG62" s="94">
        <f t="shared" si="48"/>
        <v>0.27500000000000002</v>
      </c>
      <c r="BH62" s="90" t="str">
        <f t="shared" si="13"/>
        <v/>
      </c>
      <c r="BK62" s="94">
        <f t="shared" si="49"/>
        <v>0</v>
      </c>
      <c r="BL62" s="94">
        <f t="shared" si="49"/>
        <v>0.245</v>
      </c>
      <c r="BM62" s="90" t="str">
        <f t="shared" si="14"/>
        <v/>
      </c>
      <c r="BP62" s="94">
        <f t="shared" si="50"/>
        <v>0</v>
      </c>
      <c r="BQ62" s="94">
        <f t="shared" si="50"/>
        <v>0.22500000000000001</v>
      </c>
      <c r="BR62" s="90" t="str">
        <f t="shared" si="15"/>
        <v/>
      </c>
      <c r="BU62" s="94">
        <f t="shared" si="51"/>
        <v>0</v>
      </c>
      <c r="BV62" s="94">
        <f t="shared" si="51"/>
        <v>0.17499999999999999</v>
      </c>
      <c r="BW62" s="90" t="str">
        <f t="shared" si="16"/>
        <v/>
      </c>
      <c r="BZ62" s="94">
        <f t="shared" si="52"/>
        <v>0</v>
      </c>
      <c r="CA62" s="94">
        <f t="shared" si="52"/>
        <v>0.15</v>
      </c>
      <c r="CB62" s="90" t="str">
        <f t="shared" si="17"/>
        <v/>
      </c>
      <c r="CE62" s="95"/>
      <c r="CF62" s="96"/>
      <c r="CG62" s="97"/>
      <c r="CH62" s="97"/>
      <c r="CI62" s="98"/>
      <c r="CK62" s="99">
        <f>IFERROR(IF(F62='[1]Paramètres Généraux'!$K$12,ROUNDUP((REGENERANTS!H62*REGENERANTS!$CF$20)*'[1]Paramètres Généraux'!$M$12,-1),IF(F62='[1]Paramètres Généraux'!$K$15,ROUNDUP((REGENERANTS!H62*REGENERANTS!$CF$20)*'[1]Paramètres Généraux'!$M$15,-1),REGENERANTS!H62*REGENERANTS!$CF$20)),"nd")</f>
        <v>0</v>
      </c>
      <c r="CN62" s="146"/>
      <c r="CO62" s="147"/>
      <c r="CP62" s="147"/>
      <c r="CQ62" s="147"/>
      <c r="CR62" s="147"/>
      <c r="CS62" s="144"/>
      <c r="CT62" s="147"/>
      <c r="CU62" s="147"/>
      <c r="CV62" s="148"/>
      <c r="CW62" s="136"/>
      <c r="CX62" s="149"/>
      <c r="CY62" s="150"/>
      <c r="CZ62" s="136"/>
      <c r="DA62" s="149"/>
      <c r="DB62" s="150"/>
      <c r="DC62" s="136"/>
      <c r="DD62" s="149"/>
      <c r="DE62" s="150"/>
      <c r="DF62" s="136"/>
      <c r="DG62" s="136"/>
      <c r="DH62" s="136"/>
      <c r="DI62" s="136"/>
      <c r="DJ62" s="136"/>
      <c r="DK62" s="136"/>
      <c r="DL62" s="136"/>
      <c r="DM62" s="136"/>
      <c r="DN62" s="136"/>
      <c r="DO62" s="149"/>
      <c r="DP62" s="150"/>
      <c r="DQ62" s="20">
        <f t="shared" si="18"/>
        <v>0</v>
      </c>
      <c r="DR62" s="20">
        <f t="shared" si="3"/>
        <v>0</v>
      </c>
      <c r="DS62" s="20">
        <f>IFERROR((IF(AND($F62="Produit Vente",CO62&gt;0),VLOOKUP($C62,'[1]Paramètres Articles'!$B:$H,7,FALSE)*$CO62)*(1-20%)),0)</f>
        <v>0</v>
      </c>
      <c r="DT62" s="20">
        <f>IFERROR((IF(AND($F62="Produit Vente",DR62&gt;0),VLOOKUP($C62,'[1]Paramètres Articles'!$B:$H,6,FALSE)*$DR62)*(1-15%)),0)</f>
        <v>0</v>
      </c>
      <c r="DU62" s="20">
        <f t="shared" si="19"/>
        <v>0</v>
      </c>
    </row>
    <row r="63" spans="2:132">
      <c r="CE63" s="155"/>
      <c r="CF63" s="156"/>
      <c r="CG63" s="156"/>
      <c r="CH63" s="156"/>
      <c r="CI63" s="157"/>
      <c r="CK63" s="99"/>
      <c r="CN63" s="158"/>
      <c r="CO63" s="158"/>
      <c r="CP63" s="158"/>
      <c r="CQ63" s="158"/>
      <c r="CR63" s="158"/>
      <c r="CS63" s="158"/>
      <c r="CT63" s="158"/>
      <c r="CU63" s="158"/>
      <c r="CV63" s="158"/>
      <c r="CW63" s="159"/>
      <c r="CX63" s="159"/>
      <c r="CY63" s="159"/>
      <c r="CZ63" s="159"/>
      <c r="DA63" s="159"/>
      <c r="DB63" s="159"/>
      <c r="DC63" s="159"/>
      <c r="DD63" s="159"/>
      <c r="DE63" s="159"/>
      <c r="DF63" s="159"/>
      <c r="DG63" s="159"/>
      <c r="DH63" s="159"/>
      <c r="DI63" s="159"/>
      <c r="DJ63" s="159"/>
      <c r="DK63" s="159"/>
      <c r="DL63" s="159"/>
      <c r="DM63" s="159"/>
      <c r="DN63" s="159"/>
      <c r="DO63" s="159"/>
      <c r="DP63" s="159"/>
      <c r="DQ63" s="20"/>
    </row>
    <row r="64" spans="2:132" ht="14.25" customHeight="1">
      <c r="AB64" s="1">
        <v>270</v>
      </c>
      <c r="CK64" s="99"/>
      <c r="CN64" s="158"/>
      <c r="CO64" s="158"/>
      <c r="CP64" s="158"/>
      <c r="CQ64" s="158"/>
      <c r="CR64" s="158"/>
      <c r="CS64" s="158"/>
      <c r="CT64" s="158"/>
      <c r="CU64" s="158"/>
      <c r="CV64" s="158"/>
      <c r="CW64" s="159"/>
      <c r="CX64" s="159"/>
      <c r="CY64" s="159"/>
      <c r="CZ64" s="159"/>
      <c r="DA64" s="159"/>
      <c r="DB64" s="159"/>
      <c r="DC64" s="159"/>
      <c r="DD64" s="159"/>
      <c r="DE64" s="159"/>
      <c r="DF64" s="159"/>
      <c r="DG64" s="159"/>
      <c r="DH64" s="159"/>
      <c r="DI64" s="159"/>
      <c r="DJ64" s="159"/>
      <c r="DK64" s="159"/>
      <c r="DL64" s="159"/>
      <c r="DM64" s="159"/>
      <c r="DN64" s="159"/>
      <c r="DO64" s="159"/>
      <c r="DP64" s="159"/>
      <c r="DQ64" s="20"/>
    </row>
    <row r="65" spans="2:125">
      <c r="C65" s="22" t="s">
        <v>106</v>
      </c>
      <c r="D65" s="23"/>
      <c r="E65" s="24"/>
      <c r="F65" s="25" t="s">
        <v>107</v>
      </c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K65" s="99"/>
      <c r="CN65" s="158"/>
      <c r="CO65" s="158"/>
      <c r="CP65" s="158"/>
      <c r="CQ65" s="158"/>
      <c r="CR65" s="158"/>
      <c r="CS65" s="158"/>
      <c r="CT65" s="158"/>
      <c r="CU65" s="158"/>
      <c r="CV65" s="158"/>
      <c r="CW65" s="159"/>
      <c r="CX65" s="159"/>
      <c r="CY65" s="159"/>
      <c r="CZ65" s="159"/>
      <c r="DA65" s="159"/>
      <c r="DB65" s="159"/>
      <c r="DC65" s="159"/>
      <c r="DD65" s="159"/>
      <c r="DE65" s="159"/>
      <c r="DF65" s="159"/>
      <c r="DG65" s="159"/>
      <c r="DH65" s="159"/>
      <c r="DI65" s="159"/>
      <c r="DJ65" s="159"/>
      <c r="DK65" s="159"/>
      <c r="DL65" s="159"/>
      <c r="DM65" s="159"/>
      <c r="DN65" s="159"/>
      <c r="DO65" s="159"/>
      <c r="DP65" s="159"/>
      <c r="DQ65" s="20"/>
    </row>
    <row r="66" spans="2:125" ht="5.25" customHeight="1">
      <c r="CK66" s="99"/>
      <c r="CN66" s="158"/>
      <c r="CO66" s="158"/>
      <c r="CP66" s="158"/>
      <c r="CQ66" s="158"/>
      <c r="CR66" s="158"/>
      <c r="CS66" s="158"/>
      <c r="CT66" s="158"/>
      <c r="CU66" s="158"/>
      <c r="CV66" s="158"/>
      <c r="CW66" s="159"/>
      <c r="CX66" s="159"/>
      <c r="CY66" s="159"/>
      <c r="CZ66" s="159"/>
      <c r="DA66" s="159"/>
      <c r="DB66" s="159"/>
      <c r="DC66" s="159"/>
      <c r="DD66" s="159"/>
      <c r="DE66" s="159"/>
      <c r="DF66" s="159"/>
      <c r="DG66" s="159"/>
      <c r="DH66" s="159"/>
      <c r="DI66" s="159"/>
      <c r="DJ66" s="159"/>
      <c r="DK66" s="159"/>
      <c r="DL66" s="159"/>
      <c r="DM66" s="159"/>
      <c r="DN66" s="159"/>
      <c r="DO66" s="159"/>
      <c r="DP66" s="159"/>
      <c r="DQ66" s="20"/>
    </row>
    <row r="67" spans="2:125" ht="11.25" customHeight="1">
      <c r="AB67" s="26">
        <v>0.47</v>
      </c>
      <c r="AC67" s="26"/>
      <c r="AD67" s="26"/>
      <c r="AE67" s="26"/>
      <c r="AF67" s="26"/>
      <c r="AG67" s="26">
        <v>7.0000000000000007E-2</v>
      </c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>
        <v>0.15</v>
      </c>
      <c r="AW67" s="26"/>
      <c r="AX67" s="26"/>
      <c r="AY67" s="26"/>
      <c r="AZ67" s="26"/>
      <c r="BA67" s="26">
        <v>0.06</v>
      </c>
      <c r="BB67" s="26"/>
      <c r="BC67" s="26"/>
      <c r="BD67" s="26"/>
      <c r="BE67" s="26"/>
      <c r="BF67" s="26">
        <v>0.08</v>
      </c>
      <c r="BG67" s="26"/>
      <c r="BH67" s="26"/>
      <c r="BI67" s="26"/>
      <c r="BJ67" s="26"/>
      <c r="BK67" s="26">
        <v>0.09</v>
      </c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>
        <v>7.8E-2</v>
      </c>
      <c r="CA67" s="26"/>
      <c r="CB67" s="26"/>
      <c r="CC67" s="26"/>
      <c r="CE67" s="27"/>
      <c r="CF67" s="28"/>
      <c r="CG67" s="28"/>
      <c r="CH67" s="28"/>
      <c r="CI67" s="29"/>
      <c r="CK67" s="99"/>
      <c r="CN67" s="158"/>
      <c r="CO67" s="158"/>
      <c r="CP67" s="158"/>
      <c r="CQ67" s="158"/>
      <c r="CR67" s="158"/>
      <c r="CS67" s="158"/>
      <c r="CT67" s="158"/>
      <c r="CU67" s="158"/>
      <c r="CV67" s="158"/>
      <c r="CW67" s="159"/>
      <c r="CX67" s="159"/>
      <c r="CY67" s="159"/>
      <c r="CZ67" s="159"/>
      <c r="DA67" s="159"/>
      <c r="DB67" s="159"/>
      <c r="DC67" s="159"/>
      <c r="DD67" s="159"/>
      <c r="DE67" s="159"/>
      <c r="DF67" s="159"/>
      <c r="DG67" s="159"/>
      <c r="DH67" s="159"/>
      <c r="DI67" s="159"/>
      <c r="DJ67" s="159"/>
      <c r="DK67" s="159"/>
      <c r="DL67" s="159"/>
      <c r="DM67" s="159"/>
      <c r="DN67" s="159"/>
      <c r="DO67" s="159"/>
      <c r="DP67" s="159"/>
      <c r="DQ67" s="20"/>
    </row>
    <row r="68" spans="2:125">
      <c r="AB68" s="30" t="s">
        <v>8</v>
      </c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V68" s="31" t="s">
        <v>9</v>
      </c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Z68" s="32" t="s">
        <v>10</v>
      </c>
      <c r="CA68" s="32"/>
      <c r="CB68" s="32"/>
      <c r="CC68" s="32"/>
      <c r="CE68" s="33"/>
      <c r="CF68" s="34" t="s">
        <v>11</v>
      </c>
      <c r="CG68" s="34"/>
      <c r="CH68" s="34"/>
      <c r="CI68" s="35"/>
      <c r="CK68" s="99"/>
      <c r="CN68" s="158"/>
      <c r="CO68" s="158"/>
      <c r="CP68" s="158"/>
      <c r="CQ68" s="158"/>
      <c r="CR68" s="158"/>
      <c r="CS68" s="158"/>
      <c r="CT68" s="158"/>
      <c r="CU68" s="158"/>
      <c r="CV68" s="158"/>
      <c r="CW68" s="159"/>
      <c r="CX68" s="159"/>
      <c r="CY68" s="159"/>
      <c r="CZ68" s="159"/>
      <c r="DA68" s="159"/>
      <c r="DB68" s="159"/>
      <c r="DC68" s="159"/>
      <c r="DD68" s="159"/>
      <c r="DE68" s="159"/>
      <c r="DF68" s="159"/>
      <c r="DG68" s="159"/>
      <c r="DH68" s="159"/>
      <c r="DI68" s="159"/>
      <c r="DJ68" s="159"/>
      <c r="DK68" s="159"/>
      <c r="DL68" s="159"/>
      <c r="DM68" s="159"/>
      <c r="DN68" s="159"/>
      <c r="DO68" s="159"/>
      <c r="DP68" s="159"/>
      <c r="DQ68" s="20"/>
    </row>
    <row r="69" spans="2:125" ht="5.25" customHeight="1">
      <c r="CE69" s="33"/>
      <c r="CF69" s="39"/>
      <c r="CG69" s="39"/>
      <c r="CH69" s="39"/>
      <c r="CI69" s="35"/>
      <c r="CK69" s="99"/>
      <c r="CN69" s="158"/>
      <c r="CO69" s="158"/>
      <c r="CP69" s="158"/>
      <c r="CQ69" s="158"/>
      <c r="CR69" s="158"/>
      <c r="CS69" s="158"/>
      <c r="CT69" s="158"/>
      <c r="CU69" s="158"/>
      <c r="CV69" s="158"/>
      <c r="CW69" s="159"/>
      <c r="CX69" s="159"/>
      <c r="CY69" s="159"/>
      <c r="CZ69" s="159"/>
      <c r="DA69" s="159"/>
      <c r="DB69" s="159"/>
      <c r="DC69" s="159"/>
      <c r="DD69" s="159"/>
      <c r="DE69" s="159"/>
      <c r="DF69" s="159"/>
      <c r="DG69" s="159"/>
      <c r="DH69" s="159"/>
      <c r="DI69" s="159"/>
      <c r="DJ69" s="159"/>
      <c r="DK69" s="159"/>
      <c r="DL69" s="159"/>
      <c r="DM69" s="159"/>
      <c r="DN69" s="159"/>
      <c r="DO69" s="159"/>
      <c r="DP69" s="159"/>
      <c r="DQ69" s="20"/>
    </row>
    <row r="70" spans="2:125">
      <c r="P70" s="1" t="s">
        <v>12</v>
      </c>
      <c r="AB70" s="42" t="s">
        <v>13</v>
      </c>
      <c r="AC70" s="42"/>
      <c r="AD70" s="42"/>
      <c r="AE70" s="42"/>
      <c r="AG70" s="42" t="s">
        <v>14</v>
      </c>
      <c r="AH70" s="42"/>
      <c r="AI70" s="42"/>
      <c r="AJ70" s="42"/>
      <c r="AL70" s="42" t="s">
        <v>15</v>
      </c>
      <c r="AM70" s="42"/>
      <c r="AN70" s="42"/>
      <c r="AO70" s="42"/>
      <c r="AQ70" s="42" t="s">
        <v>16</v>
      </c>
      <c r="AR70" s="42"/>
      <c r="AS70" s="42"/>
      <c r="AT70" s="42"/>
      <c r="AV70" s="43" t="s">
        <v>17</v>
      </c>
      <c r="AW70" s="43"/>
      <c r="AX70" s="43"/>
      <c r="AY70" s="43"/>
      <c r="BA70" s="43" t="s">
        <v>18</v>
      </c>
      <c r="BB70" s="43"/>
      <c r="BC70" s="43"/>
      <c r="BD70" s="43"/>
      <c r="BF70" s="43" t="s">
        <v>19</v>
      </c>
      <c r="BG70" s="43"/>
      <c r="BH70" s="43"/>
      <c r="BI70" s="43"/>
      <c r="BK70" s="43" t="s">
        <v>20</v>
      </c>
      <c r="BL70" s="43"/>
      <c r="BM70" s="43"/>
      <c r="BN70" s="43"/>
      <c r="BP70" s="43" t="s">
        <v>21</v>
      </c>
      <c r="BQ70" s="43"/>
      <c r="BR70" s="43"/>
      <c r="BS70" s="43"/>
      <c r="BU70" s="43" t="s">
        <v>22</v>
      </c>
      <c r="BV70" s="43"/>
      <c r="BW70" s="43"/>
      <c r="BX70" s="43"/>
      <c r="BZ70" s="44" t="s">
        <v>10</v>
      </c>
      <c r="CA70" s="44"/>
      <c r="CB70" s="44"/>
      <c r="CC70" s="44"/>
      <c r="CE70" s="33"/>
      <c r="CF70" s="45" t="s">
        <v>23</v>
      </c>
      <c r="CG70" s="45"/>
      <c r="CH70" s="45"/>
      <c r="CI70" s="35"/>
      <c r="CK70" s="99"/>
      <c r="CN70" s="158"/>
      <c r="CO70" s="158"/>
      <c r="CP70" s="158"/>
      <c r="CQ70" s="158"/>
      <c r="CR70" s="158"/>
      <c r="CS70" s="158"/>
      <c r="CT70" s="158"/>
      <c r="CU70" s="158"/>
      <c r="CV70" s="158"/>
      <c r="CW70" s="159"/>
      <c r="CX70" s="159"/>
      <c r="CY70" s="159"/>
      <c r="CZ70" s="159"/>
      <c r="DA70" s="159"/>
      <c r="DB70" s="159"/>
      <c r="DC70" s="159"/>
      <c r="DD70" s="159"/>
      <c r="DE70" s="159"/>
      <c r="DF70" s="159"/>
      <c r="DG70" s="159"/>
      <c r="DH70" s="159"/>
      <c r="DI70" s="159"/>
      <c r="DJ70" s="159"/>
      <c r="DK70" s="159"/>
      <c r="DL70" s="159"/>
      <c r="DM70" s="159"/>
      <c r="DN70" s="159"/>
      <c r="DO70" s="159"/>
      <c r="DP70" s="159"/>
      <c r="DQ70" s="20"/>
    </row>
    <row r="71" spans="2:125" ht="5.25" customHeight="1">
      <c r="CE71" s="33"/>
      <c r="CF71" s="39"/>
      <c r="CG71" s="39"/>
      <c r="CH71" s="39"/>
      <c r="CI71" s="35"/>
      <c r="CK71" s="99"/>
      <c r="CN71" s="158"/>
      <c r="CO71" s="158"/>
      <c r="CP71" s="158"/>
      <c r="CQ71" s="158"/>
      <c r="CR71" s="158"/>
      <c r="CS71" s="158"/>
      <c r="CT71" s="158"/>
      <c r="CU71" s="158"/>
      <c r="CV71" s="158"/>
      <c r="CW71" s="159"/>
      <c r="CX71" s="159"/>
      <c r="CY71" s="159"/>
      <c r="CZ71" s="159"/>
      <c r="DA71" s="159"/>
      <c r="DB71" s="159"/>
      <c r="DC71" s="159"/>
      <c r="DD71" s="159"/>
      <c r="DE71" s="159"/>
      <c r="DF71" s="159"/>
      <c r="DG71" s="159"/>
      <c r="DH71" s="159"/>
      <c r="DI71" s="159"/>
      <c r="DJ71" s="159"/>
      <c r="DK71" s="159"/>
      <c r="DL71" s="159"/>
      <c r="DM71" s="159"/>
      <c r="DN71" s="159"/>
      <c r="DO71" s="159"/>
      <c r="DP71" s="159"/>
      <c r="DQ71" s="20"/>
    </row>
    <row r="72" spans="2:125" s="46" customFormat="1" ht="38.25">
      <c r="E72" s="47"/>
      <c r="H72" s="48" t="s">
        <v>24</v>
      </c>
      <c r="J72" s="48" t="s">
        <v>25</v>
      </c>
      <c r="K72" s="48" t="s">
        <v>26</v>
      </c>
      <c r="M72" s="48" t="s">
        <v>27</v>
      </c>
      <c r="N72" s="48" t="s">
        <v>28</v>
      </c>
      <c r="P72" s="48" t="s">
        <v>29</v>
      </c>
      <c r="R72" s="48" t="s">
        <v>30</v>
      </c>
      <c r="T72" s="48" t="s">
        <v>31</v>
      </c>
      <c r="U72" s="48"/>
      <c r="V72" s="48" t="s">
        <v>32</v>
      </c>
      <c r="X72" s="48" t="s">
        <v>33</v>
      </c>
      <c r="Z72" s="48" t="s">
        <v>34</v>
      </c>
      <c r="AB72" s="48" t="s">
        <v>0</v>
      </c>
      <c r="AC72" s="48" t="s">
        <v>35</v>
      </c>
      <c r="AD72" s="48" t="s">
        <v>1</v>
      </c>
      <c r="AE72" s="48" t="s">
        <v>2</v>
      </c>
      <c r="AG72" s="48" t="s">
        <v>0</v>
      </c>
      <c r="AH72" s="48" t="s">
        <v>35</v>
      </c>
      <c r="AI72" s="48" t="s">
        <v>1</v>
      </c>
      <c r="AJ72" s="48" t="s">
        <v>2</v>
      </c>
      <c r="AL72" s="48" t="s">
        <v>0</v>
      </c>
      <c r="AM72" s="48" t="s">
        <v>35</v>
      </c>
      <c r="AN72" s="48" t="s">
        <v>1</v>
      </c>
      <c r="AO72" s="48" t="s">
        <v>2</v>
      </c>
      <c r="AQ72" s="48" t="s">
        <v>0</v>
      </c>
      <c r="AR72" s="48" t="s">
        <v>35</v>
      </c>
      <c r="AS72" s="48" t="s">
        <v>1</v>
      </c>
      <c r="AT72" s="48" t="s">
        <v>2</v>
      </c>
      <c r="AV72" s="48" t="s">
        <v>0</v>
      </c>
      <c r="AW72" s="48" t="s">
        <v>35</v>
      </c>
      <c r="AX72" s="48" t="s">
        <v>1</v>
      </c>
      <c r="AY72" s="48" t="s">
        <v>2</v>
      </c>
      <c r="BA72" s="48" t="s">
        <v>0</v>
      </c>
      <c r="BB72" s="48" t="s">
        <v>35</v>
      </c>
      <c r="BC72" s="48" t="s">
        <v>1</v>
      </c>
      <c r="BD72" s="48" t="s">
        <v>2</v>
      </c>
      <c r="BF72" s="48" t="s">
        <v>0</v>
      </c>
      <c r="BG72" s="48" t="s">
        <v>35</v>
      </c>
      <c r="BH72" s="48" t="s">
        <v>1</v>
      </c>
      <c r="BI72" s="48" t="s">
        <v>2</v>
      </c>
      <c r="BK72" s="48" t="s">
        <v>0</v>
      </c>
      <c r="BL72" s="48" t="s">
        <v>35</v>
      </c>
      <c r="BM72" s="48" t="s">
        <v>1</v>
      </c>
      <c r="BN72" s="48" t="s">
        <v>2</v>
      </c>
      <c r="BP72" s="48" t="s">
        <v>0</v>
      </c>
      <c r="BQ72" s="48" t="s">
        <v>35</v>
      </c>
      <c r="BR72" s="48" t="s">
        <v>1</v>
      </c>
      <c r="BS72" s="48" t="s">
        <v>2</v>
      </c>
      <c r="BU72" s="48" t="s">
        <v>0</v>
      </c>
      <c r="BV72" s="48" t="s">
        <v>35</v>
      </c>
      <c r="BW72" s="48" t="s">
        <v>1</v>
      </c>
      <c r="BX72" s="48" t="s">
        <v>2</v>
      </c>
      <c r="BZ72" s="48" t="s">
        <v>0</v>
      </c>
      <c r="CA72" s="48" t="s">
        <v>35</v>
      </c>
      <c r="CB72" s="48" t="s">
        <v>1</v>
      </c>
      <c r="CC72" s="48" t="s">
        <v>2</v>
      </c>
      <c r="CE72" s="49"/>
      <c r="CF72" s="50" t="s">
        <v>0</v>
      </c>
      <c r="CG72" s="50" t="s">
        <v>1</v>
      </c>
      <c r="CH72" s="50" t="s">
        <v>2</v>
      </c>
      <c r="CI72" s="51"/>
      <c r="CK72" s="160"/>
      <c r="CN72" s="158"/>
      <c r="CO72" s="158"/>
      <c r="CP72" s="158"/>
      <c r="CQ72" s="158"/>
      <c r="CR72" s="158"/>
      <c r="CS72" s="158"/>
      <c r="CT72" s="158"/>
      <c r="CU72" s="158"/>
      <c r="CV72" s="158"/>
      <c r="CW72" s="159"/>
      <c r="CX72" s="159"/>
      <c r="CY72" s="159"/>
      <c r="CZ72" s="159"/>
      <c r="DA72" s="159"/>
      <c r="DB72" s="159"/>
      <c r="DC72" s="159"/>
      <c r="DD72" s="159"/>
      <c r="DE72" s="159"/>
      <c r="DF72" s="159"/>
      <c r="DG72" s="159"/>
      <c r="DH72" s="159"/>
      <c r="DI72" s="159"/>
      <c r="DJ72" s="159"/>
      <c r="DK72" s="159"/>
      <c r="DL72" s="159"/>
      <c r="DM72" s="159"/>
      <c r="DN72" s="159"/>
      <c r="DO72" s="159"/>
      <c r="DP72" s="159"/>
      <c r="DQ72" s="20"/>
    </row>
    <row r="73" spans="2:125" ht="26.25" thickBot="1">
      <c r="C73" s="60" t="s">
        <v>49</v>
      </c>
      <c r="D73" s="60" t="s">
        <v>50</v>
      </c>
      <c r="E73" s="161" t="s">
        <v>51</v>
      </c>
      <c r="F73" s="60" t="s">
        <v>52</v>
      </c>
      <c r="H73" s="61" t="s">
        <v>53</v>
      </c>
      <c r="J73" s="61" t="s">
        <v>54</v>
      </c>
      <c r="K73" s="61" t="s">
        <v>54</v>
      </c>
      <c r="M73" s="61" t="s">
        <v>54</v>
      </c>
      <c r="N73" s="61" t="s">
        <v>54</v>
      </c>
      <c r="P73" s="61" t="s">
        <v>54</v>
      </c>
      <c r="R73" s="61" t="s">
        <v>54</v>
      </c>
      <c r="T73" s="61" t="s">
        <v>54</v>
      </c>
      <c r="U73" s="62"/>
      <c r="V73" s="61" t="s">
        <v>54</v>
      </c>
      <c r="X73" s="61" t="s">
        <v>54</v>
      </c>
      <c r="Z73" s="61" t="s">
        <v>54</v>
      </c>
      <c r="AB73" s="61" t="s">
        <v>53</v>
      </c>
      <c r="AC73" s="61" t="s">
        <v>54</v>
      </c>
      <c r="AD73" s="61" t="s">
        <v>54</v>
      </c>
      <c r="AE73" s="61" t="s">
        <v>54</v>
      </c>
      <c r="AG73" s="61" t="s">
        <v>53</v>
      </c>
      <c r="AH73" s="61" t="s">
        <v>54</v>
      </c>
      <c r="AI73" s="61" t="s">
        <v>54</v>
      </c>
      <c r="AJ73" s="61" t="s">
        <v>54</v>
      </c>
      <c r="AL73" s="61" t="s">
        <v>53</v>
      </c>
      <c r="AM73" s="61" t="s">
        <v>54</v>
      </c>
      <c r="AN73" s="61" t="s">
        <v>54</v>
      </c>
      <c r="AO73" s="61" t="s">
        <v>54</v>
      </c>
      <c r="AQ73" s="61" t="s">
        <v>53</v>
      </c>
      <c r="AR73" s="61" t="s">
        <v>54</v>
      </c>
      <c r="AS73" s="61" t="s">
        <v>54</v>
      </c>
      <c r="AT73" s="61" t="s">
        <v>54</v>
      </c>
      <c r="AV73" s="61" t="s">
        <v>53</v>
      </c>
      <c r="AW73" s="61" t="s">
        <v>54</v>
      </c>
      <c r="AX73" s="61" t="s">
        <v>54</v>
      </c>
      <c r="AY73" s="61" t="s">
        <v>54</v>
      </c>
      <c r="BA73" s="61" t="s">
        <v>53</v>
      </c>
      <c r="BB73" s="61" t="s">
        <v>54</v>
      </c>
      <c r="BC73" s="61" t="s">
        <v>54</v>
      </c>
      <c r="BD73" s="61" t="s">
        <v>54</v>
      </c>
      <c r="BF73" s="61" t="s">
        <v>53</v>
      </c>
      <c r="BG73" s="61" t="s">
        <v>54</v>
      </c>
      <c r="BH73" s="61" t="s">
        <v>54</v>
      </c>
      <c r="BI73" s="61" t="s">
        <v>54</v>
      </c>
      <c r="BK73" s="61" t="s">
        <v>53</v>
      </c>
      <c r="BL73" s="61" t="s">
        <v>54</v>
      </c>
      <c r="BM73" s="61" t="s">
        <v>54</v>
      </c>
      <c r="BN73" s="61" t="s">
        <v>54</v>
      </c>
      <c r="BP73" s="61" t="s">
        <v>53</v>
      </c>
      <c r="BQ73" s="61" t="s">
        <v>54</v>
      </c>
      <c r="BR73" s="61" t="s">
        <v>54</v>
      </c>
      <c r="BS73" s="61" t="s">
        <v>54</v>
      </c>
      <c r="BU73" s="61" t="s">
        <v>53</v>
      </c>
      <c r="BV73" s="61" t="s">
        <v>54</v>
      </c>
      <c r="BW73" s="61" t="s">
        <v>54</v>
      </c>
      <c r="BX73" s="61" t="s">
        <v>54</v>
      </c>
      <c r="BZ73" s="61" t="s">
        <v>53</v>
      </c>
      <c r="CA73" s="61" t="s">
        <v>54</v>
      </c>
      <c r="CB73" s="61" t="s">
        <v>54</v>
      </c>
      <c r="CC73" s="61" t="s">
        <v>54</v>
      </c>
      <c r="CE73" s="33"/>
      <c r="CF73" s="63" t="s">
        <v>53</v>
      </c>
      <c r="CG73" s="63" t="s">
        <v>54</v>
      </c>
      <c r="CH73" s="63" t="s">
        <v>54</v>
      </c>
      <c r="CI73" s="35"/>
      <c r="CJ73" s="64">
        <f>ROUNDUP(CF75*40%,-1)</f>
        <v>110</v>
      </c>
      <c r="CK73" s="99"/>
      <c r="CN73" s="158"/>
      <c r="CO73" s="158"/>
      <c r="CP73" s="158"/>
      <c r="CQ73" s="158"/>
      <c r="CR73" s="158"/>
      <c r="CS73" s="158"/>
      <c r="CT73" s="158"/>
      <c r="CU73" s="158"/>
      <c r="CV73" s="158"/>
      <c r="CW73" s="159"/>
      <c r="CX73" s="159"/>
      <c r="CY73" s="159"/>
      <c r="CZ73" s="159"/>
      <c r="DA73" s="159"/>
      <c r="DB73" s="159"/>
      <c r="DC73" s="159"/>
      <c r="DD73" s="159"/>
      <c r="DE73" s="159"/>
      <c r="DF73" s="159"/>
      <c r="DG73" s="159"/>
      <c r="DH73" s="159"/>
      <c r="DI73" s="159"/>
      <c r="DJ73" s="159"/>
      <c r="DK73" s="159"/>
      <c r="DL73" s="159"/>
      <c r="DM73" s="159"/>
      <c r="DN73" s="159"/>
      <c r="DO73" s="159"/>
      <c r="DP73" s="159"/>
      <c r="DQ73" s="20"/>
    </row>
    <row r="74" spans="2:125" ht="5.25" customHeight="1">
      <c r="V74"/>
      <c r="X74"/>
      <c r="CE74" s="33"/>
      <c r="CF74" s="39"/>
      <c r="CG74" s="39"/>
      <c r="CH74" s="39"/>
      <c r="CI74" s="35"/>
      <c r="CK74" s="99"/>
      <c r="CN74" s="158"/>
      <c r="CO74" s="158"/>
      <c r="CP74" s="158"/>
      <c r="CQ74" s="158"/>
      <c r="CR74" s="158"/>
      <c r="CS74" s="158"/>
      <c r="CT74" s="158"/>
      <c r="CU74" s="158"/>
      <c r="CV74" s="158"/>
      <c r="CW74" s="159"/>
      <c r="CX74" s="159"/>
      <c r="CY74" s="159"/>
      <c r="CZ74" s="159"/>
      <c r="DA74" s="159"/>
      <c r="DB74" s="159"/>
      <c r="DC74" s="159"/>
      <c r="DD74" s="159"/>
      <c r="DE74" s="159"/>
      <c r="DF74" s="159"/>
      <c r="DG74" s="159"/>
      <c r="DH74" s="159"/>
      <c r="DI74" s="159"/>
      <c r="DJ74" s="159"/>
      <c r="DK74" s="159"/>
      <c r="DL74" s="159"/>
      <c r="DM74" s="159"/>
      <c r="DN74" s="159"/>
      <c r="DO74" s="159"/>
      <c r="DP74" s="159"/>
      <c r="DQ74" s="20"/>
    </row>
    <row r="75" spans="2:125" s="64" customFormat="1" ht="12.95" customHeight="1">
      <c r="B75" s="64" t="str">
        <f>C65</f>
        <v>REGENERANTS 1 - Standard</v>
      </c>
      <c r="C75" s="65" t="s">
        <v>56</v>
      </c>
      <c r="D75" s="65"/>
      <c r="E75" s="66"/>
      <c r="F75" s="65"/>
      <c r="H75" s="67">
        <f>IFERROR(SUMIFS(H77:H98,F77:F98,"Produit Vente"),"Non trouvé")</f>
        <v>24</v>
      </c>
      <c r="J75" s="68">
        <f>IFERROR($K75/$H75,"Non Trouvé")</f>
        <v>18.213533333333331</v>
      </c>
      <c r="K75" s="68">
        <f>IFERROR(SUM(K77:K98),"Non Trouvé")</f>
        <v>437.12479999999994</v>
      </c>
      <c r="M75" s="68">
        <f>IFERROR($N75/$H75,"Non Trouvé")</f>
        <v>40.62575726816636</v>
      </c>
      <c r="N75" s="68">
        <f>IFERROR(SUM(N77:N98),"Non Trouvé")</f>
        <v>975.01817443599271</v>
      </c>
      <c r="P75" s="69">
        <f>IFERROR(-(R75-N75)/N75,"Non Trouvé")</f>
        <v>0.10000000000000026</v>
      </c>
      <c r="R75" s="68">
        <f>IFERROR(SUM(R77:R98),"Non Trouvé")</f>
        <v>877.51635699239318</v>
      </c>
      <c r="T75" s="68">
        <f>IFERROR(SUM(T77:T98),"Non Trouvé")</f>
        <v>863.39614304461031</v>
      </c>
      <c r="U75" s="70"/>
      <c r="V75" s="68">
        <f>IFERROR(SUM(V77:V118),"Non Trouvé")</f>
        <v>1921.4210325787187</v>
      </c>
      <c r="X75" s="68">
        <f>IFERROR(SUM(X77:X118),"Non Trouvé")</f>
        <v>146.56932503280683</v>
      </c>
      <c r="Z75" s="68">
        <f>IFERROR(SUM(Z77:Z98),"Non Trouvé")</f>
        <v>1657.5</v>
      </c>
      <c r="AB75" s="71">
        <f>ROUND($AB$64*AB67,0)</f>
        <v>127</v>
      </c>
      <c r="AC75" s="72">
        <f>IFERROR(VLOOKUP(AB70,'[1]Paramètres Généraux'!$O:$P,2,FALSE),"Non Trouvé")</f>
        <v>0.17</v>
      </c>
      <c r="AD75" s="68">
        <f>IFERROR(SUM(AD77:AD98),"Non Trouvé")</f>
        <v>90393.93495196088</v>
      </c>
      <c r="AE75" s="69">
        <f>IFERROR((AD75-$K75*AB75)/AD75,"Non Trouvé")</f>
        <v>0.38585647776587106</v>
      </c>
      <c r="AG75" s="71">
        <f>ROUND($AB$64*AG67,0)</f>
        <v>19</v>
      </c>
      <c r="AH75" s="72">
        <f>IFERROR(VLOOKUP(AG70,'[1]Paramètres Généraux'!$O:$P,2,FALSE),"Non Trouvé")</f>
        <v>0.13</v>
      </c>
      <c r="AI75" s="68">
        <f>IFERROR(SUM(AI77:AI98),"Non Trouvé")</f>
        <v>14264.51589199857</v>
      </c>
      <c r="AJ75" s="69">
        <f>IFERROR((AI75-$K75*AG75)/AI75,"Non Trouvé")</f>
        <v>0.41776003736244899</v>
      </c>
      <c r="AL75" s="71">
        <f>ROUND($AB$64*AL67,0)</f>
        <v>0</v>
      </c>
      <c r="AM75" s="72">
        <f>IFERROR(VLOOKUP(AL70,'[1]Paramètres Généraux'!$O:$P,2,FALSE),"Non Trouvé")</f>
        <v>0.08</v>
      </c>
      <c r="AN75" s="68">
        <f>IFERROR(SUM(AN77:AN98),"Non Trouvé")</f>
        <v>0</v>
      </c>
      <c r="AO75" s="69" t="str">
        <f>IFERROR((AN75-$K75*AL75)/AN75,"Non Trouvé")</f>
        <v>Non Trouvé</v>
      </c>
      <c r="AQ75" s="71">
        <f>ROUND($AB$64*AQ67,0)</f>
        <v>0</v>
      </c>
      <c r="AR75" s="72">
        <f>IFERROR(VLOOKUP(AQ70,'[1]Paramètres Généraux'!$O:$P,2,FALSE),"Non Trouvé")</f>
        <v>0.05</v>
      </c>
      <c r="AS75" s="68">
        <f>IFERROR(SUM(AS77:AS98),"Non Trouvé")</f>
        <v>0</v>
      </c>
      <c r="AT75" s="69" t="str">
        <f>IFERROR((AS75-$K75*AQ75)/AS75,"Non Trouvé")</f>
        <v>Non Trouvé</v>
      </c>
      <c r="AV75" s="71">
        <f>ROUND($AB$64*AV67,0)</f>
        <v>41</v>
      </c>
      <c r="AW75" s="72">
        <f>IFERROR(VLOOKUP(AV70,'[1]Paramètres Généraux'!$O:$P,2,FALSE),"Non Trouvé")</f>
        <v>0.32500000000000001</v>
      </c>
      <c r="AX75" s="68">
        <f>IFERROR(SUM(AX77:AX98),"Non Trouvé")</f>
        <v>22986.053462328524</v>
      </c>
      <c r="AY75" s="69">
        <f>IFERROR((AX75-$K75*AV75)/AX75,"Non Trouvé")</f>
        <v>0.22030474568536668</v>
      </c>
      <c r="BA75" s="71">
        <f>ROUND($AB$64*BA67,0)</f>
        <v>16</v>
      </c>
      <c r="BB75" s="72">
        <f>IFERROR(VLOOKUP(BA70,'[1]Paramètres Généraux'!$O:$P,2,FALSE),"Non Trouvé")</f>
        <v>0.29499999999999998</v>
      </c>
      <c r="BC75" s="68">
        <f>IFERROR(SUM(BC77:BC98),"Non Trouvé")</f>
        <v>9438.1759285404078</v>
      </c>
      <c r="BD75" s="69">
        <f>IFERROR((BC75-$K75*BA75)/BC75,"Non Trouvé")</f>
        <v>0.25896732027948066</v>
      </c>
      <c r="BF75" s="71">
        <f>ROUND($AB$64*BF67,0)</f>
        <v>22</v>
      </c>
      <c r="BG75" s="72">
        <f>IFERROR(VLOOKUP(BF70,'[1]Paramètres Généraux'!$O:$P,2,FALSE),"Non Trouvé")</f>
        <v>0.27500000000000002</v>
      </c>
      <c r="BH75" s="68">
        <f>IFERROR(SUM(BH77:BH98),"Non Trouvé")</f>
        <v>13406.499898494896</v>
      </c>
      <c r="BI75" s="69">
        <f>IFERROR((BH75-$K75*BF75)/BH75,"Non Trouvé")</f>
        <v>0.28268036603053726</v>
      </c>
      <c r="BK75" s="71">
        <f>ROUND($AB$64*BK67,0)</f>
        <v>24</v>
      </c>
      <c r="BL75" s="72">
        <f>IFERROR(VLOOKUP(BK70,'[1]Paramètres Généraux'!$O:$P,2,FALSE),"Non Trouvé")</f>
        <v>0.245</v>
      </c>
      <c r="BM75" s="68">
        <f>IFERROR(SUM(BM77:BM98),"Non Trouvé")</f>
        <v>15327.285702133804</v>
      </c>
      <c r="BN75" s="69">
        <f>IFERROR((BM75-$K75*BK75)/BM75,"Non Trouvé")</f>
        <v>0.31553470041081816</v>
      </c>
      <c r="BP75" s="71">
        <f>ROUND($AB$64*BP67,0)</f>
        <v>0</v>
      </c>
      <c r="BQ75" s="72">
        <f>IFERROR(VLOOKUP(BP70,'[1]Paramètres Généraux'!$O:$P,2,FALSE),"Non Trouvé")</f>
        <v>0.22500000000000001</v>
      </c>
      <c r="BR75" s="68">
        <f>IFERROR(SUM(BR77:BR98),"Non Trouvé")</f>
        <v>0</v>
      </c>
      <c r="BS75" s="69" t="str">
        <f>IFERROR((BR75-$K75*BP75)/BR75,"Non Trouvé")</f>
        <v>Non Trouvé</v>
      </c>
      <c r="BU75" s="71">
        <f>ROUND($AB$64*BU67,0)</f>
        <v>0</v>
      </c>
      <c r="BV75" s="72">
        <f>IFERROR(VLOOKUP(BU70,'[1]Paramètres Généraux'!$O:$P,2,FALSE),"Non Trouvé")</f>
        <v>0.17499999999999999</v>
      </c>
      <c r="BW75" s="68">
        <f>IFERROR(SUM(BW77:BW98),"Non Trouvé")</f>
        <v>0</v>
      </c>
      <c r="BX75" s="69" t="str">
        <f>IFERROR((BW75-$K75*BU75)/BW75,"Non Trouvé")</f>
        <v>Non Trouvé</v>
      </c>
      <c r="BZ75" s="71">
        <f>ROUND($AB$64*BZ67,0)</f>
        <v>21</v>
      </c>
      <c r="CA75" s="72">
        <f>IFERROR(VLOOKUP(BZ70,'[1]Paramètres Généraux'!$O:$P,2,FALSE),"Non Trouvé")</f>
        <v>0.15</v>
      </c>
      <c r="CB75" s="68">
        <f>IFERROR(SUM(CB77:CB98),"Non Trouvé")</f>
        <v>15356.536247366881</v>
      </c>
      <c r="CC75" s="69">
        <f>IFERROR((CB75-$K75*BZ75)/CB75,"Non Trouvé")</f>
        <v>0.40223363835878101</v>
      </c>
      <c r="CE75" s="73"/>
      <c r="CF75" s="67">
        <f>SUMIFS($AB75:$CC75,$AB72:$CC72,CF72)</f>
        <v>270</v>
      </c>
      <c r="CG75" s="67">
        <f>SUMIFS($AB75:$CC75,$AB72:$CC72,CG72)</f>
        <v>181173.00208282398</v>
      </c>
      <c r="CH75" s="74">
        <f>IFERROR((CG75-$K75*CF75)/CG75,"Non Trouvé")</f>
        <v>0.34855803765924809</v>
      </c>
      <c r="CI75" s="75"/>
      <c r="CJ75" s="64">
        <f>ROUNDUP(CF75*70%,-1)</f>
        <v>190</v>
      </c>
      <c r="CK75" s="162"/>
      <c r="CN75" s="158"/>
      <c r="CO75" s="158"/>
      <c r="CP75" s="158"/>
      <c r="CQ75" s="158"/>
      <c r="CR75" s="158"/>
      <c r="CS75" s="158"/>
      <c r="CT75" s="158"/>
      <c r="CU75" s="158"/>
      <c r="CV75" s="158"/>
      <c r="CW75" s="159"/>
      <c r="CX75" s="159"/>
      <c r="CY75" s="159"/>
      <c r="CZ75" s="159"/>
      <c r="DA75" s="159"/>
      <c r="DB75" s="159"/>
      <c r="DC75" s="159"/>
      <c r="DD75" s="159"/>
      <c r="DE75" s="159"/>
      <c r="DF75" s="159"/>
      <c r="DG75" s="159"/>
      <c r="DH75" s="159"/>
      <c r="DI75" s="159"/>
      <c r="DJ75" s="159"/>
      <c r="DK75" s="159"/>
      <c r="DL75" s="159"/>
      <c r="DM75" s="159"/>
      <c r="DN75" s="159"/>
      <c r="DO75" s="159"/>
      <c r="DP75" s="159"/>
      <c r="DQ75" s="20"/>
    </row>
    <row r="76" spans="2:125" ht="5.25" customHeight="1">
      <c r="V76"/>
      <c r="X76"/>
      <c r="CE76" s="33"/>
      <c r="CF76" s="39"/>
      <c r="CG76" s="39"/>
      <c r="CH76" s="39"/>
      <c r="CI76" s="35"/>
      <c r="CK76" s="99"/>
      <c r="CN76" s="158"/>
      <c r="CO76" s="158"/>
      <c r="CP76" s="158"/>
      <c r="CQ76" s="158"/>
      <c r="CR76" s="158"/>
      <c r="CS76" s="158"/>
      <c r="CT76" s="158"/>
      <c r="CU76" s="158"/>
      <c r="CV76" s="158"/>
      <c r="CW76" s="159"/>
      <c r="CX76" s="159"/>
      <c r="CY76" s="159"/>
      <c r="CZ76" s="159"/>
      <c r="DA76" s="159"/>
      <c r="DB76" s="159"/>
      <c r="DC76" s="159"/>
      <c r="DD76" s="159"/>
      <c r="DE76" s="159"/>
      <c r="DF76" s="159"/>
      <c r="DG76" s="159"/>
      <c r="DH76" s="159"/>
      <c r="DI76" s="159"/>
      <c r="DJ76" s="159"/>
      <c r="DK76" s="159"/>
      <c r="DL76" s="159"/>
      <c r="DM76" s="159"/>
      <c r="DN76" s="159"/>
      <c r="DO76" s="159"/>
      <c r="DP76" s="159"/>
      <c r="DQ76" s="20"/>
      <c r="DU76" s="20"/>
    </row>
    <row r="77" spans="2:125" ht="12.95" customHeight="1" thickBot="1">
      <c r="B77" s="1">
        <f>IF(C77="",0,COUNTIFS($B$22:B76,"&gt;"&amp;0)+1)</f>
        <v>21</v>
      </c>
      <c r="C77" s="85">
        <v>1020202</v>
      </c>
      <c r="D77" s="86" t="str">
        <f>IFERROR(IF($C77="","",VLOOKUP($C77,'[1]Paramètres Articles'!$B:$G,2,FALSE)),"Non Trouvé")</f>
        <v>Sérum Jour/Nuit - Régénérant - 30 ml</v>
      </c>
      <c r="E77" s="87">
        <f>IFERROR(IF($C77="","",_xlfn.XLOOKUP(REGENERANTS!$C77,'[1]New Base PA'!$F:$F,'[1]New Base PA'!$D:$D,"Not Found",0)),"Non Trouvé")</f>
        <v>4020829103115</v>
      </c>
      <c r="F77" s="88" t="s">
        <v>90</v>
      </c>
      <c r="H77" s="89">
        <v>3</v>
      </c>
      <c r="J77" s="90">
        <f>IFERROR(IF($C77="","",VLOOKUP($C77,'[1]New Base PA'!$F:$J,5,FALSE)),"Non Trouvé")</f>
        <v>15.839799999999999</v>
      </c>
      <c r="K77" s="90">
        <f t="shared" ref="K77:K98" si="53">IFERROR(IF($C77="","",$J77*$H77),"Non Trouvé")</f>
        <v>47.519399999999997</v>
      </c>
      <c r="L77" s="91"/>
      <c r="M77" s="163">
        <f>IFERROR(IF(AND($F77="Produit Vente",H77&gt;0),VLOOKUP($C77,'[1]Paramètres Articles'!$B:$G,6,FALSE),0),"Non Trouvé")</f>
        <v>41.117049418604651</v>
      </c>
      <c r="N77" s="163">
        <f t="shared" ref="N77:N98" si="54">IFERROR(IF($C77="","",$M77*$H77),"Non Trouvé")</f>
        <v>123.35114825581395</v>
      </c>
      <c r="P77" s="92">
        <v>0.1</v>
      </c>
      <c r="R77" s="90">
        <f t="shared" ref="R77:R98" si="55">IFERROR(IF($C77="","",$N77*(1-$P77)),"Non Trouvé")</f>
        <v>111.01603343023255</v>
      </c>
      <c r="S77" s="91"/>
      <c r="T77" s="90">
        <f>IFERROR(IF($C77="","",VLOOKUP($C77,'[1]Paramètres Articles'!$B:$H,7,FALSE)),"Non Trouvé")</f>
        <v>69.900000000000006</v>
      </c>
      <c r="U77" s="93"/>
      <c r="V77" s="90">
        <f>IFERROR(IF($C77="","",IF($P77="","",$T77*(1-$P77))),"Non Trouvé")</f>
        <v>62.910000000000004</v>
      </c>
      <c r="W77" s="91"/>
      <c r="X77" s="90">
        <f>IFERROR(T77-V77,"")</f>
        <v>6.990000000000002</v>
      </c>
      <c r="Y77" s="91"/>
      <c r="Z77" s="90">
        <f t="shared" ref="Z77:Z98" si="56">IFERROR(IF(OR(T77=0,T77=""),0,T77*H77),"Non Trouvé")</f>
        <v>209.70000000000002</v>
      </c>
      <c r="AB77" s="94">
        <f>AB75</f>
        <v>127</v>
      </c>
      <c r="AC77" s="94">
        <f>AC75</f>
        <v>0.17</v>
      </c>
      <c r="AD77" s="90">
        <f>IFERROR(IF($C77="","",IF($P$15="Cascade",$R77*(1-AC77)*AB77,IF($P$15="Additionnelle",($N77-($N77*($P77+AC77)))*AB77))),"Non Trouvé")</f>
        <v>11435.884954796511</v>
      </c>
      <c r="AG77" s="94">
        <f>AG75</f>
        <v>19</v>
      </c>
      <c r="AH77" s="94">
        <f>AH75</f>
        <v>0.13</v>
      </c>
      <c r="AI77" s="90">
        <f>IFERROR(IF($C77="","",IF($P$15="Cascade",$R77*(1-AH77)*AG77,IF($P$15="Additionnelle",($N77-($N77*($P77+AH77)))*AG77))),"Non Trouvé")</f>
        <v>1804.6272989825582</v>
      </c>
      <c r="AL77" s="94">
        <f>AL75</f>
        <v>0</v>
      </c>
      <c r="AM77" s="94">
        <f>AM75</f>
        <v>0.08</v>
      </c>
      <c r="AN77" s="90">
        <f>IFERROR(IF($C77="","",IF($P$15="Cascade",$R77*(1-AM77)*AL77,IF($P$15="Additionnelle",($N77-($N77*($P77+AM77)))*AL77))),"Non Trouvé")</f>
        <v>0</v>
      </c>
      <c r="AQ77" s="94">
        <f>AQ75</f>
        <v>0</v>
      </c>
      <c r="AR77" s="94">
        <f>AR75</f>
        <v>0.05</v>
      </c>
      <c r="AS77" s="90">
        <f>IFERROR(IF($C77="","",IF($P$15="Cascade",$R77*(1-AR77)*AQ77,IF($P$15="Additionnelle",($N77-($N77*($P77+AR77)))*AQ77))),"Non Trouvé")</f>
        <v>0</v>
      </c>
      <c r="AV77" s="94">
        <f>AV75</f>
        <v>41</v>
      </c>
      <c r="AW77" s="94">
        <f>AW75</f>
        <v>0.32500000000000001</v>
      </c>
      <c r="AX77" s="90">
        <f>IFERROR(IF($C77="","",IF($P$15="Cascade",$R77*(1-AW77)*AV77,IF($P$15="Additionnelle",($N77-($N77*($P77+AW77)))*AV77))),"Non Trouvé")</f>
        <v>2908.0033201308138</v>
      </c>
      <c r="BA77" s="94">
        <f>BA75</f>
        <v>16</v>
      </c>
      <c r="BB77" s="94">
        <f>BB75</f>
        <v>0.29499999999999998</v>
      </c>
      <c r="BC77" s="90">
        <f>IFERROR(IF($C77="","",IF($P$15="Cascade",$R77*(1-BB77)*BA77,IF($P$15="Additionnelle",($N77-($N77*($P77+BB77)))*BA77))),"Non Trouvé")</f>
        <v>1194.0391151162789</v>
      </c>
      <c r="BF77" s="94">
        <f>BF75</f>
        <v>22</v>
      </c>
      <c r="BG77" s="94">
        <f>BG75</f>
        <v>0.27500000000000002</v>
      </c>
      <c r="BH77" s="90">
        <f>IFERROR(IF($C77="","",IF($P$15="Cascade",$R77*(1-BG77)*BF77,IF($P$15="Additionnelle",($N77-($N77*($P77+BG77)))*BF77))),"Non Trouvé")</f>
        <v>1696.0782885174417</v>
      </c>
      <c r="BK77" s="94">
        <f>BK75</f>
        <v>24</v>
      </c>
      <c r="BL77" s="94">
        <f>BL75</f>
        <v>0.245</v>
      </c>
      <c r="BM77" s="90">
        <f>IFERROR(IF($C77="","",IF($P$15="Cascade",$R77*(1-BL77)*BK77,IF($P$15="Additionnelle",($N77-($N77*($P77+BL77)))*BK77))),"Non Trouvé")</f>
        <v>1939.0800505813952</v>
      </c>
      <c r="BP77" s="94">
        <f>BP75</f>
        <v>0</v>
      </c>
      <c r="BQ77" s="94">
        <f>BQ75</f>
        <v>0.22500000000000001</v>
      </c>
      <c r="BR77" s="90">
        <f>IFERROR(IF($C77="","",IF($P$15="Cascade",$R77*(1-BQ77)*BP77,IF($P$15="Additionnelle",($N77-($N77*($P77+BQ77)))*BP77))),"Non Trouvé")</f>
        <v>0</v>
      </c>
      <c r="BU77" s="94">
        <f>BU75</f>
        <v>0</v>
      </c>
      <c r="BV77" s="94">
        <f>BV75</f>
        <v>0.17499999999999999</v>
      </c>
      <c r="BW77" s="90">
        <f>IFERROR(IF($C77="","",IF($P$15="Cascade",$R77*(1-BV77)*BU77,IF($P$15="Additionnelle",($N77-($N77*($P77+BV77)))*BU77))),"Non Trouvé")</f>
        <v>0</v>
      </c>
      <c r="BZ77" s="94">
        <f>BZ75</f>
        <v>21</v>
      </c>
      <c r="CA77" s="94">
        <f>CA75</f>
        <v>0.15</v>
      </c>
      <c r="CB77" s="90">
        <f>IFERROR(IF($C77="","",IF($P$15="Cascade",$R77*(1-CA77)*BZ77,IF($P$15="Additionnelle",($N77-($N77*($P77+CA77)))*BZ77))),"Non Trouvé")</f>
        <v>1942.7805850290699</v>
      </c>
      <c r="CE77" s="95"/>
      <c r="CF77" s="96"/>
      <c r="CG77" s="97"/>
      <c r="CH77" s="97"/>
      <c r="CI77" s="98"/>
      <c r="CK77" s="99">
        <f>IFERROR(IF(F77='[1]Paramètres Généraux'!$K$12,ROUNDUP((REGENERANTS!H77*REGENERANTS!$CF$75)*'[1]Paramètres Généraux'!$M$12,-1),IF(F77='[1]Paramètres Généraux'!$K$15,ROUNDUP((REGENERANTS!H77*REGENERANTS!$CF$75)*'[1]Paramètres Généraux'!$M$15,-1),REGENERANTS!H77*REGENERANTS!$CF$75)),"nd")</f>
        <v>810</v>
      </c>
      <c r="CN77" s="164"/>
      <c r="CO77" s="165"/>
      <c r="CP77" s="165"/>
      <c r="CQ77" s="165"/>
      <c r="CR77" s="165"/>
      <c r="CS77" s="166"/>
      <c r="CT77" s="167"/>
      <c r="CU77" s="165"/>
      <c r="CV77" s="166"/>
      <c r="CW77" s="168"/>
      <c r="CX77" s="169"/>
      <c r="CY77" s="168"/>
      <c r="CZ77" s="170"/>
      <c r="DA77" s="169"/>
      <c r="DB77" s="168"/>
      <c r="DC77" s="170"/>
      <c r="DD77" s="169"/>
      <c r="DE77" s="168"/>
      <c r="DF77" s="170"/>
      <c r="DG77" s="170"/>
      <c r="DH77" s="170"/>
      <c r="DI77" s="170"/>
      <c r="DJ77" s="170"/>
      <c r="DK77" s="170"/>
      <c r="DL77" s="170"/>
      <c r="DM77" s="170"/>
      <c r="DN77" s="170"/>
      <c r="DO77" s="169"/>
      <c r="DP77" s="168"/>
      <c r="DQ77" s="20">
        <f t="shared" ref="DQ77:DQ97" si="57">SUM(CN77:DP77)</f>
        <v>0</v>
      </c>
      <c r="DR77" s="20">
        <f t="shared" ref="DR77:DR97" si="58">SUM(CV77:DP77)</f>
        <v>0</v>
      </c>
      <c r="DS77" s="20">
        <f>IFERROR((IF(AND($F77="Produit Vente",CO77&gt;0),VLOOKUP($C77,'[1]Paramètres Articles'!$B:$H,7,FALSE)*$CO77)*(1-20%)),0)</f>
        <v>0</v>
      </c>
      <c r="DT77" s="20">
        <f>IFERROR((IF(AND($F77="Produit Vente",DR77&gt;0),VLOOKUP($C77,'[1]Paramètres Articles'!$B:$H,6,FALSE)*$DR77)*(1-15%)),0)</f>
        <v>0</v>
      </c>
      <c r="DU77" s="20">
        <f t="shared" ref="DU77:DU97" si="59">IFERROR(DQ77*J77,0)</f>
        <v>0</v>
      </c>
    </row>
    <row r="78" spans="2:125" ht="12.95" customHeight="1" thickBot="1">
      <c r="B78" s="1">
        <f>IF(C78="",0,COUNTIFS($B$22:B77,"&gt;"&amp;0)+1)</f>
        <v>22</v>
      </c>
      <c r="C78" s="85">
        <v>1020310</v>
      </c>
      <c r="D78" s="86" t="str">
        <f>IFERROR(IF($C78="","",VLOOKUP($C78,'[1]Paramètres Articles'!$B:$G,2,FALSE)),"Non Trouvé")</f>
        <v>Crème de Jour Eclat du Teint - Régénérant - 40 ml</v>
      </c>
      <c r="E78" s="87">
        <f>IFERROR(IF($C78="","",_xlfn.XLOOKUP(REGENERANTS!$C78,'[1]New Base PA'!$F:$F,'[1]New Base PA'!$D:$D,"Not Found",0)),"Non Trouvé")</f>
        <v>4020829060999</v>
      </c>
      <c r="F78" s="88" t="s">
        <v>90</v>
      </c>
      <c r="H78" s="89">
        <v>2</v>
      </c>
      <c r="J78" s="90">
        <f>IFERROR(IF($C78="","",VLOOKUP($C78,'[1]New Base PA'!$F:$J,5,FALSE)),"Non Trouvé")</f>
        <v>16.2226</v>
      </c>
      <c r="K78" s="90">
        <f t="shared" si="53"/>
        <v>32.4452</v>
      </c>
      <c r="L78" s="91"/>
      <c r="M78" s="163">
        <f>IFERROR(IF(AND($F78="Produit Vente",H78&gt;0),VLOOKUP($C78,'[1]Paramètres Articles'!$B:$G,6,FALSE),0),"Non Trouvé")</f>
        <v>41.12</v>
      </c>
      <c r="N78" s="163">
        <f t="shared" si="54"/>
        <v>82.24</v>
      </c>
      <c r="P78" s="92">
        <v>0.1</v>
      </c>
      <c r="R78" s="90">
        <f t="shared" si="55"/>
        <v>74.015999999999991</v>
      </c>
      <c r="S78" s="91"/>
      <c r="T78" s="90">
        <f>IFERROR(IF($C78="","",VLOOKUP($C78,'[1]Paramètres Articles'!$B:$H,7,FALSE)),"Non Trouvé")</f>
        <v>69.900000000000006</v>
      </c>
      <c r="U78" s="93"/>
      <c r="V78" s="90">
        <f t="shared" ref="V78:V98" si="60">IFERROR(IF($C78="","",IF($P78="","",$T78*(1-$P78))),"Non Trouvé")</f>
        <v>62.910000000000004</v>
      </c>
      <c r="W78" s="91"/>
      <c r="X78" s="90">
        <f>IFERROR(T78-V78,"")</f>
        <v>6.990000000000002</v>
      </c>
      <c r="Y78" s="91"/>
      <c r="Z78" s="90">
        <f t="shared" si="56"/>
        <v>139.80000000000001</v>
      </c>
      <c r="AB78" s="94">
        <f>AB77</f>
        <v>127</v>
      </c>
      <c r="AC78" s="94">
        <f>AC77</f>
        <v>0.17</v>
      </c>
      <c r="AD78" s="90">
        <f>IFERROR(IF($C78="","",IF($P$15="Cascade",$R78*(1-AC78)*AB78,IF($P$15="Additionnelle",($N78-($N78*($P78+AC78)))*AB78))),"Non Trouvé")</f>
        <v>7624.4703999999992</v>
      </c>
      <c r="AG78" s="94">
        <f>AG77</f>
        <v>19</v>
      </c>
      <c r="AH78" s="94">
        <f>AH77</f>
        <v>0.13</v>
      </c>
      <c r="AI78" s="90">
        <f>IFERROR(IF($C78="","",IF($P$15="Cascade",$R78*(1-AH78)*AG78,IF($P$15="Additionnelle",($N78-($N78*($P78+AH78)))*AG78))),"Non Trouvé")</f>
        <v>1203.1712</v>
      </c>
      <c r="AL78" s="94">
        <f>AL77</f>
        <v>0</v>
      </c>
      <c r="AM78" s="94">
        <f>AM77</f>
        <v>0.08</v>
      </c>
      <c r="AN78" s="90">
        <f>IFERROR(IF($C78="","",IF($P$15="Cascade",$R78*(1-AM78)*AL78,IF($P$15="Additionnelle",($N78-($N78*($P78+AM78)))*AL78))),"Non Trouvé")</f>
        <v>0</v>
      </c>
      <c r="AQ78" s="94">
        <f>AQ77</f>
        <v>0</v>
      </c>
      <c r="AR78" s="94">
        <f>AR77</f>
        <v>0.05</v>
      </c>
      <c r="AS78" s="90">
        <f>IFERROR(IF($C78="","",IF($P$15="Cascade",$R78*(1-AR78)*AQ78,IF($P$15="Additionnelle",($N78-($N78*($P78+AR78)))*AQ78))),"Non Trouvé")</f>
        <v>0</v>
      </c>
      <c r="AV78" s="94">
        <f>AV77</f>
        <v>41</v>
      </c>
      <c r="AW78" s="94">
        <f>AW77</f>
        <v>0.32500000000000001</v>
      </c>
      <c r="AX78" s="90">
        <f>IFERROR(IF($C78="","",IF($P$15="Cascade",$R78*(1-AW78)*AV78,IF($P$15="Additionnelle",($N78-($N78*($P78+AW78)))*AV78))),"Non Trouvé")</f>
        <v>1938.8079999999998</v>
      </c>
      <c r="BA78" s="94">
        <f>BA77</f>
        <v>16</v>
      </c>
      <c r="BB78" s="94">
        <f>BB77</f>
        <v>0.29499999999999998</v>
      </c>
      <c r="BC78" s="90">
        <f>IFERROR(IF($C78="","",IF($P$15="Cascade",$R78*(1-BB78)*BA78,IF($P$15="Additionnelle",($N78-($N78*($P78+BB78)))*BA78))),"Non Trouvé")</f>
        <v>796.08319999999992</v>
      </c>
      <c r="BF78" s="94">
        <f>BF77</f>
        <v>22</v>
      </c>
      <c r="BG78" s="94">
        <f>BG77</f>
        <v>0.27500000000000002</v>
      </c>
      <c r="BH78" s="90">
        <f>IFERROR(IF($C78="","",IF($P$15="Cascade",$R78*(1-BG78)*BF78,IF($P$15="Additionnelle",($N78-($N78*($P78+BG78)))*BF78))),"Non Trouvé")</f>
        <v>1130.8</v>
      </c>
      <c r="BK78" s="94">
        <f>BK77</f>
        <v>24</v>
      </c>
      <c r="BL78" s="94">
        <f>BL77</f>
        <v>0.245</v>
      </c>
      <c r="BM78" s="90">
        <f>IFERROR(IF($C78="","",IF($P$15="Cascade",$R78*(1-BL78)*BK78,IF($P$15="Additionnelle",($N78-($N78*($P78+BL78)))*BK78))),"Non Trouvé")</f>
        <v>1292.8127999999999</v>
      </c>
      <c r="BP78" s="94">
        <f>BP77</f>
        <v>0</v>
      </c>
      <c r="BQ78" s="94">
        <f>BQ77</f>
        <v>0.22500000000000001</v>
      </c>
      <c r="BR78" s="90">
        <f>IFERROR(IF($C78="","",IF($P$15="Cascade",$R78*(1-BQ78)*BP78,IF($P$15="Additionnelle",($N78-($N78*($P78+BQ78)))*BP78))),"Non Trouvé")</f>
        <v>0</v>
      </c>
      <c r="BU78" s="94">
        <f>BU77</f>
        <v>0</v>
      </c>
      <c r="BV78" s="94">
        <f>BV77</f>
        <v>0.17499999999999999</v>
      </c>
      <c r="BW78" s="90">
        <f>IFERROR(IF($C78="","",IF($P$15="Cascade",$R78*(1-BV78)*BU78,IF($P$15="Additionnelle",($N78-($N78*($P78+BV78)))*BU78))),"Non Trouvé")</f>
        <v>0</v>
      </c>
      <c r="BZ78" s="94">
        <f>BZ77</f>
        <v>21</v>
      </c>
      <c r="CA78" s="94">
        <f>CA77</f>
        <v>0.15</v>
      </c>
      <c r="CB78" s="90">
        <f>IFERROR(IF($C78="","",IF($P$15="Cascade",$R78*(1-CA78)*BZ78,IF($P$15="Additionnelle",($N78-($N78*($P78+CA78)))*BZ78))),"Non Trouvé")</f>
        <v>1295.2799999999997</v>
      </c>
      <c r="CE78" s="95"/>
      <c r="CF78" s="114"/>
      <c r="CG78" s="115" t="s">
        <v>91</v>
      </c>
      <c r="CH78" s="116">
        <f>CG75/CF75</f>
        <v>671.01111882527402</v>
      </c>
      <c r="CI78" s="98"/>
      <c r="CK78" s="99">
        <f>IFERROR(IF(F78='[1]Paramètres Généraux'!$K$12,ROUNDUP((REGENERANTS!H78*REGENERANTS!$CF$75)*'[1]Paramètres Généraux'!$M$12,-1),IF(F78='[1]Paramètres Généraux'!$K$15,ROUNDUP((REGENERANTS!H78*REGENERANTS!$CF$75)*'[1]Paramètres Généraux'!$M$15,-1),REGENERANTS!H78*REGENERANTS!$CF$75)),"nd")</f>
        <v>540</v>
      </c>
      <c r="CN78" s="100"/>
      <c r="CO78" s="101"/>
      <c r="CP78" s="101"/>
      <c r="CQ78" s="101"/>
      <c r="CR78" s="101"/>
      <c r="CS78" s="171"/>
      <c r="CT78" s="172"/>
      <c r="CU78" s="101"/>
      <c r="CV78" s="171"/>
      <c r="CW78" s="106"/>
      <c r="CX78" s="107"/>
      <c r="CY78" s="106"/>
      <c r="CZ78" s="104"/>
      <c r="DA78" s="107"/>
      <c r="DB78" s="106"/>
      <c r="DC78" s="104"/>
      <c r="DD78" s="107"/>
      <c r="DE78" s="106"/>
      <c r="DF78" s="104"/>
      <c r="DG78" s="104"/>
      <c r="DH78" s="104"/>
      <c r="DI78" s="104"/>
      <c r="DJ78" s="104"/>
      <c r="DK78" s="104"/>
      <c r="DL78" s="104"/>
      <c r="DM78" s="104"/>
      <c r="DN78" s="104"/>
      <c r="DO78" s="107"/>
      <c r="DP78" s="106"/>
      <c r="DQ78" s="20">
        <f t="shared" si="57"/>
        <v>0</v>
      </c>
      <c r="DR78" s="20">
        <f t="shared" si="58"/>
        <v>0</v>
      </c>
      <c r="DS78" s="20">
        <f>IFERROR((IF(AND($F78="Produit Vente",CO78&gt;0),VLOOKUP($C78,'[1]Paramètres Articles'!$B:$H,7,FALSE)*$CO78)*(1-20%)),0)</f>
        <v>0</v>
      </c>
      <c r="DT78" s="20">
        <f>IFERROR((IF(AND($F78="Produit Vente",DR78&gt;0),VLOOKUP($C78,'[1]Paramètres Articles'!$B:$H,6,FALSE)*$DR78)*(1-15%)),0)</f>
        <v>0</v>
      </c>
      <c r="DU78" s="20">
        <f t="shared" si="59"/>
        <v>0</v>
      </c>
    </row>
    <row r="79" spans="2:125" ht="12.95" customHeight="1" thickBot="1">
      <c r="B79" s="1">
        <f>IF(C79="",0,COUNTIFS($B$22:B78,"&gt;"&amp;0)+1)</f>
        <v>23</v>
      </c>
      <c r="C79" s="85">
        <v>1020401</v>
      </c>
      <c r="D79" s="86" t="str">
        <f>IFERROR(IF($C79="","",VLOOKUP($C79,'[1]Paramètres Articles'!$B:$G,2,FALSE)),"Non Trouvé")</f>
        <v>Crème Contour des Yeux - Régénérant - 15 ml</v>
      </c>
      <c r="E79" s="87">
        <f>IFERROR(IF($C79="","",_xlfn.XLOOKUP(REGENERANTS!$C79,'[1]New Base PA'!$F:$F,'[1]New Base PA'!$D:$D,"Not Found",0)),"Non Trouvé")</f>
        <v>4020829013919</v>
      </c>
      <c r="F79" s="88" t="s">
        <v>90</v>
      </c>
      <c r="H79" s="89">
        <v>2</v>
      </c>
      <c r="J79" s="90">
        <f>IFERROR(IF($C79="","",VLOOKUP($C79,'[1]New Base PA'!$F:$J,5,FALSE)),"Non Trouvé")</f>
        <v>15.4918</v>
      </c>
      <c r="K79" s="90">
        <f t="shared" si="53"/>
        <v>30.983599999999999</v>
      </c>
      <c r="L79" s="91"/>
      <c r="M79" s="163">
        <f>IFERROR(IF(AND($F79="Produit Vente",H79&gt;0),VLOOKUP($C79,'[1]Paramètres Articles'!$B:$G,6,FALSE),0),"Non Trouvé")</f>
        <v>39.71</v>
      </c>
      <c r="N79" s="163">
        <f t="shared" si="54"/>
        <v>79.42</v>
      </c>
      <c r="P79" s="92">
        <v>0.1</v>
      </c>
      <c r="R79" s="90">
        <f t="shared" si="55"/>
        <v>71.478000000000009</v>
      </c>
      <c r="S79" s="91"/>
      <c r="T79" s="90">
        <f>IFERROR(IF($C79="","",VLOOKUP($C79,'[1]Paramètres Articles'!$B:$H,7,FALSE)),"Non Trouvé")</f>
        <v>67.5</v>
      </c>
      <c r="U79" s="93"/>
      <c r="V79" s="90">
        <f t="shared" si="60"/>
        <v>60.75</v>
      </c>
      <c r="W79" s="91"/>
      <c r="X79" s="90">
        <f t="shared" ref="X79:X98" si="61">IFERROR(T79-V79,"")</f>
        <v>6.75</v>
      </c>
      <c r="Y79" s="91"/>
      <c r="Z79" s="90">
        <f t="shared" si="56"/>
        <v>135</v>
      </c>
      <c r="AB79" s="94">
        <f>AB77</f>
        <v>127</v>
      </c>
      <c r="AC79" s="94">
        <f>AC77</f>
        <v>0.17</v>
      </c>
      <c r="AD79" s="90">
        <f>IFERROR(IF($C79="","",IF($P$15="Cascade",$R79*(1-AC79)*AB79,IF($P$15="Additionnelle",($N79-($N79*($P79+AC79)))*AB79))),"Non Trouvé")</f>
        <v>7363.0282000000007</v>
      </c>
      <c r="AG79" s="94">
        <f>AG77</f>
        <v>19</v>
      </c>
      <c r="AH79" s="94">
        <f>AH77</f>
        <v>0.13</v>
      </c>
      <c r="AI79" s="90">
        <f>IFERROR(IF($C79="","",IF($P$15="Cascade",$R79*(1-AH79)*AG79,IF($P$15="Additionnelle",($N79-($N79*($P79+AH79)))*AG79))),"Non Trouvé")</f>
        <v>1161.9146000000001</v>
      </c>
      <c r="AL79" s="94">
        <f>AL77</f>
        <v>0</v>
      </c>
      <c r="AM79" s="94">
        <f>AM77</f>
        <v>0.08</v>
      </c>
      <c r="AN79" s="90">
        <f>IFERROR(IF($C79="","",IF($P$15="Cascade",$R79*(1-AM79)*AL79,IF($P$15="Additionnelle",($N79-($N79*($P79+AM79)))*AL79))),"Non Trouvé")</f>
        <v>0</v>
      </c>
      <c r="AQ79" s="94">
        <f>AQ77</f>
        <v>0</v>
      </c>
      <c r="AR79" s="94">
        <f>AR77</f>
        <v>0.05</v>
      </c>
      <c r="AS79" s="90">
        <f>IFERROR(IF($C79="","",IF($P$15="Cascade",$R79*(1-AR79)*AQ79,IF($P$15="Additionnelle",($N79-($N79*($P79+AR79)))*AQ79))),"Non Trouvé")</f>
        <v>0</v>
      </c>
      <c r="AV79" s="94">
        <f>AV77</f>
        <v>41</v>
      </c>
      <c r="AW79" s="94">
        <f>AW77</f>
        <v>0.32500000000000001</v>
      </c>
      <c r="AX79" s="90">
        <f>IFERROR(IF($C79="","",IF($P$15="Cascade",$R79*(1-AW79)*AV79,IF($P$15="Additionnelle",($N79-($N79*($P79+AW79)))*AV79))),"Non Trouvé")</f>
        <v>1872.3264999999999</v>
      </c>
      <c r="BA79" s="94">
        <f>BA77</f>
        <v>16</v>
      </c>
      <c r="BB79" s="94">
        <f>BB77</f>
        <v>0.29499999999999998</v>
      </c>
      <c r="BC79" s="90">
        <f>IFERROR(IF($C79="","",IF($P$15="Cascade",$R79*(1-BB79)*BA79,IF($P$15="Additionnelle",($N79-($N79*($P79+BB79)))*BA79))),"Non Trouvé")</f>
        <v>768.78559999999993</v>
      </c>
      <c r="BF79" s="94">
        <f>BF77</f>
        <v>22</v>
      </c>
      <c r="BG79" s="94">
        <f>BG77</f>
        <v>0.27500000000000002</v>
      </c>
      <c r="BH79" s="90">
        <f>IFERROR(IF($C79="","",IF($P$15="Cascade",$R79*(1-BG79)*BF79,IF($P$15="Additionnelle",($N79-($N79*($P79+BG79)))*BF79))),"Non Trouvé")</f>
        <v>1092.0250000000001</v>
      </c>
      <c r="BK79" s="94">
        <f>BK77</f>
        <v>24</v>
      </c>
      <c r="BL79" s="94">
        <f>BL77</f>
        <v>0.245</v>
      </c>
      <c r="BM79" s="90">
        <f>IFERROR(IF($C79="","",IF($P$15="Cascade",$R79*(1-BL79)*BK79,IF($P$15="Additionnelle",($N79-($N79*($P79+BL79)))*BK79))),"Non Trouvé")</f>
        <v>1248.4823999999999</v>
      </c>
      <c r="BP79" s="94">
        <f>BP77</f>
        <v>0</v>
      </c>
      <c r="BQ79" s="94">
        <f>BQ77</f>
        <v>0.22500000000000001</v>
      </c>
      <c r="BR79" s="90">
        <f>IFERROR(IF($C79="","",IF($P$15="Cascade",$R79*(1-BQ79)*BP79,IF($P$15="Additionnelle",($N79-($N79*($P79+BQ79)))*BP79))),"Non Trouvé")</f>
        <v>0</v>
      </c>
      <c r="BU79" s="94">
        <f>BU77</f>
        <v>0</v>
      </c>
      <c r="BV79" s="94">
        <f>BV77</f>
        <v>0.17499999999999999</v>
      </c>
      <c r="BW79" s="90">
        <f>IFERROR(IF($C79="","",IF($P$15="Cascade",$R79*(1-BV79)*BU79,IF($P$15="Additionnelle",($N79-($N79*($P79+BV79)))*BU79))),"Non Trouvé")</f>
        <v>0</v>
      </c>
      <c r="BZ79" s="94">
        <f>BZ77</f>
        <v>21</v>
      </c>
      <c r="CA79" s="94">
        <f>CA77</f>
        <v>0.15</v>
      </c>
      <c r="CB79" s="90">
        <f>IFERROR(IF($C79="","",IF($P$15="Cascade",$R79*(1-CA79)*BZ79,IF($P$15="Additionnelle",($N79-($N79*($P79+CA79)))*BZ79))),"Non Trouvé")</f>
        <v>1250.865</v>
      </c>
      <c r="CE79" s="95"/>
      <c r="CF79" s="114"/>
      <c r="CG79" s="115" t="s">
        <v>92</v>
      </c>
      <c r="CH79" s="118">
        <f>SUM(CH81:CH84)</f>
        <v>0.13282247998740865</v>
      </c>
      <c r="CI79" s="98"/>
      <c r="CK79" s="99">
        <f>IFERROR(IF(F79='[1]Paramètres Généraux'!$K$12,ROUNDUP((REGENERANTS!H79*REGENERANTS!$CF$75)*'[1]Paramètres Généraux'!$M$12,-1),IF(F79='[1]Paramètres Généraux'!$K$15,ROUNDUP((REGENERANTS!H79*REGENERANTS!$CF$75)*'[1]Paramètres Généraux'!$M$15,-1),REGENERANTS!H79*REGENERANTS!$CF$75)),"nd")</f>
        <v>540</v>
      </c>
      <c r="CN79" s="100"/>
      <c r="CO79" s="101"/>
      <c r="CP79" s="101"/>
      <c r="CQ79" s="101"/>
      <c r="CR79" s="101"/>
      <c r="CS79" s="171"/>
      <c r="CT79" s="172"/>
      <c r="CU79" s="101"/>
      <c r="CV79" s="171"/>
      <c r="CW79" s="106"/>
      <c r="CX79" s="107"/>
      <c r="CY79" s="106"/>
      <c r="CZ79" s="104"/>
      <c r="DA79" s="107"/>
      <c r="DB79" s="106"/>
      <c r="DC79" s="104"/>
      <c r="DD79" s="107"/>
      <c r="DE79" s="106"/>
      <c r="DF79" s="104"/>
      <c r="DG79" s="104"/>
      <c r="DH79" s="104"/>
      <c r="DI79" s="104"/>
      <c r="DJ79" s="104"/>
      <c r="DK79" s="104"/>
      <c r="DL79" s="104"/>
      <c r="DM79" s="104"/>
      <c r="DN79" s="104"/>
      <c r="DO79" s="107"/>
      <c r="DP79" s="106"/>
      <c r="DQ79" s="20">
        <f t="shared" si="57"/>
        <v>0</v>
      </c>
      <c r="DR79" s="20">
        <f t="shared" si="58"/>
        <v>0</v>
      </c>
      <c r="DS79" s="20">
        <f>IFERROR((IF(AND($F79="Produit Vente",CO79&gt;0),VLOOKUP($C79,'[1]Paramètres Articles'!$B:$H,7,FALSE)*$CO79)*(1-20%)),0)</f>
        <v>0</v>
      </c>
      <c r="DT79" s="20">
        <f>IFERROR((IF(AND($F79="Produit Vente",DR79&gt;0),VLOOKUP($C79,'[1]Paramètres Articles'!$B:$H,6,FALSE)*$DR79)*(1-15%)),0)</f>
        <v>0</v>
      </c>
      <c r="DU79" s="20">
        <f t="shared" si="59"/>
        <v>0</v>
      </c>
    </row>
    <row r="80" spans="2:125" ht="12.95" customHeight="1" outlineLevel="1">
      <c r="B80" s="1">
        <f>IF(C80="",0,COUNTIFS($B$22:B79,"&gt;"&amp;0)+1)</f>
        <v>24</v>
      </c>
      <c r="C80" s="85">
        <v>1020302</v>
      </c>
      <c r="D80" s="86" t="str">
        <f>IFERROR(IF($C80="","",VLOOKUP($C80,'[1]Paramètres Articles'!$B:$G,2,FALSE)),"Non Trouvé")</f>
        <v>Crème Cou et Décolleté - Régénérant - 40 ml</v>
      </c>
      <c r="E80" s="87">
        <f>IFERROR(IF($C80="","",_xlfn.XLOOKUP(REGENERANTS!$C80,'[1]New Base PA'!$F:$F,'[1]New Base PA'!$D:$D,"Not Found",0)),"Non Trouvé")</f>
        <v>4020829008366</v>
      </c>
      <c r="F80" s="88" t="s">
        <v>90</v>
      </c>
      <c r="H80" s="89">
        <v>1</v>
      </c>
      <c r="J80" s="90">
        <f>IFERROR(IF($C80="","",VLOOKUP($C80,'[1]New Base PA'!$F:$J,5,FALSE)),"Non Trouvé")</f>
        <v>13.774999999999999</v>
      </c>
      <c r="K80" s="90">
        <f t="shared" si="53"/>
        <v>13.774999999999999</v>
      </c>
      <c r="L80" s="91"/>
      <c r="M80" s="163">
        <f>IFERROR(IF(AND($F80="Produit Vente",H80&gt;0),VLOOKUP($C80,'[1]Paramètres Articles'!$B:$G,6,FALSE),0),"Non Trouvé")</f>
        <v>35.878166666666665</v>
      </c>
      <c r="N80" s="163">
        <f t="shared" si="54"/>
        <v>35.878166666666665</v>
      </c>
      <c r="P80" s="92">
        <v>0.1</v>
      </c>
      <c r="R80" s="90">
        <f t="shared" si="55"/>
        <v>32.290349999999997</v>
      </c>
      <c r="S80" s="91"/>
      <c r="T80" s="90">
        <f>IFERROR(IF($C80="","",VLOOKUP($C80,'[1]Paramètres Articles'!$B:$H,7,FALSE)),"Non Trouvé")</f>
        <v>61</v>
      </c>
      <c r="U80" s="93"/>
      <c r="V80" s="90">
        <f t="shared" si="60"/>
        <v>54.9</v>
      </c>
      <c r="W80" s="91"/>
      <c r="X80" s="90">
        <f t="shared" si="61"/>
        <v>6.1000000000000014</v>
      </c>
      <c r="Y80" s="91"/>
      <c r="Z80" s="90">
        <f t="shared" si="56"/>
        <v>61</v>
      </c>
      <c r="AB80" s="94">
        <f>AB79</f>
        <v>127</v>
      </c>
      <c r="AC80" s="94">
        <f>AC79</f>
        <v>0.17</v>
      </c>
      <c r="AD80" s="90">
        <f t="shared" ref="AD80:AD98" si="62">IFERROR(IF($C80="","",IF($P$15="Cascade",$R80*(1-AC80)*AB80,IF($P$15="Additionnelle",($N80-($N80*($P80+AC80)))*AB80))),"Non Trouvé")</f>
        <v>3326.2648316666659</v>
      </c>
      <c r="AG80" s="94">
        <f>AG79</f>
        <v>19</v>
      </c>
      <c r="AH80" s="94">
        <f>AH79</f>
        <v>0.13</v>
      </c>
      <c r="AI80" s="90">
        <f t="shared" ref="AI80:AI98" si="63">IFERROR(IF($C80="","",IF($P$15="Cascade",$R80*(1-AH80)*AG80,IF($P$15="Additionnelle",($N80-($N80*($P80+AH80)))*AG80))),"Non Trouvé")</f>
        <v>524.89757833333329</v>
      </c>
      <c r="AL80" s="94">
        <f>AL79</f>
        <v>0</v>
      </c>
      <c r="AM80" s="94">
        <f>AM79</f>
        <v>0.08</v>
      </c>
      <c r="AN80" s="90">
        <f t="shared" ref="AN80:AN98" si="64">IFERROR(IF($C80="","",IF($P$15="Cascade",$R80*(1-AM80)*AL80,IF($P$15="Additionnelle",($N80-($N80*($P80+AM80)))*AL80))),"Non Trouvé")</f>
        <v>0</v>
      </c>
      <c r="AQ80" s="94">
        <f>AQ79</f>
        <v>0</v>
      </c>
      <c r="AR80" s="94">
        <f>AR79</f>
        <v>0.05</v>
      </c>
      <c r="AS80" s="90">
        <f t="shared" ref="AS80:AS98" si="65">IFERROR(IF($C80="","",IF($P$15="Cascade",$R80*(1-AR80)*AQ80,IF($P$15="Additionnelle",($N80-($N80*($P80+AR80)))*AQ80))),"Non Trouvé")</f>
        <v>0</v>
      </c>
      <c r="AV80" s="94">
        <f>AV79</f>
        <v>41</v>
      </c>
      <c r="AW80" s="94">
        <f>AW79</f>
        <v>0.32500000000000001</v>
      </c>
      <c r="AX80" s="90">
        <f t="shared" ref="AX80:AX98" si="66">IFERROR(IF($C80="","",IF($P$15="Cascade",$R80*(1-AW80)*AV80,IF($P$15="Additionnelle",($N80-($N80*($P80+AW80)))*AV80))),"Non Trouvé")</f>
        <v>845.82777916666657</v>
      </c>
      <c r="BA80" s="94">
        <f>BA79</f>
        <v>16</v>
      </c>
      <c r="BB80" s="94">
        <f>BB79</f>
        <v>0.29499999999999998</v>
      </c>
      <c r="BC80" s="90">
        <f t="shared" ref="BC80:BC98" si="67">IFERROR(IF($C80="","",IF($P$15="Cascade",$R80*(1-BB80)*BA80,IF($P$15="Additionnelle",($N80-($N80*($P80+BB80)))*BA80))),"Non Trouvé")</f>
        <v>347.30065333333334</v>
      </c>
      <c r="BF80" s="94">
        <f>BF79</f>
        <v>22</v>
      </c>
      <c r="BG80" s="94">
        <f>BG79</f>
        <v>0.27500000000000002</v>
      </c>
      <c r="BH80" s="90">
        <f t="shared" ref="BH80:BH98" si="68">IFERROR(IF($C80="","",IF($P$15="Cascade",$R80*(1-BG80)*BF80,IF($P$15="Additionnelle",($N80-($N80*($P80+BG80)))*BF80))),"Non Trouvé")</f>
        <v>493.32479166666661</v>
      </c>
      <c r="BK80" s="94">
        <f>BK79</f>
        <v>24</v>
      </c>
      <c r="BL80" s="94">
        <f>BL79</f>
        <v>0.245</v>
      </c>
      <c r="BM80" s="90">
        <f t="shared" ref="BM80:BM98" si="69">IFERROR(IF($C80="","",IF($P$15="Cascade",$R80*(1-BL80)*BK80,IF($P$15="Additionnelle",($N80-($N80*($P80+BL80)))*BK80))),"Non Trouvé")</f>
        <v>564.00477999999998</v>
      </c>
      <c r="BP80" s="94">
        <f>BP79</f>
        <v>0</v>
      </c>
      <c r="BQ80" s="94">
        <f>BQ79</f>
        <v>0.22500000000000001</v>
      </c>
      <c r="BR80" s="90">
        <f t="shared" ref="BR80:BR98" si="70">IFERROR(IF($C80="","",IF($P$15="Cascade",$R80*(1-BQ80)*BP80,IF($P$15="Additionnelle",($N80-($N80*($P80+BQ80)))*BP80))),"Non Trouvé")</f>
        <v>0</v>
      </c>
      <c r="BU80" s="94">
        <f>BU79</f>
        <v>0</v>
      </c>
      <c r="BV80" s="94">
        <f>BV79</f>
        <v>0.17499999999999999</v>
      </c>
      <c r="BW80" s="90">
        <f t="shared" ref="BW80:BW98" si="71">IFERROR(IF($C80="","",IF($P$15="Cascade",$R80*(1-BV80)*BU80,IF($P$15="Additionnelle",($N80-($N80*($P80+BV80)))*BU80))),"Non Trouvé")</f>
        <v>0</v>
      </c>
      <c r="BZ80" s="94">
        <f>BZ79</f>
        <v>21</v>
      </c>
      <c r="CA80" s="94">
        <f>CA79</f>
        <v>0.15</v>
      </c>
      <c r="CB80" s="90">
        <f t="shared" ref="CB80:CB98" si="72">IFERROR(IF($C80="","",IF($P$15="Cascade",$R80*(1-CA80)*BZ80,IF($P$15="Additionnelle",($N80-($N80*($P80+CA80)))*BZ80))),"Non Trouvé")</f>
        <v>565.08112500000004</v>
      </c>
      <c r="CE80" s="95"/>
      <c r="CF80" s="96"/>
      <c r="CG80" s="97"/>
      <c r="CH80" s="97"/>
      <c r="CI80" s="98"/>
      <c r="CK80" s="99">
        <f>IFERROR(IF(F80='[1]Paramètres Généraux'!$K$12,ROUNDUP((REGENERANTS!H80*REGENERANTS!$CF$75)*'[1]Paramètres Généraux'!$M$12,-1),IF(F80='[1]Paramètres Généraux'!$K$15,ROUNDUP((REGENERANTS!H80*REGENERANTS!$CF$75)*'[1]Paramètres Généraux'!$M$15,-1),REGENERANTS!H80*REGENERANTS!$CF$75)),"nd")</f>
        <v>270</v>
      </c>
      <c r="CN80" s="100"/>
      <c r="CO80" s="101"/>
      <c r="CP80" s="101"/>
      <c r="CQ80" s="101"/>
      <c r="CR80" s="101"/>
      <c r="CS80" s="171"/>
      <c r="CT80" s="172"/>
      <c r="CU80" s="101"/>
      <c r="CV80" s="171"/>
      <c r="CW80" s="106"/>
      <c r="CX80" s="107"/>
      <c r="CY80" s="106"/>
      <c r="CZ80" s="104"/>
      <c r="DA80" s="107"/>
      <c r="DB80" s="106"/>
      <c r="DC80" s="104"/>
      <c r="DD80" s="107"/>
      <c r="DE80" s="106"/>
      <c r="DF80" s="104"/>
      <c r="DG80" s="104"/>
      <c r="DH80" s="104"/>
      <c r="DI80" s="104"/>
      <c r="DJ80" s="104"/>
      <c r="DK80" s="104"/>
      <c r="DL80" s="104"/>
      <c r="DM80" s="104"/>
      <c r="DN80" s="104"/>
      <c r="DO80" s="107"/>
      <c r="DP80" s="106"/>
      <c r="DQ80" s="20">
        <f t="shared" si="57"/>
        <v>0</v>
      </c>
      <c r="DR80" s="20">
        <f t="shared" si="58"/>
        <v>0</v>
      </c>
      <c r="DS80" s="20">
        <f>IFERROR((IF(AND($F80="Produit Vente",CO80&gt;0),VLOOKUP($C80,'[1]Paramètres Articles'!$B:$H,7,FALSE)*$CO80)*(1-20%)),0)</f>
        <v>0</v>
      </c>
      <c r="DT80" s="20">
        <f>IFERROR((IF(AND($F80="Produit Vente",DR80&gt;0),VLOOKUP($C80,'[1]Paramètres Articles'!$B:$H,6,FALSE)*$DR80)*(1-15%)),0)</f>
        <v>0</v>
      </c>
      <c r="DU80" s="20">
        <f t="shared" si="59"/>
        <v>0</v>
      </c>
    </row>
    <row r="81" spans="2:125" ht="12.95" customHeight="1" outlineLevel="1">
      <c r="B81" s="1">
        <f>IF(C81="",0,COUNTIFS($B$22:B80,"&gt;"&amp;0)+1)</f>
        <v>25</v>
      </c>
      <c r="C81" s="85">
        <v>1020721</v>
      </c>
      <c r="D81" s="86" t="str">
        <f>IFERROR(IF($C81="","",VLOOKUP($C81,'[1]Paramètres Articles'!$B:$G,2,FALSE)),"Non Trouvé")</f>
        <v>Cure Intensive Fortifiante - Régénérant - 40ml</v>
      </c>
      <c r="E81" s="87">
        <f>IFERROR(IF($C81="","",_xlfn.XLOOKUP(REGENERANTS!$C81,'[1]New Base PA'!$F:$F,'[1]New Base PA'!$D:$D,"Not Found",0)),"Non Trouvé")</f>
        <v>4020829102941</v>
      </c>
      <c r="F81" s="88" t="s">
        <v>90</v>
      </c>
      <c r="H81" s="89">
        <v>0</v>
      </c>
      <c r="J81" s="90">
        <f>IFERROR(IF($C81="","",VLOOKUP($C81,'[1]New Base PA'!$F:$J,5,FALSE)),"Non Trouvé")</f>
        <v>16.878</v>
      </c>
      <c r="K81" s="90">
        <f t="shared" si="53"/>
        <v>0</v>
      </c>
      <c r="L81" s="91"/>
      <c r="M81" s="163">
        <f>IFERROR(IF(AND($F81="Produit Vente",H81&gt;0),VLOOKUP($C81,'[1]Paramètres Articles'!$B:$G,6,FALSE),0),"Non Trouvé")</f>
        <v>0</v>
      </c>
      <c r="N81" s="163">
        <f t="shared" si="54"/>
        <v>0</v>
      </c>
      <c r="P81" s="92">
        <v>0.1</v>
      </c>
      <c r="R81" s="90">
        <f t="shared" si="55"/>
        <v>0</v>
      </c>
      <c r="S81" s="91"/>
      <c r="T81" s="90">
        <f>IFERROR(IF($C81="","",VLOOKUP($C81,'[1]Paramètres Articles'!$B:$H,7,FALSE)),"Non Trouvé")</f>
        <v>72.898071522305145</v>
      </c>
      <c r="U81" s="93"/>
      <c r="V81" s="90">
        <f t="shared" si="60"/>
        <v>65.608264370074636</v>
      </c>
      <c r="W81" s="91"/>
      <c r="X81" s="90">
        <f t="shared" si="61"/>
        <v>7.2898071522305088</v>
      </c>
      <c r="Y81" s="91"/>
      <c r="Z81" s="90">
        <f t="shared" si="56"/>
        <v>0</v>
      </c>
      <c r="AB81" s="94">
        <f>AB79</f>
        <v>127</v>
      </c>
      <c r="AC81" s="94">
        <f>AC79</f>
        <v>0.17</v>
      </c>
      <c r="AD81" s="90">
        <f t="shared" si="62"/>
        <v>0</v>
      </c>
      <c r="AG81" s="94">
        <f>AG79</f>
        <v>19</v>
      </c>
      <c r="AH81" s="94">
        <f>AH79</f>
        <v>0.13</v>
      </c>
      <c r="AI81" s="90">
        <f t="shared" si="63"/>
        <v>0</v>
      </c>
      <c r="AL81" s="94">
        <f>AL79</f>
        <v>0</v>
      </c>
      <c r="AM81" s="94">
        <f>AM79</f>
        <v>0.08</v>
      </c>
      <c r="AN81" s="90">
        <f t="shared" si="64"/>
        <v>0</v>
      </c>
      <c r="AQ81" s="94">
        <f>AQ79</f>
        <v>0</v>
      </c>
      <c r="AR81" s="94">
        <f>AR79</f>
        <v>0.05</v>
      </c>
      <c r="AS81" s="90">
        <f t="shared" si="65"/>
        <v>0</v>
      </c>
      <c r="AV81" s="94">
        <f>AV79</f>
        <v>41</v>
      </c>
      <c r="AW81" s="94">
        <f>AW79</f>
        <v>0.32500000000000001</v>
      </c>
      <c r="AX81" s="90">
        <f t="shared" si="66"/>
        <v>0</v>
      </c>
      <c r="BA81" s="94">
        <f>BA79</f>
        <v>16</v>
      </c>
      <c r="BB81" s="94">
        <f>BB79</f>
        <v>0.29499999999999998</v>
      </c>
      <c r="BC81" s="90">
        <f t="shared" si="67"/>
        <v>0</v>
      </c>
      <c r="BF81" s="94">
        <f>BF79</f>
        <v>22</v>
      </c>
      <c r="BG81" s="94">
        <f>BG79</f>
        <v>0.27500000000000002</v>
      </c>
      <c r="BH81" s="90">
        <f t="shared" si="68"/>
        <v>0</v>
      </c>
      <c r="BK81" s="94">
        <f>BK79</f>
        <v>24</v>
      </c>
      <c r="BL81" s="94">
        <f>BL79</f>
        <v>0.245</v>
      </c>
      <c r="BM81" s="90">
        <f t="shared" si="69"/>
        <v>0</v>
      </c>
      <c r="BP81" s="94">
        <f>BP79</f>
        <v>0</v>
      </c>
      <c r="BQ81" s="94">
        <f>BQ79</f>
        <v>0.22500000000000001</v>
      </c>
      <c r="BR81" s="90">
        <f t="shared" si="70"/>
        <v>0</v>
      </c>
      <c r="BU81" s="94">
        <f>BU79</f>
        <v>0</v>
      </c>
      <c r="BV81" s="94">
        <f>BV79</f>
        <v>0.17499999999999999</v>
      </c>
      <c r="BW81" s="90">
        <f t="shared" si="71"/>
        <v>0</v>
      </c>
      <c r="BZ81" s="94">
        <f>BZ79</f>
        <v>21</v>
      </c>
      <c r="CA81" s="94">
        <f>CA79</f>
        <v>0.15</v>
      </c>
      <c r="CB81" s="90">
        <f t="shared" si="72"/>
        <v>0</v>
      </c>
      <c r="CE81" s="95"/>
      <c r="CF81" s="96"/>
      <c r="CG81" s="88" t="s">
        <v>93</v>
      </c>
      <c r="CH81" s="120">
        <f>SUMIFS(K77:K98,F77:F98,CG81)/SUMIFS(K77:K98,F77:F98,"Produit Vente")</f>
        <v>0</v>
      </c>
      <c r="CI81" s="98"/>
      <c r="CK81" s="99">
        <f>IFERROR(IF(F81='[1]Paramètres Généraux'!$K$12,ROUNDUP((REGENERANTS!H81*REGENERANTS!$CF$75)*'[1]Paramètres Généraux'!$M$12,-1),IF(F81='[1]Paramètres Généraux'!$K$15,ROUNDUP((REGENERANTS!H81*REGENERANTS!$CF$75)*'[1]Paramètres Généraux'!$M$15,-1),REGENERANTS!H81*REGENERANTS!$CF$75)),"nd")</f>
        <v>0</v>
      </c>
      <c r="CN81" s="100"/>
      <c r="CO81" s="101"/>
      <c r="CP81" s="101"/>
      <c r="CQ81" s="101"/>
      <c r="CR81" s="101"/>
      <c r="CS81" s="171"/>
      <c r="CT81" s="172"/>
      <c r="CU81" s="101"/>
      <c r="CV81" s="171"/>
      <c r="CW81" s="106"/>
      <c r="CX81" s="107"/>
      <c r="CY81" s="106"/>
      <c r="CZ81" s="104"/>
      <c r="DA81" s="107"/>
      <c r="DB81" s="106"/>
      <c r="DC81" s="104"/>
      <c r="DD81" s="107"/>
      <c r="DE81" s="106"/>
      <c r="DF81" s="104"/>
      <c r="DG81" s="104"/>
      <c r="DH81" s="104"/>
      <c r="DI81" s="104"/>
      <c r="DJ81" s="104"/>
      <c r="DK81" s="104"/>
      <c r="DL81" s="104"/>
      <c r="DM81" s="104"/>
      <c r="DN81" s="104"/>
      <c r="DO81" s="107"/>
      <c r="DP81" s="106"/>
      <c r="DQ81" s="20">
        <f t="shared" si="57"/>
        <v>0</v>
      </c>
      <c r="DR81" s="20">
        <f t="shared" si="58"/>
        <v>0</v>
      </c>
      <c r="DS81" s="20">
        <f>IFERROR((IF(AND($F81="Produit Vente",CO81&gt;0),VLOOKUP($C81,'[1]Paramètres Articles'!$B:$H,7,FALSE)*$CO81)*(1-20%)),0)</f>
        <v>0</v>
      </c>
      <c r="DT81" s="20">
        <f>IFERROR((IF(AND($F81="Produit Vente",DR81&gt;0),VLOOKUP($C81,'[1]Paramètres Articles'!$B:$H,6,FALSE)*$DR81)*(1-15%)),0)</f>
        <v>0</v>
      </c>
      <c r="DU81" s="20">
        <f t="shared" si="59"/>
        <v>0</v>
      </c>
    </row>
    <row r="82" spans="2:125" ht="12.95" customHeight="1" outlineLevel="1">
      <c r="B82" s="1">
        <f>IF(C82="",0,COUNTIFS($B$22:B81,"&gt;"&amp;0)+1)</f>
        <v>26</v>
      </c>
      <c r="C82" s="85">
        <v>1020107</v>
      </c>
      <c r="D82" s="86" t="str">
        <f>IFERROR(IF($C82="","",VLOOKUP($C82,'[1]Paramètres Articles'!$B:$G,2,FALSE)),"Non Trouvé")</f>
        <v>Lait pour le Corps - Régénérant - 150 ml</v>
      </c>
      <c r="E82" s="87">
        <f>IFERROR(IF($C82="","",_xlfn.XLOOKUP(REGENERANTS!$C82,'[1]New Base PA'!$F:$F,'[1]New Base PA'!$D:$D,"Not Found",0)),"Non Trouvé")</f>
        <v>4020829103160</v>
      </c>
      <c r="F82" s="88" t="s">
        <v>90</v>
      </c>
      <c r="H82" s="89">
        <v>1</v>
      </c>
      <c r="J82" s="90">
        <f>IFERROR(IF($C82="","",VLOOKUP($C82,'[1]New Base PA'!$F:$J,5,FALSE)),"Non Trouvé")</f>
        <v>10.335599999999999</v>
      </c>
      <c r="K82" s="90">
        <f t="shared" si="53"/>
        <v>10.335599999999999</v>
      </c>
      <c r="L82" s="91"/>
      <c r="M82" s="163">
        <f>IFERROR(IF(AND($F82="Produit Vente",H82&gt;0),VLOOKUP($C82,'[1]Paramètres Articles'!$B:$G,6,FALSE),0),"Non Trouvé")</f>
        <v>26.119999999999997</v>
      </c>
      <c r="N82" s="163">
        <f t="shared" si="54"/>
        <v>26.119999999999997</v>
      </c>
      <c r="P82" s="92">
        <v>0.1</v>
      </c>
      <c r="R82" s="90">
        <f t="shared" si="55"/>
        <v>23.507999999999999</v>
      </c>
      <c r="S82" s="91"/>
      <c r="T82" s="90">
        <f>IFERROR(IF($C82="","",VLOOKUP($C82,'[1]Paramètres Articles'!$B:$H,7,FALSE)),"Non Trouvé")</f>
        <v>44.4</v>
      </c>
      <c r="U82" s="93"/>
      <c r="V82" s="90">
        <f t="shared" si="60"/>
        <v>39.96</v>
      </c>
      <c r="W82" s="91"/>
      <c r="X82" s="90">
        <f t="shared" si="61"/>
        <v>4.4399999999999977</v>
      </c>
      <c r="Y82" s="91"/>
      <c r="Z82" s="90">
        <f t="shared" si="56"/>
        <v>44.4</v>
      </c>
      <c r="AB82" s="94">
        <f>AB81</f>
        <v>127</v>
      </c>
      <c r="AC82" s="94">
        <f>AC81</f>
        <v>0.17</v>
      </c>
      <c r="AD82" s="90">
        <f t="shared" si="62"/>
        <v>2421.5852</v>
      </c>
      <c r="AG82" s="94">
        <f>AG81</f>
        <v>19</v>
      </c>
      <c r="AH82" s="94">
        <f>AH81</f>
        <v>0.13</v>
      </c>
      <c r="AI82" s="90">
        <f t="shared" si="63"/>
        <v>382.13559999999995</v>
      </c>
      <c r="AL82" s="94">
        <f>AL81</f>
        <v>0</v>
      </c>
      <c r="AM82" s="94">
        <f>AM81</f>
        <v>0.08</v>
      </c>
      <c r="AN82" s="90">
        <f t="shared" si="64"/>
        <v>0</v>
      </c>
      <c r="AQ82" s="94">
        <f>AQ81</f>
        <v>0</v>
      </c>
      <c r="AR82" s="94">
        <f>AR81</f>
        <v>0.05</v>
      </c>
      <c r="AS82" s="90">
        <f t="shared" si="65"/>
        <v>0</v>
      </c>
      <c r="AV82" s="94">
        <f>AV81</f>
        <v>41</v>
      </c>
      <c r="AW82" s="94">
        <f>AW81</f>
        <v>0.32500000000000001</v>
      </c>
      <c r="AX82" s="90">
        <f t="shared" si="66"/>
        <v>615.77899999999988</v>
      </c>
      <c r="BA82" s="94">
        <f>BA81</f>
        <v>16</v>
      </c>
      <c r="BB82" s="94">
        <f>BB81</f>
        <v>0.29499999999999998</v>
      </c>
      <c r="BC82" s="90">
        <f t="shared" si="67"/>
        <v>252.84159999999997</v>
      </c>
      <c r="BF82" s="94">
        <f>BF81</f>
        <v>22</v>
      </c>
      <c r="BG82" s="94">
        <f>BG81</f>
        <v>0.27500000000000002</v>
      </c>
      <c r="BH82" s="90">
        <f t="shared" si="68"/>
        <v>359.15</v>
      </c>
      <c r="BK82" s="94">
        <f>BK81</f>
        <v>24</v>
      </c>
      <c r="BL82" s="94">
        <f>BL81</f>
        <v>0.245</v>
      </c>
      <c r="BM82" s="90">
        <f t="shared" si="69"/>
        <v>410.60640000000001</v>
      </c>
      <c r="BP82" s="94">
        <f>BP81</f>
        <v>0</v>
      </c>
      <c r="BQ82" s="94">
        <f>BQ81</f>
        <v>0.22500000000000001</v>
      </c>
      <c r="BR82" s="90">
        <f t="shared" si="70"/>
        <v>0</v>
      </c>
      <c r="BU82" s="94">
        <f>BU81</f>
        <v>0</v>
      </c>
      <c r="BV82" s="94">
        <f>BV81</f>
        <v>0.17499999999999999</v>
      </c>
      <c r="BW82" s="90">
        <f t="shared" si="71"/>
        <v>0</v>
      </c>
      <c r="BZ82" s="94">
        <f>BZ81</f>
        <v>21</v>
      </c>
      <c r="CA82" s="94">
        <f>CA81</f>
        <v>0.15</v>
      </c>
      <c r="CB82" s="90">
        <f t="shared" si="72"/>
        <v>411.38999999999993</v>
      </c>
      <c r="CE82" s="95"/>
      <c r="CF82" s="96"/>
      <c r="CG82" s="88" t="s">
        <v>94</v>
      </c>
      <c r="CH82" s="120">
        <f>(SUMIFS(K77:K98,F77:F98,"PLV (PDC ou autre)")+SUMIFS(K77:K98,F77:F98,"PLV (vitrine)"))/K75</f>
        <v>8.1418395844847974E-2</v>
      </c>
      <c r="CI82" s="98"/>
      <c r="CK82" s="99">
        <f>IFERROR(IF(F82='[1]Paramètres Généraux'!$K$12,ROUNDUP((REGENERANTS!H82*REGENERANTS!$CF$75)*'[1]Paramètres Généraux'!$M$12,-1),IF(F82='[1]Paramètres Généraux'!$K$15,ROUNDUP((REGENERANTS!H82*REGENERANTS!$CF$75)*'[1]Paramètres Généraux'!$M$15,-1),REGENERANTS!H82*REGENERANTS!$CF$75)),"nd")</f>
        <v>270</v>
      </c>
      <c r="CN82" s="100"/>
      <c r="CO82" s="101"/>
      <c r="CP82" s="101"/>
      <c r="CQ82" s="101"/>
      <c r="CR82" s="101"/>
      <c r="CS82" s="171"/>
      <c r="CT82" s="172"/>
      <c r="CU82" s="101"/>
      <c r="CV82" s="171"/>
      <c r="CW82" s="106"/>
      <c r="CX82" s="107"/>
      <c r="CY82" s="106"/>
      <c r="CZ82" s="104"/>
      <c r="DA82" s="107"/>
      <c r="DB82" s="106"/>
      <c r="DC82" s="104"/>
      <c r="DD82" s="107"/>
      <c r="DE82" s="106"/>
      <c r="DF82" s="104"/>
      <c r="DG82" s="104"/>
      <c r="DH82" s="104"/>
      <c r="DI82" s="104"/>
      <c r="DJ82" s="104"/>
      <c r="DK82" s="104"/>
      <c r="DL82" s="104"/>
      <c r="DM82" s="104"/>
      <c r="DN82" s="104"/>
      <c r="DO82" s="107"/>
      <c r="DP82" s="106"/>
      <c r="DQ82" s="20">
        <f t="shared" si="57"/>
        <v>0</v>
      </c>
      <c r="DR82" s="20">
        <f t="shared" si="58"/>
        <v>0</v>
      </c>
      <c r="DS82" s="20">
        <f>IFERROR((IF(AND($F82="Produit Vente",CO82&gt;0),VLOOKUP($C82,'[1]Paramètres Articles'!$B:$H,7,FALSE)*$CO82)*(1-20%)),0)</f>
        <v>0</v>
      </c>
      <c r="DT82" s="20">
        <f>IFERROR((IF(AND($F82="Produit Vente",DR82&gt;0),VLOOKUP($C82,'[1]Paramètres Articles'!$B:$H,6,FALSE)*$DR82)*(1-15%)),0)</f>
        <v>0</v>
      </c>
      <c r="DU82" s="20">
        <f t="shared" si="59"/>
        <v>0</v>
      </c>
    </row>
    <row r="83" spans="2:125" ht="12.95" customHeight="1" outlineLevel="1">
      <c r="B83" s="1">
        <f>IF(C83="",0,COUNTIFS($B$22:B82,"&gt;"&amp;0)+1)</f>
        <v>27</v>
      </c>
      <c r="C83" s="85">
        <v>1020102</v>
      </c>
      <c r="D83" s="86" t="str">
        <f>IFERROR(IF($C83="","",VLOOKUP($C83,'[1]Paramètres Articles'!$B:$G,2,FALSE)),"Non Trouvé")</f>
        <v>Crème pour les Mains - Régénérant - 50 ml</v>
      </c>
      <c r="E83" s="87">
        <f>IFERROR(IF($C83="","",_xlfn.XLOOKUP(REGENERANTS!$C83,'[1]New Base PA'!$F:$F,'[1]New Base PA'!$D:$D,"Not Found",0)),"Non Trouvé")</f>
        <v>4020829049666</v>
      </c>
      <c r="F83" s="88" t="s">
        <v>90</v>
      </c>
      <c r="H83" s="89">
        <v>1</v>
      </c>
      <c r="J83" s="90">
        <f>IFERROR(IF($C83="","",VLOOKUP($C83,'[1]New Base PA'!$F:$J,5,FALSE)),"Non Trouvé")</f>
        <v>6.5481999999999987</v>
      </c>
      <c r="K83" s="90">
        <f t="shared" si="53"/>
        <v>6.5481999999999987</v>
      </c>
      <c r="L83" s="91"/>
      <c r="M83" s="163">
        <f>IFERROR(IF(AND($F83="Produit Vente",H83&gt;0),VLOOKUP($C83,'[1]Paramètres Articles'!$B:$G,6,FALSE),0),"Non Trouvé")</f>
        <v>17.352941176470591</v>
      </c>
      <c r="N83" s="163">
        <f t="shared" si="54"/>
        <v>17.352941176470591</v>
      </c>
      <c r="P83" s="92">
        <v>0.1</v>
      </c>
      <c r="R83" s="90">
        <f t="shared" si="55"/>
        <v>15.617647058823533</v>
      </c>
      <c r="S83" s="91"/>
      <c r="T83" s="90">
        <f>IFERROR(IF($C83="","",VLOOKUP($C83,'[1]Paramètres Articles'!$B:$H,7,FALSE)),"Non Trouvé")</f>
        <v>29.5</v>
      </c>
      <c r="U83" s="93"/>
      <c r="V83" s="90">
        <f t="shared" si="60"/>
        <v>26.55</v>
      </c>
      <c r="W83" s="91"/>
      <c r="X83" s="90">
        <f t="shared" si="61"/>
        <v>2.9499999999999993</v>
      </c>
      <c r="Y83" s="91"/>
      <c r="Z83" s="90">
        <f t="shared" si="56"/>
        <v>29.5</v>
      </c>
      <c r="AB83" s="94">
        <f>AB81</f>
        <v>127</v>
      </c>
      <c r="AC83" s="94">
        <f>AC81</f>
        <v>0.17</v>
      </c>
      <c r="AD83" s="90">
        <f t="shared" si="62"/>
        <v>1608.7911764705882</v>
      </c>
      <c r="AG83" s="94">
        <f>AG81</f>
        <v>19</v>
      </c>
      <c r="AH83" s="94">
        <f>AH81</f>
        <v>0.13</v>
      </c>
      <c r="AI83" s="90">
        <f t="shared" si="63"/>
        <v>253.87352941176474</v>
      </c>
      <c r="AL83" s="94">
        <f>AL81</f>
        <v>0</v>
      </c>
      <c r="AM83" s="94">
        <f>AM81</f>
        <v>0.08</v>
      </c>
      <c r="AN83" s="90">
        <f t="shared" si="64"/>
        <v>0</v>
      </c>
      <c r="AQ83" s="94">
        <f>AQ81</f>
        <v>0</v>
      </c>
      <c r="AR83" s="94">
        <f>AR81</f>
        <v>0.05</v>
      </c>
      <c r="AS83" s="90">
        <f t="shared" si="65"/>
        <v>0</v>
      </c>
      <c r="AV83" s="94">
        <f>AV81</f>
        <v>41</v>
      </c>
      <c r="AW83" s="94">
        <f>AW81</f>
        <v>0.32500000000000001</v>
      </c>
      <c r="AX83" s="90">
        <f t="shared" si="66"/>
        <v>409.09558823529414</v>
      </c>
      <c r="BA83" s="94">
        <f>BA81</f>
        <v>16</v>
      </c>
      <c r="BB83" s="94">
        <f>BB81</f>
        <v>0.29499999999999998</v>
      </c>
      <c r="BC83" s="90">
        <f t="shared" si="67"/>
        <v>167.97647058823532</v>
      </c>
      <c r="BF83" s="94">
        <f>BF81</f>
        <v>22</v>
      </c>
      <c r="BG83" s="94">
        <f>BG81</f>
        <v>0.27500000000000002</v>
      </c>
      <c r="BH83" s="90">
        <f t="shared" si="68"/>
        <v>238.60294117647064</v>
      </c>
      <c r="BK83" s="94">
        <f>BK81</f>
        <v>24</v>
      </c>
      <c r="BL83" s="94">
        <f>BL81</f>
        <v>0.245</v>
      </c>
      <c r="BM83" s="90">
        <f t="shared" si="69"/>
        <v>272.78823529411767</v>
      </c>
      <c r="BP83" s="94">
        <f>BP81</f>
        <v>0</v>
      </c>
      <c r="BQ83" s="94">
        <f>BQ81</f>
        <v>0.22500000000000001</v>
      </c>
      <c r="BR83" s="90">
        <f t="shared" si="70"/>
        <v>0</v>
      </c>
      <c r="BU83" s="94">
        <f>BU81</f>
        <v>0</v>
      </c>
      <c r="BV83" s="94">
        <f>BV81</f>
        <v>0.17499999999999999</v>
      </c>
      <c r="BW83" s="90">
        <f t="shared" si="71"/>
        <v>0</v>
      </c>
      <c r="BZ83" s="94">
        <f>BZ81</f>
        <v>21</v>
      </c>
      <c r="CA83" s="94">
        <f>CA81</f>
        <v>0.15</v>
      </c>
      <c r="CB83" s="90">
        <f t="shared" si="72"/>
        <v>273.30882352941177</v>
      </c>
      <c r="CE83" s="95"/>
      <c r="CF83" s="96"/>
      <c r="CG83" s="88" t="s">
        <v>95</v>
      </c>
      <c r="CH83" s="120">
        <f>SUMIFS(K77:K99,F77:F99,CG83)/K75</f>
        <v>0</v>
      </c>
      <c r="CI83" s="98"/>
      <c r="CK83" s="99">
        <f>IFERROR(IF(F83='[1]Paramètres Généraux'!$K$12,ROUNDUP((REGENERANTS!H83*REGENERANTS!$CF$75)*'[1]Paramètres Généraux'!$M$12,-1),IF(F83='[1]Paramètres Généraux'!$K$15,ROUNDUP((REGENERANTS!H83*REGENERANTS!$CF$75)*'[1]Paramètres Généraux'!$M$15,-1),REGENERANTS!H83*REGENERANTS!$CF$75)),"nd")</f>
        <v>270</v>
      </c>
      <c r="CN83" s="100"/>
      <c r="CO83" s="101"/>
      <c r="CP83" s="101"/>
      <c r="CQ83" s="101"/>
      <c r="CR83" s="101"/>
      <c r="CS83" s="171"/>
      <c r="CT83" s="172"/>
      <c r="CU83" s="101"/>
      <c r="CV83" s="171"/>
      <c r="CW83" s="106"/>
      <c r="CX83" s="107"/>
      <c r="CY83" s="106"/>
      <c r="CZ83" s="104"/>
      <c r="DA83" s="107"/>
      <c r="DB83" s="106"/>
      <c r="DC83" s="104"/>
      <c r="DD83" s="107"/>
      <c r="DE83" s="106"/>
      <c r="DF83" s="104"/>
      <c r="DG83" s="104"/>
      <c r="DH83" s="104"/>
      <c r="DI83" s="104"/>
      <c r="DJ83" s="104"/>
      <c r="DK83" s="104"/>
      <c r="DL83" s="104"/>
      <c r="DM83" s="104"/>
      <c r="DN83" s="104"/>
      <c r="DO83" s="107"/>
      <c r="DP83" s="106"/>
      <c r="DQ83" s="20">
        <f t="shared" si="57"/>
        <v>0</v>
      </c>
      <c r="DR83" s="20">
        <f t="shared" si="58"/>
        <v>0</v>
      </c>
      <c r="DS83" s="20">
        <f>IFERROR((IF(AND($F83="Produit Vente",CO83&gt;0),VLOOKUP($C83,'[1]Paramètres Articles'!$B:$H,7,FALSE)*$CO83)*(1-20%)),0)</f>
        <v>0</v>
      </c>
      <c r="DT83" s="20">
        <f>IFERROR((IF(AND($F83="Produit Vente",DR83&gt;0),VLOOKUP($C83,'[1]Paramètres Articles'!$B:$H,6,FALSE)*$DR83)*(1-15%)),0)</f>
        <v>0</v>
      </c>
      <c r="DU83" s="20">
        <f t="shared" si="59"/>
        <v>0</v>
      </c>
    </row>
    <row r="84" spans="2:125" ht="12.95" customHeight="1" outlineLevel="1">
      <c r="B84" s="1">
        <f>IF(C84="",0,COUNTIFS($B$22:B83,"&gt;"&amp;0)+1)</f>
        <v>28</v>
      </c>
      <c r="C84" s="85">
        <v>1020722</v>
      </c>
      <c r="D84" s="86" t="str">
        <f>IFERROR(IF($C84="","",VLOOKUP($C84,'[1]Paramètres Articles'!$B:$G,2,FALSE)),"Non Trouvé")</f>
        <v>Cure Intensive Rééquilibrante - Régénérant Intensif - 40ml</v>
      </c>
      <c r="E84" s="87">
        <f>IFERROR(IF($C84="","",_xlfn.XLOOKUP(REGENERANTS!$C84,'[1]New Base PA'!$F:$F,'[1]New Base PA'!$D:$D,"Not Found",0)),"Non Trouvé")</f>
        <v>4020829102934</v>
      </c>
      <c r="F84" s="88" t="s">
        <v>90</v>
      </c>
      <c r="H84" s="89">
        <v>0</v>
      </c>
      <c r="J84" s="90">
        <f>IFERROR(IF($C84="","",VLOOKUP($C84,'[1]New Base PA'!$F:$J,5,FALSE)),"Non Trouvé")</f>
        <v>16.878</v>
      </c>
      <c r="K84" s="90">
        <f t="shared" si="53"/>
        <v>0</v>
      </c>
      <c r="L84" s="91"/>
      <c r="M84" s="163">
        <f>IFERROR(IF(AND($F84="Produit Vente",H84&gt;0),VLOOKUP($C84,'[1]Paramètres Articles'!$B:$G,6,FALSE),0),"Non Trouvé")</f>
        <v>0</v>
      </c>
      <c r="N84" s="163">
        <f t="shared" si="54"/>
        <v>0</v>
      </c>
      <c r="P84" s="92">
        <v>0.1</v>
      </c>
      <c r="R84" s="90">
        <f t="shared" si="55"/>
        <v>0</v>
      </c>
      <c r="S84" s="91"/>
      <c r="T84" s="90">
        <f>IFERROR(IF($C84="","",VLOOKUP($C84,'[1]Paramètres Articles'!$B:$H,7,FALSE)),"Non Trouvé")</f>
        <v>72.898071522305145</v>
      </c>
      <c r="U84" s="93"/>
      <c r="V84" s="90">
        <f t="shared" si="60"/>
        <v>65.608264370074636</v>
      </c>
      <c r="W84" s="91"/>
      <c r="X84" s="90">
        <f t="shared" si="61"/>
        <v>7.2898071522305088</v>
      </c>
      <c r="Y84" s="91"/>
      <c r="Z84" s="90">
        <f t="shared" si="56"/>
        <v>0</v>
      </c>
      <c r="AB84" s="94">
        <f>AB82</f>
        <v>127</v>
      </c>
      <c r="AC84" s="94">
        <f>AC82</f>
        <v>0.17</v>
      </c>
      <c r="AD84" s="90">
        <f t="shared" si="62"/>
        <v>0</v>
      </c>
      <c r="AG84" s="94">
        <f>AG82</f>
        <v>19</v>
      </c>
      <c r="AH84" s="94">
        <f>AH82</f>
        <v>0.13</v>
      </c>
      <c r="AI84" s="90">
        <f t="shared" si="63"/>
        <v>0</v>
      </c>
      <c r="AL84" s="94">
        <f>AL82</f>
        <v>0</v>
      </c>
      <c r="AM84" s="94">
        <f>AM82</f>
        <v>0.08</v>
      </c>
      <c r="AN84" s="90">
        <f t="shared" si="64"/>
        <v>0</v>
      </c>
      <c r="AQ84" s="94">
        <f>AQ82</f>
        <v>0</v>
      </c>
      <c r="AR84" s="94">
        <f>AR82</f>
        <v>0.05</v>
      </c>
      <c r="AS84" s="90">
        <f t="shared" si="65"/>
        <v>0</v>
      </c>
      <c r="AV84" s="94">
        <f>AV82</f>
        <v>41</v>
      </c>
      <c r="AW84" s="94">
        <f>AW82</f>
        <v>0.32500000000000001</v>
      </c>
      <c r="AX84" s="90">
        <f t="shared" si="66"/>
        <v>0</v>
      </c>
      <c r="BA84" s="94">
        <f>BA82</f>
        <v>16</v>
      </c>
      <c r="BB84" s="94">
        <f>BB82</f>
        <v>0.29499999999999998</v>
      </c>
      <c r="BC84" s="90">
        <f t="shared" si="67"/>
        <v>0</v>
      </c>
      <c r="BF84" s="94">
        <f>BF82</f>
        <v>22</v>
      </c>
      <c r="BG84" s="94">
        <f>BG82</f>
        <v>0.27500000000000002</v>
      </c>
      <c r="BH84" s="90">
        <f t="shared" si="68"/>
        <v>0</v>
      </c>
      <c r="BK84" s="94">
        <f>BK82</f>
        <v>24</v>
      </c>
      <c r="BL84" s="94">
        <f>BL82</f>
        <v>0.245</v>
      </c>
      <c r="BM84" s="90">
        <f t="shared" si="69"/>
        <v>0</v>
      </c>
      <c r="BP84" s="94">
        <f>BP82</f>
        <v>0</v>
      </c>
      <c r="BQ84" s="94">
        <f>BQ82</f>
        <v>0.22500000000000001</v>
      </c>
      <c r="BR84" s="90">
        <f t="shared" si="70"/>
        <v>0</v>
      </c>
      <c r="BU84" s="94">
        <f>BU82</f>
        <v>0</v>
      </c>
      <c r="BV84" s="94">
        <f>BV82</f>
        <v>0.17499999999999999</v>
      </c>
      <c r="BW84" s="90">
        <f t="shared" si="71"/>
        <v>0</v>
      </c>
      <c r="BZ84" s="94">
        <f>BZ82</f>
        <v>21</v>
      </c>
      <c r="CA84" s="94">
        <f>CA82</f>
        <v>0.15</v>
      </c>
      <c r="CB84" s="90">
        <f t="shared" si="72"/>
        <v>0</v>
      </c>
      <c r="CE84" s="95"/>
      <c r="CF84" s="96"/>
      <c r="CG84" s="88" t="s">
        <v>96</v>
      </c>
      <c r="CH84" s="120">
        <f>SUMIFS(K77:K99,F77:F99,CG84)/K75</f>
        <v>5.1404084142560667E-2</v>
      </c>
      <c r="CI84" s="98"/>
      <c r="CK84" s="99">
        <f>IFERROR(IF(F84='[1]Paramètres Généraux'!$K$12,ROUNDUP((REGENERANTS!H84*REGENERANTS!$CF$75)*'[1]Paramètres Généraux'!$M$12,-1),IF(F84='[1]Paramètres Généraux'!$K$15,ROUNDUP((REGENERANTS!H84*REGENERANTS!$CF$75)*'[1]Paramètres Généraux'!$M$15,-1),REGENERANTS!H84*REGENERANTS!$CF$75)),"nd")</f>
        <v>0</v>
      </c>
      <c r="CN84" s="100"/>
      <c r="CO84" s="101"/>
      <c r="CP84" s="101"/>
      <c r="CQ84" s="101"/>
      <c r="CR84" s="101"/>
      <c r="CS84" s="171"/>
      <c r="CT84" s="172"/>
      <c r="CU84" s="101"/>
      <c r="CV84" s="171"/>
      <c r="CW84" s="106"/>
      <c r="CX84" s="107"/>
      <c r="CY84" s="106"/>
      <c r="CZ84" s="104"/>
      <c r="DA84" s="107"/>
      <c r="DB84" s="106"/>
      <c r="DC84" s="104"/>
      <c r="DD84" s="107"/>
      <c r="DE84" s="106"/>
      <c r="DF84" s="104"/>
      <c r="DG84" s="104"/>
      <c r="DH84" s="104"/>
      <c r="DI84" s="104"/>
      <c r="DJ84" s="104"/>
      <c r="DK84" s="104"/>
      <c r="DL84" s="104"/>
      <c r="DM84" s="104"/>
      <c r="DN84" s="104"/>
      <c r="DO84" s="107"/>
      <c r="DP84" s="106"/>
      <c r="DQ84" s="20">
        <f t="shared" si="57"/>
        <v>0</v>
      </c>
      <c r="DR84" s="20">
        <f t="shared" si="58"/>
        <v>0</v>
      </c>
      <c r="DS84" s="20">
        <f>IFERROR((IF(AND($F84="Produit Vente",CO84&gt;0),VLOOKUP($C84,'[1]Paramètres Articles'!$B:$H,7,FALSE)*$CO84)*(1-20%)),0)</f>
        <v>0</v>
      </c>
      <c r="DT84" s="20">
        <f>IFERROR((IF(AND($F84="Produit Vente",DR84&gt;0),VLOOKUP($C84,'[1]Paramètres Articles'!$B:$H,6,FALSE)*$DR84)*(1-15%)),0)</f>
        <v>0</v>
      </c>
      <c r="DU84" s="20">
        <f t="shared" si="59"/>
        <v>0</v>
      </c>
    </row>
    <row r="85" spans="2:125" ht="12.95" customHeight="1" outlineLevel="1">
      <c r="B85" s="1">
        <f>IF(C85="",0,COUNTIFS($B$22:B84,"&gt;"&amp;0)+1)</f>
        <v>29</v>
      </c>
      <c r="C85" s="85">
        <v>1020719</v>
      </c>
      <c r="D85" s="86" t="str">
        <f>IFERROR(IF($C85="","",VLOOKUP($C85,'[1]Paramètres Articles'!$B:$G,2,FALSE)),"Non Trouvé")</f>
        <v>Huile Fortifiante - Régénérant Intensif - 20ml</v>
      </c>
      <c r="E85" s="87">
        <f>IFERROR(IF($C85="","",_xlfn.XLOOKUP(REGENERANTS!$C85,'[1]New Base PA'!$F:$F,'[1]New Base PA'!$D:$D,"Not Found",0)),"Non Trouvé")</f>
        <v>4020829103030</v>
      </c>
      <c r="F85" s="88" t="s">
        <v>90</v>
      </c>
      <c r="H85" s="89">
        <v>2</v>
      </c>
      <c r="J85" s="90">
        <f>IFERROR(IF($C85="","",VLOOKUP($C85,'[1]New Base PA'!$F:$J,5,FALSE)),"Non Trouvé")</f>
        <v>18.4208</v>
      </c>
      <c r="K85" s="90">
        <f t="shared" si="53"/>
        <v>36.8416</v>
      </c>
      <c r="L85" s="91"/>
      <c r="M85" s="163">
        <f>IFERROR(IF(AND($F85="Produit Vente",H85&gt;0),VLOOKUP($C85,'[1]Paramètres Articles'!$B:$G,6,FALSE),0),"Non Trouvé")</f>
        <v>46.768280254777068</v>
      </c>
      <c r="N85" s="163">
        <f t="shared" si="54"/>
        <v>93.536560509554135</v>
      </c>
      <c r="P85" s="92">
        <v>0.1</v>
      </c>
      <c r="R85" s="90">
        <f t="shared" si="55"/>
        <v>84.182904458598728</v>
      </c>
      <c r="S85" s="91"/>
      <c r="T85" s="90">
        <f>IFERROR(IF($C85="","",VLOOKUP($C85,'[1]Paramètres Articles'!$B:$H,7,FALSE)),"Non Trouvé")</f>
        <v>79.5</v>
      </c>
      <c r="U85" s="93"/>
      <c r="V85" s="90">
        <f t="shared" si="60"/>
        <v>71.55</v>
      </c>
      <c r="W85" s="91"/>
      <c r="X85" s="90">
        <f t="shared" si="61"/>
        <v>7.9500000000000028</v>
      </c>
      <c r="Y85" s="91"/>
      <c r="Z85" s="90">
        <f t="shared" si="56"/>
        <v>159</v>
      </c>
      <c r="AB85" s="94">
        <f>AB84</f>
        <v>127</v>
      </c>
      <c r="AC85" s="94">
        <f>AC84</f>
        <v>0.17</v>
      </c>
      <c r="AD85" s="90">
        <f t="shared" si="62"/>
        <v>8671.7745248407646</v>
      </c>
      <c r="AG85" s="94">
        <f>AG84</f>
        <v>19</v>
      </c>
      <c r="AH85" s="94">
        <f>AH84</f>
        <v>0.13</v>
      </c>
      <c r="AI85" s="90">
        <f t="shared" si="63"/>
        <v>1368.4398802547769</v>
      </c>
      <c r="AL85" s="94">
        <f>AL84</f>
        <v>0</v>
      </c>
      <c r="AM85" s="94">
        <f>AM84</f>
        <v>0.08</v>
      </c>
      <c r="AN85" s="90">
        <f t="shared" si="64"/>
        <v>0</v>
      </c>
      <c r="AQ85" s="94">
        <f>AQ84</f>
        <v>0</v>
      </c>
      <c r="AR85" s="94">
        <f>AR84</f>
        <v>0.05</v>
      </c>
      <c r="AS85" s="90">
        <f t="shared" si="65"/>
        <v>0</v>
      </c>
      <c r="AV85" s="94">
        <f>AV84</f>
        <v>41</v>
      </c>
      <c r="AW85" s="94">
        <f>AW84</f>
        <v>0.32500000000000001</v>
      </c>
      <c r="AX85" s="90">
        <f t="shared" si="66"/>
        <v>2205.1244140127387</v>
      </c>
      <c r="BA85" s="94">
        <f>BA84</f>
        <v>16</v>
      </c>
      <c r="BB85" s="94">
        <f>BB84</f>
        <v>0.29499999999999998</v>
      </c>
      <c r="BC85" s="90">
        <f t="shared" si="67"/>
        <v>905.43390573248405</v>
      </c>
      <c r="BF85" s="94">
        <f>BF84</f>
        <v>22</v>
      </c>
      <c r="BG85" s="94">
        <f>BG84</f>
        <v>0.27500000000000002</v>
      </c>
      <c r="BH85" s="90">
        <f t="shared" si="68"/>
        <v>1286.1277070063693</v>
      </c>
      <c r="BK85" s="94">
        <f>BK84</f>
        <v>24</v>
      </c>
      <c r="BL85" s="94">
        <f>BL84</f>
        <v>0.245</v>
      </c>
      <c r="BM85" s="90">
        <f t="shared" si="69"/>
        <v>1470.3947312101911</v>
      </c>
      <c r="BP85" s="94">
        <f>BP84</f>
        <v>0</v>
      </c>
      <c r="BQ85" s="94">
        <f>BQ84</f>
        <v>0.22500000000000001</v>
      </c>
      <c r="BR85" s="90">
        <f t="shared" si="70"/>
        <v>0</v>
      </c>
      <c r="BU85" s="94">
        <f>BU84</f>
        <v>0</v>
      </c>
      <c r="BV85" s="94">
        <f>BV84</f>
        <v>0.17499999999999999</v>
      </c>
      <c r="BW85" s="90">
        <f t="shared" si="71"/>
        <v>0</v>
      </c>
      <c r="BZ85" s="94">
        <f>BZ84</f>
        <v>21</v>
      </c>
      <c r="CA85" s="94">
        <f>CA84</f>
        <v>0.15</v>
      </c>
      <c r="CB85" s="90">
        <f t="shared" si="72"/>
        <v>1473.2008280254777</v>
      </c>
      <c r="CE85" s="95"/>
      <c r="CF85" s="96"/>
      <c r="CG85" s="97"/>
      <c r="CH85" s="97"/>
      <c r="CI85" s="98"/>
      <c r="CK85" s="99">
        <f>IFERROR(IF(F85='[1]Paramètres Généraux'!$K$12,ROUNDUP((REGENERANTS!H85*REGENERANTS!$CF$75)*'[1]Paramètres Généraux'!$M$12,-1),IF(F85='[1]Paramètres Généraux'!$K$15,ROUNDUP((REGENERANTS!H85*REGENERANTS!$CF$75)*'[1]Paramètres Généraux'!$M$15,-1),REGENERANTS!H85*REGENERANTS!$CF$75)),"nd")</f>
        <v>540</v>
      </c>
      <c r="CN85" s="100"/>
      <c r="CO85" s="101"/>
      <c r="CP85" s="101"/>
      <c r="CQ85" s="101"/>
      <c r="CR85" s="101"/>
      <c r="CS85" s="171"/>
      <c r="CT85" s="172"/>
      <c r="CU85" s="101"/>
      <c r="CV85" s="171"/>
      <c r="CW85" s="106"/>
      <c r="CX85" s="107"/>
      <c r="CY85" s="106"/>
      <c r="CZ85" s="104"/>
      <c r="DA85" s="107"/>
      <c r="DB85" s="106"/>
      <c r="DC85" s="104"/>
      <c r="DD85" s="107"/>
      <c r="DE85" s="106"/>
      <c r="DF85" s="104"/>
      <c r="DG85" s="104"/>
      <c r="DH85" s="104"/>
      <c r="DI85" s="104"/>
      <c r="DJ85" s="104"/>
      <c r="DK85" s="104"/>
      <c r="DL85" s="104"/>
      <c r="DM85" s="104"/>
      <c r="DN85" s="104"/>
      <c r="DO85" s="107"/>
      <c r="DP85" s="106"/>
      <c r="DQ85" s="20">
        <f t="shared" si="57"/>
        <v>0</v>
      </c>
      <c r="DR85" s="20">
        <f t="shared" si="58"/>
        <v>0</v>
      </c>
      <c r="DS85" s="20">
        <f>IFERROR((IF(AND($F85="Produit Vente",CO85&gt;0),VLOOKUP($C85,'[1]Paramètres Articles'!$B:$H,7,FALSE)*$CO85)*(1-20%)),0)</f>
        <v>0</v>
      </c>
      <c r="DT85" s="20">
        <f>IFERROR((IF(AND($F85="Produit Vente",DR85&gt;0),VLOOKUP($C85,'[1]Paramètres Articles'!$B:$H,6,FALSE)*$DR85)*(1-15%)),0)</f>
        <v>0</v>
      </c>
      <c r="DU85" s="20">
        <f t="shared" si="59"/>
        <v>0</v>
      </c>
    </row>
    <row r="86" spans="2:125" ht="12.95" customHeight="1" outlineLevel="1">
      <c r="B86" s="1">
        <f>IF(C86="",0,COUNTIFS($B$22:B85,"&gt;"&amp;0)+1)</f>
        <v>30</v>
      </c>
      <c r="C86" s="85">
        <v>1020717</v>
      </c>
      <c r="D86" s="86" t="str">
        <f>IFERROR(IF($C86="","",VLOOKUP($C86,'[1]Paramètres Articles'!$B:$G,2,FALSE)),"Non Trouvé")</f>
        <v>Sérum Contour des Yeux - Régénérant Intensif -15 ml</v>
      </c>
      <c r="E86" s="87">
        <f>IFERROR(IF($C86="","",_xlfn.XLOOKUP(REGENERANTS!$C86,'[1]New Base PA'!$F:$F,'[1]New Base PA'!$D:$D,"Not Found",0)),"Non Trouvé")</f>
        <v>4020829101067</v>
      </c>
      <c r="F86" s="88" t="s">
        <v>90</v>
      </c>
      <c r="H86" s="89">
        <v>1</v>
      </c>
      <c r="J86" s="90">
        <f>IFERROR(IF($C86="","",VLOOKUP($C86,'[1]New Base PA'!$F:$J,5,FALSE)),"Non Trouvé")</f>
        <v>17.817599999999999</v>
      </c>
      <c r="K86" s="90">
        <f t="shared" si="53"/>
        <v>17.817599999999999</v>
      </c>
      <c r="L86" s="91"/>
      <c r="M86" s="163">
        <f>IFERROR(IF(AND($F86="Produit Vente",H86&gt;0),VLOOKUP($C86,'[1]Paramètres Articles'!$B:$G,6,FALSE),0),"Non Trouvé")</f>
        <v>44.12</v>
      </c>
      <c r="N86" s="163">
        <f t="shared" si="54"/>
        <v>44.12</v>
      </c>
      <c r="P86" s="92">
        <v>0.1</v>
      </c>
      <c r="R86" s="90">
        <f t="shared" si="55"/>
        <v>39.707999999999998</v>
      </c>
      <c r="S86" s="91"/>
      <c r="T86" s="90">
        <f>IFERROR(IF($C86="","",VLOOKUP($C86,'[1]Paramètres Articles'!$B:$H,7,FALSE)),"Non Trouvé")</f>
        <v>75</v>
      </c>
      <c r="U86" s="93"/>
      <c r="V86" s="90">
        <f t="shared" si="60"/>
        <v>67.5</v>
      </c>
      <c r="W86" s="91"/>
      <c r="X86" s="90">
        <f t="shared" si="61"/>
        <v>7.5</v>
      </c>
      <c r="Y86" s="91"/>
      <c r="Z86" s="90">
        <f t="shared" si="56"/>
        <v>75</v>
      </c>
      <c r="AB86" s="94">
        <f>AB84</f>
        <v>127</v>
      </c>
      <c r="AC86" s="94">
        <f>AC84</f>
        <v>0.17</v>
      </c>
      <c r="AD86" s="90">
        <f t="shared" si="62"/>
        <v>4090.3651999999997</v>
      </c>
      <c r="AG86" s="94">
        <f>AG84</f>
        <v>19</v>
      </c>
      <c r="AH86" s="94">
        <f>AH84</f>
        <v>0.13</v>
      </c>
      <c r="AI86" s="90">
        <f t="shared" si="63"/>
        <v>645.47559999999987</v>
      </c>
      <c r="AL86" s="94">
        <f>AL84</f>
        <v>0</v>
      </c>
      <c r="AM86" s="94">
        <f>AM84</f>
        <v>0.08</v>
      </c>
      <c r="AN86" s="90">
        <f t="shared" si="64"/>
        <v>0</v>
      </c>
      <c r="AQ86" s="94">
        <f>AQ84</f>
        <v>0</v>
      </c>
      <c r="AR86" s="94">
        <f>AR84</f>
        <v>0.05</v>
      </c>
      <c r="AS86" s="90">
        <f t="shared" si="65"/>
        <v>0</v>
      </c>
      <c r="AV86" s="94">
        <f>AV84</f>
        <v>41</v>
      </c>
      <c r="AW86" s="94">
        <f>AW84</f>
        <v>0.32500000000000001</v>
      </c>
      <c r="AX86" s="90">
        <f t="shared" si="66"/>
        <v>1040.1289999999999</v>
      </c>
      <c r="BA86" s="94">
        <f>BA84</f>
        <v>16</v>
      </c>
      <c r="BB86" s="94">
        <f>BB84</f>
        <v>0.29499999999999998</v>
      </c>
      <c r="BC86" s="90">
        <f t="shared" si="67"/>
        <v>427.08159999999998</v>
      </c>
      <c r="BF86" s="94">
        <f>BF84</f>
        <v>22</v>
      </c>
      <c r="BG86" s="94">
        <f>BG84</f>
        <v>0.27500000000000002</v>
      </c>
      <c r="BH86" s="90">
        <f t="shared" si="68"/>
        <v>606.65</v>
      </c>
      <c r="BK86" s="94">
        <f>BK84</f>
        <v>24</v>
      </c>
      <c r="BL86" s="94">
        <f>BL84</f>
        <v>0.245</v>
      </c>
      <c r="BM86" s="90">
        <f t="shared" si="69"/>
        <v>693.56640000000004</v>
      </c>
      <c r="BP86" s="94">
        <f>BP84</f>
        <v>0</v>
      </c>
      <c r="BQ86" s="94">
        <f>BQ84</f>
        <v>0.22500000000000001</v>
      </c>
      <c r="BR86" s="90">
        <f t="shared" si="70"/>
        <v>0</v>
      </c>
      <c r="BU86" s="94">
        <f>BU84</f>
        <v>0</v>
      </c>
      <c r="BV86" s="94">
        <f>BV84</f>
        <v>0.17499999999999999</v>
      </c>
      <c r="BW86" s="90">
        <f t="shared" si="71"/>
        <v>0</v>
      </c>
      <c r="BZ86" s="94">
        <f>BZ84</f>
        <v>21</v>
      </c>
      <c r="CA86" s="94">
        <f>CA84</f>
        <v>0.15</v>
      </c>
      <c r="CB86" s="90">
        <f t="shared" si="72"/>
        <v>694.88999999999987</v>
      </c>
      <c r="CE86" s="95"/>
      <c r="CF86" s="96"/>
      <c r="CG86" s="97"/>
      <c r="CH86" s="97"/>
      <c r="CI86" s="98"/>
      <c r="CK86" s="99">
        <f>IFERROR(IF(F86='[1]Paramètres Généraux'!$K$12,ROUNDUP((REGENERANTS!H86*REGENERANTS!$CF$75)*'[1]Paramètres Généraux'!$M$12,-1),IF(F86='[1]Paramètres Généraux'!$K$15,ROUNDUP((REGENERANTS!H86*REGENERANTS!$CF$75)*'[1]Paramètres Généraux'!$M$15,-1),REGENERANTS!H86*REGENERANTS!$CF$75)),"nd")</f>
        <v>270</v>
      </c>
      <c r="CN86" s="100"/>
      <c r="CO86" s="101"/>
      <c r="CP86" s="101"/>
      <c r="CQ86" s="101"/>
      <c r="CR86" s="101"/>
      <c r="CS86" s="171"/>
      <c r="CT86" s="172"/>
      <c r="CU86" s="101"/>
      <c r="CV86" s="171"/>
      <c r="CW86" s="106"/>
      <c r="CX86" s="107"/>
      <c r="CY86" s="106"/>
      <c r="CZ86" s="104"/>
      <c r="DA86" s="107"/>
      <c r="DB86" s="106"/>
      <c r="DC86" s="104"/>
      <c r="DD86" s="107"/>
      <c r="DE86" s="106"/>
      <c r="DF86" s="104"/>
      <c r="DG86" s="104"/>
      <c r="DH86" s="104"/>
      <c r="DI86" s="104"/>
      <c r="DJ86" s="104"/>
      <c r="DK86" s="104"/>
      <c r="DL86" s="104"/>
      <c r="DM86" s="104"/>
      <c r="DN86" s="104"/>
      <c r="DO86" s="107"/>
      <c r="DP86" s="106"/>
      <c r="DQ86" s="20">
        <f t="shared" si="57"/>
        <v>0</v>
      </c>
      <c r="DR86" s="20">
        <f t="shared" si="58"/>
        <v>0</v>
      </c>
      <c r="DS86" s="20">
        <f>IFERROR((IF(AND($F86="Produit Vente",CO86&gt;0),VLOOKUP($C86,'[1]Paramètres Articles'!$B:$H,7,FALSE)*$CO86)*(1-20%)),0)</f>
        <v>0</v>
      </c>
      <c r="DT86" s="20">
        <f>IFERROR((IF(AND($F86="Produit Vente",DR86&gt;0),VLOOKUP($C86,'[1]Paramètres Articles'!$B:$H,6,FALSE)*$DR86)*(1-15%)),0)</f>
        <v>0</v>
      </c>
      <c r="DU86" s="20">
        <f t="shared" si="59"/>
        <v>0</v>
      </c>
    </row>
    <row r="87" spans="2:125" ht="12.95" customHeight="1" outlineLevel="1">
      <c r="B87" s="1">
        <f>IF(C87="",0,COUNTIFS($B$22:B86,"&gt;"&amp;0)+1)</f>
        <v>31</v>
      </c>
      <c r="C87" s="85">
        <v>1020718</v>
      </c>
      <c r="D87" s="86" t="str">
        <f>IFERROR(IF($C87="","",VLOOKUP($C87,'[1]Paramètres Articles'!$B:$G,2,FALSE)),"Non Trouvé")</f>
        <v>Sérum de Nuit - Régénérant Intensif - 30 ml</v>
      </c>
      <c r="E87" s="87">
        <f>IFERROR(IF($C87="","",_xlfn.XLOOKUP(REGENERANTS!$C87,'[1]New Base PA'!$F:$F,'[1]New Base PA'!$D:$D,"Not Found",0)),"Non Trouvé")</f>
        <v>4020829101111</v>
      </c>
      <c r="F87" s="88" t="s">
        <v>90</v>
      </c>
      <c r="H87" s="89">
        <v>3</v>
      </c>
      <c r="J87" s="90">
        <f>IFERROR(IF($C87="","",VLOOKUP($C87,'[1]New Base PA'!$F:$J,5,FALSE)),"Non Trouvé")</f>
        <v>18.2758</v>
      </c>
      <c r="K87" s="90">
        <f t="shared" si="53"/>
        <v>54.827399999999997</v>
      </c>
      <c r="L87" s="91"/>
      <c r="M87" s="163">
        <f>IFERROR(IF(AND($F87="Produit Vente",H87&gt;0),VLOOKUP($C87,'[1]Paramètres Articles'!$B:$G,6,FALSE),0),"Non Trouvé")</f>
        <v>46.758152866242035</v>
      </c>
      <c r="N87" s="163">
        <f t="shared" si="54"/>
        <v>140.27445859872611</v>
      </c>
      <c r="P87" s="92">
        <v>0.1</v>
      </c>
      <c r="R87" s="90">
        <f t="shared" si="55"/>
        <v>126.2470127388535</v>
      </c>
      <c r="S87" s="91"/>
      <c r="T87" s="90">
        <f>IFERROR(IF($C87="","",VLOOKUP($C87,'[1]Paramètres Articles'!$B:$H,7,FALSE)),"Non Trouvé")</f>
        <v>79.5</v>
      </c>
      <c r="U87" s="93"/>
      <c r="V87" s="90">
        <f t="shared" si="60"/>
        <v>71.55</v>
      </c>
      <c r="W87" s="91"/>
      <c r="X87" s="90">
        <f t="shared" si="61"/>
        <v>7.9500000000000028</v>
      </c>
      <c r="Y87" s="91"/>
      <c r="Z87" s="90">
        <f t="shared" si="56"/>
        <v>238.5</v>
      </c>
      <c r="AB87" s="94">
        <f>AB86</f>
        <v>127</v>
      </c>
      <c r="AC87" s="94">
        <f>AC86</f>
        <v>0.17</v>
      </c>
      <c r="AD87" s="90">
        <f t="shared" si="62"/>
        <v>13004.845056687898</v>
      </c>
      <c r="AG87" s="94">
        <f>AG86</f>
        <v>19</v>
      </c>
      <c r="AH87" s="94">
        <f>AH86</f>
        <v>0.13</v>
      </c>
      <c r="AI87" s="90">
        <f t="shared" si="63"/>
        <v>2052.215329299363</v>
      </c>
      <c r="AL87" s="94">
        <f>AL86</f>
        <v>0</v>
      </c>
      <c r="AM87" s="94">
        <f>AM86</f>
        <v>0.08</v>
      </c>
      <c r="AN87" s="90">
        <f t="shared" si="64"/>
        <v>0</v>
      </c>
      <c r="AQ87" s="94">
        <f>AQ86</f>
        <v>0</v>
      </c>
      <c r="AR87" s="94">
        <f>AR86</f>
        <v>0.05</v>
      </c>
      <c r="AS87" s="90">
        <f t="shared" si="65"/>
        <v>0</v>
      </c>
      <c r="AV87" s="94">
        <f>AV86</f>
        <v>41</v>
      </c>
      <c r="AW87" s="94">
        <f>AW86</f>
        <v>0.32500000000000001</v>
      </c>
      <c r="AX87" s="90">
        <f t="shared" si="66"/>
        <v>3306.9703614649675</v>
      </c>
      <c r="BA87" s="94">
        <f>BA86</f>
        <v>16</v>
      </c>
      <c r="BB87" s="94">
        <f>BB86</f>
        <v>0.29499999999999998</v>
      </c>
      <c r="BC87" s="90">
        <f t="shared" si="67"/>
        <v>1357.8567592356687</v>
      </c>
      <c r="BF87" s="94">
        <f>BF86</f>
        <v>22</v>
      </c>
      <c r="BG87" s="94">
        <f>BG86</f>
        <v>0.27500000000000002</v>
      </c>
      <c r="BH87" s="90">
        <f t="shared" si="68"/>
        <v>1928.7738057324841</v>
      </c>
      <c r="BK87" s="94">
        <f>BK86</f>
        <v>24</v>
      </c>
      <c r="BL87" s="94">
        <f>BL86</f>
        <v>0.245</v>
      </c>
      <c r="BM87" s="90">
        <f t="shared" si="69"/>
        <v>2205.114489171975</v>
      </c>
      <c r="BP87" s="94">
        <f>BP86</f>
        <v>0</v>
      </c>
      <c r="BQ87" s="94">
        <f>BQ86</f>
        <v>0.22500000000000001</v>
      </c>
      <c r="BR87" s="90">
        <f t="shared" si="70"/>
        <v>0</v>
      </c>
      <c r="BU87" s="94">
        <f>BU86</f>
        <v>0</v>
      </c>
      <c r="BV87" s="94">
        <f>BV86</f>
        <v>0.17499999999999999</v>
      </c>
      <c r="BW87" s="90">
        <f t="shared" si="71"/>
        <v>0</v>
      </c>
      <c r="BZ87" s="94">
        <f>BZ86</f>
        <v>21</v>
      </c>
      <c r="CA87" s="94">
        <f>CA86</f>
        <v>0.15</v>
      </c>
      <c r="CB87" s="90">
        <f t="shared" si="72"/>
        <v>2209.3227229299359</v>
      </c>
      <c r="CE87" s="95"/>
      <c r="CF87" s="96"/>
      <c r="CG87" s="97"/>
      <c r="CH87" s="97"/>
      <c r="CI87" s="98"/>
      <c r="CK87" s="99">
        <f>IFERROR(IF(F87='[1]Paramètres Généraux'!$K$12,ROUNDUP((REGENERANTS!H87*REGENERANTS!$CF$75)*'[1]Paramètres Généraux'!$M$12,-1),IF(F87='[1]Paramètres Généraux'!$K$15,ROUNDUP((REGENERANTS!H87*REGENERANTS!$CF$75)*'[1]Paramètres Généraux'!$M$15,-1),REGENERANTS!H87*REGENERANTS!$CF$75)),"nd")</f>
        <v>810</v>
      </c>
      <c r="CN87" s="100"/>
      <c r="CO87" s="101"/>
      <c r="CP87" s="101"/>
      <c r="CQ87" s="101"/>
      <c r="CR87" s="101"/>
      <c r="CS87" s="171"/>
      <c r="CT87" s="172"/>
      <c r="CU87" s="101"/>
      <c r="CV87" s="171"/>
      <c r="CW87" s="106"/>
      <c r="CX87" s="107"/>
      <c r="CY87" s="106"/>
      <c r="CZ87" s="104"/>
      <c r="DA87" s="107"/>
      <c r="DB87" s="106"/>
      <c r="DC87" s="104"/>
      <c r="DD87" s="107"/>
      <c r="DE87" s="106"/>
      <c r="DF87" s="104"/>
      <c r="DG87" s="104"/>
      <c r="DH87" s="104"/>
      <c r="DI87" s="104"/>
      <c r="DJ87" s="104"/>
      <c r="DK87" s="104"/>
      <c r="DL87" s="104"/>
      <c r="DM87" s="104"/>
      <c r="DN87" s="104"/>
      <c r="DO87" s="107"/>
      <c r="DP87" s="106"/>
      <c r="DQ87" s="20">
        <f t="shared" si="57"/>
        <v>0</v>
      </c>
      <c r="DR87" s="20">
        <f t="shared" si="58"/>
        <v>0</v>
      </c>
      <c r="DS87" s="20">
        <f>IFERROR((IF(AND($F87="Produit Vente",CO87&gt;0),VLOOKUP($C87,'[1]Paramètres Articles'!$B:$H,7,FALSE)*$CO87)*(1-20%)),0)</f>
        <v>0</v>
      </c>
      <c r="DT87" s="20">
        <f>IFERROR((IF(AND($F87="Produit Vente",DR87&gt;0),VLOOKUP($C87,'[1]Paramètres Articles'!$B:$H,6,FALSE)*$DR87)*(1-15%)),0)</f>
        <v>0</v>
      </c>
      <c r="DU87" s="20">
        <f t="shared" si="59"/>
        <v>0</v>
      </c>
    </row>
    <row r="88" spans="2:125" ht="12.95" customHeight="1" outlineLevel="1">
      <c r="B88" s="1">
        <f>IF(C88="",0,COUNTIFS($B$22:B87,"&gt;"&amp;0)+1)</f>
        <v>32</v>
      </c>
      <c r="C88" s="85">
        <v>1020301</v>
      </c>
      <c r="D88" s="86" t="str">
        <f>IFERROR(IF($C88="","",VLOOKUP($C88,'[1]Paramètres Articles'!$B:$G,2,FALSE)),"Non Trouvé")</f>
        <v>Crème de Jour - Régénérant - 40 ml</v>
      </c>
      <c r="E88" s="87">
        <f>IFERROR(IF($C88="","",_xlfn.XLOOKUP(REGENERANTS!$C88,'[1]New Base PA'!$F:$F,'[1]New Base PA'!$D:$D,"Not Found",0)),"Non Trouvé")</f>
        <v>4020829007383</v>
      </c>
      <c r="F88" s="88" t="s">
        <v>90</v>
      </c>
      <c r="H88" s="89">
        <v>4</v>
      </c>
      <c r="J88" s="90">
        <f>IFERROR(IF($C88="","",VLOOKUP($C88,'[1]New Base PA'!$F:$J,5,FALSE)),"Non Trouvé")</f>
        <v>14.801599999999999</v>
      </c>
      <c r="K88" s="90">
        <f t="shared" si="53"/>
        <v>59.206399999999995</v>
      </c>
      <c r="L88" s="91"/>
      <c r="M88" s="163">
        <f>IFERROR(IF(AND($F88="Produit Vente",H88&gt;0),VLOOKUP($C88,'[1]Paramètres Articles'!$B:$G,6,FALSE),0),"Non Trouvé")</f>
        <v>38.532973805855164</v>
      </c>
      <c r="N88" s="163">
        <f t="shared" si="54"/>
        <v>154.13189522342066</v>
      </c>
      <c r="P88" s="92">
        <v>0.1</v>
      </c>
      <c r="R88" s="90">
        <f t="shared" si="55"/>
        <v>138.71870570107859</v>
      </c>
      <c r="S88" s="91"/>
      <c r="T88" s="90">
        <f>IFERROR(IF($C88="","",VLOOKUP($C88,'[1]Paramètres Articles'!$B:$H,7,FALSE)),"Non Trouvé")</f>
        <v>65.5</v>
      </c>
      <c r="U88" s="93"/>
      <c r="V88" s="90">
        <f t="shared" si="60"/>
        <v>58.95</v>
      </c>
      <c r="W88" s="91"/>
      <c r="X88" s="90">
        <f t="shared" si="61"/>
        <v>6.5499999999999972</v>
      </c>
      <c r="Y88" s="91"/>
      <c r="Z88" s="90">
        <f t="shared" si="56"/>
        <v>262</v>
      </c>
      <c r="AB88" s="94">
        <f>AB86</f>
        <v>127</v>
      </c>
      <c r="AC88" s="94">
        <f>AC86</f>
        <v>0.17</v>
      </c>
      <c r="AD88" s="90">
        <f t="shared" si="62"/>
        <v>14289.568006163328</v>
      </c>
      <c r="AG88" s="94">
        <f>AG86</f>
        <v>19</v>
      </c>
      <c r="AH88" s="94">
        <f>AH86</f>
        <v>0.13</v>
      </c>
      <c r="AI88" s="90">
        <f t="shared" si="63"/>
        <v>2254.949627118644</v>
      </c>
      <c r="AL88" s="94">
        <f>AL86</f>
        <v>0</v>
      </c>
      <c r="AM88" s="94">
        <f>AM86</f>
        <v>0.08</v>
      </c>
      <c r="AN88" s="90">
        <f t="shared" si="64"/>
        <v>0</v>
      </c>
      <c r="AQ88" s="94">
        <f>AQ86</f>
        <v>0</v>
      </c>
      <c r="AR88" s="94">
        <f>AR86</f>
        <v>0.05</v>
      </c>
      <c r="AS88" s="90">
        <f t="shared" si="65"/>
        <v>0</v>
      </c>
      <c r="AV88" s="94">
        <f>AV86</f>
        <v>41</v>
      </c>
      <c r="AW88" s="94">
        <f>AW86</f>
        <v>0.32500000000000001</v>
      </c>
      <c r="AX88" s="90">
        <f t="shared" si="66"/>
        <v>3633.6594298921418</v>
      </c>
      <c r="BA88" s="94">
        <f>BA86</f>
        <v>16</v>
      </c>
      <c r="BB88" s="94">
        <f>BB86</f>
        <v>0.29499999999999998</v>
      </c>
      <c r="BC88" s="90">
        <f t="shared" si="67"/>
        <v>1491.996745762712</v>
      </c>
      <c r="BF88" s="94">
        <f>BF86</f>
        <v>22</v>
      </c>
      <c r="BG88" s="94">
        <f>BG86</f>
        <v>0.27500000000000002</v>
      </c>
      <c r="BH88" s="90">
        <f t="shared" si="68"/>
        <v>2119.3135593220341</v>
      </c>
      <c r="BK88" s="94">
        <f>BK86</f>
        <v>24</v>
      </c>
      <c r="BL88" s="94">
        <f>BL86</f>
        <v>0.245</v>
      </c>
      <c r="BM88" s="90">
        <f t="shared" si="69"/>
        <v>2422.9533929121731</v>
      </c>
      <c r="BP88" s="94">
        <f>BP86</f>
        <v>0</v>
      </c>
      <c r="BQ88" s="94">
        <f>BQ86</f>
        <v>0.22500000000000001</v>
      </c>
      <c r="BR88" s="90">
        <f t="shared" si="70"/>
        <v>0</v>
      </c>
      <c r="BU88" s="94">
        <f>BU86</f>
        <v>0</v>
      </c>
      <c r="BV88" s="94">
        <f>BV86</f>
        <v>0.17499999999999999</v>
      </c>
      <c r="BW88" s="90">
        <f t="shared" si="71"/>
        <v>0</v>
      </c>
      <c r="BZ88" s="94">
        <f>BZ86</f>
        <v>21</v>
      </c>
      <c r="CA88" s="94">
        <f>CA86</f>
        <v>0.15</v>
      </c>
      <c r="CB88" s="90">
        <f t="shared" si="72"/>
        <v>2427.5773497688751</v>
      </c>
      <c r="CE88" s="95"/>
      <c r="CF88" s="128"/>
      <c r="CG88" s="97"/>
      <c r="CH88" s="97"/>
      <c r="CI88" s="98"/>
      <c r="CK88" s="99">
        <f>IFERROR(IF(F88='[1]Paramètres Généraux'!$K$12,ROUNDUP((REGENERANTS!H88*REGENERANTS!$CF$75)*'[1]Paramètres Généraux'!$M$12,-1),IF(F88='[1]Paramètres Généraux'!$K$15,ROUNDUP((REGENERANTS!H88*REGENERANTS!$CF$75)*'[1]Paramètres Généraux'!$M$15,-1),REGENERANTS!H88*REGENERANTS!$CF$75)),"nd")</f>
        <v>1080</v>
      </c>
      <c r="CN88" s="100"/>
      <c r="CO88" s="101"/>
      <c r="CP88" s="101"/>
      <c r="CQ88" s="101"/>
      <c r="CR88" s="101"/>
      <c r="CS88" s="171"/>
      <c r="CT88" s="172"/>
      <c r="CU88" s="101"/>
      <c r="CV88" s="171"/>
      <c r="CW88" s="106"/>
      <c r="CX88" s="107"/>
      <c r="CY88" s="106"/>
      <c r="CZ88" s="104"/>
      <c r="DA88" s="107"/>
      <c r="DB88" s="106"/>
      <c r="DC88" s="104"/>
      <c r="DD88" s="107"/>
      <c r="DE88" s="106"/>
      <c r="DF88" s="104"/>
      <c r="DG88" s="104"/>
      <c r="DH88" s="104"/>
      <c r="DI88" s="104"/>
      <c r="DJ88" s="104"/>
      <c r="DK88" s="104"/>
      <c r="DL88" s="104"/>
      <c r="DM88" s="104"/>
      <c r="DN88" s="104"/>
      <c r="DO88" s="107"/>
      <c r="DP88" s="106"/>
      <c r="DQ88" s="20">
        <f t="shared" si="57"/>
        <v>0</v>
      </c>
      <c r="DR88" s="20">
        <f t="shared" si="58"/>
        <v>0</v>
      </c>
      <c r="DS88" s="20">
        <f>IFERROR((IF(AND($F88="Produit Vente",CO88&gt;0),VLOOKUP($C88,'[1]Paramètres Articles'!$B:$H,7,FALSE)*$CO88)*(1-20%)),0)</f>
        <v>0</v>
      </c>
      <c r="DT88" s="20">
        <f>IFERROR((IF(AND($F88="Produit Vente",DR88&gt;0),VLOOKUP($C88,'[1]Paramètres Articles'!$B:$H,6,FALSE)*$DR88)*(1-15%)),0)</f>
        <v>0</v>
      </c>
      <c r="DU88" s="20">
        <f t="shared" si="59"/>
        <v>0</v>
      </c>
    </row>
    <row r="89" spans="2:125" ht="12.95" customHeight="1" outlineLevel="1">
      <c r="B89" s="1">
        <f>IF(C89="",0,COUNTIFS($B$22:B88,"&gt;"&amp;0)+1)</f>
        <v>33</v>
      </c>
      <c r="C89" s="85">
        <v>1020720</v>
      </c>
      <c r="D89" s="86" t="str">
        <f>IFERROR(IF($C89="","",VLOOKUP($C89,'[1]Paramètres Articles'!$B:$G,2,FALSE)),"Non Trouvé")</f>
        <v>Crème de Jour - Régénérant Intensif - 40ml</v>
      </c>
      <c r="E89" s="87">
        <f>IFERROR(IF($C89="","",_xlfn.XLOOKUP(REGENERANTS!$C89,'[1]New Base PA'!$F:$F,'[1]New Base PA'!$D:$D,"Not Found",0)),"Non Trouvé")</f>
        <v>4020829102972</v>
      </c>
      <c r="F89" s="88" t="s">
        <v>90</v>
      </c>
      <c r="H89" s="89">
        <v>4</v>
      </c>
      <c r="J89" s="90">
        <f>IFERROR(IF($C89="","",VLOOKUP($C89,'[1]New Base PA'!$F:$J,5,FALSE)),"Non Trouvé")</f>
        <v>17.191199999999998</v>
      </c>
      <c r="K89" s="90">
        <f t="shared" si="53"/>
        <v>68.764799999999994</v>
      </c>
      <c r="L89" s="91"/>
      <c r="M89" s="163">
        <f>IFERROR(IF(AND($F89="Produit Vente",H89&gt;0),VLOOKUP($C89,'[1]Paramètres Articles'!$B:$G,6,FALSE),0),"Non Trouvé")</f>
        <v>44.648251001335112</v>
      </c>
      <c r="N89" s="163">
        <f t="shared" si="54"/>
        <v>178.59300400534045</v>
      </c>
      <c r="P89" s="92">
        <v>0.1</v>
      </c>
      <c r="R89" s="90">
        <f t="shared" si="55"/>
        <v>160.73370360480641</v>
      </c>
      <c r="S89" s="91"/>
      <c r="T89" s="90">
        <f>IFERROR(IF($C89="","",VLOOKUP($C89,'[1]Paramètres Articles'!$B:$H,7,FALSE)),"Non Trouvé")</f>
        <v>75.900000000000006</v>
      </c>
      <c r="U89" s="93"/>
      <c r="V89" s="90">
        <f t="shared" si="60"/>
        <v>68.31</v>
      </c>
      <c r="W89" s="91"/>
      <c r="X89" s="90">
        <f t="shared" si="61"/>
        <v>7.5900000000000034</v>
      </c>
      <c r="Y89" s="91"/>
      <c r="Z89" s="90">
        <f t="shared" si="56"/>
        <v>303.60000000000002</v>
      </c>
      <c r="AB89" s="94">
        <f>AB88</f>
        <v>127</v>
      </c>
      <c r="AC89" s="94">
        <f>AC88</f>
        <v>0.17</v>
      </c>
      <c r="AD89" s="90">
        <f t="shared" si="62"/>
        <v>16557.357401335114</v>
      </c>
      <c r="AG89" s="94">
        <f>AG88</f>
        <v>19</v>
      </c>
      <c r="AH89" s="94">
        <f>AH88</f>
        <v>0.13</v>
      </c>
      <c r="AI89" s="90">
        <f t="shared" si="63"/>
        <v>2612.8156485981308</v>
      </c>
      <c r="AL89" s="94">
        <f>AL88</f>
        <v>0</v>
      </c>
      <c r="AM89" s="94">
        <f>AM88</f>
        <v>0.08</v>
      </c>
      <c r="AN89" s="90">
        <f t="shared" si="64"/>
        <v>0</v>
      </c>
      <c r="AQ89" s="94">
        <f>AQ88</f>
        <v>0</v>
      </c>
      <c r="AR89" s="94">
        <f>AR88</f>
        <v>0.05</v>
      </c>
      <c r="AS89" s="90">
        <f t="shared" si="65"/>
        <v>0</v>
      </c>
      <c r="AV89" s="94">
        <f>AV88</f>
        <v>41</v>
      </c>
      <c r="AW89" s="94">
        <f>AW88</f>
        <v>0.32500000000000001</v>
      </c>
      <c r="AX89" s="90">
        <f t="shared" si="66"/>
        <v>4210.3300694259005</v>
      </c>
      <c r="BA89" s="94">
        <f>BA88</f>
        <v>16</v>
      </c>
      <c r="BB89" s="94">
        <f>BB88</f>
        <v>0.29499999999999998</v>
      </c>
      <c r="BC89" s="90">
        <f t="shared" si="67"/>
        <v>1728.7802787716955</v>
      </c>
      <c r="BF89" s="94">
        <f>BF88</f>
        <v>22</v>
      </c>
      <c r="BG89" s="94">
        <f>BG88</f>
        <v>0.27500000000000002</v>
      </c>
      <c r="BH89" s="90">
        <f t="shared" si="68"/>
        <v>2455.6538050734312</v>
      </c>
      <c r="BK89" s="94">
        <f>BK88</f>
        <v>24</v>
      </c>
      <c r="BL89" s="94">
        <f>BL88</f>
        <v>0.245</v>
      </c>
      <c r="BM89" s="90">
        <f t="shared" si="69"/>
        <v>2807.4820229639517</v>
      </c>
      <c r="BP89" s="94">
        <f>BP88</f>
        <v>0</v>
      </c>
      <c r="BQ89" s="94">
        <f>BQ88</f>
        <v>0.22500000000000001</v>
      </c>
      <c r="BR89" s="90">
        <f t="shared" si="70"/>
        <v>0</v>
      </c>
      <c r="BU89" s="94">
        <f>BU88</f>
        <v>0</v>
      </c>
      <c r="BV89" s="94">
        <f>BV88</f>
        <v>0.17499999999999999</v>
      </c>
      <c r="BW89" s="90">
        <f t="shared" si="71"/>
        <v>0</v>
      </c>
      <c r="BZ89" s="94">
        <f>BZ88</f>
        <v>21</v>
      </c>
      <c r="CA89" s="94">
        <f>CA88</f>
        <v>0.15</v>
      </c>
      <c r="CB89" s="90">
        <f t="shared" si="72"/>
        <v>2812.8398130841124</v>
      </c>
      <c r="CE89" s="95"/>
      <c r="CF89" s="97"/>
      <c r="CG89" s="128" t="s">
        <v>4</v>
      </c>
      <c r="CH89" s="97"/>
      <c r="CI89" s="98"/>
      <c r="CK89" s="99">
        <f>IFERROR(IF(F89='[1]Paramètres Généraux'!$K$12,ROUNDUP((REGENERANTS!H89*REGENERANTS!$CF$75)*'[1]Paramètres Généraux'!$M$12,-1),IF(F89='[1]Paramètres Généraux'!$K$15,ROUNDUP((REGENERANTS!H89*REGENERANTS!$CF$75)*'[1]Paramètres Généraux'!$M$15,-1),REGENERANTS!H89*REGENERANTS!$CF$75)),"nd")</f>
        <v>1080</v>
      </c>
      <c r="CN89" s="100"/>
      <c r="CO89" s="101"/>
      <c r="CP89" s="101"/>
      <c r="CQ89" s="101"/>
      <c r="CR89" s="101"/>
      <c r="CS89" s="171"/>
      <c r="CT89" s="172"/>
      <c r="CU89" s="101"/>
      <c r="CV89" s="171"/>
      <c r="CW89" s="106"/>
      <c r="CX89" s="107"/>
      <c r="CY89" s="106"/>
      <c r="CZ89" s="104"/>
      <c r="DA89" s="107"/>
      <c r="DB89" s="106"/>
      <c r="DC89" s="104"/>
      <c r="DD89" s="107"/>
      <c r="DE89" s="106"/>
      <c r="DF89" s="104"/>
      <c r="DG89" s="104"/>
      <c r="DH89" s="104"/>
      <c r="DI89" s="104"/>
      <c r="DJ89" s="104"/>
      <c r="DK89" s="104"/>
      <c r="DL89" s="104"/>
      <c r="DM89" s="104"/>
      <c r="DN89" s="104"/>
      <c r="DO89" s="107"/>
      <c r="DP89" s="106"/>
      <c r="DQ89" s="20">
        <f t="shared" si="57"/>
        <v>0</v>
      </c>
      <c r="DR89" s="20">
        <f t="shared" si="58"/>
        <v>0</v>
      </c>
      <c r="DS89" s="20">
        <f>IFERROR((IF(AND($F89="Produit Vente",CO89&gt;0),VLOOKUP($C89,'[1]Paramètres Articles'!$B:$H,7,FALSE)*$CO89)*(1-20%)),0)</f>
        <v>0</v>
      </c>
      <c r="DT89" s="20">
        <f>IFERROR((IF(AND($F89="Produit Vente",DR89&gt;0),VLOOKUP($C89,'[1]Paramètres Articles'!$B:$H,6,FALSE)*$DR89)*(1-15%)),0)</f>
        <v>0</v>
      </c>
      <c r="DU89" s="20">
        <f t="shared" si="59"/>
        <v>0</v>
      </c>
    </row>
    <row r="90" spans="2:125" ht="12.95" customHeight="1" outlineLevel="1">
      <c r="B90" s="1">
        <f>IF(C90="",0,COUNTIFS($B$22:B89,"&gt;"&amp;0)+1)</f>
        <v>34</v>
      </c>
      <c r="C90" s="85" t="s">
        <v>97</v>
      </c>
      <c r="D90" s="86" t="str">
        <f>IFERROR(IF($C90="","",VLOOKUP($C90,'[1]Paramètres Articles'!$B:$G,2,FALSE)),"Non Trouvé")</f>
        <v>Panneau vitrine Régénérants 2026</v>
      </c>
      <c r="E90" s="87">
        <f>IFERROR(IF($C90="","",_xlfn.XLOOKUP(REGENERANTS!$C90,'[1]New Base PA'!$F:$F,'[1]New Base PA'!$D:$D,"Not Found",0)),"Non Trouvé")</f>
        <v>0</v>
      </c>
      <c r="F90" s="88" t="s">
        <v>98</v>
      </c>
      <c r="H90" s="89">
        <v>1</v>
      </c>
      <c r="J90" s="90">
        <f>IFERROR(IF($C90="","",VLOOKUP($C90,'[1]New Base PA'!$F:$J,5,FALSE)),"Non Trouvé")</f>
        <v>20.079999999999998</v>
      </c>
      <c r="K90" s="90">
        <f t="shared" si="53"/>
        <v>20.079999999999998</v>
      </c>
      <c r="L90" s="91"/>
      <c r="M90" s="163">
        <f>IFERROR(IF(AND($F90="Produit Vente",H90&gt;0),VLOOKUP($C90,'[1]Paramètres Articles'!$B:$G,6,FALSE),0),"Non Trouvé")</f>
        <v>0</v>
      </c>
      <c r="N90" s="163">
        <f t="shared" si="54"/>
        <v>0</v>
      </c>
      <c r="P90" s="92"/>
      <c r="R90" s="90">
        <f t="shared" si="55"/>
        <v>0</v>
      </c>
      <c r="S90" s="91"/>
      <c r="T90" s="90">
        <f>IFERROR(IF($C90="","",VLOOKUP($C90,'[1]Paramètres Articles'!$B:$H,7,FALSE)),"Non Trouvé")</f>
        <v>0</v>
      </c>
      <c r="U90" s="93"/>
      <c r="V90" s="90" t="str">
        <f t="shared" si="60"/>
        <v/>
      </c>
      <c r="W90" s="91"/>
      <c r="X90" s="90" t="str">
        <f t="shared" si="61"/>
        <v/>
      </c>
      <c r="Y90" s="91"/>
      <c r="Z90" s="90">
        <f t="shared" si="56"/>
        <v>0</v>
      </c>
      <c r="AB90" s="94">
        <f>AB88</f>
        <v>127</v>
      </c>
      <c r="AC90" s="94">
        <f>AC88</f>
        <v>0.17</v>
      </c>
      <c r="AD90" s="90">
        <f t="shared" si="62"/>
        <v>0</v>
      </c>
      <c r="AG90" s="94">
        <f>AG88</f>
        <v>19</v>
      </c>
      <c r="AH90" s="94">
        <f>AH88</f>
        <v>0.13</v>
      </c>
      <c r="AI90" s="90">
        <f t="shared" si="63"/>
        <v>0</v>
      </c>
      <c r="AL90" s="94">
        <f>AL88</f>
        <v>0</v>
      </c>
      <c r="AM90" s="94">
        <f>AM88</f>
        <v>0.08</v>
      </c>
      <c r="AN90" s="90">
        <f t="shared" si="64"/>
        <v>0</v>
      </c>
      <c r="AQ90" s="94">
        <f>AQ88</f>
        <v>0</v>
      </c>
      <c r="AR90" s="94">
        <f>AR88</f>
        <v>0.05</v>
      </c>
      <c r="AS90" s="90">
        <f t="shared" si="65"/>
        <v>0</v>
      </c>
      <c r="AV90" s="94">
        <f>AV88</f>
        <v>41</v>
      </c>
      <c r="AW90" s="94">
        <f>AW88</f>
        <v>0.32500000000000001</v>
      </c>
      <c r="AX90" s="90">
        <f t="shared" si="66"/>
        <v>0</v>
      </c>
      <c r="BA90" s="94">
        <f>BA88</f>
        <v>16</v>
      </c>
      <c r="BB90" s="94">
        <f>BB88</f>
        <v>0.29499999999999998</v>
      </c>
      <c r="BC90" s="90">
        <f t="shared" si="67"/>
        <v>0</v>
      </c>
      <c r="BF90" s="94">
        <f>BF88</f>
        <v>22</v>
      </c>
      <c r="BG90" s="94">
        <f>BG88</f>
        <v>0.27500000000000002</v>
      </c>
      <c r="BH90" s="90">
        <f t="shared" si="68"/>
        <v>0</v>
      </c>
      <c r="BK90" s="94">
        <f>BK88</f>
        <v>24</v>
      </c>
      <c r="BL90" s="94">
        <f>BL88</f>
        <v>0.245</v>
      </c>
      <c r="BM90" s="90">
        <f t="shared" si="69"/>
        <v>0</v>
      </c>
      <c r="BP90" s="94">
        <f>BP88</f>
        <v>0</v>
      </c>
      <c r="BQ90" s="94">
        <f>BQ88</f>
        <v>0.22500000000000001</v>
      </c>
      <c r="BR90" s="90">
        <f t="shared" si="70"/>
        <v>0</v>
      </c>
      <c r="BU90" s="94">
        <f>BU88</f>
        <v>0</v>
      </c>
      <c r="BV90" s="94">
        <f>BV88</f>
        <v>0.17499999999999999</v>
      </c>
      <c r="BW90" s="90">
        <f t="shared" si="71"/>
        <v>0</v>
      </c>
      <c r="BZ90" s="94">
        <f>BZ88</f>
        <v>21</v>
      </c>
      <c r="CA90" s="94">
        <f>CA88</f>
        <v>0.15</v>
      </c>
      <c r="CB90" s="90">
        <f t="shared" si="72"/>
        <v>0</v>
      </c>
      <c r="CE90" s="95"/>
      <c r="CF90" s="133"/>
      <c r="CG90" s="97" t="s">
        <v>0</v>
      </c>
      <c r="CH90" s="133">
        <f>SUMIFS($AB75:$AT75,$AB72:$AT72,CG90)+SUMIFS($BZ75:$CC75,$BZ72:$CC72,CG90)</f>
        <v>167</v>
      </c>
      <c r="CI90" s="98"/>
      <c r="CK90" s="99">
        <f>IFERROR(IF(F90='[1]Paramètres Généraux'!$K$12,ROUNDUP((REGENERANTS!H90*REGENERANTS!$CF$75)*'[1]Paramètres Généraux'!$M$12,-1),IF(F90='[1]Paramètres Généraux'!$K$15,ROUNDUP((REGENERANTS!H90*REGENERANTS!$CF$75)*'[1]Paramètres Généraux'!$M$15,-1),REGENERANTS!H90*REGENERANTS!$CF$75)),"nd")</f>
        <v>110</v>
      </c>
      <c r="CN90" s="100"/>
      <c r="CO90" s="101"/>
      <c r="CP90" s="101"/>
      <c r="CQ90" s="101"/>
      <c r="CR90" s="101"/>
      <c r="CS90" s="171"/>
      <c r="CT90" s="172"/>
      <c r="CU90" s="101"/>
      <c r="CV90" s="171"/>
      <c r="CW90" s="106"/>
      <c r="CX90" s="107"/>
      <c r="CY90" s="106"/>
      <c r="CZ90" s="104"/>
      <c r="DA90" s="107"/>
      <c r="DB90" s="106"/>
      <c r="DC90" s="104"/>
      <c r="DD90" s="107"/>
      <c r="DE90" s="106"/>
      <c r="DF90" s="104"/>
      <c r="DG90" s="104"/>
      <c r="DH90" s="104"/>
      <c r="DI90" s="104"/>
      <c r="DJ90" s="104"/>
      <c r="DK90" s="104"/>
      <c r="DL90" s="104"/>
      <c r="DM90" s="104"/>
      <c r="DN90" s="104"/>
      <c r="DO90" s="107"/>
      <c r="DP90" s="106"/>
      <c r="DQ90" s="20">
        <f t="shared" si="57"/>
        <v>0</v>
      </c>
      <c r="DR90" s="20">
        <f t="shared" si="58"/>
        <v>0</v>
      </c>
      <c r="DS90" s="20">
        <f>IFERROR((IF(AND($F90="Produit Vente",CO90&gt;0),VLOOKUP($C90,'[1]Paramètres Articles'!$B:$H,7,FALSE)*$CO90)*(1-20%)),0)</f>
        <v>0</v>
      </c>
      <c r="DT90" s="20">
        <f>IFERROR((IF(AND($F90="Produit Vente",DR90&gt;0),VLOOKUP($C90,'[1]Paramètres Articles'!$B:$H,6,FALSE)*$DR90)*(1-15%)),0)</f>
        <v>0</v>
      </c>
      <c r="DU90" s="20">
        <f t="shared" si="59"/>
        <v>0</v>
      </c>
    </row>
    <row r="91" spans="2:125" ht="12.95" customHeight="1" outlineLevel="1">
      <c r="B91" s="1">
        <f>IF(C91="",0,COUNTIFS($B$22:B90,"&gt;"&amp;0)+1)</f>
        <v>35</v>
      </c>
      <c r="C91" s="85" t="s">
        <v>99</v>
      </c>
      <c r="D91" s="86" t="str">
        <f>IFERROR(IF($C91="","",VLOOKUP($C91,'[1]Paramètres Articles'!$B:$G,2,FALSE)),"Non Trouvé")</f>
        <v>Présentoir Régénérants 2026</v>
      </c>
      <c r="E91" s="87">
        <f>IFERROR(IF($C91="","",_xlfn.XLOOKUP(REGENERANTS!$C91,'[1]New Base PA'!$F:$F,'[1]New Base PA'!$D:$D,"Not Found",0)),"Non Trouvé")</f>
        <v>0</v>
      </c>
      <c r="F91" s="88" t="s">
        <v>100</v>
      </c>
      <c r="H91" s="89">
        <v>1</v>
      </c>
      <c r="J91" s="90">
        <f>IFERROR(IF($C91="","",VLOOKUP($C91,'[1]New Base PA'!$F:$J,5,FALSE)),"Non Trouvé")</f>
        <v>13.92</v>
      </c>
      <c r="K91" s="90">
        <f t="shared" si="53"/>
        <v>13.92</v>
      </c>
      <c r="L91" s="91"/>
      <c r="M91" s="163">
        <f>IFERROR(IF(AND($F91="Produit Vente",H91&gt;0),VLOOKUP($C91,'[1]Paramètres Articles'!$B:$G,6,FALSE),0),"Non Trouvé")</f>
        <v>0</v>
      </c>
      <c r="N91" s="163">
        <f t="shared" si="54"/>
        <v>0</v>
      </c>
      <c r="P91" s="92"/>
      <c r="R91" s="90">
        <f t="shared" si="55"/>
        <v>0</v>
      </c>
      <c r="S91" s="91"/>
      <c r="T91" s="90">
        <f>IFERROR(IF($C91="","",VLOOKUP($C91,'[1]Paramètres Articles'!$B:$H,7,FALSE)),"Non Trouvé")</f>
        <v>0</v>
      </c>
      <c r="U91" s="93"/>
      <c r="V91" s="90" t="str">
        <f t="shared" si="60"/>
        <v/>
      </c>
      <c r="W91" s="91"/>
      <c r="X91" s="90" t="str">
        <f t="shared" si="61"/>
        <v/>
      </c>
      <c r="Y91" s="91"/>
      <c r="Z91" s="90">
        <f t="shared" si="56"/>
        <v>0</v>
      </c>
      <c r="AB91" s="94">
        <f>AB89</f>
        <v>127</v>
      </c>
      <c r="AC91" s="94">
        <f>AC89</f>
        <v>0.17</v>
      </c>
      <c r="AD91" s="90">
        <f t="shared" si="62"/>
        <v>0</v>
      </c>
      <c r="AG91" s="94">
        <f>AG89</f>
        <v>19</v>
      </c>
      <c r="AH91" s="94">
        <f>AH89</f>
        <v>0.13</v>
      </c>
      <c r="AI91" s="90">
        <f t="shared" si="63"/>
        <v>0</v>
      </c>
      <c r="AL91" s="94">
        <f>AL89</f>
        <v>0</v>
      </c>
      <c r="AM91" s="94">
        <f>AM89</f>
        <v>0.08</v>
      </c>
      <c r="AN91" s="90">
        <f t="shared" si="64"/>
        <v>0</v>
      </c>
      <c r="AQ91" s="94">
        <f>AQ89</f>
        <v>0</v>
      </c>
      <c r="AR91" s="94">
        <f>AR89</f>
        <v>0.05</v>
      </c>
      <c r="AS91" s="90">
        <f t="shared" si="65"/>
        <v>0</v>
      </c>
      <c r="AV91" s="94">
        <f>AV89</f>
        <v>41</v>
      </c>
      <c r="AW91" s="94">
        <f>AW89</f>
        <v>0.32500000000000001</v>
      </c>
      <c r="AX91" s="90">
        <f t="shared" si="66"/>
        <v>0</v>
      </c>
      <c r="BA91" s="94">
        <f>BA89</f>
        <v>16</v>
      </c>
      <c r="BB91" s="94">
        <f>BB89</f>
        <v>0.29499999999999998</v>
      </c>
      <c r="BC91" s="90">
        <f t="shared" si="67"/>
        <v>0</v>
      </c>
      <c r="BF91" s="94">
        <f>BF89</f>
        <v>22</v>
      </c>
      <c r="BG91" s="94">
        <f>BG89</f>
        <v>0.27500000000000002</v>
      </c>
      <c r="BH91" s="90">
        <f t="shared" si="68"/>
        <v>0</v>
      </c>
      <c r="BK91" s="94">
        <f>BK89</f>
        <v>24</v>
      </c>
      <c r="BL91" s="94">
        <f>BL89</f>
        <v>0.245</v>
      </c>
      <c r="BM91" s="90">
        <f t="shared" si="69"/>
        <v>0</v>
      </c>
      <c r="BP91" s="94">
        <f>BP89</f>
        <v>0</v>
      </c>
      <c r="BQ91" s="94">
        <f>BQ89</f>
        <v>0.22500000000000001</v>
      </c>
      <c r="BR91" s="90">
        <f t="shared" si="70"/>
        <v>0</v>
      </c>
      <c r="BU91" s="94">
        <f>BU89</f>
        <v>0</v>
      </c>
      <c r="BV91" s="94">
        <f>BV89</f>
        <v>0.17499999999999999</v>
      </c>
      <c r="BW91" s="90">
        <f t="shared" si="71"/>
        <v>0</v>
      </c>
      <c r="BZ91" s="94">
        <f>BZ89</f>
        <v>21</v>
      </c>
      <c r="CA91" s="94">
        <f>CA89</f>
        <v>0.15</v>
      </c>
      <c r="CB91" s="90">
        <f t="shared" si="72"/>
        <v>0</v>
      </c>
      <c r="CE91" s="95"/>
      <c r="CF91" s="96"/>
      <c r="CG91" s="97" t="s">
        <v>1</v>
      </c>
      <c r="CH91" s="134">
        <f>SUMIFS($AB75:$AT75,$AB72:$AT72,CG91)+SUMIFS($BZ75:$CC75,$BZ72:$CC72,CG91)</f>
        <v>120014.98709132633</v>
      </c>
      <c r="CI91" s="98"/>
      <c r="CK91" s="99">
        <f>IFERROR(IF(F91='[1]Paramètres Généraux'!$K$12,ROUNDUP((REGENERANTS!H91*REGENERANTS!$CF$75)*'[1]Paramètres Généraux'!$M$12,-1),IF(F91='[1]Paramètres Généraux'!$K$15,ROUNDUP((REGENERANTS!H91*REGENERANTS!$CF$75)*'[1]Paramètres Généraux'!$M$15,-1),REGENERANTS!H91*REGENERANTS!$CF$75)),"nd")</f>
        <v>190</v>
      </c>
      <c r="CN91" s="100"/>
      <c r="CO91" s="101"/>
      <c r="CP91" s="101"/>
      <c r="CQ91" s="101"/>
      <c r="CR91" s="101"/>
      <c r="CS91" s="171"/>
      <c r="CT91" s="172"/>
      <c r="CU91" s="101"/>
      <c r="CV91" s="171"/>
      <c r="CW91" s="106"/>
      <c r="CX91" s="107"/>
      <c r="CY91" s="106"/>
      <c r="CZ91" s="104"/>
      <c r="DA91" s="107"/>
      <c r="DB91" s="106"/>
      <c r="DC91" s="104"/>
      <c r="DD91" s="107"/>
      <c r="DE91" s="106"/>
      <c r="DF91" s="104"/>
      <c r="DG91" s="104"/>
      <c r="DH91" s="104"/>
      <c r="DI91" s="104"/>
      <c r="DJ91" s="104"/>
      <c r="DK91" s="104"/>
      <c r="DL91" s="104"/>
      <c r="DM91" s="104"/>
      <c r="DN91" s="104"/>
      <c r="DO91" s="107"/>
      <c r="DP91" s="106"/>
      <c r="DQ91" s="20">
        <f t="shared" si="57"/>
        <v>0</v>
      </c>
      <c r="DR91" s="20">
        <f t="shared" si="58"/>
        <v>0</v>
      </c>
      <c r="DS91" s="20">
        <f>IFERROR((IF(AND($F91="Produit Vente",CO91&gt;0),VLOOKUP($C91,'[1]Paramètres Articles'!$B:$H,7,FALSE)*$CO91)*(1-20%)),0)</f>
        <v>0</v>
      </c>
      <c r="DT91" s="20">
        <f>IFERROR((IF(AND($F91="Produit Vente",DR91&gt;0),VLOOKUP($C91,'[1]Paramètres Articles'!$B:$H,6,FALSE)*$DR91)*(1-15%)),0)</f>
        <v>0</v>
      </c>
      <c r="DU91" s="20">
        <f t="shared" si="59"/>
        <v>0</v>
      </c>
    </row>
    <row r="92" spans="2:125" ht="12.95" customHeight="1" outlineLevel="1">
      <c r="B92" s="1">
        <f>IF(C92="",0,COUNTIFS($B$22:B91,"&gt;"&amp;0)+1)</f>
        <v>36</v>
      </c>
      <c r="C92" s="85">
        <v>3020202</v>
      </c>
      <c r="D92" s="86" t="str">
        <f>IFERROR(IF($C92="","",VLOOKUP($C92,'[1]Paramètres Articles'!$B:$G,2,FALSE)),"Non Trouvé")</f>
        <v>Testeur - Sérum Jour / Nuit - Régénérant 30ml - 15% comprise</v>
      </c>
      <c r="E92" s="87">
        <f>IFERROR(IF($C92="","",_xlfn.XLOOKUP(REGENERANTS!$C92,'[1]New Base PA'!$F:$F,'[1]New Base PA'!$D:$D,"Not Found",0)),"Non Trouvé")</f>
        <v>4020829103146</v>
      </c>
      <c r="F92" s="88" t="s">
        <v>96</v>
      </c>
      <c r="H92" s="89">
        <v>1</v>
      </c>
      <c r="J92" s="90">
        <f>IFERROR(IF($C92="","",VLOOKUP($C92,'[1]New Base PA'!$F:$J,5,FALSE)),"Non Trouvé")</f>
        <v>11.62</v>
      </c>
      <c r="K92" s="90">
        <f t="shared" si="53"/>
        <v>11.62</v>
      </c>
      <c r="L92" s="91"/>
      <c r="M92" s="163">
        <f>IFERROR(IF(AND($F92="Produit Vente",H92&gt;0),VLOOKUP($C92,'[1]Paramètres Articles'!$B:$G,6,FALSE),0),"Non Trouvé")</f>
        <v>0</v>
      </c>
      <c r="N92" s="163">
        <f t="shared" si="54"/>
        <v>0</v>
      </c>
      <c r="P92" s="92"/>
      <c r="R92" s="90">
        <f t="shared" si="55"/>
        <v>0</v>
      </c>
      <c r="S92" s="91"/>
      <c r="T92" s="90" t="str">
        <f>IFERROR(IF($C92="","",VLOOKUP($C92,'[1]Paramètres Articles'!$B:$H,7,FALSE)),"Non Trouvé")</f>
        <v>Non Trouvé</v>
      </c>
      <c r="U92" s="93"/>
      <c r="V92" s="90" t="str">
        <f t="shared" si="60"/>
        <v/>
      </c>
      <c r="W92" s="91"/>
      <c r="X92" s="90" t="str">
        <f t="shared" si="61"/>
        <v/>
      </c>
      <c r="Y92" s="91"/>
      <c r="Z92" s="90" t="str">
        <f t="shared" si="56"/>
        <v>Non Trouvé</v>
      </c>
      <c r="AB92" s="94">
        <f>AB91</f>
        <v>127</v>
      </c>
      <c r="AC92" s="94">
        <f>AC91</f>
        <v>0.17</v>
      </c>
      <c r="AD92" s="90">
        <f t="shared" si="62"/>
        <v>0</v>
      </c>
      <c r="AG92" s="94">
        <f>AG91</f>
        <v>19</v>
      </c>
      <c r="AH92" s="94">
        <f>AH91</f>
        <v>0.13</v>
      </c>
      <c r="AI92" s="90">
        <f t="shared" si="63"/>
        <v>0</v>
      </c>
      <c r="AL92" s="94">
        <f>AL91</f>
        <v>0</v>
      </c>
      <c r="AM92" s="94">
        <f>AM91</f>
        <v>0.08</v>
      </c>
      <c r="AN92" s="90">
        <f t="shared" si="64"/>
        <v>0</v>
      </c>
      <c r="AQ92" s="94">
        <f>AQ91</f>
        <v>0</v>
      </c>
      <c r="AR92" s="94">
        <f>AR91</f>
        <v>0.05</v>
      </c>
      <c r="AS92" s="90">
        <f t="shared" si="65"/>
        <v>0</v>
      </c>
      <c r="AV92" s="94">
        <f>AV91</f>
        <v>41</v>
      </c>
      <c r="AW92" s="94">
        <f>AW91</f>
        <v>0.32500000000000001</v>
      </c>
      <c r="AX92" s="90">
        <f t="shared" si="66"/>
        <v>0</v>
      </c>
      <c r="BA92" s="94">
        <f>BA91</f>
        <v>16</v>
      </c>
      <c r="BB92" s="94">
        <f>BB91</f>
        <v>0.29499999999999998</v>
      </c>
      <c r="BC92" s="90">
        <f t="shared" si="67"/>
        <v>0</v>
      </c>
      <c r="BF92" s="94">
        <f>BF91</f>
        <v>22</v>
      </c>
      <c r="BG92" s="94">
        <f>BG91</f>
        <v>0.27500000000000002</v>
      </c>
      <c r="BH92" s="90">
        <f t="shared" si="68"/>
        <v>0</v>
      </c>
      <c r="BK92" s="94">
        <f>BK91</f>
        <v>24</v>
      </c>
      <c r="BL92" s="94">
        <f>BL91</f>
        <v>0.245</v>
      </c>
      <c r="BM92" s="90">
        <f t="shared" si="69"/>
        <v>0</v>
      </c>
      <c r="BP92" s="94">
        <f>BP91</f>
        <v>0</v>
      </c>
      <c r="BQ92" s="94">
        <f>BQ91</f>
        <v>0.22500000000000001</v>
      </c>
      <c r="BR92" s="90">
        <f t="shared" si="70"/>
        <v>0</v>
      </c>
      <c r="BU92" s="94">
        <f>BU91</f>
        <v>0</v>
      </c>
      <c r="BV92" s="94">
        <f>BV91</f>
        <v>0.17499999999999999</v>
      </c>
      <c r="BW92" s="90">
        <f t="shared" si="71"/>
        <v>0</v>
      </c>
      <c r="BZ92" s="94">
        <f>BZ91</f>
        <v>21</v>
      </c>
      <c r="CA92" s="94">
        <f>CA91</f>
        <v>0.15</v>
      </c>
      <c r="CB92" s="90">
        <f t="shared" si="72"/>
        <v>0</v>
      </c>
      <c r="CE92" s="95"/>
      <c r="CF92" s="128"/>
      <c r="CG92" s="97" t="s">
        <v>2</v>
      </c>
      <c r="CH92" s="135">
        <f>IFERROR((CH91-$K75*CH90)/CH91,"Non Trouvé")</f>
        <v>0.39174395324102151</v>
      </c>
      <c r="CI92" s="98"/>
      <c r="CK92" s="99">
        <f>IFERROR(IF(F92='[1]Paramètres Généraux'!$K$12,ROUNDUP((REGENERANTS!H92*REGENERANTS!$CF$75)*'[1]Paramètres Généraux'!$M$12,-1),IF(F92='[1]Paramètres Généraux'!$K$15,ROUNDUP((REGENERANTS!H92*REGENERANTS!$CF$75)*'[1]Paramètres Généraux'!$M$15,-1),REGENERANTS!H92*REGENERANTS!$CF$75)),"nd")</f>
        <v>270</v>
      </c>
      <c r="CN92" s="100"/>
      <c r="CO92" s="101"/>
      <c r="CP92" s="101"/>
      <c r="CQ92" s="101"/>
      <c r="CR92" s="101"/>
      <c r="CS92" s="171"/>
      <c r="CT92" s="172"/>
      <c r="CU92" s="101"/>
      <c r="CV92" s="171"/>
      <c r="CW92" s="106"/>
      <c r="CX92" s="107"/>
      <c r="CY92" s="106"/>
      <c r="CZ92" s="104"/>
      <c r="DA92" s="107"/>
      <c r="DB92" s="106"/>
      <c r="DC92" s="104"/>
      <c r="DD92" s="107"/>
      <c r="DE92" s="106"/>
      <c r="DF92" s="104"/>
      <c r="DG92" s="104"/>
      <c r="DH92" s="104"/>
      <c r="DI92" s="104"/>
      <c r="DJ92" s="104"/>
      <c r="DK92" s="104"/>
      <c r="DL92" s="104"/>
      <c r="DM92" s="104"/>
      <c r="DN92" s="104"/>
      <c r="DO92" s="107"/>
      <c r="DP92" s="106"/>
      <c r="DQ92" s="20">
        <f t="shared" si="57"/>
        <v>0</v>
      </c>
      <c r="DR92" s="20">
        <f t="shared" si="58"/>
        <v>0</v>
      </c>
      <c r="DS92" s="20">
        <f>IFERROR((IF(AND($F92="Produit Vente",CO92&gt;0),VLOOKUP($C92,'[1]Paramètres Articles'!$B:$H,7,FALSE)*$CO92)*(1-20%)),0)</f>
        <v>0</v>
      </c>
      <c r="DT92" s="20">
        <f>IFERROR((IF(AND($F92="Produit Vente",DR92&gt;0),VLOOKUP($C92,'[1]Paramètres Articles'!$B:$H,6,FALSE)*$DR92)*(1-15%)),0)</f>
        <v>0</v>
      </c>
      <c r="DU92" s="20">
        <f t="shared" si="59"/>
        <v>0</v>
      </c>
    </row>
    <row r="93" spans="2:125" ht="12.95" customHeight="1" outlineLevel="1">
      <c r="B93" s="1">
        <f>IF(C93="",0,COUNTIFS($B$22:B92,"&gt;"&amp;0)+1)</f>
        <v>37</v>
      </c>
      <c r="C93" s="85">
        <v>3020301</v>
      </c>
      <c r="D93" s="86" t="str">
        <f>IFERROR(IF($C93="","",VLOOKUP($C93,'[1]Paramètres Articles'!$B:$G,2,FALSE)),"Non Trouvé")</f>
        <v>Testeur - Crème de Jour Régénérante 40 ml - 15% comprise</v>
      </c>
      <c r="E93" s="87">
        <f>IFERROR(IF($C93="","",_xlfn.XLOOKUP(REGENERANTS!$C93,'[1]New Base PA'!$F:$F,'[1]New Base PA'!$D:$D,"Not Found",0)),"Non Trouvé")</f>
        <v>4020829007123</v>
      </c>
      <c r="F93" s="88" t="s">
        <v>96</v>
      </c>
      <c r="H93" s="89">
        <v>1</v>
      </c>
      <c r="J93" s="90">
        <f>IFERROR(IF($C93="","",VLOOKUP($C93,'[1]New Base PA'!$F:$J,5,FALSE)),"Non Trouvé")</f>
        <v>10.85</v>
      </c>
      <c r="K93" s="90">
        <f t="shared" si="53"/>
        <v>10.85</v>
      </c>
      <c r="L93" s="91"/>
      <c r="M93" s="163">
        <f>IFERROR(IF(AND($F93="Produit Vente",H93&gt;0),VLOOKUP($C93,'[1]Paramètres Articles'!$B:$G,6,FALSE),0),"Non Trouvé")</f>
        <v>0</v>
      </c>
      <c r="N93" s="163"/>
      <c r="P93" s="92"/>
      <c r="R93" s="90"/>
      <c r="S93" s="91"/>
      <c r="T93" s="90" t="str">
        <f>IFERROR(IF($C93="","",VLOOKUP($C93,'[1]Paramètres Articles'!$B:$H,7,FALSE)),"Non Trouvé")</f>
        <v>Non Trouvé</v>
      </c>
      <c r="U93" s="93"/>
      <c r="V93" s="90" t="str">
        <f t="shared" si="60"/>
        <v/>
      </c>
      <c r="W93" s="91"/>
      <c r="X93" s="90" t="str">
        <f t="shared" si="61"/>
        <v/>
      </c>
      <c r="Y93" s="91"/>
      <c r="Z93" s="90" t="str">
        <f t="shared" si="56"/>
        <v>Non Trouvé</v>
      </c>
      <c r="AB93" s="94">
        <f>AB91</f>
        <v>127</v>
      </c>
      <c r="AC93" s="94">
        <f>AC91</f>
        <v>0.17</v>
      </c>
      <c r="AD93" s="90">
        <f t="shared" si="62"/>
        <v>0</v>
      </c>
      <c r="AG93" s="94">
        <f>AG91</f>
        <v>19</v>
      </c>
      <c r="AH93" s="94">
        <f>AH91</f>
        <v>0.13</v>
      </c>
      <c r="AI93" s="90">
        <f t="shared" si="63"/>
        <v>0</v>
      </c>
      <c r="AL93" s="94">
        <f>AL91</f>
        <v>0</v>
      </c>
      <c r="AM93" s="94">
        <f>AM91</f>
        <v>0.08</v>
      </c>
      <c r="AN93" s="90">
        <f t="shared" si="64"/>
        <v>0</v>
      </c>
      <c r="AQ93" s="94">
        <f>AQ91</f>
        <v>0</v>
      </c>
      <c r="AR93" s="94">
        <f>AR91</f>
        <v>0.05</v>
      </c>
      <c r="AS93" s="90">
        <f t="shared" si="65"/>
        <v>0</v>
      </c>
      <c r="AV93" s="94">
        <f>AV91</f>
        <v>41</v>
      </c>
      <c r="AW93" s="94">
        <f>AW91</f>
        <v>0.32500000000000001</v>
      </c>
      <c r="AX93" s="90">
        <f t="shared" si="66"/>
        <v>0</v>
      </c>
      <c r="BA93" s="94">
        <f>BA91</f>
        <v>16</v>
      </c>
      <c r="BB93" s="94">
        <f>BB91</f>
        <v>0.29499999999999998</v>
      </c>
      <c r="BC93" s="90">
        <f t="shared" si="67"/>
        <v>0</v>
      </c>
      <c r="BF93" s="94">
        <f>BF91</f>
        <v>22</v>
      </c>
      <c r="BG93" s="94">
        <f>BG91</f>
        <v>0.27500000000000002</v>
      </c>
      <c r="BH93" s="90">
        <f t="shared" si="68"/>
        <v>0</v>
      </c>
      <c r="BK93" s="94">
        <f>BK91</f>
        <v>24</v>
      </c>
      <c r="BL93" s="94">
        <f>BL91</f>
        <v>0.245</v>
      </c>
      <c r="BM93" s="90">
        <f t="shared" si="69"/>
        <v>0</v>
      </c>
      <c r="BP93" s="94">
        <f>BP91</f>
        <v>0</v>
      </c>
      <c r="BQ93" s="94">
        <f>BQ91</f>
        <v>0.22500000000000001</v>
      </c>
      <c r="BR93" s="90">
        <f t="shared" si="70"/>
        <v>0</v>
      </c>
      <c r="BU93" s="94">
        <f>BU91</f>
        <v>0</v>
      </c>
      <c r="BV93" s="94">
        <f>BV91</f>
        <v>0.17499999999999999</v>
      </c>
      <c r="BW93" s="90">
        <f t="shared" si="71"/>
        <v>0</v>
      </c>
      <c r="BZ93" s="94">
        <f>BZ91</f>
        <v>21</v>
      </c>
      <c r="CA93" s="94">
        <f>CA91</f>
        <v>0.15</v>
      </c>
      <c r="CB93" s="90">
        <f t="shared" si="72"/>
        <v>0</v>
      </c>
      <c r="CE93" s="95"/>
      <c r="CF93" s="97"/>
      <c r="CG93" s="97" t="s">
        <v>103</v>
      </c>
      <c r="CH93" s="134">
        <f>IFERROR(CH91*CH92,0)</f>
        <v>47015.145491326344</v>
      </c>
      <c r="CI93" s="98"/>
      <c r="CK93" s="99">
        <f>IFERROR(IF(F93='[1]Paramètres Généraux'!$K$12,ROUNDUP((REGENERANTS!H93*REGENERANTS!$CF$75)*'[1]Paramètres Généraux'!$M$12,-1),IF(F93='[1]Paramètres Généraux'!$K$15,ROUNDUP((REGENERANTS!H93*REGENERANTS!$CF$75)*'[1]Paramètres Généraux'!$M$15,-1),REGENERANTS!H93*REGENERANTS!$CF$75)),"nd")</f>
        <v>270</v>
      </c>
      <c r="CN93" s="100"/>
      <c r="CO93" s="101"/>
      <c r="CP93" s="101"/>
      <c r="CQ93" s="101"/>
      <c r="CR93" s="101"/>
      <c r="CS93" s="171"/>
      <c r="CT93" s="172"/>
      <c r="CU93" s="101"/>
      <c r="CV93" s="171"/>
      <c r="CW93" s="106"/>
      <c r="CX93" s="107"/>
      <c r="CY93" s="106"/>
      <c r="CZ93" s="104"/>
      <c r="DA93" s="107"/>
      <c r="DB93" s="106"/>
      <c r="DC93" s="104"/>
      <c r="DD93" s="107"/>
      <c r="DE93" s="106"/>
      <c r="DF93" s="104"/>
      <c r="DG93" s="104"/>
      <c r="DH93" s="104"/>
      <c r="DI93" s="104"/>
      <c r="DJ93" s="104"/>
      <c r="DK93" s="104"/>
      <c r="DL93" s="104"/>
      <c r="DM93" s="104"/>
      <c r="DN93" s="104"/>
      <c r="DO93" s="107"/>
      <c r="DP93" s="106"/>
      <c r="DQ93" s="20">
        <f t="shared" si="57"/>
        <v>0</v>
      </c>
      <c r="DR93" s="20">
        <f t="shared" si="58"/>
        <v>0</v>
      </c>
      <c r="DS93" s="20">
        <f>IFERROR((IF(AND($F93="Produit Vente",CO93&gt;0),VLOOKUP($C93,'[1]Paramètres Articles'!$B:$H,7,FALSE)*$CO93)*(1-20%)),0)</f>
        <v>0</v>
      </c>
      <c r="DT93" s="20">
        <f>IFERROR((IF(AND($F93="Produit Vente",DR93&gt;0),VLOOKUP($C93,'[1]Paramètres Articles'!$B:$H,6,FALSE)*$DR93)*(1-15%)),0)</f>
        <v>0</v>
      </c>
      <c r="DU93" s="20">
        <f t="shared" si="59"/>
        <v>0</v>
      </c>
    </row>
    <row r="94" spans="2:125" ht="12.95" customHeight="1" outlineLevel="1">
      <c r="B94" s="1">
        <f>IF(C94="",0,COUNTIFS($B$22:B93,"&gt;"&amp;0)+1)</f>
        <v>38</v>
      </c>
      <c r="C94" s="85">
        <v>3020720</v>
      </c>
      <c r="D94" s="86" t="str">
        <f>IFERROR(IF($C94="","",VLOOKUP($C94,'[1]Paramètres Articles'!$B:$G,2,FALSE)),"Non Trouvé")</f>
        <v>Testeur - Crème de Jour - Régénérant Intensif - 40ml - 15 % comprise</v>
      </c>
      <c r="E94" s="87">
        <f>IFERROR(IF($C94="","",_xlfn.XLOOKUP(REGENERANTS!$C94,'[1]New Base PA'!$F:$F,'[1]New Base PA'!$D:$D,"Not Found",0)),"Non Trouvé")</f>
        <v>4020829103207</v>
      </c>
      <c r="F94" s="88" t="s">
        <v>96</v>
      </c>
      <c r="H94" s="89">
        <v>1</v>
      </c>
      <c r="J94" s="90"/>
      <c r="K94" s="90"/>
      <c r="L94" s="91"/>
      <c r="M94" s="90">
        <f>IFERROR(IF(AND($F94="Produit Vente",H94&gt;0),VLOOKUP($C94,'[1]Paramètres Articles'!$B:$G,6,FALSE),0),"Non Trouvé")</f>
        <v>0</v>
      </c>
      <c r="N94" s="90"/>
      <c r="P94" s="92"/>
      <c r="R94" s="90"/>
      <c r="S94" s="91"/>
      <c r="T94" s="90" t="str">
        <f>IFERROR(IF($C94="","",VLOOKUP($C94,'[1]Paramètres Articles'!$B:$H,7,FALSE)),"Non Trouvé")</f>
        <v>Non Trouvé</v>
      </c>
      <c r="U94" s="93"/>
      <c r="V94" s="90" t="str">
        <f t="shared" si="60"/>
        <v/>
      </c>
      <c r="W94" s="91"/>
      <c r="X94" s="90" t="str">
        <f t="shared" si="61"/>
        <v/>
      </c>
      <c r="Y94" s="91"/>
      <c r="Z94" s="90" t="str">
        <f t="shared" si="56"/>
        <v>Non Trouvé</v>
      </c>
      <c r="AB94" s="94">
        <f>AB93</f>
        <v>127</v>
      </c>
      <c r="AC94" s="94">
        <f>AC93</f>
        <v>0.17</v>
      </c>
      <c r="AD94" s="90">
        <f t="shared" si="62"/>
        <v>0</v>
      </c>
      <c r="AG94" s="94">
        <f>AG93</f>
        <v>19</v>
      </c>
      <c r="AH94" s="94">
        <f>AH93</f>
        <v>0.13</v>
      </c>
      <c r="AI94" s="90">
        <f t="shared" si="63"/>
        <v>0</v>
      </c>
      <c r="AL94" s="94">
        <f>AL93</f>
        <v>0</v>
      </c>
      <c r="AM94" s="94">
        <f>AM93</f>
        <v>0.08</v>
      </c>
      <c r="AN94" s="90">
        <f t="shared" si="64"/>
        <v>0</v>
      </c>
      <c r="AQ94" s="94">
        <f>AQ93</f>
        <v>0</v>
      </c>
      <c r="AR94" s="94">
        <f>AR93</f>
        <v>0.05</v>
      </c>
      <c r="AS94" s="90">
        <f t="shared" si="65"/>
        <v>0</v>
      </c>
      <c r="AV94" s="94">
        <f>AV93</f>
        <v>41</v>
      </c>
      <c r="AW94" s="94">
        <f>AW93</f>
        <v>0.32500000000000001</v>
      </c>
      <c r="AX94" s="90">
        <f t="shared" si="66"/>
        <v>0</v>
      </c>
      <c r="BA94" s="94">
        <f>BA93</f>
        <v>16</v>
      </c>
      <c r="BB94" s="94">
        <f>BB93</f>
        <v>0.29499999999999998</v>
      </c>
      <c r="BC94" s="90">
        <f t="shared" si="67"/>
        <v>0</v>
      </c>
      <c r="BF94" s="94">
        <f>BF93</f>
        <v>22</v>
      </c>
      <c r="BG94" s="94">
        <f>BG93</f>
        <v>0.27500000000000002</v>
      </c>
      <c r="BH94" s="90">
        <f t="shared" si="68"/>
        <v>0</v>
      </c>
      <c r="BK94" s="94">
        <f>BK93</f>
        <v>24</v>
      </c>
      <c r="BL94" s="94">
        <f>BL93</f>
        <v>0.245</v>
      </c>
      <c r="BM94" s="90">
        <f t="shared" si="69"/>
        <v>0</v>
      </c>
      <c r="BP94" s="94">
        <f>BP93</f>
        <v>0</v>
      </c>
      <c r="BQ94" s="94">
        <f>BQ93</f>
        <v>0.22500000000000001</v>
      </c>
      <c r="BR94" s="90">
        <f t="shared" si="70"/>
        <v>0</v>
      </c>
      <c r="BU94" s="94">
        <f>BU93</f>
        <v>0</v>
      </c>
      <c r="BV94" s="94">
        <f>BV93</f>
        <v>0.17499999999999999</v>
      </c>
      <c r="BW94" s="90">
        <f t="shared" si="71"/>
        <v>0</v>
      </c>
      <c r="BZ94" s="94">
        <f>BZ93</f>
        <v>21</v>
      </c>
      <c r="CA94" s="94">
        <f>CA93</f>
        <v>0.15</v>
      </c>
      <c r="CB94" s="90">
        <f t="shared" si="72"/>
        <v>0</v>
      </c>
      <c r="CE94" s="95"/>
      <c r="CF94" s="133"/>
      <c r="CG94" s="96"/>
      <c r="CH94" s="96"/>
      <c r="CI94" s="98"/>
      <c r="CK94" s="99">
        <f>IFERROR(IF(F94='[1]Paramètres Généraux'!$K$12,ROUNDUP((REGENERANTS!H94*REGENERANTS!$CF$75)*'[1]Paramètres Généraux'!$M$12,-1),IF(F94='[1]Paramètres Généraux'!$K$15,ROUNDUP((REGENERANTS!H94*REGENERANTS!$CF$75)*'[1]Paramètres Généraux'!$M$15,-1),REGENERANTS!H94*REGENERANTS!$CF$75)),"nd")</f>
        <v>270</v>
      </c>
      <c r="CN94" s="100"/>
      <c r="CO94" s="101"/>
      <c r="CP94" s="101"/>
      <c r="CQ94" s="101"/>
      <c r="CR94" s="101"/>
      <c r="CS94" s="171"/>
      <c r="CT94" s="172"/>
      <c r="CU94" s="101"/>
      <c r="CV94" s="171"/>
      <c r="CW94" s="106"/>
      <c r="CX94" s="107"/>
      <c r="CY94" s="106"/>
      <c r="CZ94" s="104"/>
      <c r="DA94" s="107"/>
      <c r="DB94" s="106"/>
      <c r="DC94" s="104"/>
      <c r="DD94" s="107"/>
      <c r="DE94" s="106"/>
      <c r="DF94" s="104"/>
      <c r="DG94" s="104"/>
      <c r="DH94" s="104"/>
      <c r="DI94" s="104"/>
      <c r="DJ94" s="104"/>
      <c r="DK94" s="104"/>
      <c r="DL94" s="104"/>
      <c r="DM94" s="104"/>
      <c r="DN94" s="104"/>
      <c r="DO94" s="107"/>
      <c r="DP94" s="106"/>
      <c r="DQ94" s="20">
        <f t="shared" si="57"/>
        <v>0</v>
      </c>
      <c r="DR94" s="20">
        <f t="shared" si="58"/>
        <v>0</v>
      </c>
      <c r="DS94" s="20">
        <f>IFERROR((IF(AND($F94="Produit Vente",CO94&gt;0),VLOOKUP($C94,'[1]Paramètres Articles'!$B:$H,7,FALSE)*$CO94)*(1-20%)),0)</f>
        <v>0</v>
      </c>
      <c r="DT94" s="20">
        <f>IFERROR((IF(AND($F94="Produit Vente",DR94&gt;0),VLOOKUP($C94,'[1]Paramètres Articles'!$B:$H,6,FALSE)*$DR94)*(1-15%)),0)</f>
        <v>0</v>
      </c>
      <c r="DU94" s="20">
        <f t="shared" si="59"/>
        <v>0</v>
      </c>
    </row>
    <row r="95" spans="2:125" ht="12.95" customHeight="1" outlineLevel="1">
      <c r="B95" s="1">
        <f>IF(C95="",0,COUNTIFS($B$22:B94,"&gt;"&amp;0)+1)</f>
        <v>39</v>
      </c>
      <c r="C95" s="85">
        <v>3020718</v>
      </c>
      <c r="D95" s="86" t="str">
        <f>IFERROR(IF($C95="","",VLOOKUP($C95,'[1]Paramètres Articles'!$B:$G,2,FALSE)),"Non Trouvé")</f>
        <v>Testeur - Sérum de Nuit - Régénérant Intensif 30ml - 15% comprise</v>
      </c>
      <c r="E95" s="87">
        <f>IFERROR(IF($C95="","",_xlfn.XLOOKUP(REGENERANTS!$C95,'[1]New Base PA'!$F:$F,'[1]New Base PA'!$D:$D,"Not Found",0)),"Non Trouvé")</f>
        <v>4020829101142</v>
      </c>
      <c r="F95" s="88" t="s">
        <v>96</v>
      </c>
      <c r="H95" s="89">
        <v>1</v>
      </c>
      <c r="J95" s="90"/>
      <c r="K95" s="90"/>
      <c r="L95" s="91"/>
      <c r="M95" s="90">
        <f>IFERROR(IF(AND($F95="Produit Vente",H95&gt;0),VLOOKUP($C95,'[1]Paramètres Articles'!$B:$G,6,FALSE),0),"Non Trouvé")</f>
        <v>0</v>
      </c>
      <c r="N95" s="90"/>
      <c r="P95" s="92"/>
      <c r="R95" s="90"/>
      <c r="S95" s="91"/>
      <c r="T95" s="90" t="str">
        <f>IFERROR(IF($C95="","",VLOOKUP($C95,'[1]Paramètres Articles'!$B:$H,7,FALSE)),"Non Trouvé")</f>
        <v>Non Trouvé</v>
      </c>
      <c r="U95" s="93"/>
      <c r="V95" s="90" t="str">
        <f t="shared" si="60"/>
        <v/>
      </c>
      <c r="W95" s="91"/>
      <c r="X95" s="90" t="str">
        <f t="shared" si="61"/>
        <v/>
      </c>
      <c r="Y95" s="91"/>
      <c r="Z95" s="90" t="str">
        <f t="shared" si="56"/>
        <v>Non Trouvé</v>
      </c>
      <c r="AB95" s="94">
        <f>AB93</f>
        <v>127</v>
      </c>
      <c r="AC95" s="94">
        <f>AC93</f>
        <v>0.17</v>
      </c>
      <c r="AD95" s="90">
        <f t="shared" si="62"/>
        <v>0</v>
      </c>
      <c r="AG95" s="94">
        <f>AG93</f>
        <v>19</v>
      </c>
      <c r="AH95" s="94">
        <f>AH93</f>
        <v>0.13</v>
      </c>
      <c r="AI95" s="90">
        <f t="shared" si="63"/>
        <v>0</v>
      </c>
      <c r="AL95" s="94">
        <f>AL93</f>
        <v>0</v>
      </c>
      <c r="AM95" s="94">
        <f>AM93</f>
        <v>0.08</v>
      </c>
      <c r="AN95" s="90">
        <f t="shared" si="64"/>
        <v>0</v>
      </c>
      <c r="AQ95" s="94">
        <f>AQ93</f>
        <v>0</v>
      </c>
      <c r="AR95" s="94">
        <f>AR93</f>
        <v>0.05</v>
      </c>
      <c r="AS95" s="90">
        <f t="shared" si="65"/>
        <v>0</v>
      </c>
      <c r="AV95" s="94">
        <f>AV93</f>
        <v>41</v>
      </c>
      <c r="AW95" s="94">
        <f>AW93</f>
        <v>0.32500000000000001</v>
      </c>
      <c r="AX95" s="90">
        <f t="shared" si="66"/>
        <v>0</v>
      </c>
      <c r="BA95" s="94">
        <f>BA93</f>
        <v>16</v>
      </c>
      <c r="BB95" s="94">
        <f>BB93</f>
        <v>0.29499999999999998</v>
      </c>
      <c r="BC95" s="90">
        <f t="shared" si="67"/>
        <v>0</v>
      </c>
      <c r="BF95" s="94">
        <f>BF93</f>
        <v>22</v>
      </c>
      <c r="BG95" s="94">
        <f>BG93</f>
        <v>0.27500000000000002</v>
      </c>
      <c r="BH95" s="90">
        <f t="shared" si="68"/>
        <v>0</v>
      </c>
      <c r="BK95" s="94">
        <f>BK93</f>
        <v>24</v>
      </c>
      <c r="BL95" s="94">
        <f>BL93</f>
        <v>0.245</v>
      </c>
      <c r="BM95" s="90">
        <f t="shared" si="69"/>
        <v>0</v>
      </c>
      <c r="BP95" s="94">
        <f>BP93</f>
        <v>0</v>
      </c>
      <c r="BQ95" s="94">
        <f>BQ93</f>
        <v>0.22500000000000001</v>
      </c>
      <c r="BR95" s="90">
        <f t="shared" si="70"/>
        <v>0</v>
      </c>
      <c r="BU95" s="94">
        <f>BU93</f>
        <v>0</v>
      </c>
      <c r="BV95" s="94">
        <f>BV93</f>
        <v>0.17499999999999999</v>
      </c>
      <c r="BW95" s="90">
        <f t="shared" si="71"/>
        <v>0</v>
      </c>
      <c r="BZ95" s="94">
        <f>BZ93</f>
        <v>21</v>
      </c>
      <c r="CA95" s="94">
        <f>CA93</f>
        <v>0.15</v>
      </c>
      <c r="CB95" s="90">
        <f t="shared" si="72"/>
        <v>0</v>
      </c>
      <c r="CE95" s="95"/>
      <c r="CF95" s="96"/>
      <c r="CG95" s="128" t="s">
        <v>7</v>
      </c>
      <c r="CH95" s="96"/>
      <c r="CI95" s="98"/>
      <c r="CK95" s="99">
        <f>IFERROR(IF(F95='[1]Paramètres Généraux'!$K$12,ROUNDUP((REGENERANTS!H95*REGENERANTS!$CF$75)*'[1]Paramètres Généraux'!$M$12,-1),IF(F95='[1]Paramètres Généraux'!$K$15,ROUNDUP((REGENERANTS!H95*REGENERANTS!$CF$75)*'[1]Paramètres Généraux'!$M$15,-1),REGENERANTS!H95*REGENERANTS!$CF$75)),"nd")</f>
        <v>270</v>
      </c>
      <c r="CN95" s="100"/>
      <c r="CO95" s="101"/>
      <c r="CP95" s="101"/>
      <c r="CQ95" s="101"/>
      <c r="CR95" s="101"/>
      <c r="CS95" s="171"/>
      <c r="CT95" s="172"/>
      <c r="CU95" s="101"/>
      <c r="CV95" s="171"/>
      <c r="CW95" s="106"/>
      <c r="CX95" s="107"/>
      <c r="CY95" s="106"/>
      <c r="CZ95" s="104"/>
      <c r="DA95" s="107"/>
      <c r="DB95" s="106"/>
      <c r="DC95" s="104"/>
      <c r="DD95" s="107"/>
      <c r="DE95" s="106"/>
      <c r="DF95" s="104"/>
      <c r="DG95" s="104"/>
      <c r="DH95" s="104"/>
      <c r="DI95" s="104"/>
      <c r="DJ95" s="104"/>
      <c r="DK95" s="104"/>
      <c r="DL95" s="104"/>
      <c r="DM95" s="104"/>
      <c r="DN95" s="104"/>
      <c r="DO95" s="107"/>
      <c r="DP95" s="106"/>
      <c r="DQ95" s="20">
        <f t="shared" si="57"/>
        <v>0</v>
      </c>
      <c r="DR95" s="20">
        <f t="shared" si="58"/>
        <v>0</v>
      </c>
      <c r="DS95" s="20">
        <f>IFERROR((IF(AND($F95="Produit Vente",CO95&gt;0),VLOOKUP($C95,'[1]Paramètres Articles'!$B:$H,7,FALSE)*$CO95)*(1-20%)),0)</f>
        <v>0</v>
      </c>
      <c r="DT95" s="20">
        <f>IFERROR((IF(AND($F95="Produit Vente",DR95&gt;0),VLOOKUP($C95,'[1]Paramètres Articles'!$B:$H,6,FALSE)*$DR95)*(1-15%)),0)</f>
        <v>0</v>
      </c>
      <c r="DU95" s="20">
        <f t="shared" si="59"/>
        <v>0</v>
      </c>
    </row>
    <row r="96" spans="2:125" ht="12.95" customHeight="1" outlineLevel="1">
      <c r="B96" s="1">
        <f>IF(C96="",0,COUNTIFS($B$22:B95,"&gt;"&amp;0)+1)</f>
        <v>40</v>
      </c>
      <c r="C96" s="85" t="s">
        <v>105</v>
      </c>
      <c r="D96" s="86" t="str">
        <f>IFERROR(IF($C96="","",VLOOKUP($C96,'[1]Paramètres Articles'!$B:$G,2,FALSE)),"Non Trouvé")</f>
        <v>Stop-rayon promo Régénérants 2026 -10€</v>
      </c>
      <c r="E96" s="87">
        <f>IFERROR(IF($C96="","",_xlfn.XLOOKUP(REGENERANTS!$C96,'[1]New Base PA'!$F:$F,'[1]New Base PA'!$D:$D,"Not Found",0)),"Non Trouvé")</f>
        <v>0</v>
      </c>
      <c r="F96" s="88" t="s">
        <v>100</v>
      </c>
      <c r="H96" s="89">
        <v>1</v>
      </c>
      <c r="J96" s="90">
        <f>IFERROR(IF($C96="","",VLOOKUP($C96,'[1]New Base PA'!$F:$J,5,FALSE)),"Non Trouvé")</f>
        <v>1.59</v>
      </c>
      <c r="K96" s="90">
        <f t="shared" si="53"/>
        <v>1.59</v>
      </c>
      <c r="L96" s="91"/>
      <c r="M96" s="90">
        <f>IFERROR(IF(AND($F96="Produit Vente",H96&gt;0),VLOOKUP($C96,'[1]Paramètres Articles'!$B:$G,6,FALSE),0),"Non Trouvé")</f>
        <v>0</v>
      </c>
      <c r="N96" s="90">
        <f t="shared" si="54"/>
        <v>0</v>
      </c>
      <c r="P96" s="92"/>
      <c r="R96" s="90">
        <f t="shared" si="55"/>
        <v>0</v>
      </c>
      <c r="S96" s="91"/>
      <c r="T96" s="90">
        <f>IFERROR(IF($C96="","",VLOOKUP($C96,'[1]Paramètres Articles'!$B:$H,7,FALSE)),"Non Trouvé")</f>
        <v>0</v>
      </c>
      <c r="U96" s="93"/>
      <c r="V96" s="90" t="str">
        <f t="shared" si="60"/>
        <v/>
      </c>
      <c r="W96" s="91"/>
      <c r="X96" s="90" t="str">
        <f t="shared" si="61"/>
        <v/>
      </c>
      <c r="Y96" s="91"/>
      <c r="Z96" s="90">
        <f t="shared" si="56"/>
        <v>0</v>
      </c>
      <c r="AB96" s="94">
        <f>AB95</f>
        <v>127</v>
      </c>
      <c r="AC96" s="94">
        <f>AC95</f>
        <v>0.17</v>
      </c>
      <c r="AD96" s="90">
        <f t="shared" si="62"/>
        <v>0</v>
      </c>
      <c r="AG96" s="94">
        <f>AG95</f>
        <v>19</v>
      </c>
      <c r="AH96" s="94">
        <f>AH95</f>
        <v>0.13</v>
      </c>
      <c r="AI96" s="90">
        <f t="shared" si="63"/>
        <v>0</v>
      </c>
      <c r="AL96" s="94">
        <f>AL95</f>
        <v>0</v>
      </c>
      <c r="AM96" s="94">
        <f>AM95</f>
        <v>0.08</v>
      </c>
      <c r="AN96" s="90">
        <f t="shared" si="64"/>
        <v>0</v>
      </c>
      <c r="AQ96" s="94">
        <f>AQ95</f>
        <v>0</v>
      </c>
      <c r="AR96" s="94">
        <f>AR95</f>
        <v>0.05</v>
      </c>
      <c r="AS96" s="90">
        <f t="shared" si="65"/>
        <v>0</v>
      </c>
      <c r="AV96" s="94">
        <f>AV95</f>
        <v>41</v>
      </c>
      <c r="AW96" s="94">
        <f>AW95</f>
        <v>0.32500000000000001</v>
      </c>
      <c r="AX96" s="90">
        <f t="shared" si="66"/>
        <v>0</v>
      </c>
      <c r="BA96" s="94">
        <f>BA95</f>
        <v>16</v>
      </c>
      <c r="BB96" s="94">
        <f>BB95</f>
        <v>0.29499999999999998</v>
      </c>
      <c r="BC96" s="90">
        <f t="shared" si="67"/>
        <v>0</v>
      </c>
      <c r="BF96" s="94">
        <f>BF95</f>
        <v>22</v>
      </c>
      <c r="BG96" s="94">
        <f>BG95</f>
        <v>0.27500000000000002</v>
      </c>
      <c r="BH96" s="90">
        <f t="shared" si="68"/>
        <v>0</v>
      </c>
      <c r="BK96" s="94">
        <f>BK95</f>
        <v>24</v>
      </c>
      <c r="BL96" s="94">
        <f>BL95</f>
        <v>0.245</v>
      </c>
      <c r="BM96" s="90">
        <f t="shared" si="69"/>
        <v>0</v>
      </c>
      <c r="BP96" s="94">
        <f>BP95</f>
        <v>0</v>
      </c>
      <c r="BQ96" s="94">
        <f>BQ95</f>
        <v>0.22500000000000001</v>
      </c>
      <c r="BR96" s="90">
        <f t="shared" si="70"/>
        <v>0</v>
      </c>
      <c r="BU96" s="94">
        <f>BU95</f>
        <v>0</v>
      </c>
      <c r="BV96" s="94">
        <f>BV95</f>
        <v>0.17499999999999999</v>
      </c>
      <c r="BW96" s="90">
        <f t="shared" si="71"/>
        <v>0</v>
      </c>
      <c r="BZ96" s="94">
        <f>BZ95</f>
        <v>21</v>
      </c>
      <c r="CA96" s="94">
        <f>CA95</f>
        <v>0.15</v>
      </c>
      <c r="CB96" s="90">
        <f t="shared" si="72"/>
        <v>0</v>
      </c>
      <c r="CE96" s="95"/>
      <c r="CF96" s="96"/>
      <c r="CG96" s="97" t="s">
        <v>0</v>
      </c>
      <c r="CH96" s="133">
        <f>SUMIFS($AV75:$BX75,$AV72:$BX72,CG96)</f>
        <v>103</v>
      </c>
      <c r="CI96" s="98"/>
      <c r="CK96" s="99">
        <f>IFERROR(IF(F96='[1]Paramètres Généraux'!$K$12,ROUNDUP((REGENERANTS!H96*REGENERANTS!$CF$75)*'[1]Paramètres Généraux'!$M$12,-1),IF(F96='[1]Paramètres Généraux'!$K$15,ROUNDUP((REGENERANTS!H96*REGENERANTS!$CF$75)*'[1]Paramètres Généraux'!$M$15,-1),REGENERANTS!H96*REGENERANTS!$CF$75)),"nd")</f>
        <v>190</v>
      </c>
      <c r="CN96" s="146"/>
      <c r="CO96" s="147"/>
      <c r="CP96" s="147"/>
      <c r="CQ96" s="147"/>
      <c r="CR96" s="147"/>
      <c r="CS96" s="173"/>
      <c r="CT96" s="174"/>
      <c r="CU96" s="147"/>
      <c r="CV96" s="173"/>
      <c r="CW96" s="150"/>
      <c r="CX96" s="149"/>
      <c r="CY96" s="150"/>
      <c r="CZ96" s="136"/>
      <c r="DA96" s="149"/>
      <c r="DB96" s="150"/>
      <c r="DC96" s="136"/>
      <c r="DD96" s="149"/>
      <c r="DE96" s="150"/>
      <c r="DF96" s="136"/>
      <c r="DG96" s="136"/>
      <c r="DH96" s="136"/>
      <c r="DI96" s="136"/>
      <c r="DJ96" s="136"/>
      <c r="DK96" s="136"/>
      <c r="DL96" s="136"/>
      <c r="DM96" s="136"/>
      <c r="DN96" s="136"/>
      <c r="DO96" s="149"/>
      <c r="DP96" s="150"/>
      <c r="DQ96" s="20">
        <f t="shared" si="57"/>
        <v>0</v>
      </c>
      <c r="DR96" s="20">
        <f t="shared" si="58"/>
        <v>0</v>
      </c>
      <c r="DS96" s="20">
        <f>IFERROR((IF(AND($F96="Produit Vente",CO96&gt;0),VLOOKUP($C96,'[1]Paramètres Articles'!$B:$H,7,FALSE)*$CO96)*(1-20%)),0)</f>
        <v>0</v>
      </c>
      <c r="DT96" s="20">
        <f>IFERROR((IF(AND($F96="Produit Vente",DR96&gt;0),VLOOKUP($C96,'[1]Paramètres Articles'!$B:$H,6,FALSE)*$DR96)*(1-15%)),0)</f>
        <v>0</v>
      </c>
      <c r="DU96" s="20">
        <f t="shared" si="59"/>
        <v>0</v>
      </c>
    </row>
    <row r="97" spans="2:125" ht="12.95" customHeight="1" outlineLevel="1">
      <c r="B97" s="1">
        <f>IF(C97="",0,COUNTIFS($B$22:B96,"&gt;"&amp;0)+1)</f>
        <v>0</v>
      </c>
      <c r="C97" s="85"/>
      <c r="D97" s="86" t="str">
        <f>IFERROR(IF($C97="","",VLOOKUP($C97,'[1]Paramètres Articles'!$B:$G,2,FALSE)),"Non Trouvé")</f>
        <v/>
      </c>
      <c r="E97" s="87" t="str">
        <f>IFERROR(IF($C97="","",_xlfn.XLOOKUP(REGENERANTS!$C97,'[1]New Base PA'!$F:$F,'[1]New Base PA'!$D:$D,"Not Found",0)),"Non Trouvé")</f>
        <v/>
      </c>
      <c r="F97" s="88"/>
      <c r="H97" s="101"/>
      <c r="J97" s="90" t="str">
        <f>IFERROR(IF($C97="","",VLOOKUP($C97,'[1]New Base PA'!$F:$J,5,FALSE)),"Non Trouvé")</f>
        <v/>
      </c>
      <c r="K97" s="90" t="str">
        <f t="shared" si="53"/>
        <v/>
      </c>
      <c r="L97" s="91"/>
      <c r="M97" s="90">
        <f>IFERROR(IF(AND($F97="Produit Vente",H97&gt;0),VLOOKUP($C97,'[1]Paramètres Articles'!$B:$G,6,FALSE),0),"Non Trouvé")</f>
        <v>0</v>
      </c>
      <c r="N97" s="90" t="str">
        <f t="shared" si="54"/>
        <v/>
      </c>
      <c r="P97" s="92"/>
      <c r="R97" s="90" t="str">
        <f t="shared" si="55"/>
        <v/>
      </c>
      <c r="S97" s="91"/>
      <c r="T97" s="90" t="str">
        <f>IFERROR(IF($C97="","",VLOOKUP($C97,'[1]Paramètres Articles'!$B:$H,7,FALSE)),"Non Trouvé")</f>
        <v/>
      </c>
      <c r="U97" s="93"/>
      <c r="V97" s="90" t="str">
        <f t="shared" si="60"/>
        <v/>
      </c>
      <c r="W97" s="91"/>
      <c r="X97" s="90" t="str">
        <f t="shared" si="61"/>
        <v/>
      </c>
      <c r="Y97" s="91"/>
      <c r="Z97" s="90">
        <f t="shared" si="56"/>
        <v>0</v>
      </c>
      <c r="AB97" s="94">
        <f>AB95</f>
        <v>127</v>
      </c>
      <c r="AC97" s="94">
        <f>AC95</f>
        <v>0.17</v>
      </c>
      <c r="AD97" s="90" t="str">
        <f t="shared" si="62"/>
        <v/>
      </c>
      <c r="AG97" s="94">
        <f>AG95</f>
        <v>19</v>
      </c>
      <c r="AH97" s="94">
        <f>AH95</f>
        <v>0.13</v>
      </c>
      <c r="AI97" s="90" t="str">
        <f t="shared" si="63"/>
        <v/>
      </c>
      <c r="AL97" s="94">
        <f>AL95</f>
        <v>0</v>
      </c>
      <c r="AM97" s="94">
        <f>AM95</f>
        <v>0.08</v>
      </c>
      <c r="AN97" s="90" t="str">
        <f t="shared" si="64"/>
        <v/>
      </c>
      <c r="AQ97" s="94">
        <f>AQ95</f>
        <v>0</v>
      </c>
      <c r="AR97" s="94">
        <f>AR95</f>
        <v>0.05</v>
      </c>
      <c r="AS97" s="90" t="str">
        <f t="shared" si="65"/>
        <v/>
      </c>
      <c r="AV97" s="94">
        <f>AV95</f>
        <v>41</v>
      </c>
      <c r="AW97" s="94">
        <f>AW95</f>
        <v>0.32500000000000001</v>
      </c>
      <c r="AX97" s="90" t="str">
        <f t="shared" si="66"/>
        <v/>
      </c>
      <c r="BA97" s="94">
        <f>BA95</f>
        <v>16</v>
      </c>
      <c r="BB97" s="94">
        <f>BB95</f>
        <v>0.29499999999999998</v>
      </c>
      <c r="BC97" s="90" t="str">
        <f t="shared" si="67"/>
        <v/>
      </c>
      <c r="BF97" s="94">
        <f>BF95</f>
        <v>22</v>
      </c>
      <c r="BG97" s="94">
        <f>BG95</f>
        <v>0.27500000000000002</v>
      </c>
      <c r="BH97" s="90" t="str">
        <f t="shared" si="68"/>
        <v/>
      </c>
      <c r="BK97" s="94">
        <f>BK95</f>
        <v>24</v>
      </c>
      <c r="BL97" s="94">
        <f>BL95</f>
        <v>0.245</v>
      </c>
      <c r="BM97" s="90" t="str">
        <f t="shared" si="69"/>
        <v/>
      </c>
      <c r="BP97" s="94">
        <f>BP95</f>
        <v>0</v>
      </c>
      <c r="BQ97" s="94">
        <f>BQ95</f>
        <v>0.22500000000000001</v>
      </c>
      <c r="BR97" s="90" t="str">
        <f t="shared" si="70"/>
        <v/>
      </c>
      <c r="BU97" s="94">
        <f>BU95</f>
        <v>0</v>
      </c>
      <c r="BV97" s="94">
        <f>BV95</f>
        <v>0.17499999999999999</v>
      </c>
      <c r="BW97" s="90" t="str">
        <f t="shared" si="71"/>
        <v/>
      </c>
      <c r="BZ97" s="94">
        <f>BZ95</f>
        <v>21</v>
      </c>
      <c r="CA97" s="94">
        <f>CA95</f>
        <v>0.15</v>
      </c>
      <c r="CB97" s="90" t="str">
        <f t="shared" si="72"/>
        <v/>
      </c>
      <c r="CE97" s="95"/>
      <c r="CF97" s="96"/>
      <c r="CG97" s="97" t="s">
        <v>1</v>
      </c>
      <c r="CH97" s="134">
        <f>SUMIFS($AV75:$BX75,$AV72:$BX72,CG97)</f>
        <v>61158.014991497635</v>
      </c>
      <c r="CI97" s="98"/>
      <c r="CK97" s="99">
        <f>IFERROR(IF(F97='[1]Paramètres Généraux'!$K$12,ROUNDUP((REGENERANTS!H97*REGENERANTS!$CF$75)*'[1]Paramètres Généraux'!$M$12,-1),IF(F97='[1]Paramètres Généraux'!$K$15,ROUNDUP((REGENERANTS!H97*REGENERANTS!$CF$75)*'[1]Paramètres Généraux'!$M$15,-1),REGENERANTS!H97*REGENERANTS!$CF$75)),"nd")</f>
        <v>0</v>
      </c>
      <c r="CN97" s="146"/>
      <c r="CO97" s="147"/>
      <c r="CP97" s="147"/>
      <c r="CQ97" s="147"/>
      <c r="CR97" s="147"/>
      <c r="CS97" s="173"/>
      <c r="CT97" s="174"/>
      <c r="CU97" s="147"/>
      <c r="CV97" s="173"/>
      <c r="CW97" s="150"/>
      <c r="CX97" s="149"/>
      <c r="CY97" s="150"/>
      <c r="CZ97" s="136"/>
      <c r="DA97" s="149"/>
      <c r="DB97" s="150"/>
      <c r="DC97" s="136"/>
      <c r="DD97" s="149"/>
      <c r="DE97" s="150"/>
      <c r="DF97" s="136"/>
      <c r="DG97" s="136"/>
      <c r="DH97" s="136"/>
      <c r="DI97" s="136"/>
      <c r="DJ97" s="136"/>
      <c r="DK97" s="136"/>
      <c r="DL97" s="136"/>
      <c r="DM97" s="136"/>
      <c r="DN97" s="136"/>
      <c r="DO97" s="149"/>
      <c r="DP97" s="150"/>
      <c r="DQ97" s="20">
        <f t="shared" si="57"/>
        <v>0</v>
      </c>
      <c r="DR97" s="20">
        <f t="shared" si="58"/>
        <v>0</v>
      </c>
      <c r="DS97" s="20">
        <f>IFERROR((IF(AND($F97="Produit Vente",CO97&gt;0),VLOOKUP($C97,'[1]Paramètres Articles'!$B:$H,7,FALSE)*$CO97)*(1-20%)),0)</f>
        <v>0</v>
      </c>
      <c r="DT97" s="20">
        <f>IFERROR((IF(AND($F97="Produit Vente",DR97&gt;0),VLOOKUP($C97,'[1]Paramètres Articles'!$B:$H,6,FALSE)*$DR97)*(1-15%)),0)</f>
        <v>0</v>
      </c>
      <c r="DU97" s="20">
        <f t="shared" si="59"/>
        <v>0</v>
      </c>
    </row>
    <row r="98" spans="2:125" ht="12.95" customHeight="1" outlineLevel="1">
      <c r="B98" s="1">
        <f>IF(C98="",0,COUNTIFS($B$22:B97,"&gt;"&amp;0)+1)</f>
        <v>0</v>
      </c>
      <c r="C98" s="85"/>
      <c r="D98" s="86" t="str">
        <f>IFERROR(IF($C98="","",VLOOKUP($C98,'[1]Paramètres Articles'!$B:$G,2,FALSE)),"Non Trouvé")</f>
        <v/>
      </c>
      <c r="E98" s="87" t="str">
        <f>IFERROR(IF($C98="","",_xlfn.XLOOKUP(REGENERANTS!$C98,'[1]New Base PA'!$F:$F,'[1]New Base PA'!$D:$D,"Not Found",0)),"Non Trouvé")</f>
        <v/>
      </c>
      <c r="F98" s="88"/>
      <c r="H98" s="101"/>
      <c r="J98" s="90" t="str">
        <f>IFERROR(IF($C98="","",VLOOKUP($C98,'[1]New Base PA'!$F:$J,5,FALSE)),"Non Trouvé")</f>
        <v/>
      </c>
      <c r="K98" s="90" t="str">
        <f t="shared" si="53"/>
        <v/>
      </c>
      <c r="L98" s="91"/>
      <c r="M98" s="90">
        <f>IFERROR(IF(AND($F98="Produit Vente",H98&gt;0),VLOOKUP($C98,'[1]Paramètres Articles'!$B:$G,6,FALSE),0),"Non Trouvé")</f>
        <v>0</v>
      </c>
      <c r="N98" s="90" t="str">
        <f t="shared" si="54"/>
        <v/>
      </c>
      <c r="P98" s="92"/>
      <c r="R98" s="90" t="str">
        <f t="shared" si="55"/>
        <v/>
      </c>
      <c r="S98" s="91"/>
      <c r="T98" s="90" t="str">
        <f>IFERROR(IF($C98="","",VLOOKUP($C98,'[1]Paramètres Articles'!$B:$H,7,FALSE)),"Non Trouvé")</f>
        <v/>
      </c>
      <c r="U98" s="93"/>
      <c r="V98" s="90" t="str">
        <f t="shared" si="60"/>
        <v/>
      </c>
      <c r="W98" s="91"/>
      <c r="X98" s="90" t="str">
        <f t="shared" si="61"/>
        <v/>
      </c>
      <c r="Y98" s="91"/>
      <c r="Z98" s="90">
        <f t="shared" si="56"/>
        <v>0</v>
      </c>
      <c r="AB98" s="94">
        <f>AB96</f>
        <v>127</v>
      </c>
      <c r="AC98" s="94">
        <f>AC96</f>
        <v>0.17</v>
      </c>
      <c r="AD98" s="90" t="str">
        <f t="shared" si="62"/>
        <v/>
      </c>
      <c r="AG98" s="94">
        <f>AG96</f>
        <v>19</v>
      </c>
      <c r="AH98" s="94">
        <f>AH96</f>
        <v>0.13</v>
      </c>
      <c r="AI98" s="90" t="str">
        <f t="shared" si="63"/>
        <v/>
      </c>
      <c r="AL98" s="94">
        <f>AL96</f>
        <v>0</v>
      </c>
      <c r="AM98" s="94">
        <f>AM96</f>
        <v>0.08</v>
      </c>
      <c r="AN98" s="90" t="str">
        <f t="shared" si="64"/>
        <v/>
      </c>
      <c r="AQ98" s="94">
        <f>AQ96</f>
        <v>0</v>
      </c>
      <c r="AR98" s="94">
        <f>AR96</f>
        <v>0.05</v>
      </c>
      <c r="AS98" s="90" t="str">
        <f t="shared" si="65"/>
        <v/>
      </c>
      <c r="AV98" s="94">
        <f>AV96</f>
        <v>41</v>
      </c>
      <c r="AW98" s="94">
        <f>AW96</f>
        <v>0.32500000000000001</v>
      </c>
      <c r="AX98" s="90" t="str">
        <f t="shared" si="66"/>
        <v/>
      </c>
      <c r="BA98" s="94">
        <f>BA96</f>
        <v>16</v>
      </c>
      <c r="BB98" s="94">
        <f>BB96</f>
        <v>0.29499999999999998</v>
      </c>
      <c r="BC98" s="90" t="str">
        <f t="shared" si="67"/>
        <v/>
      </c>
      <c r="BF98" s="94">
        <f>BF96</f>
        <v>22</v>
      </c>
      <c r="BG98" s="94">
        <f>BG96</f>
        <v>0.27500000000000002</v>
      </c>
      <c r="BH98" s="90" t="str">
        <f t="shared" si="68"/>
        <v/>
      </c>
      <c r="BK98" s="94">
        <f>BK96</f>
        <v>24</v>
      </c>
      <c r="BL98" s="94">
        <f>BL96</f>
        <v>0.245</v>
      </c>
      <c r="BM98" s="90" t="str">
        <f t="shared" si="69"/>
        <v/>
      </c>
      <c r="BP98" s="94">
        <f>BP96</f>
        <v>0</v>
      </c>
      <c r="BQ98" s="94">
        <f>BQ96</f>
        <v>0.22500000000000001</v>
      </c>
      <c r="BR98" s="90" t="str">
        <f t="shared" si="70"/>
        <v/>
      </c>
      <c r="BU98" s="94">
        <f>BU96</f>
        <v>0</v>
      </c>
      <c r="BV98" s="94">
        <f>BV96</f>
        <v>0.17499999999999999</v>
      </c>
      <c r="BW98" s="90" t="str">
        <f t="shared" si="71"/>
        <v/>
      </c>
      <c r="BZ98" s="94">
        <f>BZ96</f>
        <v>21</v>
      </c>
      <c r="CA98" s="94">
        <f>CA96</f>
        <v>0.15</v>
      </c>
      <c r="CB98" s="90" t="str">
        <f t="shared" si="72"/>
        <v/>
      </c>
      <c r="CE98" s="95"/>
      <c r="CF98" s="96"/>
      <c r="CG98" s="97" t="s">
        <v>2</v>
      </c>
      <c r="CH98" s="135">
        <f>IFERROR((CH97-$K75*CH96)/CH97,"Non Trouvé")</f>
        <v>0.26381105720551357</v>
      </c>
      <c r="CI98" s="98"/>
      <c r="CK98" s="99">
        <f>IFERROR(IF(F98='[1]Paramètres Généraux'!$K$12,ROUNDUP((REGENERANTS!H98*REGENERANTS!$CF$75)*'[1]Paramètres Généraux'!$M$12,-1),IF(F98='[1]Paramètres Généraux'!$K$15,ROUNDUP((REGENERANTS!H98*REGENERANTS!$CF$75)*'[1]Paramètres Généraux'!$M$15,-1),REGENERANTS!H98*REGENERANTS!$CF$75)),"nd")</f>
        <v>0</v>
      </c>
      <c r="CN98" s="158"/>
      <c r="CO98" s="158"/>
      <c r="CP98" s="158"/>
      <c r="CQ98" s="158"/>
      <c r="CR98" s="158"/>
      <c r="CS98" s="158"/>
      <c r="CT98" s="158"/>
      <c r="CU98" s="158"/>
      <c r="CV98" s="158"/>
      <c r="CW98" s="159"/>
      <c r="CX98" s="159"/>
      <c r="CY98" s="159"/>
      <c r="CZ98" s="159"/>
      <c r="DA98" s="159"/>
      <c r="DB98" s="159"/>
      <c r="DC98" s="159"/>
      <c r="DD98" s="159"/>
      <c r="DE98" s="159"/>
      <c r="DF98" s="159"/>
      <c r="DG98" s="159"/>
      <c r="DH98" s="159"/>
      <c r="DI98" s="159"/>
      <c r="DJ98" s="159"/>
      <c r="DK98" s="159"/>
      <c r="DL98" s="159"/>
      <c r="DM98" s="159"/>
      <c r="DN98" s="159"/>
      <c r="DO98" s="159"/>
      <c r="DP98" s="159"/>
      <c r="DQ98" s="20"/>
      <c r="DU98" s="20"/>
    </row>
    <row r="99" spans="2:125">
      <c r="CE99" s="95"/>
      <c r="CF99" s="97"/>
      <c r="CG99" s="97" t="s">
        <v>103</v>
      </c>
      <c r="CH99" s="134">
        <f>IFERROR(CH97*CH98,0)</f>
        <v>16134.160591497639</v>
      </c>
      <c r="CI99" s="98"/>
      <c r="CK99" s="99"/>
      <c r="CN99" s="20"/>
    </row>
    <row r="100" spans="2:125">
      <c r="CE100" s="155"/>
      <c r="CF100" s="156"/>
      <c r="CG100" s="156"/>
      <c r="CH100" s="175"/>
      <c r="CI100" s="157"/>
      <c r="CK100" s="99"/>
      <c r="CN100" s="20"/>
    </row>
    <row r="101" spans="2:125" ht="18" customHeight="1">
      <c r="AB101" s="1">
        <v>390</v>
      </c>
      <c r="CK101" s="99"/>
    </row>
    <row r="102" spans="2:125">
      <c r="C102" s="22" t="s">
        <v>108</v>
      </c>
      <c r="D102" s="23"/>
      <c r="E102" s="24"/>
      <c r="F102" s="25" t="s">
        <v>109</v>
      </c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K102" s="99"/>
    </row>
    <row r="103" spans="2:125" ht="5.25" customHeight="1">
      <c r="CK103" s="99"/>
    </row>
    <row r="104" spans="2:125" ht="15.95" customHeight="1">
      <c r="AB104" s="26">
        <v>0.23</v>
      </c>
      <c r="AC104" s="26"/>
      <c r="AD104" s="26"/>
      <c r="AE104" s="26"/>
      <c r="AF104" s="26"/>
      <c r="AG104" s="26">
        <v>0.21</v>
      </c>
      <c r="AH104" s="26"/>
      <c r="AI104" s="26"/>
      <c r="AJ104" s="26"/>
      <c r="AK104" s="26"/>
      <c r="AL104" s="26">
        <v>0.05</v>
      </c>
      <c r="AM104" s="26"/>
      <c r="AN104" s="26"/>
      <c r="AO104" s="26"/>
      <c r="AP104" s="26"/>
      <c r="AQ104" s="26"/>
      <c r="AR104" s="26"/>
      <c r="AS104" s="26"/>
      <c r="AT104" s="26"/>
      <c r="AU104" s="26"/>
      <c r="AV104" s="26">
        <v>0.04</v>
      </c>
      <c r="AW104" s="26"/>
      <c r="AX104" s="26"/>
      <c r="AY104" s="26"/>
      <c r="AZ104" s="26"/>
      <c r="BA104" s="26">
        <v>0.03</v>
      </c>
      <c r="BB104" s="26"/>
      <c r="BC104" s="26"/>
      <c r="BD104" s="26"/>
      <c r="BE104" s="26"/>
      <c r="BF104" s="26">
        <v>0.05</v>
      </c>
      <c r="BG104" s="26"/>
      <c r="BH104" s="26"/>
      <c r="BI104" s="26"/>
      <c r="BJ104" s="26"/>
      <c r="BK104" s="26">
        <v>0.1</v>
      </c>
      <c r="BL104" s="26"/>
      <c r="BM104" s="26"/>
      <c r="BN104" s="26"/>
      <c r="BO104" s="26"/>
      <c r="BP104" s="26">
        <v>7.0000000000000007E-2</v>
      </c>
      <c r="BQ104" s="26"/>
      <c r="BR104" s="26"/>
      <c r="BS104" s="26"/>
      <c r="BT104" s="26"/>
      <c r="BU104" s="26"/>
      <c r="BV104" s="26"/>
      <c r="BW104" s="26"/>
      <c r="BX104" s="26"/>
      <c r="BY104" s="26"/>
      <c r="BZ104" s="26">
        <v>0.215</v>
      </c>
      <c r="CA104" s="26"/>
      <c r="CB104" s="26"/>
      <c r="CC104" s="26"/>
      <c r="CE104" s="27"/>
      <c r="CF104" s="28"/>
      <c r="CG104" s="28"/>
      <c r="CH104" s="28"/>
      <c r="CI104" s="29"/>
      <c r="CK104" s="99"/>
    </row>
    <row r="105" spans="2:125">
      <c r="AB105" s="30" t="s">
        <v>8</v>
      </c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V105" s="31" t="s">
        <v>9</v>
      </c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Z105" s="32" t="s">
        <v>10</v>
      </c>
      <c r="CA105" s="32"/>
      <c r="CB105" s="32"/>
      <c r="CC105" s="32"/>
      <c r="CE105" s="33"/>
      <c r="CF105" s="34" t="s">
        <v>11</v>
      </c>
      <c r="CG105" s="34"/>
      <c r="CH105" s="34"/>
      <c r="CI105" s="35"/>
      <c r="CK105" s="99"/>
    </row>
    <row r="106" spans="2:125" ht="5.25" customHeight="1">
      <c r="CE106" s="33"/>
      <c r="CF106" s="39"/>
      <c r="CG106" s="39"/>
      <c r="CH106" s="39"/>
      <c r="CI106" s="35"/>
      <c r="CK106" s="99"/>
    </row>
    <row r="107" spans="2:125">
      <c r="P107" s="1" t="s">
        <v>12</v>
      </c>
      <c r="AB107" s="42" t="s">
        <v>13</v>
      </c>
      <c r="AC107" s="42"/>
      <c r="AD107" s="42"/>
      <c r="AE107" s="42"/>
      <c r="AG107" s="42" t="s">
        <v>14</v>
      </c>
      <c r="AH107" s="42"/>
      <c r="AI107" s="42"/>
      <c r="AJ107" s="42"/>
      <c r="AL107" s="42" t="s">
        <v>15</v>
      </c>
      <c r="AM107" s="42"/>
      <c r="AN107" s="42"/>
      <c r="AO107" s="42"/>
      <c r="AQ107" s="42" t="s">
        <v>16</v>
      </c>
      <c r="AR107" s="42"/>
      <c r="AS107" s="42"/>
      <c r="AT107" s="42"/>
      <c r="AV107" s="43" t="s">
        <v>17</v>
      </c>
      <c r="AW107" s="43"/>
      <c r="AX107" s="43"/>
      <c r="AY107" s="43"/>
      <c r="BA107" s="43" t="s">
        <v>18</v>
      </c>
      <c r="BB107" s="43"/>
      <c r="BC107" s="43"/>
      <c r="BD107" s="43"/>
      <c r="BF107" s="43" t="s">
        <v>19</v>
      </c>
      <c r="BG107" s="43"/>
      <c r="BH107" s="43"/>
      <c r="BI107" s="43"/>
      <c r="BK107" s="43" t="s">
        <v>20</v>
      </c>
      <c r="BL107" s="43"/>
      <c r="BM107" s="43"/>
      <c r="BN107" s="43"/>
      <c r="BP107" s="43" t="s">
        <v>21</v>
      </c>
      <c r="BQ107" s="43"/>
      <c r="BR107" s="43"/>
      <c r="BS107" s="43"/>
      <c r="BU107" s="43" t="s">
        <v>22</v>
      </c>
      <c r="BV107" s="43"/>
      <c r="BW107" s="43"/>
      <c r="BX107" s="43"/>
      <c r="BZ107" s="44" t="s">
        <v>10</v>
      </c>
      <c r="CA107" s="44"/>
      <c r="CB107" s="44"/>
      <c r="CC107" s="44"/>
      <c r="CE107" s="33"/>
      <c r="CF107" s="45" t="s">
        <v>23</v>
      </c>
      <c r="CG107" s="45"/>
      <c r="CH107" s="45"/>
      <c r="CI107" s="35"/>
      <c r="CK107" s="99"/>
    </row>
    <row r="108" spans="2:125" ht="5.25" customHeight="1">
      <c r="CE108" s="33"/>
      <c r="CF108" s="39"/>
      <c r="CG108" s="39"/>
      <c r="CH108" s="39"/>
      <c r="CI108" s="35"/>
      <c r="CK108" s="99"/>
    </row>
    <row r="109" spans="2:125" s="46" customFormat="1" ht="38.25">
      <c r="E109" s="47"/>
      <c r="H109" s="48" t="s">
        <v>24</v>
      </c>
      <c r="J109" s="48" t="s">
        <v>25</v>
      </c>
      <c r="K109" s="48" t="s">
        <v>26</v>
      </c>
      <c r="M109" s="48" t="s">
        <v>27</v>
      </c>
      <c r="N109" s="48" t="s">
        <v>28</v>
      </c>
      <c r="P109" s="48" t="s">
        <v>29</v>
      </c>
      <c r="R109" s="48" t="s">
        <v>30</v>
      </c>
      <c r="T109" s="48" t="s">
        <v>31</v>
      </c>
      <c r="U109" s="48"/>
      <c r="V109" s="48" t="s">
        <v>32</v>
      </c>
      <c r="X109" s="48" t="s">
        <v>33</v>
      </c>
      <c r="Z109" s="48" t="s">
        <v>34</v>
      </c>
      <c r="AB109" s="48" t="s">
        <v>0</v>
      </c>
      <c r="AC109" s="48" t="s">
        <v>35</v>
      </c>
      <c r="AD109" s="48" t="s">
        <v>1</v>
      </c>
      <c r="AE109" s="48" t="s">
        <v>2</v>
      </c>
      <c r="AG109" s="48" t="s">
        <v>0</v>
      </c>
      <c r="AH109" s="48" t="s">
        <v>35</v>
      </c>
      <c r="AI109" s="48" t="s">
        <v>1</v>
      </c>
      <c r="AJ109" s="48" t="s">
        <v>2</v>
      </c>
      <c r="AL109" s="48" t="s">
        <v>0</v>
      </c>
      <c r="AM109" s="48" t="s">
        <v>35</v>
      </c>
      <c r="AN109" s="48" t="s">
        <v>1</v>
      </c>
      <c r="AO109" s="48" t="s">
        <v>2</v>
      </c>
      <c r="AQ109" s="48" t="s">
        <v>0</v>
      </c>
      <c r="AR109" s="48" t="s">
        <v>35</v>
      </c>
      <c r="AS109" s="48" t="s">
        <v>1</v>
      </c>
      <c r="AT109" s="48" t="s">
        <v>2</v>
      </c>
      <c r="AV109" s="48" t="s">
        <v>0</v>
      </c>
      <c r="AW109" s="48" t="s">
        <v>35</v>
      </c>
      <c r="AX109" s="48" t="s">
        <v>1</v>
      </c>
      <c r="AY109" s="48" t="s">
        <v>2</v>
      </c>
      <c r="BA109" s="48" t="s">
        <v>0</v>
      </c>
      <c r="BB109" s="48" t="s">
        <v>35</v>
      </c>
      <c r="BC109" s="48" t="s">
        <v>1</v>
      </c>
      <c r="BD109" s="48" t="s">
        <v>2</v>
      </c>
      <c r="BF109" s="48" t="s">
        <v>0</v>
      </c>
      <c r="BG109" s="48" t="s">
        <v>35</v>
      </c>
      <c r="BH109" s="48" t="s">
        <v>1</v>
      </c>
      <c r="BI109" s="48" t="s">
        <v>2</v>
      </c>
      <c r="BK109" s="48" t="s">
        <v>0</v>
      </c>
      <c r="BL109" s="48" t="s">
        <v>35</v>
      </c>
      <c r="BM109" s="48" t="s">
        <v>1</v>
      </c>
      <c r="BN109" s="48" t="s">
        <v>2</v>
      </c>
      <c r="BP109" s="48" t="s">
        <v>0</v>
      </c>
      <c r="BQ109" s="48" t="s">
        <v>35</v>
      </c>
      <c r="BR109" s="48" t="s">
        <v>1</v>
      </c>
      <c r="BS109" s="48" t="s">
        <v>2</v>
      </c>
      <c r="BU109" s="48" t="s">
        <v>0</v>
      </c>
      <c r="BV109" s="48" t="s">
        <v>35</v>
      </c>
      <c r="BW109" s="48" t="s">
        <v>1</v>
      </c>
      <c r="BX109" s="48" t="s">
        <v>2</v>
      </c>
      <c r="BZ109" s="48" t="s">
        <v>0</v>
      </c>
      <c r="CA109" s="48" t="s">
        <v>35</v>
      </c>
      <c r="CB109" s="48" t="s">
        <v>1</v>
      </c>
      <c r="CC109" s="48" t="s">
        <v>2</v>
      </c>
      <c r="CE109" s="49"/>
      <c r="CF109" s="50" t="s">
        <v>0</v>
      </c>
      <c r="CG109" s="50" t="s">
        <v>1</v>
      </c>
      <c r="CH109" s="50" t="s">
        <v>2</v>
      </c>
      <c r="CI109" s="51"/>
      <c r="CK109" s="99"/>
      <c r="CW109" s="176"/>
      <c r="CX109" s="176"/>
      <c r="CY109" s="176"/>
      <c r="CZ109" s="176"/>
      <c r="DA109" s="176"/>
      <c r="DB109" s="176"/>
      <c r="DC109" s="176"/>
      <c r="DD109" s="176"/>
      <c r="DE109" s="176"/>
      <c r="DF109" s="176"/>
      <c r="DG109" s="176"/>
      <c r="DH109" s="176"/>
      <c r="DI109" s="176"/>
      <c r="DJ109" s="176"/>
      <c r="DK109" s="176"/>
      <c r="DL109" s="176"/>
      <c r="DM109" s="176"/>
      <c r="DN109" s="176"/>
      <c r="DO109" s="176"/>
      <c r="DP109" s="176"/>
    </row>
    <row r="110" spans="2:125" ht="26.25" thickBot="1">
      <c r="C110" s="60" t="s">
        <v>49</v>
      </c>
      <c r="D110" s="60" t="s">
        <v>50</v>
      </c>
      <c r="E110" s="161" t="s">
        <v>51</v>
      </c>
      <c r="F110" s="60" t="s">
        <v>52</v>
      </c>
      <c r="H110" s="61" t="s">
        <v>53</v>
      </c>
      <c r="J110" s="61" t="s">
        <v>54</v>
      </c>
      <c r="K110" s="61" t="s">
        <v>54</v>
      </c>
      <c r="M110" s="61" t="s">
        <v>54</v>
      </c>
      <c r="N110" s="61" t="s">
        <v>54</v>
      </c>
      <c r="P110" s="61" t="s">
        <v>54</v>
      </c>
      <c r="R110" s="61" t="s">
        <v>54</v>
      </c>
      <c r="T110" s="61" t="s">
        <v>54</v>
      </c>
      <c r="U110" s="62"/>
      <c r="V110" s="61" t="s">
        <v>54</v>
      </c>
      <c r="X110" s="61" t="s">
        <v>54</v>
      </c>
      <c r="Z110" s="61" t="s">
        <v>54</v>
      </c>
      <c r="AB110" s="61" t="s">
        <v>53</v>
      </c>
      <c r="AC110" s="61" t="s">
        <v>54</v>
      </c>
      <c r="AD110" s="61" t="s">
        <v>54</v>
      </c>
      <c r="AE110" s="61" t="s">
        <v>54</v>
      </c>
      <c r="AG110" s="61" t="s">
        <v>53</v>
      </c>
      <c r="AH110" s="61" t="s">
        <v>54</v>
      </c>
      <c r="AI110" s="61" t="s">
        <v>54</v>
      </c>
      <c r="AJ110" s="61" t="s">
        <v>54</v>
      </c>
      <c r="AL110" s="61" t="s">
        <v>53</v>
      </c>
      <c r="AM110" s="61" t="s">
        <v>54</v>
      </c>
      <c r="AN110" s="61" t="s">
        <v>54</v>
      </c>
      <c r="AO110" s="61" t="s">
        <v>54</v>
      </c>
      <c r="AQ110" s="61" t="s">
        <v>53</v>
      </c>
      <c r="AR110" s="61" t="s">
        <v>54</v>
      </c>
      <c r="AS110" s="61" t="s">
        <v>54</v>
      </c>
      <c r="AT110" s="61" t="s">
        <v>54</v>
      </c>
      <c r="AV110" s="61" t="s">
        <v>53</v>
      </c>
      <c r="AW110" s="61" t="s">
        <v>54</v>
      </c>
      <c r="AX110" s="61" t="s">
        <v>54</v>
      </c>
      <c r="AY110" s="61" t="s">
        <v>54</v>
      </c>
      <c r="BA110" s="61" t="s">
        <v>53</v>
      </c>
      <c r="BB110" s="61" t="s">
        <v>54</v>
      </c>
      <c r="BC110" s="61" t="s">
        <v>54</v>
      </c>
      <c r="BD110" s="61" t="s">
        <v>54</v>
      </c>
      <c r="BF110" s="61" t="s">
        <v>53</v>
      </c>
      <c r="BG110" s="61" t="s">
        <v>54</v>
      </c>
      <c r="BH110" s="61" t="s">
        <v>54</v>
      </c>
      <c r="BI110" s="61" t="s">
        <v>54</v>
      </c>
      <c r="BK110" s="61" t="s">
        <v>53</v>
      </c>
      <c r="BL110" s="61" t="s">
        <v>54</v>
      </c>
      <c r="BM110" s="61" t="s">
        <v>54</v>
      </c>
      <c r="BN110" s="61" t="s">
        <v>54</v>
      </c>
      <c r="BP110" s="61" t="s">
        <v>53</v>
      </c>
      <c r="BQ110" s="61" t="s">
        <v>54</v>
      </c>
      <c r="BR110" s="61" t="s">
        <v>54</v>
      </c>
      <c r="BS110" s="61" t="s">
        <v>54</v>
      </c>
      <c r="BU110" s="61" t="s">
        <v>53</v>
      </c>
      <c r="BV110" s="61" t="s">
        <v>54</v>
      </c>
      <c r="BW110" s="61" t="s">
        <v>54</v>
      </c>
      <c r="BX110" s="61" t="s">
        <v>54</v>
      </c>
      <c r="BZ110" s="61" t="s">
        <v>53</v>
      </c>
      <c r="CA110" s="61" t="s">
        <v>54</v>
      </c>
      <c r="CB110" s="61" t="s">
        <v>54</v>
      </c>
      <c r="CC110" s="61" t="s">
        <v>54</v>
      </c>
      <c r="CE110" s="33"/>
      <c r="CF110" s="63" t="s">
        <v>53</v>
      </c>
      <c r="CG110" s="63" t="s">
        <v>54</v>
      </c>
      <c r="CH110" s="63" t="s">
        <v>54</v>
      </c>
      <c r="CI110" s="35"/>
      <c r="CJ110" s="64">
        <f>ROUNDUP(CF112*40%,-1)</f>
        <v>160</v>
      </c>
      <c r="CK110" s="99"/>
    </row>
    <row r="111" spans="2:125" ht="5.25" customHeight="1">
      <c r="V111"/>
      <c r="X111"/>
      <c r="CE111" s="33"/>
      <c r="CF111" s="39"/>
      <c r="CG111" s="39"/>
      <c r="CH111" s="39"/>
      <c r="CI111" s="35"/>
      <c r="CK111" s="99"/>
    </row>
    <row r="112" spans="2:125" s="64" customFormat="1" ht="12.95" customHeight="1">
      <c r="B112" s="64" t="str">
        <f>C102</f>
        <v>REGENERANTS 1 - Essentiel</v>
      </c>
      <c r="C112" s="65" t="s">
        <v>56</v>
      </c>
      <c r="D112" s="65"/>
      <c r="E112" s="66"/>
      <c r="F112" s="65"/>
      <c r="H112" s="67">
        <f>IFERROR(SUMIFS(H114:H153,F114:F153,"Produit Vente"),"Non trouvé")</f>
        <v>13</v>
      </c>
      <c r="J112" s="68">
        <f>IFERROR($K112/$H112,"Non Trouvé")</f>
        <v>22.258461538461532</v>
      </c>
      <c r="K112" s="68">
        <f>IFERROR(SUM(K114:K153),"Non Trouvé")</f>
        <v>289.3599999999999</v>
      </c>
      <c r="M112" s="68">
        <f>IFERROR($N112/$H112,"Non Trouvé")</f>
        <v>40.561906800975358</v>
      </c>
      <c r="N112" s="68">
        <f>IFERROR(SUM(N114:N153),"Non Trouvé")</f>
        <v>527.30478841267961</v>
      </c>
      <c r="P112" s="69">
        <f>IFERROR(-(R112-N112)/N112,"Non Trouvé")</f>
        <v>5.0000000000000031E-2</v>
      </c>
      <c r="R112" s="68">
        <f>IFERROR(SUM(R114:R153),"Non Trouvé")</f>
        <v>500.93954899204562</v>
      </c>
      <c r="T112" s="68">
        <f>IFERROR(SUM(T114:T153),"Non Trouvé")</f>
        <v>863.39614304461031</v>
      </c>
      <c r="U112" s="70"/>
      <c r="V112" s="68">
        <f>IFERROR(SUM(V114:V154),"Non Trouvé")</f>
        <v>820.22633589237978</v>
      </c>
      <c r="X112" s="68">
        <f>IFERROR(SUM(X114:X154),"Non Trouvé")</f>
        <v>43.169807152230547</v>
      </c>
      <c r="Z112" s="68">
        <f>IFERROR(SUM(Z114:Z153),"Non Trouvé")</f>
        <v>896.39807152230514</v>
      </c>
      <c r="AB112" s="71">
        <f>ROUND($AB$101*AB104,0)</f>
        <v>90</v>
      </c>
      <c r="AC112" s="72">
        <f>IFERROR(VLOOKUP(AB107,'[1]Paramètres Généraux'!$O:$P,2,FALSE),"Non Trouvé")</f>
        <v>0.17</v>
      </c>
      <c r="AD112" s="68">
        <f>IFERROR(SUM(AD114:AD154),"Non Trouvé")</f>
        <v>37016.796146570108</v>
      </c>
      <c r="AE112" s="69">
        <f>IFERROR((AD112-$K112*AB112)/AD112,"Non Trouvé")</f>
        <v>0.2964707184035153</v>
      </c>
      <c r="AG112" s="71">
        <f>ROUND($AB$101*AG104,0)</f>
        <v>82</v>
      </c>
      <c r="AH112" s="72">
        <f>IFERROR(VLOOKUP(AG107,'[1]Paramètres Généraux'!$O:$P,2,FALSE),"Non Trouvé")</f>
        <v>0.13</v>
      </c>
      <c r="AI112" s="68">
        <f>IFERROR(SUM(AI114:AI154),"Non Trouvé")</f>
        <v>35455.973972868582</v>
      </c>
      <c r="AJ112" s="69">
        <f>IFERROR((AI112-$K112*AG112)/AI112,"Non Trouvé")</f>
        <v>0.33078921994480731</v>
      </c>
      <c r="AL112" s="71">
        <f>ROUND($AB$101*AL104,0)</f>
        <v>20</v>
      </c>
      <c r="AM112" s="72">
        <f>IFERROR(VLOOKUP(AL107,'[1]Paramètres Généraux'!$O:$P,2,FALSE),"Non Trouvé")</f>
        <v>0.08</v>
      </c>
      <c r="AN112" s="68">
        <f>IFERROR(SUM(AN114:AN154),"Non Trouvé")</f>
        <v>9175.1033183806248</v>
      </c>
      <c r="AO112" s="69">
        <f>IFERROR((AN112-$K112*AL112)/AN112,"Non Trouvé")</f>
        <v>0.36924960960315162</v>
      </c>
      <c r="AQ112" s="71">
        <f>ROUND($AB$101*AQ104,0)</f>
        <v>0</v>
      </c>
      <c r="AR112" s="72">
        <f>IFERROR(VLOOKUP(AQ107,'[1]Paramètres Généraux'!$O:$P,2,FALSE),"Non Trouvé")</f>
        <v>0.05</v>
      </c>
      <c r="AS112" s="68">
        <f>IFERROR(SUM(AS114:AS154),"Non Trouvé")</f>
        <v>0</v>
      </c>
      <c r="AT112" s="69" t="str">
        <f>IFERROR((AS112-$K112*AQ112)/AS112,"Non Trouvé")</f>
        <v>Non Trouvé</v>
      </c>
      <c r="AV112" s="71">
        <f>ROUND($AB$101*AV104,0)</f>
        <v>16</v>
      </c>
      <c r="AW112" s="72">
        <f>IFERROR(VLOOKUP(AV107,'[1]Paramètres Généraux'!$O:$P,2,FALSE),"Non Trouvé")</f>
        <v>0.32500000000000001</v>
      </c>
      <c r="AX112" s="68">
        <f>IFERROR(SUM(AX114:AX154),"Non Trouvé")</f>
        <v>5273.0478841267959</v>
      </c>
      <c r="AY112" s="69">
        <f>IFERROR((AX112-$K112*AV112)/AX112,"Non Trouvé")</f>
        <v>0.12199545656758709</v>
      </c>
      <c r="BA112" s="71">
        <f>ROUND($AB$101*BA104,0)</f>
        <v>12</v>
      </c>
      <c r="BB112" s="72">
        <f>IFERROR(VLOOKUP(BA107,'[1]Paramètres Généraux'!$O:$P,2,FALSE),"Non Trouvé")</f>
        <v>0.29499999999999998</v>
      </c>
      <c r="BC112" s="68">
        <f>IFERROR(SUM(BC114:BC154),"Non Trouvé")</f>
        <v>4144.6156369236614</v>
      </c>
      <c r="BD112" s="69">
        <f>IFERROR((BC112-$K112*BA112)/BC112,"Non Trouvé")</f>
        <v>0.16220940512174337</v>
      </c>
      <c r="BF112" s="71">
        <f>ROUND($AB$101*BF104,0)</f>
        <v>20</v>
      </c>
      <c r="BG112" s="72">
        <f>IFERROR(VLOOKUP(BF107,'[1]Paramètres Généraux'!$O:$P,2,FALSE),"Non Trouvé")</f>
        <v>0.27500000000000002</v>
      </c>
      <c r="BH112" s="68">
        <f>IFERROR(SUM(BH114:BH154),"Non Trouvé")</f>
        <v>7118.6146435711744</v>
      </c>
      <c r="BI112" s="69">
        <f>IFERROR((BH112-$K112*BF112)/BH112,"Non Trouvé")</f>
        <v>0.18703283015517322</v>
      </c>
      <c r="BK112" s="71">
        <f>ROUND($AB$101*BK104,0)</f>
        <v>39</v>
      </c>
      <c r="BL112" s="72">
        <f>IFERROR(VLOOKUP(BK107,'[1]Paramètres Généraux'!$O:$P,2,FALSE),"Non Trouvé")</f>
        <v>0.245</v>
      </c>
      <c r="BM112" s="68">
        <f>IFERROR(SUM(BM114:BM154),"Non Trouvé")</f>
        <v>14498.245157406625</v>
      </c>
      <c r="BN112" s="69">
        <f>IFERROR((BM112-$K112*BK112)/BM112,"Non Trouvé")</f>
        <v>0.22162717780814462</v>
      </c>
      <c r="BP112" s="71">
        <f>ROUND($AB$101*BP104,0)</f>
        <v>27</v>
      </c>
      <c r="BQ112" s="72">
        <f>IFERROR(VLOOKUP(BP107,'[1]Paramètres Généraux'!$O:$P,2,FALSE),"Non Trouvé")</f>
        <v>0.22500000000000001</v>
      </c>
      <c r="BR112" s="68">
        <f>IFERROR(SUM(BR114:BR154),"Non Trouvé")</f>
        <v>10321.991233178202</v>
      </c>
      <c r="BS112" s="69">
        <f>IFERROR((BR112-$K112*BP112)/BR112,"Non Trouvé")</f>
        <v>0.24309953152378186</v>
      </c>
      <c r="BU112" s="71">
        <f>ROUND($AB$101*BU104,0)</f>
        <v>0</v>
      </c>
      <c r="BV112" s="72">
        <f>IFERROR(VLOOKUP(BU107,'[1]Paramètres Généraux'!$O:$P,2,FALSE),"Non Trouvé")</f>
        <v>0.17499999999999999</v>
      </c>
      <c r="BW112" s="68">
        <f>IFERROR(SUM(BW114:BW154),"Non Trouvé")</f>
        <v>0</v>
      </c>
      <c r="BX112" s="69" t="str">
        <f>IFERROR((BW112-$K112*BU112)/BW112,"Non Trouvé")</f>
        <v>Non Trouvé</v>
      </c>
      <c r="BZ112" s="71">
        <f>ROUND($AB$101*BZ104,0)</f>
        <v>84</v>
      </c>
      <c r="CA112" s="72">
        <f>IFERROR(VLOOKUP(BZ107,'[1]Paramètres Généraux'!$O:$P,2,FALSE),"Non Trouvé")</f>
        <v>0.15</v>
      </c>
      <c r="CB112" s="68">
        <f>IFERROR(SUM(CB114:CB154),"Non Trouvé")</f>
        <v>35434.881781332071</v>
      </c>
      <c r="CC112" s="69">
        <f>IFERROR((CB112-$K112*BZ112)/CB112,"Non Trouvé")</f>
        <v>0.31405895044342746</v>
      </c>
      <c r="CE112" s="73"/>
      <c r="CF112" s="67">
        <f>SUMIFS($AB112:$CC112,$AB109:$CC109,CF109)</f>
        <v>390</v>
      </c>
      <c r="CG112" s="67">
        <f>SUMIFS($AB112:$CC112,$AB109:$CC109,CG109)</f>
        <v>158439.26977435782</v>
      </c>
      <c r="CH112" s="74">
        <f>IFERROR((CG112-$K112*CF112)/CG112,"Non Trouvé")</f>
        <v>0.28773718686840388</v>
      </c>
      <c r="CI112" s="75"/>
      <c r="CJ112" s="64">
        <f>ROUNDUP(CF112*70%,-1)</f>
        <v>280</v>
      </c>
      <c r="CK112" s="99"/>
      <c r="CW112" s="177"/>
      <c r="CX112" s="177"/>
      <c r="CY112" s="177"/>
      <c r="CZ112" s="177"/>
      <c r="DA112" s="177"/>
      <c r="DB112" s="177"/>
      <c r="DC112" s="177"/>
      <c r="DD112" s="177"/>
      <c r="DE112" s="177"/>
      <c r="DF112" s="177"/>
      <c r="DG112" s="177"/>
      <c r="DH112" s="177"/>
      <c r="DI112" s="177"/>
      <c r="DJ112" s="177"/>
      <c r="DK112" s="177"/>
      <c r="DL112" s="177"/>
      <c r="DM112" s="177"/>
      <c r="DN112" s="177"/>
      <c r="DO112" s="177"/>
      <c r="DP112" s="177"/>
    </row>
    <row r="113" spans="2:125" ht="5.25" customHeight="1">
      <c r="V113"/>
      <c r="X113"/>
      <c r="CE113" s="33"/>
      <c r="CF113" s="39"/>
      <c r="CG113" s="39"/>
      <c r="CH113" s="39"/>
      <c r="CI113" s="35"/>
      <c r="CK113" s="99"/>
    </row>
    <row r="114" spans="2:125" ht="12.95" customHeight="1" thickBot="1">
      <c r="B114" s="1">
        <f>IF(C114="",0,COUNTIFS($B$22:B113,"&gt;"&amp;0)+1)</f>
        <v>41</v>
      </c>
      <c r="C114" s="85">
        <v>1020202</v>
      </c>
      <c r="D114" s="86" t="str">
        <f>IFERROR(IF($C114="","",VLOOKUP($C114,'[1]Paramètres Articles'!$B:$G,2,FALSE)),"Non Trouvé")</f>
        <v>Sérum Jour/Nuit - Régénérant - 30 ml</v>
      </c>
      <c r="E114" s="87">
        <f>IFERROR(IF($C114="","",_xlfn.XLOOKUP(REGENERANTS!$C114,'[1]New Base PA'!$F:$F,'[1]New Base PA'!$D:$D,"Not Found",0)),"Non Trouvé")</f>
        <v>4020829103115</v>
      </c>
      <c r="F114" s="88" t="s">
        <v>90</v>
      </c>
      <c r="H114" s="89">
        <v>2</v>
      </c>
      <c r="J114" s="90">
        <f>IFERROR(IF($C114="","",VLOOKUP($C114,'[1]New Base PA'!$F:$J,5,FALSE)),"Non Trouvé")</f>
        <v>15.839799999999999</v>
      </c>
      <c r="K114" s="131">
        <f t="shared" ref="K114:K153" si="73">IFERROR(IF($C114="","",$J114*$H114),"Non Trouvé")</f>
        <v>31.679599999999997</v>
      </c>
      <c r="L114" s="132"/>
      <c r="M114" s="90">
        <f>IFERROR(IF(AND($F114="Produit Vente",H114&gt;0),VLOOKUP($C114,'[1]Paramètres Articles'!$B:$G,6,FALSE),0),"Non Trouvé")</f>
        <v>41.117049418604651</v>
      </c>
      <c r="N114" s="90">
        <f t="shared" ref="N114:N153" si="74">IFERROR(IF($C114="","",$M114*$H114),"Non Trouvé")</f>
        <v>82.234098837209302</v>
      </c>
      <c r="P114" s="92">
        <v>0.05</v>
      </c>
      <c r="R114" s="90">
        <f t="shared" ref="R114:R153" si="75">IFERROR(IF($C114="","",$N114*(1-$P114)),"Non Trouvé")</f>
        <v>78.122393895348836</v>
      </c>
      <c r="S114" s="91"/>
      <c r="T114" s="90">
        <f>IFERROR(IF($C114="","",VLOOKUP($C114,'[1]Paramètres Articles'!$B:$H,7,FALSE)),"Non Trouvé")</f>
        <v>69.900000000000006</v>
      </c>
      <c r="U114" s="93"/>
      <c r="V114" s="90">
        <f>IFERROR(IF($C114="","",IF($P114="","",$T114*(1-$P114))),"Non Trouvé")</f>
        <v>66.405000000000001</v>
      </c>
      <c r="W114" s="91"/>
      <c r="X114" s="90">
        <f>IFERROR(T114-V114,"")</f>
        <v>3.4950000000000045</v>
      </c>
      <c r="Y114" s="91"/>
      <c r="Z114" s="90">
        <f>IFERROR(IF(OR(T114=0,T114=""),0,T114*H114),"Non Trouvé")</f>
        <v>139.80000000000001</v>
      </c>
      <c r="AB114" s="94">
        <f>AB112</f>
        <v>90</v>
      </c>
      <c r="AC114" s="94">
        <f>AC112</f>
        <v>0.17</v>
      </c>
      <c r="AD114" s="90">
        <f>IFERROR(IF($C114="","",IF($P$15="Cascade",$R114*(1-AC114)*AB114,IF($P$15="Additionnelle",($N114-($N114*($P114+AC114)))*AB114))),"Non Trouvé")</f>
        <v>5772.8337383720927</v>
      </c>
      <c r="AG114" s="94">
        <f>AG112</f>
        <v>82</v>
      </c>
      <c r="AH114" s="94">
        <f>AH112</f>
        <v>0.13</v>
      </c>
      <c r="AI114" s="90">
        <f>IFERROR(IF($C114="","",IF($P$15="Cascade",$R114*(1-AH114)*AG114,IF($P$15="Additionnelle",($N114-($N114*($P114+AH114)))*AG114))),"Non Trouvé")</f>
        <v>5529.4208058139538</v>
      </c>
      <c r="AL114" s="94">
        <f>AL112</f>
        <v>20</v>
      </c>
      <c r="AM114" s="94">
        <f>AM112</f>
        <v>0.08</v>
      </c>
      <c r="AN114" s="90">
        <f>IFERROR(IF($C114="","",IF($P$15="Cascade",$R114*(1-AM114)*AL114,IF($P$15="Additionnelle",($N114-($N114*($P114+AM114)))*AL114))),"Non Trouvé")</f>
        <v>1430.8733197674419</v>
      </c>
      <c r="AQ114" s="94">
        <f>AQ112</f>
        <v>0</v>
      </c>
      <c r="AR114" s="94">
        <f>AR112</f>
        <v>0.05</v>
      </c>
      <c r="AS114" s="90">
        <f>IFERROR(IF($C114="","",IF($P$15="Cascade",$R114*(1-AR114)*AQ114,IF($P$15="Additionnelle",($N114-($N114*($P114+AR114)))*AQ114))),"Non Trouvé")</f>
        <v>0</v>
      </c>
      <c r="AV114" s="94">
        <f>AV112</f>
        <v>16</v>
      </c>
      <c r="AW114" s="94">
        <f>AW112</f>
        <v>0.32500000000000001</v>
      </c>
      <c r="AX114" s="90">
        <f>IFERROR(IF($C114="","",IF($P$15="Cascade",$R114*(1-AW114)*AV114,IF($P$15="Additionnelle",($N114-($N114*($P114+AW114)))*AV114))),"Non Trouvé")</f>
        <v>822.34098837209308</v>
      </c>
      <c r="BA114" s="94">
        <f>BA112</f>
        <v>12</v>
      </c>
      <c r="BB114" s="94">
        <f>BB112</f>
        <v>0.29499999999999998</v>
      </c>
      <c r="BC114" s="90">
        <f>IFERROR(IF($C114="","",IF($P$15="Cascade",$R114*(1-BB114)*BA114,IF($P$15="Additionnelle",($N114-($N114*($P114+BB114)))*BA114))),"Non Trouvé")</f>
        <v>646.36001686046518</v>
      </c>
      <c r="BF114" s="94">
        <f>BF112</f>
        <v>20</v>
      </c>
      <c r="BG114" s="94">
        <f>BG112</f>
        <v>0.27500000000000002</v>
      </c>
      <c r="BH114" s="90">
        <f>IFERROR(IF($C114="","",IF($P$15="Cascade",$R114*(1-BG114)*BF114,IF($P$15="Additionnelle",($N114-($N114*($P114+BG114)))*BF114))),"Non Trouvé")</f>
        <v>1110.1603343023255</v>
      </c>
      <c r="BK114" s="94">
        <f>BK112</f>
        <v>39</v>
      </c>
      <c r="BL114" s="94">
        <f>BL112</f>
        <v>0.245</v>
      </c>
      <c r="BM114" s="90">
        <f>IFERROR(IF($C114="","",IF($P$15="Cascade",$R114*(1-BL114)*BK114,IF($P$15="Additionnelle",($N114-($N114*($P114+BL114)))*BK114))),"Non Trouvé")</f>
        <v>2261.0265475290698</v>
      </c>
      <c r="BP114" s="94">
        <f>BP112</f>
        <v>27</v>
      </c>
      <c r="BQ114" s="94">
        <f>BQ112</f>
        <v>0.22500000000000001</v>
      </c>
      <c r="BR114" s="90">
        <f>IFERROR(IF($C114="","",IF($P$15="Cascade",$R114*(1-BQ114)*BP114,IF($P$15="Additionnelle",($N114-($N114*($P114+BQ114)))*BP114))),"Non Trouvé")</f>
        <v>1609.732484738372</v>
      </c>
      <c r="BU114" s="94">
        <f>BU112</f>
        <v>0</v>
      </c>
      <c r="BV114" s="94">
        <f>BV112</f>
        <v>0.17499999999999999</v>
      </c>
      <c r="BW114" s="90">
        <f>IFERROR(IF($C114="","",IF($P$15="Cascade",$R114*(1-BV114)*BU114,IF($P$15="Additionnelle",($N114-($N114*($P114+BV114)))*BU114))),"Non Trouvé")</f>
        <v>0</v>
      </c>
      <c r="BZ114" s="94">
        <f>BZ112</f>
        <v>84</v>
      </c>
      <c r="CA114" s="94">
        <f>CA112</f>
        <v>0.15</v>
      </c>
      <c r="CB114" s="90">
        <f>IFERROR(IF($C114="","",IF($P$15="Cascade",$R114*(1-CA114)*BZ114,IF($P$15="Additionnelle",($N114-($N114*($P114+CA114)))*BZ114))),"Non Trouvé")</f>
        <v>5526.1314418604643</v>
      </c>
      <c r="CE114" s="95"/>
      <c r="CF114" s="96"/>
      <c r="CG114" s="97"/>
      <c r="CH114" s="97"/>
      <c r="CI114" s="98"/>
      <c r="CK114" s="99">
        <f>IFERROR(IF(F114='[1]Paramètres Généraux'!$K$12,ROUNDUP((REGENERANTS!H114*REGENERANTS!$CF$112)*'[1]Paramètres Généraux'!$M$12,-1),IF(F114='[1]Paramètres Généraux'!$K$15,ROUNDUP((REGENERANTS!H114*REGENERANTS!$CF$112)*'[1]Paramètres Généraux'!$M$15,-1),REGENERANTS!H114*REGENERANTS!$CF$112)),"nd")</f>
        <v>780</v>
      </c>
      <c r="CN114" s="164"/>
      <c r="CO114" s="165"/>
      <c r="CP114" s="165"/>
      <c r="CQ114" s="165"/>
      <c r="CR114" s="165"/>
      <c r="CS114" s="166"/>
      <c r="CT114" s="167"/>
      <c r="CU114" s="165"/>
      <c r="CV114" s="166"/>
      <c r="CW114" s="168"/>
      <c r="CX114" s="169"/>
      <c r="CY114" s="168"/>
      <c r="CZ114" s="170"/>
      <c r="DA114" s="169"/>
      <c r="DB114" s="168"/>
      <c r="DC114" s="170"/>
      <c r="DD114" s="169"/>
      <c r="DE114" s="168"/>
      <c r="DF114" s="170"/>
      <c r="DG114" s="170"/>
      <c r="DH114" s="170"/>
      <c r="DI114" s="170"/>
      <c r="DJ114" s="170"/>
      <c r="DK114" s="170"/>
      <c r="DL114" s="170"/>
      <c r="DM114" s="170"/>
      <c r="DN114" s="170"/>
      <c r="DO114" s="169"/>
      <c r="DP114" s="168"/>
      <c r="DQ114" s="20">
        <f t="shared" ref="DQ114:DQ154" si="76">SUM(CN114:DP114)</f>
        <v>0</v>
      </c>
      <c r="DR114" s="20">
        <f t="shared" ref="DR114:DR154" si="77">SUM(CV114:DP114)</f>
        <v>0</v>
      </c>
      <c r="DS114" s="20">
        <f>IFERROR((IF(AND($F114="Produit Vente",CO114&gt;0),VLOOKUP($C114,'[1]Paramètres Articles'!$B:$H,7,FALSE)*$CO114)*(1-20%)),0)</f>
        <v>0</v>
      </c>
      <c r="DT114" s="20">
        <f>IFERROR((IF(AND($F114="Produit Vente",DR114&gt;0),VLOOKUP($C114,'[1]Paramètres Articles'!$B:$H,6,FALSE)*$DR114)*(1-15%)),0)</f>
        <v>0</v>
      </c>
      <c r="DU114" s="20">
        <f t="shared" ref="DU114:DU154" si="78">IFERROR(DQ114*J114,0)</f>
        <v>0</v>
      </c>
    </row>
    <row r="115" spans="2:125" ht="12.95" customHeight="1" thickBot="1">
      <c r="B115" s="1">
        <f>IF(C115="",0,COUNTIFS($B$22:B114,"&gt;"&amp;0)+1)</f>
        <v>42</v>
      </c>
      <c r="C115" s="85">
        <v>1020310</v>
      </c>
      <c r="D115" s="86" t="str">
        <f>IFERROR(IF($C115="","",VLOOKUP($C115,'[1]Paramètres Articles'!$B:$G,2,FALSE)),"Non Trouvé")</f>
        <v>Crème de Jour Eclat du Teint - Régénérant - 40 ml</v>
      </c>
      <c r="E115" s="87">
        <f>IFERROR(IF($C115="","",_xlfn.XLOOKUP(REGENERANTS!$C115,'[1]New Base PA'!$F:$F,'[1]New Base PA'!$D:$D,"Not Found",0)),"Non Trouvé")</f>
        <v>4020829060999</v>
      </c>
      <c r="F115" s="88" t="s">
        <v>90</v>
      </c>
      <c r="H115" s="89">
        <v>1</v>
      </c>
      <c r="J115" s="90">
        <f>IFERROR(IF($C115="","",VLOOKUP($C115,'[1]New Base PA'!$F:$J,5,FALSE)),"Non Trouvé")</f>
        <v>16.2226</v>
      </c>
      <c r="K115" s="131">
        <f t="shared" si="73"/>
        <v>16.2226</v>
      </c>
      <c r="L115" s="132"/>
      <c r="M115" s="90">
        <f>IFERROR(IF(AND($F115="Produit Vente",H115&gt;0),VLOOKUP($C115,'[1]Paramètres Articles'!$B:$G,6,FALSE),0),"Non Trouvé")</f>
        <v>41.12</v>
      </c>
      <c r="N115" s="90">
        <f t="shared" si="74"/>
        <v>41.12</v>
      </c>
      <c r="P115" s="92">
        <v>0.05</v>
      </c>
      <c r="R115" s="90">
        <f t="shared" si="75"/>
        <v>39.063999999999993</v>
      </c>
      <c r="S115" s="91"/>
      <c r="T115" s="90">
        <f>IFERROR(IF($C115="","",VLOOKUP($C115,'[1]Paramètres Articles'!$B:$H,7,FALSE)),"Non Trouvé")</f>
        <v>69.900000000000006</v>
      </c>
      <c r="U115" s="93"/>
      <c r="V115" s="90">
        <f t="shared" ref="V115:V153" si="79">IFERROR(IF($C115="","",IF($P115="","",$T115*(1-$P115))),"Non Trouvé")</f>
        <v>66.405000000000001</v>
      </c>
      <c r="W115" s="91"/>
      <c r="X115" s="90">
        <f>IFERROR(T115-V115,"")</f>
        <v>3.4950000000000045</v>
      </c>
      <c r="Y115" s="91"/>
      <c r="Z115" s="90">
        <f t="shared" ref="Z115:Z153" si="80">IFERROR(IF(OR(T115=0,T115=""),0,T115*H115),"Non Trouvé")</f>
        <v>69.900000000000006</v>
      </c>
      <c r="AB115" s="94">
        <f>AB114</f>
        <v>90</v>
      </c>
      <c r="AC115" s="94">
        <f>AC114</f>
        <v>0.17</v>
      </c>
      <c r="AD115" s="90">
        <f>IFERROR(IF($C115="","",IF($P$15="Cascade",$R115*(1-AC115)*AB115,IF($P$15="Additionnelle",($N115-($N115*($P115+AC115)))*AB115))),"Non Trouvé")</f>
        <v>2886.6239999999998</v>
      </c>
      <c r="AG115" s="94">
        <f>AG114</f>
        <v>82</v>
      </c>
      <c r="AH115" s="94">
        <f>AH114</f>
        <v>0.13</v>
      </c>
      <c r="AI115" s="90">
        <f>IFERROR(IF($C115="","",IF($P$15="Cascade",$R115*(1-AH115)*AG115,IF($P$15="Additionnelle",($N115-($N115*($P115+AH115)))*AG115))),"Non Trouvé")</f>
        <v>2764.9087999999997</v>
      </c>
      <c r="AL115" s="94">
        <f>AL114</f>
        <v>20</v>
      </c>
      <c r="AM115" s="94">
        <f>AM114</f>
        <v>0.08</v>
      </c>
      <c r="AN115" s="90">
        <f>IFERROR(IF($C115="","",IF($P$15="Cascade",$R115*(1-AM115)*AL115,IF($P$15="Additionnelle",($N115-($N115*($P115+AM115)))*AL115))),"Non Trouvé")</f>
        <v>715.48800000000006</v>
      </c>
      <c r="AQ115" s="94">
        <f>AQ114</f>
        <v>0</v>
      </c>
      <c r="AR115" s="94">
        <f>AR114</f>
        <v>0.05</v>
      </c>
      <c r="AS115" s="90">
        <f>IFERROR(IF($C115="","",IF($P$15="Cascade",$R115*(1-AR115)*AQ115,IF($P$15="Additionnelle",($N115-($N115*($P115+AR115)))*AQ115))),"Non Trouvé")</f>
        <v>0</v>
      </c>
      <c r="AV115" s="94">
        <f>AV114</f>
        <v>16</v>
      </c>
      <c r="AW115" s="94">
        <f>AW114</f>
        <v>0.32500000000000001</v>
      </c>
      <c r="AX115" s="90">
        <f>IFERROR(IF($C115="","",IF($P$15="Cascade",$R115*(1-AW115)*AV115,IF($P$15="Additionnelle",($N115-($N115*($P115+AW115)))*AV115))),"Non Trouvé")</f>
        <v>411.2</v>
      </c>
      <c r="BA115" s="94">
        <f>BA114</f>
        <v>12</v>
      </c>
      <c r="BB115" s="94">
        <f>BB114</f>
        <v>0.29499999999999998</v>
      </c>
      <c r="BC115" s="90">
        <f>IFERROR(IF($C115="","",IF($P$15="Cascade",$R115*(1-BB115)*BA115,IF($P$15="Additionnelle",($N115-($N115*($P115+BB115)))*BA115))),"Non Trouvé")</f>
        <v>323.20319999999998</v>
      </c>
      <c r="BF115" s="94">
        <f>BF114</f>
        <v>20</v>
      </c>
      <c r="BG115" s="94">
        <f>BG114</f>
        <v>0.27500000000000002</v>
      </c>
      <c r="BH115" s="90">
        <f>IFERROR(IF($C115="","",IF($P$15="Cascade",$R115*(1-BG115)*BF115,IF($P$15="Additionnelle",($N115-($N115*($P115+BG115)))*BF115))),"Non Trouvé")</f>
        <v>555.12</v>
      </c>
      <c r="BK115" s="94">
        <f>BK114</f>
        <v>39</v>
      </c>
      <c r="BL115" s="94">
        <f>BL114</f>
        <v>0.245</v>
      </c>
      <c r="BM115" s="90">
        <f>IFERROR(IF($C115="","",IF($P$15="Cascade",$R115*(1-BL115)*BK115,IF($P$15="Additionnelle",($N115-($N115*($P115+BL115)))*BK115))),"Non Trouvé")</f>
        <v>1130.5944</v>
      </c>
      <c r="BP115" s="94">
        <f>BP114</f>
        <v>27</v>
      </c>
      <c r="BQ115" s="94">
        <f>BQ114</f>
        <v>0.22500000000000001</v>
      </c>
      <c r="BR115" s="90">
        <f>IFERROR(IF($C115="","",IF($P$15="Cascade",$R115*(1-BQ115)*BP115,IF($P$15="Additionnelle",($N115-($N115*($P115+BQ115)))*BP115))),"Non Trouvé")</f>
        <v>804.92399999999998</v>
      </c>
      <c r="BU115" s="94">
        <f>BU114</f>
        <v>0</v>
      </c>
      <c r="BV115" s="94">
        <f>BV114</f>
        <v>0.17499999999999999</v>
      </c>
      <c r="BW115" s="90">
        <f>IFERROR(IF($C115="","",IF($P$15="Cascade",$R115*(1-BV115)*BU115,IF($P$15="Additionnelle",($N115-($N115*($P115+BV115)))*BU115))),"Non Trouvé")</f>
        <v>0</v>
      </c>
      <c r="BZ115" s="94">
        <f>BZ114</f>
        <v>84</v>
      </c>
      <c r="CA115" s="94">
        <f>CA114</f>
        <v>0.15</v>
      </c>
      <c r="CB115" s="90">
        <f>IFERROR(IF($C115="","",IF($P$15="Cascade",$R115*(1-CA115)*BZ115,IF($P$15="Additionnelle",($N115-($N115*($P115+CA115)))*BZ115))),"Non Trouvé")</f>
        <v>2763.2640000000001</v>
      </c>
      <c r="CE115" s="95"/>
      <c r="CF115" s="114"/>
      <c r="CG115" s="115" t="s">
        <v>91</v>
      </c>
      <c r="CH115" s="116">
        <f>CG112/CF112</f>
        <v>406.25453788296875</v>
      </c>
      <c r="CI115" s="98"/>
      <c r="CK115" s="99">
        <f>IFERROR(IF(F115='[1]Paramètres Généraux'!$K$12,ROUNDUP((REGENERANTS!H115*REGENERANTS!$CF$112)*'[1]Paramètres Généraux'!$M$12,-1),IF(F115='[1]Paramètres Généraux'!$K$15,ROUNDUP((REGENERANTS!H115*REGENERANTS!$CF$112)*'[1]Paramètres Généraux'!$M$15,-1),REGENERANTS!H115*REGENERANTS!$CF$112)),"nd")</f>
        <v>390</v>
      </c>
      <c r="CN115" s="100"/>
      <c r="CO115" s="101"/>
      <c r="CP115" s="101"/>
      <c r="CQ115" s="101"/>
      <c r="CR115" s="101"/>
      <c r="CS115" s="171"/>
      <c r="CT115" s="172"/>
      <c r="CU115" s="101"/>
      <c r="CV115" s="171"/>
      <c r="CW115" s="106"/>
      <c r="CX115" s="107"/>
      <c r="CY115" s="106"/>
      <c r="CZ115" s="104"/>
      <c r="DA115" s="107"/>
      <c r="DB115" s="106"/>
      <c r="DC115" s="104"/>
      <c r="DD115" s="107"/>
      <c r="DE115" s="106"/>
      <c r="DF115" s="104"/>
      <c r="DG115" s="104"/>
      <c r="DH115" s="104"/>
      <c r="DI115" s="104"/>
      <c r="DJ115" s="104"/>
      <c r="DK115" s="104"/>
      <c r="DL115" s="104"/>
      <c r="DM115" s="104"/>
      <c r="DN115" s="104"/>
      <c r="DO115" s="107"/>
      <c r="DP115" s="106"/>
      <c r="DQ115" s="20">
        <f t="shared" si="76"/>
        <v>0</v>
      </c>
      <c r="DR115" s="20">
        <f t="shared" si="77"/>
        <v>0</v>
      </c>
      <c r="DS115" s="20">
        <f>IFERROR((IF(AND($F115="Produit Vente",CO115&gt;0),VLOOKUP($C115,'[1]Paramètres Articles'!$B:$H,7,FALSE)*$CO115)*(1-20%)),0)</f>
        <v>0</v>
      </c>
      <c r="DT115" s="20">
        <f>IFERROR((IF(AND($F115="Produit Vente",DR115&gt;0),VLOOKUP($C115,'[1]Paramètres Articles'!$B:$H,6,FALSE)*$DR115)*(1-15%)),0)</f>
        <v>0</v>
      </c>
      <c r="DU115" s="20">
        <f t="shared" si="78"/>
        <v>0</v>
      </c>
    </row>
    <row r="116" spans="2:125" ht="12.95" customHeight="1" thickBot="1">
      <c r="B116" s="1">
        <f>IF(C116="",0,COUNTIFS($B$22:B115,"&gt;"&amp;0)+1)</f>
        <v>43</v>
      </c>
      <c r="C116" s="85">
        <v>1020401</v>
      </c>
      <c r="D116" s="86" t="str">
        <f>IFERROR(IF($C116="","",VLOOKUP($C116,'[1]Paramètres Articles'!$B:$G,2,FALSE)),"Non Trouvé")</f>
        <v>Crème Contour des Yeux - Régénérant - 15 ml</v>
      </c>
      <c r="E116" s="87">
        <f>IFERROR(IF($C116="","",_xlfn.XLOOKUP(REGENERANTS!$C116,'[1]New Base PA'!$F:$F,'[1]New Base PA'!$D:$D,"Not Found",0)),"Non Trouvé")</f>
        <v>4020829013919</v>
      </c>
      <c r="F116" s="88" t="s">
        <v>90</v>
      </c>
      <c r="H116" s="89">
        <v>1</v>
      </c>
      <c r="J116" s="90">
        <f>IFERROR(IF($C116="","",VLOOKUP($C116,'[1]New Base PA'!$F:$J,5,FALSE)),"Non Trouvé")</f>
        <v>15.4918</v>
      </c>
      <c r="K116" s="131">
        <f t="shared" si="73"/>
        <v>15.4918</v>
      </c>
      <c r="L116" s="132"/>
      <c r="M116" s="90">
        <f>IFERROR(IF(AND($F116="Produit Vente",H116&gt;0),VLOOKUP($C116,'[1]Paramètres Articles'!$B:$G,6,FALSE),0),"Non Trouvé")</f>
        <v>39.71</v>
      </c>
      <c r="N116" s="90">
        <f t="shared" si="74"/>
        <v>39.71</v>
      </c>
      <c r="P116" s="92">
        <v>0.05</v>
      </c>
      <c r="R116" s="90">
        <f t="shared" si="75"/>
        <v>37.724499999999999</v>
      </c>
      <c r="S116" s="91"/>
      <c r="T116" s="90">
        <f>IFERROR(IF($C116="","",VLOOKUP($C116,'[1]Paramètres Articles'!$B:$H,7,FALSE)),"Non Trouvé")</f>
        <v>67.5</v>
      </c>
      <c r="U116" s="93"/>
      <c r="V116" s="90">
        <f t="shared" si="79"/>
        <v>64.125</v>
      </c>
      <c r="W116" s="91"/>
      <c r="X116" s="90">
        <f t="shared" ref="X116:X153" si="81">IFERROR(T116-V116,"")</f>
        <v>3.375</v>
      </c>
      <c r="Y116" s="91"/>
      <c r="Z116" s="90">
        <f t="shared" si="80"/>
        <v>67.5</v>
      </c>
      <c r="AB116" s="94">
        <f>AB114</f>
        <v>90</v>
      </c>
      <c r="AC116" s="94">
        <f>AC114</f>
        <v>0.17</v>
      </c>
      <c r="AD116" s="90">
        <f>IFERROR(IF($C116="","",IF($P$15="Cascade",$R116*(1-AC116)*AB116,IF($P$15="Additionnelle",($N116-($N116*($P116+AC116)))*AB116))),"Non Trouvé")</f>
        <v>2787.6419999999998</v>
      </c>
      <c r="AG116" s="94">
        <f>AG114</f>
        <v>82</v>
      </c>
      <c r="AH116" s="94">
        <f>AH114</f>
        <v>0.13</v>
      </c>
      <c r="AI116" s="90">
        <f>IFERROR(IF($C116="","",IF($P$15="Cascade",$R116*(1-AH116)*AG116,IF($P$15="Additionnelle",($N116-($N116*($P116+AH116)))*AG116))),"Non Trouvé")</f>
        <v>2670.1004000000003</v>
      </c>
      <c r="AL116" s="94">
        <f>AL114</f>
        <v>20</v>
      </c>
      <c r="AM116" s="94">
        <f>AM114</f>
        <v>0.08</v>
      </c>
      <c r="AN116" s="90">
        <f>IFERROR(IF($C116="","",IF($P$15="Cascade",$R116*(1-AM116)*AL116,IF($P$15="Additionnelle",($N116-($N116*($P116+AM116)))*AL116))),"Non Trouvé")</f>
        <v>690.95399999999995</v>
      </c>
      <c r="AQ116" s="94">
        <f>AQ114</f>
        <v>0</v>
      </c>
      <c r="AR116" s="94">
        <f>AR114</f>
        <v>0.05</v>
      </c>
      <c r="AS116" s="90">
        <f>IFERROR(IF($C116="","",IF($P$15="Cascade",$R116*(1-AR116)*AQ116,IF($P$15="Additionnelle",($N116-($N116*($P116+AR116)))*AQ116))),"Non Trouvé")</f>
        <v>0</v>
      </c>
      <c r="AV116" s="94">
        <f>AV114</f>
        <v>16</v>
      </c>
      <c r="AW116" s="94">
        <f>AW114</f>
        <v>0.32500000000000001</v>
      </c>
      <c r="AX116" s="90">
        <f>IFERROR(IF($C116="","",IF($P$15="Cascade",$R116*(1-AW116)*AV116,IF($P$15="Additionnelle",($N116-($N116*($P116+AW116)))*AV116))),"Non Trouvé")</f>
        <v>397.1</v>
      </c>
      <c r="BA116" s="94">
        <f>BA114</f>
        <v>12</v>
      </c>
      <c r="BB116" s="94">
        <f>BB114</f>
        <v>0.29499999999999998</v>
      </c>
      <c r="BC116" s="90">
        <f>IFERROR(IF($C116="","",IF($P$15="Cascade",$R116*(1-BB116)*BA116,IF($P$15="Additionnelle",($N116-($N116*($P116+BB116)))*BA116))),"Non Trouvé")</f>
        <v>312.12059999999997</v>
      </c>
      <c r="BF116" s="94">
        <f>BF114</f>
        <v>20</v>
      </c>
      <c r="BG116" s="94">
        <f>BG114</f>
        <v>0.27500000000000002</v>
      </c>
      <c r="BH116" s="90">
        <f>IFERROR(IF($C116="","",IF($P$15="Cascade",$R116*(1-BG116)*BF116,IF($P$15="Additionnelle",($N116-($N116*($P116+BG116)))*BF116))),"Non Trouvé")</f>
        <v>536.08500000000004</v>
      </c>
      <c r="BK116" s="94">
        <f>BK114</f>
        <v>39</v>
      </c>
      <c r="BL116" s="94">
        <f>BL114</f>
        <v>0.245</v>
      </c>
      <c r="BM116" s="90">
        <f>IFERROR(IF($C116="","",IF($P$15="Cascade",$R116*(1-BL116)*BK116,IF($P$15="Additionnelle",($N116-($N116*($P116+BL116)))*BK116))),"Non Trouvé")</f>
        <v>1091.82645</v>
      </c>
      <c r="BP116" s="94">
        <f>BP114</f>
        <v>27</v>
      </c>
      <c r="BQ116" s="94">
        <f>BQ114</f>
        <v>0.22500000000000001</v>
      </c>
      <c r="BR116" s="90">
        <f>IFERROR(IF($C116="","",IF($P$15="Cascade",$R116*(1-BQ116)*BP116,IF($P$15="Additionnelle",($N116-($N116*($P116+BQ116)))*BP116))),"Non Trouvé")</f>
        <v>777.32324999999992</v>
      </c>
      <c r="BU116" s="94">
        <f>BU114</f>
        <v>0</v>
      </c>
      <c r="BV116" s="94">
        <f>BV114</f>
        <v>0.17499999999999999</v>
      </c>
      <c r="BW116" s="90">
        <f>IFERROR(IF($C116="","",IF($P$15="Cascade",$R116*(1-BV116)*BU116,IF($P$15="Additionnelle",($N116-($N116*($P116+BV116)))*BU116))),"Non Trouvé")</f>
        <v>0</v>
      </c>
      <c r="BZ116" s="94">
        <f>BZ114</f>
        <v>84</v>
      </c>
      <c r="CA116" s="94">
        <f>CA114</f>
        <v>0.15</v>
      </c>
      <c r="CB116" s="90">
        <f>IFERROR(IF($C116="","",IF($P$15="Cascade",$R116*(1-CA116)*BZ116,IF($P$15="Additionnelle",($N116-($N116*($P116+CA116)))*BZ116))),"Non Trouvé")</f>
        <v>2668.5120000000002</v>
      </c>
      <c r="CE116" s="95"/>
      <c r="CF116" s="114"/>
      <c r="CG116" s="115" t="s">
        <v>92</v>
      </c>
      <c r="CH116" s="118">
        <f>SUM(CH118:CH121)</f>
        <v>0.2904340613768317</v>
      </c>
      <c r="CI116" s="98"/>
      <c r="CK116" s="99">
        <f>IFERROR(IF(F116='[1]Paramètres Généraux'!$K$12,ROUNDUP((REGENERANTS!H116*REGENERANTS!$CF$112)*'[1]Paramètres Généraux'!$M$12,-1),IF(F116='[1]Paramètres Généraux'!$K$15,ROUNDUP((REGENERANTS!H116*REGENERANTS!$CF$112)*'[1]Paramètres Généraux'!$M$15,-1),REGENERANTS!H116*REGENERANTS!$CF$112)),"nd")</f>
        <v>390</v>
      </c>
      <c r="CN116" s="100"/>
      <c r="CO116" s="101"/>
      <c r="CP116" s="101"/>
      <c r="CQ116" s="101"/>
      <c r="CR116" s="101"/>
      <c r="CS116" s="171"/>
      <c r="CT116" s="172"/>
      <c r="CU116" s="101"/>
      <c r="CV116" s="171"/>
      <c r="CW116" s="106"/>
      <c r="CX116" s="107"/>
      <c r="CY116" s="106"/>
      <c r="CZ116" s="104"/>
      <c r="DA116" s="107"/>
      <c r="DB116" s="106"/>
      <c r="DC116" s="104"/>
      <c r="DD116" s="107"/>
      <c r="DE116" s="106"/>
      <c r="DF116" s="104"/>
      <c r="DG116" s="104"/>
      <c r="DH116" s="104"/>
      <c r="DI116" s="104"/>
      <c r="DJ116" s="104"/>
      <c r="DK116" s="104"/>
      <c r="DL116" s="104"/>
      <c r="DM116" s="104"/>
      <c r="DN116" s="104"/>
      <c r="DO116" s="107"/>
      <c r="DP116" s="106"/>
      <c r="DQ116" s="20">
        <f t="shared" si="76"/>
        <v>0</v>
      </c>
      <c r="DR116" s="20">
        <f t="shared" si="77"/>
        <v>0</v>
      </c>
      <c r="DS116" s="20">
        <f>IFERROR((IF(AND($F116="Produit Vente",CO116&gt;0),VLOOKUP($C116,'[1]Paramètres Articles'!$B:$H,7,FALSE)*$CO116)*(1-20%)),0)</f>
        <v>0</v>
      </c>
      <c r="DT116" s="20">
        <f>IFERROR((IF(AND($F116="Produit Vente",DR116&gt;0),VLOOKUP($C116,'[1]Paramètres Articles'!$B:$H,6,FALSE)*$DR116)*(1-15%)),0)</f>
        <v>0</v>
      </c>
      <c r="DU116" s="20">
        <f t="shared" si="78"/>
        <v>0</v>
      </c>
    </row>
    <row r="117" spans="2:125" ht="12.95" customHeight="1" outlineLevel="1">
      <c r="B117" s="1">
        <f>IF(C117="",0,COUNTIFS($B$22:B116,"&gt;"&amp;0)+1)</f>
        <v>44</v>
      </c>
      <c r="C117" s="85">
        <v>1020302</v>
      </c>
      <c r="D117" s="86" t="str">
        <f>IFERROR(IF($C117="","",VLOOKUP($C117,'[1]Paramètres Articles'!$B:$G,2,FALSE)),"Non Trouvé")</f>
        <v>Crème Cou et Décolleté - Régénérant - 40 ml</v>
      </c>
      <c r="E117" s="87">
        <f>IFERROR(IF($C117="","",_xlfn.XLOOKUP(REGENERANTS!$C117,'[1]New Base PA'!$F:$F,'[1]New Base PA'!$D:$D,"Not Found",0)),"Non Trouvé")</f>
        <v>4020829008366</v>
      </c>
      <c r="F117" s="88" t="s">
        <v>90</v>
      </c>
      <c r="H117" s="89">
        <v>0</v>
      </c>
      <c r="J117" s="90">
        <f>IFERROR(IF($C117="","",VLOOKUP($C117,'[1]New Base PA'!$F:$J,5,FALSE)),"Non Trouvé")</f>
        <v>13.774999999999999</v>
      </c>
      <c r="K117" s="131">
        <f t="shared" si="73"/>
        <v>0</v>
      </c>
      <c r="L117" s="132"/>
      <c r="M117" s="90">
        <f>IFERROR(IF(AND($F117="Produit Vente",H117&gt;0),VLOOKUP($C117,'[1]Paramètres Articles'!$B:$G,6,FALSE),0),"Non Trouvé")</f>
        <v>0</v>
      </c>
      <c r="N117" s="90">
        <f t="shared" si="74"/>
        <v>0</v>
      </c>
      <c r="P117" s="92">
        <v>0.05</v>
      </c>
      <c r="R117" s="90">
        <f t="shared" si="75"/>
        <v>0</v>
      </c>
      <c r="S117" s="91"/>
      <c r="T117" s="90">
        <f>IFERROR(IF($C117="","",VLOOKUP($C117,'[1]Paramètres Articles'!$B:$H,7,FALSE)),"Non Trouvé")</f>
        <v>61</v>
      </c>
      <c r="U117" s="93"/>
      <c r="V117" s="90">
        <f t="shared" si="79"/>
        <v>57.949999999999996</v>
      </c>
      <c r="W117" s="91"/>
      <c r="X117" s="90">
        <f t="shared" si="81"/>
        <v>3.0500000000000043</v>
      </c>
      <c r="Y117" s="91"/>
      <c r="Z117" s="90">
        <f t="shared" si="80"/>
        <v>0</v>
      </c>
      <c r="AB117" s="94">
        <f>AB116</f>
        <v>90</v>
      </c>
      <c r="AC117" s="94">
        <f>AC116</f>
        <v>0.17</v>
      </c>
      <c r="AD117" s="90">
        <f t="shared" ref="AD117:AD153" si="82">IFERROR(IF($C117="","",IF($P$15="Cascade",$R117*(1-AC117)*AB117,IF($P$15="Additionnelle",($N117-($N117*($P117+AC117)))*AB117))),"Non Trouvé")</f>
        <v>0</v>
      </c>
      <c r="AG117" s="94">
        <f>AG116</f>
        <v>82</v>
      </c>
      <c r="AH117" s="94">
        <f>AH116</f>
        <v>0.13</v>
      </c>
      <c r="AI117" s="90">
        <f t="shared" ref="AI117:AI153" si="83">IFERROR(IF($C117="","",IF($P$15="Cascade",$R117*(1-AH117)*AG117,IF($P$15="Additionnelle",($N117-($N117*($P117+AH117)))*AG117))),"Non Trouvé")</f>
        <v>0</v>
      </c>
      <c r="AL117" s="94">
        <f>AL116</f>
        <v>20</v>
      </c>
      <c r="AM117" s="94">
        <f>AM116</f>
        <v>0.08</v>
      </c>
      <c r="AN117" s="90">
        <f t="shared" ref="AN117:AN153" si="84">IFERROR(IF($C117="","",IF($P$15="Cascade",$R117*(1-AM117)*AL117,IF($P$15="Additionnelle",($N117-($N117*($P117+AM117)))*AL117))),"Non Trouvé")</f>
        <v>0</v>
      </c>
      <c r="AQ117" s="94">
        <f>AQ116</f>
        <v>0</v>
      </c>
      <c r="AR117" s="94">
        <f>AR116</f>
        <v>0.05</v>
      </c>
      <c r="AS117" s="90">
        <f t="shared" ref="AS117:AS153" si="85">IFERROR(IF($C117="","",IF($P$15="Cascade",$R117*(1-AR117)*AQ117,IF($P$15="Additionnelle",($N117-($N117*($P117+AR117)))*AQ117))),"Non Trouvé")</f>
        <v>0</v>
      </c>
      <c r="AV117" s="94">
        <f>AV116</f>
        <v>16</v>
      </c>
      <c r="AW117" s="94">
        <f>AW116</f>
        <v>0.32500000000000001</v>
      </c>
      <c r="AX117" s="90">
        <f t="shared" ref="AX117:AX153" si="86">IFERROR(IF($C117="","",IF($P$15="Cascade",$R117*(1-AW117)*AV117,IF($P$15="Additionnelle",($N117-($N117*($P117+AW117)))*AV117))),"Non Trouvé")</f>
        <v>0</v>
      </c>
      <c r="BA117" s="94">
        <f>BA116</f>
        <v>12</v>
      </c>
      <c r="BB117" s="94">
        <f>BB116</f>
        <v>0.29499999999999998</v>
      </c>
      <c r="BC117" s="90">
        <f t="shared" ref="BC117:BC153" si="87">IFERROR(IF($C117="","",IF($P$15="Cascade",$R117*(1-BB117)*BA117,IF($P$15="Additionnelle",($N117-($N117*($P117+BB117)))*BA117))),"Non Trouvé")</f>
        <v>0</v>
      </c>
      <c r="BF117" s="94">
        <f>BF116</f>
        <v>20</v>
      </c>
      <c r="BG117" s="94">
        <f>BG116</f>
        <v>0.27500000000000002</v>
      </c>
      <c r="BH117" s="90">
        <f t="shared" ref="BH117:BH153" si="88">IFERROR(IF($C117="","",IF($P$15="Cascade",$R117*(1-BG117)*BF117,IF($P$15="Additionnelle",($N117-($N117*($P117+BG117)))*BF117))),"Non Trouvé")</f>
        <v>0</v>
      </c>
      <c r="BK117" s="94">
        <f>BK116</f>
        <v>39</v>
      </c>
      <c r="BL117" s="94">
        <f>BL116</f>
        <v>0.245</v>
      </c>
      <c r="BM117" s="90">
        <f t="shared" ref="BM117:BM153" si="89">IFERROR(IF($C117="","",IF($P$15="Cascade",$R117*(1-BL117)*BK117,IF($P$15="Additionnelle",($N117-($N117*($P117+BL117)))*BK117))),"Non Trouvé")</f>
        <v>0</v>
      </c>
      <c r="BP117" s="94">
        <f>BP116</f>
        <v>27</v>
      </c>
      <c r="BQ117" s="94">
        <f>BQ116</f>
        <v>0.22500000000000001</v>
      </c>
      <c r="BR117" s="90">
        <f t="shared" ref="BR117:BR153" si="90">IFERROR(IF($C117="","",IF($P$15="Cascade",$R117*(1-BQ117)*BP117,IF($P$15="Additionnelle",($N117-($N117*($P117+BQ117)))*BP117))),"Non Trouvé")</f>
        <v>0</v>
      </c>
      <c r="BU117" s="94">
        <f>BU116</f>
        <v>0</v>
      </c>
      <c r="BV117" s="94">
        <f>BV116</f>
        <v>0.17499999999999999</v>
      </c>
      <c r="BW117" s="90">
        <f t="shared" ref="BW117:BW153" si="91">IFERROR(IF($C117="","",IF($P$15="Cascade",$R117*(1-BV117)*BU117,IF($P$15="Additionnelle",($N117-($N117*($P117+BV117)))*BU117))),"Non Trouvé")</f>
        <v>0</v>
      </c>
      <c r="BZ117" s="94">
        <f>BZ116</f>
        <v>84</v>
      </c>
      <c r="CA117" s="94">
        <f>CA116</f>
        <v>0.15</v>
      </c>
      <c r="CB117" s="90">
        <f t="shared" ref="CB117:CB153" si="92">IFERROR(IF($C117="","",IF($P$15="Cascade",$R117*(1-CA117)*BZ117,IF($P$15="Additionnelle",($N117-($N117*($P117+CA117)))*BZ117))),"Non Trouvé")</f>
        <v>0</v>
      </c>
      <c r="CE117" s="95"/>
      <c r="CF117" s="96"/>
      <c r="CG117" s="97"/>
      <c r="CH117" s="97"/>
      <c r="CI117" s="98"/>
      <c r="CK117" s="99">
        <f>IFERROR(IF(F117='[1]Paramètres Généraux'!$K$12,ROUNDUP((REGENERANTS!H117*REGENERANTS!$CF$112)*'[1]Paramètres Généraux'!$M$12,-1),IF(F117='[1]Paramètres Généraux'!$K$15,ROUNDUP((REGENERANTS!H117*REGENERANTS!$CF$112)*'[1]Paramètres Généraux'!$M$15,-1),REGENERANTS!H117*REGENERANTS!$CF$112)),"nd")</f>
        <v>0</v>
      </c>
      <c r="CN117" s="100"/>
      <c r="CO117" s="101"/>
      <c r="CP117" s="101"/>
      <c r="CQ117" s="101"/>
      <c r="CR117" s="101"/>
      <c r="CS117" s="171"/>
      <c r="CT117" s="172"/>
      <c r="CU117" s="101"/>
      <c r="CV117" s="171"/>
      <c r="CW117" s="106"/>
      <c r="CX117" s="107"/>
      <c r="CY117" s="106"/>
      <c r="CZ117" s="104"/>
      <c r="DA117" s="107"/>
      <c r="DB117" s="106"/>
      <c r="DC117" s="104"/>
      <c r="DD117" s="107"/>
      <c r="DE117" s="106"/>
      <c r="DF117" s="104"/>
      <c r="DG117" s="104"/>
      <c r="DH117" s="104"/>
      <c r="DI117" s="104"/>
      <c r="DJ117" s="104"/>
      <c r="DK117" s="104"/>
      <c r="DL117" s="104"/>
      <c r="DM117" s="104"/>
      <c r="DN117" s="104"/>
      <c r="DO117" s="107"/>
      <c r="DP117" s="106"/>
      <c r="DQ117" s="20">
        <f t="shared" si="76"/>
        <v>0</v>
      </c>
      <c r="DR117" s="20">
        <f t="shared" si="77"/>
        <v>0</v>
      </c>
      <c r="DS117" s="20">
        <f>IFERROR((IF(AND($F117="Produit Vente",CO117&gt;0),VLOOKUP($C117,'[1]Paramètres Articles'!$B:$H,7,FALSE)*$CO117)*(1-20%)),0)</f>
        <v>0</v>
      </c>
      <c r="DT117" s="20">
        <f>IFERROR((IF(AND($F117="Produit Vente",DR117&gt;0),VLOOKUP($C117,'[1]Paramètres Articles'!$B:$H,6,FALSE)*$DR117)*(1-15%)),0)</f>
        <v>0</v>
      </c>
      <c r="DU117" s="20">
        <f t="shared" si="78"/>
        <v>0</v>
      </c>
    </row>
    <row r="118" spans="2:125" ht="12.95" customHeight="1" outlineLevel="1">
      <c r="B118" s="1">
        <f>IF(C118="",0,COUNTIFS($B$22:B117,"&gt;"&amp;0)+1)</f>
        <v>45</v>
      </c>
      <c r="C118" s="85">
        <v>1020721</v>
      </c>
      <c r="D118" s="86" t="str">
        <f>IFERROR(IF($C118="","",VLOOKUP($C118,'[1]Paramètres Articles'!$B:$G,2,FALSE)),"Non Trouvé")</f>
        <v>Cure Intensive Fortifiante - Régénérant - 40ml</v>
      </c>
      <c r="E118" s="87">
        <f>IFERROR(IF($C118="","",_xlfn.XLOOKUP(REGENERANTS!$C118,'[1]New Base PA'!$F:$F,'[1]New Base PA'!$D:$D,"Not Found",0)),"Non Trouvé")</f>
        <v>4020829102941</v>
      </c>
      <c r="F118" s="88" t="s">
        <v>90</v>
      </c>
      <c r="H118" s="89">
        <v>1</v>
      </c>
      <c r="J118" s="90">
        <f>IFERROR(IF($C118="","",VLOOKUP($C118,'[1]New Base PA'!$F:$J,5,FALSE)),"Non Trouvé")</f>
        <v>16.878</v>
      </c>
      <c r="K118" s="131">
        <f t="shared" si="73"/>
        <v>16.878</v>
      </c>
      <c r="L118" s="132"/>
      <c r="M118" s="90">
        <f>IFERROR(IF(AND($F118="Produit Vente",H118&gt;0),VLOOKUP($C118,'[1]Paramètres Articles'!$B:$G,6,FALSE),0),"Non Trouvé")</f>
        <v>42.878865663600067</v>
      </c>
      <c r="N118" s="90">
        <f t="shared" si="74"/>
        <v>42.878865663600067</v>
      </c>
      <c r="P118" s="92">
        <v>0.05</v>
      </c>
      <c r="R118" s="90">
        <f t="shared" si="75"/>
        <v>40.734922380420059</v>
      </c>
      <c r="S118" s="91"/>
      <c r="T118" s="90">
        <f>IFERROR(IF($C118="","",VLOOKUP($C118,'[1]Paramètres Articles'!$B:$H,7,FALSE)),"Non Trouvé")</f>
        <v>72.898071522305145</v>
      </c>
      <c r="U118" s="93"/>
      <c r="V118" s="90">
        <f t="shared" si="79"/>
        <v>69.25316794618989</v>
      </c>
      <c r="W118" s="91"/>
      <c r="X118" s="90">
        <f t="shared" si="81"/>
        <v>3.6449035761152544</v>
      </c>
      <c r="Y118" s="91"/>
      <c r="Z118" s="90">
        <f t="shared" si="80"/>
        <v>72.898071522305145</v>
      </c>
      <c r="AB118" s="94">
        <f>AB116</f>
        <v>90</v>
      </c>
      <c r="AC118" s="94">
        <f>AC116</f>
        <v>0.17</v>
      </c>
      <c r="AD118" s="90">
        <f t="shared" si="82"/>
        <v>3010.0963695847245</v>
      </c>
      <c r="AG118" s="94">
        <f>AG116</f>
        <v>82</v>
      </c>
      <c r="AH118" s="94">
        <f>AH116</f>
        <v>0.13</v>
      </c>
      <c r="AI118" s="90">
        <f t="shared" si="83"/>
        <v>2883.1749272204684</v>
      </c>
      <c r="AL118" s="94">
        <f>AL116</f>
        <v>20</v>
      </c>
      <c r="AM118" s="94">
        <f>AM116</f>
        <v>0.08</v>
      </c>
      <c r="AN118" s="90">
        <f t="shared" si="84"/>
        <v>746.09226254664122</v>
      </c>
      <c r="AQ118" s="94">
        <f>AQ116</f>
        <v>0</v>
      </c>
      <c r="AR118" s="94">
        <f>AR116</f>
        <v>0.05</v>
      </c>
      <c r="AS118" s="90">
        <f t="shared" si="85"/>
        <v>0</v>
      </c>
      <c r="AV118" s="94">
        <f>AV116</f>
        <v>16</v>
      </c>
      <c r="AW118" s="94">
        <f>AW116</f>
        <v>0.32500000000000001</v>
      </c>
      <c r="AX118" s="90">
        <f t="shared" si="86"/>
        <v>428.78865663600067</v>
      </c>
      <c r="BA118" s="94">
        <f>BA116</f>
        <v>12</v>
      </c>
      <c r="BB118" s="94">
        <f>BB116</f>
        <v>0.29499999999999998</v>
      </c>
      <c r="BC118" s="90">
        <f t="shared" si="87"/>
        <v>337.02788411589654</v>
      </c>
      <c r="BF118" s="94">
        <f>BF116</f>
        <v>20</v>
      </c>
      <c r="BG118" s="94">
        <f>BG116</f>
        <v>0.27500000000000002</v>
      </c>
      <c r="BH118" s="90">
        <f t="shared" si="88"/>
        <v>578.86468645860089</v>
      </c>
      <c r="BK118" s="94">
        <f>BK116</f>
        <v>39</v>
      </c>
      <c r="BL118" s="94">
        <f>BL116</f>
        <v>0.245</v>
      </c>
      <c r="BM118" s="90">
        <f t="shared" si="89"/>
        <v>1178.954411420684</v>
      </c>
      <c r="BP118" s="94">
        <f>BP116</f>
        <v>27</v>
      </c>
      <c r="BQ118" s="94">
        <f>BQ116</f>
        <v>0.22500000000000001</v>
      </c>
      <c r="BR118" s="90">
        <f t="shared" si="90"/>
        <v>839.35379536497123</v>
      </c>
      <c r="BU118" s="94">
        <f>BU116</f>
        <v>0</v>
      </c>
      <c r="BV118" s="94">
        <f>BV116</f>
        <v>0.17499999999999999</v>
      </c>
      <c r="BW118" s="90">
        <f t="shared" si="91"/>
        <v>0</v>
      </c>
      <c r="BZ118" s="94">
        <f>BZ116</f>
        <v>84</v>
      </c>
      <c r="CA118" s="94">
        <f>CA116</f>
        <v>0.15</v>
      </c>
      <c r="CB118" s="90">
        <f t="shared" si="92"/>
        <v>2881.4597725939243</v>
      </c>
      <c r="CE118" s="95"/>
      <c r="CF118" s="96"/>
      <c r="CG118" s="88" t="s">
        <v>93</v>
      </c>
      <c r="CH118" s="120">
        <f>SUMIFS(K114:K153,F114:F153,CG118)/SUMIFS(K114:K153,F114:F153,"Produit Vente")</f>
        <v>0</v>
      </c>
      <c r="CI118" s="98"/>
      <c r="CK118" s="99">
        <f>IFERROR(IF(F118='[1]Paramètres Généraux'!$K$12,ROUNDUP((REGENERANTS!H118*REGENERANTS!$CF$112)*'[1]Paramètres Généraux'!$M$12,-1),IF(F118='[1]Paramètres Généraux'!$K$15,ROUNDUP((REGENERANTS!H118*REGENERANTS!$CF$112)*'[1]Paramètres Généraux'!$M$15,-1),REGENERANTS!H118*REGENERANTS!$CF$112)),"nd")</f>
        <v>390</v>
      </c>
      <c r="CN118" s="100"/>
      <c r="CO118" s="101"/>
      <c r="CP118" s="101"/>
      <c r="CQ118" s="101"/>
      <c r="CR118" s="101"/>
      <c r="CS118" s="171"/>
      <c r="CT118" s="172"/>
      <c r="CU118" s="101"/>
      <c r="CV118" s="171"/>
      <c r="CW118" s="106"/>
      <c r="CX118" s="107"/>
      <c r="CY118" s="106"/>
      <c r="CZ118" s="104"/>
      <c r="DA118" s="107"/>
      <c r="DB118" s="106"/>
      <c r="DC118" s="104"/>
      <c r="DD118" s="107"/>
      <c r="DE118" s="106"/>
      <c r="DF118" s="104"/>
      <c r="DG118" s="104"/>
      <c r="DH118" s="104"/>
      <c r="DI118" s="104"/>
      <c r="DJ118" s="104"/>
      <c r="DK118" s="104"/>
      <c r="DL118" s="104"/>
      <c r="DM118" s="104"/>
      <c r="DN118" s="104"/>
      <c r="DO118" s="107"/>
      <c r="DP118" s="106"/>
      <c r="DQ118" s="20">
        <f t="shared" si="76"/>
        <v>0</v>
      </c>
      <c r="DR118" s="20">
        <f t="shared" si="77"/>
        <v>0</v>
      </c>
      <c r="DS118" s="20">
        <f>IFERROR((IF(AND($F118="Produit Vente",CO118&gt;0),VLOOKUP($C118,'[1]Paramètres Articles'!$B:$H,7,FALSE)*$CO118)*(1-20%)),0)</f>
        <v>0</v>
      </c>
      <c r="DT118" s="20">
        <f>IFERROR((IF(AND($F118="Produit Vente",DR118&gt;0),VLOOKUP($C118,'[1]Paramètres Articles'!$B:$H,6,FALSE)*$DR118)*(1-15%)),0)</f>
        <v>0</v>
      </c>
      <c r="DU118" s="20">
        <f t="shared" si="78"/>
        <v>0</v>
      </c>
    </row>
    <row r="119" spans="2:125" ht="12.95" customHeight="1" outlineLevel="1">
      <c r="B119" s="1">
        <f>IF(C119="",0,COUNTIFS($B$22:B118,"&gt;"&amp;0)+1)</f>
        <v>46</v>
      </c>
      <c r="C119" s="85">
        <v>1020107</v>
      </c>
      <c r="D119" s="86" t="str">
        <f>IFERROR(IF($C119="","",VLOOKUP($C119,'[1]Paramètres Articles'!$B:$G,2,FALSE)),"Non Trouvé")</f>
        <v>Lait pour le Corps - Régénérant - 150 ml</v>
      </c>
      <c r="E119" s="87">
        <f>IFERROR(IF($C119="","",_xlfn.XLOOKUP(REGENERANTS!$C119,'[1]New Base PA'!$F:$F,'[1]New Base PA'!$D:$D,"Not Found",0)),"Non Trouvé")</f>
        <v>4020829103160</v>
      </c>
      <c r="F119" s="88" t="s">
        <v>90</v>
      </c>
      <c r="H119" s="89">
        <v>0</v>
      </c>
      <c r="J119" s="90">
        <f>IFERROR(IF($C119="","",VLOOKUP($C119,'[1]New Base PA'!$F:$J,5,FALSE)),"Non Trouvé")</f>
        <v>10.335599999999999</v>
      </c>
      <c r="K119" s="131">
        <f t="shared" si="73"/>
        <v>0</v>
      </c>
      <c r="L119" s="132"/>
      <c r="M119" s="90">
        <f>IFERROR(IF(AND($F119="Produit Vente",H119&gt;0),VLOOKUP($C119,'[1]Paramètres Articles'!$B:$G,6,FALSE),0),"Non Trouvé")</f>
        <v>0</v>
      </c>
      <c r="N119" s="90">
        <f t="shared" si="74"/>
        <v>0</v>
      </c>
      <c r="P119" s="92">
        <v>0.05</v>
      </c>
      <c r="R119" s="90">
        <f t="shared" si="75"/>
        <v>0</v>
      </c>
      <c r="S119" s="91"/>
      <c r="T119" s="90">
        <f>IFERROR(IF($C119="","",VLOOKUP($C119,'[1]Paramètres Articles'!$B:$H,7,FALSE)),"Non Trouvé")</f>
        <v>44.4</v>
      </c>
      <c r="U119" s="93"/>
      <c r="V119" s="90">
        <f t="shared" si="79"/>
        <v>42.18</v>
      </c>
      <c r="W119" s="91"/>
      <c r="X119" s="90">
        <f t="shared" si="81"/>
        <v>2.2199999999999989</v>
      </c>
      <c r="Y119" s="91"/>
      <c r="Z119" s="90">
        <f t="shared" si="80"/>
        <v>0</v>
      </c>
      <c r="AB119" s="94">
        <f>AB118</f>
        <v>90</v>
      </c>
      <c r="AC119" s="94">
        <f>AC118</f>
        <v>0.17</v>
      </c>
      <c r="AD119" s="90">
        <f t="shared" si="82"/>
        <v>0</v>
      </c>
      <c r="AG119" s="94">
        <f>AG118</f>
        <v>82</v>
      </c>
      <c r="AH119" s="94">
        <f>AH118</f>
        <v>0.13</v>
      </c>
      <c r="AI119" s="90">
        <f t="shared" si="83"/>
        <v>0</v>
      </c>
      <c r="AL119" s="94">
        <f>AL118</f>
        <v>20</v>
      </c>
      <c r="AM119" s="94">
        <f>AM118</f>
        <v>0.08</v>
      </c>
      <c r="AN119" s="90">
        <f t="shared" si="84"/>
        <v>0</v>
      </c>
      <c r="AQ119" s="94">
        <f>AQ118</f>
        <v>0</v>
      </c>
      <c r="AR119" s="94">
        <f>AR118</f>
        <v>0.05</v>
      </c>
      <c r="AS119" s="90">
        <f t="shared" si="85"/>
        <v>0</v>
      </c>
      <c r="AV119" s="94">
        <f>AV118</f>
        <v>16</v>
      </c>
      <c r="AW119" s="94">
        <f>AW118</f>
        <v>0.32500000000000001</v>
      </c>
      <c r="AX119" s="90">
        <f t="shared" si="86"/>
        <v>0</v>
      </c>
      <c r="BA119" s="94">
        <f>BA118</f>
        <v>12</v>
      </c>
      <c r="BB119" s="94">
        <f>BB118</f>
        <v>0.29499999999999998</v>
      </c>
      <c r="BC119" s="90">
        <f t="shared" si="87"/>
        <v>0</v>
      </c>
      <c r="BF119" s="94">
        <f>BF118</f>
        <v>20</v>
      </c>
      <c r="BG119" s="94">
        <f>BG118</f>
        <v>0.27500000000000002</v>
      </c>
      <c r="BH119" s="90">
        <f t="shared" si="88"/>
        <v>0</v>
      </c>
      <c r="BK119" s="94">
        <f>BK118</f>
        <v>39</v>
      </c>
      <c r="BL119" s="94">
        <f>BL118</f>
        <v>0.245</v>
      </c>
      <c r="BM119" s="90">
        <f t="shared" si="89"/>
        <v>0</v>
      </c>
      <c r="BP119" s="94">
        <f>BP118</f>
        <v>27</v>
      </c>
      <c r="BQ119" s="94">
        <f>BQ118</f>
        <v>0.22500000000000001</v>
      </c>
      <c r="BR119" s="90">
        <f t="shared" si="90"/>
        <v>0</v>
      </c>
      <c r="BU119" s="94">
        <f>BU118</f>
        <v>0</v>
      </c>
      <c r="BV119" s="94">
        <f>BV118</f>
        <v>0.17499999999999999</v>
      </c>
      <c r="BW119" s="90">
        <f t="shared" si="91"/>
        <v>0</v>
      </c>
      <c r="BZ119" s="94">
        <f>BZ118</f>
        <v>84</v>
      </c>
      <c r="CA119" s="94">
        <f>CA118</f>
        <v>0.15</v>
      </c>
      <c r="CB119" s="90">
        <f t="shared" si="92"/>
        <v>0</v>
      </c>
      <c r="CE119" s="95"/>
      <c r="CF119" s="96"/>
      <c r="CG119" s="88" t="s">
        <v>94</v>
      </c>
      <c r="CH119" s="120">
        <f>(SUMIFS(K114:K153,F114:F153,"PLV (PDC ou autre)")+SUMIFS(K114:K153,F114:F153,"PLV (vitrine)"))/K112</f>
        <v>0.12299557644456735</v>
      </c>
      <c r="CI119" s="98"/>
      <c r="CK119" s="99">
        <f>IFERROR(IF(F119='[1]Paramètres Généraux'!$K$12,ROUNDUP((REGENERANTS!H119*REGENERANTS!$CF$112)*'[1]Paramètres Généraux'!$M$12,-1),IF(F119='[1]Paramètres Généraux'!$K$15,ROUNDUP((REGENERANTS!H119*REGENERANTS!$CF$112)*'[1]Paramètres Généraux'!$M$15,-1),REGENERANTS!H119*REGENERANTS!$CF$112)),"nd")</f>
        <v>0</v>
      </c>
      <c r="CN119" s="100"/>
      <c r="CO119" s="101"/>
      <c r="CP119" s="101"/>
      <c r="CQ119" s="101"/>
      <c r="CR119" s="101"/>
      <c r="CS119" s="171"/>
      <c r="CT119" s="172"/>
      <c r="CU119" s="101"/>
      <c r="CV119" s="171"/>
      <c r="CW119" s="106"/>
      <c r="CX119" s="107"/>
      <c r="CY119" s="106"/>
      <c r="CZ119" s="104"/>
      <c r="DA119" s="107"/>
      <c r="DB119" s="106"/>
      <c r="DC119" s="104"/>
      <c r="DD119" s="107"/>
      <c r="DE119" s="106"/>
      <c r="DF119" s="104"/>
      <c r="DG119" s="104"/>
      <c r="DH119" s="104"/>
      <c r="DI119" s="104"/>
      <c r="DJ119" s="104"/>
      <c r="DK119" s="104"/>
      <c r="DL119" s="104"/>
      <c r="DM119" s="104"/>
      <c r="DN119" s="104"/>
      <c r="DO119" s="107"/>
      <c r="DP119" s="106"/>
      <c r="DQ119" s="20">
        <f t="shared" si="76"/>
        <v>0</v>
      </c>
      <c r="DR119" s="20">
        <f t="shared" si="77"/>
        <v>0</v>
      </c>
      <c r="DS119" s="20">
        <f>IFERROR((IF(AND($F119="Produit Vente",CO119&gt;0),VLOOKUP($C119,'[1]Paramètres Articles'!$B:$H,7,FALSE)*$CO119)*(1-20%)),0)</f>
        <v>0</v>
      </c>
      <c r="DT119" s="20">
        <f>IFERROR((IF(AND($F119="Produit Vente",DR119&gt;0),VLOOKUP($C119,'[1]Paramètres Articles'!$B:$H,6,FALSE)*$DR119)*(1-15%)),0)</f>
        <v>0</v>
      </c>
      <c r="DU119" s="20">
        <f t="shared" si="78"/>
        <v>0</v>
      </c>
    </row>
    <row r="120" spans="2:125" ht="12.95" customHeight="1" outlineLevel="1">
      <c r="B120" s="1">
        <f>IF(C120="",0,COUNTIFS($B$22:B119,"&gt;"&amp;0)+1)</f>
        <v>47</v>
      </c>
      <c r="C120" s="85">
        <v>1020102</v>
      </c>
      <c r="D120" s="86" t="str">
        <f>IFERROR(IF($C120="","",VLOOKUP($C120,'[1]Paramètres Articles'!$B:$G,2,FALSE)),"Non Trouvé")</f>
        <v>Crème pour les Mains - Régénérant - 50 ml</v>
      </c>
      <c r="E120" s="87">
        <f>IFERROR(IF($C120="","",_xlfn.XLOOKUP(REGENERANTS!$C120,'[1]New Base PA'!$F:$F,'[1]New Base PA'!$D:$D,"Not Found",0)),"Non Trouvé")</f>
        <v>4020829049666</v>
      </c>
      <c r="F120" s="88" t="s">
        <v>90</v>
      </c>
      <c r="H120" s="89">
        <v>1</v>
      </c>
      <c r="J120" s="90">
        <f>IFERROR(IF($C120="","",VLOOKUP($C120,'[1]New Base PA'!$F:$J,5,FALSE)),"Non Trouvé")</f>
        <v>6.5481999999999987</v>
      </c>
      <c r="K120" s="131">
        <f t="shared" si="73"/>
        <v>6.5481999999999987</v>
      </c>
      <c r="L120" s="132"/>
      <c r="M120" s="90">
        <f>IFERROR(IF(AND($F120="Produit Vente",H120&gt;0),VLOOKUP($C120,'[1]Paramètres Articles'!$B:$G,6,FALSE),0),"Non Trouvé")</f>
        <v>17.352941176470591</v>
      </c>
      <c r="N120" s="90">
        <f t="shared" si="74"/>
        <v>17.352941176470591</v>
      </c>
      <c r="P120" s="92">
        <v>0.05</v>
      </c>
      <c r="R120" s="90">
        <f t="shared" si="75"/>
        <v>16.485294117647062</v>
      </c>
      <c r="S120" s="91"/>
      <c r="T120" s="90">
        <f>IFERROR(IF($C120="","",VLOOKUP($C120,'[1]Paramètres Articles'!$B:$H,7,FALSE)),"Non Trouvé")</f>
        <v>29.5</v>
      </c>
      <c r="U120" s="93"/>
      <c r="V120" s="90">
        <f t="shared" si="79"/>
        <v>28.024999999999999</v>
      </c>
      <c r="W120" s="91"/>
      <c r="X120" s="90">
        <f t="shared" si="81"/>
        <v>1.4750000000000014</v>
      </c>
      <c r="Y120" s="91"/>
      <c r="Z120" s="90">
        <f t="shared" si="80"/>
        <v>29.5</v>
      </c>
      <c r="AB120" s="94">
        <f>AB118</f>
        <v>90</v>
      </c>
      <c r="AC120" s="94">
        <f>AC118</f>
        <v>0.17</v>
      </c>
      <c r="AD120" s="90">
        <f t="shared" si="82"/>
        <v>1218.1764705882354</v>
      </c>
      <c r="AG120" s="94">
        <f>AG118</f>
        <v>82</v>
      </c>
      <c r="AH120" s="94">
        <f>AH118</f>
        <v>0.13</v>
      </c>
      <c r="AI120" s="90">
        <f t="shared" si="83"/>
        <v>1166.8117647058825</v>
      </c>
      <c r="AL120" s="94">
        <f>AL118</f>
        <v>20</v>
      </c>
      <c r="AM120" s="94">
        <f>AM118</f>
        <v>0.08</v>
      </c>
      <c r="AN120" s="90">
        <f t="shared" si="84"/>
        <v>301.94117647058829</v>
      </c>
      <c r="AQ120" s="94">
        <f>AQ118</f>
        <v>0</v>
      </c>
      <c r="AR120" s="94">
        <f>AR118</f>
        <v>0.05</v>
      </c>
      <c r="AS120" s="90">
        <f t="shared" si="85"/>
        <v>0</v>
      </c>
      <c r="AV120" s="94">
        <f>AV118</f>
        <v>16</v>
      </c>
      <c r="AW120" s="94">
        <f>AW118</f>
        <v>0.32500000000000001</v>
      </c>
      <c r="AX120" s="90">
        <f t="shared" si="86"/>
        <v>173.52941176470591</v>
      </c>
      <c r="BA120" s="94">
        <f>BA118</f>
        <v>12</v>
      </c>
      <c r="BB120" s="94">
        <f>BB118</f>
        <v>0.29499999999999998</v>
      </c>
      <c r="BC120" s="90">
        <f t="shared" si="87"/>
        <v>136.39411764705883</v>
      </c>
      <c r="BF120" s="94">
        <f>BF118</f>
        <v>20</v>
      </c>
      <c r="BG120" s="94">
        <f>BG118</f>
        <v>0.27500000000000002</v>
      </c>
      <c r="BH120" s="90">
        <f t="shared" si="88"/>
        <v>234.26470588235298</v>
      </c>
      <c r="BK120" s="94">
        <f>BK118</f>
        <v>39</v>
      </c>
      <c r="BL120" s="94">
        <f>BL118</f>
        <v>0.245</v>
      </c>
      <c r="BM120" s="90">
        <f t="shared" si="89"/>
        <v>477.11911764705889</v>
      </c>
      <c r="BP120" s="94">
        <f>BP118</f>
        <v>27</v>
      </c>
      <c r="BQ120" s="94">
        <f>BQ118</f>
        <v>0.22500000000000001</v>
      </c>
      <c r="BR120" s="90">
        <f t="shared" si="90"/>
        <v>339.68382352941177</v>
      </c>
      <c r="BU120" s="94">
        <f>BU118</f>
        <v>0</v>
      </c>
      <c r="BV120" s="94">
        <f>BV118</f>
        <v>0.17499999999999999</v>
      </c>
      <c r="BW120" s="90">
        <f t="shared" si="91"/>
        <v>0</v>
      </c>
      <c r="BZ120" s="94">
        <f>BZ118</f>
        <v>84</v>
      </c>
      <c r="CA120" s="94">
        <f>CA118</f>
        <v>0.15</v>
      </c>
      <c r="CB120" s="90">
        <f t="shared" si="92"/>
        <v>1166.1176470588236</v>
      </c>
      <c r="CE120" s="95"/>
      <c r="CF120" s="96"/>
      <c r="CG120" s="88" t="s">
        <v>95</v>
      </c>
      <c r="CH120" s="120">
        <f>SUMIFS(K114:K154,F114:F154,CG120)/K112</f>
        <v>0</v>
      </c>
      <c r="CI120" s="98"/>
      <c r="CK120" s="99">
        <f>IFERROR(IF(F120='[1]Paramètres Généraux'!$K$12,ROUNDUP((REGENERANTS!H120*REGENERANTS!$CF$112)*'[1]Paramètres Généraux'!$M$12,-1),IF(F120='[1]Paramètres Généraux'!$K$15,ROUNDUP((REGENERANTS!H120*REGENERANTS!$CF$112)*'[1]Paramètres Généraux'!$M$15,-1),REGENERANTS!H120*REGENERANTS!$CF$112)),"nd")</f>
        <v>390</v>
      </c>
      <c r="CN120" s="100"/>
      <c r="CO120" s="101"/>
      <c r="CP120" s="101"/>
      <c r="CQ120" s="101"/>
      <c r="CR120" s="101"/>
      <c r="CS120" s="171"/>
      <c r="CT120" s="172"/>
      <c r="CU120" s="101"/>
      <c r="CV120" s="171"/>
      <c r="CW120" s="106"/>
      <c r="CX120" s="107"/>
      <c r="CY120" s="106"/>
      <c r="CZ120" s="104"/>
      <c r="DA120" s="107"/>
      <c r="DB120" s="106"/>
      <c r="DC120" s="104"/>
      <c r="DD120" s="107"/>
      <c r="DE120" s="106"/>
      <c r="DF120" s="104"/>
      <c r="DG120" s="104"/>
      <c r="DH120" s="104"/>
      <c r="DI120" s="104"/>
      <c r="DJ120" s="104"/>
      <c r="DK120" s="104"/>
      <c r="DL120" s="104"/>
      <c r="DM120" s="104"/>
      <c r="DN120" s="104"/>
      <c r="DO120" s="107"/>
      <c r="DP120" s="106"/>
      <c r="DQ120" s="20">
        <f t="shared" si="76"/>
        <v>0</v>
      </c>
      <c r="DR120" s="20">
        <f t="shared" si="77"/>
        <v>0</v>
      </c>
      <c r="DS120" s="20">
        <f>IFERROR((IF(AND($F120="Produit Vente",CO120&gt;0),VLOOKUP($C120,'[1]Paramètres Articles'!$B:$H,7,FALSE)*$CO120)*(1-20%)),0)</f>
        <v>0</v>
      </c>
      <c r="DT120" s="20">
        <f>IFERROR((IF(AND($F120="Produit Vente",DR120&gt;0),VLOOKUP($C120,'[1]Paramètres Articles'!$B:$H,6,FALSE)*$DR120)*(1-15%)),0)</f>
        <v>0</v>
      </c>
      <c r="DU120" s="20">
        <f t="shared" si="78"/>
        <v>0</v>
      </c>
    </row>
    <row r="121" spans="2:125" ht="12.95" customHeight="1" outlineLevel="1">
      <c r="B121" s="1">
        <f>IF(C121="",0,COUNTIFS($B$22:B120,"&gt;"&amp;0)+1)</f>
        <v>48</v>
      </c>
      <c r="C121" s="85">
        <v>1020722</v>
      </c>
      <c r="D121" s="86" t="str">
        <f>IFERROR(IF($C121="","",VLOOKUP($C121,'[1]Paramètres Articles'!$B:$G,2,FALSE)),"Non Trouvé")</f>
        <v>Cure Intensive Rééquilibrante - Régénérant Intensif - 40ml</v>
      </c>
      <c r="E121" s="87">
        <f>IFERROR(IF($C121="","",_xlfn.XLOOKUP(REGENERANTS!$C121,'[1]New Base PA'!$F:$F,'[1]New Base PA'!$D:$D,"Not Found",0)),"Non Trouvé")</f>
        <v>4020829102934</v>
      </c>
      <c r="F121" s="88" t="s">
        <v>90</v>
      </c>
      <c r="H121" s="89">
        <v>0</v>
      </c>
      <c r="J121" s="90">
        <f>IFERROR(IF($C121="","",VLOOKUP($C121,'[1]New Base PA'!$F:$J,5,FALSE)),"Non Trouvé")</f>
        <v>16.878</v>
      </c>
      <c r="K121" s="131">
        <f t="shared" si="73"/>
        <v>0</v>
      </c>
      <c r="L121" s="132"/>
      <c r="M121" s="90">
        <f>IFERROR(IF(AND($F121="Produit Vente",H121&gt;0),VLOOKUP($C121,'[1]Paramètres Articles'!$B:$G,6,FALSE),0),"Non Trouvé")</f>
        <v>0</v>
      </c>
      <c r="N121" s="90">
        <f t="shared" si="74"/>
        <v>0</v>
      </c>
      <c r="P121" s="92">
        <v>0.05</v>
      </c>
      <c r="R121" s="90">
        <f t="shared" si="75"/>
        <v>0</v>
      </c>
      <c r="S121" s="91"/>
      <c r="T121" s="90">
        <f>IFERROR(IF($C121="","",VLOOKUP($C121,'[1]Paramètres Articles'!$B:$H,7,FALSE)),"Non Trouvé")</f>
        <v>72.898071522305145</v>
      </c>
      <c r="U121" s="93"/>
      <c r="V121" s="90">
        <f t="shared" si="79"/>
        <v>69.25316794618989</v>
      </c>
      <c r="W121" s="91"/>
      <c r="X121" s="90">
        <f t="shared" si="81"/>
        <v>3.6449035761152544</v>
      </c>
      <c r="Y121" s="91"/>
      <c r="Z121" s="90">
        <f t="shared" si="80"/>
        <v>0</v>
      </c>
      <c r="AB121" s="94">
        <f>AB120</f>
        <v>90</v>
      </c>
      <c r="AC121" s="94">
        <f>AC120</f>
        <v>0.17</v>
      </c>
      <c r="AD121" s="90">
        <f t="shared" si="82"/>
        <v>0</v>
      </c>
      <c r="AG121" s="94">
        <f>AG120</f>
        <v>82</v>
      </c>
      <c r="AH121" s="94">
        <f>AH120</f>
        <v>0.13</v>
      </c>
      <c r="AI121" s="90">
        <f t="shared" si="83"/>
        <v>0</v>
      </c>
      <c r="AL121" s="94">
        <f>AL120</f>
        <v>20</v>
      </c>
      <c r="AM121" s="94">
        <f>AM120</f>
        <v>0.08</v>
      </c>
      <c r="AN121" s="90">
        <f t="shared" si="84"/>
        <v>0</v>
      </c>
      <c r="AQ121" s="94">
        <f>AQ120</f>
        <v>0</v>
      </c>
      <c r="AR121" s="94">
        <f>AR120</f>
        <v>0.05</v>
      </c>
      <c r="AS121" s="90">
        <f t="shared" si="85"/>
        <v>0</v>
      </c>
      <c r="AV121" s="94">
        <f>AV120</f>
        <v>16</v>
      </c>
      <c r="AW121" s="94">
        <f>AW120</f>
        <v>0.32500000000000001</v>
      </c>
      <c r="AX121" s="90">
        <f t="shared" si="86"/>
        <v>0</v>
      </c>
      <c r="BA121" s="94">
        <f>BA120</f>
        <v>12</v>
      </c>
      <c r="BB121" s="94">
        <f>BB120</f>
        <v>0.29499999999999998</v>
      </c>
      <c r="BC121" s="90">
        <f t="shared" si="87"/>
        <v>0</v>
      </c>
      <c r="BF121" s="94">
        <f>BF120</f>
        <v>20</v>
      </c>
      <c r="BG121" s="94">
        <f>BG120</f>
        <v>0.27500000000000002</v>
      </c>
      <c r="BH121" s="90">
        <f t="shared" si="88"/>
        <v>0</v>
      </c>
      <c r="BK121" s="94">
        <f>BK120</f>
        <v>39</v>
      </c>
      <c r="BL121" s="94">
        <f>BL120</f>
        <v>0.245</v>
      </c>
      <c r="BM121" s="90">
        <f t="shared" si="89"/>
        <v>0</v>
      </c>
      <c r="BP121" s="94">
        <f>BP120</f>
        <v>27</v>
      </c>
      <c r="BQ121" s="94">
        <f>BQ120</f>
        <v>0.22500000000000001</v>
      </c>
      <c r="BR121" s="90">
        <f t="shared" si="90"/>
        <v>0</v>
      </c>
      <c r="BU121" s="94">
        <f>BU120</f>
        <v>0</v>
      </c>
      <c r="BV121" s="94">
        <f>BV120</f>
        <v>0.17499999999999999</v>
      </c>
      <c r="BW121" s="90">
        <f t="shared" si="91"/>
        <v>0</v>
      </c>
      <c r="BZ121" s="94">
        <f>BZ120</f>
        <v>84</v>
      </c>
      <c r="CA121" s="94">
        <f>CA120</f>
        <v>0.15</v>
      </c>
      <c r="CB121" s="90">
        <f t="shared" si="92"/>
        <v>0</v>
      </c>
      <c r="CE121" s="95"/>
      <c r="CF121" s="96"/>
      <c r="CG121" s="88" t="s">
        <v>96</v>
      </c>
      <c r="CH121" s="120">
        <f>SUMIFS(K114:K154,F114:F154,CG121)/K112</f>
        <v>0.16743848493226438</v>
      </c>
      <c r="CI121" s="98"/>
      <c r="CK121" s="99">
        <f>IFERROR(IF(F121='[1]Paramètres Généraux'!$K$12,ROUNDUP((REGENERANTS!H121*REGENERANTS!$CF$112)*'[1]Paramètres Généraux'!$M$12,-1),IF(F121='[1]Paramètres Généraux'!$K$15,ROUNDUP((REGENERANTS!H121*REGENERANTS!$CF$112)*'[1]Paramètres Généraux'!$M$15,-1),REGENERANTS!H121*REGENERANTS!$CF$112)),"nd")</f>
        <v>0</v>
      </c>
      <c r="CN121" s="100"/>
      <c r="CO121" s="101"/>
      <c r="CP121" s="101"/>
      <c r="CQ121" s="101"/>
      <c r="CR121" s="101"/>
      <c r="CS121" s="171"/>
      <c r="CT121" s="172"/>
      <c r="CU121" s="101"/>
      <c r="CV121" s="171"/>
      <c r="CW121" s="106"/>
      <c r="CX121" s="107"/>
      <c r="CY121" s="106"/>
      <c r="CZ121" s="104"/>
      <c r="DA121" s="107"/>
      <c r="DB121" s="106"/>
      <c r="DC121" s="104"/>
      <c r="DD121" s="107"/>
      <c r="DE121" s="106"/>
      <c r="DF121" s="104"/>
      <c r="DG121" s="104"/>
      <c r="DH121" s="104"/>
      <c r="DI121" s="104"/>
      <c r="DJ121" s="104"/>
      <c r="DK121" s="104"/>
      <c r="DL121" s="104"/>
      <c r="DM121" s="104"/>
      <c r="DN121" s="104"/>
      <c r="DO121" s="107"/>
      <c r="DP121" s="106"/>
      <c r="DQ121" s="20">
        <f t="shared" si="76"/>
        <v>0</v>
      </c>
      <c r="DR121" s="20">
        <f t="shared" si="77"/>
        <v>0</v>
      </c>
      <c r="DS121" s="20">
        <f>IFERROR((IF(AND($F121="Produit Vente",CO121&gt;0),VLOOKUP($C121,'[1]Paramètres Articles'!$B:$H,7,FALSE)*$CO121)*(1-20%)),0)</f>
        <v>0</v>
      </c>
      <c r="DT121" s="20">
        <f>IFERROR((IF(AND($F121="Produit Vente",DR121&gt;0),VLOOKUP($C121,'[1]Paramètres Articles'!$B:$H,6,FALSE)*$DR121)*(1-15%)),0)</f>
        <v>0</v>
      </c>
      <c r="DU121" s="20">
        <f t="shared" si="78"/>
        <v>0</v>
      </c>
    </row>
    <row r="122" spans="2:125" ht="12.95" customHeight="1" outlineLevel="1">
      <c r="B122" s="1">
        <f>IF(C122="",0,COUNTIFS($B$22:B121,"&gt;"&amp;0)+1)</f>
        <v>49</v>
      </c>
      <c r="C122" s="85">
        <v>1020719</v>
      </c>
      <c r="D122" s="86" t="str">
        <f>IFERROR(IF($C122="","",VLOOKUP($C122,'[1]Paramètres Articles'!$B:$G,2,FALSE)),"Non Trouvé")</f>
        <v>Huile Fortifiante - Régénérant Intensif - 20ml</v>
      </c>
      <c r="E122" s="87">
        <f>IFERROR(IF($C122="","",_xlfn.XLOOKUP(REGENERANTS!$C122,'[1]New Base PA'!$F:$F,'[1]New Base PA'!$D:$D,"Not Found",0)),"Non Trouvé")</f>
        <v>4020829103030</v>
      </c>
      <c r="F122" s="88" t="s">
        <v>90</v>
      </c>
      <c r="H122" s="89">
        <v>1</v>
      </c>
      <c r="J122" s="90">
        <f>IFERROR(IF($C122="","",VLOOKUP($C122,'[1]New Base PA'!$F:$J,5,FALSE)),"Non Trouvé")</f>
        <v>18.4208</v>
      </c>
      <c r="K122" s="131">
        <f t="shared" si="73"/>
        <v>18.4208</v>
      </c>
      <c r="L122" s="132"/>
      <c r="M122" s="90">
        <f>IFERROR(IF(AND($F122="Produit Vente",H122&gt;0),VLOOKUP($C122,'[1]Paramètres Articles'!$B:$G,6,FALSE),0),"Non Trouvé")</f>
        <v>46.768280254777068</v>
      </c>
      <c r="N122" s="90">
        <f t="shared" si="74"/>
        <v>46.768280254777068</v>
      </c>
      <c r="P122" s="92">
        <v>0.05</v>
      </c>
      <c r="R122" s="90">
        <f t="shared" si="75"/>
        <v>44.429866242038216</v>
      </c>
      <c r="S122" s="91"/>
      <c r="T122" s="90">
        <f>IFERROR(IF($C122="","",VLOOKUP($C122,'[1]Paramètres Articles'!$B:$H,7,FALSE)),"Non Trouvé")</f>
        <v>79.5</v>
      </c>
      <c r="U122" s="93"/>
      <c r="V122" s="90">
        <f t="shared" si="79"/>
        <v>75.524999999999991</v>
      </c>
      <c r="W122" s="91"/>
      <c r="X122" s="90">
        <f t="shared" si="81"/>
        <v>3.9750000000000085</v>
      </c>
      <c r="Y122" s="91"/>
      <c r="Z122" s="90">
        <f t="shared" si="80"/>
        <v>79.5</v>
      </c>
      <c r="AB122" s="94">
        <f>AB120</f>
        <v>90</v>
      </c>
      <c r="AC122" s="94">
        <f>AC120</f>
        <v>0.17</v>
      </c>
      <c r="AD122" s="90">
        <f t="shared" si="82"/>
        <v>3283.1332738853503</v>
      </c>
      <c r="AG122" s="94">
        <f>AG120</f>
        <v>82</v>
      </c>
      <c r="AH122" s="94">
        <f>AH120</f>
        <v>0.13</v>
      </c>
      <c r="AI122" s="90">
        <f t="shared" si="83"/>
        <v>3144.6991643312099</v>
      </c>
      <c r="AL122" s="94">
        <f>AL120</f>
        <v>20</v>
      </c>
      <c r="AM122" s="94">
        <f>AM120</f>
        <v>0.08</v>
      </c>
      <c r="AN122" s="90">
        <f t="shared" si="84"/>
        <v>813.768076433121</v>
      </c>
      <c r="AQ122" s="94">
        <f>AQ120</f>
        <v>0</v>
      </c>
      <c r="AR122" s="94">
        <f>AR120</f>
        <v>0.05</v>
      </c>
      <c r="AS122" s="90">
        <f t="shared" si="85"/>
        <v>0</v>
      </c>
      <c r="AV122" s="94">
        <f>AV120</f>
        <v>16</v>
      </c>
      <c r="AW122" s="94">
        <f>AW120</f>
        <v>0.32500000000000001</v>
      </c>
      <c r="AX122" s="90">
        <f t="shared" si="86"/>
        <v>467.68280254777068</v>
      </c>
      <c r="BA122" s="94">
        <f>BA120</f>
        <v>12</v>
      </c>
      <c r="BB122" s="94">
        <f>BB120</f>
        <v>0.29499999999999998</v>
      </c>
      <c r="BC122" s="90">
        <f t="shared" si="87"/>
        <v>367.59868280254778</v>
      </c>
      <c r="BF122" s="94">
        <f>BF120</f>
        <v>20</v>
      </c>
      <c r="BG122" s="94">
        <f>BG120</f>
        <v>0.27500000000000002</v>
      </c>
      <c r="BH122" s="90">
        <f t="shared" si="88"/>
        <v>631.3717834394904</v>
      </c>
      <c r="BK122" s="94">
        <f>BK120</f>
        <v>39</v>
      </c>
      <c r="BL122" s="94">
        <f>BL120</f>
        <v>0.245</v>
      </c>
      <c r="BM122" s="90">
        <f t="shared" si="89"/>
        <v>1285.8938656050955</v>
      </c>
      <c r="BP122" s="94">
        <f>BP120</f>
        <v>27</v>
      </c>
      <c r="BQ122" s="94">
        <f>BQ120</f>
        <v>0.22500000000000001</v>
      </c>
      <c r="BR122" s="90">
        <f t="shared" si="90"/>
        <v>915.48908598726109</v>
      </c>
      <c r="BU122" s="94">
        <f>BU120</f>
        <v>0</v>
      </c>
      <c r="BV122" s="94">
        <f>BV120</f>
        <v>0.17499999999999999</v>
      </c>
      <c r="BW122" s="90">
        <f t="shared" si="91"/>
        <v>0</v>
      </c>
      <c r="BZ122" s="94">
        <f>BZ120</f>
        <v>84</v>
      </c>
      <c r="CA122" s="94">
        <f>CA120</f>
        <v>0.15</v>
      </c>
      <c r="CB122" s="90">
        <f t="shared" si="92"/>
        <v>3142.8284331210189</v>
      </c>
      <c r="CE122" s="95"/>
      <c r="CF122" s="96"/>
      <c r="CG122" s="97"/>
      <c r="CH122" s="97"/>
      <c r="CI122" s="98"/>
      <c r="CK122" s="99">
        <f>IFERROR(IF(F122='[1]Paramètres Généraux'!$K$12,ROUNDUP((REGENERANTS!H122*REGENERANTS!$CF$112)*'[1]Paramètres Généraux'!$M$12,-1),IF(F122='[1]Paramètres Généraux'!$K$15,ROUNDUP((REGENERANTS!H122*REGENERANTS!$CF$112)*'[1]Paramètres Généraux'!$M$15,-1),REGENERANTS!H122*REGENERANTS!$CF$112)),"nd")</f>
        <v>390</v>
      </c>
      <c r="CN122" s="100"/>
      <c r="CO122" s="101"/>
      <c r="CP122" s="101"/>
      <c r="CQ122" s="101"/>
      <c r="CR122" s="101"/>
      <c r="CS122" s="171"/>
      <c r="CT122" s="172"/>
      <c r="CU122" s="101"/>
      <c r="CV122" s="171"/>
      <c r="CW122" s="106"/>
      <c r="CX122" s="107"/>
      <c r="CY122" s="106"/>
      <c r="CZ122" s="104"/>
      <c r="DA122" s="107"/>
      <c r="DB122" s="106"/>
      <c r="DC122" s="104"/>
      <c r="DD122" s="107"/>
      <c r="DE122" s="106"/>
      <c r="DF122" s="104"/>
      <c r="DG122" s="104"/>
      <c r="DH122" s="104"/>
      <c r="DI122" s="104"/>
      <c r="DJ122" s="104"/>
      <c r="DK122" s="104"/>
      <c r="DL122" s="104"/>
      <c r="DM122" s="104"/>
      <c r="DN122" s="104"/>
      <c r="DO122" s="107"/>
      <c r="DP122" s="106"/>
      <c r="DQ122" s="20">
        <f t="shared" si="76"/>
        <v>0</v>
      </c>
      <c r="DR122" s="20">
        <f t="shared" si="77"/>
        <v>0</v>
      </c>
      <c r="DS122" s="20">
        <f>IFERROR((IF(AND($F122="Produit Vente",CO122&gt;0),VLOOKUP($C122,'[1]Paramètres Articles'!$B:$H,7,FALSE)*$CO122)*(1-20%)),0)</f>
        <v>0</v>
      </c>
      <c r="DT122" s="20">
        <f>IFERROR((IF(AND($F122="Produit Vente",DR122&gt;0),VLOOKUP($C122,'[1]Paramètres Articles'!$B:$H,6,FALSE)*$DR122)*(1-15%)),0)</f>
        <v>0</v>
      </c>
      <c r="DU122" s="20">
        <f t="shared" si="78"/>
        <v>0</v>
      </c>
    </row>
    <row r="123" spans="2:125" ht="12.95" customHeight="1" outlineLevel="1">
      <c r="B123" s="1">
        <f>IF(C123="",0,COUNTIFS($B$22:B122,"&gt;"&amp;0)+1)</f>
        <v>50</v>
      </c>
      <c r="C123" s="85">
        <v>1020717</v>
      </c>
      <c r="D123" s="86" t="str">
        <f>IFERROR(IF($C123="","",VLOOKUP($C123,'[1]Paramètres Articles'!$B:$G,2,FALSE)),"Non Trouvé")</f>
        <v>Sérum Contour des Yeux - Régénérant Intensif -15 ml</v>
      </c>
      <c r="E123" s="87">
        <f>IFERROR(IF($C123="","",_xlfn.XLOOKUP(REGENERANTS!$C123,'[1]New Base PA'!$F:$F,'[1]New Base PA'!$D:$D,"Not Found",0)),"Non Trouvé")</f>
        <v>4020829101067</v>
      </c>
      <c r="F123" s="88" t="s">
        <v>90</v>
      </c>
      <c r="H123" s="89">
        <v>1</v>
      </c>
      <c r="J123" s="90">
        <f>IFERROR(IF($C123="","",VLOOKUP($C123,'[1]New Base PA'!$F:$J,5,FALSE)),"Non Trouvé")</f>
        <v>17.817599999999999</v>
      </c>
      <c r="K123" s="131">
        <f t="shared" si="73"/>
        <v>17.817599999999999</v>
      </c>
      <c r="L123" s="132"/>
      <c r="M123" s="90">
        <f>IFERROR(IF(AND($F123="Produit Vente",H123&gt;0),VLOOKUP($C123,'[1]Paramètres Articles'!$B:$G,6,FALSE),0),"Non Trouvé")</f>
        <v>44.12</v>
      </c>
      <c r="N123" s="90">
        <f t="shared" si="74"/>
        <v>44.12</v>
      </c>
      <c r="P123" s="92">
        <v>0.05</v>
      </c>
      <c r="R123" s="90">
        <f t="shared" si="75"/>
        <v>41.913999999999994</v>
      </c>
      <c r="S123" s="91"/>
      <c r="T123" s="90">
        <f>IFERROR(IF($C123="","",VLOOKUP($C123,'[1]Paramètres Articles'!$B:$H,7,FALSE)),"Non Trouvé")</f>
        <v>75</v>
      </c>
      <c r="U123" s="93"/>
      <c r="V123" s="90">
        <f t="shared" si="79"/>
        <v>71.25</v>
      </c>
      <c r="W123" s="91"/>
      <c r="X123" s="90">
        <f t="shared" si="81"/>
        <v>3.75</v>
      </c>
      <c r="Y123" s="91"/>
      <c r="Z123" s="90">
        <f t="shared" si="80"/>
        <v>75</v>
      </c>
      <c r="AB123" s="94">
        <f>AB122</f>
        <v>90</v>
      </c>
      <c r="AC123" s="94">
        <f>AC122</f>
        <v>0.17</v>
      </c>
      <c r="AD123" s="90">
        <f t="shared" si="82"/>
        <v>3097.2239999999997</v>
      </c>
      <c r="AG123" s="94">
        <f>AG122</f>
        <v>82</v>
      </c>
      <c r="AH123" s="94">
        <f>AH122</f>
        <v>0.13</v>
      </c>
      <c r="AI123" s="90">
        <f t="shared" si="83"/>
        <v>2966.6287999999995</v>
      </c>
      <c r="AL123" s="94">
        <f>AL122</f>
        <v>20</v>
      </c>
      <c r="AM123" s="94">
        <f>AM122</f>
        <v>0.08</v>
      </c>
      <c r="AN123" s="90">
        <f t="shared" si="84"/>
        <v>767.68799999999999</v>
      </c>
      <c r="AQ123" s="94">
        <f>AQ122</f>
        <v>0</v>
      </c>
      <c r="AR123" s="94">
        <f>AR122</f>
        <v>0.05</v>
      </c>
      <c r="AS123" s="90">
        <f t="shared" si="85"/>
        <v>0</v>
      </c>
      <c r="AV123" s="94">
        <f>AV122</f>
        <v>16</v>
      </c>
      <c r="AW123" s="94">
        <f>AW122</f>
        <v>0.32500000000000001</v>
      </c>
      <c r="AX123" s="90">
        <f t="shared" si="86"/>
        <v>441.2</v>
      </c>
      <c r="BA123" s="94">
        <f>BA122</f>
        <v>12</v>
      </c>
      <c r="BB123" s="94">
        <f>BB122</f>
        <v>0.29499999999999998</v>
      </c>
      <c r="BC123" s="90">
        <f t="shared" si="87"/>
        <v>346.78320000000002</v>
      </c>
      <c r="BF123" s="94">
        <f>BF122</f>
        <v>20</v>
      </c>
      <c r="BG123" s="94">
        <f>BG122</f>
        <v>0.27500000000000002</v>
      </c>
      <c r="BH123" s="90">
        <f t="shared" si="88"/>
        <v>595.62</v>
      </c>
      <c r="BK123" s="94">
        <f>BK122</f>
        <v>39</v>
      </c>
      <c r="BL123" s="94">
        <f>BL122</f>
        <v>0.245</v>
      </c>
      <c r="BM123" s="90">
        <f t="shared" si="89"/>
        <v>1213.0793999999999</v>
      </c>
      <c r="BP123" s="94">
        <f>BP122</f>
        <v>27</v>
      </c>
      <c r="BQ123" s="94">
        <f>BQ122</f>
        <v>0.22500000000000001</v>
      </c>
      <c r="BR123" s="90">
        <f t="shared" si="90"/>
        <v>863.64899999999989</v>
      </c>
      <c r="BU123" s="94">
        <f>BU122</f>
        <v>0</v>
      </c>
      <c r="BV123" s="94">
        <f>BV122</f>
        <v>0.17499999999999999</v>
      </c>
      <c r="BW123" s="90">
        <f t="shared" si="91"/>
        <v>0</v>
      </c>
      <c r="BZ123" s="94">
        <f>BZ122</f>
        <v>84</v>
      </c>
      <c r="CA123" s="94">
        <f>CA122</f>
        <v>0.15</v>
      </c>
      <c r="CB123" s="90">
        <f t="shared" si="92"/>
        <v>2964.864</v>
      </c>
      <c r="CE123" s="95"/>
      <c r="CF123" s="96"/>
      <c r="CG123" s="97"/>
      <c r="CH123" s="97"/>
      <c r="CI123" s="98"/>
      <c r="CK123" s="99">
        <f>IFERROR(IF(F123='[1]Paramètres Généraux'!$K$12,ROUNDUP((REGENERANTS!H123*REGENERANTS!$CF$112)*'[1]Paramètres Généraux'!$M$12,-1),IF(F123='[1]Paramètres Généraux'!$K$15,ROUNDUP((REGENERANTS!H123*REGENERANTS!$CF$112)*'[1]Paramètres Généraux'!$M$15,-1),REGENERANTS!H123*REGENERANTS!$CF$112)),"nd")</f>
        <v>390</v>
      </c>
      <c r="CN123" s="100"/>
      <c r="CO123" s="101"/>
      <c r="CP123" s="101"/>
      <c r="CQ123" s="101"/>
      <c r="CR123" s="101"/>
      <c r="CS123" s="171"/>
      <c r="CT123" s="172"/>
      <c r="CU123" s="101"/>
      <c r="CV123" s="171"/>
      <c r="CW123" s="106"/>
      <c r="CX123" s="107"/>
      <c r="CY123" s="106"/>
      <c r="CZ123" s="104"/>
      <c r="DA123" s="107"/>
      <c r="DB123" s="106"/>
      <c r="DC123" s="104"/>
      <c r="DD123" s="107"/>
      <c r="DE123" s="106"/>
      <c r="DF123" s="104"/>
      <c r="DG123" s="104"/>
      <c r="DH123" s="104"/>
      <c r="DI123" s="104"/>
      <c r="DJ123" s="104"/>
      <c r="DK123" s="104"/>
      <c r="DL123" s="104"/>
      <c r="DM123" s="104"/>
      <c r="DN123" s="104"/>
      <c r="DO123" s="107"/>
      <c r="DP123" s="106"/>
      <c r="DQ123" s="20">
        <f t="shared" si="76"/>
        <v>0</v>
      </c>
      <c r="DR123" s="20">
        <f t="shared" si="77"/>
        <v>0</v>
      </c>
      <c r="DS123" s="20">
        <f>IFERROR((IF(AND($F123="Produit Vente",CO123&gt;0),VLOOKUP($C123,'[1]Paramètres Articles'!$B:$H,7,FALSE)*$CO123)*(1-20%)),0)</f>
        <v>0</v>
      </c>
      <c r="DT123" s="20">
        <f>IFERROR((IF(AND($F123="Produit Vente",DR123&gt;0),VLOOKUP($C123,'[1]Paramètres Articles'!$B:$H,6,FALSE)*$DR123)*(1-15%)),0)</f>
        <v>0</v>
      </c>
      <c r="DU123" s="20">
        <f t="shared" si="78"/>
        <v>0</v>
      </c>
    </row>
    <row r="124" spans="2:125" ht="12.95" customHeight="1" outlineLevel="1">
      <c r="B124" s="1">
        <f>IF(C124="",0,COUNTIFS($B$22:B123,"&gt;"&amp;0)+1)</f>
        <v>51</v>
      </c>
      <c r="C124" s="85">
        <v>1020718</v>
      </c>
      <c r="D124" s="86" t="str">
        <f>IFERROR(IF($C124="","",VLOOKUP($C124,'[1]Paramètres Articles'!$B:$G,2,FALSE)),"Non Trouvé")</f>
        <v>Sérum de Nuit - Régénérant Intensif - 30 ml</v>
      </c>
      <c r="E124" s="87">
        <f>IFERROR(IF($C124="","",_xlfn.XLOOKUP(REGENERANTS!$C124,'[1]New Base PA'!$F:$F,'[1]New Base PA'!$D:$D,"Not Found",0)),"Non Trouvé")</f>
        <v>4020829101111</v>
      </c>
      <c r="F124" s="88" t="s">
        <v>90</v>
      </c>
      <c r="H124" s="89">
        <v>1</v>
      </c>
      <c r="J124" s="90">
        <f>IFERROR(IF($C124="","",VLOOKUP($C124,'[1]New Base PA'!$F:$J,5,FALSE)),"Non Trouvé")</f>
        <v>18.2758</v>
      </c>
      <c r="K124" s="131">
        <f t="shared" si="73"/>
        <v>18.2758</v>
      </c>
      <c r="L124" s="132"/>
      <c r="M124" s="90">
        <f>IFERROR(IF(AND($F124="Produit Vente",H124&gt;0),VLOOKUP($C124,'[1]Paramètres Articles'!$B:$G,6,FALSE),0),"Non Trouvé")</f>
        <v>46.758152866242035</v>
      </c>
      <c r="N124" s="90">
        <f t="shared" si="74"/>
        <v>46.758152866242035</v>
      </c>
      <c r="P124" s="92">
        <v>0.05</v>
      </c>
      <c r="R124" s="90">
        <f t="shared" si="75"/>
        <v>44.420245222929928</v>
      </c>
      <c r="S124" s="91"/>
      <c r="T124" s="90">
        <f>IFERROR(IF($C124="","",VLOOKUP($C124,'[1]Paramètres Articles'!$B:$H,7,FALSE)),"Non Trouvé")</f>
        <v>79.5</v>
      </c>
      <c r="U124" s="93"/>
      <c r="V124" s="90">
        <f t="shared" si="79"/>
        <v>75.524999999999991</v>
      </c>
      <c r="W124" s="91"/>
      <c r="X124" s="90">
        <f t="shared" si="81"/>
        <v>3.9750000000000085</v>
      </c>
      <c r="Y124" s="91"/>
      <c r="Z124" s="90">
        <f t="shared" si="80"/>
        <v>79.5</v>
      </c>
      <c r="AB124" s="94">
        <f>AB122</f>
        <v>90</v>
      </c>
      <c r="AC124" s="94">
        <f>AC122</f>
        <v>0.17</v>
      </c>
      <c r="AD124" s="90">
        <f t="shared" si="82"/>
        <v>3282.4223312101908</v>
      </c>
      <c r="AG124" s="94">
        <f>AG122</f>
        <v>82</v>
      </c>
      <c r="AH124" s="94">
        <f>AH122</f>
        <v>0.13</v>
      </c>
      <c r="AI124" s="90">
        <f t="shared" si="83"/>
        <v>3144.0181987261149</v>
      </c>
      <c r="AL124" s="94">
        <f>AL122</f>
        <v>20</v>
      </c>
      <c r="AM124" s="94">
        <f>AM122</f>
        <v>0.08</v>
      </c>
      <c r="AN124" s="90">
        <f t="shared" si="84"/>
        <v>813.59185987261139</v>
      </c>
      <c r="AQ124" s="94">
        <f>AQ122</f>
        <v>0</v>
      </c>
      <c r="AR124" s="94">
        <f>AR122</f>
        <v>0.05</v>
      </c>
      <c r="AS124" s="90">
        <f t="shared" si="85"/>
        <v>0</v>
      </c>
      <c r="AV124" s="94">
        <f>AV122</f>
        <v>16</v>
      </c>
      <c r="AW124" s="94">
        <f>AW122</f>
        <v>0.32500000000000001</v>
      </c>
      <c r="AX124" s="90">
        <f t="shared" si="86"/>
        <v>467.58152866242034</v>
      </c>
      <c r="BA124" s="94">
        <f>BA122</f>
        <v>12</v>
      </c>
      <c r="BB124" s="94">
        <f>BB122</f>
        <v>0.29499999999999998</v>
      </c>
      <c r="BC124" s="90">
        <f t="shared" si="87"/>
        <v>367.51908152866241</v>
      </c>
      <c r="BF124" s="94">
        <f>BF122</f>
        <v>20</v>
      </c>
      <c r="BG124" s="94">
        <f>BG122</f>
        <v>0.27500000000000002</v>
      </c>
      <c r="BH124" s="90">
        <f t="shared" si="88"/>
        <v>631.23506369426752</v>
      </c>
      <c r="BK124" s="94">
        <f>BK122</f>
        <v>39</v>
      </c>
      <c r="BL124" s="94">
        <f>BL122</f>
        <v>0.245</v>
      </c>
      <c r="BM124" s="90">
        <f t="shared" si="89"/>
        <v>1285.6154130573245</v>
      </c>
      <c r="BP124" s="94">
        <f>BP122</f>
        <v>27</v>
      </c>
      <c r="BQ124" s="94">
        <f>BQ122</f>
        <v>0.22500000000000001</v>
      </c>
      <c r="BR124" s="90">
        <f t="shared" si="90"/>
        <v>915.29084235668779</v>
      </c>
      <c r="BU124" s="94">
        <f>BU122</f>
        <v>0</v>
      </c>
      <c r="BV124" s="94">
        <f>BV122</f>
        <v>0.17499999999999999</v>
      </c>
      <c r="BW124" s="90">
        <f t="shared" si="91"/>
        <v>0</v>
      </c>
      <c r="BZ124" s="94">
        <f>BZ122</f>
        <v>84</v>
      </c>
      <c r="CA124" s="94">
        <f>CA122</f>
        <v>0.15</v>
      </c>
      <c r="CB124" s="90">
        <f t="shared" si="92"/>
        <v>3142.1478726114647</v>
      </c>
      <c r="CE124" s="95"/>
      <c r="CF124" s="96"/>
      <c r="CG124" s="97"/>
      <c r="CH124" s="97"/>
      <c r="CI124" s="98"/>
      <c r="CK124" s="99">
        <f>IFERROR(IF(F124='[1]Paramètres Généraux'!$K$12,ROUNDUP((REGENERANTS!H124*REGENERANTS!$CF$112)*'[1]Paramètres Généraux'!$M$12,-1),IF(F124='[1]Paramètres Généraux'!$K$15,ROUNDUP((REGENERANTS!H124*REGENERANTS!$CF$112)*'[1]Paramètres Généraux'!$M$15,-1),REGENERANTS!H124*REGENERANTS!$CF$112)),"nd")</f>
        <v>390</v>
      </c>
      <c r="CN124" s="100"/>
      <c r="CO124" s="101"/>
      <c r="CP124" s="101"/>
      <c r="CQ124" s="101"/>
      <c r="CR124" s="101"/>
      <c r="CS124" s="171"/>
      <c r="CT124" s="172"/>
      <c r="CU124" s="101"/>
      <c r="CV124" s="171"/>
      <c r="CW124" s="106"/>
      <c r="CX124" s="107"/>
      <c r="CY124" s="106"/>
      <c r="CZ124" s="104"/>
      <c r="DA124" s="107"/>
      <c r="DB124" s="106"/>
      <c r="DC124" s="104"/>
      <c r="DD124" s="107"/>
      <c r="DE124" s="106"/>
      <c r="DF124" s="104"/>
      <c r="DG124" s="104"/>
      <c r="DH124" s="104"/>
      <c r="DI124" s="104"/>
      <c r="DJ124" s="104"/>
      <c r="DK124" s="104"/>
      <c r="DL124" s="104"/>
      <c r="DM124" s="104"/>
      <c r="DN124" s="104"/>
      <c r="DO124" s="107"/>
      <c r="DP124" s="106"/>
      <c r="DQ124" s="20">
        <f t="shared" si="76"/>
        <v>0</v>
      </c>
      <c r="DR124" s="20">
        <f t="shared" si="77"/>
        <v>0</v>
      </c>
      <c r="DS124" s="20">
        <f>IFERROR((IF(AND($F124="Produit Vente",CO124&gt;0),VLOOKUP($C124,'[1]Paramètres Articles'!$B:$H,7,FALSE)*$CO124)*(1-20%)),0)</f>
        <v>0</v>
      </c>
      <c r="DT124" s="20">
        <f>IFERROR((IF(AND($F124="Produit Vente",DR124&gt;0),VLOOKUP($C124,'[1]Paramètres Articles'!$B:$H,6,FALSE)*$DR124)*(1-15%)),0)</f>
        <v>0</v>
      </c>
      <c r="DU124" s="20">
        <f t="shared" si="78"/>
        <v>0</v>
      </c>
    </row>
    <row r="125" spans="2:125" ht="12.95" customHeight="1" outlineLevel="1">
      <c r="B125" s="1">
        <f>IF(C125="",0,COUNTIFS($B$22:B124,"&gt;"&amp;0)+1)</f>
        <v>52</v>
      </c>
      <c r="C125" s="85">
        <v>1020301</v>
      </c>
      <c r="D125" s="86" t="str">
        <f>IFERROR(IF($C125="","",VLOOKUP($C125,'[1]Paramètres Articles'!$B:$G,2,FALSE)),"Non Trouvé")</f>
        <v>Crème de Jour - Régénérant - 40 ml</v>
      </c>
      <c r="E125" s="87">
        <f>IFERROR(IF($C125="","",_xlfn.XLOOKUP(REGENERANTS!$C125,'[1]New Base PA'!$F:$F,'[1]New Base PA'!$D:$D,"Not Found",0)),"Non Trouvé")</f>
        <v>4020829007383</v>
      </c>
      <c r="F125" s="88" t="s">
        <v>90</v>
      </c>
      <c r="H125" s="89">
        <v>2</v>
      </c>
      <c r="J125" s="90">
        <f>IFERROR(IF($C125="","",VLOOKUP($C125,'[1]New Base PA'!$F:$J,5,FALSE)),"Non Trouvé")</f>
        <v>14.801599999999999</v>
      </c>
      <c r="K125" s="131">
        <f t="shared" si="73"/>
        <v>29.603199999999998</v>
      </c>
      <c r="L125" s="132"/>
      <c r="M125" s="90">
        <f>IFERROR(IF(AND($F125="Produit Vente",H125&gt;0),VLOOKUP($C125,'[1]Paramètres Articles'!$B:$G,6,FALSE),0),"Non Trouvé")</f>
        <v>38.532973805855164</v>
      </c>
      <c r="N125" s="90">
        <f t="shared" si="74"/>
        <v>77.065947611710328</v>
      </c>
      <c r="P125" s="92">
        <v>0.05</v>
      </c>
      <c r="R125" s="90">
        <f t="shared" si="75"/>
        <v>73.212650231124812</v>
      </c>
      <c r="S125" s="91"/>
      <c r="T125" s="90">
        <f>IFERROR(IF($C125="","",VLOOKUP($C125,'[1]Paramètres Articles'!$B:$H,7,FALSE)),"Non Trouvé")</f>
        <v>65.5</v>
      </c>
      <c r="U125" s="93"/>
      <c r="V125" s="90">
        <f t="shared" si="79"/>
        <v>62.224999999999994</v>
      </c>
      <c r="W125" s="91"/>
      <c r="X125" s="90">
        <f t="shared" si="81"/>
        <v>3.2750000000000057</v>
      </c>
      <c r="Y125" s="91"/>
      <c r="Z125" s="90">
        <f t="shared" si="80"/>
        <v>131</v>
      </c>
      <c r="AB125" s="94">
        <f>AB124</f>
        <v>90</v>
      </c>
      <c r="AC125" s="94">
        <f>AC124</f>
        <v>0.17</v>
      </c>
      <c r="AD125" s="90">
        <f t="shared" si="82"/>
        <v>5410.0295223420653</v>
      </c>
      <c r="AG125" s="94">
        <f>AG124</f>
        <v>82</v>
      </c>
      <c r="AH125" s="94">
        <f>AH124</f>
        <v>0.13</v>
      </c>
      <c r="AI125" s="90">
        <f t="shared" si="83"/>
        <v>5181.9143174114024</v>
      </c>
      <c r="AL125" s="94">
        <f>AL124</f>
        <v>20</v>
      </c>
      <c r="AM125" s="94">
        <f>AM124</f>
        <v>0.08</v>
      </c>
      <c r="AN125" s="90">
        <f t="shared" si="84"/>
        <v>1340.9474884437598</v>
      </c>
      <c r="AQ125" s="94">
        <f>AQ124</f>
        <v>0</v>
      </c>
      <c r="AR125" s="94">
        <f>AR124</f>
        <v>0.05</v>
      </c>
      <c r="AS125" s="90">
        <f t="shared" si="85"/>
        <v>0</v>
      </c>
      <c r="AV125" s="94">
        <f>AV124</f>
        <v>16</v>
      </c>
      <c r="AW125" s="94">
        <f>AW124</f>
        <v>0.32500000000000001</v>
      </c>
      <c r="AX125" s="90">
        <f t="shared" si="86"/>
        <v>770.65947611710328</v>
      </c>
      <c r="BA125" s="94">
        <f>BA124</f>
        <v>12</v>
      </c>
      <c r="BB125" s="94">
        <f>BB124</f>
        <v>0.29499999999999998</v>
      </c>
      <c r="BC125" s="90">
        <f t="shared" si="87"/>
        <v>605.73834822804326</v>
      </c>
      <c r="BF125" s="94">
        <f>BF124</f>
        <v>20</v>
      </c>
      <c r="BG125" s="94">
        <f>BG124</f>
        <v>0.27500000000000002</v>
      </c>
      <c r="BH125" s="90">
        <f t="shared" si="88"/>
        <v>1040.3902927580893</v>
      </c>
      <c r="BK125" s="94">
        <f>BK124</f>
        <v>39</v>
      </c>
      <c r="BL125" s="94">
        <f>BL124</f>
        <v>0.245</v>
      </c>
      <c r="BM125" s="90">
        <f t="shared" si="89"/>
        <v>2118.9282295839753</v>
      </c>
      <c r="BP125" s="94">
        <f>BP124</f>
        <v>27</v>
      </c>
      <c r="BQ125" s="94">
        <f>BQ124</f>
        <v>0.22500000000000001</v>
      </c>
      <c r="BR125" s="90">
        <f t="shared" si="90"/>
        <v>1508.5659244992296</v>
      </c>
      <c r="BU125" s="94">
        <f>BU124</f>
        <v>0</v>
      </c>
      <c r="BV125" s="94">
        <f>BV124</f>
        <v>0.17499999999999999</v>
      </c>
      <c r="BW125" s="90">
        <f t="shared" si="91"/>
        <v>0</v>
      </c>
      <c r="BZ125" s="94">
        <f>BZ124</f>
        <v>84</v>
      </c>
      <c r="CA125" s="94">
        <f>CA124</f>
        <v>0.15</v>
      </c>
      <c r="CB125" s="90">
        <f t="shared" si="92"/>
        <v>5178.8316795069341</v>
      </c>
      <c r="CE125" s="95"/>
      <c r="CF125" s="128"/>
      <c r="CG125" s="97"/>
      <c r="CH125" s="97"/>
      <c r="CI125" s="98"/>
      <c r="CK125" s="99">
        <f>IFERROR(IF(F125='[1]Paramètres Généraux'!$K$12,ROUNDUP((REGENERANTS!H125*REGENERANTS!$CF$112)*'[1]Paramètres Généraux'!$M$12,-1),IF(F125='[1]Paramètres Généraux'!$K$15,ROUNDUP((REGENERANTS!H125*REGENERANTS!$CF$112)*'[1]Paramètres Généraux'!$M$15,-1),REGENERANTS!H125*REGENERANTS!$CF$112)),"nd")</f>
        <v>780</v>
      </c>
      <c r="CN125" s="100"/>
      <c r="CO125" s="101"/>
      <c r="CP125" s="101"/>
      <c r="CQ125" s="101"/>
      <c r="CR125" s="101"/>
      <c r="CS125" s="171"/>
      <c r="CT125" s="172"/>
      <c r="CU125" s="101"/>
      <c r="CV125" s="171"/>
      <c r="CW125" s="106"/>
      <c r="CX125" s="107"/>
      <c r="CY125" s="106"/>
      <c r="CZ125" s="104"/>
      <c r="DA125" s="107"/>
      <c r="DB125" s="106"/>
      <c r="DC125" s="104"/>
      <c r="DD125" s="107"/>
      <c r="DE125" s="106"/>
      <c r="DF125" s="104"/>
      <c r="DG125" s="104"/>
      <c r="DH125" s="104"/>
      <c r="DI125" s="104"/>
      <c r="DJ125" s="104"/>
      <c r="DK125" s="104"/>
      <c r="DL125" s="104"/>
      <c r="DM125" s="104"/>
      <c r="DN125" s="104"/>
      <c r="DO125" s="107"/>
      <c r="DP125" s="106"/>
      <c r="DQ125" s="20">
        <f t="shared" si="76"/>
        <v>0</v>
      </c>
      <c r="DR125" s="20">
        <f t="shared" si="77"/>
        <v>0</v>
      </c>
      <c r="DS125" s="20">
        <f>IFERROR((IF(AND($F125="Produit Vente",CO125&gt;0),VLOOKUP($C125,'[1]Paramètres Articles'!$B:$H,7,FALSE)*$CO125)*(1-20%)),0)</f>
        <v>0</v>
      </c>
      <c r="DT125" s="20">
        <f>IFERROR((IF(AND($F125="Produit Vente",DR125&gt;0),VLOOKUP($C125,'[1]Paramètres Articles'!$B:$H,6,FALSE)*$DR125)*(1-15%)),0)</f>
        <v>0</v>
      </c>
      <c r="DU125" s="20">
        <f t="shared" si="78"/>
        <v>0</v>
      </c>
    </row>
    <row r="126" spans="2:125" ht="12.95" customHeight="1" outlineLevel="1">
      <c r="B126" s="1">
        <f>IF(C126="",0,COUNTIFS($B$22:B125,"&gt;"&amp;0)+1)</f>
        <v>53</v>
      </c>
      <c r="C126" s="85">
        <v>1020720</v>
      </c>
      <c r="D126" s="86" t="str">
        <f>IFERROR(IF($C126="","",VLOOKUP($C126,'[1]Paramètres Articles'!$B:$G,2,FALSE)),"Non Trouvé")</f>
        <v>Crème de Jour - Régénérant Intensif - 40ml</v>
      </c>
      <c r="E126" s="87">
        <f>IFERROR(IF($C126="","",_xlfn.XLOOKUP(REGENERANTS!$C126,'[1]New Base PA'!$F:$F,'[1]New Base PA'!$D:$D,"Not Found",0)),"Non Trouvé")</f>
        <v>4020829102972</v>
      </c>
      <c r="F126" s="88" t="s">
        <v>90</v>
      </c>
      <c r="H126" s="89">
        <v>2</v>
      </c>
      <c r="J126" s="90">
        <f>IFERROR(IF($C126="","",VLOOKUP($C126,'[1]New Base PA'!$F:$J,5,FALSE)),"Non Trouvé")</f>
        <v>17.191199999999998</v>
      </c>
      <c r="K126" s="131">
        <f t="shared" si="73"/>
        <v>34.382399999999997</v>
      </c>
      <c r="L126" s="132"/>
      <c r="M126" s="90">
        <f>IFERROR(IF(AND($F126="Produit Vente",H126&gt;0),VLOOKUP($C126,'[1]Paramètres Articles'!$B:$G,6,FALSE),0),"Non Trouvé")</f>
        <v>44.648251001335112</v>
      </c>
      <c r="N126" s="90">
        <f t="shared" si="74"/>
        <v>89.296502002670223</v>
      </c>
      <c r="P126" s="92">
        <v>0.05</v>
      </c>
      <c r="R126" s="90">
        <f t="shared" si="75"/>
        <v>84.831676902536714</v>
      </c>
      <c r="S126" s="91"/>
      <c r="T126" s="90">
        <f>IFERROR(IF($C126="","",VLOOKUP($C126,'[1]Paramètres Articles'!$B:$H,7,FALSE)),"Non Trouvé")</f>
        <v>75.900000000000006</v>
      </c>
      <c r="U126" s="93"/>
      <c r="V126" s="90">
        <f t="shared" si="79"/>
        <v>72.105000000000004</v>
      </c>
      <c r="W126" s="91"/>
      <c r="X126" s="90">
        <f t="shared" si="81"/>
        <v>3.7950000000000017</v>
      </c>
      <c r="Y126" s="91"/>
      <c r="Z126" s="90">
        <f t="shared" si="80"/>
        <v>151.80000000000001</v>
      </c>
      <c r="AB126" s="94">
        <f>AB124</f>
        <v>90</v>
      </c>
      <c r="AC126" s="94">
        <f>AC124</f>
        <v>0.17</v>
      </c>
      <c r="AD126" s="90">
        <f t="shared" si="82"/>
        <v>6268.6144405874493</v>
      </c>
      <c r="AG126" s="94">
        <f>AG124</f>
        <v>82</v>
      </c>
      <c r="AH126" s="94">
        <f>AH124</f>
        <v>0.13</v>
      </c>
      <c r="AI126" s="90">
        <f t="shared" si="83"/>
        <v>6004.2967946595463</v>
      </c>
      <c r="AL126" s="94">
        <f>AL124</f>
        <v>20</v>
      </c>
      <c r="AM126" s="94">
        <f>AM124</f>
        <v>0.08</v>
      </c>
      <c r="AN126" s="90">
        <f t="shared" si="84"/>
        <v>1553.7591348464618</v>
      </c>
      <c r="AQ126" s="94">
        <f>AQ124</f>
        <v>0</v>
      </c>
      <c r="AR126" s="94">
        <f>AR124</f>
        <v>0.05</v>
      </c>
      <c r="AS126" s="90">
        <f t="shared" si="85"/>
        <v>0</v>
      </c>
      <c r="AV126" s="94">
        <f>AV124</f>
        <v>16</v>
      </c>
      <c r="AW126" s="94">
        <f>AW124</f>
        <v>0.32500000000000001</v>
      </c>
      <c r="AX126" s="90">
        <f t="shared" si="86"/>
        <v>892.96502002670218</v>
      </c>
      <c r="BA126" s="94">
        <f>BA124</f>
        <v>12</v>
      </c>
      <c r="BB126" s="94">
        <f>BB124</f>
        <v>0.29499999999999998</v>
      </c>
      <c r="BC126" s="90">
        <f t="shared" si="87"/>
        <v>701.87050574098794</v>
      </c>
      <c r="BF126" s="94">
        <f>BF124</f>
        <v>20</v>
      </c>
      <c r="BG126" s="94">
        <f>BG124</f>
        <v>0.27500000000000002</v>
      </c>
      <c r="BH126" s="90">
        <f t="shared" si="88"/>
        <v>1205.502777036048</v>
      </c>
      <c r="BK126" s="94">
        <f>BK124</f>
        <v>39</v>
      </c>
      <c r="BL126" s="94">
        <f>BL124</f>
        <v>0.245</v>
      </c>
      <c r="BM126" s="90">
        <f t="shared" si="89"/>
        <v>2455.2073225634176</v>
      </c>
      <c r="BP126" s="94">
        <f>BP124</f>
        <v>27</v>
      </c>
      <c r="BQ126" s="94">
        <f>BQ124</f>
        <v>0.22500000000000001</v>
      </c>
      <c r="BR126" s="90">
        <f t="shared" si="90"/>
        <v>1747.9790267022695</v>
      </c>
      <c r="BU126" s="94">
        <f>BU124</f>
        <v>0</v>
      </c>
      <c r="BV126" s="94">
        <f>BV124</f>
        <v>0.17499999999999999</v>
      </c>
      <c r="BW126" s="90">
        <f t="shared" si="91"/>
        <v>0</v>
      </c>
      <c r="BZ126" s="94">
        <f>BZ124</f>
        <v>84</v>
      </c>
      <c r="CA126" s="94">
        <f>CA124</f>
        <v>0.15</v>
      </c>
      <c r="CB126" s="90">
        <f t="shared" si="92"/>
        <v>6000.7249345794398</v>
      </c>
      <c r="CE126" s="95"/>
      <c r="CF126" s="97"/>
      <c r="CG126" s="128" t="s">
        <v>4</v>
      </c>
      <c r="CH126" s="97"/>
      <c r="CI126" s="98"/>
      <c r="CK126" s="99">
        <f>IFERROR(IF(F126='[1]Paramètres Généraux'!$K$12,ROUNDUP((REGENERANTS!H126*REGENERANTS!$CF$112)*'[1]Paramètres Généraux'!$M$12,-1),IF(F126='[1]Paramètres Généraux'!$K$15,ROUNDUP((REGENERANTS!H126*REGENERANTS!$CF$112)*'[1]Paramètres Généraux'!$M$15,-1),REGENERANTS!H126*REGENERANTS!$CF$112)),"nd")</f>
        <v>780</v>
      </c>
      <c r="CN126" s="100"/>
      <c r="CO126" s="101"/>
      <c r="CP126" s="101"/>
      <c r="CQ126" s="101"/>
      <c r="CR126" s="101"/>
      <c r="CS126" s="171"/>
      <c r="CT126" s="172"/>
      <c r="CU126" s="101"/>
      <c r="CV126" s="171"/>
      <c r="CW126" s="106"/>
      <c r="CX126" s="107"/>
      <c r="CY126" s="106"/>
      <c r="CZ126" s="104"/>
      <c r="DA126" s="107"/>
      <c r="DB126" s="106"/>
      <c r="DC126" s="104"/>
      <c r="DD126" s="107"/>
      <c r="DE126" s="106"/>
      <c r="DF126" s="104"/>
      <c r="DG126" s="104"/>
      <c r="DH126" s="104"/>
      <c r="DI126" s="104"/>
      <c r="DJ126" s="104"/>
      <c r="DK126" s="104"/>
      <c r="DL126" s="104"/>
      <c r="DM126" s="104"/>
      <c r="DN126" s="104"/>
      <c r="DO126" s="107"/>
      <c r="DP126" s="106"/>
      <c r="DQ126" s="20">
        <f t="shared" si="76"/>
        <v>0</v>
      </c>
      <c r="DR126" s="20">
        <f t="shared" si="77"/>
        <v>0</v>
      </c>
      <c r="DS126" s="20">
        <f>IFERROR((IF(AND($F126="Produit Vente",CO126&gt;0),VLOOKUP($C126,'[1]Paramètres Articles'!$B:$H,7,FALSE)*$CO126)*(1-20%)),0)</f>
        <v>0</v>
      </c>
      <c r="DT126" s="20">
        <f>IFERROR((IF(AND($F126="Produit Vente",DR126&gt;0),VLOOKUP($C126,'[1]Paramètres Articles'!$B:$H,6,FALSE)*$DR126)*(1-15%)),0)</f>
        <v>0</v>
      </c>
      <c r="DU126" s="20">
        <f t="shared" si="78"/>
        <v>0</v>
      </c>
    </row>
    <row r="127" spans="2:125" ht="12.95" customHeight="1" outlineLevel="1">
      <c r="B127" s="1">
        <f>IF(C127="",0,COUNTIFS($B$22:B126,"&gt;"&amp;0)+1)</f>
        <v>54</v>
      </c>
      <c r="C127" s="85" t="s">
        <v>97</v>
      </c>
      <c r="D127" s="86" t="str">
        <f>IFERROR(IF($C127="","",VLOOKUP($C127,'[1]Paramètres Articles'!$B:$G,2,FALSE)),"Non Trouvé")</f>
        <v>Panneau vitrine Régénérants 2026</v>
      </c>
      <c r="E127" s="87">
        <f>IFERROR(IF($C127="","",_xlfn.XLOOKUP(REGENERANTS!$C127,'[1]New Base PA'!$F:$F,'[1]New Base PA'!$D:$D,"Not Found",0)),"Non Trouvé")</f>
        <v>0</v>
      </c>
      <c r="F127" s="88" t="s">
        <v>98</v>
      </c>
      <c r="H127" s="89">
        <v>1</v>
      </c>
      <c r="J127" s="90">
        <f>IFERROR(IF($C127="","",VLOOKUP($C127,'[1]New Base PA'!$F:$J,5,FALSE)),"Non Trouvé")</f>
        <v>20.079999999999998</v>
      </c>
      <c r="K127" s="131">
        <f t="shared" si="73"/>
        <v>20.079999999999998</v>
      </c>
      <c r="L127" s="132"/>
      <c r="M127" s="90">
        <f>IFERROR(IF(AND($F127="Produit Vente",H127&gt;0),VLOOKUP($C127,'[1]Paramètres Articles'!$B:$G,6,FALSE),0),"Non Trouvé")</f>
        <v>0</v>
      </c>
      <c r="N127" s="90">
        <f t="shared" si="74"/>
        <v>0</v>
      </c>
      <c r="P127" s="92"/>
      <c r="R127" s="90">
        <f t="shared" si="75"/>
        <v>0</v>
      </c>
      <c r="S127" s="91"/>
      <c r="T127" s="90">
        <f>IFERROR(IF($C127="","",VLOOKUP($C127,'[1]Paramètres Articles'!$B:$H,7,FALSE)),"Non Trouvé")</f>
        <v>0</v>
      </c>
      <c r="U127" s="93"/>
      <c r="V127" s="90" t="str">
        <f t="shared" si="79"/>
        <v/>
      </c>
      <c r="W127" s="91"/>
      <c r="X127" s="90" t="str">
        <f t="shared" si="81"/>
        <v/>
      </c>
      <c r="Y127" s="91"/>
      <c r="Z127" s="90">
        <f t="shared" si="80"/>
        <v>0</v>
      </c>
      <c r="AB127" s="94">
        <f>AB126</f>
        <v>90</v>
      </c>
      <c r="AC127" s="94">
        <f>AC126</f>
        <v>0.17</v>
      </c>
      <c r="AD127" s="90">
        <f t="shared" si="82"/>
        <v>0</v>
      </c>
      <c r="AG127" s="94">
        <f>AG126</f>
        <v>82</v>
      </c>
      <c r="AH127" s="94">
        <f>AH126</f>
        <v>0.13</v>
      </c>
      <c r="AI127" s="90">
        <f t="shared" si="83"/>
        <v>0</v>
      </c>
      <c r="AL127" s="94">
        <f>AL126</f>
        <v>20</v>
      </c>
      <c r="AM127" s="94">
        <f>AM126</f>
        <v>0.08</v>
      </c>
      <c r="AN127" s="90">
        <f t="shared" si="84"/>
        <v>0</v>
      </c>
      <c r="AQ127" s="94">
        <f>AQ126</f>
        <v>0</v>
      </c>
      <c r="AR127" s="94">
        <f>AR126</f>
        <v>0.05</v>
      </c>
      <c r="AS127" s="90">
        <f t="shared" si="85"/>
        <v>0</v>
      </c>
      <c r="AV127" s="94">
        <f>AV126</f>
        <v>16</v>
      </c>
      <c r="AW127" s="94">
        <f>AW126</f>
        <v>0.32500000000000001</v>
      </c>
      <c r="AX127" s="90">
        <f t="shared" si="86"/>
        <v>0</v>
      </c>
      <c r="BA127" s="94">
        <f>BA126</f>
        <v>12</v>
      </c>
      <c r="BB127" s="94">
        <f>BB126</f>
        <v>0.29499999999999998</v>
      </c>
      <c r="BC127" s="90">
        <f t="shared" si="87"/>
        <v>0</v>
      </c>
      <c r="BF127" s="94">
        <f>BF126</f>
        <v>20</v>
      </c>
      <c r="BG127" s="94">
        <f>BG126</f>
        <v>0.27500000000000002</v>
      </c>
      <c r="BH127" s="90">
        <f t="shared" si="88"/>
        <v>0</v>
      </c>
      <c r="BK127" s="94">
        <f>BK126</f>
        <v>39</v>
      </c>
      <c r="BL127" s="94">
        <f>BL126</f>
        <v>0.245</v>
      </c>
      <c r="BM127" s="90">
        <f t="shared" si="89"/>
        <v>0</v>
      </c>
      <c r="BP127" s="94">
        <f>BP126</f>
        <v>27</v>
      </c>
      <c r="BQ127" s="94">
        <f>BQ126</f>
        <v>0.22500000000000001</v>
      </c>
      <c r="BR127" s="90">
        <f t="shared" si="90"/>
        <v>0</v>
      </c>
      <c r="BU127" s="94">
        <f>BU126</f>
        <v>0</v>
      </c>
      <c r="BV127" s="94">
        <f>BV126</f>
        <v>0.17499999999999999</v>
      </c>
      <c r="BW127" s="90">
        <f t="shared" si="91"/>
        <v>0</v>
      </c>
      <c r="BZ127" s="94">
        <f>BZ126</f>
        <v>84</v>
      </c>
      <c r="CA127" s="94">
        <f>CA126</f>
        <v>0.15</v>
      </c>
      <c r="CB127" s="90">
        <f t="shared" si="92"/>
        <v>0</v>
      </c>
      <c r="CE127" s="95"/>
      <c r="CF127" s="133"/>
      <c r="CG127" s="97" t="s">
        <v>0</v>
      </c>
      <c r="CH127" s="133">
        <f>SUMIFS($AB112:$AT112,$AB109:$AT109,CG127)+SUMIFS($BZ112:$CC112,$BZ109:$CC109,CG127)</f>
        <v>276</v>
      </c>
      <c r="CI127" s="98"/>
      <c r="CK127" s="99">
        <f>IFERROR(IF(F127='[1]Paramètres Généraux'!$K$12,ROUNDUP((REGENERANTS!H127*REGENERANTS!$CF$112)*'[1]Paramètres Généraux'!$M$12,-1),IF(F127='[1]Paramètres Généraux'!$K$15,ROUNDUP((REGENERANTS!H127*REGENERANTS!$CF$112)*'[1]Paramètres Généraux'!$M$15,-1),REGENERANTS!H127*REGENERANTS!$CF$112)),"nd")</f>
        <v>160</v>
      </c>
      <c r="CN127" s="100"/>
      <c r="CO127" s="101"/>
      <c r="CP127" s="101"/>
      <c r="CQ127" s="101"/>
      <c r="CR127" s="101"/>
      <c r="CS127" s="171"/>
      <c r="CT127" s="172"/>
      <c r="CU127" s="101"/>
      <c r="CV127" s="171"/>
      <c r="CW127" s="106"/>
      <c r="CX127" s="107"/>
      <c r="CY127" s="106"/>
      <c r="CZ127" s="104"/>
      <c r="DA127" s="107"/>
      <c r="DB127" s="106"/>
      <c r="DC127" s="104"/>
      <c r="DD127" s="107"/>
      <c r="DE127" s="106"/>
      <c r="DF127" s="104"/>
      <c r="DG127" s="104"/>
      <c r="DH127" s="104"/>
      <c r="DI127" s="104"/>
      <c r="DJ127" s="104"/>
      <c r="DK127" s="104"/>
      <c r="DL127" s="104"/>
      <c r="DM127" s="104"/>
      <c r="DN127" s="104"/>
      <c r="DO127" s="107"/>
      <c r="DP127" s="106"/>
      <c r="DQ127" s="20">
        <f t="shared" si="76"/>
        <v>0</v>
      </c>
      <c r="DR127" s="20">
        <f t="shared" si="77"/>
        <v>0</v>
      </c>
      <c r="DS127" s="20">
        <f>IFERROR((IF(AND($F127="Produit Vente",CO127&gt;0),VLOOKUP($C127,'[1]Paramètres Articles'!$B:$H,7,FALSE)*$CO127)*(1-20%)),0)</f>
        <v>0</v>
      </c>
      <c r="DT127" s="20">
        <f>IFERROR((IF(AND($F127="Produit Vente",DR127&gt;0),VLOOKUP($C127,'[1]Paramètres Articles'!$B:$H,6,FALSE)*$DR127)*(1-15%)),0)</f>
        <v>0</v>
      </c>
      <c r="DU127" s="20">
        <f t="shared" si="78"/>
        <v>0</v>
      </c>
    </row>
    <row r="128" spans="2:125" ht="12.95" customHeight="1" outlineLevel="1">
      <c r="B128" s="1">
        <f>IF(C128="",0,COUNTIFS($B$22:B127,"&gt;"&amp;0)+1)</f>
        <v>55</v>
      </c>
      <c r="C128" s="85" t="s">
        <v>99</v>
      </c>
      <c r="D128" s="86" t="str">
        <f>IFERROR(IF($C128="","",VLOOKUP($C128,'[1]Paramètres Articles'!$B:$G,2,FALSE)),"Non Trouvé")</f>
        <v>Présentoir Régénérants 2026</v>
      </c>
      <c r="E128" s="87">
        <f>IFERROR(IF($C128="","",_xlfn.XLOOKUP(REGENERANTS!$C128,'[1]New Base PA'!$F:$F,'[1]New Base PA'!$D:$D,"Not Found",0)),"Non Trouvé")</f>
        <v>0</v>
      </c>
      <c r="F128" s="88" t="s">
        <v>100</v>
      </c>
      <c r="H128" s="89">
        <v>1</v>
      </c>
      <c r="J128" s="90">
        <f>IFERROR(IF($C128="","",VLOOKUP($C128,'[1]New Base PA'!$F:$J,5,FALSE)),"Non Trouvé")</f>
        <v>13.92</v>
      </c>
      <c r="K128" s="131">
        <f t="shared" si="73"/>
        <v>13.92</v>
      </c>
      <c r="L128" s="132"/>
      <c r="M128" s="90">
        <f>IFERROR(IF(AND($F128="Produit Vente",H128&gt;0),VLOOKUP($C128,'[1]Paramètres Articles'!$B:$G,6,FALSE),0),"Non Trouvé")</f>
        <v>0</v>
      </c>
      <c r="N128" s="90">
        <f t="shared" si="74"/>
        <v>0</v>
      </c>
      <c r="P128" s="92"/>
      <c r="R128" s="90">
        <f t="shared" si="75"/>
        <v>0</v>
      </c>
      <c r="S128" s="91"/>
      <c r="T128" s="90">
        <f>IFERROR(IF($C128="","",VLOOKUP($C128,'[1]Paramètres Articles'!$B:$H,7,FALSE)),"Non Trouvé")</f>
        <v>0</v>
      </c>
      <c r="U128" s="93"/>
      <c r="V128" s="90" t="str">
        <f t="shared" si="79"/>
        <v/>
      </c>
      <c r="W128" s="91"/>
      <c r="X128" s="90" t="str">
        <f t="shared" si="81"/>
        <v/>
      </c>
      <c r="Y128" s="91"/>
      <c r="Z128" s="90">
        <f t="shared" si="80"/>
        <v>0</v>
      </c>
      <c r="AB128" s="94">
        <f>AB126</f>
        <v>90</v>
      </c>
      <c r="AC128" s="94">
        <f>AC126</f>
        <v>0.17</v>
      </c>
      <c r="AD128" s="90">
        <f t="shared" si="82"/>
        <v>0</v>
      </c>
      <c r="AG128" s="94">
        <f>AG126</f>
        <v>82</v>
      </c>
      <c r="AH128" s="94">
        <f>AH126</f>
        <v>0.13</v>
      </c>
      <c r="AI128" s="90">
        <f t="shared" si="83"/>
        <v>0</v>
      </c>
      <c r="AL128" s="94">
        <f>AL126</f>
        <v>20</v>
      </c>
      <c r="AM128" s="94">
        <f>AM126</f>
        <v>0.08</v>
      </c>
      <c r="AN128" s="90">
        <f t="shared" si="84"/>
        <v>0</v>
      </c>
      <c r="AQ128" s="94">
        <f>AQ126</f>
        <v>0</v>
      </c>
      <c r="AR128" s="94">
        <f>AR126</f>
        <v>0.05</v>
      </c>
      <c r="AS128" s="90">
        <f t="shared" si="85"/>
        <v>0</v>
      </c>
      <c r="AV128" s="94">
        <f>AV126</f>
        <v>16</v>
      </c>
      <c r="AW128" s="94">
        <f>AW126</f>
        <v>0.32500000000000001</v>
      </c>
      <c r="AX128" s="90">
        <f t="shared" si="86"/>
        <v>0</v>
      </c>
      <c r="BA128" s="94">
        <f>BA126</f>
        <v>12</v>
      </c>
      <c r="BB128" s="94">
        <f>BB126</f>
        <v>0.29499999999999998</v>
      </c>
      <c r="BC128" s="90">
        <f t="shared" si="87"/>
        <v>0</v>
      </c>
      <c r="BF128" s="94">
        <f>BF126</f>
        <v>20</v>
      </c>
      <c r="BG128" s="94">
        <f>BG126</f>
        <v>0.27500000000000002</v>
      </c>
      <c r="BH128" s="90">
        <f t="shared" si="88"/>
        <v>0</v>
      </c>
      <c r="BK128" s="94">
        <f>BK126</f>
        <v>39</v>
      </c>
      <c r="BL128" s="94">
        <f>BL126</f>
        <v>0.245</v>
      </c>
      <c r="BM128" s="90">
        <f t="shared" si="89"/>
        <v>0</v>
      </c>
      <c r="BP128" s="94">
        <f>BP126</f>
        <v>27</v>
      </c>
      <c r="BQ128" s="94">
        <f>BQ126</f>
        <v>0.22500000000000001</v>
      </c>
      <c r="BR128" s="90">
        <f t="shared" si="90"/>
        <v>0</v>
      </c>
      <c r="BU128" s="94">
        <f>BU126</f>
        <v>0</v>
      </c>
      <c r="BV128" s="94">
        <f>BV126</f>
        <v>0.17499999999999999</v>
      </c>
      <c r="BW128" s="90">
        <f t="shared" si="91"/>
        <v>0</v>
      </c>
      <c r="BZ128" s="94">
        <f>BZ126</f>
        <v>84</v>
      </c>
      <c r="CA128" s="94">
        <f>CA126</f>
        <v>0.15</v>
      </c>
      <c r="CB128" s="90">
        <f t="shared" si="92"/>
        <v>0</v>
      </c>
      <c r="CE128" s="95"/>
      <c r="CF128" s="96"/>
      <c r="CG128" s="97" t="s">
        <v>1</v>
      </c>
      <c r="CH128" s="134">
        <f>SUMIFS($AB112:$AT112,$AB109:$AT109,CG128)+SUMIFS($BZ112:$CC112,$BZ109:$CC109,CG128)</f>
        <v>117082.75521915138</v>
      </c>
      <c r="CI128" s="98"/>
      <c r="CK128" s="99">
        <f>IFERROR(IF(F128='[1]Paramètres Généraux'!$K$12,ROUNDUP((REGENERANTS!H128*REGENERANTS!$CF$112)*'[1]Paramètres Généraux'!$M$12,-1),IF(F128='[1]Paramètres Généraux'!$K$15,ROUNDUP((REGENERANTS!H128*REGENERANTS!$CF$112)*'[1]Paramètres Généraux'!$M$15,-1),REGENERANTS!H128*REGENERANTS!$CF$112)),"nd")</f>
        <v>280</v>
      </c>
      <c r="CN128" s="100"/>
      <c r="CO128" s="101"/>
      <c r="CP128" s="101"/>
      <c r="CQ128" s="101"/>
      <c r="CR128" s="101"/>
      <c r="CS128" s="171"/>
      <c r="CT128" s="172"/>
      <c r="CU128" s="101"/>
      <c r="CV128" s="171"/>
      <c r="CW128" s="106"/>
      <c r="CX128" s="107"/>
      <c r="CY128" s="106"/>
      <c r="CZ128" s="104"/>
      <c r="DA128" s="107"/>
      <c r="DB128" s="106"/>
      <c r="DC128" s="104"/>
      <c r="DD128" s="107"/>
      <c r="DE128" s="106"/>
      <c r="DF128" s="104"/>
      <c r="DG128" s="104"/>
      <c r="DH128" s="104"/>
      <c r="DI128" s="104"/>
      <c r="DJ128" s="104"/>
      <c r="DK128" s="104"/>
      <c r="DL128" s="104"/>
      <c r="DM128" s="104"/>
      <c r="DN128" s="104"/>
      <c r="DO128" s="107"/>
      <c r="DP128" s="106"/>
      <c r="DQ128" s="20">
        <f t="shared" si="76"/>
        <v>0</v>
      </c>
      <c r="DR128" s="20">
        <f t="shared" si="77"/>
        <v>0</v>
      </c>
      <c r="DS128" s="20">
        <f>IFERROR((IF(AND($F128="Produit Vente",CO128&gt;0),VLOOKUP($C128,'[1]Paramètres Articles'!$B:$H,7,FALSE)*$CO128)*(1-20%)),0)</f>
        <v>0</v>
      </c>
      <c r="DT128" s="20">
        <f>IFERROR((IF(AND($F128="Produit Vente",DR128&gt;0),VLOOKUP($C128,'[1]Paramètres Articles'!$B:$H,6,FALSE)*$DR128)*(1-15%)),0)</f>
        <v>0</v>
      </c>
      <c r="DU128" s="20">
        <f t="shared" si="78"/>
        <v>0</v>
      </c>
    </row>
    <row r="129" spans="2:125" ht="12.95" customHeight="1" outlineLevel="1">
      <c r="B129" s="1">
        <f>IF(C129="",0,COUNTIFS($B$22:B128,"&gt;"&amp;0)+1)</f>
        <v>56</v>
      </c>
      <c r="C129" s="85">
        <v>3020202</v>
      </c>
      <c r="D129" s="86" t="str">
        <f>IFERROR(IF($C129="","",VLOOKUP($C129,'[1]Paramètres Articles'!$B:$G,2,FALSE)),"Non Trouvé")</f>
        <v>Testeur - Sérum Jour / Nuit - Régénérant 30ml - 15% comprise</v>
      </c>
      <c r="E129" s="87">
        <f>IFERROR(IF($C129="","",_xlfn.XLOOKUP(REGENERANTS!$C129,'[1]New Base PA'!$F:$F,'[1]New Base PA'!$D:$D,"Not Found",0)),"Non Trouvé")</f>
        <v>4020829103146</v>
      </c>
      <c r="F129" s="88" t="s">
        <v>96</v>
      </c>
      <c r="H129" s="89">
        <v>1</v>
      </c>
      <c r="J129" s="90">
        <f>IFERROR(IF($C129="","",VLOOKUP($C129,'[1]New Base PA'!$F:$J,5,FALSE)),"Non Trouvé")</f>
        <v>11.62</v>
      </c>
      <c r="K129" s="131">
        <f t="shared" si="73"/>
        <v>11.62</v>
      </c>
      <c r="L129" s="132"/>
      <c r="M129" s="90">
        <f>IFERROR(IF(AND($F129="Produit Vente",H129&gt;0),VLOOKUP($C129,'[1]Paramètres Articles'!$B:$G,6,FALSE),0),"Non Trouvé")</f>
        <v>0</v>
      </c>
      <c r="N129" s="90">
        <f t="shared" si="74"/>
        <v>0</v>
      </c>
      <c r="P129" s="92"/>
      <c r="R129" s="90">
        <f t="shared" si="75"/>
        <v>0</v>
      </c>
      <c r="S129" s="91"/>
      <c r="T129" s="90" t="str">
        <f>IFERROR(IF($C129="","",VLOOKUP($C129,'[1]Paramètres Articles'!$B:$H,7,FALSE)),"Non Trouvé")</f>
        <v>Non Trouvé</v>
      </c>
      <c r="U129" s="93"/>
      <c r="V129" s="90" t="str">
        <f t="shared" si="79"/>
        <v/>
      </c>
      <c r="W129" s="91"/>
      <c r="X129" s="90" t="str">
        <f t="shared" si="81"/>
        <v/>
      </c>
      <c r="Y129" s="91"/>
      <c r="Z129" s="90" t="str">
        <f t="shared" si="80"/>
        <v>Non Trouvé</v>
      </c>
      <c r="AB129" s="94">
        <f>AB128</f>
        <v>90</v>
      </c>
      <c r="AC129" s="94">
        <f>AC128</f>
        <v>0.17</v>
      </c>
      <c r="AD129" s="90">
        <f t="shared" si="82"/>
        <v>0</v>
      </c>
      <c r="AG129" s="94">
        <f>AG128</f>
        <v>82</v>
      </c>
      <c r="AH129" s="94">
        <f>AH128</f>
        <v>0.13</v>
      </c>
      <c r="AI129" s="90">
        <f t="shared" si="83"/>
        <v>0</v>
      </c>
      <c r="AL129" s="94">
        <f>AL128</f>
        <v>20</v>
      </c>
      <c r="AM129" s="94">
        <f>AM128</f>
        <v>0.08</v>
      </c>
      <c r="AN129" s="90">
        <f t="shared" si="84"/>
        <v>0</v>
      </c>
      <c r="AQ129" s="94">
        <f>AQ128</f>
        <v>0</v>
      </c>
      <c r="AR129" s="94">
        <f>AR128</f>
        <v>0.05</v>
      </c>
      <c r="AS129" s="90">
        <f t="shared" si="85"/>
        <v>0</v>
      </c>
      <c r="AV129" s="94">
        <f>AV128</f>
        <v>16</v>
      </c>
      <c r="AW129" s="94">
        <f>AW128</f>
        <v>0.32500000000000001</v>
      </c>
      <c r="AX129" s="90">
        <f t="shared" si="86"/>
        <v>0</v>
      </c>
      <c r="BA129" s="94">
        <f>BA128</f>
        <v>12</v>
      </c>
      <c r="BB129" s="94">
        <f>BB128</f>
        <v>0.29499999999999998</v>
      </c>
      <c r="BC129" s="90">
        <f t="shared" si="87"/>
        <v>0</v>
      </c>
      <c r="BF129" s="94">
        <f>BF128</f>
        <v>20</v>
      </c>
      <c r="BG129" s="94">
        <f>BG128</f>
        <v>0.27500000000000002</v>
      </c>
      <c r="BH129" s="90">
        <f t="shared" si="88"/>
        <v>0</v>
      </c>
      <c r="BK129" s="94">
        <f>BK128</f>
        <v>39</v>
      </c>
      <c r="BL129" s="94">
        <f>BL128</f>
        <v>0.245</v>
      </c>
      <c r="BM129" s="90">
        <f t="shared" si="89"/>
        <v>0</v>
      </c>
      <c r="BP129" s="94">
        <f>BP128</f>
        <v>27</v>
      </c>
      <c r="BQ129" s="94">
        <f>BQ128</f>
        <v>0.22500000000000001</v>
      </c>
      <c r="BR129" s="90">
        <f t="shared" si="90"/>
        <v>0</v>
      </c>
      <c r="BU129" s="94">
        <f>BU128</f>
        <v>0</v>
      </c>
      <c r="BV129" s="94">
        <f>BV128</f>
        <v>0.17499999999999999</v>
      </c>
      <c r="BW129" s="90">
        <f t="shared" si="91"/>
        <v>0</v>
      </c>
      <c r="BZ129" s="94">
        <f>BZ128</f>
        <v>84</v>
      </c>
      <c r="CA129" s="94">
        <f>CA128</f>
        <v>0.15</v>
      </c>
      <c r="CB129" s="90">
        <f t="shared" si="92"/>
        <v>0</v>
      </c>
      <c r="CE129" s="95"/>
      <c r="CF129" s="128"/>
      <c r="CG129" s="97" t="s">
        <v>2</v>
      </c>
      <c r="CH129" s="135">
        <f>IFERROR((CH128-$K112*CH127)/CH128,"Non Trouvé")</f>
        <v>0.31788964266757691</v>
      </c>
      <c r="CI129" s="98"/>
      <c r="CK129" s="99">
        <f>IFERROR(IF(F129='[1]Paramètres Généraux'!$K$12,ROUNDUP((REGENERANTS!H129*REGENERANTS!$CF$112)*'[1]Paramètres Généraux'!$M$12,-1),IF(F129='[1]Paramètres Généraux'!$K$15,ROUNDUP((REGENERANTS!H129*REGENERANTS!$CF$112)*'[1]Paramètres Généraux'!$M$15,-1),REGENERANTS!H129*REGENERANTS!$CF$112)),"nd")</f>
        <v>390</v>
      </c>
      <c r="CN129" s="100"/>
      <c r="CO129" s="101"/>
      <c r="CP129" s="101"/>
      <c r="CQ129" s="101"/>
      <c r="CR129" s="101"/>
      <c r="CS129" s="171"/>
      <c r="CT129" s="172"/>
      <c r="CU129" s="101"/>
      <c r="CV129" s="171"/>
      <c r="CW129" s="106"/>
      <c r="CX129" s="107"/>
      <c r="CY129" s="106"/>
      <c r="CZ129" s="104"/>
      <c r="DA129" s="107"/>
      <c r="DB129" s="106"/>
      <c r="DC129" s="104"/>
      <c r="DD129" s="107"/>
      <c r="DE129" s="106"/>
      <c r="DF129" s="104"/>
      <c r="DG129" s="104"/>
      <c r="DH129" s="104"/>
      <c r="DI129" s="104"/>
      <c r="DJ129" s="104"/>
      <c r="DK129" s="104"/>
      <c r="DL129" s="104"/>
      <c r="DM129" s="104"/>
      <c r="DN129" s="104"/>
      <c r="DO129" s="107"/>
      <c r="DP129" s="106"/>
      <c r="DQ129" s="20">
        <f t="shared" si="76"/>
        <v>0</v>
      </c>
      <c r="DR129" s="20">
        <f t="shared" si="77"/>
        <v>0</v>
      </c>
      <c r="DS129" s="20">
        <f>IFERROR((IF(AND($F129="Produit Vente",CO129&gt;0),VLOOKUP($C129,'[1]Paramètres Articles'!$B:$H,7,FALSE)*$CO129)*(1-20%)),0)</f>
        <v>0</v>
      </c>
      <c r="DT129" s="20">
        <f>IFERROR((IF(AND($F129="Produit Vente",DR129&gt;0),VLOOKUP($C129,'[1]Paramètres Articles'!$B:$H,6,FALSE)*$DR129)*(1-15%)),0)</f>
        <v>0</v>
      </c>
      <c r="DU129" s="20">
        <f t="shared" si="78"/>
        <v>0</v>
      </c>
    </row>
    <row r="130" spans="2:125" ht="12.95" customHeight="1" outlineLevel="1">
      <c r="B130" s="1">
        <f>IF(C130="",0,COUNTIFS($B$22:B129,"&gt;"&amp;0)+1)</f>
        <v>57</v>
      </c>
      <c r="C130" s="85">
        <v>3020301</v>
      </c>
      <c r="D130" s="86" t="str">
        <f>IFERROR(IF($C130="","",VLOOKUP($C130,'[1]Paramètres Articles'!$B:$G,2,FALSE)),"Non Trouvé")</f>
        <v>Testeur - Crème de Jour Régénérante 40 ml - 15% comprise</v>
      </c>
      <c r="E130" s="87">
        <f>IFERROR(IF($C130="","",_xlfn.XLOOKUP(REGENERANTS!$C130,'[1]New Base PA'!$F:$F,'[1]New Base PA'!$D:$D,"Not Found",0)),"Non Trouvé")</f>
        <v>4020829007123</v>
      </c>
      <c r="F130" s="88" t="s">
        <v>96</v>
      </c>
      <c r="H130" s="89">
        <v>1</v>
      </c>
      <c r="J130" s="90">
        <f>IFERROR(IF($C130="","",VLOOKUP($C130,'[1]New Base PA'!$F:$J,5,FALSE)),"Non Trouvé")</f>
        <v>10.85</v>
      </c>
      <c r="K130" s="131">
        <f t="shared" si="73"/>
        <v>10.85</v>
      </c>
      <c r="L130" s="132"/>
      <c r="M130" s="90">
        <f>IFERROR(IF(AND($F130="Produit Vente",H130&gt;0),VLOOKUP($C130,'[1]Paramètres Articles'!$B:$G,6,FALSE),0),"Non Trouvé")</f>
        <v>0</v>
      </c>
      <c r="N130" s="90">
        <f t="shared" si="74"/>
        <v>0</v>
      </c>
      <c r="P130" s="92"/>
      <c r="R130" s="90">
        <f t="shared" si="75"/>
        <v>0</v>
      </c>
      <c r="S130" s="91"/>
      <c r="T130" s="90" t="str">
        <f>IFERROR(IF($C130="","",VLOOKUP($C130,'[1]Paramètres Articles'!$B:$H,7,FALSE)),"Non Trouvé")</f>
        <v>Non Trouvé</v>
      </c>
      <c r="U130" s="93"/>
      <c r="V130" s="90" t="str">
        <f t="shared" si="79"/>
        <v/>
      </c>
      <c r="W130" s="91"/>
      <c r="X130" s="90" t="str">
        <f t="shared" si="81"/>
        <v/>
      </c>
      <c r="Y130" s="91"/>
      <c r="Z130" s="90" t="str">
        <f t="shared" si="80"/>
        <v>Non Trouvé</v>
      </c>
      <c r="AB130" s="94">
        <f>AB128</f>
        <v>90</v>
      </c>
      <c r="AC130" s="94">
        <f>AC128</f>
        <v>0.17</v>
      </c>
      <c r="AD130" s="90">
        <f t="shared" si="82"/>
        <v>0</v>
      </c>
      <c r="AG130" s="94">
        <f>AG128</f>
        <v>82</v>
      </c>
      <c r="AH130" s="94">
        <f>AH128</f>
        <v>0.13</v>
      </c>
      <c r="AI130" s="90">
        <f t="shared" si="83"/>
        <v>0</v>
      </c>
      <c r="AL130" s="94">
        <f>AL128</f>
        <v>20</v>
      </c>
      <c r="AM130" s="94">
        <f>AM128</f>
        <v>0.08</v>
      </c>
      <c r="AN130" s="90">
        <f t="shared" si="84"/>
        <v>0</v>
      </c>
      <c r="AQ130" s="94">
        <f>AQ128</f>
        <v>0</v>
      </c>
      <c r="AR130" s="94">
        <f>AR128</f>
        <v>0.05</v>
      </c>
      <c r="AS130" s="90">
        <f t="shared" si="85"/>
        <v>0</v>
      </c>
      <c r="AV130" s="94">
        <f>AV128</f>
        <v>16</v>
      </c>
      <c r="AW130" s="94">
        <f>AW128</f>
        <v>0.32500000000000001</v>
      </c>
      <c r="AX130" s="90">
        <f t="shared" si="86"/>
        <v>0</v>
      </c>
      <c r="BA130" s="94">
        <f>BA128</f>
        <v>12</v>
      </c>
      <c r="BB130" s="94">
        <f>BB128</f>
        <v>0.29499999999999998</v>
      </c>
      <c r="BC130" s="90">
        <f t="shared" si="87"/>
        <v>0</v>
      </c>
      <c r="BF130" s="94">
        <f>BF128</f>
        <v>20</v>
      </c>
      <c r="BG130" s="94">
        <f>BG128</f>
        <v>0.27500000000000002</v>
      </c>
      <c r="BH130" s="90">
        <f t="shared" si="88"/>
        <v>0</v>
      </c>
      <c r="BK130" s="94">
        <f>BK128</f>
        <v>39</v>
      </c>
      <c r="BL130" s="94">
        <f>BL128</f>
        <v>0.245</v>
      </c>
      <c r="BM130" s="90">
        <f t="shared" si="89"/>
        <v>0</v>
      </c>
      <c r="BP130" s="94">
        <f>BP128</f>
        <v>27</v>
      </c>
      <c r="BQ130" s="94">
        <f>BQ128</f>
        <v>0.22500000000000001</v>
      </c>
      <c r="BR130" s="90">
        <f t="shared" si="90"/>
        <v>0</v>
      </c>
      <c r="BU130" s="94">
        <f>BU128</f>
        <v>0</v>
      </c>
      <c r="BV130" s="94">
        <f>BV128</f>
        <v>0.17499999999999999</v>
      </c>
      <c r="BW130" s="90">
        <f t="shared" si="91"/>
        <v>0</v>
      </c>
      <c r="BZ130" s="94">
        <f>BZ128</f>
        <v>84</v>
      </c>
      <c r="CA130" s="94">
        <f>CA128</f>
        <v>0.15</v>
      </c>
      <c r="CB130" s="90">
        <f t="shared" si="92"/>
        <v>0</v>
      </c>
      <c r="CE130" s="95"/>
      <c r="CF130" s="97"/>
      <c r="CG130" s="97" t="s">
        <v>103</v>
      </c>
      <c r="CH130" s="134">
        <f>IFERROR(CH128*CH129,0)</f>
        <v>37219.395219151411</v>
      </c>
      <c r="CI130" s="98"/>
      <c r="CK130" s="99">
        <f>IFERROR(IF(F130='[1]Paramètres Généraux'!$K$12,ROUNDUP((REGENERANTS!H130*REGENERANTS!$CF$112)*'[1]Paramètres Généraux'!$M$12,-1),IF(F130='[1]Paramètres Généraux'!$K$15,ROUNDUP((REGENERANTS!H130*REGENERANTS!$CF$112)*'[1]Paramètres Généraux'!$M$15,-1),REGENERANTS!H130*REGENERANTS!$CF$112)),"nd")</f>
        <v>390</v>
      </c>
      <c r="CN130" s="100"/>
      <c r="CO130" s="101"/>
      <c r="CP130" s="101"/>
      <c r="CQ130" s="101"/>
      <c r="CR130" s="101"/>
      <c r="CS130" s="171"/>
      <c r="CT130" s="172"/>
      <c r="CU130" s="101"/>
      <c r="CV130" s="171"/>
      <c r="CW130" s="106"/>
      <c r="CX130" s="107"/>
      <c r="CY130" s="106"/>
      <c r="CZ130" s="104"/>
      <c r="DA130" s="107"/>
      <c r="DB130" s="106"/>
      <c r="DC130" s="104"/>
      <c r="DD130" s="107"/>
      <c r="DE130" s="106"/>
      <c r="DF130" s="104"/>
      <c r="DG130" s="104"/>
      <c r="DH130" s="104"/>
      <c r="DI130" s="104"/>
      <c r="DJ130" s="104"/>
      <c r="DK130" s="104"/>
      <c r="DL130" s="104"/>
      <c r="DM130" s="104"/>
      <c r="DN130" s="104"/>
      <c r="DO130" s="107"/>
      <c r="DP130" s="106"/>
      <c r="DQ130" s="20">
        <f t="shared" si="76"/>
        <v>0</v>
      </c>
      <c r="DR130" s="20">
        <f t="shared" si="77"/>
        <v>0</v>
      </c>
      <c r="DS130" s="20">
        <f>IFERROR((IF(AND($F130="Produit Vente",CO130&gt;0),VLOOKUP($C130,'[1]Paramètres Articles'!$B:$H,7,FALSE)*$CO130)*(1-20%)),0)</f>
        <v>0</v>
      </c>
      <c r="DT130" s="20">
        <f>IFERROR((IF(AND($F130="Produit Vente",DR130&gt;0),VLOOKUP($C130,'[1]Paramètres Articles'!$B:$H,6,FALSE)*$DR130)*(1-15%)),0)</f>
        <v>0</v>
      </c>
      <c r="DU130" s="20">
        <f t="shared" si="78"/>
        <v>0</v>
      </c>
    </row>
    <row r="131" spans="2:125" ht="12.95" customHeight="1" outlineLevel="1">
      <c r="B131" s="1">
        <f>IF(C131="",0,COUNTIFS($B$22:B130,"&gt;"&amp;0)+1)</f>
        <v>58</v>
      </c>
      <c r="C131" s="85">
        <v>3020720</v>
      </c>
      <c r="D131" s="86" t="str">
        <f>IFERROR(IF($C131="","",VLOOKUP($C131,'[1]Paramètres Articles'!$B:$G,2,FALSE)),"Non Trouvé")</f>
        <v>Testeur - Crème de Jour - Régénérant Intensif - 40ml - 15 % comprise</v>
      </c>
      <c r="E131" s="87">
        <f>IFERROR(IF($C131="","",_xlfn.XLOOKUP(REGENERANTS!$C131,'[1]New Base PA'!$F:$F,'[1]New Base PA'!$D:$D,"Not Found",0)),"Non Trouvé")</f>
        <v>4020829103207</v>
      </c>
      <c r="F131" s="88" t="s">
        <v>96</v>
      </c>
      <c r="H131" s="89">
        <v>1</v>
      </c>
      <c r="J131" s="90">
        <f>IFERROR(IF($C131="","",VLOOKUP($C131,'[1]New Base PA'!$F:$J,5,FALSE)),"Non Trouvé")</f>
        <v>12.59</v>
      </c>
      <c r="K131" s="131">
        <f t="shared" si="73"/>
        <v>12.59</v>
      </c>
      <c r="L131" s="132"/>
      <c r="M131" s="90">
        <f>IFERROR(IF(AND($F131="Produit Vente",H131&gt;0),VLOOKUP($C131,'[1]Paramètres Articles'!$B:$G,6,FALSE),0),"Non Trouvé")</f>
        <v>0</v>
      </c>
      <c r="N131" s="90">
        <f t="shared" si="74"/>
        <v>0</v>
      </c>
      <c r="P131" s="92"/>
      <c r="R131" s="90">
        <f t="shared" si="75"/>
        <v>0</v>
      </c>
      <c r="S131" s="91"/>
      <c r="T131" s="90" t="str">
        <f>IFERROR(IF($C131="","",VLOOKUP($C131,'[1]Paramètres Articles'!$B:$H,7,FALSE)),"Non Trouvé")</f>
        <v>Non Trouvé</v>
      </c>
      <c r="U131" s="93"/>
      <c r="V131" s="90" t="str">
        <f t="shared" si="79"/>
        <v/>
      </c>
      <c r="W131" s="91"/>
      <c r="X131" s="90" t="str">
        <f t="shared" si="81"/>
        <v/>
      </c>
      <c r="Y131" s="91"/>
      <c r="Z131" s="90" t="str">
        <f t="shared" si="80"/>
        <v>Non Trouvé</v>
      </c>
      <c r="AB131" s="94">
        <f>AB130</f>
        <v>90</v>
      </c>
      <c r="AC131" s="94">
        <f>AC130</f>
        <v>0.17</v>
      </c>
      <c r="AD131" s="90">
        <f t="shared" si="82"/>
        <v>0</v>
      </c>
      <c r="AG131" s="94">
        <f>AG130</f>
        <v>82</v>
      </c>
      <c r="AH131" s="94">
        <f>AH130</f>
        <v>0.13</v>
      </c>
      <c r="AI131" s="90">
        <f t="shared" si="83"/>
        <v>0</v>
      </c>
      <c r="AL131" s="94">
        <f>AL130</f>
        <v>20</v>
      </c>
      <c r="AM131" s="94">
        <f>AM130</f>
        <v>0.08</v>
      </c>
      <c r="AN131" s="90">
        <f t="shared" si="84"/>
        <v>0</v>
      </c>
      <c r="AQ131" s="94">
        <f>AQ130</f>
        <v>0</v>
      </c>
      <c r="AR131" s="94">
        <f>AR130</f>
        <v>0.05</v>
      </c>
      <c r="AS131" s="90">
        <f t="shared" si="85"/>
        <v>0</v>
      </c>
      <c r="AV131" s="94">
        <f>AV130</f>
        <v>16</v>
      </c>
      <c r="AW131" s="94">
        <f>AW130</f>
        <v>0.32500000000000001</v>
      </c>
      <c r="AX131" s="90">
        <f t="shared" si="86"/>
        <v>0</v>
      </c>
      <c r="BA131" s="94">
        <f>BA130</f>
        <v>12</v>
      </c>
      <c r="BB131" s="94">
        <f>BB130</f>
        <v>0.29499999999999998</v>
      </c>
      <c r="BC131" s="90">
        <f t="shared" si="87"/>
        <v>0</v>
      </c>
      <c r="BF131" s="94">
        <f>BF130</f>
        <v>20</v>
      </c>
      <c r="BG131" s="94">
        <f>BG130</f>
        <v>0.27500000000000002</v>
      </c>
      <c r="BH131" s="90">
        <f t="shared" si="88"/>
        <v>0</v>
      </c>
      <c r="BK131" s="94">
        <f>BK130</f>
        <v>39</v>
      </c>
      <c r="BL131" s="94">
        <f>BL130</f>
        <v>0.245</v>
      </c>
      <c r="BM131" s="90">
        <f t="shared" si="89"/>
        <v>0</v>
      </c>
      <c r="BP131" s="94">
        <f>BP130</f>
        <v>27</v>
      </c>
      <c r="BQ131" s="94">
        <f>BQ130</f>
        <v>0.22500000000000001</v>
      </c>
      <c r="BR131" s="90">
        <f t="shared" si="90"/>
        <v>0</v>
      </c>
      <c r="BU131" s="94">
        <f>BU130</f>
        <v>0</v>
      </c>
      <c r="BV131" s="94">
        <f>BV130</f>
        <v>0.17499999999999999</v>
      </c>
      <c r="BW131" s="90">
        <f t="shared" si="91"/>
        <v>0</v>
      </c>
      <c r="BZ131" s="94">
        <f>BZ130</f>
        <v>84</v>
      </c>
      <c r="CA131" s="94">
        <f>CA130</f>
        <v>0.15</v>
      </c>
      <c r="CB131" s="90">
        <f t="shared" si="92"/>
        <v>0</v>
      </c>
      <c r="CE131" s="95"/>
      <c r="CF131" s="133"/>
      <c r="CG131" s="96"/>
      <c r="CH131" s="96"/>
      <c r="CI131" s="98"/>
      <c r="CK131" s="99">
        <f>IFERROR(IF(F131='[1]Paramètres Généraux'!$K$12,ROUNDUP((REGENERANTS!H131*REGENERANTS!$CF$112)*'[1]Paramètres Généraux'!$M$12,-1),IF(F131='[1]Paramètres Généraux'!$K$15,ROUNDUP((REGENERANTS!H131*REGENERANTS!$CF$112)*'[1]Paramètres Généraux'!$M$15,-1),REGENERANTS!H131*REGENERANTS!$CF$112)),"nd")</f>
        <v>390</v>
      </c>
      <c r="CN131" s="100"/>
      <c r="CO131" s="101"/>
      <c r="CP131" s="101"/>
      <c r="CQ131" s="101"/>
      <c r="CR131" s="101"/>
      <c r="CS131" s="171"/>
      <c r="CT131" s="172"/>
      <c r="CU131" s="101"/>
      <c r="CV131" s="171"/>
      <c r="CW131" s="106"/>
      <c r="CX131" s="107"/>
      <c r="CY131" s="106"/>
      <c r="CZ131" s="104"/>
      <c r="DA131" s="107"/>
      <c r="DB131" s="106"/>
      <c r="DC131" s="104"/>
      <c r="DD131" s="107"/>
      <c r="DE131" s="106"/>
      <c r="DF131" s="104"/>
      <c r="DG131" s="104"/>
      <c r="DH131" s="104"/>
      <c r="DI131" s="104"/>
      <c r="DJ131" s="104"/>
      <c r="DK131" s="104"/>
      <c r="DL131" s="104"/>
      <c r="DM131" s="104"/>
      <c r="DN131" s="104"/>
      <c r="DO131" s="107"/>
      <c r="DP131" s="106"/>
      <c r="DQ131" s="20">
        <f t="shared" si="76"/>
        <v>0</v>
      </c>
      <c r="DR131" s="20">
        <f t="shared" si="77"/>
        <v>0</v>
      </c>
      <c r="DS131" s="20">
        <f>IFERROR((IF(AND($F131="Produit Vente",CO131&gt;0),VLOOKUP($C131,'[1]Paramètres Articles'!$B:$H,7,FALSE)*$CO131)*(1-20%)),0)</f>
        <v>0</v>
      </c>
      <c r="DT131" s="20">
        <f>IFERROR((IF(AND($F131="Produit Vente",DR131&gt;0),VLOOKUP($C131,'[1]Paramètres Articles'!$B:$H,6,FALSE)*$DR131)*(1-15%)),0)</f>
        <v>0</v>
      </c>
      <c r="DU131" s="20">
        <f t="shared" si="78"/>
        <v>0</v>
      </c>
    </row>
    <row r="132" spans="2:125" ht="12.95" customHeight="1" outlineLevel="1">
      <c r="B132" s="1">
        <f>IF(C132="",0,COUNTIFS($B$22:B131,"&gt;"&amp;0)+1)</f>
        <v>59</v>
      </c>
      <c r="C132" s="85">
        <v>3020718</v>
      </c>
      <c r="D132" s="86" t="str">
        <f>IFERROR(IF($C132="","",VLOOKUP($C132,'[1]Paramètres Articles'!$B:$G,2,FALSE)),"Non Trouvé")</f>
        <v>Testeur - Sérum de Nuit - Régénérant Intensif 30ml - 15% comprise</v>
      </c>
      <c r="E132" s="87">
        <f>IFERROR(IF($C132="","",_xlfn.XLOOKUP(REGENERANTS!$C132,'[1]New Base PA'!$F:$F,'[1]New Base PA'!$D:$D,"Not Found",0)),"Non Trouvé")</f>
        <v>4020829101142</v>
      </c>
      <c r="F132" s="88" t="s">
        <v>96</v>
      </c>
      <c r="H132" s="89">
        <v>1</v>
      </c>
      <c r="J132" s="90">
        <f>IFERROR(IF($C132="","",VLOOKUP($C132,'[1]New Base PA'!$F:$J,5,FALSE)),"Non Trouvé")</f>
        <v>13.39</v>
      </c>
      <c r="K132" s="131">
        <f t="shared" si="73"/>
        <v>13.39</v>
      </c>
      <c r="L132" s="132"/>
      <c r="M132" s="90">
        <f>IFERROR(IF(AND($F132="Produit Vente",H132&gt;0),VLOOKUP($C132,'[1]Paramètres Articles'!$B:$G,6,FALSE),0),"Non Trouvé")</f>
        <v>0</v>
      </c>
      <c r="N132" s="90">
        <f t="shared" si="74"/>
        <v>0</v>
      </c>
      <c r="P132" s="92"/>
      <c r="R132" s="90">
        <f t="shared" si="75"/>
        <v>0</v>
      </c>
      <c r="S132" s="91"/>
      <c r="T132" s="90" t="str">
        <f>IFERROR(IF($C132="","",VLOOKUP($C132,'[1]Paramètres Articles'!$B:$H,7,FALSE)),"Non Trouvé")</f>
        <v>Non Trouvé</v>
      </c>
      <c r="U132" s="93"/>
      <c r="V132" s="90" t="str">
        <f t="shared" si="79"/>
        <v/>
      </c>
      <c r="W132" s="91"/>
      <c r="X132" s="90" t="str">
        <f t="shared" si="81"/>
        <v/>
      </c>
      <c r="Y132" s="91"/>
      <c r="Z132" s="90" t="str">
        <f t="shared" si="80"/>
        <v>Non Trouvé</v>
      </c>
      <c r="AB132" s="94">
        <f>AB130</f>
        <v>90</v>
      </c>
      <c r="AC132" s="94">
        <f>AC130</f>
        <v>0.17</v>
      </c>
      <c r="AD132" s="90">
        <f t="shared" si="82"/>
        <v>0</v>
      </c>
      <c r="AG132" s="94">
        <f>AG130</f>
        <v>82</v>
      </c>
      <c r="AH132" s="94">
        <f>AH130</f>
        <v>0.13</v>
      </c>
      <c r="AI132" s="90">
        <f t="shared" si="83"/>
        <v>0</v>
      </c>
      <c r="AL132" s="94">
        <f>AL130</f>
        <v>20</v>
      </c>
      <c r="AM132" s="94">
        <f>AM130</f>
        <v>0.08</v>
      </c>
      <c r="AN132" s="90">
        <f t="shared" si="84"/>
        <v>0</v>
      </c>
      <c r="AQ132" s="94">
        <f>AQ130</f>
        <v>0</v>
      </c>
      <c r="AR132" s="94">
        <f>AR130</f>
        <v>0.05</v>
      </c>
      <c r="AS132" s="90">
        <f t="shared" si="85"/>
        <v>0</v>
      </c>
      <c r="AV132" s="94">
        <f>AV130</f>
        <v>16</v>
      </c>
      <c r="AW132" s="94">
        <f>AW130</f>
        <v>0.32500000000000001</v>
      </c>
      <c r="AX132" s="90">
        <f t="shared" si="86"/>
        <v>0</v>
      </c>
      <c r="BA132" s="94">
        <f>BA130</f>
        <v>12</v>
      </c>
      <c r="BB132" s="94">
        <f>BB130</f>
        <v>0.29499999999999998</v>
      </c>
      <c r="BC132" s="90">
        <f t="shared" si="87"/>
        <v>0</v>
      </c>
      <c r="BF132" s="94">
        <f>BF130</f>
        <v>20</v>
      </c>
      <c r="BG132" s="94">
        <f>BG130</f>
        <v>0.27500000000000002</v>
      </c>
      <c r="BH132" s="90">
        <f t="shared" si="88"/>
        <v>0</v>
      </c>
      <c r="BK132" s="94">
        <f>BK130</f>
        <v>39</v>
      </c>
      <c r="BL132" s="94">
        <f>BL130</f>
        <v>0.245</v>
      </c>
      <c r="BM132" s="90">
        <f t="shared" si="89"/>
        <v>0</v>
      </c>
      <c r="BP132" s="94">
        <f>BP130</f>
        <v>27</v>
      </c>
      <c r="BQ132" s="94">
        <f>BQ130</f>
        <v>0.22500000000000001</v>
      </c>
      <c r="BR132" s="90">
        <f t="shared" si="90"/>
        <v>0</v>
      </c>
      <c r="BU132" s="94">
        <f>BU130</f>
        <v>0</v>
      </c>
      <c r="BV132" s="94">
        <f>BV130</f>
        <v>0.17499999999999999</v>
      </c>
      <c r="BW132" s="90">
        <f t="shared" si="91"/>
        <v>0</v>
      </c>
      <c r="BZ132" s="94">
        <f>BZ130</f>
        <v>84</v>
      </c>
      <c r="CA132" s="94">
        <f>CA130</f>
        <v>0.15</v>
      </c>
      <c r="CB132" s="90">
        <f t="shared" si="92"/>
        <v>0</v>
      </c>
      <c r="CE132" s="95"/>
      <c r="CF132" s="96"/>
      <c r="CG132" s="128" t="s">
        <v>7</v>
      </c>
      <c r="CH132" s="96"/>
      <c r="CI132" s="98"/>
      <c r="CK132" s="99">
        <f>IFERROR(IF(F132='[1]Paramètres Généraux'!$K$12,ROUNDUP((REGENERANTS!H132*REGENERANTS!$CF$112)*'[1]Paramètres Généraux'!$M$12,-1),IF(F132='[1]Paramètres Généraux'!$K$15,ROUNDUP((REGENERANTS!H132*REGENERANTS!$CF$112)*'[1]Paramètres Généraux'!$M$15,-1),REGENERANTS!H132*REGENERANTS!$CF$112)),"nd")</f>
        <v>390</v>
      </c>
      <c r="CN132" s="100"/>
      <c r="CO132" s="101"/>
      <c r="CP132" s="101"/>
      <c r="CQ132" s="101"/>
      <c r="CR132" s="101"/>
      <c r="CS132" s="171"/>
      <c r="CT132" s="172"/>
      <c r="CU132" s="101"/>
      <c r="CV132" s="171"/>
      <c r="CW132" s="106"/>
      <c r="CX132" s="107"/>
      <c r="CY132" s="106"/>
      <c r="CZ132" s="104"/>
      <c r="DA132" s="107"/>
      <c r="DB132" s="106"/>
      <c r="DC132" s="104"/>
      <c r="DD132" s="107"/>
      <c r="DE132" s="106"/>
      <c r="DF132" s="104"/>
      <c r="DG132" s="104"/>
      <c r="DH132" s="104"/>
      <c r="DI132" s="104"/>
      <c r="DJ132" s="104"/>
      <c r="DK132" s="104"/>
      <c r="DL132" s="104"/>
      <c r="DM132" s="104"/>
      <c r="DN132" s="104"/>
      <c r="DO132" s="107"/>
      <c r="DP132" s="106"/>
      <c r="DQ132" s="20">
        <f t="shared" si="76"/>
        <v>0</v>
      </c>
      <c r="DR132" s="20">
        <f t="shared" si="77"/>
        <v>0</v>
      </c>
      <c r="DS132" s="20">
        <f>IFERROR((IF(AND($F132="Produit Vente",CO132&gt;0),VLOOKUP($C132,'[1]Paramètres Articles'!$B:$H,7,FALSE)*$CO132)*(1-20%)),0)</f>
        <v>0</v>
      </c>
      <c r="DT132" s="20">
        <f>IFERROR((IF(AND($F132="Produit Vente",DR132&gt;0),VLOOKUP($C132,'[1]Paramètres Articles'!$B:$H,6,FALSE)*$DR132)*(1-15%)),0)</f>
        <v>0</v>
      </c>
      <c r="DU132" s="20">
        <f t="shared" si="78"/>
        <v>0</v>
      </c>
    </row>
    <row r="133" spans="2:125" ht="12.95" customHeight="1" outlineLevel="1">
      <c r="B133" s="1">
        <f>IF(C133="",0,COUNTIFS($B$22:B132,"&gt;"&amp;0)+1)</f>
        <v>60</v>
      </c>
      <c r="C133" s="85" t="s">
        <v>110</v>
      </c>
      <c r="D133" s="86" t="str">
        <f>IFERROR(IF($C133="","",VLOOKUP($C133,'[1]Paramètres Articles'!$B:$G,2,FALSE)),"Non Trouvé")</f>
        <v>Stop-rayon promo Régénérants 2026 vierge</v>
      </c>
      <c r="E133" s="87">
        <f>IFERROR(IF($C133="","",_xlfn.XLOOKUP(REGENERANTS!$C133,'[1]New Base PA'!$F:$F,'[1]New Base PA'!$D:$D,"Not Found",0)),"Non Trouvé")</f>
        <v>0</v>
      </c>
      <c r="F133" s="88" t="s">
        <v>100</v>
      </c>
      <c r="H133" s="89">
        <v>1</v>
      </c>
      <c r="J133" s="90">
        <f>IFERROR(IF($C133="","",VLOOKUP($C133,'[1]New Base PA'!$F:$J,5,FALSE)),"Non Trouvé")</f>
        <v>1.59</v>
      </c>
      <c r="K133" s="131">
        <f t="shared" si="73"/>
        <v>1.59</v>
      </c>
      <c r="L133" s="132"/>
      <c r="M133" s="90">
        <f>IFERROR(IF(AND($F133="Produit Vente",H133&gt;0),VLOOKUP($C133,'[1]Paramètres Articles'!$B:$G,6,FALSE),0),"Non Trouvé")</f>
        <v>0</v>
      </c>
      <c r="N133" s="90">
        <f t="shared" si="74"/>
        <v>0</v>
      </c>
      <c r="P133" s="92"/>
      <c r="R133" s="90">
        <f t="shared" si="75"/>
        <v>0</v>
      </c>
      <c r="S133" s="91"/>
      <c r="T133" s="90">
        <f>IFERROR(IF($C133="","",VLOOKUP($C133,'[1]Paramètres Articles'!$B:$H,7,FALSE)),"Non Trouvé")</f>
        <v>0</v>
      </c>
      <c r="U133" s="93"/>
      <c r="V133" s="90" t="str">
        <f t="shared" si="79"/>
        <v/>
      </c>
      <c r="W133" s="91"/>
      <c r="X133" s="90" t="str">
        <f t="shared" si="81"/>
        <v/>
      </c>
      <c r="Y133" s="91"/>
      <c r="Z133" s="90">
        <f t="shared" si="80"/>
        <v>0</v>
      </c>
      <c r="AB133" s="94">
        <f>AB132</f>
        <v>90</v>
      </c>
      <c r="AC133" s="94">
        <f>AC132</f>
        <v>0.17</v>
      </c>
      <c r="AD133" s="90">
        <f t="shared" si="82"/>
        <v>0</v>
      </c>
      <c r="AG133" s="94">
        <f>AG132</f>
        <v>82</v>
      </c>
      <c r="AH133" s="94">
        <f>AH132</f>
        <v>0.13</v>
      </c>
      <c r="AI133" s="90">
        <f t="shared" si="83"/>
        <v>0</v>
      </c>
      <c r="AL133" s="94">
        <f>AL132</f>
        <v>20</v>
      </c>
      <c r="AM133" s="94">
        <f>AM132</f>
        <v>0.08</v>
      </c>
      <c r="AN133" s="90">
        <f t="shared" si="84"/>
        <v>0</v>
      </c>
      <c r="AQ133" s="94">
        <f>AQ132</f>
        <v>0</v>
      </c>
      <c r="AR133" s="94">
        <f>AR132</f>
        <v>0.05</v>
      </c>
      <c r="AS133" s="90">
        <f t="shared" si="85"/>
        <v>0</v>
      </c>
      <c r="AV133" s="94">
        <f>AV132</f>
        <v>16</v>
      </c>
      <c r="AW133" s="94">
        <f>AW132</f>
        <v>0.32500000000000001</v>
      </c>
      <c r="AX133" s="90">
        <f t="shared" si="86"/>
        <v>0</v>
      </c>
      <c r="BA133" s="94">
        <f>BA132</f>
        <v>12</v>
      </c>
      <c r="BB133" s="94">
        <f>BB132</f>
        <v>0.29499999999999998</v>
      </c>
      <c r="BC133" s="90">
        <f t="shared" si="87"/>
        <v>0</v>
      </c>
      <c r="BF133" s="94">
        <f>BF132</f>
        <v>20</v>
      </c>
      <c r="BG133" s="94">
        <f>BG132</f>
        <v>0.27500000000000002</v>
      </c>
      <c r="BH133" s="90">
        <f t="shared" si="88"/>
        <v>0</v>
      </c>
      <c r="BK133" s="94">
        <f>BK132</f>
        <v>39</v>
      </c>
      <c r="BL133" s="94">
        <f>BL132</f>
        <v>0.245</v>
      </c>
      <c r="BM133" s="90">
        <f t="shared" si="89"/>
        <v>0</v>
      </c>
      <c r="BP133" s="94">
        <f>BP132</f>
        <v>27</v>
      </c>
      <c r="BQ133" s="94">
        <f>BQ132</f>
        <v>0.22500000000000001</v>
      </c>
      <c r="BR133" s="90">
        <f t="shared" si="90"/>
        <v>0</v>
      </c>
      <c r="BU133" s="94">
        <f>BU132</f>
        <v>0</v>
      </c>
      <c r="BV133" s="94">
        <f>BV132</f>
        <v>0.17499999999999999</v>
      </c>
      <c r="BW133" s="90">
        <f t="shared" si="91"/>
        <v>0</v>
      </c>
      <c r="BZ133" s="94">
        <f>BZ132</f>
        <v>84</v>
      </c>
      <c r="CA133" s="94">
        <f>CA132</f>
        <v>0.15</v>
      </c>
      <c r="CB133" s="90">
        <f t="shared" si="92"/>
        <v>0</v>
      </c>
      <c r="CE133" s="95"/>
      <c r="CF133" s="96"/>
      <c r="CG133" s="97" t="s">
        <v>0</v>
      </c>
      <c r="CH133" s="133">
        <f>SUMIFS($AV112:$BX112,$AV109:$BX109,CG133)</f>
        <v>114</v>
      </c>
      <c r="CI133" s="98"/>
      <c r="CK133" s="99">
        <f>IFERROR(IF(F133='[1]Paramètres Généraux'!$K$12,ROUNDUP((REGENERANTS!H133*REGENERANTS!$CF$112)*'[1]Paramètres Généraux'!$M$12,-1),IF(F133='[1]Paramètres Généraux'!$K$15,ROUNDUP((REGENERANTS!H133*REGENERANTS!$CF$112)*'[1]Paramètres Généraux'!$M$15,-1),REGENERANTS!H133*REGENERANTS!$CF$112)),"nd")</f>
        <v>280</v>
      </c>
      <c r="CN133" s="146"/>
      <c r="CO133" s="147"/>
      <c r="CP133" s="147"/>
      <c r="CQ133" s="147"/>
      <c r="CR133" s="147"/>
      <c r="CS133" s="173"/>
      <c r="CT133" s="174"/>
      <c r="CU133" s="147"/>
      <c r="CV133" s="173"/>
      <c r="CW133" s="150"/>
      <c r="CX133" s="149"/>
      <c r="CY133" s="150"/>
      <c r="CZ133" s="136"/>
      <c r="DA133" s="149"/>
      <c r="DB133" s="150"/>
      <c r="DC133" s="136"/>
      <c r="DD133" s="149"/>
      <c r="DE133" s="150"/>
      <c r="DF133" s="136"/>
      <c r="DG133" s="136"/>
      <c r="DH133" s="136"/>
      <c r="DI133" s="136"/>
      <c r="DJ133" s="136"/>
      <c r="DK133" s="136"/>
      <c r="DL133" s="136"/>
      <c r="DM133" s="136"/>
      <c r="DN133" s="136"/>
      <c r="DO133" s="149"/>
      <c r="DP133" s="150"/>
      <c r="DQ133" s="20">
        <f t="shared" si="76"/>
        <v>0</v>
      </c>
      <c r="DR133" s="20">
        <f t="shared" si="77"/>
        <v>0</v>
      </c>
      <c r="DS133" s="20">
        <f>IFERROR((IF(AND($F133="Produit Vente",CO133&gt;0),VLOOKUP($C133,'[1]Paramètres Articles'!$B:$H,7,FALSE)*$CO133)*(1-20%)),0)</f>
        <v>0</v>
      </c>
      <c r="DT133" s="20">
        <f>IFERROR((IF(AND($F133="Produit Vente",DR133&gt;0),VLOOKUP($C133,'[1]Paramètres Articles'!$B:$H,6,FALSE)*$DR133)*(1-15%)),0)</f>
        <v>0</v>
      </c>
      <c r="DU133" s="20">
        <f t="shared" si="78"/>
        <v>0</v>
      </c>
    </row>
    <row r="134" spans="2:125" ht="12.95" customHeight="1" outlineLevel="1">
      <c r="B134" s="1">
        <f>IF(C134="",0,COUNTIFS($B$22:B133,"&gt;"&amp;0)+1)</f>
        <v>0</v>
      </c>
      <c r="C134" s="85"/>
      <c r="D134" s="86" t="str">
        <f>IFERROR(IF($C134="","",VLOOKUP($C134,'[1]Paramètres Articles'!$B:$G,2,FALSE)),"Non Trouvé")</f>
        <v/>
      </c>
      <c r="E134" s="87" t="str">
        <f>IFERROR(IF($C134="","",_xlfn.XLOOKUP(REGENERANTS!$C134,'[1]New Base PA'!$F:$F,'[1]New Base PA'!$D:$D,"Not Found",0)),"Non Trouvé")</f>
        <v/>
      </c>
      <c r="F134" s="88"/>
      <c r="H134" s="101"/>
      <c r="J134" s="90" t="str">
        <f>IFERROR(IF($C134="","",VLOOKUP($C134,'[1]New Base PA'!$F:$J,5,FALSE)),"Non Trouvé")</f>
        <v/>
      </c>
      <c r="K134" s="131" t="str">
        <f t="shared" si="73"/>
        <v/>
      </c>
      <c r="L134" s="132"/>
      <c r="M134" s="90">
        <f>IFERROR(IF(AND($F134="Produit Vente",H134&gt;0),VLOOKUP($C134,'[1]Paramètres Articles'!$B:$G,6,FALSE),0),"Non Trouvé")</f>
        <v>0</v>
      </c>
      <c r="N134" s="90" t="str">
        <f t="shared" si="74"/>
        <v/>
      </c>
      <c r="P134" s="92"/>
      <c r="R134" s="90" t="str">
        <f t="shared" si="75"/>
        <v/>
      </c>
      <c r="S134" s="91"/>
      <c r="T134" s="90" t="str">
        <f>IFERROR(IF($C134="","",VLOOKUP($C134,'[1]Paramètres Articles'!$B:$H,7,FALSE)),"Non Trouvé")</f>
        <v/>
      </c>
      <c r="U134" s="93"/>
      <c r="V134" s="90" t="str">
        <f t="shared" si="79"/>
        <v/>
      </c>
      <c r="W134" s="91"/>
      <c r="X134" s="90" t="str">
        <f t="shared" si="81"/>
        <v/>
      </c>
      <c r="Y134" s="91"/>
      <c r="Z134" s="90">
        <f t="shared" si="80"/>
        <v>0</v>
      </c>
      <c r="AB134" s="94">
        <f>AB132</f>
        <v>90</v>
      </c>
      <c r="AC134" s="94">
        <f>AC132</f>
        <v>0.17</v>
      </c>
      <c r="AD134" s="90" t="str">
        <f t="shared" si="82"/>
        <v/>
      </c>
      <c r="AG134" s="94">
        <f>AG132</f>
        <v>82</v>
      </c>
      <c r="AH134" s="94">
        <f>AH132</f>
        <v>0.13</v>
      </c>
      <c r="AI134" s="90" t="str">
        <f t="shared" si="83"/>
        <v/>
      </c>
      <c r="AL134" s="94">
        <f>AL132</f>
        <v>20</v>
      </c>
      <c r="AM134" s="94">
        <f>AM132</f>
        <v>0.08</v>
      </c>
      <c r="AN134" s="90" t="str">
        <f t="shared" si="84"/>
        <v/>
      </c>
      <c r="AQ134" s="94">
        <f>AQ132</f>
        <v>0</v>
      </c>
      <c r="AR134" s="94">
        <f>AR132</f>
        <v>0.05</v>
      </c>
      <c r="AS134" s="90" t="str">
        <f t="shared" si="85"/>
        <v/>
      </c>
      <c r="AV134" s="94">
        <f>AV132</f>
        <v>16</v>
      </c>
      <c r="AW134" s="94">
        <f>AW132</f>
        <v>0.32500000000000001</v>
      </c>
      <c r="AX134" s="90" t="str">
        <f t="shared" si="86"/>
        <v/>
      </c>
      <c r="BA134" s="94">
        <f>BA132</f>
        <v>12</v>
      </c>
      <c r="BB134" s="94">
        <f>BB132</f>
        <v>0.29499999999999998</v>
      </c>
      <c r="BC134" s="90" t="str">
        <f t="shared" si="87"/>
        <v/>
      </c>
      <c r="BF134" s="94">
        <f>BF132</f>
        <v>20</v>
      </c>
      <c r="BG134" s="94">
        <f>BG132</f>
        <v>0.27500000000000002</v>
      </c>
      <c r="BH134" s="90" t="str">
        <f t="shared" si="88"/>
        <v/>
      </c>
      <c r="BK134" s="94">
        <f>BK132</f>
        <v>39</v>
      </c>
      <c r="BL134" s="94">
        <f>BL132</f>
        <v>0.245</v>
      </c>
      <c r="BM134" s="90" t="str">
        <f t="shared" si="89"/>
        <v/>
      </c>
      <c r="BP134" s="94">
        <f>BP132</f>
        <v>27</v>
      </c>
      <c r="BQ134" s="94">
        <f>BQ132</f>
        <v>0.22500000000000001</v>
      </c>
      <c r="BR134" s="90" t="str">
        <f t="shared" si="90"/>
        <v/>
      </c>
      <c r="BU134" s="94">
        <f>BU132</f>
        <v>0</v>
      </c>
      <c r="BV134" s="94">
        <f>BV132</f>
        <v>0.17499999999999999</v>
      </c>
      <c r="BW134" s="90" t="str">
        <f t="shared" si="91"/>
        <v/>
      </c>
      <c r="BZ134" s="94">
        <f>BZ132</f>
        <v>84</v>
      </c>
      <c r="CA134" s="94">
        <f>CA132</f>
        <v>0.15</v>
      </c>
      <c r="CB134" s="90" t="str">
        <f t="shared" si="92"/>
        <v/>
      </c>
      <c r="CE134" s="95"/>
      <c r="CF134" s="96"/>
      <c r="CG134" s="97" t="s">
        <v>1</v>
      </c>
      <c r="CH134" s="134">
        <f>SUMIFS($AV112:$BX112,$AV109:$BX109,CG134)</f>
        <v>41356.514555206457</v>
      </c>
      <c r="CI134" s="98"/>
      <c r="CK134" s="99">
        <f>IFERROR(IF(F134='[1]Paramètres Généraux'!$K$12,ROUNDUP((REGENERANTS!H134*REGENERANTS!$CF$112)*'[1]Paramètres Généraux'!$M$12,-1),IF(F134='[1]Paramètres Généraux'!$K$15,ROUNDUP((REGENERANTS!H134*REGENERANTS!$CF$112)*'[1]Paramètres Généraux'!$M$15,-1),REGENERANTS!H134*REGENERANTS!$CF$112)),"nd")</f>
        <v>0</v>
      </c>
      <c r="CN134" s="146"/>
      <c r="CO134" s="147"/>
      <c r="CP134" s="147"/>
      <c r="CQ134" s="147"/>
      <c r="CR134" s="147"/>
      <c r="CS134" s="173"/>
      <c r="CT134" s="174"/>
      <c r="CU134" s="147"/>
      <c r="CV134" s="173"/>
      <c r="CW134" s="150"/>
      <c r="CX134" s="149"/>
      <c r="CY134" s="150"/>
      <c r="CZ134" s="136"/>
      <c r="DA134" s="149"/>
      <c r="DB134" s="150"/>
      <c r="DC134" s="136"/>
      <c r="DD134" s="149"/>
      <c r="DE134" s="150"/>
      <c r="DF134" s="136"/>
      <c r="DG134" s="136"/>
      <c r="DH134" s="136"/>
      <c r="DI134" s="136"/>
      <c r="DJ134" s="136"/>
      <c r="DK134" s="136"/>
      <c r="DL134" s="136"/>
      <c r="DM134" s="136"/>
      <c r="DN134" s="136"/>
      <c r="DO134" s="149"/>
      <c r="DP134" s="150"/>
      <c r="DQ134" s="20">
        <f t="shared" si="76"/>
        <v>0</v>
      </c>
      <c r="DR134" s="20">
        <f t="shared" si="77"/>
        <v>0</v>
      </c>
      <c r="DS134" s="20">
        <f>IFERROR((IF(AND($F134="Produit Vente",CO134&gt;0),VLOOKUP($C134,'[1]Paramètres Articles'!$B:$H,7,FALSE)*$CO134)*(1-20%)),0)</f>
        <v>0</v>
      </c>
      <c r="DT134" s="20">
        <f>IFERROR((IF(AND($F134="Produit Vente",DR134&gt;0),VLOOKUP($C134,'[1]Paramètres Articles'!$B:$H,6,FALSE)*$DR134)*(1-15%)),0)</f>
        <v>0</v>
      </c>
      <c r="DU134" s="20">
        <f t="shared" si="78"/>
        <v>0</v>
      </c>
    </row>
    <row r="135" spans="2:125" ht="12.95" customHeight="1" outlineLevel="1">
      <c r="B135" s="1">
        <f>IF(C135="",0,COUNTIFS($B$22:B134,"&gt;"&amp;0)+1)</f>
        <v>0</v>
      </c>
      <c r="C135" s="85"/>
      <c r="D135" s="86" t="str">
        <f>IFERROR(IF($C135="","",VLOOKUP($C135,'[1]Paramètres Articles'!$B:$G,2,FALSE)),"Non Trouvé")</f>
        <v/>
      </c>
      <c r="E135" s="87" t="str">
        <f>IFERROR(IF($C135="","",_xlfn.XLOOKUP(REGENERANTS!$C135,'[1]New Base PA'!$F:$F,'[1]New Base PA'!$D:$D,"Not Found",0)),"Non Trouvé")</f>
        <v/>
      </c>
      <c r="F135" s="88"/>
      <c r="H135" s="101"/>
      <c r="J135" s="90" t="str">
        <f>IFERROR(IF($C135="","",VLOOKUP($C135,'[1]New Base PA'!$F:$J,5,FALSE)),"Non Trouvé")</f>
        <v/>
      </c>
      <c r="K135" s="131" t="str">
        <f t="shared" si="73"/>
        <v/>
      </c>
      <c r="L135" s="132"/>
      <c r="M135" s="90">
        <f>IFERROR(IF(AND($F135="Produit Vente",H135&gt;0),VLOOKUP($C135,'[1]Paramètres Articles'!$B:$G,6,FALSE),0),"Non Trouvé")</f>
        <v>0</v>
      </c>
      <c r="N135" s="90" t="str">
        <f t="shared" si="74"/>
        <v/>
      </c>
      <c r="P135" s="92"/>
      <c r="R135" s="90" t="str">
        <f t="shared" si="75"/>
        <v/>
      </c>
      <c r="S135" s="91"/>
      <c r="T135" s="90" t="str">
        <f>IFERROR(IF($C135="","",VLOOKUP($C135,'[1]Paramètres Articles'!$B:$H,7,FALSE)),"Non Trouvé")</f>
        <v/>
      </c>
      <c r="U135" s="93"/>
      <c r="V135" s="90" t="str">
        <f t="shared" si="79"/>
        <v/>
      </c>
      <c r="W135" s="91"/>
      <c r="X135" s="90" t="str">
        <f t="shared" si="81"/>
        <v/>
      </c>
      <c r="Y135" s="91"/>
      <c r="Z135" s="90">
        <f t="shared" si="80"/>
        <v>0</v>
      </c>
      <c r="AB135" s="94">
        <f>AB134</f>
        <v>90</v>
      </c>
      <c r="AC135" s="94">
        <f>AC134</f>
        <v>0.17</v>
      </c>
      <c r="AD135" s="90" t="str">
        <f t="shared" si="82"/>
        <v/>
      </c>
      <c r="AG135" s="94">
        <f>AG134</f>
        <v>82</v>
      </c>
      <c r="AH135" s="94">
        <f>AH134</f>
        <v>0.13</v>
      </c>
      <c r="AI135" s="90" t="str">
        <f t="shared" si="83"/>
        <v/>
      </c>
      <c r="AL135" s="94">
        <f>AL134</f>
        <v>20</v>
      </c>
      <c r="AM135" s="94">
        <f>AM134</f>
        <v>0.08</v>
      </c>
      <c r="AN135" s="90" t="str">
        <f t="shared" si="84"/>
        <v/>
      </c>
      <c r="AQ135" s="94">
        <f>AQ134</f>
        <v>0</v>
      </c>
      <c r="AR135" s="94">
        <f>AR134</f>
        <v>0.05</v>
      </c>
      <c r="AS135" s="90" t="str">
        <f t="shared" si="85"/>
        <v/>
      </c>
      <c r="AV135" s="94">
        <f>AV134</f>
        <v>16</v>
      </c>
      <c r="AW135" s="94">
        <f>AW134</f>
        <v>0.32500000000000001</v>
      </c>
      <c r="AX135" s="90" t="str">
        <f t="shared" si="86"/>
        <v/>
      </c>
      <c r="BA135" s="94">
        <f>BA134</f>
        <v>12</v>
      </c>
      <c r="BB135" s="94">
        <f>BB134</f>
        <v>0.29499999999999998</v>
      </c>
      <c r="BC135" s="90" t="str">
        <f t="shared" si="87"/>
        <v/>
      </c>
      <c r="BF135" s="94">
        <f>BF134</f>
        <v>20</v>
      </c>
      <c r="BG135" s="94">
        <f>BG134</f>
        <v>0.27500000000000002</v>
      </c>
      <c r="BH135" s="90" t="str">
        <f t="shared" si="88"/>
        <v/>
      </c>
      <c r="BK135" s="94">
        <f>BK134</f>
        <v>39</v>
      </c>
      <c r="BL135" s="94">
        <f>BL134</f>
        <v>0.245</v>
      </c>
      <c r="BM135" s="90" t="str">
        <f t="shared" si="89"/>
        <v/>
      </c>
      <c r="BP135" s="94">
        <f>BP134</f>
        <v>27</v>
      </c>
      <c r="BQ135" s="94">
        <f>BQ134</f>
        <v>0.22500000000000001</v>
      </c>
      <c r="BR135" s="90" t="str">
        <f t="shared" si="90"/>
        <v/>
      </c>
      <c r="BU135" s="94">
        <f>BU134</f>
        <v>0</v>
      </c>
      <c r="BV135" s="94">
        <f>BV134</f>
        <v>0.17499999999999999</v>
      </c>
      <c r="BW135" s="90" t="str">
        <f t="shared" si="91"/>
        <v/>
      </c>
      <c r="BZ135" s="94">
        <f>BZ134</f>
        <v>84</v>
      </c>
      <c r="CA135" s="94">
        <f>CA134</f>
        <v>0.15</v>
      </c>
      <c r="CB135" s="90" t="str">
        <f t="shared" si="92"/>
        <v/>
      </c>
      <c r="CE135" s="95"/>
      <c r="CF135" s="96"/>
      <c r="CG135" s="97" t="s">
        <v>2</v>
      </c>
      <c r="CH135" s="135">
        <f>IFERROR((CH134-$K112*CH133)/CH134,"Non Trouvé")</f>
        <v>0.20237378911692694</v>
      </c>
      <c r="CI135" s="98"/>
      <c r="CK135" s="99">
        <f>IFERROR(IF(F135='[1]Paramètres Généraux'!$K$12,ROUNDUP((REGENERANTS!H135*REGENERANTS!$CF$112)*'[1]Paramètres Généraux'!$M$12,-1),IF(F135='[1]Paramètres Généraux'!$K$15,ROUNDUP((REGENERANTS!H135*REGENERANTS!$CF$112)*'[1]Paramètres Généraux'!$M$15,-1),REGENERANTS!H135*REGENERANTS!$CF$112)),"nd")</f>
        <v>0</v>
      </c>
      <c r="CN135" s="146"/>
      <c r="CO135" s="147"/>
      <c r="CP135" s="147"/>
      <c r="CQ135" s="147"/>
      <c r="CR135" s="147"/>
      <c r="CS135" s="173"/>
      <c r="CT135" s="174"/>
      <c r="CU135" s="147"/>
      <c r="CV135" s="173"/>
      <c r="CW135" s="150"/>
      <c r="CX135" s="149"/>
      <c r="CY135" s="150"/>
      <c r="CZ135" s="136"/>
      <c r="DA135" s="149"/>
      <c r="DB135" s="150"/>
      <c r="DC135" s="136"/>
      <c r="DD135" s="149"/>
      <c r="DE135" s="150"/>
      <c r="DF135" s="136"/>
      <c r="DG135" s="136"/>
      <c r="DH135" s="136"/>
      <c r="DI135" s="136"/>
      <c r="DJ135" s="136"/>
      <c r="DK135" s="136"/>
      <c r="DL135" s="136"/>
      <c r="DM135" s="136"/>
      <c r="DN135" s="136"/>
      <c r="DO135" s="149"/>
      <c r="DP135" s="150"/>
      <c r="DQ135" s="20">
        <f t="shared" si="76"/>
        <v>0</v>
      </c>
      <c r="DR135" s="20">
        <f t="shared" si="77"/>
        <v>0</v>
      </c>
      <c r="DS135" s="20">
        <f>IFERROR((IF(AND($F135="Produit Vente",CO135&gt;0),VLOOKUP($C135,'[1]Paramètres Articles'!$B:$H,7,FALSE)*$CO135)*(1-20%)),0)</f>
        <v>0</v>
      </c>
      <c r="DT135" s="20">
        <f>IFERROR((IF(AND($F135="Produit Vente",DR135&gt;0),VLOOKUP($C135,'[1]Paramètres Articles'!$B:$H,6,FALSE)*$DR135)*(1-15%)),0)</f>
        <v>0</v>
      </c>
      <c r="DU135" s="20">
        <f t="shared" si="78"/>
        <v>0</v>
      </c>
    </row>
    <row r="136" spans="2:125" ht="12.95" customHeight="1" outlineLevel="1">
      <c r="B136" s="1">
        <f>IF(C136="",0,COUNTIFS($B$22:B135,"&gt;"&amp;0)+1)</f>
        <v>0</v>
      </c>
      <c r="C136" s="85"/>
      <c r="D136" s="86" t="str">
        <f>IFERROR(IF($C136="","",VLOOKUP($C136,'[1]Paramètres Articles'!$B:$G,2,FALSE)),"Non Trouvé")</f>
        <v/>
      </c>
      <c r="E136" s="87" t="str">
        <f>IFERROR(IF($C136="","",_xlfn.XLOOKUP(REGENERANTS!$C136,'[1]New Base PA'!$F:$F,'[1]New Base PA'!$D:$D,"Not Found",0)),"Non Trouvé")</f>
        <v/>
      </c>
      <c r="F136" s="88"/>
      <c r="H136" s="101"/>
      <c r="J136" s="90" t="str">
        <f>IFERROR(IF($C136="","",VLOOKUP($C136,'[1]New Base PA'!$F:$J,5,FALSE)),"Non Trouvé")</f>
        <v/>
      </c>
      <c r="K136" s="131" t="str">
        <f t="shared" si="73"/>
        <v/>
      </c>
      <c r="L136" s="132"/>
      <c r="M136" s="90">
        <f>IFERROR(IF(AND($F136="Produit Vente",H136&gt;0),VLOOKUP($C136,'[1]Paramètres Articles'!$B:$G,6,FALSE),0),"Non Trouvé")</f>
        <v>0</v>
      </c>
      <c r="N136" s="90" t="str">
        <f t="shared" si="74"/>
        <v/>
      </c>
      <c r="P136" s="92"/>
      <c r="R136" s="90" t="str">
        <f t="shared" si="75"/>
        <v/>
      </c>
      <c r="S136" s="91"/>
      <c r="T136" s="90" t="str">
        <f>IFERROR(IF($C136="","",VLOOKUP($C136,'[1]Paramètres Articles'!$B:$H,7,FALSE)),"Non Trouvé")</f>
        <v/>
      </c>
      <c r="U136" s="93"/>
      <c r="V136" s="90" t="str">
        <f t="shared" si="79"/>
        <v/>
      </c>
      <c r="W136" s="91"/>
      <c r="X136" s="90" t="str">
        <f t="shared" si="81"/>
        <v/>
      </c>
      <c r="Y136" s="91"/>
      <c r="Z136" s="90">
        <f t="shared" si="80"/>
        <v>0</v>
      </c>
      <c r="AB136" s="94">
        <f>AB134</f>
        <v>90</v>
      </c>
      <c r="AC136" s="94">
        <f>AC134</f>
        <v>0.17</v>
      </c>
      <c r="AD136" s="90" t="str">
        <f t="shared" si="82"/>
        <v/>
      </c>
      <c r="AG136" s="94">
        <f>AG134</f>
        <v>82</v>
      </c>
      <c r="AH136" s="94">
        <f>AH134</f>
        <v>0.13</v>
      </c>
      <c r="AI136" s="90" t="str">
        <f t="shared" si="83"/>
        <v/>
      </c>
      <c r="AL136" s="94">
        <f>AL134</f>
        <v>20</v>
      </c>
      <c r="AM136" s="94">
        <f>AM134</f>
        <v>0.08</v>
      </c>
      <c r="AN136" s="90" t="str">
        <f t="shared" si="84"/>
        <v/>
      </c>
      <c r="AQ136" s="94">
        <f>AQ134</f>
        <v>0</v>
      </c>
      <c r="AR136" s="94">
        <f>AR134</f>
        <v>0.05</v>
      </c>
      <c r="AS136" s="90" t="str">
        <f t="shared" si="85"/>
        <v/>
      </c>
      <c r="AV136" s="94">
        <f>AV134</f>
        <v>16</v>
      </c>
      <c r="AW136" s="94">
        <f>AW134</f>
        <v>0.32500000000000001</v>
      </c>
      <c r="AX136" s="90" t="str">
        <f t="shared" si="86"/>
        <v/>
      </c>
      <c r="BA136" s="94">
        <f>BA134</f>
        <v>12</v>
      </c>
      <c r="BB136" s="94">
        <f>BB134</f>
        <v>0.29499999999999998</v>
      </c>
      <c r="BC136" s="90" t="str">
        <f t="shared" si="87"/>
        <v/>
      </c>
      <c r="BF136" s="94">
        <f>BF134</f>
        <v>20</v>
      </c>
      <c r="BG136" s="94">
        <f>BG134</f>
        <v>0.27500000000000002</v>
      </c>
      <c r="BH136" s="90" t="str">
        <f t="shared" si="88"/>
        <v/>
      </c>
      <c r="BK136" s="94">
        <f>BK134</f>
        <v>39</v>
      </c>
      <c r="BL136" s="94">
        <f>BL134</f>
        <v>0.245</v>
      </c>
      <c r="BM136" s="90" t="str">
        <f t="shared" si="89"/>
        <v/>
      </c>
      <c r="BP136" s="94">
        <f>BP134</f>
        <v>27</v>
      </c>
      <c r="BQ136" s="94">
        <f>BQ134</f>
        <v>0.22500000000000001</v>
      </c>
      <c r="BR136" s="90" t="str">
        <f t="shared" si="90"/>
        <v/>
      </c>
      <c r="BU136" s="94">
        <f>BU134</f>
        <v>0</v>
      </c>
      <c r="BV136" s="94">
        <f>BV134</f>
        <v>0.17499999999999999</v>
      </c>
      <c r="BW136" s="90" t="str">
        <f t="shared" si="91"/>
        <v/>
      </c>
      <c r="BZ136" s="94">
        <f>BZ134</f>
        <v>84</v>
      </c>
      <c r="CA136" s="94">
        <f>CA134</f>
        <v>0.15</v>
      </c>
      <c r="CB136" s="90" t="str">
        <f t="shared" si="92"/>
        <v/>
      </c>
      <c r="CE136" s="95"/>
      <c r="CF136" s="96"/>
      <c r="CG136" s="97" t="s">
        <v>103</v>
      </c>
      <c r="CH136" s="134">
        <f>IFERROR(CH134*CH135,0)</f>
        <v>8369.4745552064705</v>
      </c>
      <c r="CI136" s="98"/>
      <c r="CK136" s="99">
        <f>IFERROR(IF(F136='[1]Paramètres Généraux'!$K$12,ROUNDUP((REGENERANTS!H136*REGENERANTS!$CF$112)*'[1]Paramètres Généraux'!$M$12,-1),IF(F136='[1]Paramètres Généraux'!$K$15,ROUNDUP((REGENERANTS!H136*REGENERANTS!$CF$112)*'[1]Paramètres Généraux'!$M$15,-1),REGENERANTS!H136*REGENERANTS!$CF$112)),"nd")</f>
        <v>0</v>
      </c>
      <c r="CN136" s="146"/>
      <c r="CO136" s="147"/>
      <c r="CP136" s="147"/>
      <c r="CQ136" s="147"/>
      <c r="CR136" s="147"/>
      <c r="CS136" s="173"/>
      <c r="CT136" s="174"/>
      <c r="CU136" s="147"/>
      <c r="CV136" s="173"/>
      <c r="CW136" s="150"/>
      <c r="CX136" s="149"/>
      <c r="CY136" s="150"/>
      <c r="CZ136" s="136"/>
      <c r="DA136" s="149"/>
      <c r="DB136" s="150"/>
      <c r="DC136" s="136"/>
      <c r="DD136" s="149"/>
      <c r="DE136" s="150"/>
      <c r="DF136" s="136"/>
      <c r="DG136" s="136"/>
      <c r="DH136" s="136"/>
      <c r="DI136" s="136"/>
      <c r="DJ136" s="136"/>
      <c r="DK136" s="136"/>
      <c r="DL136" s="136"/>
      <c r="DM136" s="136"/>
      <c r="DN136" s="136"/>
      <c r="DO136" s="149"/>
      <c r="DP136" s="150"/>
      <c r="DQ136" s="20">
        <f t="shared" si="76"/>
        <v>0</v>
      </c>
      <c r="DR136" s="20">
        <f t="shared" si="77"/>
        <v>0</v>
      </c>
      <c r="DS136" s="20">
        <f>IFERROR((IF(AND($F136="Produit Vente",CO136&gt;0),VLOOKUP($C136,'[1]Paramètres Articles'!$B:$H,7,FALSE)*$CO136)*(1-20%)),0)</f>
        <v>0</v>
      </c>
      <c r="DT136" s="20">
        <f>IFERROR((IF(AND($F136="Produit Vente",DR136&gt;0),VLOOKUP($C136,'[1]Paramètres Articles'!$B:$H,6,FALSE)*$DR136)*(1-15%)),0)</f>
        <v>0</v>
      </c>
      <c r="DU136" s="20">
        <f t="shared" si="78"/>
        <v>0</v>
      </c>
    </row>
    <row r="137" spans="2:125" ht="12.95" customHeight="1" outlineLevel="1">
      <c r="B137" s="1">
        <f>IF(C137="",0,COUNTIFS($B$22:B136,"&gt;"&amp;0)+1)</f>
        <v>0</v>
      </c>
      <c r="C137" s="85"/>
      <c r="D137" s="86" t="str">
        <f>IFERROR(IF($C137="","",VLOOKUP($C137,'[1]Paramètres Articles'!$B:$G,2,FALSE)),"Non Trouvé")</f>
        <v/>
      </c>
      <c r="E137" s="87" t="str">
        <f>IFERROR(IF($C137="","",_xlfn.XLOOKUP(REGENERANTS!$C137,'[1]New Base PA'!$F:$F,'[1]New Base PA'!$D:$D,"Not Found",0)),"Non Trouvé")</f>
        <v/>
      </c>
      <c r="F137" s="88"/>
      <c r="H137" s="101"/>
      <c r="J137" s="90" t="str">
        <f>IFERROR(IF($C137="","",VLOOKUP($C137,'[1]New Base PA'!$F:$J,5,FALSE)),"Non Trouvé")</f>
        <v/>
      </c>
      <c r="K137" s="131" t="str">
        <f t="shared" si="73"/>
        <v/>
      </c>
      <c r="L137" s="132"/>
      <c r="M137" s="90">
        <f>IFERROR(IF(AND($F137="Produit Vente",H137&gt;0),VLOOKUP($C137,'[1]Paramètres Articles'!$B:$G,6,FALSE),0),"Non Trouvé")</f>
        <v>0</v>
      </c>
      <c r="N137" s="90" t="str">
        <f t="shared" si="74"/>
        <v/>
      </c>
      <c r="P137" s="92"/>
      <c r="R137" s="90" t="str">
        <f t="shared" si="75"/>
        <v/>
      </c>
      <c r="S137" s="91"/>
      <c r="T137" s="90" t="str">
        <f>IFERROR(IF($C137="","",VLOOKUP($C137,'[1]Paramètres Articles'!$B:$H,7,FALSE)),"Non Trouvé")</f>
        <v/>
      </c>
      <c r="U137" s="93"/>
      <c r="V137" s="90" t="str">
        <f t="shared" si="79"/>
        <v/>
      </c>
      <c r="W137" s="91"/>
      <c r="X137" s="90" t="str">
        <f t="shared" si="81"/>
        <v/>
      </c>
      <c r="Y137" s="91"/>
      <c r="Z137" s="90">
        <f t="shared" si="80"/>
        <v>0</v>
      </c>
      <c r="AB137" s="94">
        <f>AB136</f>
        <v>90</v>
      </c>
      <c r="AC137" s="94">
        <f>AC136</f>
        <v>0.17</v>
      </c>
      <c r="AD137" s="90" t="str">
        <f t="shared" si="82"/>
        <v/>
      </c>
      <c r="AG137" s="94">
        <f>AG136</f>
        <v>82</v>
      </c>
      <c r="AH137" s="94">
        <f>AH136</f>
        <v>0.13</v>
      </c>
      <c r="AI137" s="90" t="str">
        <f t="shared" si="83"/>
        <v/>
      </c>
      <c r="AL137" s="94">
        <f>AL136</f>
        <v>20</v>
      </c>
      <c r="AM137" s="94">
        <f>AM136</f>
        <v>0.08</v>
      </c>
      <c r="AN137" s="90" t="str">
        <f t="shared" si="84"/>
        <v/>
      </c>
      <c r="AQ137" s="94">
        <f>AQ136</f>
        <v>0</v>
      </c>
      <c r="AR137" s="94">
        <f>AR136</f>
        <v>0.05</v>
      </c>
      <c r="AS137" s="90" t="str">
        <f t="shared" si="85"/>
        <v/>
      </c>
      <c r="AV137" s="94">
        <f>AV136</f>
        <v>16</v>
      </c>
      <c r="AW137" s="94">
        <f>AW136</f>
        <v>0.32500000000000001</v>
      </c>
      <c r="AX137" s="90" t="str">
        <f t="shared" si="86"/>
        <v/>
      </c>
      <c r="BA137" s="94">
        <f>BA136</f>
        <v>12</v>
      </c>
      <c r="BB137" s="94">
        <f>BB136</f>
        <v>0.29499999999999998</v>
      </c>
      <c r="BC137" s="90" t="str">
        <f t="shared" si="87"/>
        <v/>
      </c>
      <c r="BF137" s="94">
        <f>BF136</f>
        <v>20</v>
      </c>
      <c r="BG137" s="94">
        <f>BG136</f>
        <v>0.27500000000000002</v>
      </c>
      <c r="BH137" s="90" t="str">
        <f t="shared" si="88"/>
        <v/>
      </c>
      <c r="BK137" s="94">
        <f>BK136</f>
        <v>39</v>
      </c>
      <c r="BL137" s="94">
        <f>BL136</f>
        <v>0.245</v>
      </c>
      <c r="BM137" s="90" t="str">
        <f t="shared" si="89"/>
        <v/>
      </c>
      <c r="BP137" s="94">
        <f>BP136</f>
        <v>27</v>
      </c>
      <c r="BQ137" s="94">
        <f>BQ136</f>
        <v>0.22500000000000001</v>
      </c>
      <c r="BR137" s="90" t="str">
        <f t="shared" si="90"/>
        <v/>
      </c>
      <c r="BU137" s="94">
        <f>BU136</f>
        <v>0</v>
      </c>
      <c r="BV137" s="94">
        <f>BV136</f>
        <v>0.17499999999999999</v>
      </c>
      <c r="BW137" s="90" t="str">
        <f t="shared" si="91"/>
        <v/>
      </c>
      <c r="BZ137" s="94">
        <f>BZ136</f>
        <v>84</v>
      </c>
      <c r="CA137" s="94">
        <f>CA136</f>
        <v>0.15</v>
      </c>
      <c r="CB137" s="90" t="str">
        <f t="shared" si="92"/>
        <v/>
      </c>
      <c r="CE137" s="95"/>
      <c r="CF137" s="96"/>
      <c r="CG137" s="97"/>
      <c r="CH137" s="97"/>
      <c r="CI137" s="98"/>
      <c r="CK137" s="99">
        <f>IFERROR(IF(F137='[1]Paramètres Généraux'!$K$12,ROUNDUP((REGENERANTS!H137*REGENERANTS!$CF$112)*'[1]Paramètres Généraux'!$M$12,-1),IF(F137='[1]Paramètres Généraux'!$K$15,ROUNDUP((REGENERANTS!H137*REGENERANTS!$CF$112)*'[1]Paramètres Généraux'!$M$15,-1),REGENERANTS!H137*REGENERANTS!$CF$112)),"nd")</f>
        <v>0</v>
      </c>
      <c r="CN137" s="146"/>
      <c r="CO137" s="147"/>
      <c r="CP137" s="147"/>
      <c r="CQ137" s="147"/>
      <c r="CR137" s="147"/>
      <c r="CS137" s="173"/>
      <c r="CT137" s="174"/>
      <c r="CU137" s="147"/>
      <c r="CV137" s="173"/>
      <c r="CW137" s="150"/>
      <c r="CX137" s="149"/>
      <c r="CY137" s="150"/>
      <c r="CZ137" s="136"/>
      <c r="DA137" s="149"/>
      <c r="DB137" s="150"/>
      <c r="DC137" s="136"/>
      <c r="DD137" s="149"/>
      <c r="DE137" s="150"/>
      <c r="DF137" s="136"/>
      <c r="DG137" s="136"/>
      <c r="DH137" s="136"/>
      <c r="DI137" s="136"/>
      <c r="DJ137" s="136"/>
      <c r="DK137" s="136"/>
      <c r="DL137" s="136"/>
      <c r="DM137" s="136"/>
      <c r="DN137" s="136"/>
      <c r="DO137" s="149"/>
      <c r="DP137" s="150"/>
      <c r="DQ137" s="20">
        <f t="shared" si="76"/>
        <v>0</v>
      </c>
      <c r="DR137" s="20">
        <f t="shared" si="77"/>
        <v>0</v>
      </c>
      <c r="DS137" s="20">
        <f>IFERROR((IF(AND($F137="Produit Vente",CO137&gt;0),VLOOKUP($C137,'[1]Paramètres Articles'!$B:$H,7,FALSE)*$CO137)*(1-20%)),0)</f>
        <v>0</v>
      </c>
      <c r="DT137" s="20">
        <f>IFERROR((IF(AND($F137="Produit Vente",DR137&gt;0),VLOOKUP($C137,'[1]Paramètres Articles'!$B:$H,6,FALSE)*$DR137)*(1-15%)),0)</f>
        <v>0</v>
      </c>
      <c r="DU137" s="20">
        <f t="shared" si="78"/>
        <v>0</v>
      </c>
    </row>
    <row r="138" spans="2:125" ht="12.95" customHeight="1" outlineLevel="1">
      <c r="B138" s="1">
        <f>IF(C138="",0,COUNTIFS($B$22:B137,"&gt;"&amp;0)+1)</f>
        <v>0</v>
      </c>
      <c r="C138" s="85"/>
      <c r="D138" s="86" t="str">
        <f>IFERROR(IF($C138="","",VLOOKUP($C138,'[1]Paramètres Articles'!$B:$G,2,FALSE)),"Non Trouvé")</f>
        <v/>
      </c>
      <c r="E138" s="87" t="str">
        <f>IFERROR(IF($C138="","",_xlfn.XLOOKUP(REGENERANTS!$C138,'[1]New Base PA'!$F:$F,'[1]New Base PA'!$D:$D,"Not Found",0)),"Non Trouvé")</f>
        <v/>
      </c>
      <c r="F138" s="88"/>
      <c r="H138" s="101"/>
      <c r="J138" s="90" t="str">
        <f>IFERROR(IF($C138="","",VLOOKUP($C138,'[1]New Base PA'!$F:$J,5,FALSE)),"Non Trouvé")</f>
        <v/>
      </c>
      <c r="K138" s="131" t="str">
        <f t="shared" si="73"/>
        <v/>
      </c>
      <c r="L138" s="132"/>
      <c r="M138" s="90">
        <f>IFERROR(IF(AND($F138="Produit Vente",H138&gt;0),VLOOKUP($C138,'[1]Paramètres Articles'!$B:$G,6,FALSE),0),"Non Trouvé")</f>
        <v>0</v>
      </c>
      <c r="N138" s="90" t="str">
        <f t="shared" si="74"/>
        <v/>
      </c>
      <c r="P138" s="92"/>
      <c r="R138" s="90" t="str">
        <f t="shared" si="75"/>
        <v/>
      </c>
      <c r="S138" s="91"/>
      <c r="T138" s="90" t="str">
        <f>IFERROR(IF($C138="","",VLOOKUP($C138,'[1]Paramètres Articles'!$B:$H,7,FALSE)),"Non Trouvé")</f>
        <v/>
      </c>
      <c r="U138" s="93"/>
      <c r="V138" s="90" t="str">
        <f t="shared" si="79"/>
        <v/>
      </c>
      <c r="W138" s="91"/>
      <c r="X138" s="90" t="str">
        <f t="shared" si="81"/>
        <v/>
      </c>
      <c r="Y138" s="91"/>
      <c r="Z138" s="90">
        <f t="shared" si="80"/>
        <v>0</v>
      </c>
      <c r="AB138" s="94">
        <f>AB136</f>
        <v>90</v>
      </c>
      <c r="AC138" s="94">
        <f>AC136</f>
        <v>0.17</v>
      </c>
      <c r="AD138" s="90" t="str">
        <f t="shared" si="82"/>
        <v/>
      </c>
      <c r="AG138" s="94">
        <f>AG136</f>
        <v>82</v>
      </c>
      <c r="AH138" s="94">
        <f>AH136</f>
        <v>0.13</v>
      </c>
      <c r="AI138" s="90" t="str">
        <f t="shared" si="83"/>
        <v/>
      </c>
      <c r="AL138" s="94">
        <f>AL136</f>
        <v>20</v>
      </c>
      <c r="AM138" s="94">
        <f>AM136</f>
        <v>0.08</v>
      </c>
      <c r="AN138" s="90" t="str">
        <f t="shared" si="84"/>
        <v/>
      </c>
      <c r="AQ138" s="94">
        <f>AQ136</f>
        <v>0</v>
      </c>
      <c r="AR138" s="94">
        <f>AR136</f>
        <v>0.05</v>
      </c>
      <c r="AS138" s="90" t="str">
        <f t="shared" si="85"/>
        <v/>
      </c>
      <c r="AV138" s="94">
        <f>AV136</f>
        <v>16</v>
      </c>
      <c r="AW138" s="94">
        <f>AW136</f>
        <v>0.32500000000000001</v>
      </c>
      <c r="AX138" s="90" t="str">
        <f t="shared" si="86"/>
        <v/>
      </c>
      <c r="BA138" s="94">
        <f>BA136</f>
        <v>12</v>
      </c>
      <c r="BB138" s="94">
        <f>BB136</f>
        <v>0.29499999999999998</v>
      </c>
      <c r="BC138" s="90" t="str">
        <f t="shared" si="87"/>
        <v/>
      </c>
      <c r="BF138" s="94">
        <f>BF136</f>
        <v>20</v>
      </c>
      <c r="BG138" s="94">
        <f>BG136</f>
        <v>0.27500000000000002</v>
      </c>
      <c r="BH138" s="90" t="str">
        <f t="shared" si="88"/>
        <v/>
      </c>
      <c r="BK138" s="94">
        <f>BK136</f>
        <v>39</v>
      </c>
      <c r="BL138" s="94">
        <f>BL136</f>
        <v>0.245</v>
      </c>
      <c r="BM138" s="90" t="str">
        <f t="shared" si="89"/>
        <v/>
      </c>
      <c r="BP138" s="94">
        <f>BP136</f>
        <v>27</v>
      </c>
      <c r="BQ138" s="94">
        <f>BQ136</f>
        <v>0.22500000000000001</v>
      </c>
      <c r="BR138" s="90" t="str">
        <f t="shared" si="90"/>
        <v/>
      </c>
      <c r="BU138" s="94">
        <f>BU136</f>
        <v>0</v>
      </c>
      <c r="BV138" s="94">
        <f>BV136</f>
        <v>0.17499999999999999</v>
      </c>
      <c r="BW138" s="90" t="str">
        <f t="shared" si="91"/>
        <v/>
      </c>
      <c r="BZ138" s="94">
        <f>BZ136</f>
        <v>84</v>
      </c>
      <c r="CA138" s="94">
        <f>CA136</f>
        <v>0.15</v>
      </c>
      <c r="CB138" s="90" t="str">
        <f t="shared" si="92"/>
        <v/>
      </c>
      <c r="CE138" s="95"/>
      <c r="CF138" s="96"/>
      <c r="CG138" s="97"/>
      <c r="CH138" s="97"/>
      <c r="CI138" s="98"/>
      <c r="CK138" s="99">
        <f>IFERROR(IF(F138='[1]Paramètres Généraux'!$K$12,ROUNDUP((REGENERANTS!H138*REGENERANTS!$CF$112)*'[1]Paramètres Généraux'!$M$12,-1),IF(F138='[1]Paramètres Généraux'!$K$15,ROUNDUP((REGENERANTS!H138*REGENERANTS!$CF$112)*'[1]Paramètres Généraux'!$M$15,-1),REGENERANTS!H138*REGENERANTS!$CF$112)),"nd")</f>
        <v>0</v>
      </c>
      <c r="CN138" s="146"/>
      <c r="CO138" s="147"/>
      <c r="CP138" s="147"/>
      <c r="CQ138" s="147"/>
      <c r="CR138" s="147"/>
      <c r="CS138" s="173"/>
      <c r="CT138" s="174"/>
      <c r="CU138" s="147"/>
      <c r="CV138" s="173"/>
      <c r="CW138" s="150"/>
      <c r="CX138" s="149"/>
      <c r="CY138" s="150"/>
      <c r="CZ138" s="136"/>
      <c r="DA138" s="149"/>
      <c r="DB138" s="150"/>
      <c r="DC138" s="136"/>
      <c r="DD138" s="149"/>
      <c r="DE138" s="150"/>
      <c r="DF138" s="136"/>
      <c r="DG138" s="136"/>
      <c r="DH138" s="136"/>
      <c r="DI138" s="136"/>
      <c r="DJ138" s="136"/>
      <c r="DK138" s="136"/>
      <c r="DL138" s="136"/>
      <c r="DM138" s="136"/>
      <c r="DN138" s="136"/>
      <c r="DO138" s="149"/>
      <c r="DP138" s="150"/>
      <c r="DQ138" s="20">
        <f t="shared" si="76"/>
        <v>0</v>
      </c>
      <c r="DR138" s="20">
        <f t="shared" si="77"/>
        <v>0</v>
      </c>
      <c r="DS138" s="20">
        <f>IFERROR((IF(AND($F138="Produit Vente",CO138&gt;0),VLOOKUP($C138,'[1]Paramètres Articles'!$B:$H,7,FALSE)*$CO138)*(1-20%)),0)</f>
        <v>0</v>
      </c>
      <c r="DT138" s="20">
        <f>IFERROR((IF(AND($F138="Produit Vente",DR138&gt;0),VLOOKUP($C138,'[1]Paramètres Articles'!$B:$H,6,FALSE)*$DR138)*(1-15%)),0)</f>
        <v>0</v>
      </c>
      <c r="DU138" s="20">
        <f t="shared" si="78"/>
        <v>0</v>
      </c>
    </row>
    <row r="139" spans="2:125" ht="12.95" customHeight="1" outlineLevel="1">
      <c r="B139" s="1">
        <f>IF(C139="",0,COUNTIFS($B$22:B138,"&gt;"&amp;0)+1)</f>
        <v>0</v>
      </c>
      <c r="C139" s="85"/>
      <c r="D139" s="86" t="str">
        <f>IFERROR(IF($C139="","",VLOOKUP($C139,'[1]Paramètres Articles'!$B:$G,2,FALSE)),"Non Trouvé")</f>
        <v/>
      </c>
      <c r="E139" s="87" t="str">
        <f>IFERROR(IF($C139="","",_xlfn.XLOOKUP(REGENERANTS!$C139,'[1]New Base PA'!$F:$F,'[1]New Base PA'!$D:$D,"Not Found",0)),"Non Trouvé")</f>
        <v/>
      </c>
      <c r="F139" s="88"/>
      <c r="H139" s="101"/>
      <c r="J139" s="90" t="str">
        <f>IFERROR(IF($C139="","",VLOOKUP($C139,'[1]New Base PA'!$F:$J,5,FALSE)),"Non Trouvé")</f>
        <v/>
      </c>
      <c r="K139" s="131" t="str">
        <f t="shared" si="73"/>
        <v/>
      </c>
      <c r="L139" s="132"/>
      <c r="M139" s="90">
        <f>IFERROR(IF(AND($F139="Produit Vente",H139&gt;0),VLOOKUP($C139,'[1]Paramètres Articles'!$B:$G,6,FALSE),0),"Non Trouvé")</f>
        <v>0</v>
      </c>
      <c r="N139" s="90" t="str">
        <f t="shared" si="74"/>
        <v/>
      </c>
      <c r="P139" s="92"/>
      <c r="R139" s="90" t="str">
        <f t="shared" si="75"/>
        <v/>
      </c>
      <c r="S139" s="91"/>
      <c r="T139" s="90" t="str">
        <f>IFERROR(IF($C139="","",VLOOKUP($C139,'[1]Paramètres Articles'!$B:$H,7,FALSE)),"Non Trouvé")</f>
        <v/>
      </c>
      <c r="U139" s="93"/>
      <c r="V139" s="90" t="str">
        <f t="shared" si="79"/>
        <v/>
      </c>
      <c r="W139" s="91"/>
      <c r="X139" s="90" t="str">
        <f t="shared" si="81"/>
        <v/>
      </c>
      <c r="Y139" s="91"/>
      <c r="Z139" s="90">
        <f t="shared" si="80"/>
        <v>0</v>
      </c>
      <c r="AB139" s="94">
        <f>AB138</f>
        <v>90</v>
      </c>
      <c r="AC139" s="94">
        <f>AC138</f>
        <v>0.17</v>
      </c>
      <c r="AD139" s="90" t="str">
        <f t="shared" si="82"/>
        <v/>
      </c>
      <c r="AG139" s="94">
        <f>AG138</f>
        <v>82</v>
      </c>
      <c r="AH139" s="94">
        <f>AH138</f>
        <v>0.13</v>
      </c>
      <c r="AI139" s="90" t="str">
        <f t="shared" si="83"/>
        <v/>
      </c>
      <c r="AL139" s="94">
        <f>AL138</f>
        <v>20</v>
      </c>
      <c r="AM139" s="94">
        <f>AM138</f>
        <v>0.08</v>
      </c>
      <c r="AN139" s="90" t="str">
        <f t="shared" si="84"/>
        <v/>
      </c>
      <c r="AQ139" s="94">
        <f>AQ138</f>
        <v>0</v>
      </c>
      <c r="AR139" s="94">
        <f>AR138</f>
        <v>0.05</v>
      </c>
      <c r="AS139" s="90" t="str">
        <f t="shared" si="85"/>
        <v/>
      </c>
      <c r="AV139" s="94">
        <f>AV138</f>
        <v>16</v>
      </c>
      <c r="AW139" s="94">
        <f>AW138</f>
        <v>0.32500000000000001</v>
      </c>
      <c r="AX139" s="90" t="str">
        <f t="shared" si="86"/>
        <v/>
      </c>
      <c r="BA139" s="94">
        <f>BA138</f>
        <v>12</v>
      </c>
      <c r="BB139" s="94">
        <f>BB138</f>
        <v>0.29499999999999998</v>
      </c>
      <c r="BC139" s="90" t="str">
        <f t="shared" si="87"/>
        <v/>
      </c>
      <c r="BF139" s="94">
        <f>BF138</f>
        <v>20</v>
      </c>
      <c r="BG139" s="94">
        <f>BG138</f>
        <v>0.27500000000000002</v>
      </c>
      <c r="BH139" s="90" t="str">
        <f t="shared" si="88"/>
        <v/>
      </c>
      <c r="BK139" s="94">
        <f>BK138</f>
        <v>39</v>
      </c>
      <c r="BL139" s="94">
        <f>BL138</f>
        <v>0.245</v>
      </c>
      <c r="BM139" s="90" t="str">
        <f t="shared" si="89"/>
        <v/>
      </c>
      <c r="BP139" s="94">
        <f>BP138</f>
        <v>27</v>
      </c>
      <c r="BQ139" s="94">
        <f>BQ138</f>
        <v>0.22500000000000001</v>
      </c>
      <c r="BR139" s="90" t="str">
        <f t="shared" si="90"/>
        <v/>
      </c>
      <c r="BU139" s="94">
        <f>BU138</f>
        <v>0</v>
      </c>
      <c r="BV139" s="94">
        <f>BV138</f>
        <v>0.17499999999999999</v>
      </c>
      <c r="BW139" s="90" t="str">
        <f t="shared" si="91"/>
        <v/>
      </c>
      <c r="BZ139" s="94">
        <f>BZ138</f>
        <v>84</v>
      </c>
      <c r="CA139" s="94">
        <f>CA138</f>
        <v>0.15</v>
      </c>
      <c r="CB139" s="90" t="str">
        <f t="shared" si="92"/>
        <v/>
      </c>
      <c r="CE139" s="95"/>
      <c r="CF139" s="96"/>
      <c r="CG139" s="97"/>
      <c r="CH139" s="97"/>
      <c r="CI139" s="98"/>
      <c r="CK139" s="99">
        <f>IFERROR(IF(F139='[1]Paramètres Généraux'!$K$12,ROUNDUP((REGENERANTS!H139*REGENERANTS!$CF$112)*'[1]Paramètres Généraux'!$M$12,-1),IF(F139='[1]Paramètres Généraux'!$K$15,ROUNDUP((REGENERANTS!H139*REGENERANTS!$CF$112)*'[1]Paramètres Généraux'!$M$15,-1),REGENERANTS!H139*REGENERANTS!$CF$112)),"nd")</f>
        <v>0</v>
      </c>
      <c r="CN139" s="146"/>
      <c r="CO139" s="147"/>
      <c r="CP139" s="147"/>
      <c r="CQ139" s="147"/>
      <c r="CR139" s="147"/>
      <c r="CS139" s="173"/>
      <c r="CT139" s="174"/>
      <c r="CU139" s="147"/>
      <c r="CV139" s="173"/>
      <c r="CW139" s="150"/>
      <c r="CX139" s="149"/>
      <c r="CY139" s="150"/>
      <c r="CZ139" s="136"/>
      <c r="DA139" s="149"/>
      <c r="DB139" s="150"/>
      <c r="DC139" s="136"/>
      <c r="DD139" s="149"/>
      <c r="DE139" s="150"/>
      <c r="DF139" s="136"/>
      <c r="DG139" s="136"/>
      <c r="DH139" s="136"/>
      <c r="DI139" s="136"/>
      <c r="DJ139" s="136"/>
      <c r="DK139" s="136"/>
      <c r="DL139" s="136"/>
      <c r="DM139" s="136"/>
      <c r="DN139" s="136"/>
      <c r="DO139" s="149"/>
      <c r="DP139" s="150"/>
      <c r="DQ139" s="20">
        <f t="shared" si="76"/>
        <v>0</v>
      </c>
      <c r="DR139" s="20">
        <f t="shared" si="77"/>
        <v>0</v>
      </c>
      <c r="DS139" s="20">
        <f>IFERROR((IF(AND($F139="Produit Vente",CO139&gt;0),VLOOKUP($C139,'[1]Paramètres Articles'!$B:$H,7,FALSE)*$CO139)*(1-20%)),0)</f>
        <v>0</v>
      </c>
      <c r="DT139" s="20">
        <f>IFERROR((IF(AND($F139="Produit Vente",DR139&gt;0),VLOOKUP($C139,'[1]Paramètres Articles'!$B:$H,6,FALSE)*$DR139)*(1-15%)),0)</f>
        <v>0</v>
      </c>
      <c r="DU139" s="20">
        <f t="shared" si="78"/>
        <v>0</v>
      </c>
    </row>
    <row r="140" spans="2:125" ht="12.95" customHeight="1" outlineLevel="1">
      <c r="B140" s="1">
        <f>IF(C140="",0,COUNTIFS($B$22:B139,"&gt;"&amp;0)+1)</f>
        <v>0</v>
      </c>
      <c r="C140" s="85"/>
      <c r="D140" s="86" t="str">
        <f>IFERROR(IF($C140="","",VLOOKUP($C140,'[1]Paramètres Articles'!$B:$G,2,FALSE)),"Non Trouvé")</f>
        <v/>
      </c>
      <c r="E140" s="87" t="str">
        <f>IFERROR(IF($C140="","",_xlfn.XLOOKUP(REGENERANTS!$C140,'[1]New Base PA'!$F:$F,'[1]New Base PA'!$D:$D,"Not Found",0)),"Non Trouvé")</f>
        <v/>
      </c>
      <c r="F140" s="88"/>
      <c r="H140" s="101"/>
      <c r="J140" s="90" t="str">
        <f>IFERROR(IF($C140="","",VLOOKUP($C140,'[1]New Base PA'!$F:$J,5,FALSE)),"Non Trouvé")</f>
        <v/>
      </c>
      <c r="K140" s="131" t="str">
        <f t="shared" si="73"/>
        <v/>
      </c>
      <c r="L140" s="132"/>
      <c r="M140" s="90">
        <f>IFERROR(IF(AND($F140="Produit Vente",H140&gt;0),VLOOKUP($C140,'[1]Paramètres Articles'!$B:$G,6,FALSE),0),"Non Trouvé")</f>
        <v>0</v>
      </c>
      <c r="N140" s="90" t="str">
        <f t="shared" si="74"/>
        <v/>
      </c>
      <c r="P140" s="92"/>
      <c r="R140" s="90" t="str">
        <f t="shared" si="75"/>
        <v/>
      </c>
      <c r="S140" s="91"/>
      <c r="T140" s="90" t="str">
        <f>IFERROR(IF($C140="","",VLOOKUP($C140,'[1]Paramètres Articles'!$B:$H,7,FALSE)),"Non Trouvé")</f>
        <v/>
      </c>
      <c r="U140" s="93"/>
      <c r="V140" s="90" t="str">
        <f t="shared" si="79"/>
        <v/>
      </c>
      <c r="W140" s="91"/>
      <c r="X140" s="90" t="str">
        <f t="shared" si="81"/>
        <v/>
      </c>
      <c r="Y140" s="91"/>
      <c r="Z140" s="90">
        <f t="shared" si="80"/>
        <v>0</v>
      </c>
      <c r="AB140" s="94">
        <f t="shared" ref="AB140:AC153" si="93">AB138</f>
        <v>90</v>
      </c>
      <c r="AC140" s="94">
        <f t="shared" si="93"/>
        <v>0.17</v>
      </c>
      <c r="AD140" s="90" t="str">
        <f t="shared" si="82"/>
        <v/>
      </c>
      <c r="AG140" s="94">
        <f t="shared" ref="AG140:AH153" si="94">AG138</f>
        <v>82</v>
      </c>
      <c r="AH140" s="94">
        <f t="shared" si="94"/>
        <v>0.13</v>
      </c>
      <c r="AI140" s="90" t="str">
        <f t="shared" si="83"/>
        <v/>
      </c>
      <c r="AL140" s="94">
        <f t="shared" ref="AL140:AM153" si="95">AL138</f>
        <v>20</v>
      </c>
      <c r="AM140" s="94">
        <f t="shared" si="95"/>
        <v>0.08</v>
      </c>
      <c r="AN140" s="90" t="str">
        <f t="shared" si="84"/>
        <v/>
      </c>
      <c r="AQ140" s="94">
        <f t="shared" ref="AQ140:AR153" si="96">AQ138</f>
        <v>0</v>
      </c>
      <c r="AR140" s="94">
        <f t="shared" si="96"/>
        <v>0.05</v>
      </c>
      <c r="AS140" s="90" t="str">
        <f t="shared" si="85"/>
        <v/>
      </c>
      <c r="AV140" s="94">
        <f t="shared" ref="AV140:AW153" si="97">AV138</f>
        <v>16</v>
      </c>
      <c r="AW140" s="94">
        <f t="shared" si="97"/>
        <v>0.32500000000000001</v>
      </c>
      <c r="AX140" s="90" t="str">
        <f t="shared" si="86"/>
        <v/>
      </c>
      <c r="BA140" s="94">
        <f t="shared" ref="BA140:BB153" si="98">BA138</f>
        <v>12</v>
      </c>
      <c r="BB140" s="94">
        <f t="shared" si="98"/>
        <v>0.29499999999999998</v>
      </c>
      <c r="BC140" s="90" t="str">
        <f t="shared" si="87"/>
        <v/>
      </c>
      <c r="BF140" s="94">
        <f t="shared" ref="BF140:BG153" si="99">BF138</f>
        <v>20</v>
      </c>
      <c r="BG140" s="94">
        <f t="shared" si="99"/>
        <v>0.27500000000000002</v>
      </c>
      <c r="BH140" s="90" t="str">
        <f t="shared" si="88"/>
        <v/>
      </c>
      <c r="BK140" s="94">
        <f t="shared" ref="BK140:BL153" si="100">BK138</f>
        <v>39</v>
      </c>
      <c r="BL140" s="94">
        <f t="shared" si="100"/>
        <v>0.245</v>
      </c>
      <c r="BM140" s="90" t="str">
        <f t="shared" si="89"/>
        <v/>
      </c>
      <c r="BP140" s="94">
        <f t="shared" ref="BP140:BQ153" si="101">BP138</f>
        <v>27</v>
      </c>
      <c r="BQ140" s="94">
        <f t="shared" si="101"/>
        <v>0.22500000000000001</v>
      </c>
      <c r="BR140" s="90" t="str">
        <f t="shared" si="90"/>
        <v/>
      </c>
      <c r="BU140" s="94">
        <f t="shared" ref="BU140:BV153" si="102">BU138</f>
        <v>0</v>
      </c>
      <c r="BV140" s="94">
        <f t="shared" si="102"/>
        <v>0.17499999999999999</v>
      </c>
      <c r="BW140" s="90" t="str">
        <f t="shared" si="91"/>
        <v/>
      </c>
      <c r="BZ140" s="94">
        <f t="shared" ref="BZ140:CA153" si="103">BZ138</f>
        <v>84</v>
      </c>
      <c r="CA140" s="94">
        <f t="shared" si="103"/>
        <v>0.15</v>
      </c>
      <c r="CB140" s="90" t="str">
        <f t="shared" si="92"/>
        <v/>
      </c>
      <c r="CE140" s="95"/>
      <c r="CF140" s="96"/>
      <c r="CG140" s="97"/>
      <c r="CH140" s="97"/>
      <c r="CI140" s="98"/>
      <c r="CK140" s="99">
        <f>IFERROR(IF(F140='[1]Paramètres Généraux'!$K$12,ROUNDUP((REGENERANTS!H140*REGENERANTS!$CF$112)*'[1]Paramètres Généraux'!$M$12,-1),IF(F140='[1]Paramètres Généraux'!$K$15,ROUNDUP((REGENERANTS!H140*REGENERANTS!$CF$112)*'[1]Paramètres Généraux'!$M$15,-1),REGENERANTS!H140*REGENERANTS!$CF$112)),"nd")</f>
        <v>0</v>
      </c>
      <c r="CN140" s="146"/>
      <c r="CO140" s="147"/>
      <c r="CP140" s="147"/>
      <c r="CQ140" s="147"/>
      <c r="CR140" s="147"/>
      <c r="CS140" s="173"/>
      <c r="CT140" s="174"/>
      <c r="CU140" s="147"/>
      <c r="CV140" s="173"/>
      <c r="CW140" s="150"/>
      <c r="CX140" s="149"/>
      <c r="CY140" s="150"/>
      <c r="CZ140" s="136"/>
      <c r="DA140" s="149"/>
      <c r="DB140" s="150"/>
      <c r="DC140" s="136"/>
      <c r="DD140" s="149"/>
      <c r="DE140" s="150"/>
      <c r="DF140" s="136"/>
      <c r="DG140" s="136"/>
      <c r="DH140" s="136"/>
      <c r="DI140" s="136"/>
      <c r="DJ140" s="136"/>
      <c r="DK140" s="136"/>
      <c r="DL140" s="136"/>
      <c r="DM140" s="136"/>
      <c r="DN140" s="136"/>
      <c r="DO140" s="149"/>
      <c r="DP140" s="150"/>
      <c r="DQ140" s="20">
        <f t="shared" si="76"/>
        <v>0</v>
      </c>
      <c r="DR140" s="20">
        <f t="shared" si="77"/>
        <v>0</v>
      </c>
      <c r="DS140" s="20">
        <f>IFERROR((IF(AND($F140="Produit Vente",CO140&gt;0),VLOOKUP($C140,'[1]Paramètres Articles'!$B:$H,7,FALSE)*$CO140)*(1-20%)),0)</f>
        <v>0</v>
      </c>
      <c r="DT140" s="20">
        <f>IFERROR((IF(AND($F140="Produit Vente",DR140&gt;0),VLOOKUP($C140,'[1]Paramètres Articles'!$B:$H,6,FALSE)*$DR140)*(1-15%)),0)</f>
        <v>0</v>
      </c>
      <c r="DU140" s="20">
        <f t="shared" si="78"/>
        <v>0</v>
      </c>
    </row>
    <row r="141" spans="2:125" ht="12.95" customHeight="1" outlineLevel="1">
      <c r="B141" s="1">
        <f>IF(C141="",0,COUNTIFS($B$22:B140,"&gt;"&amp;0)+1)</f>
        <v>0</v>
      </c>
      <c r="C141" s="85"/>
      <c r="D141" s="86" t="str">
        <f>IFERROR(IF($C141="","",VLOOKUP($C141,'[1]Paramètres Articles'!$B:$G,2,FALSE)),"Non Trouvé")</f>
        <v/>
      </c>
      <c r="E141" s="87" t="str">
        <f>IFERROR(IF($C141="","",_xlfn.XLOOKUP(REGENERANTS!$C141,'[1]New Base PA'!$F:$F,'[1]New Base PA'!$D:$D,"Not Found",0)),"Non Trouvé")</f>
        <v/>
      </c>
      <c r="F141" s="88"/>
      <c r="H141" s="101"/>
      <c r="J141" s="90" t="str">
        <f>IFERROR(IF($C141="","",VLOOKUP($C141,'[1]New Base PA'!$F:$J,5,FALSE)),"Non Trouvé")</f>
        <v/>
      </c>
      <c r="K141" s="131" t="str">
        <f t="shared" si="73"/>
        <v/>
      </c>
      <c r="L141" s="132"/>
      <c r="M141" s="90">
        <f>IFERROR(IF(AND($F141="Produit Vente",H141&gt;0),VLOOKUP($C141,'[1]Paramètres Articles'!$B:$G,6,FALSE),0),"Non Trouvé")</f>
        <v>0</v>
      </c>
      <c r="N141" s="90" t="str">
        <f t="shared" si="74"/>
        <v/>
      </c>
      <c r="P141" s="92"/>
      <c r="R141" s="90" t="str">
        <f t="shared" si="75"/>
        <v/>
      </c>
      <c r="S141" s="91"/>
      <c r="T141" s="90" t="str">
        <f>IFERROR(IF($C141="","",VLOOKUP($C141,'[1]Paramètres Articles'!$B:$H,7,FALSE)),"Non Trouvé")</f>
        <v/>
      </c>
      <c r="U141" s="93"/>
      <c r="V141" s="90" t="str">
        <f t="shared" si="79"/>
        <v/>
      </c>
      <c r="W141" s="91"/>
      <c r="X141" s="90" t="str">
        <f t="shared" si="81"/>
        <v/>
      </c>
      <c r="Y141" s="91"/>
      <c r="Z141" s="90">
        <f t="shared" si="80"/>
        <v>0</v>
      </c>
      <c r="AB141" s="94">
        <f t="shared" si="93"/>
        <v>90</v>
      </c>
      <c r="AC141" s="94">
        <f t="shared" si="93"/>
        <v>0.17</v>
      </c>
      <c r="AD141" s="90" t="str">
        <f t="shared" si="82"/>
        <v/>
      </c>
      <c r="AG141" s="94">
        <f t="shared" si="94"/>
        <v>82</v>
      </c>
      <c r="AH141" s="94">
        <f t="shared" si="94"/>
        <v>0.13</v>
      </c>
      <c r="AI141" s="90" t="str">
        <f t="shared" si="83"/>
        <v/>
      </c>
      <c r="AL141" s="94">
        <f t="shared" si="95"/>
        <v>20</v>
      </c>
      <c r="AM141" s="94">
        <f t="shared" si="95"/>
        <v>0.08</v>
      </c>
      <c r="AN141" s="90" t="str">
        <f t="shared" si="84"/>
        <v/>
      </c>
      <c r="AQ141" s="94">
        <f t="shared" si="96"/>
        <v>0</v>
      </c>
      <c r="AR141" s="94">
        <f t="shared" si="96"/>
        <v>0.05</v>
      </c>
      <c r="AS141" s="90" t="str">
        <f t="shared" si="85"/>
        <v/>
      </c>
      <c r="AV141" s="94">
        <f t="shared" si="97"/>
        <v>16</v>
      </c>
      <c r="AW141" s="94">
        <f t="shared" si="97"/>
        <v>0.32500000000000001</v>
      </c>
      <c r="AX141" s="90" t="str">
        <f t="shared" si="86"/>
        <v/>
      </c>
      <c r="BA141" s="94">
        <f t="shared" si="98"/>
        <v>12</v>
      </c>
      <c r="BB141" s="94">
        <f t="shared" si="98"/>
        <v>0.29499999999999998</v>
      </c>
      <c r="BC141" s="90" t="str">
        <f t="shared" si="87"/>
        <v/>
      </c>
      <c r="BF141" s="94">
        <f t="shared" si="99"/>
        <v>20</v>
      </c>
      <c r="BG141" s="94">
        <f t="shared" si="99"/>
        <v>0.27500000000000002</v>
      </c>
      <c r="BH141" s="90" t="str">
        <f t="shared" si="88"/>
        <v/>
      </c>
      <c r="BK141" s="94">
        <f t="shared" si="100"/>
        <v>39</v>
      </c>
      <c r="BL141" s="94">
        <f t="shared" si="100"/>
        <v>0.245</v>
      </c>
      <c r="BM141" s="90" t="str">
        <f t="shared" si="89"/>
        <v/>
      </c>
      <c r="BP141" s="94">
        <f t="shared" si="101"/>
        <v>27</v>
      </c>
      <c r="BQ141" s="94">
        <f t="shared" si="101"/>
        <v>0.22500000000000001</v>
      </c>
      <c r="BR141" s="90" t="str">
        <f t="shared" si="90"/>
        <v/>
      </c>
      <c r="BU141" s="94">
        <f t="shared" si="102"/>
        <v>0</v>
      </c>
      <c r="BV141" s="94">
        <f t="shared" si="102"/>
        <v>0.17499999999999999</v>
      </c>
      <c r="BW141" s="90" t="str">
        <f t="shared" si="91"/>
        <v/>
      </c>
      <c r="BZ141" s="94">
        <f t="shared" si="103"/>
        <v>84</v>
      </c>
      <c r="CA141" s="94">
        <f t="shared" si="103"/>
        <v>0.15</v>
      </c>
      <c r="CB141" s="90" t="str">
        <f t="shared" si="92"/>
        <v/>
      </c>
      <c r="CE141" s="95"/>
      <c r="CF141" s="96"/>
      <c r="CG141" s="97"/>
      <c r="CH141" s="97"/>
      <c r="CI141" s="98"/>
      <c r="CK141" s="99">
        <f>IFERROR(IF(F141='[1]Paramètres Généraux'!$K$12,ROUNDUP((REGENERANTS!H141*REGENERANTS!$CF$112)*'[1]Paramètres Généraux'!$M$12,-1),IF(F141='[1]Paramètres Généraux'!$K$15,ROUNDUP((REGENERANTS!H141*REGENERANTS!$CF$112)*'[1]Paramètres Généraux'!$M$15,-1),REGENERANTS!H141*REGENERANTS!$CF$112)),"nd")</f>
        <v>0</v>
      </c>
      <c r="CN141" s="146"/>
      <c r="CO141" s="147"/>
      <c r="CP141" s="147"/>
      <c r="CQ141" s="147"/>
      <c r="CR141" s="147"/>
      <c r="CS141" s="173"/>
      <c r="CT141" s="174"/>
      <c r="CU141" s="147"/>
      <c r="CV141" s="173"/>
      <c r="CW141" s="150"/>
      <c r="CX141" s="149"/>
      <c r="CY141" s="150"/>
      <c r="CZ141" s="136"/>
      <c r="DA141" s="149"/>
      <c r="DB141" s="150"/>
      <c r="DC141" s="136"/>
      <c r="DD141" s="149"/>
      <c r="DE141" s="150"/>
      <c r="DF141" s="136"/>
      <c r="DG141" s="136"/>
      <c r="DH141" s="136"/>
      <c r="DI141" s="136"/>
      <c r="DJ141" s="136"/>
      <c r="DK141" s="136"/>
      <c r="DL141" s="136"/>
      <c r="DM141" s="136"/>
      <c r="DN141" s="136"/>
      <c r="DO141" s="149"/>
      <c r="DP141" s="150"/>
      <c r="DQ141" s="20">
        <f t="shared" si="76"/>
        <v>0</v>
      </c>
      <c r="DR141" s="20">
        <f t="shared" si="77"/>
        <v>0</v>
      </c>
      <c r="DS141" s="20">
        <f>IFERROR((IF(AND($F141="Produit Vente",CO141&gt;0),VLOOKUP($C141,'[1]Paramètres Articles'!$B:$H,7,FALSE)*$CO141)*(1-20%)),0)</f>
        <v>0</v>
      </c>
      <c r="DT141" s="20">
        <f>IFERROR((IF(AND($F141="Produit Vente",DR141&gt;0),VLOOKUP($C141,'[1]Paramètres Articles'!$B:$H,6,FALSE)*$DR141)*(1-15%)),0)</f>
        <v>0</v>
      </c>
      <c r="DU141" s="20">
        <f t="shared" si="78"/>
        <v>0</v>
      </c>
    </row>
    <row r="142" spans="2:125" ht="12.95" customHeight="1" outlineLevel="1">
      <c r="B142" s="1">
        <f>IF(C142="",0,COUNTIFS($B$22:B141,"&gt;"&amp;0)+1)</f>
        <v>0</v>
      </c>
      <c r="C142" s="85"/>
      <c r="D142" s="86" t="str">
        <f>IFERROR(IF($C142="","",VLOOKUP($C142,'[1]Paramètres Articles'!$B:$G,2,FALSE)),"Non Trouvé")</f>
        <v/>
      </c>
      <c r="E142" s="87" t="str">
        <f>IFERROR(IF($C142="","",_xlfn.XLOOKUP(REGENERANTS!$C142,'[1]New Base PA'!$F:$F,'[1]New Base PA'!$D:$D,"Not Found",0)),"Non Trouvé")</f>
        <v/>
      </c>
      <c r="F142" s="88"/>
      <c r="H142" s="101"/>
      <c r="J142" s="90" t="str">
        <f>IFERROR(IF($C142="","",VLOOKUP($C142,'[1]New Base PA'!$F:$J,5,FALSE)),"Non Trouvé")</f>
        <v/>
      </c>
      <c r="K142" s="131" t="str">
        <f t="shared" si="73"/>
        <v/>
      </c>
      <c r="L142" s="132"/>
      <c r="M142" s="90">
        <f>IFERROR(IF(AND($F142="Produit Vente",H142&gt;0),VLOOKUP($C142,'[1]Paramètres Articles'!$B:$G,6,FALSE),0),"Non Trouvé")</f>
        <v>0</v>
      </c>
      <c r="N142" s="90" t="str">
        <f t="shared" si="74"/>
        <v/>
      </c>
      <c r="P142" s="92"/>
      <c r="R142" s="90" t="str">
        <f t="shared" si="75"/>
        <v/>
      </c>
      <c r="S142" s="91"/>
      <c r="T142" s="90" t="str">
        <f>IFERROR(IF($C142="","",VLOOKUP($C142,'[1]Paramètres Articles'!$B:$H,7,FALSE)),"Non Trouvé")</f>
        <v/>
      </c>
      <c r="U142" s="93"/>
      <c r="V142" s="90" t="str">
        <f t="shared" si="79"/>
        <v/>
      </c>
      <c r="W142" s="91"/>
      <c r="X142" s="90" t="str">
        <f t="shared" si="81"/>
        <v/>
      </c>
      <c r="Y142" s="91"/>
      <c r="Z142" s="90">
        <f t="shared" si="80"/>
        <v>0</v>
      </c>
      <c r="AB142" s="94">
        <f t="shared" si="93"/>
        <v>90</v>
      </c>
      <c r="AC142" s="94">
        <f t="shared" si="93"/>
        <v>0.17</v>
      </c>
      <c r="AD142" s="90" t="str">
        <f t="shared" si="82"/>
        <v/>
      </c>
      <c r="AG142" s="94">
        <f t="shared" si="94"/>
        <v>82</v>
      </c>
      <c r="AH142" s="94">
        <f t="shared" si="94"/>
        <v>0.13</v>
      </c>
      <c r="AI142" s="90" t="str">
        <f t="shared" si="83"/>
        <v/>
      </c>
      <c r="AL142" s="94">
        <f t="shared" si="95"/>
        <v>20</v>
      </c>
      <c r="AM142" s="94">
        <f t="shared" si="95"/>
        <v>0.08</v>
      </c>
      <c r="AN142" s="90" t="str">
        <f t="shared" si="84"/>
        <v/>
      </c>
      <c r="AQ142" s="94">
        <f t="shared" si="96"/>
        <v>0</v>
      </c>
      <c r="AR142" s="94">
        <f t="shared" si="96"/>
        <v>0.05</v>
      </c>
      <c r="AS142" s="90" t="str">
        <f t="shared" si="85"/>
        <v/>
      </c>
      <c r="AV142" s="94">
        <f t="shared" si="97"/>
        <v>16</v>
      </c>
      <c r="AW142" s="94">
        <f t="shared" si="97"/>
        <v>0.32500000000000001</v>
      </c>
      <c r="AX142" s="90" t="str">
        <f t="shared" si="86"/>
        <v/>
      </c>
      <c r="BA142" s="94">
        <f t="shared" si="98"/>
        <v>12</v>
      </c>
      <c r="BB142" s="94">
        <f t="shared" si="98"/>
        <v>0.29499999999999998</v>
      </c>
      <c r="BC142" s="90" t="str">
        <f t="shared" si="87"/>
        <v/>
      </c>
      <c r="BF142" s="94">
        <f t="shared" si="99"/>
        <v>20</v>
      </c>
      <c r="BG142" s="94">
        <f t="shared" si="99"/>
        <v>0.27500000000000002</v>
      </c>
      <c r="BH142" s="90" t="str">
        <f t="shared" si="88"/>
        <v/>
      </c>
      <c r="BK142" s="94">
        <f t="shared" si="100"/>
        <v>39</v>
      </c>
      <c r="BL142" s="94">
        <f t="shared" si="100"/>
        <v>0.245</v>
      </c>
      <c r="BM142" s="90" t="str">
        <f t="shared" si="89"/>
        <v/>
      </c>
      <c r="BP142" s="94">
        <f t="shared" si="101"/>
        <v>27</v>
      </c>
      <c r="BQ142" s="94">
        <f t="shared" si="101"/>
        <v>0.22500000000000001</v>
      </c>
      <c r="BR142" s="90" t="str">
        <f t="shared" si="90"/>
        <v/>
      </c>
      <c r="BU142" s="94">
        <f t="shared" si="102"/>
        <v>0</v>
      </c>
      <c r="BV142" s="94">
        <f t="shared" si="102"/>
        <v>0.17499999999999999</v>
      </c>
      <c r="BW142" s="90" t="str">
        <f t="shared" si="91"/>
        <v/>
      </c>
      <c r="BZ142" s="94">
        <f t="shared" si="103"/>
        <v>84</v>
      </c>
      <c r="CA142" s="94">
        <f t="shared" si="103"/>
        <v>0.15</v>
      </c>
      <c r="CB142" s="90" t="str">
        <f t="shared" si="92"/>
        <v/>
      </c>
      <c r="CE142" s="95"/>
      <c r="CF142" s="96"/>
      <c r="CG142" s="97"/>
      <c r="CH142" s="97"/>
      <c r="CI142" s="98"/>
      <c r="CK142" s="99">
        <f>IFERROR(IF(F142='[1]Paramètres Généraux'!$K$12,ROUNDUP((REGENERANTS!H142*REGENERANTS!$CF$112)*'[1]Paramètres Généraux'!$M$12,-1),IF(F142='[1]Paramètres Généraux'!$K$15,ROUNDUP((REGENERANTS!H142*REGENERANTS!$CF$112)*'[1]Paramètres Généraux'!$M$15,-1),REGENERANTS!H142*REGENERANTS!$CF$112)),"nd")</f>
        <v>0</v>
      </c>
      <c r="CN142" s="146"/>
      <c r="CO142" s="147"/>
      <c r="CP142" s="147"/>
      <c r="CQ142" s="147"/>
      <c r="CR142" s="147"/>
      <c r="CS142" s="173"/>
      <c r="CT142" s="174"/>
      <c r="CU142" s="147"/>
      <c r="CV142" s="173"/>
      <c r="CW142" s="150"/>
      <c r="CX142" s="149"/>
      <c r="CY142" s="150"/>
      <c r="CZ142" s="136"/>
      <c r="DA142" s="149"/>
      <c r="DB142" s="150"/>
      <c r="DC142" s="136"/>
      <c r="DD142" s="149"/>
      <c r="DE142" s="150"/>
      <c r="DF142" s="136"/>
      <c r="DG142" s="136"/>
      <c r="DH142" s="136"/>
      <c r="DI142" s="136"/>
      <c r="DJ142" s="136"/>
      <c r="DK142" s="136"/>
      <c r="DL142" s="136"/>
      <c r="DM142" s="136"/>
      <c r="DN142" s="136"/>
      <c r="DO142" s="149"/>
      <c r="DP142" s="150"/>
      <c r="DQ142" s="20">
        <f t="shared" si="76"/>
        <v>0</v>
      </c>
      <c r="DR142" s="20">
        <f t="shared" si="77"/>
        <v>0</v>
      </c>
      <c r="DS142" s="20">
        <f>IFERROR((IF(AND($F142="Produit Vente",CO142&gt;0),VLOOKUP($C142,'[1]Paramètres Articles'!$B:$H,7,FALSE)*$CO142)*(1-20%)),0)</f>
        <v>0</v>
      </c>
      <c r="DT142" s="20">
        <f>IFERROR((IF(AND($F142="Produit Vente",DR142&gt;0),VLOOKUP($C142,'[1]Paramètres Articles'!$B:$H,6,FALSE)*$DR142)*(1-15%)),0)</f>
        <v>0</v>
      </c>
      <c r="DU142" s="20">
        <f t="shared" si="78"/>
        <v>0</v>
      </c>
    </row>
    <row r="143" spans="2:125" ht="12.95" customHeight="1" outlineLevel="1">
      <c r="B143" s="1">
        <f>IF(C143="",0,COUNTIFS($B$22:B142,"&gt;"&amp;0)+1)</f>
        <v>0</v>
      </c>
      <c r="C143" s="85"/>
      <c r="D143" s="86" t="str">
        <f>IFERROR(IF($C143="","",VLOOKUP($C143,'[1]Paramètres Articles'!$B:$G,2,FALSE)),"Non Trouvé")</f>
        <v/>
      </c>
      <c r="E143" s="87" t="str">
        <f>IFERROR(IF($C143="","",_xlfn.XLOOKUP(REGENERANTS!$C143,'[1]New Base PA'!$F:$F,'[1]New Base PA'!$D:$D,"Not Found",0)),"Non Trouvé")</f>
        <v/>
      </c>
      <c r="F143" s="88"/>
      <c r="H143" s="101"/>
      <c r="J143" s="90" t="str">
        <f>IFERROR(IF($C143="","",VLOOKUP($C143,'[1]New Base PA'!$F:$J,5,FALSE)),"Non Trouvé")</f>
        <v/>
      </c>
      <c r="K143" s="131" t="str">
        <f t="shared" si="73"/>
        <v/>
      </c>
      <c r="L143" s="132"/>
      <c r="M143" s="90">
        <f>IFERROR(IF(AND($F143="Produit Vente",H143&gt;0),VLOOKUP($C143,'[1]Paramètres Articles'!$B:$G,6,FALSE),0),"Non Trouvé")</f>
        <v>0</v>
      </c>
      <c r="N143" s="90" t="str">
        <f t="shared" si="74"/>
        <v/>
      </c>
      <c r="P143" s="92"/>
      <c r="R143" s="90" t="str">
        <f t="shared" si="75"/>
        <v/>
      </c>
      <c r="S143" s="91"/>
      <c r="T143" s="90" t="str">
        <f>IFERROR(IF($C143="","",VLOOKUP($C143,'[1]Paramètres Articles'!$B:$H,7,FALSE)),"Non Trouvé")</f>
        <v/>
      </c>
      <c r="U143" s="93"/>
      <c r="V143" s="90" t="str">
        <f t="shared" si="79"/>
        <v/>
      </c>
      <c r="W143" s="91"/>
      <c r="X143" s="90" t="str">
        <f t="shared" si="81"/>
        <v/>
      </c>
      <c r="Y143" s="91"/>
      <c r="Z143" s="90">
        <f t="shared" si="80"/>
        <v>0</v>
      </c>
      <c r="AB143" s="94">
        <f t="shared" si="93"/>
        <v>90</v>
      </c>
      <c r="AC143" s="94">
        <f t="shared" si="93"/>
        <v>0.17</v>
      </c>
      <c r="AD143" s="90" t="str">
        <f t="shared" si="82"/>
        <v/>
      </c>
      <c r="AG143" s="94">
        <f t="shared" si="94"/>
        <v>82</v>
      </c>
      <c r="AH143" s="94">
        <f t="shared" si="94"/>
        <v>0.13</v>
      </c>
      <c r="AI143" s="90" t="str">
        <f t="shared" si="83"/>
        <v/>
      </c>
      <c r="AL143" s="94">
        <f t="shared" si="95"/>
        <v>20</v>
      </c>
      <c r="AM143" s="94">
        <f t="shared" si="95"/>
        <v>0.08</v>
      </c>
      <c r="AN143" s="90" t="str">
        <f t="shared" si="84"/>
        <v/>
      </c>
      <c r="AQ143" s="94">
        <f t="shared" si="96"/>
        <v>0</v>
      </c>
      <c r="AR143" s="94">
        <f t="shared" si="96"/>
        <v>0.05</v>
      </c>
      <c r="AS143" s="90" t="str">
        <f t="shared" si="85"/>
        <v/>
      </c>
      <c r="AV143" s="94">
        <f t="shared" si="97"/>
        <v>16</v>
      </c>
      <c r="AW143" s="94">
        <f t="shared" si="97"/>
        <v>0.32500000000000001</v>
      </c>
      <c r="AX143" s="90" t="str">
        <f t="shared" si="86"/>
        <v/>
      </c>
      <c r="BA143" s="94">
        <f t="shared" si="98"/>
        <v>12</v>
      </c>
      <c r="BB143" s="94">
        <f t="shared" si="98"/>
        <v>0.29499999999999998</v>
      </c>
      <c r="BC143" s="90" t="str">
        <f t="shared" si="87"/>
        <v/>
      </c>
      <c r="BF143" s="94">
        <f t="shared" si="99"/>
        <v>20</v>
      </c>
      <c r="BG143" s="94">
        <f t="shared" si="99"/>
        <v>0.27500000000000002</v>
      </c>
      <c r="BH143" s="90" t="str">
        <f t="shared" si="88"/>
        <v/>
      </c>
      <c r="BK143" s="94">
        <f t="shared" si="100"/>
        <v>39</v>
      </c>
      <c r="BL143" s="94">
        <f t="shared" si="100"/>
        <v>0.245</v>
      </c>
      <c r="BM143" s="90" t="str">
        <f t="shared" si="89"/>
        <v/>
      </c>
      <c r="BP143" s="94">
        <f t="shared" si="101"/>
        <v>27</v>
      </c>
      <c r="BQ143" s="94">
        <f t="shared" si="101"/>
        <v>0.22500000000000001</v>
      </c>
      <c r="BR143" s="90" t="str">
        <f t="shared" si="90"/>
        <v/>
      </c>
      <c r="BU143" s="94">
        <f t="shared" si="102"/>
        <v>0</v>
      </c>
      <c r="BV143" s="94">
        <f t="shared" si="102"/>
        <v>0.17499999999999999</v>
      </c>
      <c r="BW143" s="90" t="str">
        <f t="shared" si="91"/>
        <v/>
      </c>
      <c r="BZ143" s="94">
        <f t="shared" si="103"/>
        <v>84</v>
      </c>
      <c r="CA143" s="94">
        <f t="shared" si="103"/>
        <v>0.15</v>
      </c>
      <c r="CB143" s="90" t="str">
        <f t="shared" si="92"/>
        <v/>
      </c>
      <c r="CE143" s="95"/>
      <c r="CF143" s="96"/>
      <c r="CG143" s="97"/>
      <c r="CH143" s="97"/>
      <c r="CI143" s="98"/>
      <c r="CK143" s="99">
        <f>IFERROR(IF(F143='[1]Paramètres Généraux'!$K$12,ROUNDUP((REGENERANTS!H143*REGENERANTS!$CF$112)*'[1]Paramètres Généraux'!$M$12,-1),IF(F143='[1]Paramètres Généraux'!$K$15,ROUNDUP((REGENERANTS!H143*REGENERANTS!$CF$112)*'[1]Paramètres Généraux'!$M$15,-1),REGENERANTS!H143*REGENERANTS!$CF$112)),"nd")</f>
        <v>0</v>
      </c>
      <c r="CN143" s="146"/>
      <c r="CO143" s="147"/>
      <c r="CP143" s="147"/>
      <c r="CQ143" s="147"/>
      <c r="CR143" s="147"/>
      <c r="CS143" s="173"/>
      <c r="CT143" s="174"/>
      <c r="CU143" s="147"/>
      <c r="CV143" s="173"/>
      <c r="CW143" s="150"/>
      <c r="CX143" s="149"/>
      <c r="CY143" s="150"/>
      <c r="CZ143" s="136"/>
      <c r="DA143" s="149"/>
      <c r="DB143" s="150"/>
      <c r="DC143" s="136"/>
      <c r="DD143" s="149"/>
      <c r="DE143" s="150"/>
      <c r="DF143" s="136"/>
      <c r="DG143" s="136"/>
      <c r="DH143" s="136"/>
      <c r="DI143" s="136"/>
      <c r="DJ143" s="136"/>
      <c r="DK143" s="136"/>
      <c r="DL143" s="136"/>
      <c r="DM143" s="136"/>
      <c r="DN143" s="136"/>
      <c r="DO143" s="149"/>
      <c r="DP143" s="150"/>
      <c r="DQ143" s="20">
        <f t="shared" si="76"/>
        <v>0</v>
      </c>
      <c r="DR143" s="20">
        <f t="shared" si="77"/>
        <v>0</v>
      </c>
      <c r="DS143" s="20">
        <f>IFERROR((IF(AND($F143="Produit Vente",CO143&gt;0),VLOOKUP($C143,'[1]Paramètres Articles'!$B:$H,7,FALSE)*$CO143)*(1-20%)),0)</f>
        <v>0</v>
      </c>
      <c r="DT143" s="20">
        <f>IFERROR((IF(AND($F143="Produit Vente",DR143&gt;0),VLOOKUP($C143,'[1]Paramètres Articles'!$B:$H,6,FALSE)*$DR143)*(1-15%)),0)</f>
        <v>0</v>
      </c>
      <c r="DU143" s="20">
        <f t="shared" si="78"/>
        <v>0</v>
      </c>
    </row>
    <row r="144" spans="2:125" ht="12.95" customHeight="1" outlineLevel="1">
      <c r="B144" s="1">
        <f>IF(C144="",0,COUNTIFS($B$22:B143,"&gt;"&amp;0)+1)</f>
        <v>0</v>
      </c>
      <c r="C144" s="85"/>
      <c r="D144" s="86" t="str">
        <f>IFERROR(IF($C144="","",VLOOKUP($C144,'[1]Paramètres Articles'!$B:$G,2,FALSE)),"Non Trouvé")</f>
        <v/>
      </c>
      <c r="E144" s="87" t="str">
        <f>IFERROR(IF($C144="","",_xlfn.XLOOKUP(REGENERANTS!$C144,'[1]New Base PA'!$F:$F,'[1]New Base PA'!$D:$D,"Not Found",0)),"Non Trouvé")</f>
        <v/>
      </c>
      <c r="F144" s="88"/>
      <c r="H144" s="101"/>
      <c r="J144" s="90" t="str">
        <f>IFERROR(IF($C144="","",VLOOKUP($C144,'[1]New Base PA'!$F:$J,5,FALSE)),"Non Trouvé")</f>
        <v/>
      </c>
      <c r="K144" s="131" t="str">
        <f t="shared" si="73"/>
        <v/>
      </c>
      <c r="L144" s="132"/>
      <c r="M144" s="90">
        <f>IFERROR(IF(AND($F144="Produit Vente",H144&gt;0),VLOOKUP($C144,'[1]Paramètres Articles'!$B:$G,6,FALSE),0),"Non Trouvé")</f>
        <v>0</v>
      </c>
      <c r="N144" s="90" t="str">
        <f t="shared" si="74"/>
        <v/>
      </c>
      <c r="P144" s="92"/>
      <c r="R144" s="90" t="str">
        <f t="shared" si="75"/>
        <v/>
      </c>
      <c r="S144" s="91"/>
      <c r="T144" s="90" t="str">
        <f>IFERROR(IF($C144="","",VLOOKUP($C144,'[1]Paramètres Articles'!$B:$H,7,FALSE)),"Non Trouvé")</f>
        <v/>
      </c>
      <c r="U144" s="93"/>
      <c r="V144" s="90" t="str">
        <f t="shared" si="79"/>
        <v/>
      </c>
      <c r="W144" s="91"/>
      <c r="X144" s="90" t="str">
        <f t="shared" si="81"/>
        <v/>
      </c>
      <c r="Y144" s="91"/>
      <c r="Z144" s="90">
        <f t="shared" si="80"/>
        <v>0</v>
      </c>
      <c r="AB144" s="94">
        <f t="shared" si="93"/>
        <v>90</v>
      </c>
      <c r="AC144" s="94">
        <f t="shared" si="93"/>
        <v>0.17</v>
      </c>
      <c r="AD144" s="90" t="str">
        <f t="shared" si="82"/>
        <v/>
      </c>
      <c r="AG144" s="94">
        <f t="shared" si="94"/>
        <v>82</v>
      </c>
      <c r="AH144" s="94">
        <f t="shared" si="94"/>
        <v>0.13</v>
      </c>
      <c r="AI144" s="90" t="str">
        <f t="shared" si="83"/>
        <v/>
      </c>
      <c r="AL144" s="94">
        <f t="shared" si="95"/>
        <v>20</v>
      </c>
      <c r="AM144" s="94">
        <f t="shared" si="95"/>
        <v>0.08</v>
      </c>
      <c r="AN144" s="90" t="str">
        <f t="shared" si="84"/>
        <v/>
      </c>
      <c r="AQ144" s="94">
        <f t="shared" si="96"/>
        <v>0</v>
      </c>
      <c r="AR144" s="94">
        <f t="shared" si="96"/>
        <v>0.05</v>
      </c>
      <c r="AS144" s="90" t="str">
        <f t="shared" si="85"/>
        <v/>
      </c>
      <c r="AV144" s="94">
        <f t="shared" si="97"/>
        <v>16</v>
      </c>
      <c r="AW144" s="94">
        <f t="shared" si="97"/>
        <v>0.32500000000000001</v>
      </c>
      <c r="AX144" s="90" t="str">
        <f t="shared" si="86"/>
        <v/>
      </c>
      <c r="BA144" s="94">
        <f t="shared" si="98"/>
        <v>12</v>
      </c>
      <c r="BB144" s="94">
        <f t="shared" si="98"/>
        <v>0.29499999999999998</v>
      </c>
      <c r="BC144" s="90" t="str">
        <f t="shared" si="87"/>
        <v/>
      </c>
      <c r="BF144" s="94">
        <f t="shared" si="99"/>
        <v>20</v>
      </c>
      <c r="BG144" s="94">
        <f t="shared" si="99"/>
        <v>0.27500000000000002</v>
      </c>
      <c r="BH144" s="90" t="str">
        <f t="shared" si="88"/>
        <v/>
      </c>
      <c r="BK144" s="94">
        <f t="shared" si="100"/>
        <v>39</v>
      </c>
      <c r="BL144" s="94">
        <f t="shared" si="100"/>
        <v>0.245</v>
      </c>
      <c r="BM144" s="90" t="str">
        <f t="shared" si="89"/>
        <v/>
      </c>
      <c r="BP144" s="94">
        <f t="shared" si="101"/>
        <v>27</v>
      </c>
      <c r="BQ144" s="94">
        <f t="shared" si="101"/>
        <v>0.22500000000000001</v>
      </c>
      <c r="BR144" s="90" t="str">
        <f t="shared" si="90"/>
        <v/>
      </c>
      <c r="BU144" s="94">
        <f t="shared" si="102"/>
        <v>0</v>
      </c>
      <c r="BV144" s="94">
        <f t="shared" si="102"/>
        <v>0.17499999999999999</v>
      </c>
      <c r="BW144" s="90" t="str">
        <f t="shared" si="91"/>
        <v/>
      </c>
      <c r="BZ144" s="94">
        <f t="shared" si="103"/>
        <v>84</v>
      </c>
      <c r="CA144" s="94">
        <f t="shared" si="103"/>
        <v>0.15</v>
      </c>
      <c r="CB144" s="90" t="str">
        <f t="shared" si="92"/>
        <v/>
      </c>
      <c r="CE144" s="95"/>
      <c r="CF144" s="96"/>
      <c r="CG144" s="97"/>
      <c r="CH144" s="97"/>
      <c r="CI144" s="98"/>
      <c r="CK144" s="99">
        <f>IFERROR(IF(F144='[1]Paramètres Généraux'!$K$12,ROUNDUP((REGENERANTS!H144*REGENERANTS!$CF$112)*'[1]Paramètres Généraux'!$M$12,-1),IF(F144='[1]Paramètres Généraux'!$K$15,ROUNDUP((REGENERANTS!H144*REGENERANTS!$CF$112)*'[1]Paramètres Généraux'!$M$15,-1),REGENERANTS!H144*REGENERANTS!$CF$112)),"nd")</f>
        <v>0</v>
      </c>
      <c r="CN144" s="146"/>
      <c r="CO144" s="147"/>
      <c r="CP144" s="147"/>
      <c r="CQ144" s="147"/>
      <c r="CR144" s="147"/>
      <c r="CS144" s="173"/>
      <c r="CT144" s="174"/>
      <c r="CU144" s="147"/>
      <c r="CV144" s="173"/>
      <c r="CW144" s="150"/>
      <c r="CX144" s="149"/>
      <c r="CY144" s="150"/>
      <c r="CZ144" s="136"/>
      <c r="DA144" s="149"/>
      <c r="DB144" s="150"/>
      <c r="DC144" s="136"/>
      <c r="DD144" s="149"/>
      <c r="DE144" s="150"/>
      <c r="DF144" s="136"/>
      <c r="DG144" s="136"/>
      <c r="DH144" s="136"/>
      <c r="DI144" s="136"/>
      <c r="DJ144" s="136"/>
      <c r="DK144" s="136"/>
      <c r="DL144" s="136"/>
      <c r="DM144" s="136"/>
      <c r="DN144" s="136"/>
      <c r="DO144" s="149"/>
      <c r="DP144" s="150"/>
      <c r="DQ144" s="20">
        <f t="shared" si="76"/>
        <v>0</v>
      </c>
      <c r="DR144" s="20">
        <f t="shared" si="77"/>
        <v>0</v>
      </c>
      <c r="DS144" s="20">
        <f>IFERROR((IF(AND($F144="Produit Vente",CO144&gt;0),VLOOKUP($C144,'[1]Paramètres Articles'!$B:$H,7,FALSE)*$CO144)*(1-20%)),0)</f>
        <v>0</v>
      </c>
      <c r="DT144" s="20">
        <f>IFERROR((IF(AND($F144="Produit Vente",DR144&gt;0),VLOOKUP($C144,'[1]Paramètres Articles'!$B:$H,6,FALSE)*$DR144)*(1-15%)),0)</f>
        <v>0</v>
      </c>
      <c r="DU144" s="20">
        <f t="shared" si="78"/>
        <v>0</v>
      </c>
    </row>
    <row r="145" spans="2:125" ht="12.95" customHeight="1" outlineLevel="1">
      <c r="B145" s="1">
        <f>IF(C145="",0,COUNTIFS($B$22:B144,"&gt;"&amp;0)+1)</f>
        <v>0</v>
      </c>
      <c r="C145" s="85"/>
      <c r="D145" s="86" t="str">
        <f>IFERROR(IF($C145="","",VLOOKUP($C145,'[1]Paramètres Articles'!$B:$G,2,FALSE)),"Non Trouvé")</f>
        <v/>
      </c>
      <c r="E145" s="87" t="str">
        <f>IFERROR(IF($C145="","",_xlfn.XLOOKUP(REGENERANTS!$C145,'[1]New Base PA'!$F:$F,'[1]New Base PA'!$D:$D,"Not Found",0)),"Non Trouvé")</f>
        <v/>
      </c>
      <c r="F145" s="88"/>
      <c r="H145" s="101"/>
      <c r="J145" s="90" t="str">
        <f>IFERROR(IF($C145="","",VLOOKUP($C145,'[1]New Base PA'!$F:$J,5,FALSE)),"Non Trouvé")</f>
        <v/>
      </c>
      <c r="K145" s="131" t="str">
        <f t="shared" si="73"/>
        <v/>
      </c>
      <c r="L145" s="132"/>
      <c r="M145" s="90">
        <f>IFERROR(IF(AND($F145="Produit Vente",H145&gt;0),VLOOKUP($C145,'[1]Paramètres Articles'!$B:$G,6,FALSE),0),"Non Trouvé")</f>
        <v>0</v>
      </c>
      <c r="N145" s="90" t="str">
        <f t="shared" si="74"/>
        <v/>
      </c>
      <c r="P145" s="92"/>
      <c r="R145" s="90" t="str">
        <f t="shared" si="75"/>
        <v/>
      </c>
      <c r="S145" s="91"/>
      <c r="T145" s="90" t="str">
        <f>IFERROR(IF($C145="","",VLOOKUP($C145,'[1]Paramètres Articles'!$B:$H,7,FALSE)),"Non Trouvé")</f>
        <v/>
      </c>
      <c r="U145" s="93"/>
      <c r="V145" s="90" t="str">
        <f t="shared" si="79"/>
        <v/>
      </c>
      <c r="W145" s="91"/>
      <c r="X145" s="90" t="str">
        <f t="shared" si="81"/>
        <v/>
      </c>
      <c r="Y145" s="91"/>
      <c r="Z145" s="90">
        <f t="shared" si="80"/>
        <v>0</v>
      </c>
      <c r="AB145" s="94">
        <f t="shared" si="93"/>
        <v>90</v>
      </c>
      <c r="AC145" s="94">
        <f t="shared" si="93"/>
        <v>0.17</v>
      </c>
      <c r="AD145" s="90" t="str">
        <f t="shared" si="82"/>
        <v/>
      </c>
      <c r="AG145" s="94">
        <f t="shared" si="94"/>
        <v>82</v>
      </c>
      <c r="AH145" s="94">
        <f t="shared" si="94"/>
        <v>0.13</v>
      </c>
      <c r="AI145" s="90" t="str">
        <f t="shared" si="83"/>
        <v/>
      </c>
      <c r="AL145" s="94">
        <f t="shared" si="95"/>
        <v>20</v>
      </c>
      <c r="AM145" s="94">
        <f t="shared" si="95"/>
        <v>0.08</v>
      </c>
      <c r="AN145" s="90" t="str">
        <f t="shared" si="84"/>
        <v/>
      </c>
      <c r="AQ145" s="94">
        <f t="shared" si="96"/>
        <v>0</v>
      </c>
      <c r="AR145" s="94">
        <f t="shared" si="96"/>
        <v>0.05</v>
      </c>
      <c r="AS145" s="90" t="str">
        <f t="shared" si="85"/>
        <v/>
      </c>
      <c r="AV145" s="94">
        <f t="shared" si="97"/>
        <v>16</v>
      </c>
      <c r="AW145" s="94">
        <f t="shared" si="97"/>
        <v>0.32500000000000001</v>
      </c>
      <c r="AX145" s="90" t="str">
        <f t="shared" si="86"/>
        <v/>
      </c>
      <c r="BA145" s="94">
        <f t="shared" si="98"/>
        <v>12</v>
      </c>
      <c r="BB145" s="94">
        <f t="shared" si="98"/>
        <v>0.29499999999999998</v>
      </c>
      <c r="BC145" s="90" t="str">
        <f t="shared" si="87"/>
        <v/>
      </c>
      <c r="BF145" s="94">
        <f t="shared" si="99"/>
        <v>20</v>
      </c>
      <c r="BG145" s="94">
        <f t="shared" si="99"/>
        <v>0.27500000000000002</v>
      </c>
      <c r="BH145" s="90" t="str">
        <f t="shared" si="88"/>
        <v/>
      </c>
      <c r="BK145" s="94">
        <f t="shared" si="100"/>
        <v>39</v>
      </c>
      <c r="BL145" s="94">
        <f t="shared" si="100"/>
        <v>0.245</v>
      </c>
      <c r="BM145" s="90" t="str">
        <f t="shared" si="89"/>
        <v/>
      </c>
      <c r="BP145" s="94">
        <f t="shared" si="101"/>
        <v>27</v>
      </c>
      <c r="BQ145" s="94">
        <f t="shared" si="101"/>
        <v>0.22500000000000001</v>
      </c>
      <c r="BR145" s="90" t="str">
        <f t="shared" si="90"/>
        <v/>
      </c>
      <c r="BU145" s="94">
        <f t="shared" si="102"/>
        <v>0</v>
      </c>
      <c r="BV145" s="94">
        <f t="shared" si="102"/>
        <v>0.17499999999999999</v>
      </c>
      <c r="BW145" s="90" t="str">
        <f t="shared" si="91"/>
        <v/>
      </c>
      <c r="BZ145" s="94">
        <f t="shared" si="103"/>
        <v>84</v>
      </c>
      <c r="CA145" s="94">
        <f t="shared" si="103"/>
        <v>0.15</v>
      </c>
      <c r="CB145" s="90" t="str">
        <f t="shared" si="92"/>
        <v/>
      </c>
      <c r="CE145" s="95"/>
      <c r="CF145" s="96"/>
      <c r="CG145" s="97"/>
      <c r="CH145" s="97"/>
      <c r="CI145" s="98"/>
      <c r="CK145" s="99">
        <f>IFERROR(IF(F145='[1]Paramètres Généraux'!$K$12,ROUNDUP((REGENERANTS!H145*REGENERANTS!$CF$112)*'[1]Paramètres Généraux'!$M$12,-1),IF(F145='[1]Paramètres Généraux'!$K$15,ROUNDUP((REGENERANTS!H145*REGENERANTS!$CF$112)*'[1]Paramètres Généraux'!$M$15,-1),REGENERANTS!H145*REGENERANTS!$CF$112)),"nd")</f>
        <v>0</v>
      </c>
      <c r="CN145" s="146"/>
      <c r="CO145" s="147"/>
      <c r="CP145" s="147"/>
      <c r="CQ145" s="147"/>
      <c r="CR145" s="147"/>
      <c r="CS145" s="173"/>
      <c r="CT145" s="174"/>
      <c r="CU145" s="147"/>
      <c r="CV145" s="173"/>
      <c r="CW145" s="150"/>
      <c r="CX145" s="149"/>
      <c r="CY145" s="150"/>
      <c r="CZ145" s="136"/>
      <c r="DA145" s="149"/>
      <c r="DB145" s="150"/>
      <c r="DC145" s="136"/>
      <c r="DD145" s="149"/>
      <c r="DE145" s="150"/>
      <c r="DF145" s="136"/>
      <c r="DG145" s="136"/>
      <c r="DH145" s="136"/>
      <c r="DI145" s="136"/>
      <c r="DJ145" s="136"/>
      <c r="DK145" s="136"/>
      <c r="DL145" s="136"/>
      <c r="DM145" s="136"/>
      <c r="DN145" s="136"/>
      <c r="DO145" s="149"/>
      <c r="DP145" s="150"/>
      <c r="DQ145" s="20">
        <f t="shared" si="76"/>
        <v>0</v>
      </c>
      <c r="DR145" s="20">
        <f t="shared" si="77"/>
        <v>0</v>
      </c>
      <c r="DS145" s="20">
        <f>IFERROR((IF(AND($F145="Produit Vente",CO145&gt;0),VLOOKUP($C145,'[1]Paramètres Articles'!$B:$H,7,FALSE)*$CO145)*(1-20%)),0)</f>
        <v>0</v>
      </c>
      <c r="DT145" s="20">
        <f>IFERROR((IF(AND($F145="Produit Vente",DR145&gt;0),VLOOKUP($C145,'[1]Paramètres Articles'!$B:$H,6,FALSE)*$DR145)*(1-15%)),0)</f>
        <v>0</v>
      </c>
      <c r="DU145" s="20">
        <f t="shared" si="78"/>
        <v>0</v>
      </c>
    </row>
    <row r="146" spans="2:125" ht="12.95" customHeight="1" outlineLevel="1">
      <c r="B146" s="1">
        <f>IF(C146="",0,COUNTIFS($B$22:B145,"&gt;"&amp;0)+1)</f>
        <v>0</v>
      </c>
      <c r="C146" s="85"/>
      <c r="D146" s="86" t="str">
        <f>IFERROR(IF($C146="","",VLOOKUP($C146,'[1]Paramètres Articles'!$B:$G,2,FALSE)),"Non Trouvé")</f>
        <v/>
      </c>
      <c r="E146" s="87" t="str">
        <f>IFERROR(IF($C146="","",_xlfn.XLOOKUP(REGENERANTS!$C146,'[1]New Base PA'!$F:$F,'[1]New Base PA'!$D:$D,"Not Found",0)),"Non Trouvé")</f>
        <v/>
      </c>
      <c r="F146" s="88"/>
      <c r="H146" s="101"/>
      <c r="J146" s="90" t="str">
        <f>IFERROR(IF($C146="","",VLOOKUP($C146,'[1]New Base PA'!$F:$J,5,FALSE)),"Non Trouvé")</f>
        <v/>
      </c>
      <c r="K146" s="131" t="str">
        <f t="shared" si="73"/>
        <v/>
      </c>
      <c r="L146" s="132"/>
      <c r="M146" s="90">
        <f>IFERROR(IF(AND($F146="Produit Vente",H146&gt;0),VLOOKUP($C146,'[1]Paramètres Articles'!$B:$G,6,FALSE),0),"Non Trouvé")</f>
        <v>0</v>
      </c>
      <c r="N146" s="90" t="str">
        <f t="shared" si="74"/>
        <v/>
      </c>
      <c r="P146" s="92"/>
      <c r="R146" s="90" t="str">
        <f t="shared" si="75"/>
        <v/>
      </c>
      <c r="S146" s="91"/>
      <c r="T146" s="90" t="str">
        <f>IFERROR(IF($C146="","",VLOOKUP($C146,'[1]Paramètres Articles'!$B:$H,7,FALSE)),"Non Trouvé")</f>
        <v/>
      </c>
      <c r="U146" s="93"/>
      <c r="V146" s="90" t="str">
        <f t="shared" si="79"/>
        <v/>
      </c>
      <c r="W146" s="91"/>
      <c r="X146" s="90" t="str">
        <f t="shared" si="81"/>
        <v/>
      </c>
      <c r="Y146" s="91"/>
      <c r="Z146" s="90">
        <f t="shared" si="80"/>
        <v>0</v>
      </c>
      <c r="AB146" s="94">
        <f t="shared" si="93"/>
        <v>90</v>
      </c>
      <c r="AC146" s="94">
        <f t="shared" si="93"/>
        <v>0.17</v>
      </c>
      <c r="AD146" s="90" t="str">
        <f t="shared" si="82"/>
        <v/>
      </c>
      <c r="AG146" s="94">
        <f t="shared" si="94"/>
        <v>82</v>
      </c>
      <c r="AH146" s="94">
        <f t="shared" si="94"/>
        <v>0.13</v>
      </c>
      <c r="AI146" s="90" t="str">
        <f t="shared" si="83"/>
        <v/>
      </c>
      <c r="AL146" s="94">
        <f t="shared" si="95"/>
        <v>20</v>
      </c>
      <c r="AM146" s="94">
        <f t="shared" si="95"/>
        <v>0.08</v>
      </c>
      <c r="AN146" s="90" t="str">
        <f t="shared" si="84"/>
        <v/>
      </c>
      <c r="AQ146" s="94">
        <f t="shared" si="96"/>
        <v>0</v>
      </c>
      <c r="AR146" s="94">
        <f t="shared" si="96"/>
        <v>0.05</v>
      </c>
      <c r="AS146" s="90" t="str">
        <f t="shared" si="85"/>
        <v/>
      </c>
      <c r="AV146" s="94">
        <f t="shared" si="97"/>
        <v>16</v>
      </c>
      <c r="AW146" s="94">
        <f t="shared" si="97"/>
        <v>0.32500000000000001</v>
      </c>
      <c r="AX146" s="90" t="str">
        <f t="shared" si="86"/>
        <v/>
      </c>
      <c r="BA146" s="94">
        <f t="shared" si="98"/>
        <v>12</v>
      </c>
      <c r="BB146" s="94">
        <f t="shared" si="98"/>
        <v>0.29499999999999998</v>
      </c>
      <c r="BC146" s="90" t="str">
        <f t="shared" si="87"/>
        <v/>
      </c>
      <c r="BF146" s="94">
        <f t="shared" si="99"/>
        <v>20</v>
      </c>
      <c r="BG146" s="94">
        <f t="shared" si="99"/>
        <v>0.27500000000000002</v>
      </c>
      <c r="BH146" s="90" t="str">
        <f t="shared" si="88"/>
        <v/>
      </c>
      <c r="BK146" s="94">
        <f t="shared" si="100"/>
        <v>39</v>
      </c>
      <c r="BL146" s="94">
        <f t="shared" si="100"/>
        <v>0.245</v>
      </c>
      <c r="BM146" s="90" t="str">
        <f t="shared" si="89"/>
        <v/>
      </c>
      <c r="BP146" s="94">
        <f t="shared" si="101"/>
        <v>27</v>
      </c>
      <c r="BQ146" s="94">
        <f t="shared" si="101"/>
        <v>0.22500000000000001</v>
      </c>
      <c r="BR146" s="90" t="str">
        <f t="shared" si="90"/>
        <v/>
      </c>
      <c r="BU146" s="94">
        <f t="shared" si="102"/>
        <v>0</v>
      </c>
      <c r="BV146" s="94">
        <f t="shared" si="102"/>
        <v>0.17499999999999999</v>
      </c>
      <c r="BW146" s="90" t="str">
        <f t="shared" si="91"/>
        <v/>
      </c>
      <c r="BZ146" s="94">
        <f t="shared" si="103"/>
        <v>84</v>
      </c>
      <c r="CA146" s="94">
        <f t="shared" si="103"/>
        <v>0.15</v>
      </c>
      <c r="CB146" s="90" t="str">
        <f t="shared" si="92"/>
        <v/>
      </c>
      <c r="CE146" s="95"/>
      <c r="CF146" s="96"/>
      <c r="CG146" s="97"/>
      <c r="CH146" s="97"/>
      <c r="CI146" s="98"/>
      <c r="CK146" s="99">
        <f>IFERROR(IF(F146='[1]Paramètres Généraux'!$K$12,ROUNDUP((REGENERANTS!H146*REGENERANTS!$CF$112)*'[1]Paramètres Généraux'!$M$12,-1),IF(F146='[1]Paramètres Généraux'!$K$15,ROUNDUP((REGENERANTS!H146*REGENERANTS!$CF$112)*'[1]Paramètres Généraux'!$M$15,-1),REGENERANTS!H146*REGENERANTS!$CF$112)),"nd")</f>
        <v>0</v>
      </c>
      <c r="CN146" s="146"/>
      <c r="CO146" s="147"/>
      <c r="CP146" s="147"/>
      <c r="CQ146" s="147"/>
      <c r="CR146" s="147"/>
      <c r="CS146" s="173"/>
      <c r="CT146" s="174"/>
      <c r="CU146" s="147"/>
      <c r="CV146" s="173"/>
      <c r="CW146" s="150"/>
      <c r="CX146" s="149"/>
      <c r="CY146" s="150"/>
      <c r="CZ146" s="136"/>
      <c r="DA146" s="149"/>
      <c r="DB146" s="150"/>
      <c r="DC146" s="136"/>
      <c r="DD146" s="149"/>
      <c r="DE146" s="150"/>
      <c r="DF146" s="136"/>
      <c r="DG146" s="136"/>
      <c r="DH146" s="136"/>
      <c r="DI146" s="136"/>
      <c r="DJ146" s="136"/>
      <c r="DK146" s="136"/>
      <c r="DL146" s="136"/>
      <c r="DM146" s="136"/>
      <c r="DN146" s="136"/>
      <c r="DO146" s="149"/>
      <c r="DP146" s="150"/>
      <c r="DQ146" s="20">
        <f t="shared" si="76"/>
        <v>0</v>
      </c>
      <c r="DR146" s="20">
        <f t="shared" si="77"/>
        <v>0</v>
      </c>
      <c r="DS146" s="20">
        <f>IFERROR((IF(AND($F146="Produit Vente",CO146&gt;0),VLOOKUP($C146,'[1]Paramètres Articles'!$B:$H,7,FALSE)*$CO146)*(1-20%)),0)</f>
        <v>0</v>
      </c>
      <c r="DT146" s="20">
        <f>IFERROR((IF(AND($F146="Produit Vente",DR146&gt;0),VLOOKUP($C146,'[1]Paramètres Articles'!$B:$H,6,FALSE)*$DR146)*(1-15%)),0)</f>
        <v>0</v>
      </c>
      <c r="DU146" s="20">
        <f t="shared" si="78"/>
        <v>0</v>
      </c>
    </row>
    <row r="147" spans="2:125" ht="12.95" customHeight="1" outlineLevel="1">
      <c r="B147" s="1">
        <f>IF(C147="",0,COUNTIFS($B$22:B146,"&gt;"&amp;0)+1)</f>
        <v>0</v>
      </c>
      <c r="C147" s="85"/>
      <c r="D147" s="86" t="str">
        <f>IFERROR(IF($C147="","",VLOOKUP($C147,'[1]Paramètres Articles'!$B:$G,2,FALSE)),"Non Trouvé")</f>
        <v/>
      </c>
      <c r="E147" s="87" t="str">
        <f>IFERROR(IF($C147="","",_xlfn.XLOOKUP(REGENERANTS!$C147,'[1]New Base PA'!$F:$F,'[1]New Base PA'!$D:$D,"Not Found",0)),"Non Trouvé")</f>
        <v/>
      </c>
      <c r="F147" s="88"/>
      <c r="H147" s="101"/>
      <c r="J147" s="90" t="str">
        <f>IFERROR(IF($C147="","",VLOOKUP($C147,'[1]New Base PA'!$F:$J,5,FALSE)),"Non Trouvé")</f>
        <v/>
      </c>
      <c r="K147" s="131" t="str">
        <f t="shared" si="73"/>
        <v/>
      </c>
      <c r="L147" s="132"/>
      <c r="M147" s="90">
        <f>IFERROR(IF(AND($F147="Produit Vente",H147&gt;0),VLOOKUP($C147,'[1]Paramètres Articles'!$B:$G,6,FALSE),0),"Non Trouvé")</f>
        <v>0</v>
      </c>
      <c r="N147" s="90" t="str">
        <f t="shared" si="74"/>
        <v/>
      </c>
      <c r="P147" s="92"/>
      <c r="R147" s="90" t="str">
        <f t="shared" si="75"/>
        <v/>
      </c>
      <c r="S147" s="91"/>
      <c r="T147" s="90" t="str">
        <f>IFERROR(IF($C147="","",VLOOKUP($C147,'[1]Paramètres Articles'!$B:$H,7,FALSE)),"Non Trouvé")</f>
        <v/>
      </c>
      <c r="U147" s="93"/>
      <c r="V147" s="90" t="str">
        <f t="shared" si="79"/>
        <v/>
      </c>
      <c r="W147" s="91"/>
      <c r="X147" s="90" t="str">
        <f t="shared" si="81"/>
        <v/>
      </c>
      <c r="Y147" s="91"/>
      <c r="Z147" s="90">
        <f t="shared" si="80"/>
        <v>0</v>
      </c>
      <c r="AB147" s="94">
        <f t="shared" si="93"/>
        <v>90</v>
      </c>
      <c r="AC147" s="94">
        <f t="shared" si="93"/>
        <v>0.17</v>
      </c>
      <c r="AD147" s="90" t="str">
        <f t="shared" si="82"/>
        <v/>
      </c>
      <c r="AG147" s="94">
        <f t="shared" si="94"/>
        <v>82</v>
      </c>
      <c r="AH147" s="94">
        <f t="shared" si="94"/>
        <v>0.13</v>
      </c>
      <c r="AI147" s="90" t="str">
        <f t="shared" si="83"/>
        <v/>
      </c>
      <c r="AL147" s="94">
        <f t="shared" si="95"/>
        <v>20</v>
      </c>
      <c r="AM147" s="94">
        <f t="shared" si="95"/>
        <v>0.08</v>
      </c>
      <c r="AN147" s="90" t="str">
        <f t="shared" si="84"/>
        <v/>
      </c>
      <c r="AQ147" s="94">
        <f t="shared" si="96"/>
        <v>0</v>
      </c>
      <c r="AR147" s="94">
        <f t="shared" si="96"/>
        <v>0.05</v>
      </c>
      <c r="AS147" s="90" t="str">
        <f t="shared" si="85"/>
        <v/>
      </c>
      <c r="AV147" s="94">
        <f t="shared" si="97"/>
        <v>16</v>
      </c>
      <c r="AW147" s="94">
        <f t="shared" si="97"/>
        <v>0.32500000000000001</v>
      </c>
      <c r="AX147" s="90" t="str">
        <f t="shared" si="86"/>
        <v/>
      </c>
      <c r="BA147" s="94">
        <f t="shared" si="98"/>
        <v>12</v>
      </c>
      <c r="BB147" s="94">
        <f t="shared" si="98"/>
        <v>0.29499999999999998</v>
      </c>
      <c r="BC147" s="90" t="str">
        <f t="shared" si="87"/>
        <v/>
      </c>
      <c r="BF147" s="94">
        <f t="shared" si="99"/>
        <v>20</v>
      </c>
      <c r="BG147" s="94">
        <f t="shared" si="99"/>
        <v>0.27500000000000002</v>
      </c>
      <c r="BH147" s="90" t="str">
        <f t="shared" si="88"/>
        <v/>
      </c>
      <c r="BK147" s="94">
        <f t="shared" si="100"/>
        <v>39</v>
      </c>
      <c r="BL147" s="94">
        <f t="shared" si="100"/>
        <v>0.245</v>
      </c>
      <c r="BM147" s="90" t="str">
        <f t="shared" si="89"/>
        <v/>
      </c>
      <c r="BP147" s="94">
        <f t="shared" si="101"/>
        <v>27</v>
      </c>
      <c r="BQ147" s="94">
        <f t="shared" si="101"/>
        <v>0.22500000000000001</v>
      </c>
      <c r="BR147" s="90" t="str">
        <f t="shared" si="90"/>
        <v/>
      </c>
      <c r="BU147" s="94">
        <f t="shared" si="102"/>
        <v>0</v>
      </c>
      <c r="BV147" s="94">
        <f t="shared" si="102"/>
        <v>0.17499999999999999</v>
      </c>
      <c r="BW147" s="90" t="str">
        <f t="shared" si="91"/>
        <v/>
      </c>
      <c r="BZ147" s="94">
        <f t="shared" si="103"/>
        <v>84</v>
      </c>
      <c r="CA147" s="94">
        <f t="shared" si="103"/>
        <v>0.15</v>
      </c>
      <c r="CB147" s="90" t="str">
        <f t="shared" si="92"/>
        <v/>
      </c>
      <c r="CE147" s="95"/>
      <c r="CF147" s="96"/>
      <c r="CG147" s="97"/>
      <c r="CH147" s="97"/>
      <c r="CI147" s="98"/>
      <c r="CK147" s="99">
        <f>IFERROR(IF(F147='[1]Paramètres Généraux'!$K$12,ROUNDUP((REGENERANTS!H147*REGENERANTS!$CF$112)*'[1]Paramètres Généraux'!$M$12,-1),IF(F147='[1]Paramètres Généraux'!$K$15,ROUNDUP((REGENERANTS!H147*REGENERANTS!$CF$112)*'[1]Paramètres Généraux'!$M$15,-1),REGENERANTS!H147*REGENERANTS!$CF$112)),"nd")</f>
        <v>0</v>
      </c>
      <c r="CN147" s="146"/>
      <c r="CO147" s="147"/>
      <c r="CP147" s="147"/>
      <c r="CQ147" s="147"/>
      <c r="CR147" s="147"/>
      <c r="CS147" s="173"/>
      <c r="CT147" s="174"/>
      <c r="CU147" s="147"/>
      <c r="CV147" s="173"/>
      <c r="CW147" s="150"/>
      <c r="CX147" s="149"/>
      <c r="CY147" s="150"/>
      <c r="CZ147" s="136"/>
      <c r="DA147" s="149"/>
      <c r="DB147" s="150"/>
      <c r="DC147" s="136"/>
      <c r="DD147" s="149"/>
      <c r="DE147" s="150"/>
      <c r="DF147" s="136"/>
      <c r="DG147" s="136"/>
      <c r="DH147" s="136"/>
      <c r="DI147" s="136"/>
      <c r="DJ147" s="136"/>
      <c r="DK147" s="136"/>
      <c r="DL147" s="136"/>
      <c r="DM147" s="136"/>
      <c r="DN147" s="136"/>
      <c r="DO147" s="149"/>
      <c r="DP147" s="150"/>
      <c r="DQ147" s="20">
        <f t="shared" si="76"/>
        <v>0</v>
      </c>
      <c r="DR147" s="20">
        <f t="shared" si="77"/>
        <v>0</v>
      </c>
      <c r="DS147" s="20">
        <f>IFERROR((IF(AND($F147="Produit Vente",CO147&gt;0),VLOOKUP($C147,'[1]Paramètres Articles'!$B:$H,7,FALSE)*$CO147)*(1-20%)),0)</f>
        <v>0</v>
      </c>
      <c r="DT147" s="20">
        <f>IFERROR((IF(AND($F147="Produit Vente",DR147&gt;0),VLOOKUP($C147,'[1]Paramètres Articles'!$B:$H,6,FALSE)*$DR147)*(1-15%)),0)</f>
        <v>0</v>
      </c>
      <c r="DU147" s="20">
        <f t="shared" si="78"/>
        <v>0</v>
      </c>
    </row>
    <row r="148" spans="2:125" ht="12.95" customHeight="1" outlineLevel="1">
      <c r="B148" s="1">
        <f>IF(C148="",0,COUNTIFS($B$22:B147,"&gt;"&amp;0)+1)</f>
        <v>0</v>
      </c>
      <c r="C148" s="85"/>
      <c r="D148" s="86" t="str">
        <f>IFERROR(IF($C148="","",VLOOKUP($C148,'[1]Paramètres Articles'!$B:$G,2,FALSE)),"Non Trouvé")</f>
        <v/>
      </c>
      <c r="E148" s="87" t="str">
        <f>IFERROR(IF($C148="","",_xlfn.XLOOKUP(REGENERANTS!$C148,'[1]New Base PA'!$F:$F,'[1]New Base PA'!$D:$D,"Not Found",0)),"Non Trouvé")</f>
        <v/>
      </c>
      <c r="F148" s="88"/>
      <c r="H148" s="101"/>
      <c r="J148" s="90" t="str">
        <f>IFERROR(IF($C148="","",VLOOKUP($C148,'[1]New Base PA'!$F:$J,5,FALSE)),"Non Trouvé")</f>
        <v/>
      </c>
      <c r="K148" s="131" t="str">
        <f t="shared" si="73"/>
        <v/>
      </c>
      <c r="L148" s="132"/>
      <c r="M148" s="90">
        <f>IFERROR(IF(AND($F148="Produit Vente",H148&gt;0),VLOOKUP($C148,'[1]Paramètres Articles'!$B:$G,6,FALSE),0),"Non Trouvé")</f>
        <v>0</v>
      </c>
      <c r="N148" s="90" t="str">
        <f t="shared" si="74"/>
        <v/>
      </c>
      <c r="P148" s="92"/>
      <c r="R148" s="90" t="str">
        <f t="shared" si="75"/>
        <v/>
      </c>
      <c r="S148" s="91"/>
      <c r="T148" s="90" t="str">
        <f>IFERROR(IF($C148="","",VLOOKUP($C148,'[1]Paramètres Articles'!$B:$H,7,FALSE)),"Non Trouvé")</f>
        <v/>
      </c>
      <c r="U148" s="93"/>
      <c r="V148" s="90" t="str">
        <f t="shared" si="79"/>
        <v/>
      </c>
      <c r="W148" s="91"/>
      <c r="X148" s="90" t="str">
        <f t="shared" si="81"/>
        <v/>
      </c>
      <c r="Y148" s="91"/>
      <c r="Z148" s="90">
        <f t="shared" si="80"/>
        <v>0</v>
      </c>
      <c r="AB148" s="94">
        <f t="shared" si="93"/>
        <v>90</v>
      </c>
      <c r="AC148" s="94">
        <f t="shared" si="93"/>
        <v>0.17</v>
      </c>
      <c r="AD148" s="90" t="str">
        <f t="shared" si="82"/>
        <v/>
      </c>
      <c r="AG148" s="94">
        <f t="shared" si="94"/>
        <v>82</v>
      </c>
      <c r="AH148" s="94">
        <f t="shared" si="94"/>
        <v>0.13</v>
      </c>
      <c r="AI148" s="90" t="str">
        <f t="shared" si="83"/>
        <v/>
      </c>
      <c r="AL148" s="94">
        <f t="shared" si="95"/>
        <v>20</v>
      </c>
      <c r="AM148" s="94">
        <f t="shared" si="95"/>
        <v>0.08</v>
      </c>
      <c r="AN148" s="90" t="str">
        <f t="shared" si="84"/>
        <v/>
      </c>
      <c r="AQ148" s="94">
        <f t="shared" si="96"/>
        <v>0</v>
      </c>
      <c r="AR148" s="94">
        <f t="shared" si="96"/>
        <v>0.05</v>
      </c>
      <c r="AS148" s="90" t="str">
        <f t="shared" si="85"/>
        <v/>
      </c>
      <c r="AV148" s="94">
        <f t="shared" si="97"/>
        <v>16</v>
      </c>
      <c r="AW148" s="94">
        <f t="shared" si="97"/>
        <v>0.32500000000000001</v>
      </c>
      <c r="AX148" s="90" t="str">
        <f t="shared" si="86"/>
        <v/>
      </c>
      <c r="BA148" s="94">
        <f t="shared" si="98"/>
        <v>12</v>
      </c>
      <c r="BB148" s="94">
        <f t="shared" si="98"/>
        <v>0.29499999999999998</v>
      </c>
      <c r="BC148" s="90" t="str">
        <f t="shared" si="87"/>
        <v/>
      </c>
      <c r="BF148" s="94">
        <f t="shared" si="99"/>
        <v>20</v>
      </c>
      <c r="BG148" s="94">
        <f t="shared" si="99"/>
        <v>0.27500000000000002</v>
      </c>
      <c r="BH148" s="90" t="str">
        <f t="shared" si="88"/>
        <v/>
      </c>
      <c r="BK148" s="94">
        <f t="shared" si="100"/>
        <v>39</v>
      </c>
      <c r="BL148" s="94">
        <f t="shared" si="100"/>
        <v>0.245</v>
      </c>
      <c r="BM148" s="90" t="str">
        <f t="shared" si="89"/>
        <v/>
      </c>
      <c r="BP148" s="94">
        <f t="shared" si="101"/>
        <v>27</v>
      </c>
      <c r="BQ148" s="94">
        <f t="shared" si="101"/>
        <v>0.22500000000000001</v>
      </c>
      <c r="BR148" s="90" t="str">
        <f t="shared" si="90"/>
        <v/>
      </c>
      <c r="BU148" s="94">
        <f t="shared" si="102"/>
        <v>0</v>
      </c>
      <c r="BV148" s="94">
        <f t="shared" si="102"/>
        <v>0.17499999999999999</v>
      </c>
      <c r="BW148" s="90" t="str">
        <f t="shared" si="91"/>
        <v/>
      </c>
      <c r="BZ148" s="94">
        <f t="shared" si="103"/>
        <v>84</v>
      </c>
      <c r="CA148" s="94">
        <f t="shared" si="103"/>
        <v>0.15</v>
      </c>
      <c r="CB148" s="90" t="str">
        <f t="shared" si="92"/>
        <v/>
      </c>
      <c r="CE148" s="95"/>
      <c r="CF148" s="96"/>
      <c r="CG148" s="97"/>
      <c r="CH148" s="97"/>
      <c r="CI148" s="98"/>
      <c r="CK148" s="99">
        <f>IFERROR(IF(F148='[1]Paramètres Généraux'!$K$12,ROUNDUP((REGENERANTS!H148*REGENERANTS!$CF$112)*'[1]Paramètres Généraux'!$M$12,-1),IF(F148='[1]Paramètres Généraux'!$K$15,ROUNDUP((REGENERANTS!H148*REGENERANTS!$CF$112)*'[1]Paramètres Généraux'!$M$15,-1),REGENERANTS!H148*REGENERANTS!$CF$112)),"nd")</f>
        <v>0</v>
      </c>
      <c r="CN148" s="146"/>
      <c r="CO148" s="147"/>
      <c r="CP148" s="147"/>
      <c r="CQ148" s="147"/>
      <c r="CR148" s="147"/>
      <c r="CS148" s="173"/>
      <c r="CT148" s="174"/>
      <c r="CU148" s="147"/>
      <c r="CV148" s="173"/>
      <c r="CW148" s="150"/>
      <c r="CX148" s="149"/>
      <c r="CY148" s="150"/>
      <c r="CZ148" s="136"/>
      <c r="DA148" s="149"/>
      <c r="DB148" s="150"/>
      <c r="DC148" s="136"/>
      <c r="DD148" s="149"/>
      <c r="DE148" s="150"/>
      <c r="DF148" s="136"/>
      <c r="DG148" s="136"/>
      <c r="DH148" s="136"/>
      <c r="DI148" s="136"/>
      <c r="DJ148" s="136"/>
      <c r="DK148" s="136"/>
      <c r="DL148" s="136"/>
      <c r="DM148" s="136"/>
      <c r="DN148" s="136"/>
      <c r="DO148" s="149"/>
      <c r="DP148" s="150"/>
      <c r="DQ148" s="20">
        <f t="shared" si="76"/>
        <v>0</v>
      </c>
      <c r="DR148" s="20">
        <f t="shared" si="77"/>
        <v>0</v>
      </c>
      <c r="DS148" s="20">
        <f>IFERROR((IF(AND($F148="Produit Vente",CO148&gt;0),VLOOKUP($C148,'[1]Paramètres Articles'!$B:$H,7,FALSE)*$CO148)*(1-20%)),0)</f>
        <v>0</v>
      </c>
      <c r="DT148" s="20">
        <f>IFERROR((IF(AND($F148="Produit Vente",DR148&gt;0),VLOOKUP($C148,'[1]Paramètres Articles'!$B:$H,6,FALSE)*$DR148)*(1-15%)),0)</f>
        <v>0</v>
      </c>
      <c r="DU148" s="20">
        <f t="shared" si="78"/>
        <v>0</v>
      </c>
    </row>
    <row r="149" spans="2:125" ht="12.95" customHeight="1" outlineLevel="1">
      <c r="B149" s="1">
        <f>IF(C149="",0,COUNTIFS($B$22:B148,"&gt;"&amp;0)+1)</f>
        <v>0</v>
      </c>
      <c r="C149" s="85"/>
      <c r="D149" s="86" t="str">
        <f>IFERROR(IF($C149="","",VLOOKUP($C149,'[1]Paramètres Articles'!$B:$G,2,FALSE)),"Non Trouvé")</f>
        <v/>
      </c>
      <c r="E149" s="87" t="str">
        <f>IFERROR(IF($C149="","",_xlfn.XLOOKUP(REGENERANTS!$C149,'[1]New Base PA'!$F:$F,'[1]New Base PA'!$D:$D,"Not Found",0)),"Non Trouvé")</f>
        <v/>
      </c>
      <c r="F149" s="88"/>
      <c r="H149" s="101"/>
      <c r="J149" s="90" t="str">
        <f>IFERROR(IF($C149="","",VLOOKUP($C149,'[1]New Base PA'!$F:$J,5,FALSE)),"Non Trouvé")</f>
        <v/>
      </c>
      <c r="K149" s="131" t="str">
        <f t="shared" si="73"/>
        <v/>
      </c>
      <c r="L149" s="132"/>
      <c r="M149" s="90">
        <f>IFERROR(IF(AND($F149="Produit Vente",H149&gt;0),VLOOKUP($C149,'[1]Paramètres Articles'!$B:$G,6,FALSE),0),"Non Trouvé")</f>
        <v>0</v>
      </c>
      <c r="N149" s="90" t="str">
        <f t="shared" si="74"/>
        <v/>
      </c>
      <c r="P149" s="92"/>
      <c r="R149" s="90" t="str">
        <f t="shared" si="75"/>
        <v/>
      </c>
      <c r="S149" s="91"/>
      <c r="T149" s="90" t="str">
        <f>IFERROR(IF($C149="","",VLOOKUP($C149,'[1]Paramètres Articles'!$B:$H,7,FALSE)),"Non Trouvé")</f>
        <v/>
      </c>
      <c r="U149" s="93"/>
      <c r="V149" s="90" t="str">
        <f t="shared" si="79"/>
        <v/>
      </c>
      <c r="W149" s="91"/>
      <c r="X149" s="90" t="str">
        <f t="shared" si="81"/>
        <v/>
      </c>
      <c r="Y149" s="91"/>
      <c r="Z149" s="90">
        <f t="shared" si="80"/>
        <v>0</v>
      </c>
      <c r="AB149" s="94">
        <f t="shared" si="93"/>
        <v>90</v>
      </c>
      <c r="AC149" s="94">
        <f t="shared" si="93"/>
        <v>0.17</v>
      </c>
      <c r="AD149" s="90" t="str">
        <f t="shared" si="82"/>
        <v/>
      </c>
      <c r="AG149" s="94">
        <f t="shared" si="94"/>
        <v>82</v>
      </c>
      <c r="AH149" s="94">
        <f t="shared" si="94"/>
        <v>0.13</v>
      </c>
      <c r="AI149" s="90" t="str">
        <f t="shared" si="83"/>
        <v/>
      </c>
      <c r="AL149" s="94">
        <f t="shared" si="95"/>
        <v>20</v>
      </c>
      <c r="AM149" s="94">
        <f t="shared" si="95"/>
        <v>0.08</v>
      </c>
      <c r="AN149" s="90" t="str">
        <f t="shared" si="84"/>
        <v/>
      </c>
      <c r="AQ149" s="94">
        <f t="shared" si="96"/>
        <v>0</v>
      </c>
      <c r="AR149" s="94">
        <f t="shared" si="96"/>
        <v>0.05</v>
      </c>
      <c r="AS149" s="90" t="str">
        <f t="shared" si="85"/>
        <v/>
      </c>
      <c r="AV149" s="94">
        <f t="shared" si="97"/>
        <v>16</v>
      </c>
      <c r="AW149" s="94">
        <f t="shared" si="97"/>
        <v>0.32500000000000001</v>
      </c>
      <c r="AX149" s="90" t="str">
        <f t="shared" si="86"/>
        <v/>
      </c>
      <c r="BA149" s="94">
        <f t="shared" si="98"/>
        <v>12</v>
      </c>
      <c r="BB149" s="94">
        <f t="shared" si="98"/>
        <v>0.29499999999999998</v>
      </c>
      <c r="BC149" s="90" t="str">
        <f t="shared" si="87"/>
        <v/>
      </c>
      <c r="BF149" s="94">
        <f t="shared" si="99"/>
        <v>20</v>
      </c>
      <c r="BG149" s="94">
        <f t="shared" si="99"/>
        <v>0.27500000000000002</v>
      </c>
      <c r="BH149" s="90" t="str">
        <f t="shared" si="88"/>
        <v/>
      </c>
      <c r="BK149" s="94">
        <f t="shared" si="100"/>
        <v>39</v>
      </c>
      <c r="BL149" s="94">
        <f t="shared" si="100"/>
        <v>0.245</v>
      </c>
      <c r="BM149" s="90" t="str">
        <f t="shared" si="89"/>
        <v/>
      </c>
      <c r="BP149" s="94">
        <f t="shared" si="101"/>
        <v>27</v>
      </c>
      <c r="BQ149" s="94">
        <f t="shared" si="101"/>
        <v>0.22500000000000001</v>
      </c>
      <c r="BR149" s="90" t="str">
        <f t="shared" si="90"/>
        <v/>
      </c>
      <c r="BU149" s="94">
        <f t="shared" si="102"/>
        <v>0</v>
      </c>
      <c r="BV149" s="94">
        <f t="shared" si="102"/>
        <v>0.17499999999999999</v>
      </c>
      <c r="BW149" s="90" t="str">
        <f t="shared" si="91"/>
        <v/>
      </c>
      <c r="BZ149" s="94">
        <f t="shared" si="103"/>
        <v>84</v>
      </c>
      <c r="CA149" s="94">
        <f t="shared" si="103"/>
        <v>0.15</v>
      </c>
      <c r="CB149" s="90" t="str">
        <f t="shared" si="92"/>
        <v/>
      </c>
      <c r="CE149" s="95"/>
      <c r="CF149" s="96"/>
      <c r="CG149" s="97"/>
      <c r="CH149" s="97"/>
      <c r="CI149" s="98"/>
      <c r="CK149" s="99">
        <f>IFERROR(IF(F149='[1]Paramètres Généraux'!$K$12,ROUNDUP((REGENERANTS!H149*REGENERANTS!$CF$112)*'[1]Paramètres Généraux'!$M$12,-1),IF(F149='[1]Paramètres Généraux'!$K$15,ROUNDUP((REGENERANTS!H149*REGENERANTS!$CF$112)*'[1]Paramètres Généraux'!$M$15,-1),REGENERANTS!H149*REGENERANTS!$CF$112)),"nd")</f>
        <v>0</v>
      </c>
      <c r="CN149" s="146"/>
      <c r="CO149" s="147"/>
      <c r="CP149" s="147"/>
      <c r="CQ149" s="147"/>
      <c r="CR149" s="147"/>
      <c r="CS149" s="173"/>
      <c r="CT149" s="174"/>
      <c r="CU149" s="147"/>
      <c r="CV149" s="173"/>
      <c r="CW149" s="150"/>
      <c r="CX149" s="149"/>
      <c r="CY149" s="150"/>
      <c r="CZ149" s="136"/>
      <c r="DA149" s="149"/>
      <c r="DB149" s="150"/>
      <c r="DC149" s="136"/>
      <c r="DD149" s="149"/>
      <c r="DE149" s="150"/>
      <c r="DF149" s="136"/>
      <c r="DG149" s="136"/>
      <c r="DH149" s="136"/>
      <c r="DI149" s="136"/>
      <c r="DJ149" s="136"/>
      <c r="DK149" s="136"/>
      <c r="DL149" s="136"/>
      <c r="DM149" s="136"/>
      <c r="DN149" s="136"/>
      <c r="DO149" s="149"/>
      <c r="DP149" s="150"/>
      <c r="DQ149" s="20">
        <f t="shared" si="76"/>
        <v>0</v>
      </c>
      <c r="DR149" s="20">
        <f t="shared" si="77"/>
        <v>0</v>
      </c>
      <c r="DS149" s="20">
        <f>IFERROR((IF(AND($F149="Produit Vente",CO149&gt;0),VLOOKUP($C149,'[1]Paramètres Articles'!$B:$H,7,FALSE)*$CO149)*(1-20%)),0)</f>
        <v>0</v>
      </c>
      <c r="DT149" s="20">
        <f>IFERROR((IF(AND($F149="Produit Vente",DR149&gt;0),VLOOKUP($C149,'[1]Paramètres Articles'!$B:$H,6,FALSE)*$DR149)*(1-15%)),0)</f>
        <v>0</v>
      </c>
      <c r="DU149" s="20">
        <f t="shared" si="78"/>
        <v>0</v>
      </c>
    </row>
    <row r="150" spans="2:125" ht="12.95" customHeight="1" outlineLevel="1">
      <c r="B150" s="1">
        <f>IF(C150="",0,COUNTIFS($B$22:B149,"&gt;"&amp;0)+1)</f>
        <v>0</v>
      </c>
      <c r="C150" s="85"/>
      <c r="D150" s="86" t="str">
        <f>IFERROR(IF($C150="","",VLOOKUP($C150,'[1]Paramètres Articles'!$B:$G,2,FALSE)),"Non Trouvé")</f>
        <v/>
      </c>
      <c r="E150" s="87" t="str">
        <f>IFERROR(IF($C150="","",_xlfn.XLOOKUP(REGENERANTS!$C150,'[1]New Base PA'!$F:$F,'[1]New Base PA'!$D:$D,"Not Found",0)),"Non Trouvé")</f>
        <v/>
      </c>
      <c r="F150" s="88"/>
      <c r="H150" s="101"/>
      <c r="J150" s="90" t="str">
        <f>IFERROR(IF($C150="","",VLOOKUP($C150,'[1]New Base PA'!$F:$J,5,FALSE)),"Non Trouvé")</f>
        <v/>
      </c>
      <c r="K150" s="131" t="str">
        <f t="shared" si="73"/>
        <v/>
      </c>
      <c r="L150" s="132"/>
      <c r="M150" s="90">
        <f>IFERROR(IF(AND($F150="Produit Vente",H150&gt;0),VLOOKUP($C150,'[1]Paramètres Articles'!$B:$G,6,FALSE),0),"Non Trouvé")</f>
        <v>0</v>
      </c>
      <c r="N150" s="90" t="str">
        <f t="shared" si="74"/>
        <v/>
      </c>
      <c r="P150" s="92"/>
      <c r="R150" s="90" t="str">
        <f t="shared" si="75"/>
        <v/>
      </c>
      <c r="S150" s="91"/>
      <c r="T150" s="90" t="str">
        <f>IFERROR(IF($C150="","",VLOOKUP($C150,'[1]Paramètres Articles'!$B:$H,7,FALSE)),"Non Trouvé")</f>
        <v/>
      </c>
      <c r="U150" s="93"/>
      <c r="V150" s="90" t="str">
        <f t="shared" si="79"/>
        <v/>
      </c>
      <c r="W150" s="91"/>
      <c r="X150" s="90" t="str">
        <f t="shared" si="81"/>
        <v/>
      </c>
      <c r="Y150" s="91"/>
      <c r="Z150" s="90">
        <f t="shared" si="80"/>
        <v>0</v>
      </c>
      <c r="AB150" s="94">
        <f t="shared" si="93"/>
        <v>90</v>
      </c>
      <c r="AC150" s="94">
        <f t="shared" si="93"/>
        <v>0.17</v>
      </c>
      <c r="AD150" s="90" t="str">
        <f t="shared" si="82"/>
        <v/>
      </c>
      <c r="AG150" s="94">
        <f t="shared" si="94"/>
        <v>82</v>
      </c>
      <c r="AH150" s="94">
        <f t="shared" si="94"/>
        <v>0.13</v>
      </c>
      <c r="AI150" s="90" t="str">
        <f t="shared" si="83"/>
        <v/>
      </c>
      <c r="AL150" s="94">
        <f t="shared" si="95"/>
        <v>20</v>
      </c>
      <c r="AM150" s="94">
        <f t="shared" si="95"/>
        <v>0.08</v>
      </c>
      <c r="AN150" s="90" t="str">
        <f t="shared" si="84"/>
        <v/>
      </c>
      <c r="AQ150" s="94">
        <f t="shared" si="96"/>
        <v>0</v>
      </c>
      <c r="AR150" s="94">
        <f t="shared" si="96"/>
        <v>0.05</v>
      </c>
      <c r="AS150" s="90" t="str">
        <f t="shared" si="85"/>
        <v/>
      </c>
      <c r="AV150" s="94">
        <f t="shared" si="97"/>
        <v>16</v>
      </c>
      <c r="AW150" s="94">
        <f t="shared" si="97"/>
        <v>0.32500000000000001</v>
      </c>
      <c r="AX150" s="90" t="str">
        <f t="shared" si="86"/>
        <v/>
      </c>
      <c r="BA150" s="94">
        <f t="shared" si="98"/>
        <v>12</v>
      </c>
      <c r="BB150" s="94">
        <f t="shared" si="98"/>
        <v>0.29499999999999998</v>
      </c>
      <c r="BC150" s="90" t="str">
        <f t="shared" si="87"/>
        <v/>
      </c>
      <c r="BF150" s="94">
        <f t="shared" si="99"/>
        <v>20</v>
      </c>
      <c r="BG150" s="94">
        <f t="shared" si="99"/>
        <v>0.27500000000000002</v>
      </c>
      <c r="BH150" s="90" t="str">
        <f t="shared" si="88"/>
        <v/>
      </c>
      <c r="BK150" s="94">
        <f t="shared" si="100"/>
        <v>39</v>
      </c>
      <c r="BL150" s="94">
        <f t="shared" si="100"/>
        <v>0.245</v>
      </c>
      <c r="BM150" s="90" t="str">
        <f t="shared" si="89"/>
        <v/>
      </c>
      <c r="BP150" s="94">
        <f t="shared" si="101"/>
        <v>27</v>
      </c>
      <c r="BQ150" s="94">
        <f t="shared" si="101"/>
        <v>0.22500000000000001</v>
      </c>
      <c r="BR150" s="90" t="str">
        <f t="shared" si="90"/>
        <v/>
      </c>
      <c r="BU150" s="94">
        <f t="shared" si="102"/>
        <v>0</v>
      </c>
      <c r="BV150" s="94">
        <f t="shared" si="102"/>
        <v>0.17499999999999999</v>
      </c>
      <c r="BW150" s="90" t="str">
        <f t="shared" si="91"/>
        <v/>
      </c>
      <c r="BZ150" s="94">
        <f t="shared" si="103"/>
        <v>84</v>
      </c>
      <c r="CA150" s="94">
        <f t="shared" si="103"/>
        <v>0.15</v>
      </c>
      <c r="CB150" s="90" t="str">
        <f t="shared" si="92"/>
        <v/>
      </c>
      <c r="CE150" s="95"/>
      <c r="CF150" s="96"/>
      <c r="CG150" s="97"/>
      <c r="CH150" s="97"/>
      <c r="CI150" s="98"/>
      <c r="CK150" s="99">
        <f>IFERROR(IF(F150='[1]Paramètres Généraux'!$K$12,ROUNDUP((REGENERANTS!H150*REGENERANTS!$CF$112)*'[1]Paramètres Généraux'!$M$12,-1),IF(F150='[1]Paramètres Généraux'!$K$15,ROUNDUP((REGENERANTS!H150*REGENERANTS!$CF$112)*'[1]Paramètres Généraux'!$M$15,-1),REGENERANTS!H150*REGENERANTS!$CF$112)),"nd")</f>
        <v>0</v>
      </c>
      <c r="CN150" s="146"/>
      <c r="CO150" s="147"/>
      <c r="CP150" s="147"/>
      <c r="CQ150" s="147"/>
      <c r="CR150" s="147"/>
      <c r="CS150" s="173"/>
      <c r="CT150" s="174"/>
      <c r="CU150" s="147"/>
      <c r="CV150" s="173"/>
      <c r="CW150" s="150"/>
      <c r="CX150" s="149"/>
      <c r="CY150" s="150"/>
      <c r="CZ150" s="136"/>
      <c r="DA150" s="149"/>
      <c r="DB150" s="150"/>
      <c r="DC150" s="136"/>
      <c r="DD150" s="149"/>
      <c r="DE150" s="150"/>
      <c r="DF150" s="136"/>
      <c r="DG150" s="136"/>
      <c r="DH150" s="136"/>
      <c r="DI150" s="136"/>
      <c r="DJ150" s="136"/>
      <c r="DK150" s="136"/>
      <c r="DL150" s="136"/>
      <c r="DM150" s="136"/>
      <c r="DN150" s="136"/>
      <c r="DO150" s="149"/>
      <c r="DP150" s="150"/>
      <c r="DQ150" s="20">
        <f t="shared" si="76"/>
        <v>0</v>
      </c>
      <c r="DR150" s="20">
        <f t="shared" si="77"/>
        <v>0</v>
      </c>
      <c r="DS150" s="20">
        <f>IFERROR((IF(AND($F150="Produit Vente",CO150&gt;0),VLOOKUP($C150,'[1]Paramètres Articles'!$B:$H,7,FALSE)*$CO150)*(1-20%)),0)</f>
        <v>0</v>
      </c>
      <c r="DT150" s="20">
        <f>IFERROR((IF(AND($F150="Produit Vente",DR150&gt;0),VLOOKUP($C150,'[1]Paramètres Articles'!$B:$H,6,FALSE)*$DR150)*(1-15%)),0)</f>
        <v>0</v>
      </c>
      <c r="DU150" s="20">
        <f t="shared" si="78"/>
        <v>0</v>
      </c>
    </row>
    <row r="151" spans="2:125" ht="12.95" customHeight="1" outlineLevel="1">
      <c r="B151" s="1">
        <f>IF(C151="",0,COUNTIFS($B$22:B150,"&gt;"&amp;0)+1)</f>
        <v>0</v>
      </c>
      <c r="C151" s="85"/>
      <c r="D151" s="86" t="str">
        <f>IFERROR(IF($C151="","",VLOOKUP($C151,'[1]Paramètres Articles'!$B:$G,2,FALSE)),"Non Trouvé")</f>
        <v/>
      </c>
      <c r="E151" s="87" t="str">
        <f>IFERROR(IF($C151="","",_xlfn.XLOOKUP(REGENERANTS!$C151,'[1]New Base PA'!$F:$F,'[1]New Base PA'!$D:$D,"Not Found",0)),"Non Trouvé")</f>
        <v/>
      </c>
      <c r="F151" s="88"/>
      <c r="H151" s="101"/>
      <c r="J151" s="90" t="str">
        <f>IFERROR(IF($C151="","",VLOOKUP($C151,'[1]New Base PA'!$F:$J,5,FALSE)),"Non Trouvé")</f>
        <v/>
      </c>
      <c r="K151" s="131" t="str">
        <f t="shared" si="73"/>
        <v/>
      </c>
      <c r="L151" s="132"/>
      <c r="M151" s="90">
        <f>IFERROR(IF(AND($F151="Produit Vente",H151&gt;0),VLOOKUP($C151,'[1]Paramètres Articles'!$B:$G,6,FALSE),0),"Non Trouvé")</f>
        <v>0</v>
      </c>
      <c r="N151" s="90" t="str">
        <f t="shared" si="74"/>
        <v/>
      </c>
      <c r="P151" s="92"/>
      <c r="R151" s="90" t="str">
        <f t="shared" si="75"/>
        <v/>
      </c>
      <c r="S151" s="91"/>
      <c r="T151" s="90" t="str">
        <f>IFERROR(IF($C151="","",VLOOKUP($C151,'[1]Paramètres Articles'!$B:$H,7,FALSE)),"Non Trouvé")</f>
        <v/>
      </c>
      <c r="U151" s="93"/>
      <c r="V151" s="90" t="str">
        <f t="shared" si="79"/>
        <v/>
      </c>
      <c r="W151" s="91"/>
      <c r="X151" s="90" t="str">
        <f t="shared" si="81"/>
        <v/>
      </c>
      <c r="Y151" s="91"/>
      <c r="Z151" s="90">
        <f t="shared" si="80"/>
        <v>0</v>
      </c>
      <c r="AB151" s="94">
        <f t="shared" si="93"/>
        <v>90</v>
      </c>
      <c r="AC151" s="94">
        <f t="shared" si="93"/>
        <v>0.17</v>
      </c>
      <c r="AD151" s="90" t="str">
        <f t="shared" si="82"/>
        <v/>
      </c>
      <c r="AG151" s="94">
        <f t="shared" si="94"/>
        <v>82</v>
      </c>
      <c r="AH151" s="94">
        <f t="shared" si="94"/>
        <v>0.13</v>
      </c>
      <c r="AI151" s="90" t="str">
        <f t="shared" si="83"/>
        <v/>
      </c>
      <c r="AL151" s="94">
        <f t="shared" si="95"/>
        <v>20</v>
      </c>
      <c r="AM151" s="94">
        <f t="shared" si="95"/>
        <v>0.08</v>
      </c>
      <c r="AN151" s="90" t="str">
        <f t="shared" si="84"/>
        <v/>
      </c>
      <c r="AQ151" s="94">
        <f t="shared" si="96"/>
        <v>0</v>
      </c>
      <c r="AR151" s="94">
        <f t="shared" si="96"/>
        <v>0.05</v>
      </c>
      <c r="AS151" s="90" t="str">
        <f t="shared" si="85"/>
        <v/>
      </c>
      <c r="AV151" s="94">
        <f t="shared" si="97"/>
        <v>16</v>
      </c>
      <c r="AW151" s="94">
        <f t="shared" si="97"/>
        <v>0.32500000000000001</v>
      </c>
      <c r="AX151" s="90" t="str">
        <f t="shared" si="86"/>
        <v/>
      </c>
      <c r="BA151" s="94">
        <f t="shared" si="98"/>
        <v>12</v>
      </c>
      <c r="BB151" s="94">
        <f t="shared" si="98"/>
        <v>0.29499999999999998</v>
      </c>
      <c r="BC151" s="90" t="str">
        <f t="shared" si="87"/>
        <v/>
      </c>
      <c r="BF151" s="94">
        <f t="shared" si="99"/>
        <v>20</v>
      </c>
      <c r="BG151" s="94">
        <f t="shared" si="99"/>
        <v>0.27500000000000002</v>
      </c>
      <c r="BH151" s="90" t="str">
        <f t="shared" si="88"/>
        <v/>
      </c>
      <c r="BK151" s="94">
        <f t="shared" si="100"/>
        <v>39</v>
      </c>
      <c r="BL151" s="94">
        <f t="shared" si="100"/>
        <v>0.245</v>
      </c>
      <c r="BM151" s="90" t="str">
        <f t="shared" si="89"/>
        <v/>
      </c>
      <c r="BP151" s="94">
        <f t="shared" si="101"/>
        <v>27</v>
      </c>
      <c r="BQ151" s="94">
        <f t="shared" si="101"/>
        <v>0.22500000000000001</v>
      </c>
      <c r="BR151" s="90" t="str">
        <f t="shared" si="90"/>
        <v/>
      </c>
      <c r="BU151" s="94">
        <f t="shared" si="102"/>
        <v>0</v>
      </c>
      <c r="BV151" s="94">
        <f t="shared" si="102"/>
        <v>0.17499999999999999</v>
      </c>
      <c r="BW151" s="90" t="str">
        <f t="shared" si="91"/>
        <v/>
      </c>
      <c r="BZ151" s="94">
        <f t="shared" si="103"/>
        <v>84</v>
      </c>
      <c r="CA151" s="94">
        <f t="shared" si="103"/>
        <v>0.15</v>
      </c>
      <c r="CB151" s="90" t="str">
        <f t="shared" si="92"/>
        <v/>
      </c>
      <c r="CE151" s="95"/>
      <c r="CF151" s="96"/>
      <c r="CG151" s="97"/>
      <c r="CH151" s="97"/>
      <c r="CI151" s="98"/>
      <c r="CK151" s="99">
        <f>IFERROR(IF(F151='[1]Paramètres Généraux'!$K$12,ROUNDUP((REGENERANTS!H151*REGENERANTS!$CF$112)*'[1]Paramètres Généraux'!$M$12,-1),IF(F151='[1]Paramètres Généraux'!$K$15,ROUNDUP((REGENERANTS!H151*REGENERANTS!$CF$112)*'[1]Paramètres Généraux'!$M$15,-1),REGENERANTS!H151*REGENERANTS!$CF$112)),"nd")</f>
        <v>0</v>
      </c>
      <c r="CN151" s="146"/>
      <c r="CO151" s="147"/>
      <c r="CP151" s="147"/>
      <c r="CQ151" s="147"/>
      <c r="CR151" s="147"/>
      <c r="CS151" s="173"/>
      <c r="CT151" s="174"/>
      <c r="CU151" s="147"/>
      <c r="CV151" s="173"/>
      <c r="CW151" s="150"/>
      <c r="CX151" s="149"/>
      <c r="CY151" s="150"/>
      <c r="CZ151" s="136"/>
      <c r="DA151" s="149"/>
      <c r="DB151" s="150"/>
      <c r="DC151" s="136"/>
      <c r="DD151" s="149"/>
      <c r="DE151" s="150"/>
      <c r="DF151" s="136"/>
      <c r="DG151" s="136"/>
      <c r="DH151" s="136"/>
      <c r="DI151" s="136"/>
      <c r="DJ151" s="136"/>
      <c r="DK151" s="136"/>
      <c r="DL151" s="136"/>
      <c r="DM151" s="136"/>
      <c r="DN151" s="136"/>
      <c r="DO151" s="149"/>
      <c r="DP151" s="150"/>
      <c r="DQ151" s="20">
        <f t="shared" si="76"/>
        <v>0</v>
      </c>
      <c r="DR151" s="20">
        <f t="shared" si="77"/>
        <v>0</v>
      </c>
      <c r="DS151" s="20">
        <f>IFERROR((IF(AND($F151="Produit Vente",CO151&gt;0),VLOOKUP($C151,'[1]Paramètres Articles'!$B:$H,7,FALSE)*$CO151)*(1-20%)),0)</f>
        <v>0</v>
      </c>
      <c r="DT151" s="20">
        <f>IFERROR((IF(AND($F151="Produit Vente",DR151&gt;0),VLOOKUP($C151,'[1]Paramètres Articles'!$B:$H,6,FALSE)*$DR151)*(1-15%)),0)</f>
        <v>0</v>
      </c>
      <c r="DU151" s="20">
        <f t="shared" si="78"/>
        <v>0</v>
      </c>
    </row>
    <row r="152" spans="2:125" ht="12.95" customHeight="1" outlineLevel="1">
      <c r="B152" s="1">
        <f>IF(C152="",0,COUNTIFS($B$22:B151,"&gt;"&amp;0)+1)</f>
        <v>0</v>
      </c>
      <c r="C152" s="85"/>
      <c r="D152" s="86" t="str">
        <f>IFERROR(IF($C152="","",VLOOKUP($C152,'[1]Paramètres Articles'!$B:$G,2,FALSE)),"Non Trouvé")</f>
        <v/>
      </c>
      <c r="E152" s="87" t="str">
        <f>IFERROR(IF($C152="","",_xlfn.XLOOKUP(REGENERANTS!$C152,'[1]New Base PA'!$F:$F,'[1]New Base PA'!$D:$D,"Not Found",0)),"Non Trouvé")</f>
        <v/>
      </c>
      <c r="F152" s="88"/>
      <c r="H152" s="101"/>
      <c r="J152" s="90" t="str">
        <f>IFERROR(IF($C152="","",VLOOKUP($C152,'[1]New Base PA'!$F:$J,5,FALSE)),"Non Trouvé")</f>
        <v/>
      </c>
      <c r="K152" s="131" t="str">
        <f t="shared" si="73"/>
        <v/>
      </c>
      <c r="L152" s="132"/>
      <c r="M152" s="90">
        <f>IFERROR(IF(AND($F152="Produit Vente",H152&gt;0),VLOOKUP($C152,'[1]Paramètres Articles'!$B:$G,6,FALSE),0),"Non Trouvé")</f>
        <v>0</v>
      </c>
      <c r="N152" s="90" t="str">
        <f t="shared" si="74"/>
        <v/>
      </c>
      <c r="P152" s="92"/>
      <c r="R152" s="90" t="str">
        <f t="shared" si="75"/>
        <v/>
      </c>
      <c r="S152" s="91"/>
      <c r="T152" s="90" t="str">
        <f>IFERROR(IF($C152="","",VLOOKUP($C152,'[1]Paramètres Articles'!$B:$H,7,FALSE)),"Non Trouvé")</f>
        <v/>
      </c>
      <c r="U152" s="93"/>
      <c r="V152" s="90" t="str">
        <f t="shared" si="79"/>
        <v/>
      </c>
      <c r="W152" s="91"/>
      <c r="X152" s="90" t="str">
        <f t="shared" si="81"/>
        <v/>
      </c>
      <c r="Y152" s="91"/>
      <c r="Z152" s="90">
        <f t="shared" si="80"/>
        <v>0</v>
      </c>
      <c r="AB152" s="94">
        <f t="shared" si="93"/>
        <v>90</v>
      </c>
      <c r="AC152" s="94">
        <f t="shared" si="93"/>
        <v>0.17</v>
      </c>
      <c r="AD152" s="90" t="str">
        <f t="shared" si="82"/>
        <v/>
      </c>
      <c r="AG152" s="94">
        <f t="shared" si="94"/>
        <v>82</v>
      </c>
      <c r="AH152" s="94">
        <f t="shared" si="94"/>
        <v>0.13</v>
      </c>
      <c r="AI152" s="90" t="str">
        <f t="shared" si="83"/>
        <v/>
      </c>
      <c r="AL152" s="94">
        <f t="shared" si="95"/>
        <v>20</v>
      </c>
      <c r="AM152" s="94">
        <f t="shared" si="95"/>
        <v>0.08</v>
      </c>
      <c r="AN152" s="90" t="str">
        <f t="shared" si="84"/>
        <v/>
      </c>
      <c r="AQ152" s="94">
        <f t="shared" si="96"/>
        <v>0</v>
      </c>
      <c r="AR152" s="94">
        <f t="shared" si="96"/>
        <v>0.05</v>
      </c>
      <c r="AS152" s="90" t="str">
        <f t="shared" si="85"/>
        <v/>
      </c>
      <c r="AV152" s="94">
        <f t="shared" si="97"/>
        <v>16</v>
      </c>
      <c r="AW152" s="94">
        <f t="shared" si="97"/>
        <v>0.32500000000000001</v>
      </c>
      <c r="AX152" s="90" t="str">
        <f t="shared" si="86"/>
        <v/>
      </c>
      <c r="BA152" s="94">
        <f t="shared" si="98"/>
        <v>12</v>
      </c>
      <c r="BB152" s="94">
        <f t="shared" si="98"/>
        <v>0.29499999999999998</v>
      </c>
      <c r="BC152" s="90" t="str">
        <f t="shared" si="87"/>
        <v/>
      </c>
      <c r="BF152" s="94">
        <f t="shared" si="99"/>
        <v>20</v>
      </c>
      <c r="BG152" s="94">
        <f t="shared" si="99"/>
        <v>0.27500000000000002</v>
      </c>
      <c r="BH152" s="90" t="str">
        <f t="shared" si="88"/>
        <v/>
      </c>
      <c r="BK152" s="94">
        <f t="shared" si="100"/>
        <v>39</v>
      </c>
      <c r="BL152" s="94">
        <f t="shared" si="100"/>
        <v>0.245</v>
      </c>
      <c r="BM152" s="90" t="str">
        <f t="shared" si="89"/>
        <v/>
      </c>
      <c r="BP152" s="94">
        <f t="shared" si="101"/>
        <v>27</v>
      </c>
      <c r="BQ152" s="94">
        <f t="shared" si="101"/>
        <v>0.22500000000000001</v>
      </c>
      <c r="BR152" s="90" t="str">
        <f t="shared" si="90"/>
        <v/>
      </c>
      <c r="BU152" s="94">
        <f t="shared" si="102"/>
        <v>0</v>
      </c>
      <c r="BV152" s="94">
        <f t="shared" si="102"/>
        <v>0.17499999999999999</v>
      </c>
      <c r="BW152" s="90" t="str">
        <f t="shared" si="91"/>
        <v/>
      </c>
      <c r="BZ152" s="94">
        <f t="shared" si="103"/>
        <v>84</v>
      </c>
      <c r="CA152" s="94">
        <f t="shared" si="103"/>
        <v>0.15</v>
      </c>
      <c r="CB152" s="90" t="str">
        <f t="shared" si="92"/>
        <v/>
      </c>
      <c r="CE152" s="95"/>
      <c r="CF152" s="96"/>
      <c r="CG152" s="97"/>
      <c r="CH152" s="97"/>
      <c r="CI152" s="98"/>
      <c r="CK152" s="99">
        <f>IFERROR(IF(F152='[1]Paramètres Généraux'!$K$12,ROUNDUP((REGENERANTS!H152*REGENERANTS!$CF$112)*'[1]Paramètres Généraux'!$M$12,-1),IF(F152='[1]Paramètres Généraux'!$K$15,ROUNDUP((REGENERANTS!H152*REGENERANTS!$CF$112)*'[1]Paramètres Généraux'!$M$15,-1),REGENERANTS!H152*REGENERANTS!$CF$112)),"nd")</f>
        <v>0</v>
      </c>
      <c r="CN152" s="146"/>
      <c r="CO152" s="147"/>
      <c r="CP152" s="147"/>
      <c r="CQ152" s="147"/>
      <c r="CR152" s="147"/>
      <c r="CS152" s="173"/>
      <c r="CT152" s="174"/>
      <c r="CU152" s="147"/>
      <c r="CV152" s="173"/>
      <c r="CW152" s="150"/>
      <c r="CX152" s="149"/>
      <c r="CY152" s="150"/>
      <c r="CZ152" s="136"/>
      <c r="DA152" s="149"/>
      <c r="DB152" s="150"/>
      <c r="DC152" s="136"/>
      <c r="DD152" s="149"/>
      <c r="DE152" s="150"/>
      <c r="DF152" s="136"/>
      <c r="DG152" s="136"/>
      <c r="DH152" s="136"/>
      <c r="DI152" s="136"/>
      <c r="DJ152" s="136"/>
      <c r="DK152" s="136"/>
      <c r="DL152" s="136"/>
      <c r="DM152" s="136"/>
      <c r="DN152" s="136"/>
      <c r="DO152" s="149"/>
      <c r="DP152" s="150"/>
      <c r="DQ152" s="20">
        <f t="shared" si="76"/>
        <v>0</v>
      </c>
      <c r="DR152" s="20">
        <f t="shared" si="77"/>
        <v>0</v>
      </c>
      <c r="DS152" s="20">
        <f>IFERROR((IF(AND($F152="Produit Vente",CO152&gt;0),VLOOKUP($C152,'[1]Paramètres Articles'!$B:$H,7,FALSE)*$CO152)*(1-20%)),0)</f>
        <v>0</v>
      </c>
      <c r="DT152" s="20">
        <f>IFERROR((IF(AND($F152="Produit Vente",DR152&gt;0),VLOOKUP($C152,'[1]Paramètres Articles'!$B:$H,6,FALSE)*$DR152)*(1-15%)),0)</f>
        <v>0</v>
      </c>
      <c r="DU152" s="20">
        <f t="shared" si="78"/>
        <v>0</v>
      </c>
    </row>
    <row r="153" spans="2:125" ht="12.95" customHeight="1" outlineLevel="1">
      <c r="B153" s="1">
        <f>IF(C153="",0,COUNTIFS($B$22:B152,"&gt;"&amp;0)+1)</f>
        <v>0</v>
      </c>
      <c r="C153" s="85"/>
      <c r="D153" s="86" t="str">
        <f>IFERROR(IF($C153="","",VLOOKUP($C153,'[1]Paramètres Articles'!$B:$G,2,FALSE)),"Non Trouvé")</f>
        <v/>
      </c>
      <c r="E153" s="87" t="str">
        <f>IFERROR(IF($C153="","",_xlfn.XLOOKUP(REGENERANTS!$C153,'[1]New Base PA'!$F:$F,'[1]New Base PA'!$D:$D,"Not Found",0)),"Non Trouvé")</f>
        <v/>
      </c>
      <c r="F153" s="88"/>
      <c r="H153" s="101"/>
      <c r="J153" s="90" t="str">
        <f>IFERROR(IF($C153="","",VLOOKUP($C153,'[1]New Base PA'!$F:$J,5,FALSE)),"Non Trouvé")</f>
        <v/>
      </c>
      <c r="K153" s="131" t="str">
        <f t="shared" si="73"/>
        <v/>
      </c>
      <c r="L153" s="132"/>
      <c r="M153" s="90">
        <f>IFERROR(IF(AND($F153="Produit Vente",H153&gt;0),VLOOKUP($C153,'[1]Paramètres Articles'!$B:$G,6,FALSE),0),"Non Trouvé")</f>
        <v>0</v>
      </c>
      <c r="N153" s="90" t="str">
        <f t="shared" si="74"/>
        <v/>
      </c>
      <c r="P153" s="92"/>
      <c r="R153" s="90" t="str">
        <f t="shared" si="75"/>
        <v/>
      </c>
      <c r="S153" s="91"/>
      <c r="T153" s="90" t="str">
        <f>IFERROR(IF($C153="","",VLOOKUP($C153,'[1]Paramètres Articles'!$B:$H,7,FALSE)),"Non Trouvé")</f>
        <v/>
      </c>
      <c r="U153" s="93"/>
      <c r="V153" s="90" t="str">
        <f t="shared" si="79"/>
        <v/>
      </c>
      <c r="W153" s="91"/>
      <c r="X153" s="90" t="str">
        <f t="shared" si="81"/>
        <v/>
      </c>
      <c r="Y153" s="91"/>
      <c r="Z153" s="90">
        <f t="shared" si="80"/>
        <v>0</v>
      </c>
      <c r="AB153" s="94">
        <f t="shared" si="93"/>
        <v>90</v>
      </c>
      <c r="AC153" s="94">
        <f t="shared" si="93"/>
        <v>0.17</v>
      </c>
      <c r="AD153" s="90" t="str">
        <f t="shared" si="82"/>
        <v/>
      </c>
      <c r="AG153" s="94">
        <f t="shared" si="94"/>
        <v>82</v>
      </c>
      <c r="AH153" s="94">
        <f t="shared" si="94"/>
        <v>0.13</v>
      </c>
      <c r="AI153" s="90" t="str">
        <f t="shared" si="83"/>
        <v/>
      </c>
      <c r="AL153" s="94">
        <f t="shared" si="95"/>
        <v>20</v>
      </c>
      <c r="AM153" s="94">
        <f t="shared" si="95"/>
        <v>0.08</v>
      </c>
      <c r="AN153" s="90" t="str">
        <f t="shared" si="84"/>
        <v/>
      </c>
      <c r="AQ153" s="94">
        <f t="shared" si="96"/>
        <v>0</v>
      </c>
      <c r="AR153" s="94">
        <f t="shared" si="96"/>
        <v>0.05</v>
      </c>
      <c r="AS153" s="90" t="str">
        <f t="shared" si="85"/>
        <v/>
      </c>
      <c r="AV153" s="94">
        <f t="shared" si="97"/>
        <v>16</v>
      </c>
      <c r="AW153" s="94">
        <f t="shared" si="97"/>
        <v>0.32500000000000001</v>
      </c>
      <c r="AX153" s="90" t="str">
        <f t="shared" si="86"/>
        <v/>
      </c>
      <c r="BA153" s="94">
        <f t="shared" si="98"/>
        <v>12</v>
      </c>
      <c r="BB153" s="94">
        <f t="shared" si="98"/>
        <v>0.29499999999999998</v>
      </c>
      <c r="BC153" s="90" t="str">
        <f t="shared" si="87"/>
        <v/>
      </c>
      <c r="BF153" s="94">
        <f t="shared" si="99"/>
        <v>20</v>
      </c>
      <c r="BG153" s="94">
        <f t="shared" si="99"/>
        <v>0.27500000000000002</v>
      </c>
      <c r="BH153" s="90" t="str">
        <f t="shared" si="88"/>
        <v/>
      </c>
      <c r="BK153" s="94">
        <f t="shared" si="100"/>
        <v>39</v>
      </c>
      <c r="BL153" s="94">
        <f t="shared" si="100"/>
        <v>0.245</v>
      </c>
      <c r="BM153" s="90" t="str">
        <f t="shared" si="89"/>
        <v/>
      </c>
      <c r="BP153" s="94">
        <f t="shared" si="101"/>
        <v>27</v>
      </c>
      <c r="BQ153" s="94">
        <f t="shared" si="101"/>
        <v>0.22500000000000001</v>
      </c>
      <c r="BR153" s="90" t="str">
        <f t="shared" si="90"/>
        <v/>
      </c>
      <c r="BU153" s="94">
        <f t="shared" si="102"/>
        <v>0</v>
      </c>
      <c r="BV153" s="94">
        <f t="shared" si="102"/>
        <v>0.17499999999999999</v>
      </c>
      <c r="BW153" s="90" t="str">
        <f t="shared" si="91"/>
        <v/>
      </c>
      <c r="BZ153" s="94">
        <f t="shared" si="103"/>
        <v>84</v>
      </c>
      <c r="CA153" s="94">
        <f t="shared" si="103"/>
        <v>0.15</v>
      </c>
      <c r="CB153" s="90" t="str">
        <f t="shared" si="92"/>
        <v/>
      </c>
      <c r="CE153" s="95"/>
      <c r="CF153" s="96"/>
      <c r="CG153" s="97"/>
      <c r="CH153" s="97"/>
      <c r="CI153" s="98"/>
      <c r="CK153" s="99">
        <f>IFERROR(IF(F153='[1]Paramètres Généraux'!$K$12,ROUNDUP((REGENERANTS!H153*REGENERANTS!$CF$112)*'[1]Paramètres Généraux'!$M$12,-1),IF(F153='[1]Paramètres Généraux'!$K$15,ROUNDUP((REGENERANTS!H153*REGENERANTS!$CF$112)*'[1]Paramètres Généraux'!$M$15,-1),REGENERANTS!H153*REGENERANTS!$CF$112)),"nd")</f>
        <v>0</v>
      </c>
      <c r="CN153" s="146"/>
      <c r="CO153" s="147"/>
      <c r="CP153" s="147"/>
      <c r="CQ153" s="147"/>
      <c r="CR153" s="147"/>
      <c r="CS153" s="173"/>
      <c r="CT153" s="174"/>
      <c r="CU153" s="147"/>
      <c r="CV153" s="173"/>
      <c r="CW153" s="150"/>
      <c r="CX153" s="149"/>
      <c r="CY153" s="150"/>
      <c r="CZ153" s="136"/>
      <c r="DA153" s="149"/>
      <c r="DB153" s="150"/>
      <c r="DC153" s="136"/>
      <c r="DD153" s="149"/>
      <c r="DE153" s="150"/>
      <c r="DF153" s="136"/>
      <c r="DG153" s="136"/>
      <c r="DH153" s="136"/>
      <c r="DI153" s="136"/>
      <c r="DJ153" s="136"/>
      <c r="DK153" s="136"/>
      <c r="DL153" s="136"/>
      <c r="DM153" s="136"/>
      <c r="DN153" s="136"/>
      <c r="DO153" s="149"/>
      <c r="DP153" s="150"/>
      <c r="DQ153" s="20">
        <f t="shared" si="76"/>
        <v>0</v>
      </c>
      <c r="DR153" s="20">
        <f t="shared" si="77"/>
        <v>0</v>
      </c>
      <c r="DS153" s="20">
        <f>IFERROR((IF(AND($F153="Produit Vente",CO153&gt;0),VLOOKUP($C153,'[1]Paramètres Articles'!$B:$H,7,FALSE)*$CO153)*(1-20%)),0)</f>
        <v>0</v>
      </c>
      <c r="DT153" s="20">
        <f>IFERROR((IF(AND($F153="Produit Vente",DR153&gt;0),VLOOKUP($C153,'[1]Paramètres Articles'!$B:$H,6,FALSE)*$DR153)*(1-15%)),0)</f>
        <v>0</v>
      </c>
      <c r="DU153" s="20">
        <f t="shared" si="78"/>
        <v>0</v>
      </c>
    </row>
    <row r="154" spans="2:125">
      <c r="B154" s="1">
        <f>IF(C154="",0,COUNTIFS($B$22:B153,"&gt;"&amp;0)+1)</f>
        <v>0</v>
      </c>
      <c r="CE154" s="155"/>
      <c r="CF154" s="156"/>
      <c r="CG154" s="156"/>
      <c r="CH154" s="156"/>
      <c r="CI154" s="157"/>
      <c r="CK154" s="99">
        <f>IFERROR(IF(F154='[1]Paramètres Généraux'!$K$12,ROUNDUP((REGENERANTS!H154*REGENERANTS!$CF$112)*'[1]Paramètres Généraux'!$M$12,-1),IF(F154='[1]Paramètres Généraux'!$K$15,ROUNDUP((REGENERANTS!H154*REGENERANTS!$CF$112)*'[1]Paramètres Généraux'!$M$15,-1),REGENERANTS!H154*REGENERANTS!$CF$112)),"nd")</f>
        <v>0</v>
      </c>
      <c r="CN154" s="146"/>
      <c r="CO154" s="147"/>
      <c r="CP154" s="147"/>
      <c r="CQ154" s="147"/>
      <c r="CR154" s="147"/>
      <c r="CS154" s="173"/>
      <c r="CT154" s="174"/>
      <c r="CU154" s="147"/>
      <c r="CV154" s="173"/>
      <c r="CW154" s="150"/>
      <c r="CX154" s="149"/>
      <c r="CY154" s="150"/>
      <c r="CZ154" s="136"/>
      <c r="DA154" s="149"/>
      <c r="DB154" s="150"/>
      <c r="DC154" s="136"/>
      <c r="DD154" s="149"/>
      <c r="DE154" s="150"/>
      <c r="DF154" s="136"/>
      <c r="DG154" s="136"/>
      <c r="DH154" s="136"/>
      <c r="DI154" s="136"/>
      <c r="DJ154" s="136"/>
      <c r="DK154" s="136"/>
      <c r="DL154" s="136"/>
      <c r="DM154" s="136"/>
      <c r="DN154" s="136"/>
      <c r="DO154" s="149"/>
      <c r="DP154" s="150"/>
      <c r="DQ154" s="20">
        <f t="shared" si="76"/>
        <v>0</v>
      </c>
      <c r="DR154" s="20">
        <f t="shared" si="77"/>
        <v>0</v>
      </c>
      <c r="DS154" s="20">
        <f>IFERROR((IF(AND($F154="Produit Vente",CO154&gt;0),VLOOKUP($C154,'[1]Paramètres Articles'!$B:$H,7,FALSE)*$CO154)*(1-20%)),0)</f>
        <v>0</v>
      </c>
      <c r="DT154" s="20">
        <f>IFERROR((IF(AND($F154="Produit Vente",DR154&gt;0),VLOOKUP($C154,'[1]Paramètres Articles'!$B:$H,6,FALSE)*$DR154)*(1-15%)),0)</f>
        <v>0</v>
      </c>
      <c r="DU154" s="20">
        <f t="shared" si="78"/>
        <v>0</v>
      </c>
    </row>
    <row r="155" spans="2:125" ht="15" customHeight="1">
      <c r="CK155" s="99"/>
    </row>
    <row r="156" spans="2:125" hidden="1">
      <c r="C156" s="22"/>
      <c r="D156" s="23"/>
      <c r="E156" s="24"/>
      <c r="F156" s="25" t="s">
        <v>111</v>
      </c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K156" s="99"/>
    </row>
    <row r="157" spans="2:125" ht="5.25" hidden="1" customHeight="1">
      <c r="CK157" s="99"/>
    </row>
    <row r="158" spans="2:125" ht="17.25" hidden="1" customHeight="1"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E158" s="27"/>
      <c r="CF158" s="28"/>
      <c r="CG158" s="28"/>
      <c r="CH158" s="28"/>
      <c r="CI158" s="29"/>
      <c r="CK158" s="99"/>
    </row>
    <row r="159" spans="2:125" hidden="1">
      <c r="AB159" s="30" t="s">
        <v>8</v>
      </c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V159" s="31" t="s">
        <v>9</v>
      </c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Z159" s="32" t="s">
        <v>10</v>
      </c>
      <c r="CA159" s="32"/>
      <c r="CB159" s="32"/>
      <c r="CC159" s="32"/>
      <c r="CE159" s="33"/>
      <c r="CF159" s="34" t="s">
        <v>11</v>
      </c>
      <c r="CG159" s="34"/>
      <c r="CH159" s="34"/>
      <c r="CI159" s="35"/>
      <c r="CK159" s="99"/>
    </row>
    <row r="160" spans="2:125" ht="5.25" hidden="1" customHeight="1">
      <c r="CE160" s="33"/>
      <c r="CF160" s="39"/>
      <c r="CG160" s="39"/>
      <c r="CH160" s="39"/>
      <c r="CI160" s="35"/>
      <c r="CK160" s="99"/>
    </row>
    <row r="161" spans="2:124" hidden="1">
      <c r="P161" s="1" t="s">
        <v>12</v>
      </c>
      <c r="AB161" s="42" t="s">
        <v>13</v>
      </c>
      <c r="AC161" s="42"/>
      <c r="AD161" s="42"/>
      <c r="AE161" s="42"/>
      <c r="AG161" s="42" t="s">
        <v>14</v>
      </c>
      <c r="AH161" s="42"/>
      <c r="AI161" s="42"/>
      <c r="AJ161" s="42"/>
      <c r="AL161" s="42" t="s">
        <v>15</v>
      </c>
      <c r="AM161" s="42"/>
      <c r="AN161" s="42"/>
      <c r="AO161" s="42"/>
      <c r="AQ161" s="42" t="s">
        <v>16</v>
      </c>
      <c r="AR161" s="42"/>
      <c r="AS161" s="42"/>
      <c r="AT161" s="42"/>
      <c r="AV161" s="43" t="s">
        <v>17</v>
      </c>
      <c r="AW161" s="43"/>
      <c r="AX161" s="43"/>
      <c r="AY161" s="43"/>
      <c r="BA161" s="43" t="s">
        <v>18</v>
      </c>
      <c r="BB161" s="43"/>
      <c r="BC161" s="43"/>
      <c r="BD161" s="43"/>
      <c r="BF161" s="43" t="s">
        <v>19</v>
      </c>
      <c r="BG161" s="43"/>
      <c r="BH161" s="43"/>
      <c r="BI161" s="43"/>
      <c r="BK161" s="43" t="s">
        <v>20</v>
      </c>
      <c r="BL161" s="43"/>
      <c r="BM161" s="43"/>
      <c r="BN161" s="43"/>
      <c r="BP161" s="43" t="s">
        <v>21</v>
      </c>
      <c r="BQ161" s="43"/>
      <c r="BR161" s="43"/>
      <c r="BS161" s="43"/>
      <c r="BU161" s="43" t="s">
        <v>22</v>
      </c>
      <c r="BV161" s="43"/>
      <c r="BW161" s="43"/>
      <c r="BX161" s="43"/>
      <c r="BZ161" s="44" t="s">
        <v>10</v>
      </c>
      <c r="CA161" s="44"/>
      <c r="CB161" s="44"/>
      <c r="CC161" s="44"/>
      <c r="CE161" s="33"/>
      <c r="CF161" s="45" t="s">
        <v>23</v>
      </c>
      <c r="CG161" s="45"/>
      <c r="CH161" s="45"/>
      <c r="CI161" s="35"/>
      <c r="CK161" s="99"/>
    </row>
    <row r="162" spans="2:124" ht="5.25" hidden="1" customHeight="1">
      <c r="CE162" s="33"/>
      <c r="CF162" s="39"/>
      <c r="CG162" s="39"/>
      <c r="CH162" s="39"/>
      <c r="CI162" s="35"/>
      <c r="CK162" s="99"/>
    </row>
    <row r="163" spans="2:124" s="46" customFormat="1" ht="38.25" hidden="1">
      <c r="E163" s="47"/>
      <c r="H163" s="48" t="s">
        <v>24</v>
      </c>
      <c r="J163" s="48" t="s">
        <v>25</v>
      </c>
      <c r="K163" s="48" t="s">
        <v>26</v>
      </c>
      <c r="M163" s="48" t="s">
        <v>27</v>
      </c>
      <c r="N163" s="48" t="s">
        <v>28</v>
      </c>
      <c r="P163" s="48" t="s">
        <v>29</v>
      </c>
      <c r="R163" s="48" t="s">
        <v>30</v>
      </c>
      <c r="T163" s="48" t="s">
        <v>31</v>
      </c>
      <c r="U163" s="48"/>
      <c r="V163" s="48" t="s">
        <v>32</v>
      </c>
      <c r="X163" s="48" t="s">
        <v>33</v>
      </c>
      <c r="Z163" s="48" t="s">
        <v>34</v>
      </c>
      <c r="AB163" s="48" t="s">
        <v>0</v>
      </c>
      <c r="AC163" s="48" t="s">
        <v>35</v>
      </c>
      <c r="AD163" s="48" t="s">
        <v>1</v>
      </c>
      <c r="AE163" s="48" t="s">
        <v>2</v>
      </c>
      <c r="AG163" s="48" t="s">
        <v>0</v>
      </c>
      <c r="AH163" s="48" t="s">
        <v>35</v>
      </c>
      <c r="AI163" s="48" t="s">
        <v>1</v>
      </c>
      <c r="AJ163" s="48" t="s">
        <v>2</v>
      </c>
      <c r="AL163" s="48" t="s">
        <v>0</v>
      </c>
      <c r="AM163" s="48" t="s">
        <v>35</v>
      </c>
      <c r="AN163" s="48" t="s">
        <v>1</v>
      </c>
      <c r="AO163" s="48" t="s">
        <v>2</v>
      </c>
      <c r="AQ163" s="48" t="s">
        <v>0</v>
      </c>
      <c r="AR163" s="48" t="s">
        <v>35</v>
      </c>
      <c r="AS163" s="48" t="s">
        <v>1</v>
      </c>
      <c r="AT163" s="48" t="s">
        <v>2</v>
      </c>
      <c r="AV163" s="48" t="s">
        <v>0</v>
      </c>
      <c r="AW163" s="48" t="s">
        <v>35</v>
      </c>
      <c r="AX163" s="48" t="s">
        <v>1</v>
      </c>
      <c r="AY163" s="48" t="s">
        <v>2</v>
      </c>
      <c r="BA163" s="48" t="s">
        <v>0</v>
      </c>
      <c r="BB163" s="48" t="s">
        <v>35</v>
      </c>
      <c r="BC163" s="48" t="s">
        <v>1</v>
      </c>
      <c r="BD163" s="48" t="s">
        <v>2</v>
      </c>
      <c r="BF163" s="48" t="s">
        <v>0</v>
      </c>
      <c r="BG163" s="48" t="s">
        <v>35</v>
      </c>
      <c r="BH163" s="48" t="s">
        <v>1</v>
      </c>
      <c r="BI163" s="48" t="s">
        <v>2</v>
      </c>
      <c r="BK163" s="48" t="s">
        <v>0</v>
      </c>
      <c r="BL163" s="48" t="s">
        <v>35</v>
      </c>
      <c r="BM163" s="48" t="s">
        <v>1</v>
      </c>
      <c r="BN163" s="48" t="s">
        <v>2</v>
      </c>
      <c r="BP163" s="48" t="s">
        <v>0</v>
      </c>
      <c r="BQ163" s="48" t="s">
        <v>35</v>
      </c>
      <c r="BR163" s="48" t="s">
        <v>1</v>
      </c>
      <c r="BS163" s="48" t="s">
        <v>2</v>
      </c>
      <c r="BU163" s="48" t="s">
        <v>0</v>
      </c>
      <c r="BV163" s="48" t="s">
        <v>35</v>
      </c>
      <c r="BW163" s="48" t="s">
        <v>1</v>
      </c>
      <c r="BX163" s="48" t="s">
        <v>2</v>
      </c>
      <c r="BZ163" s="48" t="s">
        <v>0</v>
      </c>
      <c r="CA163" s="48" t="s">
        <v>35</v>
      </c>
      <c r="CB163" s="48" t="s">
        <v>1</v>
      </c>
      <c r="CC163" s="48" t="s">
        <v>2</v>
      </c>
      <c r="CE163" s="49"/>
      <c r="CF163" s="50" t="s">
        <v>0</v>
      </c>
      <c r="CG163" s="50" t="s">
        <v>1</v>
      </c>
      <c r="CH163" s="50" t="s">
        <v>2</v>
      </c>
      <c r="CI163" s="51"/>
      <c r="CK163" s="160"/>
      <c r="CW163" s="176"/>
      <c r="CX163" s="176"/>
      <c r="CY163" s="176"/>
      <c r="CZ163" s="176"/>
      <c r="DA163" s="176"/>
      <c r="DB163" s="176"/>
      <c r="DC163" s="176"/>
      <c r="DD163" s="176"/>
      <c r="DE163" s="176"/>
      <c r="DF163" s="176"/>
      <c r="DG163" s="176"/>
      <c r="DH163" s="176"/>
      <c r="DI163" s="176"/>
      <c r="DJ163" s="176"/>
      <c r="DK163" s="176"/>
      <c r="DL163" s="176"/>
      <c r="DM163" s="176"/>
      <c r="DN163" s="176"/>
      <c r="DO163" s="176"/>
      <c r="DP163" s="176"/>
    </row>
    <row r="164" spans="2:124" ht="26.25" hidden="1" thickBot="1">
      <c r="C164" s="60" t="s">
        <v>49</v>
      </c>
      <c r="D164" s="60" t="s">
        <v>50</v>
      </c>
      <c r="E164" s="161" t="s">
        <v>51</v>
      </c>
      <c r="F164" s="60" t="s">
        <v>52</v>
      </c>
      <c r="H164" s="61" t="s">
        <v>53</v>
      </c>
      <c r="J164" s="61" t="s">
        <v>54</v>
      </c>
      <c r="K164" s="61" t="s">
        <v>54</v>
      </c>
      <c r="M164" s="61" t="s">
        <v>54</v>
      </c>
      <c r="N164" s="61" t="s">
        <v>54</v>
      </c>
      <c r="P164" s="61" t="s">
        <v>54</v>
      </c>
      <c r="R164" s="61" t="s">
        <v>54</v>
      </c>
      <c r="T164" s="61" t="s">
        <v>54</v>
      </c>
      <c r="U164" s="62"/>
      <c r="V164" s="61" t="s">
        <v>54</v>
      </c>
      <c r="X164" s="61" t="s">
        <v>54</v>
      </c>
      <c r="Z164" s="61" t="s">
        <v>54</v>
      </c>
      <c r="AB164" s="61" t="s">
        <v>53</v>
      </c>
      <c r="AC164" s="61" t="s">
        <v>54</v>
      </c>
      <c r="AD164" s="61" t="s">
        <v>54</v>
      </c>
      <c r="AE164" s="61" t="s">
        <v>54</v>
      </c>
      <c r="AG164" s="61" t="s">
        <v>53</v>
      </c>
      <c r="AH164" s="61" t="s">
        <v>54</v>
      </c>
      <c r="AI164" s="61" t="s">
        <v>54</v>
      </c>
      <c r="AJ164" s="61" t="s">
        <v>54</v>
      </c>
      <c r="AL164" s="61" t="s">
        <v>53</v>
      </c>
      <c r="AM164" s="61" t="s">
        <v>54</v>
      </c>
      <c r="AN164" s="61" t="s">
        <v>54</v>
      </c>
      <c r="AO164" s="61" t="s">
        <v>54</v>
      </c>
      <c r="AQ164" s="61" t="s">
        <v>53</v>
      </c>
      <c r="AR164" s="61" t="s">
        <v>54</v>
      </c>
      <c r="AS164" s="61" t="s">
        <v>54</v>
      </c>
      <c r="AT164" s="61" t="s">
        <v>54</v>
      </c>
      <c r="AV164" s="61" t="s">
        <v>53</v>
      </c>
      <c r="AW164" s="61" t="s">
        <v>54</v>
      </c>
      <c r="AX164" s="61" t="s">
        <v>54</v>
      </c>
      <c r="AY164" s="61" t="s">
        <v>54</v>
      </c>
      <c r="BA164" s="61" t="s">
        <v>53</v>
      </c>
      <c r="BB164" s="61" t="s">
        <v>54</v>
      </c>
      <c r="BC164" s="61" t="s">
        <v>54</v>
      </c>
      <c r="BD164" s="61" t="s">
        <v>54</v>
      </c>
      <c r="BF164" s="61" t="s">
        <v>53</v>
      </c>
      <c r="BG164" s="61" t="s">
        <v>54</v>
      </c>
      <c r="BH164" s="61" t="s">
        <v>54</v>
      </c>
      <c r="BI164" s="61" t="s">
        <v>54</v>
      </c>
      <c r="BK164" s="61" t="s">
        <v>53</v>
      </c>
      <c r="BL164" s="61" t="s">
        <v>54</v>
      </c>
      <c r="BM164" s="61" t="s">
        <v>54</v>
      </c>
      <c r="BN164" s="61" t="s">
        <v>54</v>
      </c>
      <c r="BP164" s="61" t="s">
        <v>53</v>
      </c>
      <c r="BQ164" s="61" t="s">
        <v>54</v>
      </c>
      <c r="BR164" s="61" t="s">
        <v>54</v>
      </c>
      <c r="BS164" s="61" t="s">
        <v>54</v>
      </c>
      <c r="BU164" s="61" t="s">
        <v>53</v>
      </c>
      <c r="BV164" s="61" t="s">
        <v>54</v>
      </c>
      <c r="BW164" s="61" t="s">
        <v>54</v>
      </c>
      <c r="BX164" s="61" t="s">
        <v>54</v>
      </c>
      <c r="BZ164" s="61" t="s">
        <v>53</v>
      </c>
      <c r="CA164" s="61" t="s">
        <v>54</v>
      </c>
      <c r="CB164" s="61" t="s">
        <v>54</v>
      </c>
      <c r="CC164" s="61" t="s">
        <v>54</v>
      </c>
      <c r="CE164" s="33"/>
      <c r="CF164" s="63" t="s">
        <v>53</v>
      </c>
      <c r="CG164" s="63" t="s">
        <v>54</v>
      </c>
      <c r="CH164" s="63" t="s">
        <v>54</v>
      </c>
      <c r="CI164" s="35"/>
      <c r="CJ164" s="64">
        <f>ROUNDUP(CF166*60%,-1)</f>
        <v>0</v>
      </c>
      <c r="CK164" s="99"/>
    </row>
    <row r="165" spans="2:124" ht="5.25" hidden="1" customHeight="1">
      <c r="V165"/>
      <c r="X165"/>
      <c r="CE165" s="33"/>
      <c r="CF165" s="39"/>
      <c r="CG165" s="39"/>
      <c r="CH165" s="39"/>
      <c r="CI165" s="35"/>
      <c r="CK165" s="99"/>
    </row>
    <row r="166" spans="2:124" s="64" customFormat="1" ht="12.95" hidden="1" customHeight="1">
      <c r="B166" s="64">
        <f>C156</f>
        <v>0</v>
      </c>
      <c r="C166" s="65" t="s">
        <v>56</v>
      </c>
      <c r="D166" s="65"/>
      <c r="E166" s="66"/>
      <c r="F166" s="65"/>
      <c r="H166" s="67">
        <f>IFERROR(SUMIFS(H168:H207,F168:F207,"Produit Vente"),"Non trouvé")</f>
        <v>49.5</v>
      </c>
      <c r="J166" s="68">
        <f>IFERROR($K166/$H166,"Non Trouvé")</f>
        <v>19.851234343434342</v>
      </c>
      <c r="K166" s="68">
        <f>IFERROR(SUM(K168:K207),"Non Trouvé")</f>
        <v>982.63609999999994</v>
      </c>
      <c r="M166" s="68">
        <f>IFERROR($N166/$H166,"Non Trouvé")</f>
        <v>40.494014949749655</v>
      </c>
      <c r="N166" s="68">
        <f>IFERROR(SUM(N168:N207),"Non Trouvé")</f>
        <v>2004.453740012608</v>
      </c>
      <c r="P166" s="69">
        <f>IFERROR(-(R166-N166)/N166,"Non Trouvé")</f>
        <v>0</v>
      </c>
      <c r="R166" s="68">
        <f>IFERROR(SUM(R168:R207),"Non Trouvé")</f>
        <v>2004.453740012608</v>
      </c>
      <c r="T166" s="68">
        <f>IFERROR(SUM(T168:T207),"Non Trouvé")</f>
        <v>885.39994304461027</v>
      </c>
      <c r="U166" s="70"/>
      <c r="V166" s="68">
        <f>IFERROR(SUM(V168:V208),"Non Trouvé")</f>
        <v>0</v>
      </c>
      <c r="X166" s="68">
        <f>IFERROR(SUM(X168:X208),"Non Trouvé")</f>
        <v>0</v>
      </c>
      <c r="Z166" s="68">
        <f>IFERROR(SUM(Z168:Z207),"Non Trouvé")</f>
        <v>3957.5950000000003</v>
      </c>
      <c r="AB166" s="71">
        <f>ROUND($AB$155*AB158,0)</f>
        <v>0</v>
      </c>
      <c r="AC166" s="72">
        <f>IFERROR(VLOOKUP(AB161,'[1]Paramètres Généraux'!$O:$P,2,FALSE),"Non Trouvé")</f>
        <v>0.17</v>
      </c>
      <c r="AD166" s="68">
        <f>IFERROR(SUM(AD168:AD208),"Non Trouvé")</f>
        <v>0</v>
      </c>
      <c r="AE166" s="69" t="str">
        <f>IFERROR((AD166-$K166*AB166)/AD166,"Non Trouvé")</f>
        <v>Non Trouvé</v>
      </c>
      <c r="AG166" s="71">
        <f>ROUND($AB$155*AG158,0)</f>
        <v>0</v>
      </c>
      <c r="AH166" s="72">
        <f>IFERROR(VLOOKUP(AG161,'[1]Paramètres Généraux'!$O:$P,2,FALSE),"Non Trouvé")</f>
        <v>0.13</v>
      </c>
      <c r="AI166" s="68">
        <f>IFERROR(SUM(AI168:AI208),"Non Trouvé")</f>
        <v>0</v>
      </c>
      <c r="AJ166" s="69" t="str">
        <f>IFERROR((AI166-$K166*AG166)/AI166,"Non Trouvé")</f>
        <v>Non Trouvé</v>
      </c>
      <c r="AL166" s="71">
        <f>ROUND($AB$155*AL158,0)</f>
        <v>0</v>
      </c>
      <c r="AM166" s="72">
        <f>IFERROR(VLOOKUP(AL161,'[1]Paramètres Généraux'!$O:$P,2,FALSE),"Non Trouvé")</f>
        <v>0.08</v>
      </c>
      <c r="AN166" s="68">
        <f>IFERROR(SUM(AN168:AN208),"Non Trouvé")</f>
        <v>0</v>
      </c>
      <c r="AO166" s="69" t="str">
        <f>IFERROR((AN166-$K166*AL166)/AN166,"Non Trouvé")</f>
        <v>Non Trouvé</v>
      </c>
      <c r="AQ166" s="71">
        <f>ROUND($AB$155*AQ158,0)</f>
        <v>0</v>
      </c>
      <c r="AR166" s="72">
        <f>IFERROR(VLOOKUP(AQ161,'[1]Paramètres Généraux'!$O:$P,2,FALSE),"Non Trouvé")</f>
        <v>0.05</v>
      </c>
      <c r="AS166" s="68">
        <f>IFERROR(SUM(AS168:AS208),"Non Trouvé")</f>
        <v>0</v>
      </c>
      <c r="AT166" s="69" t="str">
        <f>IFERROR((AS166-$K166*AQ166)/AS166,"Non Trouvé")</f>
        <v>Non Trouvé</v>
      </c>
      <c r="AV166" s="71">
        <f>ROUND($AB$155*AV158,0)</f>
        <v>0</v>
      </c>
      <c r="AW166" s="72">
        <f>IFERROR(VLOOKUP(AV161,'[1]Paramètres Généraux'!$O:$P,2,FALSE),"Non Trouvé")</f>
        <v>0.32500000000000001</v>
      </c>
      <c r="AX166" s="68">
        <f>IFERROR(SUM(AX168:AX208),"Non Trouvé")</f>
        <v>0</v>
      </c>
      <c r="AY166" s="69" t="str">
        <f>IFERROR((AX166-$K166*AV166)/AX166,"Non Trouvé")</f>
        <v>Non Trouvé</v>
      </c>
      <c r="BA166" s="71">
        <f>ROUND($AB$155*BA158,0)</f>
        <v>0</v>
      </c>
      <c r="BB166" s="72">
        <f>IFERROR(VLOOKUP(BA161,'[1]Paramètres Généraux'!$O:$P,2,FALSE),"Non Trouvé")</f>
        <v>0.29499999999999998</v>
      </c>
      <c r="BC166" s="68">
        <f>IFERROR(SUM(BC168:BC208),"Non Trouvé")</f>
        <v>0</v>
      </c>
      <c r="BD166" s="69" t="str">
        <f>IFERROR((BC166-$K166*BA166)/BC166,"Non Trouvé")</f>
        <v>Non Trouvé</v>
      </c>
      <c r="BF166" s="71">
        <f>ROUND($AB$155*BF158,0)</f>
        <v>0</v>
      </c>
      <c r="BG166" s="72">
        <f>IFERROR(VLOOKUP(BF161,'[1]Paramètres Généraux'!$O:$P,2,FALSE),"Non Trouvé")</f>
        <v>0.27500000000000002</v>
      </c>
      <c r="BH166" s="68">
        <f>IFERROR(SUM(BH168:BH208),"Non Trouvé")</f>
        <v>0</v>
      </c>
      <c r="BI166" s="69" t="str">
        <f>IFERROR((BH166-$K166*BF166)/BH166,"Non Trouvé")</f>
        <v>Non Trouvé</v>
      </c>
      <c r="BK166" s="71">
        <f>ROUND($AB$155*BK158,0)</f>
        <v>0</v>
      </c>
      <c r="BL166" s="72">
        <f>IFERROR(VLOOKUP(BK161,'[1]Paramètres Généraux'!$O:$P,2,FALSE),"Non Trouvé")</f>
        <v>0.245</v>
      </c>
      <c r="BM166" s="68">
        <f>IFERROR(SUM(BM168:BM208),"Non Trouvé")</f>
        <v>0</v>
      </c>
      <c r="BN166" s="69" t="str">
        <f>IFERROR((BM166-$K166*BK166)/BM166,"Non Trouvé")</f>
        <v>Non Trouvé</v>
      </c>
      <c r="BP166" s="71">
        <f>ROUND($AB$155*BP158,0)</f>
        <v>0</v>
      </c>
      <c r="BQ166" s="72">
        <f>IFERROR(VLOOKUP(BP161,'[1]Paramètres Généraux'!$O:$P,2,FALSE),"Non Trouvé")</f>
        <v>0.22500000000000001</v>
      </c>
      <c r="BR166" s="68">
        <f>IFERROR(SUM(BR168:BR208),"Non Trouvé")</f>
        <v>0</v>
      </c>
      <c r="BS166" s="69" t="str">
        <f>IFERROR((BR166-$K166*BP166)/BR166,"Non Trouvé")</f>
        <v>Non Trouvé</v>
      </c>
      <c r="BU166" s="71">
        <f>ROUND($AB$155*BU158,0)</f>
        <v>0</v>
      </c>
      <c r="BV166" s="72">
        <f>IFERROR(VLOOKUP(BU161,'[1]Paramètres Généraux'!$O:$P,2,FALSE),"Non Trouvé")</f>
        <v>0.17499999999999999</v>
      </c>
      <c r="BW166" s="68">
        <f>IFERROR(SUM(BW168:BW208),"Non Trouvé")</f>
        <v>0</v>
      </c>
      <c r="BX166" s="69" t="str">
        <f>IFERROR((BW166-$K166*BU166)/BW166,"Non Trouvé")</f>
        <v>Non Trouvé</v>
      </c>
      <c r="BZ166" s="71">
        <f>ROUND($AB$155*BZ158,0)</f>
        <v>0</v>
      </c>
      <c r="CA166" s="72">
        <f>IFERROR(VLOOKUP(BZ161,'[1]Paramètres Généraux'!$O:$P,2,FALSE),"Non Trouvé")</f>
        <v>0.15</v>
      </c>
      <c r="CB166" s="68">
        <f>IFERROR(SUM(CB168:CB208),"Non Trouvé")</f>
        <v>0</v>
      </c>
      <c r="CC166" s="69" t="str">
        <f>IFERROR((CB166-$K166*BZ166)/CB166,"Non Trouvé")</f>
        <v>Non Trouvé</v>
      </c>
      <c r="CE166" s="73"/>
      <c r="CF166" s="67">
        <f>SUMIFS($AB166:$CC166,$AB163:$CC163,CF163)</f>
        <v>0</v>
      </c>
      <c r="CG166" s="67">
        <f>SUMIFS($AB166:$CC166,$AB163:$CC163,CG163)</f>
        <v>0</v>
      </c>
      <c r="CH166" s="74" t="str">
        <f>IFERROR((CG166-$K166*CF166)/CG166,"Non Trouvé")</f>
        <v>Non Trouvé</v>
      </c>
      <c r="CI166" s="75"/>
      <c r="CJ166" s="64">
        <f>ROUNDUP(CF166*70%,-1)</f>
        <v>0</v>
      </c>
      <c r="CK166" s="162"/>
      <c r="CW166" s="177"/>
      <c r="CX166" s="177"/>
      <c r="CY166" s="177"/>
      <c r="CZ166" s="177"/>
      <c r="DA166" s="177"/>
      <c r="DB166" s="177"/>
      <c r="DC166" s="177"/>
      <c r="DD166" s="177"/>
      <c r="DE166" s="177"/>
      <c r="DF166" s="177"/>
      <c r="DG166" s="177"/>
      <c r="DH166" s="177"/>
      <c r="DI166" s="177"/>
      <c r="DJ166" s="177"/>
      <c r="DK166" s="177"/>
      <c r="DL166" s="177"/>
      <c r="DM166" s="177"/>
      <c r="DN166" s="177"/>
      <c r="DO166" s="177"/>
      <c r="DP166" s="177"/>
    </row>
    <row r="167" spans="2:124" ht="5.25" hidden="1" customHeight="1">
      <c r="V167"/>
      <c r="X167"/>
      <c r="CE167" s="33"/>
      <c r="CF167" s="39"/>
      <c r="CG167" s="39"/>
      <c r="CH167" s="39"/>
      <c r="CI167" s="35"/>
      <c r="CK167" s="99"/>
    </row>
    <row r="168" spans="2:124" ht="12.95" hidden="1" customHeight="1" thickBot="1">
      <c r="B168" s="1">
        <f>IF(C168="",0,COUNTIFS($B$22:B167,"&gt;"&amp;0)+1)</f>
        <v>61</v>
      </c>
      <c r="C168" s="85">
        <v>1020202</v>
      </c>
      <c r="D168" s="86" t="str">
        <f>IFERROR(IF($C168="","",VLOOKUP($C168,'[1]Paramètres Articles'!$B:$G,2,FALSE)),"Non Trouvé")</f>
        <v>Sérum Jour/Nuit - Régénérant - 30 ml</v>
      </c>
      <c r="E168" s="87">
        <f>IFERROR(IF($C168="","",_xlfn.XLOOKUP(REGENERANTS!$C168,'[1]New Base PA'!$F:$F,'[1]New Base PA'!$D:$D,"Not Found",0)),"Non Trouvé")</f>
        <v>4020829103115</v>
      </c>
      <c r="F168" s="88" t="s">
        <v>90</v>
      </c>
      <c r="H168" s="101">
        <f>50*13%</f>
        <v>6.5</v>
      </c>
      <c r="J168" s="90">
        <f>IFERROR(IF($C168="","",VLOOKUP($C168,'[1]New Base PA'!$F:$J,5,FALSE)),"Non Trouvé")</f>
        <v>15.839799999999999</v>
      </c>
      <c r="K168" s="131">
        <f t="shared" ref="K168:K207" si="104">IFERROR(IF($C168="","",$J168*$H168),"Non Trouvé")</f>
        <v>102.95869999999999</v>
      </c>
      <c r="L168" s="132"/>
      <c r="M168" s="90">
        <f>IFERROR(IF(AND($F168="Produit Vente",H168&gt;0),VLOOKUP($C168,'[1]Paramètres Articles'!$B:$G,6,FALSE),0),"Non Trouvé")</f>
        <v>41.117049418604651</v>
      </c>
      <c r="N168" s="90">
        <f t="shared" ref="N168:N207" si="105">IFERROR(IF($C168="","",$M168*$H168),"Non Trouvé")</f>
        <v>267.26082122093021</v>
      </c>
      <c r="P168" s="92"/>
      <c r="R168" s="90">
        <f t="shared" ref="R168:R207" si="106">IFERROR(IF($C168="","",$N168*(1-$P168)),"Non Trouvé")</f>
        <v>267.26082122093021</v>
      </c>
      <c r="S168" s="91"/>
      <c r="T168" s="90">
        <f>IFERROR(IF($C168="","",VLOOKUP($C168,'[1]Paramètres Articles'!$B:$H,7,FALSE)),"Non Trouvé")</f>
        <v>69.900000000000006</v>
      </c>
      <c r="U168" s="93"/>
      <c r="V168" s="90" t="str">
        <f>IFERROR(IF($C168="","",IF($P168="","",$T168*(1-$P168))),"Non Trouvé")</f>
        <v/>
      </c>
      <c r="W168" s="91"/>
      <c r="X168" s="90" t="str">
        <f>IFERROR(T168-V168,"")</f>
        <v/>
      </c>
      <c r="Y168" s="91"/>
      <c r="Z168" s="90">
        <f t="shared" ref="Z168:Z207" si="107">IFERROR(IF(OR(T168=0,T168=""),0,T168*H168),"Non Trouvé")</f>
        <v>454.35</v>
      </c>
      <c r="AB168" s="94">
        <f>AB166</f>
        <v>0</v>
      </c>
      <c r="AC168" s="94">
        <f>AC166</f>
        <v>0.17</v>
      </c>
      <c r="AD168" s="90">
        <f>IFERROR(IF($C168="","",IF($P$15="Cascade",$R168*(1-AC168)*AB168,IF($P$15="Additionnelle",($N168-($N168*($P168+AC168)))*AB168))),"Non Trouvé")</f>
        <v>0</v>
      </c>
      <c r="AG168" s="94">
        <f>AG166</f>
        <v>0</v>
      </c>
      <c r="AH168" s="94">
        <f>AH166</f>
        <v>0.13</v>
      </c>
      <c r="AI168" s="90">
        <f>IFERROR(IF($C168="","",IF($P$15="Cascade",$R168*(1-AH168)*AG168,IF($P$15="Additionnelle",($N168-($N168*($P168+AH168)))*AG168))),"Non Trouvé")</f>
        <v>0</v>
      </c>
      <c r="AL168" s="94">
        <f>AL166</f>
        <v>0</v>
      </c>
      <c r="AM168" s="94">
        <f>AM166</f>
        <v>0.08</v>
      </c>
      <c r="AN168" s="90">
        <f>IFERROR(IF($C168="","",IF($P$15="Cascade",$R168*(1-AM168)*AL168,IF($P$15="Additionnelle",($N168-($N168*($P168+AM168)))*AL168))),"Non Trouvé")</f>
        <v>0</v>
      </c>
      <c r="AQ168" s="94">
        <f>AQ166</f>
        <v>0</v>
      </c>
      <c r="AR168" s="94">
        <f>AR166</f>
        <v>0.05</v>
      </c>
      <c r="AS168" s="90">
        <f>IFERROR(IF($C168="","",IF($P$15="Cascade",$R168*(1-AR168)*AQ168,IF($P$15="Additionnelle",($N168-($N168*($P168+AR168)))*AQ168))),"Non Trouvé")</f>
        <v>0</v>
      </c>
      <c r="AV168" s="94">
        <f>AV166</f>
        <v>0</v>
      </c>
      <c r="AW168" s="94">
        <f>AW166</f>
        <v>0.32500000000000001</v>
      </c>
      <c r="AX168" s="90">
        <f>IFERROR(IF($C168="","",IF($P$15="Cascade",$R168*(1-AW168)*AV168,IF($P$15="Additionnelle",($N168-($N168*($P168+AW168)))*AV168))),"Non Trouvé")</f>
        <v>0</v>
      </c>
      <c r="BA168" s="94">
        <f>BA166</f>
        <v>0</v>
      </c>
      <c r="BB168" s="94">
        <f>BB166</f>
        <v>0.29499999999999998</v>
      </c>
      <c r="BC168" s="90">
        <f>IFERROR(IF($C168="","",IF($P$15="Cascade",$R168*(1-BB168)*BA168,IF($P$15="Additionnelle",($N168-($N168*($P168+BB168)))*BA168))),"Non Trouvé")</f>
        <v>0</v>
      </c>
      <c r="BF168" s="94">
        <f>BF166</f>
        <v>0</v>
      </c>
      <c r="BG168" s="94">
        <f>BG166</f>
        <v>0.27500000000000002</v>
      </c>
      <c r="BH168" s="90">
        <f>IFERROR(IF($C168="","",IF($P$15="Cascade",$R168*(1-BG168)*BF168,IF($P$15="Additionnelle",($N168-($N168*($P168+BG168)))*BF168))),"Non Trouvé")</f>
        <v>0</v>
      </c>
      <c r="BK168" s="94">
        <f>BK166</f>
        <v>0</v>
      </c>
      <c r="BL168" s="94">
        <f>BL166</f>
        <v>0.245</v>
      </c>
      <c r="BM168" s="90">
        <f>IFERROR(IF($C168="","",IF($P$15="Cascade",$R168*(1-BL168)*BK168,IF($P$15="Additionnelle",($N168-($N168*($P168+BL168)))*BK168))),"Non Trouvé")</f>
        <v>0</v>
      </c>
      <c r="BP168" s="94">
        <f>BP166</f>
        <v>0</v>
      </c>
      <c r="BQ168" s="94">
        <f>BQ166</f>
        <v>0.22500000000000001</v>
      </c>
      <c r="BR168" s="90">
        <f>IFERROR(IF($C168="","",IF($P$15="Cascade",$R168*(1-BQ168)*BP168,IF($P$15="Additionnelle",($N168-($N168*($P168+BQ168)))*BP168))),"Non Trouvé")</f>
        <v>0</v>
      </c>
      <c r="BU168" s="94">
        <f>BU166</f>
        <v>0</v>
      </c>
      <c r="BV168" s="94">
        <f>BV166</f>
        <v>0.17499999999999999</v>
      </c>
      <c r="BW168" s="90">
        <f>IFERROR(IF($C168="","",IF($P$15="Cascade",$R168*(1-BV168)*BU168,IF($P$15="Additionnelle",($N168-($N168*($P168+BV168)))*BU168))),"Non Trouvé")</f>
        <v>0</v>
      </c>
      <c r="BZ168" s="94">
        <f>BZ166</f>
        <v>0</v>
      </c>
      <c r="CA168" s="94">
        <f>CA166</f>
        <v>0.15</v>
      </c>
      <c r="CB168" s="90">
        <f>IFERROR(IF($C168="","",IF($P$15="Cascade",$R168*(1-CA168)*BZ168,IF($P$15="Additionnelle",($N168-($N168*($P168+CA168)))*BZ168))),"Non Trouvé")</f>
        <v>0</v>
      </c>
      <c r="CE168" s="95"/>
      <c r="CF168" s="96"/>
      <c r="CG168" s="97"/>
      <c r="CH168" s="97"/>
      <c r="CI168" s="98"/>
      <c r="CK168" s="99">
        <f>IFERROR(IF(F168='[1]Paramètres Généraux'!$K$12,ROUNDUP((REGENERANTS!H168*REGENERANTS!$CF$166)*'[1]Paramètres Généraux'!$M$12,-1),REGENERANTS!H168*REGENERANTS!$CF$166),"nd")</f>
        <v>0</v>
      </c>
      <c r="CN168" s="164"/>
      <c r="CO168" s="165"/>
      <c r="CP168" s="165"/>
      <c r="CQ168" s="165"/>
      <c r="CR168" s="165"/>
      <c r="CS168" s="166"/>
      <c r="CT168" s="167"/>
      <c r="CU168" s="165"/>
      <c r="CV168" s="166"/>
      <c r="CW168" s="168"/>
      <c r="CX168" s="169"/>
      <c r="CY168" s="168"/>
      <c r="CZ168" s="170"/>
      <c r="DA168" s="169"/>
      <c r="DB168" s="168"/>
      <c r="DC168" s="170"/>
      <c r="DD168" s="169"/>
      <c r="DE168" s="168"/>
      <c r="DF168" s="170"/>
      <c r="DG168" s="170"/>
      <c r="DH168" s="170"/>
      <c r="DI168" s="170"/>
      <c r="DJ168" s="170"/>
      <c r="DK168" s="170"/>
      <c r="DL168" s="170"/>
      <c r="DM168" s="170"/>
      <c r="DN168" s="170"/>
      <c r="DO168" s="169"/>
      <c r="DP168" s="168"/>
      <c r="DQ168" s="20">
        <f t="shared" ref="DQ168:DQ208" si="108">SUM(CN168:DP168)</f>
        <v>0</v>
      </c>
      <c r="DR168" s="20">
        <f t="shared" ref="DR168:DR208" si="109">SUM(CV168:DP168)</f>
        <v>0</v>
      </c>
      <c r="DS168" s="20">
        <f>IFERROR((IF(AND($F168="Produit Vente",CO168&gt;0),VLOOKUP($C168,'[1]Paramètres Articles'!$B:$H,7,FALSE)*$CO168)*(1-20%)),0)</f>
        <v>0</v>
      </c>
      <c r="DT168" s="20">
        <f>IFERROR((IF(AND($F168="Produit Vente",DR168&gt;0),VLOOKUP($C168,'[1]Paramètres Articles'!$B:$H,6,FALSE)*$DR168)*(1-15%)),0)</f>
        <v>0</v>
      </c>
    </row>
    <row r="169" spans="2:124" ht="12.95" hidden="1" customHeight="1" thickBot="1">
      <c r="B169" s="1">
        <f>IF(C169="",0,COUNTIFS($B$22:B168,"&gt;"&amp;0)+1)</f>
        <v>62</v>
      </c>
      <c r="C169" s="85">
        <v>1020310</v>
      </c>
      <c r="D169" s="86" t="str">
        <f>IFERROR(IF($C169="","",VLOOKUP($C169,'[1]Paramètres Articles'!$B:$G,2,FALSE)),"Non Trouvé")</f>
        <v>Crème de Jour Eclat du Teint - Régénérant - 40 ml</v>
      </c>
      <c r="E169" s="87">
        <f>IFERROR(IF($C169="","",_xlfn.XLOOKUP(REGENERANTS!$C169,'[1]New Base PA'!$F:$F,'[1]New Base PA'!$D:$D,"Not Found",0)),"Non Trouvé")</f>
        <v>4020829060999</v>
      </c>
      <c r="F169" s="88" t="s">
        <v>90</v>
      </c>
      <c r="H169" s="101">
        <f>50*7%</f>
        <v>3.5000000000000004</v>
      </c>
      <c r="J169" s="90">
        <f>IFERROR(IF($C169="","",VLOOKUP($C169,'[1]New Base PA'!$F:$J,5,FALSE)),"Non Trouvé")</f>
        <v>16.2226</v>
      </c>
      <c r="K169" s="131">
        <f t="shared" si="104"/>
        <v>56.779100000000007</v>
      </c>
      <c r="L169" s="132"/>
      <c r="M169" s="90">
        <f>IFERROR(IF(AND($F169="Produit Vente",H169&gt;0),VLOOKUP($C169,'[1]Paramètres Articles'!$B:$G,6,FALSE),0),"Non Trouvé")</f>
        <v>41.12</v>
      </c>
      <c r="N169" s="90">
        <f t="shared" si="105"/>
        <v>143.92000000000002</v>
      </c>
      <c r="P169" s="92"/>
      <c r="R169" s="90">
        <f t="shared" si="106"/>
        <v>143.92000000000002</v>
      </c>
      <c r="S169" s="91"/>
      <c r="T169" s="90">
        <f>IFERROR(IF($C169="","",VLOOKUP($C169,'[1]Paramètres Articles'!$B:$H,7,FALSE)),"Non Trouvé")</f>
        <v>69.900000000000006</v>
      </c>
      <c r="U169" s="93"/>
      <c r="V169" s="90" t="str">
        <f t="shared" ref="V169:V207" si="110">IFERROR(IF($C169="","",IF($P169="","",$T169*(1-$P169))),"Non Trouvé")</f>
        <v/>
      </c>
      <c r="W169" s="91"/>
      <c r="X169" s="90" t="str">
        <f>IFERROR(T169-V169,"")</f>
        <v/>
      </c>
      <c r="Y169" s="91"/>
      <c r="Z169" s="90">
        <f t="shared" si="107"/>
        <v>244.65000000000006</v>
      </c>
      <c r="AB169" s="94">
        <f>AB168</f>
        <v>0</v>
      </c>
      <c r="AC169" s="94">
        <f>AC168</f>
        <v>0.17</v>
      </c>
      <c r="AD169" s="90">
        <f>IFERROR(IF($C169="","",IF($P$15="Cascade",$R169*(1-AC169)*AB169,IF($P$15="Additionnelle",($N169-($N169*($P169+AC169)))*AB169))),"Non Trouvé")</f>
        <v>0</v>
      </c>
      <c r="AG169" s="94">
        <f>AG168</f>
        <v>0</v>
      </c>
      <c r="AH169" s="94">
        <f>AH168</f>
        <v>0.13</v>
      </c>
      <c r="AI169" s="90">
        <f>IFERROR(IF($C169="","",IF($P$15="Cascade",$R169*(1-AH169)*AG169,IF($P$15="Additionnelle",($N169-($N169*($P169+AH169)))*AG169))),"Non Trouvé")</f>
        <v>0</v>
      </c>
      <c r="AL169" s="94">
        <f>AL168</f>
        <v>0</v>
      </c>
      <c r="AM169" s="94">
        <f>AM168</f>
        <v>0.08</v>
      </c>
      <c r="AN169" s="90">
        <f>IFERROR(IF($C169="","",IF($P$15="Cascade",$R169*(1-AM169)*AL169,IF($P$15="Additionnelle",($N169-($N169*($P169+AM169)))*AL169))),"Non Trouvé")</f>
        <v>0</v>
      </c>
      <c r="AQ169" s="94">
        <f>AQ168</f>
        <v>0</v>
      </c>
      <c r="AR169" s="94">
        <f>AR168</f>
        <v>0.05</v>
      </c>
      <c r="AS169" s="90">
        <f>IFERROR(IF($C169="","",IF($P$15="Cascade",$R169*(1-AR169)*AQ169,IF($P$15="Additionnelle",($N169-($N169*($P169+AR169)))*AQ169))),"Non Trouvé")</f>
        <v>0</v>
      </c>
      <c r="AV169" s="94">
        <f>AV168</f>
        <v>0</v>
      </c>
      <c r="AW169" s="94">
        <f>AW168</f>
        <v>0.32500000000000001</v>
      </c>
      <c r="AX169" s="90">
        <f>IFERROR(IF($C169="","",IF($P$15="Cascade",$R169*(1-AW169)*AV169,IF($P$15="Additionnelle",($N169-($N169*($P169+AW169)))*AV169))),"Non Trouvé")</f>
        <v>0</v>
      </c>
      <c r="BA169" s="94">
        <f>BA168</f>
        <v>0</v>
      </c>
      <c r="BB169" s="94">
        <f>BB168</f>
        <v>0.29499999999999998</v>
      </c>
      <c r="BC169" s="90">
        <f>IFERROR(IF($C169="","",IF($P$15="Cascade",$R169*(1-BB169)*BA169,IF($P$15="Additionnelle",($N169-($N169*($P169+BB169)))*BA169))),"Non Trouvé")</f>
        <v>0</v>
      </c>
      <c r="BF169" s="94">
        <f>BF168</f>
        <v>0</v>
      </c>
      <c r="BG169" s="94">
        <f>BG168</f>
        <v>0.27500000000000002</v>
      </c>
      <c r="BH169" s="90">
        <f>IFERROR(IF($C169="","",IF($P$15="Cascade",$R169*(1-BG169)*BF169,IF($P$15="Additionnelle",($N169-($N169*($P169+BG169)))*BF169))),"Non Trouvé")</f>
        <v>0</v>
      </c>
      <c r="BK169" s="94">
        <f>BK168</f>
        <v>0</v>
      </c>
      <c r="BL169" s="94">
        <f>BL168</f>
        <v>0.245</v>
      </c>
      <c r="BM169" s="90">
        <f>IFERROR(IF($C169="","",IF($P$15="Cascade",$R169*(1-BL169)*BK169,IF($P$15="Additionnelle",($N169-($N169*($P169+BL169)))*BK169))),"Non Trouvé")</f>
        <v>0</v>
      </c>
      <c r="BP169" s="94">
        <f>BP168</f>
        <v>0</v>
      </c>
      <c r="BQ169" s="94">
        <f>BQ168</f>
        <v>0.22500000000000001</v>
      </c>
      <c r="BR169" s="90">
        <f>IFERROR(IF($C169="","",IF($P$15="Cascade",$R169*(1-BQ169)*BP169,IF($P$15="Additionnelle",($N169-($N169*($P169+BQ169)))*BP169))),"Non Trouvé")</f>
        <v>0</v>
      </c>
      <c r="BU169" s="94">
        <f>BU168</f>
        <v>0</v>
      </c>
      <c r="BV169" s="94">
        <f>BV168</f>
        <v>0.17499999999999999</v>
      </c>
      <c r="BW169" s="90">
        <f>IFERROR(IF($C169="","",IF($P$15="Cascade",$R169*(1-BV169)*BU169,IF($P$15="Additionnelle",($N169-($N169*($P169+BV169)))*BU169))),"Non Trouvé")</f>
        <v>0</v>
      </c>
      <c r="BZ169" s="94">
        <f>BZ168</f>
        <v>0</v>
      </c>
      <c r="CA169" s="94">
        <f>CA168</f>
        <v>0.15</v>
      </c>
      <c r="CB169" s="90">
        <f>IFERROR(IF($C169="","",IF($P$15="Cascade",$R169*(1-CA169)*BZ169,IF($P$15="Additionnelle",($N169-($N169*($P169+CA169)))*BZ169))),"Non Trouvé")</f>
        <v>0</v>
      </c>
      <c r="CE169" s="95"/>
      <c r="CF169" s="114"/>
      <c r="CG169" s="115" t="s">
        <v>91</v>
      </c>
      <c r="CH169" s="116" t="e">
        <f>CG166/CF166</f>
        <v>#DIV/0!</v>
      </c>
      <c r="CI169" s="98"/>
      <c r="CK169" s="99">
        <f>IFERROR(IF(F169='[1]Paramètres Généraux'!$K$12,ROUNDUP((REGENERANTS!H169*REGENERANTS!$CF$166)*'[1]Paramètres Généraux'!$M$12,-1),REGENERANTS!H169*REGENERANTS!$CF$166),"nd")</f>
        <v>0</v>
      </c>
      <c r="CN169" s="100"/>
      <c r="CO169" s="101"/>
      <c r="CP169" s="101"/>
      <c r="CQ169" s="101"/>
      <c r="CR169" s="101"/>
      <c r="CS169" s="171"/>
      <c r="CT169" s="172"/>
      <c r="CU169" s="101"/>
      <c r="CV169" s="171"/>
      <c r="CW169" s="106"/>
      <c r="CX169" s="107"/>
      <c r="CY169" s="106"/>
      <c r="CZ169" s="104"/>
      <c r="DA169" s="107"/>
      <c r="DB169" s="106"/>
      <c r="DC169" s="104"/>
      <c r="DD169" s="107"/>
      <c r="DE169" s="106"/>
      <c r="DF169" s="104"/>
      <c r="DG169" s="104"/>
      <c r="DH169" s="104"/>
      <c r="DI169" s="104"/>
      <c r="DJ169" s="104"/>
      <c r="DK169" s="104"/>
      <c r="DL169" s="104"/>
      <c r="DM169" s="104"/>
      <c r="DN169" s="104"/>
      <c r="DO169" s="107"/>
      <c r="DP169" s="106"/>
      <c r="DQ169" s="20">
        <f t="shared" si="108"/>
        <v>0</v>
      </c>
      <c r="DR169" s="20">
        <f t="shared" si="109"/>
        <v>0</v>
      </c>
      <c r="DS169" s="20">
        <f>IFERROR((IF(AND($F169="Produit Vente",CO169&gt;0),VLOOKUP($C169,'[1]Paramètres Articles'!$B:$H,7,FALSE)*$CO169)*(1-20%)),0)</f>
        <v>0</v>
      </c>
      <c r="DT169" s="20">
        <f>IFERROR((IF(AND($F169="Produit Vente",DR169&gt;0),VLOOKUP($C169,'[1]Paramètres Articles'!$B:$H,6,FALSE)*$DR169)*(1-15%)),0)</f>
        <v>0</v>
      </c>
    </row>
    <row r="170" spans="2:124" ht="12.95" hidden="1" customHeight="1" thickBot="1">
      <c r="B170" s="1">
        <f>IF(C170="",0,COUNTIFS($B$22:B169,"&gt;"&amp;0)+1)</f>
        <v>63</v>
      </c>
      <c r="C170" s="85">
        <v>1020401</v>
      </c>
      <c r="D170" s="86" t="str">
        <f>IFERROR(IF($C170="","",VLOOKUP($C170,'[1]Paramètres Articles'!$B:$G,2,FALSE)),"Non Trouvé")</f>
        <v>Crème Contour des Yeux - Régénérant - 15 ml</v>
      </c>
      <c r="E170" s="87">
        <f>IFERROR(IF($C170="","",_xlfn.XLOOKUP(REGENERANTS!$C170,'[1]New Base PA'!$F:$F,'[1]New Base PA'!$D:$D,"Not Found",0)),"Non Trouvé")</f>
        <v>4020829013919</v>
      </c>
      <c r="F170" s="88" t="s">
        <v>90</v>
      </c>
      <c r="H170" s="101">
        <f>50*9%</f>
        <v>4.5</v>
      </c>
      <c r="J170" s="90">
        <f>IFERROR(IF($C170="","",VLOOKUP($C170,'[1]New Base PA'!$F:$J,5,FALSE)),"Non Trouvé")</f>
        <v>15.4918</v>
      </c>
      <c r="K170" s="131">
        <f t="shared" si="104"/>
        <v>69.713099999999997</v>
      </c>
      <c r="L170" s="132"/>
      <c r="M170" s="90">
        <f>IFERROR(IF(AND($F170="Produit Vente",H170&gt;0),VLOOKUP($C170,'[1]Paramètres Articles'!$B:$G,6,FALSE),0),"Non Trouvé")</f>
        <v>39.71</v>
      </c>
      <c r="N170" s="90">
        <f t="shared" si="105"/>
        <v>178.69499999999999</v>
      </c>
      <c r="P170" s="92"/>
      <c r="R170" s="90">
        <f t="shared" si="106"/>
        <v>178.69499999999999</v>
      </c>
      <c r="S170" s="91"/>
      <c r="T170" s="90">
        <f>IFERROR(IF($C170="","",VLOOKUP($C170,'[1]Paramètres Articles'!$B:$H,7,FALSE)),"Non Trouvé")</f>
        <v>67.5</v>
      </c>
      <c r="U170" s="93"/>
      <c r="V170" s="90" t="str">
        <f t="shared" si="110"/>
        <v/>
      </c>
      <c r="W170" s="91"/>
      <c r="X170" s="90" t="str">
        <f t="shared" ref="X170:X207" si="111">IFERROR(T170-V170,"")</f>
        <v/>
      </c>
      <c r="Y170" s="91"/>
      <c r="Z170" s="90">
        <f t="shared" si="107"/>
        <v>303.75</v>
      </c>
      <c r="AB170" s="94">
        <f>AB168</f>
        <v>0</v>
      </c>
      <c r="AC170" s="94">
        <f>AC168</f>
        <v>0.17</v>
      </c>
      <c r="AD170" s="90">
        <f>IFERROR(IF($C170="","",IF($P$15="Cascade",$R170*(1-AC170)*AB170,IF($P$15="Additionnelle",($N170-($N170*($P170+AC170)))*AB170))),"Non Trouvé")</f>
        <v>0</v>
      </c>
      <c r="AG170" s="94">
        <f>AG168</f>
        <v>0</v>
      </c>
      <c r="AH170" s="94">
        <f>AH168</f>
        <v>0.13</v>
      </c>
      <c r="AI170" s="90">
        <f>IFERROR(IF($C170="","",IF($P$15="Cascade",$R170*(1-AH170)*AG170,IF($P$15="Additionnelle",($N170-($N170*($P170+AH170)))*AG170))),"Non Trouvé")</f>
        <v>0</v>
      </c>
      <c r="AL170" s="94">
        <f>AL168</f>
        <v>0</v>
      </c>
      <c r="AM170" s="94">
        <f>AM168</f>
        <v>0.08</v>
      </c>
      <c r="AN170" s="90">
        <f>IFERROR(IF($C170="","",IF($P$15="Cascade",$R170*(1-AM170)*AL170,IF($P$15="Additionnelle",($N170-($N170*($P170+AM170)))*AL170))),"Non Trouvé")</f>
        <v>0</v>
      </c>
      <c r="AQ170" s="94">
        <f>AQ168</f>
        <v>0</v>
      </c>
      <c r="AR170" s="94">
        <f>AR168</f>
        <v>0.05</v>
      </c>
      <c r="AS170" s="90">
        <f>IFERROR(IF($C170="","",IF($P$15="Cascade",$R170*(1-AR170)*AQ170,IF($P$15="Additionnelle",($N170-($N170*($P170+AR170)))*AQ170))),"Non Trouvé")</f>
        <v>0</v>
      </c>
      <c r="AV170" s="94">
        <f>AV168</f>
        <v>0</v>
      </c>
      <c r="AW170" s="94">
        <f>AW168</f>
        <v>0.32500000000000001</v>
      </c>
      <c r="AX170" s="90">
        <f>IFERROR(IF($C170="","",IF($P$15="Cascade",$R170*(1-AW170)*AV170,IF($P$15="Additionnelle",($N170-($N170*($P170+AW170)))*AV170))),"Non Trouvé")</f>
        <v>0</v>
      </c>
      <c r="BA170" s="94">
        <f>BA168</f>
        <v>0</v>
      </c>
      <c r="BB170" s="94">
        <f>BB168</f>
        <v>0.29499999999999998</v>
      </c>
      <c r="BC170" s="90">
        <f>IFERROR(IF($C170="","",IF($P$15="Cascade",$R170*(1-BB170)*BA170,IF($P$15="Additionnelle",($N170-($N170*($P170+BB170)))*BA170))),"Non Trouvé")</f>
        <v>0</v>
      </c>
      <c r="BF170" s="94">
        <f>BF168</f>
        <v>0</v>
      </c>
      <c r="BG170" s="94">
        <f>BG168</f>
        <v>0.27500000000000002</v>
      </c>
      <c r="BH170" s="90">
        <f>IFERROR(IF($C170="","",IF($P$15="Cascade",$R170*(1-BG170)*BF170,IF($P$15="Additionnelle",($N170-($N170*($P170+BG170)))*BF170))),"Non Trouvé")</f>
        <v>0</v>
      </c>
      <c r="BK170" s="94">
        <f>BK168</f>
        <v>0</v>
      </c>
      <c r="BL170" s="94">
        <f>BL168</f>
        <v>0.245</v>
      </c>
      <c r="BM170" s="90">
        <f>IFERROR(IF($C170="","",IF($P$15="Cascade",$R170*(1-BL170)*BK170,IF($P$15="Additionnelle",($N170-($N170*($P170+BL170)))*BK170))),"Non Trouvé")</f>
        <v>0</v>
      </c>
      <c r="BP170" s="94">
        <f>BP168</f>
        <v>0</v>
      </c>
      <c r="BQ170" s="94">
        <f>BQ168</f>
        <v>0.22500000000000001</v>
      </c>
      <c r="BR170" s="90">
        <f>IFERROR(IF($C170="","",IF($P$15="Cascade",$R170*(1-BQ170)*BP170,IF($P$15="Additionnelle",($N170-($N170*($P170+BQ170)))*BP170))),"Non Trouvé")</f>
        <v>0</v>
      </c>
      <c r="BU170" s="94">
        <f>BU168</f>
        <v>0</v>
      </c>
      <c r="BV170" s="94">
        <f>BV168</f>
        <v>0.17499999999999999</v>
      </c>
      <c r="BW170" s="90">
        <f>IFERROR(IF($C170="","",IF($P$15="Cascade",$R170*(1-BV170)*BU170,IF($P$15="Additionnelle",($N170-($N170*($P170+BV170)))*BU170))),"Non Trouvé")</f>
        <v>0</v>
      </c>
      <c r="BZ170" s="94">
        <f>BZ168</f>
        <v>0</v>
      </c>
      <c r="CA170" s="94">
        <f>CA168</f>
        <v>0.15</v>
      </c>
      <c r="CB170" s="90">
        <f>IFERROR(IF($C170="","",IF($P$15="Cascade",$R170*(1-CA170)*BZ170,IF($P$15="Additionnelle",($N170-($N170*($P170+CA170)))*BZ170))),"Non Trouvé")</f>
        <v>0</v>
      </c>
      <c r="CE170" s="95"/>
      <c r="CF170" s="114"/>
      <c r="CG170" s="115" t="s">
        <v>92</v>
      </c>
      <c r="CH170" s="118">
        <f>SUM(CH172:CH175)</f>
        <v>0.20449261266215335</v>
      </c>
      <c r="CI170" s="98"/>
      <c r="CK170" s="99">
        <f>IFERROR(IF(F170='[1]Paramètres Généraux'!$K$12,ROUNDUP((REGENERANTS!H170*REGENERANTS!$CF$166)*'[1]Paramètres Généraux'!$M$12,-1),REGENERANTS!H170*REGENERANTS!$CF$166),"nd")</f>
        <v>0</v>
      </c>
      <c r="CN170" s="100"/>
      <c r="CO170" s="101"/>
      <c r="CP170" s="101"/>
      <c r="CQ170" s="101"/>
      <c r="CR170" s="101"/>
      <c r="CS170" s="171"/>
      <c r="CT170" s="172"/>
      <c r="CU170" s="101"/>
      <c r="CV170" s="171"/>
      <c r="CW170" s="106"/>
      <c r="CX170" s="107"/>
      <c r="CY170" s="106"/>
      <c r="CZ170" s="104"/>
      <c r="DA170" s="107"/>
      <c r="DB170" s="106"/>
      <c r="DC170" s="104"/>
      <c r="DD170" s="107"/>
      <c r="DE170" s="106"/>
      <c r="DF170" s="104"/>
      <c r="DG170" s="104"/>
      <c r="DH170" s="104"/>
      <c r="DI170" s="104"/>
      <c r="DJ170" s="104"/>
      <c r="DK170" s="104"/>
      <c r="DL170" s="104"/>
      <c r="DM170" s="104"/>
      <c r="DN170" s="104"/>
      <c r="DO170" s="107"/>
      <c r="DP170" s="106"/>
      <c r="DQ170" s="20">
        <f t="shared" si="108"/>
        <v>0</v>
      </c>
      <c r="DR170" s="20">
        <f t="shared" si="109"/>
        <v>0</v>
      </c>
      <c r="DS170" s="20">
        <f>IFERROR((IF(AND($F170="Produit Vente",CO170&gt;0),VLOOKUP($C170,'[1]Paramètres Articles'!$B:$H,7,FALSE)*$CO170)*(1-20%)),0)</f>
        <v>0</v>
      </c>
      <c r="DT170" s="20">
        <f>IFERROR((IF(AND($F170="Produit Vente",DR170&gt;0),VLOOKUP($C170,'[1]Paramètres Articles'!$B:$H,6,FALSE)*$DR170)*(1-15%)),0)</f>
        <v>0</v>
      </c>
    </row>
    <row r="171" spans="2:124" ht="12.95" hidden="1" customHeight="1" outlineLevel="1">
      <c r="B171" s="1">
        <f>IF(C171="",0,COUNTIFS($B$22:B170,"&gt;"&amp;0)+1)</f>
        <v>64</v>
      </c>
      <c r="C171" s="85">
        <v>1020302</v>
      </c>
      <c r="D171" s="86" t="str">
        <f>IFERROR(IF($C171="","",VLOOKUP($C171,'[1]Paramètres Articles'!$B:$G,2,FALSE)),"Non Trouvé")</f>
        <v>Crème Cou et Décolleté - Régénérant - 40 ml</v>
      </c>
      <c r="E171" s="87">
        <f>IFERROR(IF($C171="","",_xlfn.XLOOKUP(REGENERANTS!$C171,'[1]New Base PA'!$F:$F,'[1]New Base PA'!$D:$D,"Not Found",0)),"Non Trouvé")</f>
        <v>4020829008366</v>
      </c>
      <c r="F171" s="88" t="s">
        <v>90</v>
      </c>
      <c r="H171" s="101">
        <f>50*4%</f>
        <v>2</v>
      </c>
      <c r="J171" s="90">
        <f>IFERROR(IF($C171="","",VLOOKUP($C171,'[1]New Base PA'!$F:$J,5,FALSE)),"Non Trouvé")</f>
        <v>13.774999999999999</v>
      </c>
      <c r="K171" s="131">
        <f t="shared" si="104"/>
        <v>27.549999999999997</v>
      </c>
      <c r="L171" s="132"/>
      <c r="M171" s="90">
        <f>IFERROR(IF(AND($F171="Produit Vente",H171&gt;0),VLOOKUP($C171,'[1]Paramètres Articles'!$B:$G,6,FALSE),0),"Non Trouvé")</f>
        <v>35.878166666666665</v>
      </c>
      <c r="N171" s="90">
        <f t="shared" si="105"/>
        <v>71.75633333333333</v>
      </c>
      <c r="P171" s="92"/>
      <c r="R171" s="90">
        <f t="shared" si="106"/>
        <v>71.75633333333333</v>
      </c>
      <c r="S171" s="91"/>
      <c r="T171" s="90">
        <f>IFERROR(IF($C171="","",VLOOKUP($C171,'[1]Paramètres Articles'!$B:$H,7,FALSE)),"Non Trouvé")</f>
        <v>61</v>
      </c>
      <c r="U171" s="93"/>
      <c r="V171" s="90" t="str">
        <f t="shared" si="110"/>
        <v/>
      </c>
      <c r="W171" s="91"/>
      <c r="X171" s="90" t="str">
        <f t="shared" si="111"/>
        <v/>
      </c>
      <c r="Y171" s="91"/>
      <c r="Z171" s="90">
        <f t="shared" si="107"/>
        <v>122</v>
      </c>
      <c r="AB171" s="94">
        <f>AB170</f>
        <v>0</v>
      </c>
      <c r="AC171" s="94">
        <f>AC170</f>
        <v>0.17</v>
      </c>
      <c r="AD171" s="90">
        <f t="shared" ref="AD171:AD187" si="112">IFERROR(IF($C171="","",IF($P$15="Cascade",$R171*(1-AC171)*AB171,IF($P$15="Additionnelle",($N171-($N171*($P171+AC171)))*AB171))),"Non Trouvé")</f>
        <v>0</v>
      </c>
      <c r="AG171" s="94">
        <f>AG170</f>
        <v>0</v>
      </c>
      <c r="AH171" s="94">
        <f>AH170</f>
        <v>0.13</v>
      </c>
      <c r="AI171" s="90">
        <f t="shared" ref="AI171:AI187" si="113">IFERROR(IF($C171="","",IF($P$15="Cascade",$R171*(1-AH171)*AG171,IF($P$15="Additionnelle",($N171-($N171*($P171+AH171)))*AG171))),"Non Trouvé")</f>
        <v>0</v>
      </c>
      <c r="AL171" s="94">
        <f>AL170</f>
        <v>0</v>
      </c>
      <c r="AM171" s="94">
        <f>AM170</f>
        <v>0.08</v>
      </c>
      <c r="AN171" s="90">
        <f t="shared" ref="AN171:AN187" si="114">IFERROR(IF($C171="","",IF($P$15="Cascade",$R171*(1-AM171)*AL171,IF($P$15="Additionnelle",($N171-($N171*($P171+AM171)))*AL171))),"Non Trouvé")</f>
        <v>0</v>
      </c>
      <c r="AQ171" s="94">
        <f>AQ170</f>
        <v>0</v>
      </c>
      <c r="AR171" s="94">
        <f>AR170</f>
        <v>0.05</v>
      </c>
      <c r="AS171" s="90">
        <f t="shared" ref="AS171:AS187" si="115">IFERROR(IF($C171="","",IF($P$15="Cascade",$R171*(1-AR171)*AQ171,IF($P$15="Additionnelle",($N171-($N171*($P171+AR171)))*AQ171))),"Non Trouvé")</f>
        <v>0</v>
      </c>
      <c r="AV171" s="94">
        <f>AV170</f>
        <v>0</v>
      </c>
      <c r="AW171" s="94">
        <f>AW170</f>
        <v>0.32500000000000001</v>
      </c>
      <c r="AX171" s="90">
        <f t="shared" ref="AX171:AX187" si="116">IFERROR(IF($C171="","",IF($P$15="Cascade",$R171*(1-AW171)*AV171,IF($P$15="Additionnelle",($N171-($N171*($P171+AW171)))*AV171))),"Non Trouvé")</f>
        <v>0</v>
      </c>
      <c r="BA171" s="94">
        <f>BA170</f>
        <v>0</v>
      </c>
      <c r="BB171" s="94">
        <f>BB170</f>
        <v>0.29499999999999998</v>
      </c>
      <c r="BC171" s="90">
        <f t="shared" ref="BC171:BC187" si="117">IFERROR(IF($C171="","",IF($P$15="Cascade",$R171*(1-BB171)*BA171,IF($P$15="Additionnelle",($N171-($N171*($P171+BB171)))*BA171))),"Non Trouvé")</f>
        <v>0</v>
      </c>
      <c r="BF171" s="94">
        <f>BF170</f>
        <v>0</v>
      </c>
      <c r="BG171" s="94">
        <f>BG170</f>
        <v>0.27500000000000002</v>
      </c>
      <c r="BH171" s="90">
        <f t="shared" ref="BH171:BH187" si="118">IFERROR(IF($C171="","",IF($P$15="Cascade",$R171*(1-BG171)*BF171,IF($P$15="Additionnelle",($N171-($N171*($P171+BG171)))*BF171))),"Non Trouvé")</f>
        <v>0</v>
      </c>
      <c r="BK171" s="94">
        <f>BK170</f>
        <v>0</v>
      </c>
      <c r="BL171" s="94">
        <f>BL170</f>
        <v>0.245</v>
      </c>
      <c r="BM171" s="90">
        <f t="shared" ref="BM171:BM187" si="119">IFERROR(IF($C171="","",IF($P$15="Cascade",$R171*(1-BL171)*BK171,IF($P$15="Additionnelle",($N171-($N171*($P171+BL171)))*BK171))),"Non Trouvé")</f>
        <v>0</v>
      </c>
      <c r="BP171" s="94">
        <f>BP170</f>
        <v>0</v>
      </c>
      <c r="BQ171" s="94">
        <f>BQ170</f>
        <v>0.22500000000000001</v>
      </c>
      <c r="BR171" s="90">
        <f t="shared" ref="BR171:BR187" si="120">IFERROR(IF($C171="","",IF($P$15="Cascade",$R171*(1-BQ171)*BP171,IF($P$15="Additionnelle",($N171-($N171*($P171+BQ171)))*BP171))),"Non Trouvé")</f>
        <v>0</v>
      </c>
      <c r="BU171" s="94">
        <f>BU170</f>
        <v>0</v>
      </c>
      <c r="BV171" s="94">
        <f>BV170</f>
        <v>0.17499999999999999</v>
      </c>
      <c r="BW171" s="90">
        <f t="shared" ref="BW171:BW187" si="121">IFERROR(IF($C171="","",IF($P$15="Cascade",$R171*(1-BV171)*BU171,IF($P$15="Additionnelle",($N171-($N171*($P171+BV171)))*BU171))),"Non Trouvé")</f>
        <v>0</v>
      </c>
      <c r="BZ171" s="94">
        <f>BZ170</f>
        <v>0</v>
      </c>
      <c r="CA171" s="94">
        <f>CA170</f>
        <v>0.15</v>
      </c>
      <c r="CB171" s="90">
        <f t="shared" ref="CB171:CB187" si="122">IFERROR(IF($C171="","",IF($P$15="Cascade",$R171*(1-CA171)*BZ171,IF($P$15="Additionnelle",($N171-($N171*($P171+CA171)))*BZ171))),"Non Trouvé")</f>
        <v>0</v>
      </c>
      <c r="CE171" s="95"/>
      <c r="CF171" s="96"/>
      <c r="CG171" s="97"/>
      <c r="CH171" s="97"/>
      <c r="CI171" s="98"/>
      <c r="CK171" s="99">
        <f>IFERROR(IF(F171='[1]Paramètres Généraux'!$K$12,ROUNDUP((REGENERANTS!H171*REGENERANTS!$CF$166)*'[1]Paramètres Généraux'!$M$12,-1),REGENERANTS!H171*REGENERANTS!$CF$166),"nd")</f>
        <v>0</v>
      </c>
      <c r="CN171" s="100"/>
      <c r="CO171" s="101"/>
      <c r="CP171" s="101"/>
      <c r="CQ171" s="101"/>
      <c r="CR171" s="101"/>
      <c r="CS171" s="171"/>
      <c r="CT171" s="172"/>
      <c r="CU171" s="101"/>
      <c r="CV171" s="171"/>
      <c r="CW171" s="106"/>
      <c r="CX171" s="107"/>
      <c r="CY171" s="106"/>
      <c r="CZ171" s="104"/>
      <c r="DA171" s="107"/>
      <c r="DB171" s="106"/>
      <c r="DC171" s="104"/>
      <c r="DD171" s="107"/>
      <c r="DE171" s="106"/>
      <c r="DF171" s="104"/>
      <c r="DG171" s="104"/>
      <c r="DH171" s="104"/>
      <c r="DI171" s="104"/>
      <c r="DJ171" s="104"/>
      <c r="DK171" s="104"/>
      <c r="DL171" s="104"/>
      <c r="DM171" s="104"/>
      <c r="DN171" s="104"/>
      <c r="DO171" s="107"/>
      <c r="DP171" s="106"/>
      <c r="DQ171" s="20">
        <f t="shared" si="108"/>
        <v>0</v>
      </c>
      <c r="DR171" s="20">
        <f t="shared" si="109"/>
        <v>0</v>
      </c>
      <c r="DS171" s="20">
        <f>IFERROR((IF(AND($F171="Produit Vente",CO171&gt;0),VLOOKUP($C171,'[1]Paramètres Articles'!$B:$H,7,FALSE)*$CO171)*(1-20%)),0)</f>
        <v>0</v>
      </c>
      <c r="DT171" s="20">
        <f>IFERROR((IF(AND($F171="Produit Vente",DR171&gt;0),VLOOKUP($C171,'[1]Paramètres Articles'!$B:$H,6,FALSE)*$DR171)*(1-15%)),0)</f>
        <v>0</v>
      </c>
    </row>
    <row r="172" spans="2:124" ht="12.95" hidden="1" customHeight="1" outlineLevel="1">
      <c r="B172" s="1">
        <f>IF(C172="",0,COUNTIFS($B$22:B171,"&gt;"&amp;0)+1)</f>
        <v>65</v>
      </c>
      <c r="C172" s="85">
        <v>1020721</v>
      </c>
      <c r="D172" s="86" t="str">
        <f>IFERROR(IF($C172="","",VLOOKUP($C172,'[1]Paramètres Articles'!$B:$G,2,FALSE)),"Non Trouvé")</f>
        <v>Cure Intensive Fortifiante - Régénérant - 40ml</v>
      </c>
      <c r="E172" s="87">
        <f>IFERROR(IF($C172="","",_xlfn.XLOOKUP(REGENERANTS!$C172,'[1]New Base PA'!$F:$F,'[1]New Base PA'!$D:$D,"Not Found",0)),"Non Trouvé")</f>
        <v>4020829102941</v>
      </c>
      <c r="F172" s="88" t="s">
        <v>90</v>
      </c>
      <c r="H172" s="101">
        <v>0</v>
      </c>
      <c r="J172" s="90">
        <f>IFERROR(IF($C172="","",VLOOKUP($C172,'[1]New Base PA'!$F:$J,5,FALSE)),"Non Trouvé")</f>
        <v>16.878</v>
      </c>
      <c r="K172" s="131">
        <f t="shared" si="104"/>
        <v>0</v>
      </c>
      <c r="L172" s="132"/>
      <c r="M172" s="90">
        <f>IFERROR(IF(AND($F172="Produit Vente",H172&gt;0),VLOOKUP($C172,'[1]Paramètres Articles'!$B:$G,6,FALSE),0),"Non Trouvé")</f>
        <v>0</v>
      </c>
      <c r="N172" s="90">
        <f t="shared" si="105"/>
        <v>0</v>
      </c>
      <c r="P172" s="92"/>
      <c r="R172" s="90">
        <f t="shared" si="106"/>
        <v>0</v>
      </c>
      <c r="S172" s="91"/>
      <c r="T172" s="90">
        <f>IFERROR(IF($C172="","",VLOOKUP($C172,'[1]Paramètres Articles'!$B:$H,7,FALSE)),"Non Trouvé")</f>
        <v>72.898071522305145</v>
      </c>
      <c r="U172" s="93"/>
      <c r="V172" s="90" t="str">
        <f t="shared" si="110"/>
        <v/>
      </c>
      <c r="W172" s="91"/>
      <c r="X172" s="90" t="str">
        <f t="shared" si="111"/>
        <v/>
      </c>
      <c r="Y172" s="91"/>
      <c r="Z172" s="90">
        <f t="shared" si="107"/>
        <v>0</v>
      </c>
      <c r="AB172" s="94">
        <f>AB170</f>
        <v>0</v>
      </c>
      <c r="AC172" s="94">
        <f>AC170</f>
        <v>0.17</v>
      </c>
      <c r="AD172" s="90">
        <f t="shared" si="112"/>
        <v>0</v>
      </c>
      <c r="AG172" s="94">
        <f>AG170</f>
        <v>0</v>
      </c>
      <c r="AH172" s="94">
        <f>AH170</f>
        <v>0.13</v>
      </c>
      <c r="AI172" s="90">
        <f t="shared" si="113"/>
        <v>0</v>
      </c>
      <c r="AL172" s="94">
        <f>AL170</f>
        <v>0</v>
      </c>
      <c r="AM172" s="94">
        <f>AM170</f>
        <v>0.08</v>
      </c>
      <c r="AN172" s="90">
        <f t="shared" si="114"/>
        <v>0</v>
      </c>
      <c r="AQ172" s="94">
        <f>AQ170</f>
        <v>0</v>
      </c>
      <c r="AR172" s="94">
        <f>AR170</f>
        <v>0.05</v>
      </c>
      <c r="AS172" s="90">
        <f t="shared" si="115"/>
        <v>0</v>
      </c>
      <c r="AV172" s="94">
        <f>AV170</f>
        <v>0</v>
      </c>
      <c r="AW172" s="94">
        <f>AW170</f>
        <v>0.32500000000000001</v>
      </c>
      <c r="AX172" s="90">
        <f t="shared" si="116"/>
        <v>0</v>
      </c>
      <c r="BA172" s="94">
        <f>BA170</f>
        <v>0</v>
      </c>
      <c r="BB172" s="94">
        <f>BB170</f>
        <v>0.29499999999999998</v>
      </c>
      <c r="BC172" s="90">
        <f t="shared" si="117"/>
        <v>0</v>
      </c>
      <c r="BF172" s="94">
        <f>BF170</f>
        <v>0</v>
      </c>
      <c r="BG172" s="94">
        <f>BG170</f>
        <v>0.27500000000000002</v>
      </c>
      <c r="BH172" s="90">
        <f t="shared" si="118"/>
        <v>0</v>
      </c>
      <c r="BK172" s="94">
        <f>BK170</f>
        <v>0</v>
      </c>
      <c r="BL172" s="94">
        <f>BL170</f>
        <v>0.245</v>
      </c>
      <c r="BM172" s="90">
        <f t="shared" si="119"/>
        <v>0</v>
      </c>
      <c r="BP172" s="94">
        <f>BP170</f>
        <v>0</v>
      </c>
      <c r="BQ172" s="94">
        <f>BQ170</f>
        <v>0.22500000000000001</v>
      </c>
      <c r="BR172" s="90">
        <f t="shared" si="120"/>
        <v>0</v>
      </c>
      <c r="BU172" s="94">
        <f>BU170</f>
        <v>0</v>
      </c>
      <c r="BV172" s="94">
        <f>BV170</f>
        <v>0.17499999999999999</v>
      </c>
      <c r="BW172" s="90">
        <f t="shared" si="121"/>
        <v>0</v>
      </c>
      <c r="BZ172" s="94">
        <f>BZ170</f>
        <v>0</v>
      </c>
      <c r="CA172" s="94">
        <f>CA170</f>
        <v>0.15</v>
      </c>
      <c r="CB172" s="90">
        <f t="shared" si="122"/>
        <v>0</v>
      </c>
      <c r="CE172" s="95"/>
      <c r="CF172" s="96"/>
      <c r="CG172" s="88" t="s">
        <v>93</v>
      </c>
      <c r="CH172" s="120">
        <f>SUMIFS(K168:K207,F168:F207,CG172)/SUMIFS(K168:K207,F168:F207,"Produit Vente")</f>
        <v>0.1551864656561559</v>
      </c>
      <c r="CI172" s="98"/>
      <c r="CK172" s="99">
        <f>IFERROR(IF(F172='[1]Paramètres Généraux'!$K$12,ROUNDUP((REGENERANTS!H172*REGENERANTS!$CF$166)*'[1]Paramètres Généraux'!$M$12,-1),REGENERANTS!H172*REGENERANTS!$CF$166),"nd")</f>
        <v>0</v>
      </c>
      <c r="CN172" s="100"/>
      <c r="CO172" s="101"/>
      <c r="CP172" s="101"/>
      <c r="CQ172" s="101"/>
      <c r="CR172" s="101"/>
      <c r="CS172" s="171"/>
      <c r="CT172" s="172"/>
      <c r="CU172" s="101"/>
      <c r="CV172" s="171"/>
      <c r="CW172" s="106"/>
      <c r="CX172" s="107"/>
      <c r="CY172" s="106"/>
      <c r="CZ172" s="104"/>
      <c r="DA172" s="107"/>
      <c r="DB172" s="106"/>
      <c r="DC172" s="104"/>
      <c r="DD172" s="107"/>
      <c r="DE172" s="106"/>
      <c r="DF172" s="104"/>
      <c r="DG172" s="104"/>
      <c r="DH172" s="104"/>
      <c r="DI172" s="104"/>
      <c r="DJ172" s="104"/>
      <c r="DK172" s="104"/>
      <c r="DL172" s="104"/>
      <c r="DM172" s="104"/>
      <c r="DN172" s="104"/>
      <c r="DO172" s="107"/>
      <c r="DP172" s="106"/>
      <c r="DQ172" s="20">
        <f t="shared" si="108"/>
        <v>0</v>
      </c>
      <c r="DR172" s="20">
        <f t="shared" si="109"/>
        <v>0</v>
      </c>
      <c r="DS172" s="20">
        <f>IFERROR((IF(AND($F172="Produit Vente",CO172&gt;0),VLOOKUP($C172,'[1]Paramètres Articles'!$B:$H,7,FALSE)*$CO172)*(1-20%)),0)</f>
        <v>0</v>
      </c>
      <c r="DT172" s="20">
        <f>IFERROR((IF(AND($F172="Produit Vente",DR172&gt;0),VLOOKUP($C172,'[1]Paramètres Articles'!$B:$H,6,FALSE)*$DR172)*(1-15%)),0)</f>
        <v>0</v>
      </c>
    </row>
    <row r="173" spans="2:124" ht="12.95" hidden="1" customHeight="1" outlineLevel="1">
      <c r="B173" s="1">
        <f>IF(C173="",0,COUNTIFS($B$22:B172,"&gt;"&amp;0)+1)</f>
        <v>66</v>
      </c>
      <c r="C173" s="85">
        <v>1020107</v>
      </c>
      <c r="D173" s="86" t="str">
        <f>IFERROR(IF($C173="","",VLOOKUP($C173,'[1]Paramètres Articles'!$B:$G,2,FALSE)),"Non Trouvé")</f>
        <v>Lait pour le Corps - Régénérant - 150 ml</v>
      </c>
      <c r="E173" s="87">
        <f>IFERROR(IF($C173="","",_xlfn.XLOOKUP(REGENERANTS!$C173,'[1]New Base PA'!$F:$F,'[1]New Base PA'!$D:$D,"Not Found",0)),"Non Trouvé")</f>
        <v>4020829103160</v>
      </c>
      <c r="F173" s="88" t="s">
        <v>90</v>
      </c>
      <c r="H173" s="101">
        <f>50*3%</f>
        <v>1.5</v>
      </c>
      <c r="J173" s="90">
        <f>IFERROR(IF($C173="","",VLOOKUP($C173,'[1]New Base PA'!$F:$J,5,FALSE)),"Non Trouvé")</f>
        <v>10.335599999999999</v>
      </c>
      <c r="K173" s="131">
        <f t="shared" si="104"/>
        <v>15.503399999999999</v>
      </c>
      <c r="L173" s="132"/>
      <c r="M173" s="90">
        <f>IFERROR(IF(AND($F173="Produit Vente",H173&gt;0),VLOOKUP($C173,'[1]Paramètres Articles'!$B:$G,6,FALSE),0),"Non Trouvé")</f>
        <v>26.119999999999997</v>
      </c>
      <c r="N173" s="90">
        <f t="shared" si="105"/>
        <v>39.179999999999993</v>
      </c>
      <c r="P173" s="92"/>
      <c r="R173" s="90">
        <f t="shared" si="106"/>
        <v>39.179999999999993</v>
      </c>
      <c r="S173" s="91"/>
      <c r="T173" s="90">
        <f>IFERROR(IF($C173="","",VLOOKUP($C173,'[1]Paramètres Articles'!$B:$H,7,FALSE)),"Non Trouvé")</f>
        <v>44.4</v>
      </c>
      <c r="U173" s="93"/>
      <c r="V173" s="90" t="str">
        <f t="shared" si="110"/>
        <v/>
      </c>
      <c r="W173" s="91"/>
      <c r="X173" s="90" t="str">
        <f t="shared" si="111"/>
        <v/>
      </c>
      <c r="Y173" s="91"/>
      <c r="Z173" s="90">
        <f t="shared" si="107"/>
        <v>66.599999999999994</v>
      </c>
      <c r="AB173" s="94">
        <f>AB172</f>
        <v>0</v>
      </c>
      <c r="AC173" s="94">
        <f>AC172</f>
        <v>0.17</v>
      </c>
      <c r="AD173" s="90">
        <f t="shared" si="112"/>
        <v>0</v>
      </c>
      <c r="AG173" s="94">
        <f>AG172</f>
        <v>0</v>
      </c>
      <c r="AH173" s="94">
        <f>AH172</f>
        <v>0.13</v>
      </c>
      <c r="AI173" s="90">
        <f t="shared" si="113"/>
        <v>0</v>
      </c>
      <c r="AL173" s="94">
        <f>AL172</f>
        <v>0</v>
      </c>
      <c r="AM173" s="94">
        <f>AM172</f>
        <v>0.08</v>
      </c>
      <c r="AN173" s="90">
        <f t="shared" si="114"/>
        <v>0</v>
      </c>
      <c r="AQ173" s="94">
        <f>AQ172</f>
        <v>0</v>
      </c>
      <c r="AR173" s="94">
        <f>AR172</f>
        <v>0.05</v>
      </c>
      <c r="AS173" s="90">
        <f t="shared" si="115"/>
        <v>0</v>
      </c>
      <c r="AV173" s="94">
        <f>AV172</f>
        <v>0</v>
      </c>
      <c r="AW173" s="94">
        <f>AW172</f>
        <v>0.32500000000000001</v>
      </c>
      <c r="AX173" s="90">
        <f t="shared" si="116"/>
        <v>0</v>
      </c>
      <c r="BA173" s="94">
        <f>BA172</f>
        <v>0</v>
      </c>
      <c r="BB173" s="94">
        <f>BB172</f>
        <v>0.29499999999999998</v>
      </c>
      <c r="BC173" s="90">
        <f t="shared" si="117"/>
        <v>0</v>
      </c>
      <c r="BF173" s="94">
        <f>BF172</f>
        <v>0</v>
      </c>
      <c r="BG173" s="94">
        <f>BG172</f>
        <v>0.27500000000000002</v>
      </c>
      <c r="BH173" s="90">
        <f t="shared" si="118"/>
        <v>0</v>
      </c>
      <c r="BK173" s="94">
        <f>BK172</f>
        <v>0</v>
      </c>
      <c r="BL173" s="94">
        <f>BL172</f>
        <v>0.245</v>
      </c>
      <c r="BM173" s="90">
        <f t="shared" si="119"/>
        <v>0</v>
      </c>
      <c r="BP173" s="94">
        <f>BP172</f>
        <v>0</v>
      </c>
      <c r="BQ173" s="94">
        <f>BQ172</f>
        <v>0.22500000000000001</v>
      </c>
      <c r="BR173" s="90">
        <f t="shared" si="120"/>
        <v>0</v>
      </c>
      <c r="BU173" s="94">
        <f>BU172</f>
        <v>0</v>
      </c>
      <c r="BV173" s="94">
        <f>BV172</f>
        <v>0.17499999999999999</v>
      </c>
      <c r="BW173" s="90">
        <f t="shared" si="121"/>
        <v>0</v>
      </c>
      <c r="BZ173" s="94">
        <f>BZ172</f>
        <v>0</v>
      </c>
      <c r="CA173" s="94">
        <f>CA172</f>
        <v>0.15</v>
      </c>
      <c r="CB173" s="90">
        <f t="shared" si="122"/>
        <v>0</v>
      </c>
      <c r="CE173" s="95"/>
      <c r="CF173" s="96"/>
      <c r="CG173" s="88" t="s">
        <v>94</v>
      </c>
      <c r="CH173" s="120">
        <f>SUMIFS(K168:K208,F168:F208,CG173)/K166</f>
        <v>0</v>
      </c>
      <c r="CI173" s="98"/>
      <c r="CK173" s="99">
        <f>IFERROR(IF(F173='[1]Paramètres Généraux'!$K$12,ROUNDUP((REGENERANTS!H173*REGENERANTS!$CF$166)*'[1]Paramètres Généraux'!$M$12,-1),REGENERANTS!H173*REGENERANTS!$CF$166),"nd")</f>
        <v>0</v>
      </c>
      <c r="CN173" s="100"/>
      <c r="CO173" s="101"/>
      <c r="CP173" s="101"/>
      <c r="CQ173" s="101"/>
      <c r="CR173" s="101"/>
      <c r="CS173" s="171"/>
      <c r="CT173" s="172"/>
      <c r="CU173" s="101"/>
      <c r="CV173" s="171"/>
      <c r="CW173" s="106"/>
      <c r="CX173" s="107"/>
      <c r="CY173" s="106"/>
      <c r="CZ173" s="104"/>
      <c r="DA173" s="107"/>
      <c r="DB173" s="106"/>
      <c r="DC173" s="104"/>
      <c r="DD173" s="107"/>
      <c r="DE173" s="106"/>
      <c r="DF173" s="104"/>
      <c r="DG173" s="104"/>
      <c r="DH173" s="104"/>
      <c r="DI173" s="104"/>
      <c r="DJ173" s="104"/>
      <c r="DK173" s="104"/>
      <c r="DL173" s="104"/>
      <c r="DM173" s="104"/>
      <c r="DN173" s="104"/>
      <c r="DO173" s="107"/>
      <c r="DP173" s="106"/>
      <c r="DQ173" s="20">
        <f t="shared" si="108"/>
        <v>0</v>
      </c>
      <c r="DR173" s="20">
        <f t="shared" si="109"/>
        <v>0</v>
      </c>
      <c r="DS173" s="20">
        <f>IFERROR((IF(AND($F173="Produit Vente",CO173&gt;0),VLOOKUP($C173,'[1]Paramètres Articles'!$B:$H,7,FALSE)*$CO173)*(1-20%)),0)</f>
        <v>0</v>
      </c>
      <c r="DT173" s="20">
        <f>IFERROR((IF(AND($F173="Produit Vente",DR173&gt;0),VLOOKUP($C173,'[1]Paramètres Articles'!$B:$H,6,FALSE)*$DR173)*(1-15%)),0)</f>
        <v>0</v>
      </c>
    </row>
    <row r="174" spans="2:124" ht="12.95" hidden="1" customHeight="1" outlineLevel="1">
      <c r="B174" s="1">
        <f>IF(C174="",0,COUNTIFS($B$22:B173,"&gt;"&amp;0)+1)</f>
        <v>67</v>
      </c>
      <c r="C174" s="85">
        <v>1020102</v>
      </c>
      <c r="D174" s="86" t="str">
        <f>IFERROR(IF($C174="","",VLOOKUP($C174,'[1]Paramètres Articles'!$B:$G,2,FALSE)),"Non Trouvé")</f>
        <v>Crème pour les Mains - Régénérant - 50 ml</v>
      </c>
      <c r="E174" s="87">
        <f>IFERROR(IF($C174="","",_xlfn.XLOOKUP(REGENERANTS!$C174,'[1]New Base PA'!$F:$F,'[1]New Base PA'!$D:$D,"Not Found",0)),"Non Trouvé")</f>
        <v>4020829049666</v>
      </c>
      <c r="F174" s="88" t="s">
        <v>90</v>
      </c>
      <c r="H174" s="101">
        <f>50*5%</f>
        <v>2.5</v>
      </c>
      <c r="J174" s="90">
        <f>IFERROR(IF($C174="","",VLOOKUP($C174,'[1]New Base PA'!$F:$J,5,FALSE)),"Non Trouvé")</f>
        <v>6.5481999999999987</v>
      </c>
      <c r="K174" s="131">
        <f t="shared" si="104"/>
        <v>16.370499999999996</v>
      </c>
      <c r="L174" s="132"/>
      <c r="M174" s="90">
        <f>IFERROR(IF(AND($F174="Produit Vente",H174&gt;0),VLOOKUP($C174,'[1]Paramètres Articles'!$B:$G,6,FALSE),0),"Non Trouvé")</f>
        <v>17.352941176470591</v>
      </c>
      <c r="N174" s="90">
        <f t="shared" si="105"/>
        <v>43.382352941176478</v>
      </c>
      <c r="P174" s="92"/>
      <c r="R174" s="90">
        <f t="shared" si="106"/>
        <v>43.382352941176478</v>
      </c>
      <c r="S174" s="91"/>
      <c r="T174" s="90">
        <f>IFERROR(IF($C174="","",VLOOKUP($C174,'[1]Paramètres Articles'!$B:$H,7,FALSE)),"Non Trouvé")</f>
        <v>29.5</v>
      </c>
      <c r="U174" s="93"/>
      <c r="V174" s="90" t="str">
        <f t="shared" si="110"/>
        <v/>
      </c>
      <c r="W174" s="91"/>
      <c r="X174" s="90" t="str">
        <f t="shared" si="111"/>
        <v/>
      </c>
      <c r="Y174" s="91"/>
      <c r="Z174" s="90">
        <f t="shared" si="107"/>
        <v>73.75</v>
      </c>
      <c r="AB174" s="94">
        <f>AB172</f>
        <v>0</v>
      </c>
      <c r="AC174" s="94">
        <f>AC172</f>
        <v>0.17</v>
      </c>
      <c r="AD174" s="90">
        <f t="shared" si="112"/>
        <v>0</v>
      </c>
      <c r="AG174" s="94">
        <f>AG172</f>
        <v>0</v>
      </c>
      <c r="AH174" s="94">
        <f>AH172</f>
        <v>0.13</v>
      </c>
      <c r="AI174" s="90">
        <f t="shared" si="113"/>
        <v>0</v>
      </c>
      <c r="AL174" s="94">
        <f>AL172</f>
        <v>0</v>
      </c>
      <c r="AM174" s="94">
        <f>AM172</f>
        <v>0.08</v>
      </c>
      <c r="AN174" s="90">
        <f t="shared" si="114"/>
        <v>0</v>
      </c>
      <c r="AQ174" s="94">
        <f>AQ172</f>
        <v>0</v>
      </c>
      <c r="AR174" s="94">
        <f>AR172</f>
        <v>0.05</v>
      </c>
      <c r="AS174" s="90">
        <f t="shared" si="115"/>
        <v>0</v>
      </c>
      <c r="AV174" s="94">
        <f>AV172</f>
        <v>0</v>
      </c>
      <c r="AW174" s="94">
        <f>AW172</f>
        <v>0.32500000000000001</v>
      </c>
      <c r="AX174" s="90">
        <f t="shared" si="116"/>
        <v>0</v>
      </c>
      <c r="BA174" s="94">
        <f>BA172</f>
        <v>0</v>
      </c>
      <c r="BB174" s="94">
        <f>BB172</f>
        <v>0.29499999999999998</v>
      </c>
      <c r="BC174" s="90">
        <f t="shared" si="117"/>
        <v>0</v>
      </c>
      <c r="BF174" s="94">
        <f>BF172</f>
        <v>0</v>
      </c>
      <c r="BG174" s="94">
        <f>BG172</f>
        <v>0.27500000000000002</v>
      </c>
      <c r="BH174" s="90">
        <f t="shared" si="118"/>
        <v>0</v>
      </c>
      <c r="BK174" s="94">
        <f>BK172</f>
        <v>0</v>
      </c>
      <c r="BL174" s="94">
        <f>BL172</f>
        <v>0.245</v>
      </c>
      <c r="BM174" s="90">
        <f t="shared" si="119"/>
        <v>0</v>
      </c>
      <c r="BP174" s="94">
        <f>BP172</f>
        <v>0</v>
      </c>
      <c r="BQ174" s="94">
        <f>BQ172</f>
        <v>0.22500000000000001</v>
      </c>
      <c r="BR174" s="90">
        <f t="shared" si="120"/>
        <v>0</v>
      </c>
      <c r="BU174" s="94">
        <f>BU172</f>
        <v>0</v>
      </c>
      <c r="BV174" s="94">
        <f>BV172</f>
        <v>0.17499999999999999</v>
      </c>
      <c r="BW174" s="90">
        <f t="shared" si="121"/>
        <v>0</v>
      </c>
      <c r="BZ174" s="94">
        <f>BZ172</f>
        <v>0</v>
      </c>
      <c r="CA174" s="94">
        <f>CA172</f>
        <v>0.15</v>
      </c>
      <c r="CB174" s="90">
        <f t="shared" si="122"/>
        <v>0</v>
      </c>
      <c r="CE174" s="95"/>
      <c r="CF174" s="96"/>
      <c r="CG174" s="88" t="s">
        <v>95</v>
      </c>
      <c r="CH174" s="120">
        <f>SUMIFS(K168:K208,F168:F208,CG174)/K166</f>
        <v>0</v>
      </c>
      <c r="CI174" s="98"/>
      <c r="CK174" s="99">
        <f>IFERROR(IF(F174='[1]Paramètres Généraux'!$K$12,ROUNDUP((REGENERANTS!H174*REGENERANTS!$CF$166)*'[1]Paramètres Généraux'!$M$12,-1),REGENERANTS!H174*REGENERANTS!$CF$166),"nd")</f>
        <v>0</v>
      </c>
      <c r="CN174" s="100"/>
      <c r="CO174" s="101"/>
      <c r="CP174" s="101"/>
      <c r="CQ174" s="101"/>
      <c r="CR174" s="101"/>
      <c r="CS174" s="171"/>
      <c r="CT174" s="172"/>
      <c r="CU174" s="101"/>
      <c r="CV174" s="171"/>
      <c r="CW174" s="106"/>
      <c r="CX174" s="107"/>
      <c r="CY174" s="106"/>
      <c r="CZ174" s="104"/>
      <c r="DA174" s="107"/>
      <c r="DB174" s="106"/>
      <c r="DC174" s="104"/>
      <c r="DD174" s="107"/>
      <c r="DE174" s="106"/>
      <c r="DF174" s="104"/>
      <c r="DG174" s="104"/>
      <c r="DH174" s="104"/>
      <c r="DI174" s="104"/>
      <c r="DJ174" s="104"/>
      <c r="DK174" s="104"/>
      <c r="DL174" s="104"/>
      <c r="DM174" s="104"/>
      <c r="DN174" s="104"/>
      <c r="DO174" s="107"/>
      <c r="DP174" s="106"/>
      <c r="DQ174" s="20">
        <f t="shared" si="108"/>
        <v>0</v>
      </c>
      <c r="DR174" s="20">
        <f t="shared" si="109"/>
        <v>0</v>
      </c>
      <c r="DS174" s="20">
        <f>IFERROR((IF(AND($F174="Produit Vente",CO174&gt;0),VLOOKUP($C174,'[1]Paramètres Articles'!$B:$H,7,FALSE)*$CO174)*(1-20%)),0)</f>
        <v>0</v>
      </c>
      <c r="DT174" s="20">
        <f>IFERROR((IF(AND($F174="Produit Vente",DR174&gt;0),VLOOKUP($C174,'[1]Paramètres Articles'!$B:$H,6,FALSE)*$DR174)*(1-15%)),0)</f>
        <v>0</v>
      </c>
    </row>
    <row r="175" spans="2:124" ht="12.95" hidden="1" customHeight="1" outlineLevel="1">
      <c r="B175" s="1">
        <f>IF(C175="",0,COUNTIFS($B$22:B174,"&gt;"&amp;0)+1)</f>
        <v>68</v>
      </c>
      <c r="C175" s="85">
        <v>1020722</v>
      </c>
      <c r="D175" s="86" t="str">
        <f>IFERROR(IF($C175="","",VLOOKUP($C175,'[1]Paramètres Articles'!$B:$G,2,FALSE)),"Non Trouvé")</f>
        <v>Cure Intensive Rééquilibrante - Régénérant Intensif - 40ml</v>
      </c>
      <c r="E175" s="87">
        <f>IFERROR(IF($C175="","",_xlfn.XLOOKUP(REGENERANTS!$C175,'[1]New Base PA'!$F:$F,'[1]New Base PA'!$D:$D,"Not Found",0)),"Non Trouvé")</f>
        <v>4020829102934</v>
      </c>
      <c r="F175" s="88" t="s">
        <v>90</v>
      </c>
      <c r="H175" s="101">
        <v>0</v>
      </c>
      <c r="J175" s="90">
        <f>IFERROR(IF($C175="","",VLOOKUP($C175,'[1]New Base PA'!$F:$J,5,FALSE)),"Non Trouvé")</f>
        <v>16.878</v>
      </c>
      <c r="K175" s="131">
        <f t="shared" si="104"/>
        <v>0</v>
      </c>
      <c r="L175" s="132"/>
      <c r="M175" s="90">
        <f>IFERROR(IF(AND($F175="Produit Vente",H175&gt;0),VLOOKUP($C175,'[1]Paramètres Articles'!$B:$G,6,FALSE),0),"Non Trouvé")</f>
        <v>0</v>
      </c>
      <c r="N175" s="90">
        <f t="shared" si="105"/>
        <v>0</v>
      </c>
      <c r="P175" s="92"/>
      <c r="R175" s="90">
        <f t="shared" si="106"/>
        <v>0</v>
      </c>
      <c r="S175" s="91"/>
      <c r="T175" s="90">
        <f>IFERROR(IF($C175="","",VLOOKUP($C175,'[1]Paramètres Articles'!$B:$H,7,FALSE)),"Non Trouvé")</f>
        <v>72.898071522305145</v>
      </c>
      <c r="U175" s="93"/>
      <c r="V175" s="90" t="str">
        <f t="shared" si="110"/>
        <v/>
      </c>
      <c r="W175" s="91"/>
      <c r="X175" s="90" t="str">
        <f t="shared" si="111"/>
        <v/>
      </c>
      <c r="Y175" s="91"/>
      <c r="Z175" s="90">
        <f t="shared" si="107"/>
        <v>0</v>
      </c>
      <c r="AB175" s="94">
        <f>AB174</f>
        <v>0</v>
      </c>
      <c r="AC175" s="94">
        <f>AC174</f>
        <v>0.17</v>
      </c>
      <c r="AD175" s="90">
        <f t="shared" si="112"/>
        <v>0</v>
      </c>
      <c r="AG175" s="94">
        <f>AG174</f>
        <v>0</v>
      </c>
      <c r="AH175" s="94">
        <f>AH174</f>
        <v>0.13</v>
      </c>
      <c r="AI175" s="90">
        <f t="shared" si="113"/>
        <v>0</v>
      </c>
      <c r="AL175" s="94">
        <f>AL174</f>
        <v>0</v>
      </c>
      <c r="AM175" s="94">
        <f>AM174</f>
        <v>0.08</v>
      </c>
      <c r="AN175" s="90">
        <f t="shared" si="114"/>
        <v>0</v>
      </c>
      <c r="AQ175" s="94">
        <f>AQ174</f>
        <v>0</v>
      </c>
      <c r="AR175" s="94">
        <f>AR174</f>
        <v>0.05</v>
      </c>
      <c r="AS175" s="90">
        <f t="shared" si="115"/>
        <v>0</v>
      </c>
      <c r="AV175" s="94">
        <f>AV174</f>
        <v>0</v>
      </c>
      <c r="AW175" s="94">
        <f>AW174</f>
        <v>0.32500000000000001</v>
      </c>
      <c r="AX175" s="90">
        <f t="shared" si="116"/>
        <v>0</v>
      </c>
      <c r="BA175" s="94">
        <f>BA174</f>
        <v>0</v>
      </c>
      <c r="BB175" s="94">
        <f>BB174</f>
        <v>0.29499999999999998</v>
      </c>
      <c r="BC175" s="90">
        <f t="shared" si="117"/>
        <v>0</v>
      </c>
      <c r="BF175" s="94">
        <f>BF174</f>
        <v>0</v>
      </c>
      <c r="BG175" s="94">
        <f>BG174</f>
        <v>0.27500000000000002</v>
      </c>
      <c r="BH175" s="90">
        <f t="shared" si="118"/>
        <v>0</v>
      </c>
      <c r="BK175" s="94">
        <f>BK174</f>
        <v>0</v>
      </c>
      <c r="BL175" s="94">
        <f>BL174</f>
        <v>0.245</v>
      </c>
      <c r="BM175" s="90">
        <f t="shared" si="119"/>
        <v>0</v>
      </c>
      <c r="BP175" s="94">
        <f>BP174</f>
        <v>0</v>
      </c>
      <c r="BQ175" s="94">
        <f>BQ174</f>
        <v>0.22500000000000001</v>
      </c>
      <c r="BR175" s="90">
        <f t="shared" si="120"/>
        <v>0</v>
      </c>
      <c r="BU175" s="94">
        <f>BU174</f>
        <v>0</v>
      </c>
      <c r="BV175" s="94">
        <f>BV174</f>
        <v>0.17499999999999999</v>
      </c>
      <c r="BW175" s="90">
        <f t="shared" si="121"/>
        <v>0</v>
      </c>
      <c r="BZ175" s="94">
        <f>BZ174</f>
        <v>0</v>
      </c>
      <c r="CA175" s="94">
        <f>CA174</f>
        <v>0.15</v>
      </c>
      <c r="CB175" s="90">
        <f t="shared" si="122"/>
        <v>0</v>
      </c>
      <c r="CE175" s="95"/>
      <c r="CF175" s="96"/>
      <c r="CG175" s="88" t="s">
        <v>96</v>
      </c>
      <c r="CH175" s="120">
        <f>SUMIFS(K168:K208,F168:F208,CG175)/K166</f>
        <v>4.9306147005997447E-2</v>
      </c>
      <c r="CI175" s="98"/>
      <c r="CK175" s="99">
        <f>IFERROR(IF(F175='[1]Paramètres Généraux'!$K$12,ROUNDUP((REGENERANTS!H175*REGENERANTS!$CF$166)*'[1]Paramètres Généraux'!$M$12,-1),REGENERANTS!H175*REGENERANTS!$CF$166),"nd")</f>
        <v>0</v>
      </c>
      <c r="CN175" s="100"/>
      <c r="CO175" s="101"/>
      <c r="CP175" s="101"/>
      <c r="CQ175" s="101"/>
      <c r="CR175" s="101"/>
      <c r="CS175" s="171"/>
      <c r="CT175" s="172"/>
      <c r="CU175" s="101"/>
      <c r="CV175" s="171"/>
      <c r="CW175" s="106"/>
      <c r="CX175" s="107"/>
      <c r="CY175" s="106"/>
      <c r="CZ175" s="104"/>
      <c r="DA175" s="107"/>
      <c r="DB175" s="106"/>
      <c r="DC175" s="104"/>
      <c r="DD175" s="107"/>
      <c r="DE175" s="106"/>
      <c r="DF175" s="104"/>
      <c r="DG175" s="104"/>
      <c r="DH175" s="104"/>
      <c r="DI175" s="104"/>
      <c r="DJ175" s="104"/>
      <c r="DK175" s="104"/>
      <c r="DL175" s="104"/>
      <c r="DM175" s="104"/>
      <c r="DN175" s="104"/>
      <c r="DO175" s="107"/>
      <c r="DP175" s="106"/>
      <c r="DQ175" s="20">
        <f t="shared" si="108"/>
        <v>0</v>
      </c>
      <c r="DR175" s="20">
        <f t="shared" si="109"/>
        <v>0</v>
      </c>
      <c r="DS175" s="20">
        <f>IFERROR((IF(AND($F175="Produit Vente",CO175&gt;0),VLOOKUP($C175,'[1]Paramètres Articles'!$B:$H,7,FALSE)*$CO175)*(1-20%)),0)</f>
        <v>0</v>
      </c>
      <c r="DT175" s="20">
        <f>IFERROR((IF(AND($F175="Produit Vente",DR175&gt;0),VLOOKUP($C175,'[1]Paramètres Articles'!$B:$H,6,FALSE)*$DR175)*(1-15%)),0)</f>
        <v>0</v>
      </c>
    </row>
    <row r="176" spans="2:124" ht="12.95" hidden="1" customHeight="1" outlineLevel="1">
      <c r="B176" s="1">
        <f>IF(C176="",0,COUNTIFS($B$22:B175,"&gt;"&amp;0)+1)</f>
        <v>69</v>
      </c>
      <c r="C176" s="85">
        <v>1020719</v>
      </c>
      <c r="D176" s="86" t="str">
        <f>IFERROR(IF($C176="","",VLOOKUP($C176,'[1]Paramètres Articles'!$B:$G,2,FALSE)),"Non Trouvé")</f>
        <v>Huile Fortifiante - Régénérant Intensif - 20ml</v>
      </c>
      <c r="E176" s="87">
        <f>IFERROR(IF($C176="","",_xlfn.XLOOKUP(REGENERANTS!$C176,'[1]New Base PA'!$F:$F,'[1]New Base PA'!$D:$D,"Not Found",0)),"Non Trouvé")</f>
        <v>4020829103030</v>
      </c>
      <c r="F176" s="88" t="s">
        <v>90</v>
      </c>
      <c r="H176" s="101">
        <f>50*7%</f>
        <v>3.5000000000000004</v>
      </c>
      <c r="J176" s="90">
        <f>IFERROR(IF($C176="","",VLOOKUP($C176,'[1]New Base PA'!$F:$J,5,FALSE)),"Non Trouvé")</f>
        <v>18.4208</v>
      </c>
      <c r="K176" s="131">
        <f t="shared" si="104"/>
        <v>64.472800000000007</v>
      </c>
      <c r="L176" s="132"/>
      <c r="M176" s="90">
        <f>IFERROR(IF(AND($F176="Produit Vente",H176&gt;0),VLOOKUP($C176,'[1]Paramètres Articles'!$B:$G,6,FALSE),0),"Non Trouvé")</f>
        <v>46.768280254777068</v>
      </c>
      <c r="N176" s="90">
        <f t="shared" si="105"/>
        <v>163.68898089171975</v>
      </c>
      <c r="P176" s="92"/>
      <c r="R176" s="90">
        <f t="shared" si="106"/>
        <v>163.68898089171975</v>
      </c>
      <c r="S176" s="91"/>
      <c r="T176" s="90">
        <f>IFERROR(IF($C176="","",VLOOKUP($C176,'[1]Paramètres Articles'!$B:$H,7,FALSE)),"Non Trouvé")</f>
        <v>79.5</v>
      </c>
      <c r="U176" s="93"/>
      <c r="V176" s="90" t="str">
        <f t="shared" si="110"/>
        <v/>
      </c>
      <c r="W176" s="91"/>
      <c r="X176" s="90" t="str">
        <f t="shared" si="111"/>
        <v/>
      </c>
      <c r="Y176" s="91"/>
      <c r="Z176" s="90">
        <f t="shared" si="107"/>
        <v>278.25000000000006</v>
      </c>
      <c r="AB176" s="94">
        <f>AB174</f>
        <v>0</v>
      </c>
      <c r="AC176" s="94">
        <f>AC174</f>
        <v>0.17</v>
      </c>
      <c r="AD176" s="90">
        <f t="shared" si="112"/>
        <v>0</v>
      </c>
      <c r="AG176" s="94">
        <f>AG174</f>
        <v>0</v>
      </c>
      <c r="AH176" s="94">
        <f>AH174</f>
        <v>0.13</v>
      </c>
      <c r="AI176" s="90">
        <f t="shared" si="113"/>
        <v>0</v>
      </c>
      <c r="AL176" s="94">
        <f>AL174</f>
        <v>0</v>
      </c>
      <c r="AM176" s="94">
        <f>AM174</f>
        <v>0.08</v>
      </c>
      <c r="AN176" s="90">
        <f t="shared" si="114"/>
        <v>0</v>
      </c>
      <c r="AQ176" s="94">
        <f>AQ174</f>
        <v>0</v>
      </c>
      <c r="AR176" s="94">
        <f>AR174</f>
        <v>0.05</v>
      </c>
      <c r="AS176" s="90">
        <f t="shared" si="115"/>
        <v>0</v>
      </c>
      <c r="AV176" s="94">
        <f>AV174</f>
        <v>0</v>
      </c>
      <c r="AW176" s="94">
        <f>AW174</f>
        <v>0.32500000000000001</v>
      </c>
      <c r="AX176" s="90">
        <f t="shared" si="116"/>
        <v>0</v>
      </c>
      <c r="BA176" s="94">
        <f>BA174</f>
        <v>0</v>
      </c>
      <c r="BB176" s="94">
        <f>BB174</f>
        <v>0.29499999999999998</v>
      </c>
      <c r="BC176" s="90">
        <f t="shared" si="117"/>
        <v>0</v>
      </c>
      <c r="BF176" s="94">
        <f>BF174</f>
        <v>0</v>
      </c>
      <c r="BG176" s="94">
        <f>BG174</f>
        <v>0.27500000000000002</v>
      </c>
      <c r="BH176" s="90">
        <f t="shared" si="118"/>
        <v>0</v>
      </c>
      <c r="BK176" s="94">
        <f>BK174</f>
        <v>0</v>
      </c>
      <c r="BL176" s="94">
        <f>BL174</f>
        <v>0.245</v>
      </c>
      <c r="BM176" s="90">
        <f t="shared" si="119"/>
        <v>0</v>
      </c>
      <c r="BP176" s="94">
        <f>BP174</f>
        <v>0</v>
      </c>
      <c r="BQ176" s="94">
        <f>BQ174</f>
        <v>0.22500000000000001</v>
      </c>
      <c r="BR176" s="90">
        <f t="shared" si="120"/>
        <v>0</v>
      </c>
      <c r="BU176" s="94">
        <f>BU174</f>
        <v>0</v>
      </c>
      <c r="BV176" s="94">
        <f>BV174</f>
        <v>0.17499999999999999</v>
      </c>
      <c r="BW176" s="90">
        <f t="shared" si="121"/>
        <v>0</v>
      </c>
      <c r="BZ176" s="94">
        <f>BZ174</f>
        <v>0</v>
      </c>
      <c r="CA176" s="94">
        <f>CA174</f>
        <v>0.15</v>
      </c>
      <c r="CB176" s="90">
        <f t="shared" si="122"/>
        <v>0</v>
      </c>
      <c r="CE176" s="95"/>
      <c r="CF176" s="96"/>
      <c r="CG176" s="97"/>
      <c r="CH176" s="97"/>
      <c r="CI176" s="98"/>
      <c r="CK176" s="99">
        <f>IFERROR(IF(F176='[1]Paramètres Généraux'!$K$12,ROUNDUP((REGENERANTS!H176*REGENERANTS!$CF$166)*'[1]Paramètres Généraux'!$M$12,-1),REGENERANTS!H176*REGENERANTS!$CF$166),"nd")</f>
        <v>0</v>
      </c>
      <c r="CN176" s="100"/>
      <c r="CO176" s="101"/>
      <c r="CP176" s="101"/>
      <c r="CQ176" s="101"/>
      <c r="CR176" s="101"/>
      <c r="CS176" s="171"/>
      <c r="CT176" s="172"/>
      <c r="CU176" s="101"/>
      <c r="CV176" s="171"/>
      <c r="CW176" s="106"/>
      <c r="CX176" s="107"/>
      <c r="CY176" s="106"/>
      <c r="CZ176" s="104"/>
      <c r="DA176" s="107"/>
      <c r="DB176" s="106"/>
      <c r="DC176" s="104"/>
      <c r="DD176" s="107"/>
      <c r="DE176" s="106"/>
      <c r="DF176" s="104"/>
      <c r="DG176" s="104"/>
      <c r="DH176" s="104"/>
      <c r="DI176" s="104"/>
      <c r="DJ176" s="104"/>
      <c r="DK176" s="104"/>
      <c r="DL176" s="104"/>
      <c r="DM176" s="104"/>
      <c r="DN176" s="104"/>
      <c r="DO176" s="107"/>
      <c r="DP176" s="106"/>
      <c r="DQ176" s="20">
        <f t="shared" si="108"/>
        <v>0</v>
      </c>
      <c r="DR176" s="20">
        <f t="shared" si="109"/>
        <v>0</v>
      </c>
      <c r="DS176" s="20">
        <f>IFERROR((IF(AND($F176="Produit Vente",CO176&gt;0),VLOOKUP($C176,'[1]Paramètres Articles'!$B:$H,7,FALSE)*$CO176)*(1-20%)),0)</f>
        <v>0</v>
      </c>
      <c r="DT176" s="20">
        <f>IFERROR((IF(AND($F176="Produit Vente",DR176&gt;0),VLOOKUP($C176,'[1]Paramètres Articles'!$B:$H,6,FALSE)*$DR176)*(1-15%)),0)</f>
        <v>0</v>
      </c>
    </row>
    <row r="177" spans="2:124" ht="12.95" hidden="1" customHeight="1" outlineLevel="1">
      <c r="B177" s="1">
        <f>IF(C177="",0,COUNTIFS($B$22:B176,"&gt;"&amp;0)+1)</f>
        <v>70</v>
      </c>
      <c r="C177" s="85">
        <v>1020717</v>
      </c>
      <c r="D177" s="86" t="str">
        <f>IFERROR(IF($C177="","",VLOOKUP($C177,'[1]Paramètres Articles'!$B:$G,2,FALSE)),"Non Trouvé")</f>
        <v>Sérum Contour des Yeux - Régénérant Intensif -15 ml</v>
      </c>
      <c r="E177" s="87">
        <f>IFERROR(IF($C177="","",_xlfn.XLOOKUP(REGENERANTS!$C177,'[1]New Base PA'!$F:$F,'[1]New Base PA'!$D:$D,"Not Found",0)),"Non Trouvé")</f>
        <v>4020829101067</v>
      </c>
      <c r="F177" s="88" t="s">
        <v>90</v>
      </c>
      <c r="H177" s="101">
        <f>50*6%</f>
        <v>3</v>
      </c>
      <c r="J177" s="90">
        <f>IFERROR(IF($C177="","",VLOOKUP($C177,'[1]New Base PA'!$F:$J,5,FALSE)),"Non Trouvé")</f>
        <v>17.817599999999999</v>
      </c>
      <c r="K177" s="131">
        <f t="shared" si="104"/>
        <v>53.452799999999996</v>
      </c>
      <c r="L177" s="132"/>
      <c r="M177" s="90">
        <f>IFERROR(IF(AND($F177="Produit Vente",H177&gt;0),VLOOKUP($C177,'[1]Paramètres Articles'!$B:$G,6,FALSE),0),"Non Trouvé")</f>
        <v>44.12</v>
      </c>
      <c r="N177" s="90">
        <f t="shared" si="105"/>
        <v>132.35999999999999</v>
      </c>
      <c r="P177" s="92"/>
      <c r="R177" s="90">
        <f t="shared" si="106"/>
        <v>132.35999999999999</v>
      </c>
      <c r="S177" s="91"/>
      <c r="T177" s="90">
        <f>IFERROR(IF($C177="","",VLOOKUP($C177,'[1]Paramètres Articles'!$B:$H,7,FALSE)),"Non Trouvé")</f>
        <v>75</v>
      </c>
      <c r="U177" s="93"/>
      <c r="V177" s="90" t="str">
        <f t="shared" si="110"/>
        <v/>
      </c>
      <c r="W177" s="91"/>
      <c r="X177" s="90" t="str">
        <f t="shared" si="111"/>
        <v/>
      </c>
      <c r="Y177" s="91"/>
      <c r="Z177" s="90">
        <f t="shared" si="107"/>
        <v>225</v>
      </c>
      <c r="AB177" s="94">
        <f>AB176</f>
        <v>0</v>
      </c>
      <c r="AC177" s="94">
        <f>AC176</f>
        <v>0.17</v>
      </c>
      <c r="AD177" s="90">
        <f t="shared" si="112"/>
        <v>0</v>
      </c>
      <c r="AG177" s="94">
        <f>AG176</f>
        <v>0</v>
      </c>
      <c r="AH177" s="94">
        <f>AH176</f>
        <v>0.13</v>
      </c>
      <c r="AI177" s="90">
        <f t="shared" si="113"/>
        <v>0</v>
      </c>
      <c r="AL177" s="94">
        <f>AL176</f>
        <v>0</v>
      </c>
      <c r="AM177" s="94">
        <f>AM176</f>
        <v>0.08</v>
      </c>
      <c r="AN177" s="90">
        <f t="shared" si="114"/>
        <v>0</v>
      </c>
      <c r="AQ177" s="94">
        <f>AQ176</f>
        <v>0</v>
      </c>
      <c r="AR177" s="94">
        <f>AR176</f>
        <v>0.05</v>
      </c>
      <c r="AS177" s="90">
        <f t="shared" si="115"/>
        <v>0</v>
      </c>
      <c r="AV177" s="94">
        <f>AV176</f>
        <v>0</v>
      </c>
      <c r="AW177" s="94">
        <f>AW176</f>
        <v>0.32500000000000001</v>
      </c>
      <c r="AX177" s="90">
        <f t="shared" si="116"/>
        <v>0</v>
      </c>
      <c r="BA177" s="94">
        <f>BA176</f>
        <v>0</v>
      </c>
      <c r="BB177" s="94">
        <f>BB176</f>
        <v>0.29499999999999998</v>
      </c>
      <c r="BC177" s="90">
        <f t="shared" si="117"/>
        <v>0</v>
      </c>
      <c r="BF177" s="94">
        <f>BF176</f>
        <v>0</v>
      </c>
      <c r="BG177" s="94">
        <f>BG176</f>
        <v>0.27500000000000002</v>
      </c>
      <c r="BH177" s="90">
        <f t="shared" si="118"/>
        <v>0</v>
      </c>
      <c r="BK177" s="94">
        <f>BK176</f>
        <v>0</v>
      </c>
      <c r="BL177" s="94">
        <f>BL176</f>
        <v>0.245</v>
      </c>
      <c r="BM177" s="90">
        <f t="shared" si="119"/>
        <v>0</v>
      </c>
      <c r="BP177" s="94">
        <f>BP176</f>
        <v>0</v>
      </c>
      <c r="BQ177" s="94">
        <f>BQ176</f>
        <v>0.22500000000000001</v>
      </c>
      <c r="BR177" s="90">
        <f t="shared" si="120"/>
        <v>0</v>
      </c>
      <c r="BU177" s="94">
        <f>BU176</f>
        <v>0</v>
      </c>
      <c r="BV177" s="94">
        <f>BV176</f>
        <v>0.17499999999999999</v>
      </c>
      <c r="BW177" s="90">
        <f t="shared" si="121"/>
        <v>0</v>
      </c>
      <c r="BZ177" s="94">
        <f>BZ176</f>
        <v>0</v>
      </c>
      <c r="CA177" s="94">
        <f>CA176</f>
        <v>0.15</v>
      </c>
      <c r="CB177" s="90">
        <f t="shared" si="122"/>
        <v>0</v>
      </c>
      <c r="CE177" s="95"/>
      <c r="CF177" s="96"/>
      <c r="CG177" s="97"/>
      <c r="CH177" s="97"/>
      <c r="CI177" s="98"/>
      <c r="CK177" s="99">
        <f>IFERROR(IF(F177='[1]Paramètres Généraux'!$K$12,ROUNDUP((REGENERANTS!H177*REGENERANTS!$CF$166)*'[1]Paramètres Généraux'!$M$12,-1),REGENERANTS!H177*REGENERANTS!$CF$166),"nd")</f>
        <v>0</v>
      </c>
      <c r="CN177" s="100"/>
      <c r="CO177" s="101"/>
      <c r="CP177" s="101"/>
      <c r="CQ177" s="101"/>
      <c r="CR177" s="101"/>
      <c r="CS177" s="171"/>
      <c r="CT177" s="172"/>
      <c r="CU177" s="101"/>
      <c r="CV177" s="171"/>
      <c r="CW177" s="106"/>
      <c r="CX177" s="107"/>
      <c r="CY177" s="106"/>
      <c r="CZ177" s="104"/>
      <c r="DA177" s="107"/>
      <c r="DB177" s="106"/>
      <c r="DC177" s="104"/>
      <c r="DD177" s="107"/>
      <c r="DE177" s="106"/>
      <c r="DF177" s="104"/>
      <c r="DG177" s="104"/>
      <c r="DH177" s="104"/>
      <c r="DI177" s="104"/>
      <c r="DJ177" s="104"/>
      <c r="DK177" s="104"/>
      <c r="DL177" s="104"/>
      <c r="DM177" s="104"/>
      <c r="DN177" s="104"/>
      <c r="DO177" s="107"/>
      <c r="DP177" s="106"/>
      <c r="DQ177" s="20">
        <f t="shared" si="108"/>
        <v>0</v>
      </c>
      <c r="DR177" s="20">
        <f t="shared" si="109"/>
        <v>0</v>
      </c>
      <c r="DS177" s="20">
        <f>IFERROR((IF(AND($F177="Produit Vente",CO177&gt;0),VLOOKUP($C177,'[1]Paramètres Articles'!$B:$H,7,FALSE)*$CO177)*(1-20%)),0)</f>
        <v>0</v>
      </c>
      <c r="DT177" s="20">
        <f>IFERROR((IF(AND($F177="Produit Vente",DR177&gt;0),VLOOKUP($C177,'[1]Paramètres Articles'!$B:$H,6,FALSE)*$DR177)*(1-15%)),0)</f>
        <v>0</v>
      </c>
    </row>
    <row r="178" spans="2:124" ht="12.95" hidden="1" customHeight="1" outlineLevel="1">
      <c r="B178" s="1">
        <f>IF(C178="",0,COUNTIFS($B$22:B177,"&gt;"&amp;0)+1)</f>
        <v>71</v>
      </c>
      <c r="C178" s="85">
        <v>1020718</v>
      </c>
      <c r="D178" s="86" t="str">
        <f>IFERROR(IF($C178="","",VLOOKUP($C178,'[1]Paramètres Articles'!$B:$G,2,FALSE)),"Non Trouvé")</f>
        <v>Sérum de Nuit - Régénérant Intensif - 30 ml</v>
      </c>
      <c r="E178" s="87">
        <f>IFERROR(IF($C178="","",_xlfn.XLOOKUP(REGENERANTS!$C178,'[1]New Base PA'!$F:$F,'[1]New Base PA'!$D:$D,"Not Found",0)),"Non Trouvé")</f>
        <v>4020829101111</v>
      </c>
      <c r="F178" s="88" t="s">
        <v>90</v>
      </c>
      <c r="H178" s="101">
        <f>50*11%</f>
        <v>5.5</v>
      </c>
      <c r="J178" s="90">
        <f>IFERROR(IF($C178="","",VLOOKUP($C178,'[1]New Base PA'!$F:$J,5,FALSE)),"Non Trouvé")</f>
        <v>18.2758</v>
      </c>
      <c r="K178" s="131">
        <f t="shared" si="104"/>
        <v>100.51690000000001</v>
      </c>
      <c r="L178" s="132"/>
      <c r="M178" s="90">
        <f>IFERROR(IF(AND($F178="Produit Vente",H178&gt;0),VLOOKUP($C178,'[1]Paramètres Articles'!$B:$G,6,FALSE),0),"Non Trouvé")</f>
        <v>46.758152866242035</v>
      </c>
      <c r="N178" s="90">
        <f t="shared" si="105"/>
        <v>257.16984076433118</v>
      </c>
      <c r="P178" s="92"/>
      <c r="R178" s="90">
        <f t="shared" si="106"/>
        <v>257.16984076433118</v>
      </c>
      <c r="S178" s="91"/>
      <c r="T178" s="90">
        <f>IFERROR(IF($C178="","",VLOOKUP($C178,'[1]Paramètres Articles'!$B:$H,7,FALSE)),"Non Trouvé")</f>
        <v>79.5</v>
      </c>
      <c r="U178" s="93"/>
      <c r="V178" s="90" t="str">
        <f t="shared" si="110"/>
        <v/>
      </c>
      <c r="W178" s="91"/>
      <c r="X178" s="90" t="str">
        <f t="shared" si="111"/>
        <v/>
      </c>
      <c r="Y178" s="91"/>
      <c r="Z178" s="90">
        <f t="shared" si="107"/>
        <v>437.25</v>
      </c>
      <c r="AB178" s="94">
        <f>AB176</f>
        <v>0</v>
      </c>
      <c r="AC178" s="94">
        <f>AC176</f>
        <v>0.17</v>
      </c>
      <c r="AD178" s="90">
        <f t="shared" si="112"/>
        <v>0</v>
      </c>
      <c r="AG178" s="94">
        <f>AG176</f>
        <v>0</v>
      </c>
      <c r="AH178" s="94">
        <f>AH176</f>
        <v>0.13</v>
      </c>
      <c r="AI178" s="90">
        <f t="shared" si="113"/>
        <v>0</v>
      </c>
      <c r="AL178" s="94">
        <f>AL176</f>
        <v>0</v>
      </c>
      <c r="AM178" s="94">
        <f>AM176</f>
        <v>0.08</v>
      </c>
      <c r="AN178" s="90">
        <f t="shared" si="114"/>
        <v>0</v>
      </c>
      <c r="AQ178" s="94">
        <f>AQ176</f>
        <v>0</v>
      </c>
      <c r="AR178" s="94">
        <f>AR176</f>
        <v>0.05</v>
      </c>
      <c r="AS178" s="90">
        <f t="shared" si="115"/>
        <v>0</v>
      </c>
      <c r="AV178" s="94">
        <f>AV176</f>
        <v>0</v>
      </c>
      <c r="AW178" s="94">
        <f>AW176</f>
        <v>0.32500000000000001</v>
      </c>
      <c r="AX178" s="90">
        <f t="shared" si="116"/>
        <v>0</v>
      </c>
      <c r="BA178" s="94">
        <f>BA176</f>
        <v>0</v>
      </c>
      <c r="BB178" s="94">
        <f>BB176</f>
        <v>0.29499999999999998</v>
      </c>
      <c r="BC178" s="90">
        <f t="shared" si="117"/>
        <v>0</v>
      </c>
      <c r="BF178" s="94">
        <f>BF176</f>
        <v>0</v>
      </c>
      <c r="BG178" s="94">
        <f>BG176</f>
        <v>0.27500000000000002</v>
      </c>
      <c r="BH178" s="90">
        <f t="shared" si="118"/>
        <v>0</v>
      </c>
      <c r="BK178" s="94">
        <f>BK176</f>
        <v>0</v>
      </c>
      <c r="BL178" s="94">
        <f>BL176</f>
        <v>0.245</v>
      </c>
      <c r="BM178" s="90">
        <f t="shared" si="119"/>
        <v>0</v>
      </c>
      <c r="BP178" s="94">
        <f>BP176</f>
        <v>0</v>
      </c>
      <c r="BQ178" s="94">
        <f>BQ176</f>
        <v>0.22500000000000001</v>
      </c>
      <c r="BR178" s="90">
        <f t="shared" si="120"/>
        <v>0</v>
      </c>
      <c r="BU178" s="94">
        <f>BU176</f>
        <v>0</v>
      </c>
      <c r="BV178" s="94">
        <f>BV176</f>
        <v>0.17499999999999999</v>
      </c>
      <c r="BW178" s="90">
        <f t="shared" si="121"/>
        <v>0</v>
      </c>
      <c r="BZ178" s="94">
        <f>BZ176</f>
        <v>0</v>
      </c>
      <c r="CA178" s="94">
        <f>CA176</f>
        <v>0.15</v>
      </c>
      <c r="CB178" s="90">
        <f t="shared" si="122"/>
        <v>0</v>
      </c>
      <c r="CE178" s="95"/>
      <c r="CF178" s="96"/>
      <c r="CG178" s="97"/>
      <c r="CH178" s="97"/>
      <c r="CI178" s="98"/>
      <c r="CK178" s="99">
        <f>IFERROR(IF(F178='[1]Paramètres Généraux'!$K$12,ROUNDUP((REGENERANTS!H178*REGENERANTS!$CF$166)*'[1]Paramètres Généraux'!$M$12,-1),REGENERANTS!H178*REGENERANTS!$CF$166),"nd")</f>
        <v>0</v>
      </c>
      <c r="CN178" s="100"/>
      <c r="CO178" s="101"/>
      <c r="CP178" s="101"/>
      <c r="CQ178" s="101"/>
      <c r="CR178" s="101"/>
      <c r="CS178" s="171"/>
      <c r="CT178" s="172"/>
      <c r="CU178" s="101"/>
      <c r="CV178" s="171"/>
      <c r="CW178" s="106"/>
      <c r="CX178" s="107"/>
      <c r="CY178" s="106"/>
      <c r="CZ178" s="104"/>
      <c r="DA178" s="107"/>
      <c r="DB178" s="106"/>
      <c r="DC178" s="104"/>
      <c r="DD178" s="107"/>
      <c r="DE178" s="106"/>
      <c r="DF178" s="104"/>
      <c r="DG178" s="104"/>
      <c r="DH178" s="104"/>
      <c r="DI178" s="104"/>
      <c r="DJ178" s="104"/>
      <c r="DK178" s="104"/>
      <c r="DL178" s="104"/>
      <c r="DM178" s="104"/>
      <c r="DN178" s="104"/>
      <c r="DO178" s="107"/>
      <c r="DP178" s="106"/>
      <c r="DQ178" s="20">
        <f t="shared" si="108"/>
        <v>0</v>
      </c>
      <c r="DR178" s="20">
        <f t="shared" si="109"/>
        <v>0</v>
      </c>
      <c r="DS178" s="20">
        <f>IFERROR((IF(AND($F178="Produit Vente",CO178&gt;0),VLOOKUP($C178,'[1]Paramètres Articles'!$B:$H,7,FALSE)*$CO178)*(1-20%)),0)</f>
        <v>0</v>
      </c>
      <c r="DT178" s="20">
        <f>IFERROR((IF(AND($F178="Produit Vente",DR178&gt;0),VLOOKUP($C178,'[1]Paramètres Articles'!$B:$H,6,FALSE)*$DR178)*(1-15%)),0)</f>
        <v>0</v>
      </c>
    </row>
    <row r="179" spans="2:124" ht="12.95" hidden="1" customHeight="1" outlineLevel="1">
      <c r="B179" s="1">
        <f>IF(C179="",0,COUNTIFS($B$22:B178,"&gt;"&amp;0)+1)</f>
        <v>72</v>
      </c>
      <c r="C179" s="85">
        <v>1020301</v>
      </c>
      <c r="D179" s="86" t="str">
        <f>IFERROR(IF($C179="","",VLOOKUP($C179,'[1]Paramètres Articles'!$B:$G,2,FALSE)),"Non Trouvé")</f>
        <v>Crème de Jour - Régénérant - 40 ml</v>
      </c>
      <c r="E179" s="87">
        <f>IFERROR(IF($C179="","",_xlfn.XLOOKUP(REGENERANTS!$C179,'[1]New Base PA'!$F:$F,'[1]New Base PA'!$D:$D,"Not Found",0)),"Non Trouvé")</f>
        <v>4020829007383</v>
      </c>
      <c r="F179" s="88" t="s">
        <v>90</v>
      </c>
      <c r="H179" s="101">
        <f>50*17%</f>
        <v>8.5</v>
      </c>
      <c r="J179" s="90">
        <f>IFERROR(IF($C179="","",VLOOKUP($C179,'[1]New Base PA'!$F:$J,5,FALSE)),"Non Trouvé")</f>
        <v>14.801599999999999</v>
      </c>
      <c r="K179" s="131">
        <f t="shared" si="104"/>
        <v>125.81359999999999</v>
      </c>
      <c r="L179" s="132"/>
      <c r="M179" s="90">
        <f>IFERROR(IF(AND($F179="Produit Vente",H179&gt;0),VLOOKUP($C179,'[1]Paramètres Articles'!$B:$G,6,FALSE),0),"Non Trouvé")</f>
        <v>38.532973805855164</v>
      </c>
      <c r="N179" s="90">
        <f t="shared" si="105"/>
        <v>327.53027734976888</v>
      </c>
      <c r="P179" s="92"/>
      <c r="R179" s="90">
        <f t="shared" si="106"/>
        <v>327.53027734976888</v>
      </c>
      <c r="S179" s="91"/>
      <c r="T179" s="90">
        <f>IFERROR(IF($C179="","",VLOOKUP($C179,'[1]Paramètres Articles'!$B:$H,7,FALSE)),"Non Trouvé")</f>
        <v>65.5</v>
      </c>
      <c r="U179" s="93"/>
      <c r="V179" s="90" t="str">
        <f t="shared" si="110"/>
        <v/>
      </c>
      <c r="W179" s="91"/>
      <c r="X179" s="90" t="str">
        <f t="shared" si="111"/>
        <v/>
      </c>
      <c r="Y179" s="91"/>
      <c r="Z179" s="90">
        <f t="shared" si="107"/>
        <v>556.75</v>
      </c>
      <c r="AB179" s="94">
        <f>AB178</f>
        <v>0</v>
      </c>
      <c r="AC179" s="94">
        <f>AC178</f>
        <v>0.17</v>
      </c>
      <c r="AD179" s="90">
        <f t="shared" si="112"/>
        <v>0</v>
      </c>
      <c r="AG179" s="94">
        <f>AG178</f>
        <v>0</v>
      </c>
      <c r="AH179" s="94">
        <f>AH178</f>
        <v>0.13</v>
      </c>
      <c r="AI179" s="90">
        <f t="shared" si="113"/>
        <v>0</v>
      </c>
      <c r="AL179" s="94">
        <f>AL178</f>
        <v>0</v>
      </c>
      <c r="AM179" s="94">
        <f>AM178</f>
        <v>0.08</v>
      </c>
      <c r="AN179" s="90">
        <f t="shared" si="114"/>
        <v>0</v>
      </c>
      <c r="AQ179" s="94">
        <f>AQ178</f>
        <v>0</v>
      </c>
      <c r="AR179" s="94">
        <f>AR178</f>
        <v>0.05</v>
      </c>
      <c r="AS179" s="90">
        <f t="shared" si="115"/>
        <v>0</v>
      </c>
      <c r="AV179" s="94">
        <f>AV178</f>
        <v>0</v>
      </c>
      <c r="AW179" s="94">
        <f>AW178</f>
        <v>0.32500000000000001</v>
      </c>
      <c r="AX179" s="90">
        <f t="shared" si="116"/>
        <v>0</v>
      </c>
      <c r="BA179" s="94">
        <f>BA178</f>
        <v>0</v>
      </c>
      <c r="BB179" s="94">
        <f>BB178</f>
        <v>0.29499999999999998</v>
      </c>
      <c r="BC179" s="90">
        <f t="shared" si="117"/>
        <v>0</v>
      </c>
      <c r="BF179" s="94">
        <f>BF178</f>
        <v>0</v>
      </c>
      <c r="BG179" s="94">
        <f>BG178</f>
        <v>0.27500000000000002</v>
      </c>
      <c r="BH179" s="90">
        <f t="shared" si="118"/>
        <v>0</v>
      </c>
      <c r="BK179" s="94">
        <f>BK178</f>
        <v>0</v>
      </c>
      <c r="BL179" s="94">
        <f>BL178</f>
        <v>0.245</v>
      </c>
      <c r="BM179" s="90">
        <f t="shared" si="119"/>
        <v>0</v>
      </c>
      <c r="BP179" s="94">
        <f>BP178</f>
        <v>0</v>
      </c>
      <c r="BQ179" s="94">
        <f>BQ178</f>
        <v>0.22500000000000001</v>
      </c>
      <c r="BR179" s="90">
        <f t="shared" si="120"/>
        <v>0</v>
      </c>
      <c r="BU179" s="94">
        <f>BU178</f>
        <v>0</v>
      </c>
      <c r="BV179" s="94">
        <f>BV178</f>
        <v>0.17499999999999999</v>
      </c>
      <c r="BW179" s="90">
        <f t="shared" si="121"/>
        <v>0</v>
      </c>
      <c r="BZ179" s="94">
        <f>BZ178</f>
        <v>0</v>
      </c>
      <c r="CA179" s="94">
        <f>CA178</f>
        <v>0.15</v>
      </c>
      <c r="CB179" s="90">
        <f t="shared" si="122"/>
        <v>0</v>
      </c>
      <c r="CE179" s="95"/>
      <c r="CF179" s="128"/>
      <c r="CG179" s="97"/>
      <c r="CH179" s="97"/>
      <c r="CI179" s="98"/>
      <c r="CK179" s="99">
        <f>IFERROR(IF(F179='[1]Paramètres Généraux'!$K$12,ROUNDUP((REGENERANTS!H179*REGENERANTS!$CF$166)*'[1]Paramètres Généraux'!$M$12,-1),REGENERANTS!H179*REGENERANTS!$CF$166),"nd")</f>
        <v>0</v>
      </c>
      <c r="CN179" s="100"/>
      <c r="CO179" s="101"/>
      <c r="CP179" s="101"/>
      <c r="CQ179" s="101"/>
      <c r="CR179" s="101"/>
      <c r="CS179" s="171"/>
      <c r="CT179" s="172"/>
      <c r="CU179" s="101"/>
      <c r="CV179" s="171"/>
      <c r="CW179" s="106"/>
      <c r="CX179" s="107"/>
      <c r="CY179" s="106"/>
      <c r="CZ179" s="104"/>
      <c r="DA179" s="107"/>
      <c r="DB179" s="106"/>
      <c r="DC179" s="104"/>
      <c r="DD179" s="107"/>
      <c r="DE179" s="106"/>
      <c r="DF179" s="104"/>
      <c r="DG179" s="104"/>
      <c r="DH179" s="104"/>
      <c r="DI179" s="104"/>
      <c r="DJ179" s="104"/>
      <c r="DK179" s="104"/>
      <c r="DL179" s="104"/>
      <c r="DM179" s="104"/>
      <c r="DN179" s="104"/>
      <c r="DO179" s="107"/>
      <c r="DP179" s="106"/>
      <c r="DQ179" s="20">
        <f t="shared" si="108"/>
        <v>0</v>
      </c>
      <c r="DR179" s="20">
        <f t="shared" si="109"/>
        <v>0</v>
      </c>
      <c r="DS179" s="20">
        <f>IFERROR((IF(AND($F179="Produit Vente",CO179&gt;0),VLOOKUP($C179,'[1]Paramètres Articles'!$B:$H,7,FALSE)*$CO179)*(1-20%)),0)</f>
        <v>0</v>
      </c>
      <c r="DT179" s="20">
        <f>IFERROR((IF(AND($F179="Produit Vente",DR179&gt;0),VLOOKUP($C179,'[1]Paramètres Articles'!$B:$H,6,FALSE)*$DR179)*(1-15%)),0)</f>
        <v>0</v>
      </c>
    </row>
    <row r="180" spans="2:124" ht="12.95" hidden="1" customHeight="1" outlineLevel="1">
      <c r="B180" s="1">
        <f>IF(C180="",0,COUNTIFS($B$22:B179,"&gt;"&amp;0)+1)</f>
        <v>73</v>
      </c>
      <c r="C180" s="85">
        <v>1020720</v>
      </c>
      <c r="D180" s="86" t="str">
        <f>IFERROR(IF($C180="","",VLOOKUP($C180,'[1]Paramètres Articles'!$B:$G,2,FALSE)),"Non Trouvé")</f>
        <v>Crème de Jour - Régénérant Intensif - 40ml</v>
      </c>
      <c r="E180" s="87">
        <f>IFERROR(IF($C180="","",_xlfn.XLOOKUP(REGENERANTS!$C180,'[1]New Base PA'!$F:$F,'[1]New Base PA'!$D:$D,"Not Found",0)),"Non Trouvé")</f>
        <v>4020829102972</v>
      </c>
      <c r="F180" s="88" t="s">
        <v>90</v>
      </c>
      <c r="H180" s="101">
        <f>50*17%</f>
        <v>8.5</v>
      </c>
      <c r="J180" s="90">
        <f>IFERROR(IF($C180="","",VLOOKUP($C180,'[1]New Base PA'!$F:$J,5,FALSE)),"Non Trouvé")</f>
        <v>17.191199999999998</v>
      </c>
      <c r="K180" s="131">
        <f t="shared" si="104"/>
        <v>146.12519999999998</v>
      </c>
      <c r="L180" s="132"/>
      <c r="M180" s="90">
        <f>IFERROR(IF(AND($F180="Produit Vente",H180&gt;0),VLOOKUP($C180,'[1]Paramètres Articles'!$B:$G,6,FALSE),0),"Non Trouvé")</f>
        <v>44.648251001335112</v>
      </c>
      <c r="N180" s="90">
        <f t="shared" si="105"/>
        <v>379.51013351134844</v>
      </c>
      <c r="P180" s="92"/>
      <c r="R180" s="90">
        <f t="shared" si="106"/>
        <v>379.51013351134844</v>
      </c>
      <c r="S180" s="91"/>
      <c r="T180" s="90">
        <f>IFERROR(IF($C180="","",VLOOKUP($C180,'[1]Paramètres Articles'!$B:$H,7,FALSE)),"Non Trouvé")</f>
        <v>75.900000000000006</v>
      </c>
      <c r="U180" s="93"/>
      <c r="V180" s="90" t="str">
        <f t="shared" si="110"/>
        <v/>
      </c>
      <c r="W180" s="91"/>
      <c r="X180" s="90" t="str">
        <f t="shared" si="111"/>
        <v/>
      </c>
      <c r="Y180" s="91"/>
      <c r="Z180" s="90">
        <f t="shared" si="107"/>
        <v>645.15000000000009</v>
      </c>
      <c r="AB180" s="94">
        <f>AB178</f>
        <v>0</v>
      </c>
      <c r="AC180" s="94">
        <f>AC178</f>
        <v>0.17</v>
      </c>
      <c r="AD180" s="90">
        <f t="shared" si="112"/>
        <v>0</v>
      </c>
      <c r="AG180" s="94">
        <f>AG178</f>
        <v>0</v>
      </c>
      <c r="AH180" s="94">
        <f>AH178</f>
        <v>0.13</v>
      </c>
      <c r="AI180" s="90">
        <f t="shared" si="113"/>
        <v>0</v>
      </c>
      <c r="AL180" s="94">
        <f>AL178</f>
        <v>0</v>
      </c>
      <c r="AM180" s="94">
        <f>AM178</f>
        <v>0.08</v>
      </c>
      <c r="AN180" s="90">
        <f t="shared" si="114"/>
        <v>0</v>
      </c>
      <c r="AQ180" s="94">
        <f>AQ178</f>
        <v>0</v>
      </c>
      <c r="AR180" s="94">
        <f>AR178</f>
        <v>0.05</v>
      </c>
      <c r="AS180" s="90">
        <f t="shared" si="115"/>
        <v>0</v>
      </c>
      <c r="AV180" s="94">
        <f>AV178</f>
        <v>0</v>
      </c>
      <c r="AW180" s="94">
        <f>AW178</f>
        <v>0.32500000000000001</v>
      </c>
      <c r="AX180" s="90">
        <f t="shared" si="116"/>
        <v>0</v>
      </c>
      <c r="BA180" s="94">
        <f>BA178</f>
        <v>0</v>
      </c>
      <c r="BB180" s="94">
        <f>BB178</f>
        <v>0.29499999999999998</v>
      </c>
      <c r="BC180" s="90">
        <f t="shared" si="117"/>
        <v>0</v>
      </c>
      <c r="BF180" s="94">
        <f>BF178</f>
        <v>0</v>
      </c>
      <c r="BG180" s="94">
        <f>BG178</f>
        <v>0.27500000000000002</v>
      </c>
      <c r="BH180" s="90">
        <f t="shared" si="118"/>
        <v>0</v>
      </c>
      <c r="BK180" s="94">
        <f>BK178</f>
        <v>0</v>
      </c>
      <c r="BL180" s="94">
        <f>BL178</f>
        <v>0.245</v>
      </c>
      <c r="BM180" s="90">
        <f t="shared" si="119"/>
        <v>0</v>
      </c>
      <c r="BP180" s="94">
        <f>BP178</f>
        <v>0</v>
      </c>
      <c r="BQ180" s="94">
        <f>BQ178</f>
        <v>0.22500000000000001</v>
      </c>
      <c r="BR180" s="90">
        <f t="shared" si="120"/>
        <v>0</v>
      </c>
      <c r="BU180" s="94">
        <f>BU178</f>
        <v>0</v>
      </c>
      <c r="BV180" s="94">
        <f>BV178</f>
        <v>0.17499999999999999</v>
      </c>
      <c r="BW180" s="90">
        <f t="shared" si="121"/>
        <v>0</v>
      </c>
      <c r="BZ180" s="94">
        <f>BZ178</f>
        <v>0</v>
      </c>
      <c r="CA180" s="94">
        <f>CA178</f>
        <v>0.15</v>
      </c>
      <c r="CB180" s="90">
        <f t="shared" si="122"/>
        <v>0</v>
      </c>
      <c r="CE180" s="95"/>
      <c r="CF180" s="97"/>
      <c r="CG180" s="128" t="s">
        <v>4</v>
      </c>
      <c r="CH180" s="97"/>
      <c r="CI180" s="98"/>
      <c r="CK180" s="99">
        <f>IFERROR(IF(F180='[1]Paramètres Généraux'!$K$12,ROUNDUP((REGENERANTS!H180*REGENERANTS!$CF$166)*'[1]Paramètres Généraux'!$M$12,-1),REGENERANTS!H180*REGENERANTS!$CF$166),"nd")</f>
        <v>0</v>
      </c>
      <c r="CN180" s="100"/>
      <c r="CO180" s="101"/>
      <c r="CP180" s="101"/>
      <c r="CQ180" s="101"/>
      <c r="CR180" s="101"/>
      <c r="CS180" s="171"/>
      <c r="CT180" s="172"/>
      <c r="CU180" s="101"/>
      <c r="CV180" s="171"/>
      <c r="CW180" s="106"/>
      <c r="CX180" s="107"/>
      <c r="CY180" s="106"/>
      <c r="CZ180" s="104"/>
      <c r="DA180" s="107"/>
      <c r="DB180" s="106"/>
      <c r="DC180" s="104"/>
      <c r="DD180" s="107"/>
      <c r="DE180" s="106"/>
      <c r="DF180" s="104"/>
      <c r="DG180" s="104"/>
      <c r="DH180" s="104"/>
      <c r="DI180" s="104"/>
      <c r="DJ180" s="104"/>
      <c r="DK180" s="104"/>
      <c r="DL180" s="104"/>
      <c r="DM180" s="104"/>
      <c r="DN180" s="104"/>
      <c r="DO180" s="107"/>
      <c r="DP180" s="106"/>
      <c r="DQ180" s="20">
        <f t="shared" si="108"/>
        <v>0</v>
      </c>
      <c r="DR180" s="20">
        <f t="shared" si="109"/>
        <v>0</v>
      </c>
      <c r="DS180" s="20">
        <f>IFERROR((IF(AND($F180="Produit Vente",CO180&gt;0),VLOOKUP($C180,'[1]Paramètres Articles'!$B:$H,7,FALSE)*$CO180)*(1-20%)),0)</f>
        <v>0</v>
      </c>
      <c r="DT180" s="20">
        <f>IFERROR((IF(AND($F180="Produit Vente",DR180&gt;0),VLOOKUP($C180,'[1]Paramètres Articles'!$B:$H,6,FALSE)*$DR180)*(1-15%)),0)</f>
        <v>0</v>
      </c>
    </row>
    <row r="181" spans="2:124" ht="12.95" hidden="1" customHeight="1" outlineLevel="1">
      <c r="B181" s="1">
        <f>IF(C181="",0,COUNTIFS($B$22:B180,"&gt;"&amp;0)+1)</f>
        <v>74</v>
      </c>
      <c r="C181" s="85" t="s">
        <v>97</v>
      </c>
      <c r="D181" s="86" t="str">
        <f>IFERROR(IF($C181="","",VLOOKUP($C181,'[1]Paramètres Articles'!$B:$G,2,FALSE)),"Non Trouvé")</f>
        <v>Panneau vitrine Régénérants 2026</v>
      </c>
      <c r="E181" s="87">
        <f>IFERROR(IF($C181="","",_xlfn.XLOOKUP(REGENERANTS!$C181,'[1]New Base PA'!$F:$F,'[1]New Base PA'!$D:$D,"Not Found",0)),"Non Trouvé")</f>
        <v>0</v>
      </c>
      <c r="F181" s="88" t="s">
        <v>98</v>
      </c>
      <c r="H181" s="101">
        <v>1</v>
      </c>
      <c r="J181" s="90">
        <f>IFERROR(IF($C181="","",VLOOKUP($C181,'[1]New Base PA'!$F:$J,5,FALSE)),"Non Trouvé")</f>
        <v>20.079999999999998</v>
      </c>
      <c r="K181" s="131">
        <f t="shared" si="104"/>
        <v>20.079999999999998</v>
      </c>
      <c r="L181" s="132"/>
      <c r="M181" s="90">
        <f>IFERROR(IF(AND($F181="Produit Vente",H181&gt;0),VLOOKUP($C181,'[1]Paramètres Articles'!$B:$G,6,FALSE),0),"Non Trouvé")</f>
        <v>0</v>
      </c>
      <c r="N181" s="90">
        <f t="shared" si="105"/>
        <v>0</v>
      </c>
      <c r="P181" s="92"/>
      <c r="R181" s="90">
        <f t="shared" si="106"/>
        <v>0</v>
      </c>
      <c r="S181" s="91"/>
      <c r="T181" s="90">
        <f>IFERROR(IF($C181="","",VLOOKUP($C181,'[1]Paramètres Articles'!$B:$H,7,FALSE)),"Non Trouvé")</f>
        <v>0</v>
      </c>
      <c r="U181" s="93"/>
      <c r="V181" s="90" t="str">
        <f t="shared" si="110"/>
        <v/>
      </c>
      <c r="W181" s="91"/>
      <c r="X181" s="90" t="str">
        <f t="shared" si="111"/>
        <v/>
      </c>
      <c r="Y181" s="91"/>
      <c r="Z181" s="90">
        <f t="shared" si="107"/>
        <v>0</v>
      </c>
      <c r="AB181" s="94">
        <f>AB180</f>
        <v>0</v>
      </c>
      <c r="AC181" s="94">
        <f>AC180</f>
        <v>0.17</v>
      </c>
      <c r="AD181" s="90">
        <f t="shared" si="112"/>
        <v>0</v>
      </c>
      <c r="AG181" s="94">
        <f>AG180</f>
        <v>0</v>
      </c>
      <c r="AH181" s="94">
        <f>AH180</f>
        <v>0.13</v>
      </c>
      <c r="AI181" s="90">
        <f t="shared" si="113"/>
        <v>0</v>
      </c>
      <c r="AL181" s="94">
        <f>AL180</f>
        <v>0</v>
      </c>
      <c r="AM181" s="94">
        <f>AM180</f>
        <v>0.08</v>
      </c>
      <c r="AN181" s="90">
        <f t="shared" si="114"/>
        <v>0</v>
      </c>
      <c r="AQ181" s="94">
        <f>AQ180</f>
        <v>0</v>
      </c>
      <c r="AR181" s="94">
        <f>AR180</f>
        <v>0.05</v>
      </c>
      <c r="AS181" s="90">
        <f t="shared" si="115"/>
        <v>0</v>
      </c>
      <c r="AV181" s="94">
        <f>AV180</f>
        <v>0</v>
      </c>
      <c r="AW181" s="94">
        <f>AW180</f>
        <v>0.32500000000000001</v>
      </c>
      <c r="AX181" s="90">
        <f t="shared" si="116"/>
        <v>0</v>
      </c>
      <c r="BA181" s="94">
        <f>BA180</f>
        <v>0</v>
      </c>
      <c r="BB181" s="94">
        <f>BB180</f>
        <v>0.29499999999999998</v>
      </c>
      <c r="BC181" s="90">
        <f t="shared" si="117"/>
        <v>0</v>
      </c>
      <c r="BF181" s="94">
        <f>BF180</f>
        <v>0</v>
      </c>
      <c r="BG181" s="94">
        <f>BG180</f>
        <v>0.27500000000000002</v>
      </c>
      <c r="BH181" s="90">
        <f t="shared" si="118"/>
        <v>0</v>
      </c>
      <c r="BK181" s="94">
        <f>BK180</f>
        <v>0</v>
      </c>
      <c r="BL181" s="94">
        <f>BL180</f>
        <v>0.245</v>
      </c>
      <c r="BM181" s="90">
        <f t="shared" si="119"/>
        <v>0</v>
      </c>
      <c r="BP181" s="94">
        <f>BP180</f>
        <v>0</v>
      </c>
      <c r="BQ181" s="94">
        <f>BQ180</f>
        <v>0.22500000000000001</v>
      </c>
      <c r="BR181" s="90">
        <f t="shared" si="120"/>
        <v>0</v>
      </c>
      <c r="BU181" s="94">
        <f>BU180</f>
        <v>0</v>
      </c>
      <c r="BV181" s="94">
        <f>BV180</f>
        <v>0.17499999999999999</v>
      </c>
      <c r="BW181" s="90">
        <f t="shared" si="121"/>
        <v>0</v>
      </c>
      <c r="BZ181" s="94">
        <f>BZ180</f>
        <v>0</v>
      </c>
      <c r="CA181" s="94">
        <f>CA180</f>
        <v>0.15</v>
      </c>
      <c r="CB181" s="90">
        <f t="shared" si="122"/>
        <v>0</v>
      </c>
      <c r="CE181" s="95"/>
      <c r="CF181" s="133"/>
      <c r="CG181" s="97" t="s">
        <v>0</v>
      </c>
      <c r="CH181" s="133">
        <f>SUMIFS($AB166:$AT166,$AB163:$AT163,CG181)+SUMIFS($BZ166:$CC166,$BZ163:$CC163,CG181)</f>
        <v>0</v>
      </c>
      <c r="CI181" s="98"/>
      <c r="CK181" s="99">
        <f>IFERROR(IF(F181='[1]Paramètres Généraux'!$K$12,ROUNDUP((REGENERANTS!H181*REGENERANTS!$CF$166)*'[1]Paramètres Généraux'!$M$12,-1),REGENERANTS!H181*REGENERANTS!$CF$166),"nd")</f>
        <v>0</v>
      </c>
      <c r="CN181" s="100"/>
      <c r="CO181" s="101"/>
      <c r="CP181" s="101"/>
      <c r="CQ181" s="101"/>
      <c r="CR181" s="101"/>
      <c r="CS181" s="171"/>
      <c r="CT181" s="172"/>
      <c r="CU181" s="101"/>
      <c r="CV181" s="171"/>
      <c r="CW181" s="106"/>
      <c r="CX181" s="107"/>
      <c r="CY181" s="106"/>
      <c r="CZ181" s="104"/>
      <c r="DA181" s="107"/>
      <c r="DB181" s="106"/>
      <c r="DC181" s="104"/>
      <c r="DD181" s="107"/>
      <c r="DE181" s="106"/>
      <c r="DF181" s="104"/>
      <c r="DG181" s="104"/>
      <c r="DH181" s="104"/>
      <c r="DI181" s="104"/>
      <c r="DJ181" s="104"/>
      <c r="DK181" s="104"/>
      <c r="DL181" s="104"/>
      <c r="DM181" s="104"/>
      <c r="DN181" s="104"/>
      <c r="DO181" s="107"/>
      <c r="DP181" s="106"/>
      <c r="DQ181" s="20">
        <f t="shared" si="108"/>
        <v>0</v>
      </c>
      <c r="DR181" s="20">
        <f t="shared" si="109"/>
        <v>0</v>
      </c>
      <c r="DS181" s="20">
        <f>IFERROR((IF(AND($F181="Produit Vente",CO181&gt;0),VLOOKUP($C181,'[1]Paramètres Articles'!$B:$H,7,FALSE)*$CO181)*(1-20%)),0)</f>
        <v>0</v>
      </c>
      <c r="DT181" s="20">
        <f>IFERROR((IF(AND($F181="Produit Vente",DR181&gt;0),VLOOKUP($C181,'[1]Paramètres Articles'!$B:$H,6,FALSE)*$DR181)*(1-15%)),0)</f>
        <v>0</v>
      </c>
    </row>
    <row r="182" spans="2:124" ht="12.95" hidden="1" customHeight="1" outlineLevel="1">
      <c r="B182" s="1">
        <f>IF(C182="",0,COUNTIFS($B$22:B181,"&gt;"&amp;0)+1)</f>
        <v>75</v>
      </c>
      <c r="C182" s="85" t="s">
        <v>99</v>
      </c>
      <c r="D182" s="86" t="str">
        <f>IFERROR(IF($C182="","",VLOOKUP($C182,'[1]Paramètres Articles'!$B:$G,2,FALSE)),"Non Trouvé")</f>
        <v>Présentoir Régénérants 2026</v>
      </c>
      <c r="E182" s="87">
        <f>IFERROR(IF($C182="","",_xlfn.XLOOKUP(REGENERANTS!$C182,'[1]New Base PA'!$F:$F,'[1]New Base PA'!$D:$D,"Not Found",0)),"Non Trouvé")</f>
        <v>0</v>
      </c>
      <c r="F182" s="88" t="s">
        <v>100</v>
      </c>
      <c r="H182" s="101">
        <v>1</v>
      </c>
      <c r="J182" s="90">
        <f>IFERROR(IF($C182="","",VLOOKUP($C182,'[1]New Base PA'!$F:$J,5,FALSE)),"Non Trouvé")</f>
        <v>13.92</v>
      </c>
      <c r="K182" s="131">
        <f t="shared" si="104"/>
        <v>13.92</v>
      </c>
      <c r="L182" s="132"/>
      <c r="M182" s="90">
        <f>IFERROR(IF(AND($F182="Produit Vente",H182&gt;0),VLOOKUP($C182,'[1]Paramètres Articles'!$B:$G,6,FALSE),0),"Non Trouvé")</f>
        <v>0</v>
      </c>
      <c r="N182" s="90">
        <f t="shared" si="105"/>
        <v>0</v>
      </c>
      <c r="P182" s="92"/>
      <c r="R182" s="90">
        <f t="shared" si="106"/>
        <v>0</v>
      </c>
      <c r="S182" s="91"/>
      <c r="T182" s="90">
        <f>IFERROR(IF($C182="","",VLOOKUP($C182,'[1]Paramètres Articles'!$B:$H,7,FALSE)),"Non Trouvé")</f>
        <v>0</v>
      </c>
      <c r="U182" s="93"/>
      <c r="V182" s="90" t="str">
        <f t="shared" si="110"/>
        <v/>
      </c>
      <c r="W182" s="91"/>
      <c r="X182" s="90" t="str">
        <f t="shared" si="111"/>
        <v/>
      </c>
      <c r="Y182" s="91"/>
      <c r="Z182" s="90">
        <f t="shared" si="107"/>
        <v>0</v>
      </c>
      <c r="AB182" s="94">
        <f>AB180</f>
        <v>0</v>
      </c>
      <c r="AC182" s="94">
        <f>AC180</f>
        <v>0.17</v>
      </c>
      <c r="AD182" s="90">
        <f t="shared" si="112"/>
        <v>0</v>
      </c>
      <c r="AG182" s="94">
        <f>AG180</f>
        <v>0</v>
      </c>
      <c r="AH182" s="94">
        <f>AH180</f>
        <v>0.13</v>
      </c>
      <c r="AI182" s="90">
        <f t="shared" si="113"/>
        <v>0</v>
      </c>
      <c r="AL182" s="94">
        <f>AL180</f>
        <v>0</v>
      </c>
      <c r="AM182" s="94">
        <f>AM180</f>
        <v>0.08</v>
      </c>
      <c r="AN182" s="90">
        <f t="shared" si="114"/>
        <v>0</v>
      </c>
      <c r="AQ182" s="94">
        <f>AQ180</f>
        <v>0</v>
      </c>
      <c r="AR182" s="94">
        <f>AR180</f>
        <v>0.05</v>
      </c>
      <c r="AS182" s="90">
        <f t="shared" si="115"/>
        <v>0</v>
      </c>
      <c r="AV182" s="94">
        <f>AV180</f>
        <v>0</v>
      </c>
      <c r="AW182" s="94">
        <f>AW180</f>
        <v>0.32500000000000001</v>
      </c>
      <c r="AX182" s="90">
        <f t="shared" si="116"/>
        <v>0</v>
      </c>
      <c r="BA182" s="94">
        <f>BA180</f>
        <v>0</v>
      </c>
      <c r="BB182" s="94">
        <f>BB180</f>
        <v>0.29499999999999998</v>
      </c>
      <c r="BC182" s="90">
        <f t="shared" si="117"/>
        <v>0</v>
      </c>
      <c r="BF182" s="94">
        <f>BF180</f>
        <v>0</v>
      </c>
      <c r="BG182" s="94">
        <f>BG180</f>
        <v>0.27500000000000002</v>
      </c>
      <c r="BH182" s="90">
        <f t="shared" si="118"/>
        <v>0</v>
      </c>
      <c r="BK182" s="94">
        <f>BK180</f>
        <v>0</v>
      </c>
      <c r="BL182" s="94">
        <f>BL180</f>
        <v>0.245</v>
      </c>
      <c r="BM182" s="90">
        <f t="shared" si="119"/>
        <v>0</v>
      </c>
      <c r="BP182" s="94">
        <f>BP180</f>
        <v>0</v>
      </c>
      <c r="BQ182" s="94">
        <f>BQ180</f>
        <v>0.22500000000000001</v>
      </c>
      <c r="BR182" s="90">
        <f t="shared" si="120"/>
        <v>0</v>
      </c>
      <c r="BU182" s="94">
        <f>BU180</f>
        <v>0</v>
      </c>
      <c r="BV182" s="94">
        <f>BV180</f>
        <v>0.17499999999999999</v>
      </c>
      <c r="BW182" s="90">
        <f t="shared" si="121"/>
        <v>0</v>
      </c>
      <c r="BZ182" s="94">
        <f>BZ180</f>
        <v>0</v>
      </c>
      <c r="CA182" s="94">
        <f>CA180</f>
        <v>0.15</v>
      </c>
      <c r="CB182" s="90">
        <f t="shared" si="122"/>
        <v>0</v>
      </c>
      <c r="CE182" s="95"/>
      <c r="CF182" s="96"/>
      <c r="CG182" s="97" t="s">
        <v>1</v>
      </c>
      <c r="CH182" s="134">
        <f>SUMIFS($AB166:$AT166,$AB163:$AT163,CG182)+SUMIFS($BZ166:$CC166,$BZ163:$CC163,CG182)</f>
        <v>0</v>
      </c>
      <c r="CI182" s="98"/>
      <c r="CK182" s="99">
        <f>IFERROR(IF(F182='[1]Paramètres Généraux'!$K$12,ROUNDUP((REGENERANTS!H182*REGENERANTS!$CF$166)*'[1]Paramètres Généraux'!$M$12,-1),REGENERANTS!H182*REGENERANTS!$CF$166),"nd")</f>
        <v>0</v>
      </c>
      <c r="CN182" s="100"/>
      <c r="CO182" s="101"/>
      <c r="CP182" s="101"/>
      <c r="CQ182" s="101"/>
      <c r="CR182" s="101"/>
      <c r="CS182" s="171"/>
      <c r="CT182" s="172"/>
      <c r="CU182" s="101"/>
      <c r="CV182" s="171"/>
      <c r="CW182" s="106"/>
      <c r="CX182" s="107"/>
      <c r="CY182" s="106"/>
      <c r="CZ182" s="104"/>
      <c r="DA182" s="107"/>
      <c r="DB182" s="106"/>
      <c r="DC182" s="104"/>
      <c r="DD182" s="107"/>
      <c r="DE182" s="106"/>
      <c r="DF182" s="104"/>
      <c r="DG182" s="104"/>
      <c r="DH182" s="104"/>
      <c r="DI182" s="104"/>
      <c r="DJ182" s="104"/>
      <c r="DK182" s="104"/>
      <c r="DL182" s="104"/>
      <c r="DM182" s="104"/>
      <c r="DN182" s="104"/>
      <c r="DO182" s="107"/>
      <c r="DP182" s="106"/>
      <c r="DQ182" s="20">
        <f t="shared" si="108"/>
        <v>0</v>
      </c>
      <c r="DR182" s="20">
        <f t="shared" si="109"/>
        <v>0</v>
      </c>
      <c r="DS182" s="20">
        <f>IFERROR((IF(AND($F182="Produit Vente",CO182&gt;0),VLOOKUP($C182,'[1]Paramètres Articles'!$B:$H,7,FALSE)*$CO182)*(1-20%)),0)</f>
        <v>0</v>
      </c>
      <c r="DT182" s="20">
        <f>IFERROR((IF(AND($F182="Produit Vente",DR182&gt;0),VLOOKUP($C182,'[1]Paramètres Articles'!$B:$H,6,FALSE)*$DR182)*(1-15%)),0)</f>
        <v>0</v>
      </c>
    </row>
    <row r="183" spans="2:124" ht="12.95" hidden="1" customHeight="1" outlineLevel="1">
      <c r="B183" s="1">
        <f>IF(C183="",0,COUNTIFS($B$22:B182,"&gt;"&amp;0)+1)</f>
        <v>76</v>
      </c>
      <c r="C183" s="85">
        <v>3020202</v>
      </c>
      <c r="D183" s="86" t="str">
        <f>IFERROR(IF($C183="","",VLOOKUP($C183,'[1]Paramètres Articles'!$B:$G,2,FALSE)),"Non Trouvé")</f>
        <v>Testeur - Sérum Jour / Nuit - Régénérant 30ml - 15% comprise</v>
      </c>
      <c r="E183" s="87">
        <f>IFERROR(IF($C183="","",_xlfn.XLOOKUP(REGENERANTS!$C183,'[1]New Base PA'!$F:$F,'[1]New Base PA'!$D:$D,"Not Found",0)),"Non Trouvé")</f>
        <v>4020829103146</v>
      </c>
      <c r="F183" s="88" t="s">
        <v>96</v>
      </c>
      <c r="H183" s="101">
        <v>1</v>
      </c>
      <c r="J183" s="90">
        <f>IFERROR(IF($C183="","",VLOOKUP($C183,'[1]New Base PA'!$F:$J,5,FALSE)),"Non Trouvé")</f>
        <v>11.62</v>
      </c>
      <c r="K183" s="131">
        <f t="shared" si="104"/>
        <v>11.62</v>
      </c>
      <c r="L183" s="132"/>
      <c r="M183" s="90">
        <f>IFERROR(IF(AND($F183="Produit Vente",H183&gt;0),VLOOKUP($C183,'[1]Paramètres Articles'!$B:$G,6,FALSE),0),"Non Trouvé")</f>
        <v>0</v>
      </c>
      <c r="N183" s="90">
        <f t="shared" si="105"/>
        <v>0</v>
      </c>
      <c r="P183" s="92"/>
      <c r="R183" s="90">
        <f t="shared" si="106"/>
        <v>0</v>
      </c>
      <c r="S183" s="91"/>
      <c r="T183" s="90" t="str">
        <f>IFERROR(IF($C183="","",VLOOKUP($C183,'[1]Paramètres Articles'!$B:$H,7,FALSE)),"Non Trouvé")</f>
        <v>Non Trouvé</v>
      </c>
      <c r="U183" s="93"/>
      <c r="V183" s="90" t="str">
        <f t="shared" si="110"/>
        <v/>
      </c>
      <c r="W183" s="91"/>
      <c r="X183" s="90" t="str">
        <f t="shared" si="111"/>
        <v/>
      </c>
      <c r="Y183" s="91"/>
      <c r="Z183" s="90" t="str">
        <f t="shared" si="107"/>
        <v>Non Trouvé</v>
      </c>
      <c r="AB183" s="94">
        <f>AB182</f>
        <v>0</v>
      </c>
      <c r="AC183" s="94">
        <f>AC182</f>
        <v>0.17</v>
      </c>
      <c r="AD183" s="90">
        <f t="shared" si="112"/>
        <v>0</v>
      </c>
      <c r="AG183" s="94">
        <f>AG182</f>
        <v>0</v>
      </c>
      <c r="AH183" s="94">
        <f>AH182</f>
        <v>0.13</v>
      </c>
      <c r="AI183" s="90">
        <f t="shared" si="113"/>
        <v>0</v>
      </c>
      <c r="AL183" s="94">
        <f>AL182</f>
        <v>0</v>
      </c>
      <c r="AM183" s="94">
        <f>AM182</f>
        <v>0.08</v>
      </c>
      <c r="AN183" s="90">
        <f t="shared" si="114"/>
        <v>0</v>
      </c>
      <c r="AQ183" s="94">
        <f>AQ182</f>
        <v>0</v>
      </c>
      <c r="AR183" s="94">
        <f>AR182</f>
        <v>0.05</v>
      </c>
      <c r="AS183" s="90">
        <f t="shared" si="115"/>
        <v>0</v>
      </c>
      <c r="AV183" s="94">
        <f>AV182</f>
        <v>0</v>
      </c>
      <c r="AW183" s="94">
        <f>AW182</f>
        <v>0.32500000000000001</v>
      </c>
      <c r="AX183" s="90">
        <f t="shared" si="116"/>
        <v>0</v>
      </c>
      <c r="BA183" s="94">
        <f>BA182</f>
        <v>0</v>
      </c>
      <c r="BB183" s="94">
        <f>BB182</f>
        <v>0.29499999999999998</v>
      </c>
      <c r="BC183" s="90">
        <f t="shared" si="117"/>
        <v>0</v>
      </c>
      <c r="BF183" s="94">
        <f>BF182</f>
        <v>0</v>
      </c>
      <c r="BG183" s="94">
        <f>BG182</f>
        <v>0.27500000000000002</v>
      </c>
      <c r="BH183" s="90">
        <f t="shared" si="118"/>
        <v>0</v>
      </c>
      <c r="BK183" s="94">
        <f>BK182</f>
        <v>0</v>
      </c>
      <c r="BL183" s="94">
        <f>BL182</f>
        <v>0.245</v>
      </c>
      <c r="BM183" s="90">
        <f t="shared" si="119"/>
        <v>0</v>
      </c>
      <c r="BP183" s="94">
        <f>BP182</f>
        <v>0</v>
      </c>
      <c r="BQ183" s="94">
        <f>BQ182</f>
        <v>0.22500000000000001</v>
      </c>
      <c r="BR183" s="90">
        <f t="shared" si="120"/>
        <v>0</v>
      </c>
      <c r="BU183" s="94">
        <f>BU182</f>
        <v>0</v>
      </c>
      <c r="BV183" s="94">
        <f>BV182</f>
        <v>0.17499999999999999</v>
      </c>
      <c r="BW183" s="90">
        <f t="shared" si="121"/>
        <v>0</v>
      </c>
      <c r="BZ183" s="94">
        <f>BZ182</f>
        <v>0</v>
      </c>
      <c r="CA183" s="94">
        <f>CA182</f>
        <v>0.15</v>
      </c>
      <c r="CB183" s="90">
        <f t="shared" si="122"/>
        <v>0</v>
      </c>
      <c r="CE183" s="95"/>
      <c r="CF183" s="128"/>
      <c r="CG183" s="97" t="s">
        <v>2</v>
      </c>
      <c r="CH183" s="135" t="str">
        <f>IFERROR((CH182-$K166*CH181)/CH182,"Non Trouvé")</f>
        <v>Non Trouvé</v>
      </c>
      <c r="CI183" s="98"/>
      <c r="CK183" s="99">
        <f>IFERROR(IF(F183='[1]Paramètres Généraux'!$K$12,ROUNDUP((REGENERANTS!H183*REGENERANTS!$CF$166)*'[1]Paramètres Généraux'!$M$12,-1),REGENERANTS!H183*REGENERANTS!$CF$166),"nd")</f>
        <v>0</v>
      </c>
      <c r="CN183" s="100"/>
      <c r="CO183" s="101"/>
      <c r="CP183" s="101"/>
      <c r="CQ183" s="101"/>
      <c r="CR183" s="101"/>
      <c r="CS183" s="171"/>
      <c r="CT183" s="172"/>
      <c r="CU183" s="101"/>
      <c r="CV183" s="171"/>
      <c r="CW183" s="106"/>
      <c r="CX183" s="107"/>
      <c r="CY183" s="106"/>
      <c r="CZ183" s="104"/>
      <c r="DA183" s="107"/>
      <c r="DB183" s="106"/>
      <c r="DC183" s="104"/>
      <c r="DD183" s="107"/>
      <c r="DE183" s="106"/>
      <c r="DF183" s="104"/>
      <c r="DG183" s="104"/>
      <c r="DH183" s="104"/>
      <c r="DI183" s="104"/>
      <c r="DJ183" s="104"/>
      <c r="DK183" s="104"/>
      <c r="DL183" s="104"/>
      <c r="DM183" s="104"/>
      <c r="DN183" s="104"/>
      <c r="DO183" s="107"/>
      <c r="DP183" s="106"/>
      <c r="DQ183" s="20">
        <f t="shared" si="108"/>
        <v>0</v>
      </c>
      <c r="DR183" s="20">
        <f t="shared" si="109"/>
        <v>0</v>
      </c>
      <c r="DS183" s="20">
        <f>IFERROR((IF(AND($F183="Produit Vente",CO183&gt;0),VLOOKUP($C183,'[1]Paramètres Articles'!$B:$H,7,FALSE)*$CO183)*(1-20%)),0)</f>
        <v>0</v>
      </c>
      <c r="DT183" s="20">
        <f>IFERROR((IF(AND($F183="Produit Vente",DR183&gt;0),VLOOKUP($C183,'[1]Paramètres Articles'!$B:$H,6,FALSE)*$DR183)*(1-15%)),0)</f>
        <v>0</v>
      </c>
    </row>
    <row r="184" spans="2:124" ht="12.95" hidden="1" customHeight="1" outlineLevel="1">
      <c r="B184" s="1">
        <f>IF(C184="",0,COUNTIFS($B$22:B183,"&gt;"&amp;0)+1)</f>
        <v>77</v>
      </c>
      <c r="C184" s="85">
        <v>3020301</v>
      </c>
      <c r="D184" s="86" t="str">
        <f>IFERROR(IF($C184="","",VLOOKUP($C184,'[1]Paramètres Articles'!$B:$G,2,FALSE)),"Non Trouvé")</f>
        <v>Testeur - Crème de Jour Régénérante 40 ml - 15% comprise</v>
      </c>
      <c r="E184" s="87">
        <f>IFERROR(IF($C184="","",_xlfn.XLOOKUP(REGENERANTS!$C184,'[1]New Base PA'!$F:$F,'[1]New Base PA'!$D:$D,"Not Found",0)),"Non Trouvé")</f>
        <v>4020829007123</v>
      </c>
      <c r="F184" s="88" t="s">
        <v>96</v>
      </c>
      <c r="H184" s="101">
        <v>1</v>
      </c>
      <c r="J184" s="90">
        <f>IFERROR(IF($C184="","",VLOOKUP($C184,'[1]New Base PA'!$F:$J,5,FALSE)),"Non Trouvé")</f>
        <v>10.85</v>
      </c>
      <c r="K184" s="131">
        <f t="shared" si="104"/>
        <v>10.85</v>
      </c>
      <c r="L184" s="132"/>
      <c r="M184" s="90">
        <f>IFERROR(IF(AND($F184="Produit Vente",H184&gt;0),VLOOKUP($C184,'[1]Paramètres Articles'!$B:$G,6,FALSE),0),"Non Trouvé")</f>
        <v>0</v>
      </c>
      <c r="N184" s="90">
        <f t="shared" si="105"/>
        <v>0</v>
      </c>
      <c r="P184" s="92"/>
      <c r="R184" s="90">
        <f t="shared" si="106"/>
        <v>0</v>
      </c>
      <c r="S184" s="91"/>
      <c r="T184" s="90" t="str">
        <f>IFERROR(IF($C184="","",VLOOKUP($C184,'[1]Paramètres Articles'!$B:$H,7,FALSE)),"Non Trouvé")</f>
        <v>Non Trouvé</v>
      </c>
      <c r="U184" s="93"/>
      <c r="V184" s="90" t="str">
        <f t="shared" si="110"/>
        <v/>
      </c>
      <c r="W184" s="91"/>
      <c r="X184" s="90" t="str">
        <f t="shared" si="111"/>
        <v/>
      </c>
      <c r="Y184" s="91"/>
      <c r="Z184" s="90" t="str">
        <f t="shared" si="107"/>
        <v>Non Trouvé</v>
      </c>
      <c r="AB184" s="94">
        <f>AB182</f>
        <v>0</v>
      </c>
      <c r="AC184" s="94">
        <f>AC182</f>
        <v>0.17</v>
      </c>
      <c r="AD184" s="90">
        <f t="shared" si="112"/>
        <v>0</v>
      </c>
      <c r="AG184" s="94">
        <f>AG182</f>
        <v>0</v>
      </c>
      <c r="AH184" s="94">
        <f>AH182</f>
        <v>0.13</v>
      </c>
      <c r="AI184" s="90">
        <f t="shared" si="113"/>
        <v>0</v>
      </c>
      <c r="AL184" s="94">
        <f>AL182</f>
        <v>0</v>
      </c>
      <c r="AM184" s="94">
        <f>AM182</f>
        <v>0.08</v>
      </c>
      <c r="AN184" s="90">
        <f t="shared" si="114"/>
        <v>0</v>
      </c>
      <c r="AQ184" s="94">
        <f>AQ182</f>
        <v>0</v>
      </c>
      <c r="AR184" s="94">
        <f>AR182</f>
        <v>0.05</v>
      </c>
      <c r="AS184" s="90">
        <f t="shared" si="115"/>
        <v>0</v>
      </c>
      <c r="AV184" s="94">
        <f>AV182</f>
        <v>0</v>
      </c>
      <c r="AW184" s="94">
        <f>AW182</f>
        <v>0.32500000000000001</v>
      </c>
      <c r="AX184" s="90">
        <f t="shared" si="116"/>
        <v>0</v>
      </c>
      <c r="BA184" s="94">
        <f>BA182</f>
        <v>0</v>
      </c>
      <c r="BB184" s="94">
        <f>BB182</f>
        <v>0.29499999999999998</v>
      </c>
      <c r="BC184" s="90">
        <f t="shared" si="117"/>
        <v>0</v>
      </c>
      <c r="BF184" s="94">
        <f>BF182</f>
        <v>0</v>
      </c>
      <c r="BG184" s="94">
        <f>BG182</f>
        <v>0.27500000000000002</v>
      </c>
      <c r="BH184" s="90">
        <f t="shared" si="118"/>
        <v>0</v>
      </c>
      <c r="BK184" s="94">
        <f>BK182</f>
        <v>0</v>
      </c>
      <c r="BL184" s="94">
        <f>BL182</f>
        <v>0.245</v>
      </c>
      <c r="BM184" s="90">
        <f t="shared" si="119"/>
        <v>0</v>
      </c>
      <c r="BP184" s="94">
        <f>BP182</f>
        <v>0</v>
      </c>
      <c r="BQ184" s="94">
        <f>BQ182</f>
        <v>0.22500000000000001</v>
      </c>
      <c r="BR184" s="90">
        <f t="shared" si="120"/>
        <v>0</v>
      </c>
      <c r="BU184" s="94">
        <f>BU182</f>
        <v>0</v>
      </c>
      <c r="BV184" s="94">
        <f>BV182</f>
        <v>0.17499999999999999</v>
      </c>
      <c r="BW184" s="90">
        <f t="shared" si="121"/>
        <v>0</v>
      </c>
      <c r="BZ184" s="94">
        <f>BZ182</f>
        <v>0</v>
      </c>
      <c r="CA184" s="94">
        <f>CA182</f>
        <v>0.15</v>
      </c>
      <c r="CB184" s="90">
        <f t="shared" si="122"/>
        <v>0</v>
      </c>
      <c r="CE184" s="95"/>
      <c r="CF184" s="97"/>
      <c r="CG184" s="97" t="s">
        <v>103</v>
      </c>
      <c r="CH184" s="134">
        <f>IFERROR(CH182*CH183,0)</f>
        <v>0</v>
      </c>
      <c r="CI184" s="98"/>
      <c r="CK184" s="99">
        <f>IFERROR(IF(F184='[1]Paramètres Généraux'!$K$12,ROUNDUP((REGENERANTS!H184*REGENERANTS!$CF$166)*'[1]Paramètres Généraux'!$M$12,-1),REGENERANTS!H184*REGENERANTS!$CF$166),"nd")</f>
        <v>0</v>
      </c>
      <c r="CN184" s="100"/>
      <c r="CO184" s="101"/>
      <c r="CP184" s="101"/>
      <c r="CQ184" s="101"/>
      <c r="CR184" s="101"/>
      <c r="CS184" s="171"/>
      <c r="CT184" s="172"/>
      <c r="CU184" s="101"/>
      <c r="CV184" s="171"/>
      <c r="CW184" s="106"/>
      <c r="CX184" s="107"/>
      <c r="CY184" s="106"/>
      <c r="CZ184" s="104"/>
      <c r="DA184" s="107"/>
      <c r="DB184" s="106"/>
      <c r="DC184" s="104"/>
      <c r="DD184" s="107"/>
      <c r="DE184" s="106"/>
      <c r="DF184" s="104"/>
      <c r="DG184" s="104"/>
      <c r="DH184" s="104"/>
      <c r="DI184" s="104"/>
      <c r="DJ184" s="104"/>
      <c r="DK184" s="104"/>
      <c r="DL184" s="104"/>
      <c r="DM184" s="104"/>
      <c r="DN184" s="104"/>
      <c r="DO184" s="107"/>
      <c r="DP184" s="106"/>
      <c r="DQ184" s="20">
        <f t="shared" si="108"/>
        <v>0</v>
      </c>
      <c r="DR184" s="20">
        <f t="shared" si="109"/>
        <v>0</v>
      </c>
      <c r="DS184" s="20">
        <f>IFERROR((IF(AND($F184="Produit Vente",CO184&gt;0),VLOOKUP($C184,'[1]Paramètres Articles'!$B:$H,7,FALSE)*$CO184)*(1-20%)),0)</f>
        <v>0</v>
      </c>
      <c r="DT184" s="20">
        <f>IFERROR((IF(AND($F184="Produit Vente",DR184&gt;0),VLOOKUP($C184,'[1]Paramètres Articles'!$B:$H,6,FALSE)*$DR184)*(1-15%)),0)</f>
        <v>0</v>
      </c>
    </row>
    <row r="185" spans="2:124" ht="12.95" hidden="1" customHeight="1" outlineLevel="1">
      <c r="B185" s="1">
        <f>IF(C185="",0,COUNTIFS($B$22:B184,"&gt;"&amp;0)+1)</f>
        <v>78</v>
      </c>
      <c r="C185" s="85">
        <v>3020720</v>
      </c>
      <c r="D185" s="86" t="str">
        <f>IFERROR(IF($C185="","",VLOOKUP($C185,'[1]Paramètres Articles'!$B:$G,2,FALSE)),"Non Trouvé")</f>
        <v>Testeur - Crème de Jour - Régénérant Intensif - 40ml - 15 % comprise</v>
      </c>
      <c r="E185" s="87">
        <f>IFERROR(IF($C185="","",_xlfn.XLOOKUP(REGENERANTS!$C185,'[1]New Base PA'!$F:$F,'[1]New Base PA'!$D:$D,"Not Found",0)),"Non Trouvé")</f>
        <v>4020829103207</v>
      </c>
      <c r="F185" s="88" t="s">
        <v>96</v>
      </c>
      <c r="H185" s="101">
        <v>1</v>
      </c>
      <c r="J185" s="90">
        <f>IFERROR(IF($C185="","",VLOOKUP($C185,'[1]New Base PA'!$F:$J,5,FALSE)),"Non Trouvé")</f>
        <v>12.59</v>
      </c>
      <c r="K185" s="131">
        <f t="shared" si="104"/>
        <v>12.59</v>
      </c>
      <c r="L185" s="132"/>
      <c r="M185" s="90">
        <f>IFERROR(IF(AND($F185="Produit Vente",H185&gt;0),VLOOKUP($C185,'[1]Paramètres Articles'!$B:$G,6,FALSE),0),"Non Trouvé")</f>
        <v>0</v>
      </c>
      <c r="N185" s="90">
        <f t="shared" si="105"/>
        <v>0</v>
      </c>
      <c r="P185" s="92"/>
      <c r="R185" s="90">
        <f t="shared" si="106"/>
        <v>0</v>
      </c>
      <c r="S185" s="91"/>
      <c r="T185" s="90" t="str">
        <f>IFERROR(IF($C185="","",VLOOKUP($C185,'[1]Paramètres Articles'!$B:$H,7,FALSE)),"Non Trouvé")</f>
        <v>Non Trouvé</v>
      </c>
      <c r="U185" s="93"/>
      <c r="V185" s="90" t="str">
        <f t="shared" si="110"/>
        <v/>
      </c>
      <c r="W185" s="91"/>
      <c r="X185" s="90" t="str">
        <f t="shared" si="111"/>
        <v/>
      </c>
      <c r="Y185" s="91"/>
      <c r="Z185" s="90" t="str">
        <f t="shared" si="107"/>
        <v>Non Trouvé</v>
      </c>
      <c r="AB185" s="94">
        <f>AB184</f>
        <v>0</v>
      </c>
      <c r="AC185" s="94">
        <f>AC184</f>
        <v>0.17</v>
      </c>
      <c r="AD185" s="90">
        <f t="shared" si="112"/>
        <v>0</v>
      </c>
      <c r="AG185" s="94">
        <f>AG184</f>
        <v>0</v>
      </c>
      <c r="AH185" s="94">
        <f>AH184</f>
        <v>0.13</v>
      </c>
      <c r="AI185" s="90">
        <f t="shared" si="113"/>
        <v>0</v>
      </c>
      <c r="AL185" s="94">
        <f>AL184</f>
        <v>0</v>
      </c>
      <c r="AM185" s="94">
        <f>AM184</f>
        <v>0.08</v>
      </c>
      <c r="AN185" s="90">
        <f t="shared" si="114"/>
        <v>0</v>
      </c>
      <c r="AQ185" s="94">
        <f>AQ184</f>
        <v>0</v>
      </c>
      <c r="AR185" s="94">
        <f>AR184</f>
        <v>0.05</v>
      </c>
      <c r="AS185" s="90">
        <f t="shared" si="115"/>
        <v>0</v>
      </c>
      <c r="AV185" s="94">
        <f>AV184</f>
        <v>0</v>
      </c>
      <c r="AW185" s="94">
        <f>AW184</f>
        <v>0.32500000000000001</v>
      </c>
      <c r="AX185" s="90">
        <f t="shared" si="116"/>
        <v>0</v>
      </c>
      <c r="BA185" s="94">
        <f>BA184</f>
        <v>0</v>
      </c>
      <c r="BB185" s="94">
        <f>BB184</f>
        <v>0.29499999999999998</v>
      </c>
      <c r="BC185" s="90">
        <f t="shared" si="117"/>
        <v>0</v>
      </c>
      <c r="BF185" s="94">
        <f>BF184</f>
        <v>0</v>
      </c>
      <c r="BG185" s="94">
        <f>BG184</f>
        <v>0.27500000000000002</v>
      </c>
      <c r="BH185" s="90">
        <f t="shared" si="118"/>
        <v>0</v>
      </c>
      <c r="BK185" s="94">
        <f>BK184</f>
        <v>0</v>
      </c>
      <c r="BL185" s="94">
        <f>BL184</f>
        <v>0.245</v>
      </c>
      <c r="BM185" s="90">
        <f t="shared" si="119"/>
        <v>0</v>
      </c>
      <c r="BP185" s="94">
        <f>BP184</f>
        <v>0</v>
      </c>
      <c r="BQ185" s="94">
        <f>BQ184</f>
        <v>0.22500000000000001</v>
      </c>
      <c r="BR185" s="90">
        <f t="shared" si="120"/>
        <v>0</v>
      </c>
      <c r="BU185" s="94">
        <f>BU184</f>
        <v>0</v>
      </c>
      <c r="BV185" s="94">
        <f>BV184</f>
        <v>0.17499999999999999</v>
      </c>
      <c r="BW185" s="90">
        <f t="shared" si="121"/>
        <v>0</v>
      </c>
      <c r="BZ185" s="94">
        <f>BZ184</f>
        <v>0</v>
      </c>
      <c r="CA185" s="94">
        <f>CA184</f>
        <v>0.15</v>
      </c>
      <c r="CB185" s="90">
        <f t="shared" si="122"/>
        <v>0</v>
      </c>
      <c r="CE185" s="95"/>
      <c r="CF185" s="133"/>
      <c r="CG185" s="96"/>
      <c r="CH185" s="96"/>
      <c r="CI185" s="98"/>
      <c r="CK185" s="99">
        <f>IFERROR(IF(F185='[1]Paramètres Généraux'!$K$12,ROUNDUP((REGENERANTS!H185*REGENERANTS!$CF$166)*'[1]Paramètres Généraux'!$M$12,-1),REGENERANTS!H185*REGENERANTS!$CF$166),"nd")</f>
        <v>0</v>
      </c>
      <c r="CN185" s="100"/>
      <c r="CO185" s="101"/>
      <c r="CP185" s="101"/>
      <c r="CQ185" s="101"/>
      <c r="CR185" s="101"/>
      <c r="CS185" s="171"/>
      <c r="CT185" s="172"/>
      <c r="CU185" s="101"/>
      <c r="CV185" s="171"/>
      <c r="CW185" s="106"/>
      <c r="CX185" s="107"/>
      <c r="CY185" s="106"/>
      <c r="CZ185" s="104"/>
      <c r="DA185" s="107"/>
      <c r="DB185" s="106"/>
      <c r="DC185" s="104"/>
      <c r="DD185" s="107"/>
      <c r="DE185" s="106"/>
      <c r="DF185" s="104"/>
      <c r="DG185" s="104"/>
      <c r="DH185" s="104"/>
      <c r="DI185" s="104"/>
      <c r="DJ185" s="104"/>
      <c r="DK185" s="104"/>
      <c r="DL185" s="104"/>
      <c r="DM185" s="104"/>
      <c r="DN185" s="104"/>
      <c r="DO185" s="107"/>
      <c r="DP185" s="106"/>
      <c r="DQ185" s="20">
        <f t="shared" si="108"/>
        <v>0</v>
      </c>
      <c r="DR185" s="20">
        <f t="shared" si="109"/>
        <v>0</v>
      </c>
      <c r="DS185" s="20">
        <f>IFERROR((IF(AND($F185="Produit Vente",CO185&gt;0),VLOOKUP($C185,'[1]Paramètres Articles'!$B:$H,7,FALSE)*$CO185)*(1-20%)),0)</f>
        <v>0</v>
      </c>
      <c r="DT185" s="20">
        <f>IFERROR((IF(AND($F185="Produit Vente",DR185&gt;0),VLOOKUP($C185,'[1]Paramètres Articles'!$B:$H,6,FALSE)*$DR185)*(1-15%)),0)</f>
        <v>0</v>
      </c>
    </row>
    <row r="186" spans="2:124" ht="12.95" hidden="1" customHeight="1" outlineLevel="1">
      <c r="B186" s="1">
        <f>IF(C186="",0,COUNTIFS($B$22:B185,"&gt;"&amp;0)+1)</f>
        <v>79</v>
      </c>
      <c r="C186" s="85">
        <v>3020718</v>
      </c>
      <c r="D186" s="86" t="str">
        <f>IFERROR(IF($C186="","",VLOOKUP($C186,'[1]Paramètres Articles'!$B:$G,2,FALSE)),"Non Trouvé")</f>
        <v>Testeur - Sérum de Nuit - Régénérant Intensif 30ml - 15% comprise</v>
      </c>
      <c r="E186" s="87">
        <f>IFERROR(IF($C186="","",_xlfn.XLOOKUP(REGENERANTS!$C186,'[1]New Base PA'!$F:$F,'[1]New Base PA'!$D:$D,"Not Found",0)),"Non Trouvé")</f>
        <v>4020829101142</v>
      </c>
      <c r="F186" s="88" t="s">
        <v>96</v>
      </c>
      <c r="H186" s="101">
        <v>1</v>
      </c>
      <c r="J186" s="90">
        <f>IFERROR(IF($C186="","",VLOOKUP($C186,'[1]New Base PA'!$F:$J,5,FALSE)),"Non Trouvé")</f>
        <v>13.39</v>
      </c>
      <c r="K186" s="131">
        <f t="shared" si="104"/>
        <v>13.39</v>
      </c>
      <c r="L186" s="132"/>
      <c r="M186" s="90">
        <f>IFERROR(IF(AND($F186="Produit Vente",H186&gt;0),VLOOKUP($C186,'[1]Paramètres Articles'!$B:$G,6,FALSE),0),"Non Trouvé")</f>
        <v>0</v>
      </c>
      <c r="N186" s="90">
        <f t="shared" si="105"/>
        <v>0</v>
      </c>
      <c r="P186" s="92"/>
      <c r="R186" s="90">
        <f t="shared" si="106"/>
        <v>0</v>
      </c>
      <c r="S186" s="91"/>
      <c r="T186" s="90" t="str">
        <f>IFERROR(IF($C186="","",VLOOKUP($C186,'[1]Paramètres Articles'!$B:$H,7,FALSE)),"Non Trouvé")</f>
        <v>Non Trouvé</v>
      </c>
      <c r="U186" s="93"/>
      <c r="V186" s="90" t="str">
        <f t="shared" si="110"/>
        <v/>
      </c>
      <c r="W186" s="91"/>
      <c r="X186" s="90" t="str">
        <f t="shared" si="111"/>
        <v/>
      </c>
      <c r="Y186" s="91"/>
      <c r="Z186" s="90" t="str">
        <f t="shared" si="107"/>
        <v>Non Trouvé</v>
      </c>
      <c r="AB186" s="94">
        <f>AB184</f>
        <v>0</v>
      </c>
      <c r="AC186" s="94">
        <f>AC184</f>
        <v>0.17</v>
      </c>
      <c r="AD186" s="90">
        <f t="shared" si="112"/>
        <v>0</v>
      </c>
      <c r="AG186" s="94">
        <f>AG184</f>
        <v>0</v>
      </c>
      <c r="AH186" s="94">
        <f>AH184</f>
        <v>0.13</v>
      </c>
      <c r="AI186" s="90">
        <f t="shared" si="113"/>
        <v>0</v>
      </c>
      <c r="AL186" s="94">
        <f>AL184</f>
        <v>0</v>
      </c>
      <c r="AM186" s="94">
        <f>AM184</f>
        <v>0.08</v>
      </c>
      <c r="AN186" s="90">
        <f t="shared" si="114"/>
        <v>0</v>
      </c>
      <c r="AQ186" s="94">
        <f>AQ184</f>
        <v>0</v>
      </c>
      <c r="AR186" s="94">
        <f>AR184</f>
        <v>0.05</v>
      </c>
      <c r="AS186" s="90">
        <f t="shared" si="115"/>
        <v>0</v>
      </c>
      <c r="AV186" s="94">
        <f>AV184</f>
        <v>0</v>
      </c>
      <c r="AW186" s="94">
        <f>AW184</f>
        <v>0.32500000000000001</v>
      </c>
      <c r="AX186" s="90">
        <f t="shared" si="116"/>
        <v>0</v>
      </c>
      <c r="BA186" s="94">
        <f>BA184</f>
        <v>0</v>
      </c>
      <c r="BB186" s="94">
        <f>BB184</f>
        <v>0.29499999999999998</v>
      </c>
      <c r="BC186" s="90">
        <f t="shared" si="117"/>
        <v>0</v>
      </c>
      <c r="BF186" s="94">
        <f>BF184</f>
        <v>0</v>
      </c>
      <c r="BG186" s="94">
        <f>BG184</f>
        <v>0.27500000000000002</v>
      </c>
      <c r="BH186" s="90">
        <f t="shared" si="118"/>
        <v>0</v>
      </c>
      <c r="BK186" s="94">
        <f>BK184</f>
        <v>0</v>
      </c>
      <c r="BL186" s="94">
        <f>BL184</f>
        <v>0.245</v>
      </c>
      <c r="BM186" s="90">
        <f t="shared" si="119"/>
        <v>0</v>
      </c>
      <c r="BP186" s="94">
        <f>BP184</f>
        <v>0</v>
      </c>
      <c r="BQ186" s="94">
        <f>BQ184</f>
        <v>0.22500000000000001</v>
      </c>
      <c r="BR186" s="90">
        <f t="shared" si="120"/>
        <v>0</v>
      </c>
      <c r="BU186" s="94">
        <f>BU184</f>
        <v>0</v>
      </c>
      <c r="BV186" s="94">
        <f>BV184</f>
        <v>0.17499999999999999</v>
      </c>
      <c r="BW186" s="90">
        <f t="shared" si="121"/>
        <v>0</v>
      </c>
      <c r="BZ186" s="94">
        <f>BZ184</f>
        <v>0</v>
      </c>
      <c r="CA186" s="94">
        <f>CA184</f>
        <v>0.15</v>
      </c>
      <c r="CB186" s="90">
        <f t="shared" si="122"/>
        <v>0</v>
      </c>
      <c r="CE186" s="95"/>
      <c r="CF186" s="96"/>
      <c r="CG186" s="128" t="s">
        <v>7</v>
      </c>
      <c r="CH186" s="96"/>
      <c r="CI186" s="98"/>
      <c r="CK186" s="99">
        <f>IFERROR(IF(F186='[1]Paramètres Généraux'!$K$12,ROUNDUP((REGENERANTS!H186*REGENERANTS!$CF$166)*'[1]Paramètres Généraux'!$M$12,-1),REGENERANTS!H186*REGENERANTS!$CF$166),"nd")</f>
        <v>0</v>
      </c>
      <c r="CN186" s="100"/>
      <c r="CO186" s="101"/>
      <c r="CP186" s="101"/>
      <c r="CQ186" s="101"/>
      <c r="CR186" s="101"/>
      <c r="CS186" s="171"/>
      <c r="CT186" s="172"/>
      <c r="CU186" s="101"/>
      <c r="CV186" s="171"/>
      <c r="CW186" s="106"/>
      <c r="CX186" s="107"/>
      <c r="CY186" s="106"/>
      <c r="CZ186" s="104"/>
      <c r="DA186" s="107"/>
      <c r="DB186" s="106"/>
      <c r="DC186" s="104"/>
      <c r="DD186" s="107"/>
      <c r="DE186" s="106"/>
      <c r="DF186" s="104"/>
      <c r="DG186" s="104"/>
      <c r="DH186" s="104"/>
      <c r="DI186" s="104"/>
      <c r="DJ186" s="104"/>
      <c r="DK186" s="104"/>
      <c r="DL186" s="104"/>
      <c r="DM186" s="104"/>
      <c r="DN186" s="104"/>
      <c r="DO186" s="107"/>
      <c r="DP186" s="106"/>
      <c r="DQ186" s="20">
        <f t="shared" si="108"/>
        <v>0</v>
      </c>
      <c r="DR186" s="20">
        <f t="shared" si="109"/>
        <v>0</v>
      </c>
      <c r="DS186" s="20">
        <f>IFERROR((IF(AND($F186="Produit Vente",CO186&gt;0),VLOOKUP($C186,'[1]Paramètres Articles'!$B:$H,7,FALSE)*$CO186)*(1-20%)),0)</f>
        <v>0</v>
      </c>
      <c r="DT186" s="20">
        <f>IFERROR((IF(AND($F186="Produit Vente",DR186&gt;0),VLOOKUP($C186,'[1]Paramètres Articles'!$B:$H,6,FALSE)*$DR186)*(1-15%)),0)</f>
        <v>0</v>
      </c>
    </row>
    <row r="187" spans="2:124" ht="12.95" hidden="1" customHeight="1" outlineLevel="1">
      <c r="B187" s="1">
        <f>IF(C187="",0,COUNTIFS($B$22:B186,"&gt;"&amp;0)+1)</f>
        <v>80</v>
      </c>
      <c r="C187" s="85" t="s">
        <v>112</v>
      </c>
      <c r="D187" s="86" t="str">
        <f>IFERROR(IF($C187="","",VLOOKUP($C187,'[1]Paramètres Articles'!$B:$G,2,FALSE)),"Non Trouvé")</f>
        <v>Non Trouvé</v>
      </c>
      <c r="E187" s="87" t="str">
        <f>IFERROR(IF($C187="","",_xlfn.XLOOKUP(REGENERANTS!$C187,'[1]New Base PA'!$F:$F,'[1]New Base PA'!$D:$D,"Not Found",0)),"Non Trouvé")</f>
        <v>Not Found</v>
      </c>
      <c r="F187" s="88" t="s">
        <v>100</v>
      </c>
      <c r="H187" s="101">
        <v>0</v>
      </c>
      <c r="J187" s="90" t="str">
        <f>IFERROR(IF($C187="","",VLOOKUP($C187,'[1]New Base PA'!$F:$J,5,FALSE)),"Non Trouvé")</f>
        <v>Non Trouvé</v>
      </c>
      <c r="K187" s="131" t="str">
        <f t="shared" si="104"/>
        <v>Non Trouvé</v>
      </c>
      <c r="L187" s="132"/>
      <c r="M187" s="90">
        <f>IFERROR(IF(AND($F187="Produit Vente",H187&gt;0),VLOOKUP($C187,'[1]Paramètres Articles'!$B:$G,6,FALSE),0),"Non Trouvé")</f>
        <v>0</v>
      </c>
      <c r="N187" s="90">
        <f t="shared" si="105"/>
        <v>0</v>
      </c>
      <c r="P187" s="92"/>
      <c r="R187" s="90">
        <f t="shared" si="106"/>
        <v>0</v>
      </c>
      <c r="S187" s="91"/>
      <c r="T187" s="90" t="str">
        <f>IFERROR(IF($C187="","",VLOOKUP($C187,'[1]Paramètres Articles'!$B:$H,7,FALSE)),"Non Trouvé")</f>
        <v>Non Trouvé</v>
      </c>
      <c r="U187" s="93"/>
      <c r="V187" s="90" t="str">
        <f t="shared" si="110"/>
        <v/>
      </c>
      <c r="W187" s="91"/>
      <c r="X187" s="90" t="str">
        <f t="shared" si="111"/>
        <v/>
      </c>
      <c r="Y187" s="91"/>
      <c r="Z187" s="90" t="str">
        <f t="shared" si="107"/>
        <v>Non Trouvé</v>
      </c>
      <c r="AB187" s="94">
        <f>AB186</f>
        <v>0</v>
      </c>
      <c r="AC187" s="94">
        <f>AC186</f>
        <v>0.17</v>
      </c>
      <c r="AD187" s="90">
        <f t="shared" si="112"/>
        <v>0</v>
      </c>
      <c r="AG187" s="94">
        <f>AG186</f>
        <v>0</v>
      </c>
      <c r="AH187" s="94">
        <f>AH186</f>
        <v>0.13</v>
      </c>
      <c r="AI187" s="90">
        <f t="shared" si="113"/>
        <v>0</v>
      </c>
      <c r="AL187" s="94">
        <f>AL186</f>
        <v>0</v>
      </c>
      <c r="AM187" s="94">
        <f>AM186</f>
        <v>0.08</v>
      </c>
      <c r="AN187" s="90">
        <f t="shared" si="114"/>
        <v>0</v>
      </c>
      <c r="AQ187" s="94">
        <f>AQ186</f>
        <v>0</v>
      </c>
      <c r="AR187" s="94">
        <f>AR186</f>
        <v>0.05</v>
      </c>
      <c r="AS187" s="90">
        <f t="shared" si="115"/>
        <v>0</v>
      </c>
      <c r="AV187" s="94">
        <f>AV186</f>
        <v>0</v>
      </c>
      <c r="AW187" s="94">
        <f>AW186</f>
        <v>0.32500000000000001</v>
      </c>
      <c r="AX187" s="90">
        <f t="shared" si="116"/>
        <v>0</v>
      </c>
      <c r="BA187" s="94">
        <f>BA186</f>
        <v>0</v>
      </c>
      <c r="BB187" s="94">
        <f>BB186</f>
        <v>0.29499999999999998</v>
      </c>
      <c r="BC187" s="90">
        <f t="shared" si="117"/>
        <v>0</v>
      </c>
      <c r="BF187" s="94">
        <f>BF186</f>
        <v>0</v>
      </c>
      <c r="BG187" s="94">
        <f>BG186</f>
        <v>0.27500000000000002</v>
      </c>
      <c r="BH187" s="90">
        <f t="shared" si="118"/>
        <v>0</v>
      </c>
      <c r="BK187" s="94">
        <f>BK186</f>
        <v>0</v>
      </c>
      <c r="BL187" s="94">
        <f>BL186</f>
        <v>0.245</v>
      </c>
      <c r="BM187" s="90">
        <f t="shared" si="119"/>
        <v>0</v>
      </c>
      <c r="BP187" s="94">
        <f>BP186</f>
        <v>0</v>
      </c>
      <c r="BQ187" s="94">
        <f>BQ186</f>
        <v>0.22500000000000001</v>
      </c>
      <c r="BR187" s="90">
        <f t="shared" si="120"/>
        <v>0</v>
      </c>
      <c r="BU187" s="94">
        <f>BU186</f>
        <v>0</v>
      </c>
      <c r="BV187" s="94">
        <f>BV186</f>
        <v>0.17499999999999999</v>
      </c>
      <c r="BW187" s="90">
        <f t="shared" si="121"/>
        <v>0</v>
      </c>
      <c r="BZ187" s="94">
        <f>BZ186</f>
        <v>0</v>
      </c>
      <c r="CA187" s="94">
        <f>CA186</f>
        <v>0.15</v>
      </c>
      <c r="CB187" s="90">
        <f t="shared" si="122"/>
        <v>0</v>
      </c>
      <c r="CE187" s="95"/>
      <c r="CF187" s="96"/>
      <c r="CG187" s="97" t="s">
        <v>0</v>
      </c>
      <c r="CH187" s="133">
        <f>SUMIFS($AV166:$BX166,$AV163:$BX163,CG187)</f>
        <v>0</v>
      </c>
      <c r="CI187" s="98"/>
      <c r="CK187" s="99">
        <f>IFERROR(IF(F187='[1]Paramètres Généraux'!$K$12,ROUNDUP((REGENERANTS!H187*REGENERANTS!$CF$166)*'[1]Paramètres Généraux'!$M$12,-1),REGENERANTS!H187*REGENERANTS!$CF$166),"nd")</f>
        <v>0</v>
      </c>
      <c r="CN187" s="146"/>
      <c r="CO187" s="147"/>
      <c r="CP187" s="147"/>
      <c r="CQ187" s="147"/>
      <c r="CR187" s="147"/>
      <c r="CS187" s="173"/>
      <c r="CT187" s="174"/>
      <c r="CU187" s="147"/>
      <c r="CV187" s="173"/>
      <c r="CW187" s="150"/>
      <c r="CX187" s="149"/>
      <c r="CY187" s="150"/>
      <c r="CZ187" s="136"/>
      <c r="DA187" s="149"/>
      <c r="DB187" s="150"/>
      <c r="DC187" s="136"/>
      <c r="DD187" s="149"/>
      <c r="DE187" s="150"/>
      <c r="DF187" s="136"/>
      <c r="DG187" s="136"/>
      <c r="DH187" s="136"/>
      <c r="DI187" s="136"/>
      <c r="DJ187" s="136"/>
      <c r="DK187" s="136"/>
      <c r="DL187" s="136"/>
      <c r="DM187" s="136"/>
      <c r="DN187" s="136"/>
      <c r="DO187" s="149"/>
      <c r="DP187" s="150"/>
      <c r="DQ187" s="20">
        <f t="shared" si="108"/>
        <v>0</v>
      </c>
      <c r="DR187" s="20">
        <f t="shared" si="109"/>
        <v>0</v>
      </c>
      <c r="DS187" s="20">
        <f>IFERROR((IF(AND($F187="Produit Vente",CO187&gt;0),VLOOKUP($C187,'[1]Paramètres Articles'!$B:$H,7,FALSE)*$CO187)*(1-20%)),0)</f>
        <v>0</v>
      </c>
      <c r="DT187" s="20">
        <f>IFERROR((IF(AND($F187="Produit Vente",DR187&gt;0),VLOOKUP($C187,'[1]Paramètres Articles'!$B:$H,6,FALSE)*$DR187)*(1-15%)),0)</f>
        <v>0</v>
      </c>
    </row>
    <row r="188" spans="2:124" ht="12.95" hidden="1" customHeight="1" outlineLevel="1">
      <c r="B188" s="1">
        <f>IF(C188="",0,COUNTIFS($B$22:B187,"&gt;"&amp;0)+1)</f>
        <v>81</v>
      </c>
      <c r="C188" s="85">
        <v>1010116</v>
      </c>
      <c r="D188" s="86" t="str">
        <f>IFERROR(IF($C188="","",VLOOKUP($C188,'[1]Paramètres Articles'!$B:$G,2,FALSE)),"Non Trouvé")</f>
        <v>Baume Lacté Nettoyant - 75 ml</v>
      </c>
      <c r="E188" s="87">
        <f>IFERROR(IF($C188="","",_xlfn.XLOOKUP(REGENERANTS!$C188,'[1]New Base PA'!$F:$F,'[1]New Base PA'!$D:$D,"Not Found",0)),"Non Trouvé")</f>
        <v>4020829094048</v>
      </c>
      <c r="F188" s="88" t="s">
        <v>93</v>
      </c>
      <c r="H188" s="101">
        <v>25</v>
      </c>
      <c r="J188" s="90">
        <f>IFERROR(IF($C188="","",VLOOKUP($C188,'[1]New Base PA'!$F:$J,5,FALSE)),"Non Trouvé")</f>
        <v>4.8371999999999993</v>
      </c>
      <c r="K188" s="131">
        <f t="shared" si="104"/>
        <v>120.92999999999998</v>
      </c>
      <c r="L188" s="132"/>
      <c r="M188" s="90">
        <f>IFERROR(IF(AND($F188="Produit Vente",H188&gt;0),VLOOKUP($C188,'[1]Paramètres Articles'!$B:$G,6,FALSE),0),"Non Trouvé")</f>
        <v>0</v>
      </c>
      <c r="N188" s="90">
        <f t="shared" si="105"/>
        <v>0</v>
      </c>
      <c r="P188" s="92"/>
      <c r="R188" s="90">
        <f t="shared" si="106"/>
        <v>0</v>
      </c>
      <c r="S188" s="91"/>
      <c r="T188" s="90">
        <f>IFERROR(IF($C188="","",VLOOKUP($C188,'[1]Paramètres Articles'!$B:$H,7,FALSE)),"Non Trouvé")</f>
        <v>22.003800000000002</v>
      </c>
      <c r="U188" s="93"/>
      <c r="V188" s="90" t="str">
        <f t="shared" si="110"/>
        <v/>
      </c>
      <c r="W188" s="91"/>
      <c r="X188" s="90" t="str">
        <f t="shared" si="111"/>
        <v/>
      </c>
      <c r="Y188" s="91"/>
      <c r="Z188" s="90">
        <f t="shared" si="107"/>
        <v>550.09500000000003</v>
      </c>
      <c r="AB188" s="94">
        <f>AB186</f>
        <v>0</v>
      </c>
      <c r="AC188" s="94">
        <f>AC186</f>
        <v>0.17</v>
      </c>
      <c r="AD188" s="90">
        <f>IFERROR(IF($C188="","",IF($P$15="Cascade",$R188*(1-AC188)*AB188,IF($P$15="Additionnelle",($N188-($N188*($P188+AC188)))*AB188))),"Non Trouvé")</f>
        <v>0</v>
      </c>
      <c r="AG188" s="94">
        <f>AG186</f>
        <v>0</v>
      </c>
      <c r="AH188" s="94">
        <f>AH186</f>
        <v>0.13</v>
      </c>
      <c r="AI188" s="90">
        <f>IFERROR(IF($C188="","",IF($P$15="Cascade",$R188*(1-AH188)*AG188,IF($P$15="Additionnelle",($N188-($N188*($P188+AH188)))*AG188))),"Non Trouvé")</f>
        <v>0</v>
      </c>
      <c r="AL188" s="94">
        <f>AL186</f>
        <v>0</v>
      </c>
      <c r="AM188" s="94">
        <f>AM186</f>
        <v>0.08</v>
      </c>
      <c r="AN188" s="90">
        <f>IFERROR(IF($C188="","",IF($P$15="Cascade",$R188*(1-AM188)*AL188,IF($P$15="Additionnelle",($N188-($N188*($P188+AM188)))*AL188))),"Non Trouvé")</f>
        <v>0</v>
      </c>
      <c r="AQ188" s="94">
        <f>AQ186</f>
        <v>0</v>
      </c>
      <c r="AR188" s="94">
        <f>AR186</f>
        <v>0.05</v>
      </c>
      <c r="AS188" s="90">
        <f>IFERROR(IF($C188="","",IF($P$15="Cascade",$R188*(1-AR188)*AQ188,IF($P$15="Additionnelle",($N188-($N188*($P188+AR188)))*AQ188))),"Non Trouvé")</f>
        <v>0</v>
      </c>
      <c r="AV188" s="94">
        <f>AV186</f>
        <v>0</v>
      </c>
      <c r="AW188" s="94">
        <f>AW186</f>
        <v>0.32500000000000001</v>
      </c>
      <c r="AX188" s="90">
        <f>IFERROR(IF($C188="","",IF($P$15="Cascade",$R188*(1-AW188)*AV188,IF($P$15="Additionnelle",($N188-($N188*($P188+AW188)))*AV188))),"Non Trouvé")</f>
        <v>0</v>
      </c>
      <c r="BA188" s="94">
        <f>BA186</f>
        <v>0</v>
      </c>
      <c r="BB188" s="94">
        <f>BB186</f>
        <v>0.29499999999999998</v>
      </c>
      <c r="BC188" s="90">
        <f>IFERROR(IF($C188="","",IF($P$15="Cascade",$R188*(1-BB188)*BA188,IF($P$15="Additionnelle",($N188-($N188*($P188+BB188)))*BA188))),"Non Trouvé")</f>
        <v>0</v>
      </c>
      <c r="BF188" s="94">
        <f>BF186</f>
        <v>0</v>
      </c>
      <c r="BG188" s="94">
        <f>BG186</f>
        <v>0.27500000000000002</v>
      </c>
      <c r="BH188" s="90">
        <f>IFERROR(IF($C188="","",IF($P$15="Cascade",$R188*(1-BG188)*BF188,IF($P$15="Additionnelle",($N188-($N188*($P188+BG188)))*BF188))),"Non Trouvé")</f>
        <v>0</v>
      </c>
      <c r="BK188" s="94">
        <f>BK186</f>
        <v>0</v>
      </c>
      <c r="BL188" s="94">
        <f>BL186</f>
        <v>0.245</v>
      </c>
      <c r="BM188" s="90">
        <f>IFERROR(IF($C188="","",IF($P$15="Cascade",$R188*(1-BL188)*BK188,IF($P$15="Additionnelle",($N188-($N188*($P188+BL188)))*BK188))),"Non Trouvé")</f>
        <v>0</v>
      </c>
      <c r="BP188" s="94">
        <f>BP186</f>
        <v>0</v>
      </c>
      <c r="BQ188" s="94">
        <f>BQ186</f>
        <v>0.22500000000000001</v>
      </c>
      <c r="BR188" s="90">
        <f>IFERROR(IF($C188="","",IF($P$15="Cascade",$R188*(1-BQ188)*BP188,IF($P$15="Additionnelle",($N188-($N188*($P188+BQ188)))*BP188))),"Non Trouvé")</f>
        <v>0</v>
      </c>
      <c r="BU188" s="94">
        <f>BU186</f>
        <v>0</v>
      </c>
      <c r="BV188" s="94">
        <f>BV186</f>
        <v>0.17499999999999999</v>
      </c>
      <c r="BW188" s="90">
        <f>IFERROR(IF($C188="","",IF($P$15="Cascade",$R188*(1-BV188)*BU188,IF($P$15="Additionnelle",($N188-($N188*($P188+BV188)))*BU188))),"Non Trouvé")</f>
        <v>0</v>
      </c>
      <c r="BZ188" s="94">
        <f>BZ186</f>
        <v>0</v>
      </c>
      <c r="CA188" s="94">
        <f>CA186</f>
        <v>0.15</v>
      </c>
      <c r="CB188" s="90">
        <f>IFERROR(IF($C188="","",IF($P$15="Cascade",$R188*(1-CA188)*BZ188,IF($P$15="Additionnelle",($N188-($N188*($P188+CA188)))*BZ188))),"Non Trouvé")</f>
        <v>0</v>
      </c>
      <c r="CE188" s="95"/>
      <c r="CF188" s="96"/>
      <c r="CG188" s="97" t="s">
        <v>1</v>
      </c>
      <c r="CH188" s="134">
        <f>SUMIFS($AV166:$BX166,$AV163:$BX163,CG188)</f>
        <v>0</v>
      </c>
      <c r="CI188" s="98"/>
      <c r="CK188" s="99">
        <f>IFERROR(IF(F188='[1]Paramètres Généraux'!$K$12,ROUNDUP((REGENERANTS!H188*REGENERANTS!$CF$166)*'[1]Paramètres Généraux'!$M$12,-1),REGENERANTS!H188*REGENERANTS!$CF$166),"nd")</f>
        <v>0</v>
      </c>
      <c r="CN188" s="146"/>
      <c r="CO188" s="147"/>
      <c r="CP188" s="147"/>
      <c r="CQ188" s="147"/>
      <c r="CR188" s="147"/>
      <c r="CS188" s="173"/>
      <c r="CT188" s="174"/>
      <c r="CU188" s="147"/>
      <c r="CV188" s="173"/>
      <c r="CW188" s="150"/>
      <c r="CX188" s="149"/>
      <c r="CY188" s="150"/>
      <c r="CZ188" s="136"/>
      <c r="DA188" s="149"/>
      <c r="DB188" s="150"/>
      <c r="DC188" s="136"/>
      <c r="DD188" s="149"/>
      <c r="DE188" s="150"/>
      <c r="DF188" s="136"/>
      <c r="DG188" s="136"/>
      <c r="DH188" s="136"/>
      <c r="DI188" s="136"/>
      <c r="DJ188" s="136"/>
      <c r="DK188" s="136"/>
      <c r="DL188" s="136"/>
      <c r="DM188" s="136"/>
      <c r="DN188" s="136"/>
      <c r="DO188" s="149"/>
      <c r="DP188" s="150"/>
      <c r="DQ188" s="20">
        <f t="shared" si="108"/>
        <v>0</v>
      </c>
      <c r="DR188" s="20">
        <f t="shared" si="109"/>
        <v>0</v>
      </c>
      <c r="DS188" s="20">
        <f>IFERROR((IF(AND($F188="Produit Vente",CO188&gt;0),VLOOKUP($C188,'[1]Paramètres Articles'!$B:$H,7,FALSE)*$CO188)*(1-20%)),0)</f>
        <v>0</v>
      </c>
      <c r="DT188" s="20">
        <f>IFERROR((IF(AND($F188="Produit Vente",DR188&gt;0),VLOOKUP($C188,'[1]Paramètres Articles'!$B:$H,6,FALSE)*$DR188)*(1-15%)),0)</f>
        <v>0</v>
      </c>
    </row>
    <row r="189" spans="2:124" ht="12.95" hidden="1" customHeight="1" outlineLevel="1">
      <c r="B189" s="1">
        <f>IF(C189="",0,COUNTIFS($B$22:B188,"&gt;"&amp;0)+1)</f>
        <v>0</v>
      </c>
      <c r="C189" s="85"/>
      <c r="D189" s="86" t="str">
        <f>IFERROR(IF($C189="","",VLOOKUP($C189,'[1]Paramètres Articles'!$B:$G,2,FALSE)),"Non Trouvé")</f>
        <v/>
      </c>
      <c r="E189" s="87" t="str">
        <f>IFERROR(IF($C189="","",_xlfn.XLOOKUP(REGENERANTS!$C189,'[1]New Base PA'!$F:$F,'[1]New Base PA'!$D:$D,"Not Found",0)),"Non Trouvé")</f>
        <v/>
      </c>
      <c r="F189" s="88"/>
      <c r="H189" s="101"/>
      <c r="J189" s="90" t="str">
        <f>IFERROR(IF($C189="","",VLOOKUP($C189,'[1]New Base PA'!$F:$J,5,FALSE)),"Non Trouvé")</f>
        <v/>
      </c>
      <c r="K189" s="131" t="str">
        <f t="shared" si="104"/>
        <v/>
      </c>
      <c r="L189" s="132"/>
      <c r="M189" s="90">
        <f>IFERROR(IF(AND($F189="Produit Vente",H189&gt;0),VLOOKUP($C189,'[1]Paramètres Articles'!$B:$G,6,FALSE),0),"Non Trouvé")</f>
        <v>0</v>
      </c>
      <c r="N189" s="90" t="str">
        <f t="shared" si="105"/>
        <v/>
      </c>
      <c r="P189" s="92"/>
      <c r="R189" s="90" t="str">
        <f t="shared" si="106"/>
        <v/>
      </c>
      <c r="S189" s="91"/>
      <c r="T189" s="90" t="str">
        <f>IFERROR(IF($C189="","",VLOOKUP($C189,'[1]Paramètres Articles'!$B:$H,7,FALSE)),"Non Trouvé")</f>
        <v/>
      </c>
      <c r="U189" s="93"/>
      <c r="V189" s="90" t="str">
        <f t="shared" si="110"/>
        <v/>
      </c>
      <c r="W189" s="91"/>
      <c r="X189" s="90" t="str">
        <f t="shared" si="111"/>
        <v/>
      </c>
      <c r="Y189" s="91"/>
      <c r="Z189" s="90">
        <f t="shared" si="107"/>
        <v>0</v>
      </c>
      <c r="AB189" s="94">
        <f>AB188</f>
        <v>0</v>
      </c>
      <c r="AC189" s="94">
        <f>AC188</f>
        <v>0.17</v>
      </c>
      <c r="AD189" s="90" t="str">
        <f t="shared" ref="AD189:AD207" si="123">IFERROR(IF($C189="","",IF($P$15="Cascade",$R189*(1-AC189)*AB189,IF($P$15="Additionnelle",($N189-($N189*($P189+AC189)))*AB189))),"Non Trouvé")</f>
        <v/>
      </c>
      <c r="AG189" s="94">
        <f>AG188</f>
        <v>0</v>
      </c>
      <c r="AH189" s="94">
        <f>AH188</f>
        <v>0.13</v>
      </c>
      <c r="AI189" s="90" t="str">
        <f t="shared" ref="AI189:AI207" si="124">IFERROR(IF($C189="","",IF($P$15="Cascade",$R189*(1-AH189)*AG189,IF($P$15="Additionnelle",($N189-($N189*($P189+AH189)))*AG189))),"Non Trouvé")</f>
        <v/>
      </c>
      <c r="AL189" s="94">
        <f>AL188</f>
        <v>0</v>
      </c>
      <c r="AM189" s="94">
        <f>AM188</f>
        <v>0.08</v>
      </c>
      <c r="AN189" s="90" t="str">
        <f t="shared" ref="AN189:AN207" si="125">IFERROR(IF($C189="","",IF($P$15="Cascade",$R189*(1-AM189)*AL189,IF($P$15="Additionnelle",($N189-($N189*($P189+AM189)))*AL189))),"Non Trouvé")</f>
        <v/>
      </c>
      <c r="AQ189" s="94">
        <f>AQ188</f>
        <v>0</v>
      </c>
      <c r="AR189" s="94">
        <f>AR188</f>
        <v>0.05</v>
      </c>
      <c r="AS189" s="90" t="str">
        <f t="shared" ref="AS189:AS207" si="126">IFERROR(IF($C189="","",IF($P$15="Cascade",$R189*(1-AR189)*AQ189,IF($P$15="Additionnelle",($N189-($N189*($P189+AR189)))*AQ189))),"Non Trouvé")</f>
        <v/>
      </c>
      <c r="AV189" s="94">
        <f>AV188</f>
        <v>0</v>
      </c>
      <c r="AW189" s="94">
        <f>AW188</f>
        <v>0.32500000000000001</v>
      </c>
      <c r="AX189" s="90" t="str">
        <f t="shared" ref="AX189:AX207" si="127">IFERROR(IF($C189="","",IF($P$15="Cascade",$R189*(1-AW189)*AV189,IF($P$15="Additionnelle",($N189-($N189*($P189+AW189)))*AV189))),"Non Trouvé")</f>
        <v/>
      </c>
      <c r="BA189" s="94">
        <f>BA188</f>
        <v>0</v>
      </c>
      <c r="BB189" s="94">
        <f>BB188</f>
        <v>0.29499999999999998</v>
      </c>
      <c r="BC189" s="90" t="str">
        <f t="shared" ref="BC189:BC207" si="128">IFERROR(IF($C189="","",IF($P$15="Cascade",$R189*(1-BB189)*BA189,IF($P$15="Additionnelle",($N189-($N189*($P189+BB189)))*BA189))),"Non Trouvé")</f>
        <v/>
      </c>
      <c r="BF189" s="94">
        <f>BF188</f>
        <v>0</v>
      </c>
      <c r="BG189" s="94">
        <f>BG188</f>
        <v>0.27500000000000002</v>
      </c>
      <c r="BH189" s="90" t="str">
        <f t="shared" ref="BH189:BH207" si="129">IFERROR(IF($C189="","",IF($P$15="Cascade",$R189*(1-BG189)*BF189,IF($P$15="Additionnelle",($N189-($N189*($P189+BG189)))*BF189))),"Non Trouvé")</f>
        <v/>
      </c>
      <c r="BK189" s="94">
        <f>BK188</f>
        <v>0</v>
      </c>
      <c r="BL189" s="94">
        <f>BL188</f>
        <v>0.245</v>
      </c>
      <c r="BM189" s="90" t="str">
        <f t="shared" ref="BM189:BM207" si="130">IFERROR(IF($C189="","",IF($P$15="Cascade",$R189*(1-BL189)*BK189,IF($P$15="Additionnelle",($N189-($N189*($P189+BL189)))*BK189))),"Non Trouvé")</f>
        <v/>
      </c>
      <c r="BP189" s="94">
        <f>BP188</f>
        <v>0</v>
      </c>
      <c r="BQ189" s="94">
        <f>BQ188</f>
        <v>0.22500000000000001</v>
      </c>
      <c r="BR189" s="90" t="str">
        <f t="shared" ref="BR189:BR207" si="131">IFERROR(IF($C189="","",IF($P$15="Cascade",$R189*(1-BQ189)*BP189,IF($P$15="Additionnelle",($N189-($N189*($P189+BQ189)))*BP189))),"Non Trouvé")</f>
        <v/>
      </c>
      <c r="BU189" s="94">
        <f>BU188</f>
        <v>0</v>
      </c>
      <c r="BV189" s="94">
        <f>BV188</f>
        <v>0.17499999999999999</v>
      </c>
      <c r="BW189" s="90" t="str">
        <f t="shared" ref="BW189:BW207" si="132">IFERROR(IF($C189="","",IF($P$15="Cascade",$R189*(1-BV189)*BU189,IF($P$15="Additionnelle",($N189-($N189*($P189+BV189)))*BU189))),"Non Trouvé")</f>
        <v/>
      </c>
      <c r="BZ189" s="94">
        <f>BZ188</f>
        <v>0</v>
      </c>
      <c r="CA189" s="94">
        <f>CA188</f>
        <v>0.15</v>
      </c>
      <c r="CB189" s="90" t="str">
        <f t="shared" ref="CB189:CB207" si="133">IFERROR(IF($C189="","",IF($P$15="Cascade",$R189*(1-CA189)*BZ189,IF($P$15="Additionnelle",($N189-($N189*($P189+CA189)))*BZ189))),"Non Trouvé")</f>
        <v/>
      </c>
      <c r="CE189" s="95"/>
      <c r="CF189" s="96"/>
      <c r="CG189" s="97" t="s">
        <v>2</v>
      </c>
      <c r="CH189" s="135" t="str">
        <f>IFERROR((CH188-$K166*CH187)/CH188,"Non Trouvé")</f>
        <v>Non Trouvé</v>
      </c>
      <c r="CI189" s="98"/>
      <c r="CK189" s="99">
        <f>IFERROR(IF(F189='[1]Paramètres Généraux'!$K$12,ROUNDUP((REGENERANTS!H189*REGENERANTS!$CF$166)*'[1]Paramètres Généraux'!$M$12,-1),REGENERANTS!H189*REGENERANTS!$CF$166),"nd")</f>
        <v>0</v>
      </c>
      <c r="CN189" s="146"/>
      <c r="CO189" s="147"/>
      <c r="CP189" s="147"/>
      <c r="CQ189" s="147"/>
      <c r="CR189" s="147"/>
      <c r="CS189" s="173"/>
      <c r="CT189" s="174"/>
      <c r="CU189" s="147"/>
      <c r="CV189" s="173"/>
      <c r="CW189" s="150"/>
      <c r="CX189" s="149"/>
      <c r="CY189" s="150"/>
      <c r="CZ189" s="136"/>
      <c r="DA189" s="149"/>
      <c r="DB189" s="150"/>
      <c r="DC189" s="136"/>
      <c r="DD189" s="149"/>
      <c r="DE189" s="150"/>
      <c r="DF189" s="136"/>
      <c r="DG189" s="136"/>
      <c r="DH189" s="136"/>
      <c r="DI189" s="136"/>
      <c r="DJ189" s="136"/>
      <c r="DK189" s="136"/>
      <c r="DL189" s="136"/>
      <c r="DM189" s="136"/>
      <c r="DN189" s="136"/>
      <c r="DO189" s="149"/>
      <c r="DP189" s="150"/>
      <c r="DQ189" s="20">
        <f t="shared" si="108"/>
        <v>0</v>
      </c>
      <c r="DR189" s="20">
        <f t="shared" si="109"/>
        <v>0</v>
      </c>
      <c r="DS189" s="20">
        <f>IFERROR((IF(AND($F189="Produit Vente",CO189&gt;0),VLOOKUP($C189,'[1]Paramètres Articles'!$B:$H,7,FALSE)*$CO189)*(1-20%)),0)</f>
        <v>0</v>
      </c>
      <c r="DT189" s="20">
        <f>IFERROR((IF(AND($F189="Produit Vente",DR189&gt;0),VLOOKUP($C189,'[1]Paramètres Articles'!$B:$H,6,FALSE)*$DR189)*(1-15%)),0)</f>
        <v>0</v>
      </c>
    </row>
    <row r="190" spans="2:124" ht="12.95" hidden="1" customHeight="1" outlineLevel="1">
      <c r="B190" s="1">
        <f>IF(C190="",0,COUNTIFS($B$22:B189,"&gt;"&amp;0)+1)</f>
        <v>0</v>
      </c>
      <c r="C190" s="85"/>
      <c r="D190" s="86" t="str">
        <f>IFERROR(IF($C190="","",VLOOKUP($C190,'[1]Paramètres Articles'!$B:$G,2,FALSE)),"Non Trouvé")</f>
        <v/>
      </c>
      <c r="E190" s="87" t="str">
        <f>IFERROR(IF($C190="","",_xlfn.XLOOKUP(REGENERANTS!$C190,'[1]New Base PA'!$F:$F,'[1]New Base PA'!$D:$D,"Not Found",0)),"Non Trouvé")</f>
        <v/>
      </c>
      <c r="F190" s="88"/>
      <c r="H190" s="101"/>
      <c r="J190" s="90" t="str">
        <f>IFERROR(IF($C190="","",VLOOKUP($C190,'[1]New Base PA'!$F:$J,5,FALSE)),"Non Trouvé")</f>
        <v/>
      </c>
      <c r="K190" s="131" t="str">
        <f t="shared" si="104"/>
        <v/>
      </c>
      <c r="L190" s="132"/>
      <c r="M190" s="90">
        <f>IFERROR(IF(AND($F190="Produit Vente",H190&gt;0),VLOOKUP($C190,'[1]Paramètres Articles'!$B:$G,6,FALSE),0),"Non Trouvé")</f>
        <v>0</v>
      </c>
      <c r="N190" s="90" t="str">
        <f t="shared" si="105"/>
        <v/>
      </c>
      <c r="P190" s="92"/>
      <c r="R190" s="90" t="str">
        <f t="shared" si="106"/>
        <v/>
      </c>
      <c r="S190" s="91"/>
      <c r="T190" s="90" t="str">
        <f>IFERROR(IF($C190="","",VLOOKUP($C190,'[1]Paramètres Articles'!$B:$H,7,FALSE)),"Non Trouvé")</f>
        <v/>
      </c>
      <c r="U190" s="93"/>
      <c r="V190" s="90" t="str">
        <f t="shared" si="110"/>
        <v/>
      </c>
      <c r="W190" s="91"/>
      <c r="X190" s="90" t="str">
        <f t="shared" si="111"/>
        <v/>
      </c>
      <c r="Y190" s="91"/>
      <c r="Z190" s="90">
        <f t="shared" si="107"/>
        <v>0</v>
      </c>
      <c r="AB190" s="94">
        <f>AB188</f>
        <v>0</v>
      </c>
      <c r="AC190" s="94">
        <f>AC188</f>
        <v>0.17</v>
      </c>
      <c r="AD190" s="90" t="str">
        <f t="shared" si="123"/>
        <v/>
      </c>
      <c r="AG190" s="94">
        <f>AG188</f>
        <v>0</v>
      </c>
      <c r="AH190" s="94">
        <f>AH188</f>
        <v>0.13</v>
      </c>
      <c r="AI190" s="90" t="str">
        <f t="shared" si="124"/>
        <v/>
      </c>
      <c r="AL190" s="94">
        <f>AL188</f>
        <v>0</v>
      </c>
      <c r="AM190" s="94">
        <f>AM188</f>
        <v>0.08</v>
      </c>
      <c r="AN190" s="90" t="str">
        <f t="shared" si="125"/>
        <v/>
      </c>
      <c r="AQ190" s="94">
        <f>AQ188</f>
        <v>0</v>
      </c>
      <c r="AR190" s="94">
        <f>AR188</f>
        <v>0.05</v>
      </c>
      <c r="AS190" s="90" t="str">
        <f t="shared" si="126"/>
        <v/>
      </c>
      <c r="AV190" s="94">
        <f>AV188</f>
        <v>0</v>
      </c>
      <c r="AW190" s="94">
        <f>AW188</f>
        <v>0.32500000000000001</v>
      </c>
      <c r="AX190" s="90" t="str">
        <f t="shared" si="127"/>
        <v/>
      </c>
      <c r="BA190" s="94">
        <f>BA188</f>
        <v>0</v>
      </c>
      <c r="BB190" s="94">
        <f>BB188</f>
        <v>0.29499999999999998</v>
      </c>
      <c r="BC190" s="90" t="str">
        <f t="shared" si="128"/>
        <v/>
      </c>
      <c r="BF190" s="94">
        <f>BF188</f>
        <v>0</v>
      </c>
      <c r="BG190" s="94">
        <f>BG188</f>
        <v>0.27500000000000002</v>
      </c>
      <c r="BH190" s="90" t="str">
        <f t="shared" si="129"/>
        <v/>
      </c>
      <c r="BK190" s="94">
        <f>BK188</f>
        <v>0</v>
      </c>
      <c r="BL190" s="94">
        <f>BL188</f>
        <v>0.245</v>
      </c>
      <c r="BM190" s="90" t="str">
        <f t="shared" si="130"/>
        <v/>
      </c>
      <c r="BP190" s="94">
        <f>BP188</f>
        <v>0</v>
      </c>
      <c r="BQ190" s="94">
        <f>BQ188</f>
        <v>0.22500000000000001</v>
      </c>
      <c r="BR190" s="90" t="str">
        <f t="shared" si="131"/>
        <v/>
      </c>
      <c r="BU190" s="94">
        <f>BU188</f>
        <v>0</v>
      </c>
      <c r="BV190" s="94">
        <f>BV188</f>
        <v>0.17499999999999999</v>
      </c>
      <c r="BW190" s="90" t="str">
        <f t="shared" si="132"/>
        <v/>
      </c>
      <c r="BZ190" s="94">
        <f>BZ188</f>
        <v>0</v>
      </c>
      <c r="CA190" s="94">
        <f>CA188</f>
        <v>0.15</v>
      </c>
      <c r="CB190" s="90" t="str">
        <f t="shared" si="133"/>
        <v/>
      </c>
      <c r="CE190" s="95"/>
      <c r="CF190" s="96"/>
      <c r="CG190" s="97" t="s">
        <v>103</v>
      </c>
      <c r="CH190" s="134">
        <f>IFERROR(CH188*CH189,0)</f>
        <v>0</v>
      </c>
      <c r="CI190" s="98"/>
      <c r="CK190" s="99">
        <f>IFERROR(IF(F190='[1]Paramètres Généraux'!$K$12,ROUNDUP((REGENERANTS!H190*REGENERANTS!$CF$166)*'[1]Paramètres Généraux'!$M$12,-1),REGENERANTS!H190*REGENERANTS!$CF$166),"nd")</f>
        <v>0</v>
      </c>
      <c r="CN190" s="146"/>
      <c r="CO190" s="147"/>
      <c r="CP190" s="147"/>
      <c r="CQ190" s="147"/>
      <c r="CR190" s="147"/>
      <c r="CS190" s="173"/>
      <c r="CT190" s="174"/>
      <c r="CU190" s="147"/>
      <c r="CV190" s="173"/>
      <c r="CW190" s="150"/>
      <c r="CX190" s="149"/>
      <c r="CY190" s="150"/>
      <c r="CZ190" s="136"/>
      <c r="DA190" s="149"/>
      <c r="DB190" s="150"/>
      <c r="DC190" s="136"/>
      <c r="DD190" s="149"/>
      <c r="DE190" s="150"/>
      <c r="DF190" s="136"/>
      <c r="DG190" s="136"/>
      <c r="DH190" s="136"/>
      <c r="DI190" s="136"/>
      <c r="DJ190" s="136"/>
      <c r="DK190" s="136"/>
      <c r="DL190" s="136"/>
      <c r="DM190" s="136"/>
      <c r="DN190" s="136"/>
      <c r="DO190" s="149"/>
      <c r="DP190" s="150"/>
      <c r="DQ190" s="20">
        <f t="shared" si="108"/>
        <v>0</v>
      </c>
      <c r="DR190" s="20">
        <f t="shared" si="109"/>
        <v>0</v>
      </c>
      <c r="DS190" s="20">
        <f>IFERROR((IF(AND($F190="Produit Vente",CO190&gt;0),VLOOKUP($C190,'[1]Paramètres Articles'!$B:$H,7,FALSE)*$CO190)*(1-20%)),0)</f>
        <v>0</v>
      </c>
      <c r="DT190" s="20">
        <f>IFERROR((IF(AND($F190="Produit Vente",DR190&gt;0),VLOOKUP($C190,'[1]Paramètres Articles'!$B:$H,6,FALSE)*$DR190)*(1-15%)),0)</f>
        <v>0</v>
      </c>
    </row>
    <row r="191" spans="2:124" ht="12.95" hidden="1" customHeight="1" outlineLevel="1">
      <c r="B191" s="1">
        <f>IF(C191="",0,COUNTIFS($B$22:B190,"&gt;"&amp;0)+1)</f>
        <v>0</v>
      </c>
      <c r="C191" s="85"/>
      <c r="D191" s="86" t="str">
        <f>IFERROR(IF($C191="","",VLOOKUP($C191,'[1]Paramètres Articles'!$B:$G,2,FALSE)),"Non Trouvé")</f>
        <v/>
      </c>
      <c r="E191" s="87" t="str">
        <f>IFERROR(IF($C191="","",_xlfn.XLOOKUP(REGENERANTS!$C191,'[1]New Base PA'!$F:$F,'[1]New Base PA'!$D:$D,"Not Found",0)),"Non Trouvé")</f>
        <v/>
      </c>
      <c r="F191" s="88"/>
      <c r="H191" s="101"/>
      <c r="J191" s="90" t="str">
        <f>IFERROR(IF($C191="","",VLOOKUP($C191,'[1]New Base PA'!$F:$J,5,FALSE)),"Non Trouvé")</f>
        <v/>
      </c>
      <c r="K191" s="131" t="str">
        <f t="shared" si="104"/>
        <v/>
      </c>
      <c r="L191" s="132"/>
      <c r="M191" s="90">
        <f>IFERROR(IF(AND($F191="Produit Vente",H191&gt;0),VLOOKUP($C191,'[1]Paramètres Articles'!$B:$G,6,FALSE),0),"Non Trouvé")</f>
        <v>0</v>
      </c>
      <c r="N191" s="90" t="str">
        <f t="shared" si="105"/>
        <v/>
      </c>
      <c r="P191" s="92"/>
      <c r="R191" s="90" t="str">
        <f t="shared" si="106"/>
        <v/>
      </c>
      <c r="S191" s="91"/>
      <c r="T191" s="90" t="str">
        <f>IFERROR(IF($C191="","",VLOOKUP($C191,'[1]Paramètres Articles'!$B:$H,7,FALSE)),"Non Trouvé")</f>
        <v/>
      </c>
      <c r="U191" s="93"/>
      <c r="V191" s="90" t="str">
        <f t="shared" si="110"/>
        <v/>
      </c>
      <c r="W191" s="91"/>
      <c r="X191" s="90" t="str">
        <f t="shared" si="111"/>
        <v/>
      </c>
      <c r="Y191" s="91"/>
      <c r="Z191" s="90">
        <f t="shared" si="107"/>
        <v>0</v>
      </c>
      <c r="AB191" s="94">
        <f>AB190</f>
        <v>0</v>
      </c>
      <c r="AC191" s="94">
        <f>AC190</f>
        <v>0.17</v>
      </c>
      <c r="AD191" s="90" t="str">
        <f t="shared" si="123"/>
        <v/>
      </c>
      <c r="AG191" s="94">
        <f>AG190</f>
        <v>0</v>
      </c>
      <c r="AH191" s="94">
        <f>AH190</f>
        <v>0.13</v>
      </c>
      <c r="AI191" s="90" t="str">
        <f t="shared" si="124"/>
        <v/>
      </c>
      <c r="AL191" s="94">
        <f>AL190</f>
        <v>0</v>
      </c>
      <c r="AM191" s="94">
        <f>AM190</f>
        <v>0.08</v>
      </c>
      <c r="AN191" s="90" t="str">
        <f t="shared" si="125"/>
        <v/>
      </c>
      <c r="AQ191" s="94">
        <f>AQ190</f>
        <v>0</v>
      </c>
      <c r="AR191" s="94">
        <f>AR190</f>
        <v>0.05</v>
      </c>
      <c r="AS191" s="90" t="str">
        <f t="shared" si="126"/>
        <v/>
      </c>
      <c r="AV191" s="94">
        <f>AV190</f>
        <v>0</v>
      </c>
      <c r="AW191" s="94">
        <f>AW190</f>
        <v>0.32500000000000001</v>
      </c>
      <c r="AX191" s="90" t="str">
        <f t="shared" si="127"/>
        <v/>
      </c>
      <c r="BA191" s="94">
        <f>BA190</f>
        <v>0</v>
      </c>
      <c r="BB191" s="94">
        <f>BB190</f>
        <v>0.29499999999999998</v>
      </c>
      <c r="BC191" s="90" t="str">
        <f t="shared" si="128"/>
        <v/>
      </c>
      <c r="BF191" s="94">
        <f>BF190</f>
        <v>0</v>
      </c>
      <c r="BG191" s="94">
        <f>BG190</f>
        <v>0.27500000000000002</v>
      </c>
      <c r="BH191" s="90" t="str">
        <f t="shared" si="129"/>
        <v/>
      </c>
      <c r="BK191" s="94">
        <f>BK190</f>
        <v>0</v>
      </c>
      <c r="BL191" s="94">
        <f>BL190</f>
        <v>0.245</v>
      </c>
      <c r="BM191" s="90" t="str">
        <f t="shared" si="130"/>
        <v/>
      </c>
      <c r="BP191" s="94">
        <f>BP190</f>
        <v>0</v>
      </c>
      <c r="BQ191" s="94">
        <f>BQ190</f>
        <v>0.22500000000000001</v>
      </c>
      <c r="BR191" s="90" t="str">
        <f t="shared" si="131"/>
        <v/>
      </c>
      <c r="BU191" s="94">
        <f>BU190</f>
        <v>0</v>
      </c>
      <c r="BV191" s="94">
        <f>BV190</f>
        <v>0.17499999999999999</v>
      </c>
      <c r="BW191" s="90" t="str">
        <f t="shared" si="132"/>
        <v/>
      </c>
      <c r="BZ191" s="94">
        <f>BZ190</f>
        <v>0</v>
      </c>
      <c r="CA191" s="94">
        <f>CA190</f>
        <v>0.15</v>
      </c>
      <c r="CB191" s="90" t="str">
        <f t="shared" si="133"/>
        <v/>
      </c>
      <c r="CE191" s="95"/>
      <c r="CF191" s="96"/>
      <c r="CG191" s="97"/>
      <c r="CH191" s="97"/>
      <c r="CI191" s="98"/>
      <c r="CK191" s="99">
        <f>IFERROR(IF(F191='[1]Paramètres Généraux'!$K$12,ROUNDUP((REGENERANTS!H191*REGENERANTS!$CF$166)*'[1]Paramètres Généraux'!$M$12,-1),REGENERANTS!H191*REGENERANTS!$CF$166),"nd")</f>
        <v>0</v>
      </c>
      <c r="CN191" s="146"/>
      <c r="CO191" s="147"/>
      <c r="CP191" s="147"/>
      <c r="CQ191" s="147"/>
      <c r="CR191" s="147"/>
      <c r="CS191" s="173"/>
      <c r="CT191" s="174"/>
      <c r="CU191" s="147"/>
      <c r="CV191" s="173"/>
      <c r="CW191" s="150"/>
      <c r="CX191" s="149"/>
      <c r="CY191" s="150"/>
      <c r="CZ191" s="136"/>
      <c r="DA191" s="149"/>
      <c r="DB191" s="150"/>
      <c r="DC191" s="136"/>
      <c r="DD191" s="149"/>
      <c r="DE191" s="150"/>
      <c r="DF191" s="136"/>
      <c r="DG191" s="136"/>
      <c r="DH191" s="136"/>
      <c r="DI191" s="136"/>
      <c r="DJ191" s="136"/>
      <c r="DK191" s="136"/>
      <c r="DL191" s="136"/>
      <c r="DM191" s="136"/>
      <c r="DN191" s="136"/>
      <c r="DO191" s="149"/>
      <c r="DP191" s="150"/>
      <c r="DQ191" s="20">
        <f t="shared" si="108"/>
        <v>0</v>
      </c>
      <c r="DR191" s="20">
        <f t="shared" si="109"/>
        <v>0</v>
      </c>
      <c r="DS191" s="20">
        <f>IFERROR((IF(AND($F191="Produit Vente",CO191&gt;0),VLOOKUP($C191,'[1]Paramètres Articles'!$B:$H,7,FALSE)*$CO191)*(1-20%)),0)</f>
        <v>0</v>
      </c>
      <c r="DT191" s="20">
        <f>IFERROR((IF(AND($F191="Produit Vente",DR191&gt;0),VLOOKUP($C191,'[1]Paramètres Articles'!$B:$H,6,FALSE)*$DR191)*(1-15%)),0)</f>
        <v>0</v>
      </c>
    </row>
    <row r="192" spans="2:124" ht="12.95" hidden="1" customHeight="1" outlineLevel="1">
      <c r="B192" s="1">
        <f>IF(C192="",0,COUNTIFS($B$22:B191,"&gt;"&amp;0)+1)</f>
        <v>0</v>
      </c>
      <c r="C192" s="85"/>
      <c r="D192" s="86" t="str">
        <f>IFERROR(IF($C192="","",VLOOKUP($C192,'[1]Paramètres Articles'!$B:$G,2,FALSE)),"Non Trouvé")</f>
        <v/>
      </c>
      <c r="E192" s="87" t="str">
        <f>IFERROR(IF($C192="","",_xlfn.XLOOKUP(REGENERANTS!$C192,'[1]New Base PA'!$F:$F,'[1]New Base PA'!$D:$D,"Not Found",0)),"Non Trouvé")</f>
        <v/>
      </c>
      <c r="F192" s="88"/>
      <c r="H192" s="101"/>
      <c r="J192" s="90" t="str">
        <f>IFERROR(IF($C192="","",VLOOKUP($C192,'[1]New Base PA'!$F:$J,5,FALSE)),"Non Trouvé")</f>
        <v/>
      </c>
      <c r="K192" s="131" t="str">
        <f t="shared" si="104"/>
        <v/>
      </c>
      <c r="L192" s="132"/>
      <c r="M192" s="90">
        <f>IFERROR(IF(AND($F192="Produit Vente",H192&gt;0),VLOOKUP($C192,'[1]Paramètres Articles'!$B:$G,6,FALSE),0),"Non Trouvé")</f>
        <v>0</v>
      </c>
      <c r="N192" s="90" t="str">
        <f t="shared" si="105"/>
        <v/>
      </c>
      <c r="P192" s="92"/>
      <c r="R192" s="90" t="str">
        <f t="shared" si="106"/>
        <v/>
      </c>
      <c r="S192" s="91"/>
      <c r="T192" s="90" t="str">
        <f>IFERROR(IF($C192="","",VLOOKUP($C192,'[1]Paramètres Articles'!$B:$H,7,FALSE)),"Non Trouvé")</f>
        <v/>
      </c>
      <c r="U192" s="93"/>
      <c r="V192" s="90" t="str">
        <f t="shared" si="110"/>
        <v/>
      </c>
      <c r="W192" s="91"/>
      <c r="X192" s="90" t="str">
        <f t="shared" si="111"/>
        <v/>
      </c>
      <c r="Y192" s="91"/>
      <c r="Z192" s="90">
        <f t="shared" si="107"/>
        <v>0</v>
      </c>
      <c r="AB192" s="94">
        <f>AB190</f>
        <v>0</v>
      </c>
      <c r="AC192" s="94">
        <f>AC190</f>
        <v>0.17</v>
      </c>
      <c r="AD192" s="90" t="str">
        <f t="shared" si="123"/>
        <v/>
      </c>
      <c r="AG192" s="94">
        <f>AG190</f>
        <v>0</v>
      </c>
      <c r="AH192" s="94">
        <f>AH190</f>
        <v>0.13</v>
      </c>
      <c r="AI192" s="90" t="str">
        <f t="shared" si="124"/>
        <v/>
      </c>
      <c r="AL192" s="94">
        <f>AL190</f>
        <v>0</v>
      </c>
      <c r="AM192" s="94">
        <f>AM190</f>
        <v>0.08</v>
      </c>
      <c r="AN192" s="90" t="str">
        <f t="shared" si="125"/>
        <v/>
      </c>
      <c r="AQ192" s="94">
        <f>AQ190</f>
        <v>0</v>
      </c>
      <c r="AR192" s="94">
        <f>AR190</f>
        <v>0.05</v>
      </c>
      <c r="AS192" s="90" t="str">
        <f t="shared" si="126"/>
        <v/>
      </c>
      <c r="AV192" s="94">
        <f>AV190</f>
        <v>0</v>
      </c>
      <c r="AW192" s="94">
        <f>AW190</f>
        <v>0.32500000000000001</v>
      </c>
      <c r="AX192" s="90" t="str">
        <f t="shared" si="127"/>
        <v/>
      </c>
      <c r="BA192" s="94">
        <f>BA190</f>
        <v>0</v>
      </c>
      <c r="BB192" s="94">
        <f>BB190</f>
        <v>0.29499999999999998</v>
      </c>
      <c r="BC192" s="90" t="str">
        <f t="shared" si="128"/>
        <v/>
      </c>
      <c r="BF192" s="94">
        <f>BF190</f>
        <v>0</v>
      </c>
      <c r="BG192" s="94">
        <f>BG190</f>
        <v>0.27500000000000002</v>
      </c>
      <c r="BH192" s="90" t="str">
        <f t="shared" si="129"/>
        <v/>
      </c>
      <c r="BK192" s="94">
        <f>BK190</f>
        <v>0</v>
      </c>
      <c r="BL192" s="94">
        <f>BL190</f>
        <v>0.245</v>
      </c>
      <c r="BM192" s="90" t="str">
        <f t="shared" si="130"/>
        <v/>
      </c>
      <c r="BP192" s="94">
        <f>BP190</f>
        <v>0</v>
      </c>
      <c r="BQ192" s="94">
        <f>BQ190</f>
        <v>0.22500000000000001</v>
      </c>
      <c r="BR192" s="90" t="str">
        <f t="shared" si="131"/>
        <v/>
      </c>
      <c r="BU192" s="94">
        <f>BU190</f>
        <v>0</v>
      </c>
      <c r="BV192" s="94">
        <f>BV190</f>
        <v>0.17499999999999999</v>
      </c>
      <c r="BW192" s="90" t="str">
        <f t="shared" si="132"/>
        <v/>
      </c>
      <c r="BZ192" s="94">
        <f>BZ190</f>
        <v>0</v>
      </c>
      <c r="CA192" s="94">
        <f>CA190</f>
        <v>0.15</v>
      </c>
      <c r="CB192" s="90" t="str">
        <f t="shared" si="133"/>
        <v/>
      </c>
      <c r="CE192" s="95"/>
      <c r="CF192" s="96"/>
      <c r="CG192" s="97"/>
      <c r="CH192" s="97"/>
      <c r="CI192" s="98"/>
      <c r="CK192" s="99">
        <f>IFERROR(IF(F192='[1]Paramètres Généraux'!$K$12,ROUNDUP((REGENERANTS!H192*REGENERANTS!$CF$166)*'[1]Paramètres Généraux'!$M$12,-1),REGENERANTS!H192*REGENERANTS!$CF$166),"nd")</f>
        <v>0</v>
      </c>
      <c r="CN192" s="146"/>
      <c r="CO192" s="147"/>
      <c r="CP192" s="147"/>
      <c r="CQ192" s="147"/>
      <c r="CR192" s="147"/>
      <c r="CS192" s="173"/>
      <c r="CT192" s="174"/>
      <c r="CU192" s="147"/>
      <c r="CV192" s="173"/>
      <c r="CW192" s="150"/>
      <c r="CX192" s="149"/>
      <c r="CY192" s="150"/>
      <c r="CZ192" s="136"/>
      <c r="DA192" s="149"/>
      <c r="DB192" s="150"/>
      <c r="DC192" s="136"/>
      <c r="DD192" s="149"/>
      <c r="DE192" s="150"/>
      <c r="DF192" s="136"/>
      <c r="DG192" s="136"/>
      <c r="DH192" s="136"/>
      <c r="DI192" s="136"/>
      <c r="DJ192" s="136"/>
      <c r="DK192" s="136"/>
      <c r="DL192" s="136"/>
      <c r="DM192" s="136"/>
      <c r="DN192" s="136"/>
      <c r="DO192" s="149"/>
      <c r="DP192" s="150"/>
      <c r="DQ192" s="20">
        <f t="shared" si="108"/>
        <v>0</v>
      </c>
      <c r="DR192" s="20">
        <f t="shared" si="109"/>
        <v>0</v>
      </c>
      <c r="DS192" s="20">
        <f>IFERROR((IF(AND($F192="Produit Vente",CO192&gt;0),VLOOKUP($C192,'[1]Paramètres Articles'!$B:$H,7,FALSE)*$CO192)*(1-20%)),0)</f>
        <v>0</v>
      </c>
      <c r="DT192" s="20">
        <f>IFERROR((IF(AND($F192="Produit Vente",DR192&gt;0),VLOOKUP($C192,'[1]Paramètres Articles'!$B:$H,6,FALSE)*$DR192)*(1-15%)),0)</f>
        <v>0</v>
      </c>
    </row>
    <row r="193" spans="2:124" ht="12.95" hidden="1" customHeight="1" outlineLevel="1">
      <c r="B193" s="1">
        <f>IF(C193="",0,COUNTIFS($B$22:B192,"&gt;"&amp;0)+1)</f>
        <v>0</v>
      </c>
      <c r="C193" s="85"/>
      <c r="D193" s="86" t="str">
        <f>IFERROR(IF($C193="","",VLOOKUP($C193,'[1]Paramètres Articles'!$B:$G,2,FALSE)),"Non Trouvé")</f>
        <v/>
      </c>
      <c r="E193" s="87" t="str">
        <f>IFERROR(IF($C193="","",_xlfn.XLOOKUP(REGENERANTS!$C193,'[1]New Base PA'!$F:$F,'[1]New Base PA'!$D:$D,"Not Found",0)),"Non Trouvé")</f>
        <v/>
      </c>
      <c r="F193" s="88"/>
      <c r="H193" s="101"/>
      <c r="J193" s="90" t="str">
        <f>IFERROR(IF($C193="","",VLOOKUP($C193,'[1]New Base PA'!$F:$J,5,FALSE)),"Non Trouvé")</f>
        <v/>
      </c>
      <c r="K193" s="131" t="str">
        <f t="shared" si="104"/>
        <v/>
      </c>
      <c r="L193" s="132"/>
      <c r="M193" s="90">
        <f>IFERROR(IF(AND($F193="Produit Vente",H193&gt;0),VLOOKUP($C193,'[1]Paramètres Articles'!$B:$G,6,FALSE),0),"Non Trouvé")</f>
        <v>0</v>
      </c>
      <c r="N193" s="90" t="str">
        <f t="shared" si="105"/>
        <v/>
      </c>
      <c r="P193" s="92"/>
      <c r="R193" s="90" t="str">
        <f t="shared" si="106"/>
        <v/>
      </c>
      <c r="S193" s="91"/>
      <c r="T193" s="90" t="str">
        <f>IFERROR(IF($C193="","",VLOOKUP($C193,'[1]Paramètres Articles'!$B:$H,7,FALSE)),"Non Trouvé")</f>
        <v/>
      </c>
      <c r="U193" s="93"/>
      <c r="V193" s="90" t="str">
        <f t="shared" si="110"/>
        <v/>
      </c>
      <c r="W193" s="91"/>
      <c r="X193" s="90" t="str">
        <f t="shared" si="111"/>
        <v/>
      </c>
      <c r="Y193" s="91"/>
      <c r="Z193" s="90">
        <f t="shared" si="107"/>
        <v>0</v>
      </c>
      <c r="AB193" s="94">
        <f>AB192</f>
        <v>0</v>
      </c>
      <c r="AC193" s="94">
        <f>AC192</f>
        <v>0.17</v>
      </c>
      <c r="AD193" s="90" t="str">
        <f t="shared" si="123"/>
        <v/>
      </c>
      <c r="AG193" s="94">
        <f>AG192</f>
        <v>0</v>
      </c>
      <c r="AH193" s="94">
        <f>AH192</f>
        <v>0.13</v>
      </c>
      <c r="AI193" s="90" t="str">
        <f t="shared" si="124"/>
        <v/>
      </c>
      <c r="AL193" s="94">
        <f>AL192</f>
        <v>0</v>
      </c>
      <c r="AM193" s="94">
        <f>AM192</f>
        <v>0.08</v>
      </c>
      <c r="AN193" s="90" t="str">
        <f t="shared" si="125"/>
        <v/>
      </c>
      <c r="AQ193" s="94">
        <f>AQ192</f>
        <v>0</v>
      </c>
      <c r="AR193" s="94">
        <f>AR192</f>
        <v>0.05</v>
      </c>
      <c r="AS193" s="90" t="str">
        <f t="shared" si="126"/>
        <v/>
      </c>
      <c r="AV193" s="94">
        <f>AV192</f>
        <v>0</v>
      </c>
      <c r="AW193" s="94">
        <f>AW192</f>
        <v>0.32500000000000001</v>
      </c>
      <c r="AX193" s="90" t="str">
        <f t="shared" si="127"/>
        <v/>
      </c>
      <c r="BA193" s="94">
        <f>BA192</f>
        <v>0</v>
      </c>
      <c r="BB193" s="94">
        <f>BB192</f>
        <v>0.29499999999999998</v>
      </c>
      <c r="BC193" s="90" t="str">
        <f t="shared" si="128"/>
        <v/>
      </c>
      <c r="BF193" s="94">
        <f>BF192</f>
        <v>0</v>
      </c>
      <c r="BG193" s="94">
        <f>BG192</f>
        <v>0.27500000000000002</v>
      </c>
      <c r="BH193" s="90" t="str">
        <f t="shared" si="129"/>
        <v/>
      </c>
      <c r="BK193" s="94">
        <f>BK192</f>
        <v>0</v>
      </c>
      <c r="BL193" s="94">
        <f>BL192</f>
        <v>0.245</v>
      </c>
      <c r="BM193" s="90" t="str">
        <f t="shared" si="130"/>
        <v/>
      </c>
      <c r="BP193" s="94">
        <f>BP192</f>
        <v>0</v>
      </c>
      <c r="BQ193" s="94">
        <f>BQ192</f>
        <v>0.22500000000000001</v>
      </c>
      <c r="BR193" s="90" t="str">
        <f t="shared" si="131"/>
        <v/>
      </c>
      <c r="BU193" s="94">
        <f>BU192</f>
        <v>0</v>
      </c>
      <c r="BV193" s="94">
        <f>BV192</f>
        <v>0.17499999999999999</v>
      </c>
      <c r="BW193" s="90" t="str">
        <f t="shared" si="132"/>
        <v/>
      </c>
      <c r="BZ193" s="94">
        <f>BZ192</f>
        <v>0</v>
      </c>
      <c r="CA193" s="94">
        <f>CA192</f>
        <v>0.15</v>
      </c>
      <c r="CB193" s="90" t="str">
        <f t="shared" si="133"/>
        <v/>
      </c>
      <c r="CE193" s="95"/>
      <c r="CF193" s="96"/>
      <c r="CG193" s="97"/>
      <c r="CH193" s="97"/>
      <c r="CI193" s="98"/>
      <c r="CK193" s="99">
        <f>IFERROR(IF(F193='[1]Paramètres Généraux'!$K$12,ROUNDUP((REGENERANTS!H193*REGENERANTS!$CF$166)*'[1]Paramètres Généraux'!$M$12,-1),REGENERANTS!H193*REGENERANTS!$CF$166),"nd")</f>
        <v>0</v>
      </c>
      <c r="CN193" s="146"/>
      <c r="CO193" s="147"/>
      <c r="CP193" s="147"/>
      <c r="CQ193" s="147"/>
      <c r="CR193" s="147"/>
      <c r="CS193" s="173"/>
      <c r="CT193" s="174"/>
      <c r="CU193" s="147"/>
      <c r="CV193" s="173"/>
      <c r="CW193" s="150"/>
      <c r="CX193" s="149"/>
      <c r="CY193" s="150"/>
      <c r="CZ193" s="136"/>
      <c r="DA193" s="149"/>
      <c r="DB193" s="150"/>
      <c r="DC193" s="136"/>
      <c r="DD193" s="149"/>
      <c r="DE193" s="150"/>
      <c r="DF193" s="136"/>
      <c r="DG193" s="136"/>
      <c r="DH193" s="136"/>
      <c r="DI193" s="136"/>
      <c r="DJ193" s="136"/>
      <c r="DK193" s="136"/>
      <c r="DL193" s="136"/>
      <c r="DM193" s="136"/>
      <c r="DN193" s="136"/>
      <c r="DO193" s="149"/>
      <c r="DP193" s="150"/>
      <c r="DQ193" s="20">
        <f t="shared" si="108"/>
        <v>0</v>
      </c>
      <c r="DR193" s="20">
        <f t="shared" si="109"/>
        <v>0</v>
      </c>
      <c r="DS193" s="20">
        <f>IFERROR((IF(AND($F193="Produit Vente",CO193&gt;0),VLOOKUP($C193,'[1]Paramètres Articles'!$B:$H,7,FALSE)*$CO193)*(1-20%)),0)</f>
        <v>0</v>
      </c>
      <c r="DT193" s="20">
        <f>IFERROR((IF(AND($F193="Produit Vente",DR193&gt;0),VLOOKUP($C193,'[1]Paramètres Articles'!$B:$H,6,FALSE)*$DR193)*(1-15%)),0)</f>
        <v>0</v>
      </c>
    </row>
    <row r="194" spans="2:124" ht="12.95" hidden="1" customHeight="1" outlineLevel="1">
      <c r="B194" s="1">
        <f>IF(C194="",0,COUNTIFS($B$22:B193,"&gt;"&amp;0)+1)</f>
        <v>0</v>
      </c>
      <c r="C194" s="85"/>
      <c r="D194" s="86" t="str">
        <f>IFERROR(IF($C194="","",VLOOKUP($C194,'[1]Paramètres Articles'!$B:$G,2,FALSE)),"Non Trouvé")</f>
        <v/>
      </c>
      <c r="E194" s="87" t="str">
        <f>IFERROR(IF($C194="","",_xlfn.XLOOKUP(REGENERANTS!$C194,'[1]New Base PA'!$F:$F,'[1]New Base PA'!$D:$D,"Not Found",0)),"Non Trouvé")</f>
        <v/>
      </c>
      <c r="F194" s="88"/>
      <c r="H194" s="101"/>
      <c r="J194" s="90" t="str">
        <f>IFERROR(IF($C194="","",VLOOKUP($C194,'[1]New Base PA'!$F:$J,5,FALSE)),"Non Trouvé")</f>
        <v/>
      </c>
      <c r="K194" s="131" t="str">
        <f t="shared" si="104"/>
        <v/>
      </c>
      <c r="L194" s="132"/>
      <c r="M194" s="90">
        <f>IFERROR(IF(AND($F194="Produit Vente",H194&gt;0),VLOOKUP($C194,'[1]Paramètres Articles'!$B:$G,6,FALSE),0),"Non Trouvé")</f>
        <v>0</v>
      </c>
      <c r="N194" s="90" t="str">
        <f t="shared" si="105"/>
        <v/>
      </c>
      <c r="P194" s="92"/>
      <c r="R194" s="90" t="str">
        <f t="shared" si="106"/>
        <v/>
      </c>
      <c r="S194" s="91"/>
      <c r="T194" s="90" t="str">
        <f>IFERROR(IF($C194="","",VLOOKUP($C194,'[1]Paramètres Articles'!$B:$H,7,FALSE)),"Non Trouvé")</f>
        <v/>
      </c>
      <c r="U194" s="93"/>
      <c r="V194" s="90" t="str">
        <f t="shared" si="110"/>
        <v/>
      </c>
      <c r="W194" s="91"/>
      <c r="X194" s="90" t="str">
        <f t="shared" si="111"/>
        <v/>
      </c>
      <c r="Y194" s="91"/>
      <c r="Z194" s="90">
        <f t="shared" si="107"/>
        <v>0</v>
      </c>
      <c r="AB194" s="94">
        <f>AB192</f>
        <v>0</v>
      </c>
      <c r="AC194" s="94">
        <f>AC192</f>
        <v>0.17</v>
      </c>
      <c r="AD194" s="90" t="str">
        <f t="shared" si="123"/>
        <v/>
      </c>
      <c r="AG194" s="94">
        <f>AG192</f>
        <v>0</v>
      </c>
      <c r="AH194" s="94">
        <f>AH192</f>
        <v>0.13</v>
      </c>
      <c r="AI194" s="90" t="str">
        <f t="shared" si="124"/>
        <v/>
      </c>
      <c r="AL194" s="94">
        <f>AL192</f>
        <v>0</v>
      </c>
      <c r="AM194" s="94">
        <f>AM192</f>
        <v>0.08</v>
      </c>
      <c r="AN194" s="90" t="str">
        <f t="shared" si="125"/>
        <v/>
      </c>
      <c r="AQ194" s="94">
        <f>AQ192</f>
        <v>0</v>
      </c>
      <c r="AR194" s="94">
        <f>AR192</f>
        <v>0.05</v>
      </c>
      <c r="AS194" s="90" t="str">
        <f t="shared" si="126"/>
        <v/>
      </c>
      <c r="AV194" s="94">
        <f>AV192</f>
        <v>0</v>
      </c>
      <c r="AW194" s="94">
        <f>AW192</f>
        <v>0.32500000000000001</v>
      </c>
      <c r="AX194" s="90" t="str">
        <f t="shared" si="127"/>
        <v/>
      </c>
      <c r="BA194" s="94">
        <f>BA192</f>
        <v>0</v>
      </c>
      <c r="BB194" s="94">
        <f>BB192</f>
        <v>0.29499999999999998</v>
      </c>
      <c r="BC194" s="90" t="str">
        <f t="shared" si="128"/>
        <v/>
      </c>
      <c r="BF194" s="94">
        <f>BF192</f>
        <v>0</v>
      </c>
      <c r="BG194" s="94">
        <f>BG192</f>
        <v>0.27500000000000002</v>
      </c>
      <c r="BH194" s="90" t="str">
        <f t="shared" si="129"/>
        <v/>
      </c>
      <c r="BK194" s="94">
        <f>BK192</f>
        <v>0</v>
      </c>
      <c r="BL194" s="94">
        <f>BL192</f>
        <v>0.245</v>
      </c>
      <c r="BM194" s="90" t="str">
        <f t="shared" si="130"/>
        <v/>
      </c>
      <c r="BP194" s="94">
        <f>BP192</f>
        <v>0</v>
      </c>
      <c r="BQ194" s="94">
        <f>BQ192</f>
        <v>0.22500000000000001</v>
      </c>
      <c r="BR194" s="90" t="str">
        <f t="shared" si="131"/>
        <v/>
      </c>
      <c r="BU194" s="94">
        <f>BU192</f>
        <v>0</v>
      </c>
      <c r="BV194" s="94">
        <f>BV192</f>
        <v>0.17499999999999999</v>
      </c>
      <c r="BW194" s="90" t="str">
        <f t="shared" si="132"/>
        <v/>
      </c>
      <c r="BZ194" s="94">
        <f>BZ192</f>
        <v>0</v>
      </c>
      <c r="CA194" s="94">
        <f>CA192</f>
        <v>0.15</v>
      </c>
      <c r="CB194" s="90" t="str">
        <f t="shared" si="133"/>
        <v/>
      </c>
      <c r="CE194" s="95"/>
      <c r="CF194" s="96"/>
      <c r="CG194" s="97"/>
      <c r="CH194" s="97"/>
      <c r="CI194" s="98"/>
      <c r="CK194" s="99">
        <f>IFERROR(IF(F194='[1]Paramètres Généraux'!$K$12,ROUNDUP((REGENERANTS!H194*REGENERANTS!$CF$166)*'[1]Paramètres Généraux'!$M$12,-1),REGENERANTS!H194*REGENERANTS!$CF$166),"nd")</f>
        <v>0</v>
      </c>
      <c r="CN194" s="146"/>
      <c r="CO194" s="147"/>
      <c r="CP194" s="147"/>
      <c r="CQ194" s="147"/>
      <c r="CR194" s="147"/>
      <c r="CS194" s="173"/>
      <c r="CT194" s="174"/>
      <c r="CU194" s="147"/>
      <c r="CV194" s="173"/>
      <c r="CW194" s="150"/>
      <c r="CX194" s="149"/>
      <c r="CY194" s="150"/>
      <c r="CZ194" s="136"/>
      <c r="DA194" s="149"/>
      <c r="DB194" s="150"/>
      <c r="DC194" s="136"/>
      <c r="DD194" s="149"/>
      <c r="DE194" s="150"/>
      <c r="DF194" s="136"/>
      <c r="DG194" s="136"/>
      <c r="DH194" s="136"/>
      <c r="DI194" s="136"/>
      <c r="DJ194" s="136"/>
      <c r="DK194" s="136"/>
      <c r="DL194" s="136"/>
      <c r="DM194" s="136"/>
      <c r="DN194" s="136"/>
      <c r="DO194" s="149"/>
      <c r="DP194" s="150"/>
      <c r="DQ194" s="20">
        <f t="shared" si="108"/>
        <v>0</v>
      </c>
      <c r="DR194" s="20">
        <f t="shared" si="109"/>
        <v>0</v>
      </c>
      <c r="DS194" s="20">
        <f>IFERROR((IF(AND($F194="Produit Vente",CO194&gt;0),VLOOKUP($C194,'[1]Paramètres Articles'!$B:$H,7,FALSE)*$CO194)*(1-20%)),0)</f>
        <v>0</v>
      </c>
      <c r="DT194" s="20">
        <f>IFERROR((IF(AND($F194="Produit Vente",DR194&gt;0),VLOOKUP($C194,'[1]Paramètres Articles'!$B:$H,6,FALSE)*$DR194)*(1-15%)),0)</f>
        <v>0</v>
      </c>
    </row>
    <row r="195" spans="2:124" ht="12.95" hidden="1" customHeight="1" outlineLevel="1">
      <c r="B195" s="1">
        <f>IF(C195="",0,COUNTIFS($B$22:B194,"&gt;"&amp;0)+1)</f>
        <v>0</v>
      </c>
      <c r="C195" s="85"/>
      <c r="D195" s="86" t="str">
        <f>IFERROR(IF($C195="","",VLOOKUP($C195,'[1]Paramètres Articles'!$B:$G,2,FALSE)),"Non Trouvé")</f>
        <v/>
      </c>
      <c r="E195" s="87" t="str">
        <f>IFERROR(IF($C195="","",_xlfn.XLOOKUP(REGENERANTS!$C195,'[1]New Base PA'!$F:$F,'[1]New Base PA'!$D:$D,"Not Found",0)),"Non Trouvé")</f>
        <v/>
      </c>
      <c r="F195" s="88"/>
      <c r="H195" s="101"/>
      <c r="J195" s="90" t="str">
        <f>IFERROR(IF($C195="","",VLOOKUP($C195,'[1]New Base PA'!$F:$J,5,FALSE)),"Non Trouvé")</f>
        <v/>
      </c>
      <c r="K195" s="131" t="str">
        <f t="shared" si="104"/>
        <v/>
      </c>
      <c r="L195" s="132"/>
      <c r="M195" s="90">
        <f>IFERROR(IF(AND($F195="Produit Vente",H195&gt;0),VLOOKUP($C195,'[1]Paramètres Articles'!$B:$G,6,FALSE),0),"Non Trouvé")</f>
        <v>0</v>
      </c>
      <c r="N195" s="90" t="str">
        <f t="shared" si="105"/>
        <v/>
      </c>
      <c r="P195" s="92"/>
      <c r="R195" s="90" t="str">
        <f t="shared" si="106"/>
        <v/>
      </c>
      <c r="S195" s="91"/>
      <c r="T195" s="90" t="str">
        <f>IFERROR(IF($C195="","",VLOOKUP($C195,'[1]Paramètres Articles'!$B:$H,7,FALSE)),"Non Trouvé")</f>
        <v/>
      </c>
      <c r="U195" s="93"/>
      <c r="V195" s="90" t="str">
        <f t="shared" si="110"/>
        <v/>
      </c>
      <c r="W195" s="91"/>
      <c r="X195" s="90" t="str">
        <f t="shared" si="111"/>
        <v/>
      </c>
      <c r="Y195" s="91"/>
      <c r="Z195" s="90">
        <f t="shared" si="107"/>
        <v>0</v>
      </c>
      <c r="AB195" s="94">
        <f>AB194</f>
        <v>0</v>
      </c>
      <c r="AC195" s="94">
        <f>AC194</f>
        <v>0.17</v>
      </c>
      <c r="AD195" s="90" t="str">
        <f t="shared" si="123"/>
        <v/>
      </c>
      <c r="AG195" s="94">
        <f>AG194</f>
        <v>0</v>
      </c>
      <c r="AH195" s="94">
        <f>AH194</f>
        <v>0.13</v>
      </c>
      <c r="AI195" s="90" t="str">
        <f t="shared" si="124"/>
        <v/>
      </c>
      <c r="AL195" s="94">
        <f>AL194</f>
        <v>0</v>
      </c>
      <c r="AM195" s="94">
        <f>AM194</f>
        <v>0.08</v>
      </c>
      <c r="AN195" s="90" t="str">
        <f t="shared" si="125"/>
        <v/>
      </c>
      <c r="AQ195" s="94">
        <f>AQ194</f>
        <v>0</v>
      </c>
      <c r="AR195" s="94">
        <f>AR194</f>
        <v>0.05</v>
      </c>
      <c r="AS195" s="90" t="str">
        <f t="shared" si="126"/>
        <v/>
      </c>
      <c r="AV195" s="94">
        <f>AV194</f>
        <v>0</v>
      </c>
      <c r="AW195" s="94">
        <f>AW194</f>
        <v>0.32500000000000001</v>
      </c>
      <c r="AX195" s="90" t="str">
        <f t="shared" si="127"/>
        <v/>
      </c>
      <c r="BA195" s="94">
        <f>BA194</f>
        <v>0</v>
      </c>
      <c r="BB195" s="94">
        <f>BB194</f>
        <v>0.29499999999999998</v>
      </c>
      <c r="BC195" s="90" t="str">
        <f t="shared" si="128"/>
        <v/>
      </c>
      <c r="BF195" s="94">
        <f>BF194</f>
        <v>0</v>
      </c>
      <c r="BG195" s="94">
        <f>BG194</f>
        <v>0.27500000000000002</v>
      </c>
      <c r="BH195" s="90" t="str">
        <f t="shared" si="129"/>
        <v/>
      </c>
      <c r="BK195" s="94">
        <f>BK194</f>
        <v>0</v>
      </c>
      <c r="BL195" s="94">
        <f>BL194</f>
        <v>0.245</v>
      </c>
      <c r="BM195" s="90" t="str">
        <f t="shared" si="130"/>
        <v/>
      </c>
      <c r="BP195" s="94">
        <f>BP194</f>
        <v>0</v>
      </c>
      <c r="BQ195" s="94">
        <f>BQ194</f>
        <v>0.22500000000000001</v>
      </c>
      <c r="BR195" s="90" t="str">
        <f t="shared" si="131"/>
        <v/>
      </c>
      <c r="BU195" s="94">
        <f>BU194</f>
        <v>0</v>
      </c>
      <c r="BV195" s="94">
        <f>BV194</f>
        <v>0.17499999999999999</v>
      </c>
      <c r="BW195" s="90" t="str">
        <f t="shared" si="132"/>
        <v/>
      </c>
      <c r="BZ195" s="94">
        <f>BZ194</f>
        <v>0</v>
      </c>
      <c r="CA195" s="94">
        <f>CA194</f>
        <v>0.15</v>
      </c>
      <c r="CB195" s="90" t="str">
        <f t="shared" si="133"/>
        <v/>
      </c>
      <c r="CE195" s="95"/>
      <c r="CF195" s="96"/>
      <c r="CG195" s="97"/>
      <c r="CH195" s="97"/>
      <c r="CI195" s="98"/>
      <c r="CK195" s="99">
        <f>IFERROR(IF(F195='[1]Paramètres Généraux'!$K$12,ROUNDUP((REGENERANTS!H195*REGENERANTS!$CF$166)*'[1]Paramètres Généraux'!$M$12,-1),REGENERANTS!H195*REGENERANTS!$CF$166),"nd")</f>
        <v>0</v>
      </c>
      <c r="CN195" s="146"/>
      <c r="CO195" s="147"/>
      <c r="CP195" s="147"/>
      <c r="CQ195" s="147"/>
      <c r="CR195" s="147"/>
      <c r="CS195" s="173"/>
      <c r="CT195" s="174"/>
      <c r="CU195" s="147"/>
      <c r="CV195" s="173"/>
      <c r="CW195" s="150"/>
      <c r="CX195" s="149"/>
      <c r="CY195" s="150"/>
      <c r="CZ195" s="136"/>
      <c r="DA195" s="149"/>
      <c r="DB195" s="150"/>
      <c r="DC195" s="136"/>
      <c r="DD195" s="149"/>
      <c r="DE195" s="150"/>
      <c r="DF195" s="136"/>
      <c r="DG195" s="136"/>
      <c r="DH195" s="136"/>
      <c r="DI195" s="136"/>
      <c r="DJ195" s="136"/>
      <c r="DK195" s="136"/>
      <c r="DL195" s="136"/>
      <c r="DM195" s="136"/>
      <c r="DN195" s="136"/>
      <c r="DO195" s="149"/>
      <c r="DP195" s="150"/>
      <c r="DQ195" s="20">
        <f t="shared" si="108"/>
        <v>0</v>
      </c>
      <c r="DR195" s="20">
        <f t="shared" si="109"/>
        <v>0</v>
      </c>
      <c r="DS195" s="20">
        <f>IFERROR((IF(AND($F195="Produit Vente",CO195&gt;0),VLOOKUP($C195,'[1]Paramètres Articles'!$B:$H,7,FALSE)*$CO195)*(1-20%)),0)</f>
        <v>0</v>
      </c>
      <c r="DT195" s="20">
        <f>IFERROR((IF(AND($F195="Produit Vente",DR195&gt;0),VLOOKUP($C195,'[1]Paramètres Articles'!$B:$H,6,FALSE)*$DR195)*(1-15%)),0)</f>
        <v>0</v>
      </c>
    </row>
    <row r="196" spans="2:124" ht="12.95" hidden="1" customHeight="1" outlineLevel="1">
      <c r="B196" s="1">
        <f>IF(C196="",0,COUNTIFS($B$22:B195,"&gt;"&amp;0)+1)</f>
        <v>0</v>
      </c>
      <c r="C196" s="85"/>
      <c r="D196" s="86" t="str">
        <f>IFERROR(IF($C196="","",VLOOKUP($C196,'[1]Paramètres Articles'!$B:$G,2,FALSE)),"Non Trouvé")</f>
        <v/>
      </c>
      <c r="E196" s="87" t="str">
        <f>IFERROR(IF($C196="","",_xlfn.XLOOKUP(REGENERANTS!$C196,'[1]New Base PA'!$F:$F,'[1]New Base PA'!$D:$D,"Not Found",0)),"Non Trouvé")</f>
        <v/>
      </c>
      <c r="F196" s="88"/>
      <c r="H196" s="101"/>
      <c r="J196" s="90" t="str">
        <f>IFERROR(IF($C196="","",VLOOKUP($C196,'[1]New Base PA'!$F:$J,5,FALSE)),"Non Trouvé")</f>
        <v/>
      </c>
      <c r="K196" s="131" t="str">
        <f t="shared" si="104"/>
        <v/>
      </c>
      <c r="L196" s="132"/>
      <c r="M196" s="90">
        <f>IFERROR(IF(AND($F196="Produit Vente",H196&gt;0),VLOOKUP($C196,'[1]Paramètres Articles'!$B:$G,6,FALSE),0),"Non Trouvé")</f>
        <v>0</v>
      </c>
      <c r="N196" s="90" t="str">
        <f t="shared" si="105"/>
        <v/>
      </c>
      <c r="P196" s="92"/>
      <c r="R196" s="90" t="str">
        <f t="shared" si="106"/>
        <v/>
      </c>
      <c r="S196" s="91"/>
      <c r="T196" s="90" t="str">
        <f>IFERROR(IF($C196="","",VLOOKUP($C196,'[1]Paramètres Articles'!$B:$H,7,FALSE)),"Non Trouvé")</f>
        <v/>
      </c>
      <c r="U196" s="93"/>
      <c r="V196" s="90" t="str">
        <f t="shared" si="110"/>
        <v/>
      </c>
      <c r="W196" s="91"/>
      <c r="X196" s="90" t="str">
        <f t="shared" si="111"/>
        <v/>
      </c>
      <c r="Y196" s="91"/>
      <c r="Z196" s="90">
        <f t="shared" si="107"/>
        <v>0</v>
      </c>
      <c r="AB196" s="94">
        <f>AB194</f>
        <v>0</v>
      </c>
      <c r="AC196" s="94">
        <f>AC194</f>
        <v>0.17</v>
      </c>
      <c r="AD196" s="90" t="str">
        <f t="shared" si="123"/>
        <v/>
      </c>
      <c r="AG196" s="94">
        <f>AG194</f>
        <v>0</v>
      </c>
      <c r="AH196" s="94">
        <f>AH194</f>
        <v>0.13</v>
      </c>
      <c r="AI196" s="90" t="str">
        <f t="shared" si="124"/>
        <v/>
      </c>
      <c r="AL196" s="94">
        <f>AL194</f>
        <v>0</v>
      </c>
      <c r="AM196" s="94">
        <f>AM194</f>
        <v>0.08</v>
      </c>
      <c r="AN196" s="90" t="str">
        <f t="shared" si="125"/>
        <v/>
      </c>
      <c r="AQ196" s="94">
        <f>AQ194</f>
        <v>0</v>
      </c>
      <c r="AR196" s="94">
        <f>AR194</f>
        <v>0.05</v>
      </c>
      <c r="AS196" s="90" t="str">
        <f t="shared" si="126"/>
        <v/>
      </c>
      <c r="AV196" s="94">
        <f>AV194</f>
        <v>0</v>
      </c>
      <c r="AW196" s="94">
        <f>AW194</f>
        <v>0.32500000000000001</v>
      </c>
      <c r="AX196" s="90" t="str">
        <f t="shared" si="127"/>
        <v/>
      </c>
      <c r="BA196" s="94">
        <f>BA194</f>
        <v>0</v>
      </c>
      <c r="BB196" s="94">
        <f>BB194</f>
        <v>0.29499999999999998</v>
      </c>
      <c r="BC196" s="90" t="str">
        <f t="shared" si="128"/>
        <v/>
      </c>
      <c r="BF196" s="94">
        <f>BF194</f>
        <v>0</v>
      </c>
      <c r="BG196" s="94">
        <f>BG194</f>
        <v>0.27500000000000002</v>
      </c>
      <c r="BH196" s="90" t="str">
        <f t="shared" si="129"/>
        <v/>
      </c>
      <c r="BK196" s="94">
        <f>BK194</f>
        <v>0</v>
      </c>
      <c r="BL196" s="94">
        <f>BL194</f>
        <v>0.245</v>
      </c>
      <c r="BM196" s="90" t="str">
        <f t="shared" si="130"/>
        <v/>
      </c>
      <c r="BP196" s="94">
        <f>BP194</f>
        <v>0</v>
      </c>
      <c r="BQ196" s="94">
        <f>BQ194</f>
        <v>0.22500000000000001</v>
      </c>
      <c r="BR196" s="90" t="str">
        <f t="shared" si="131"/>
        <v/>
      </c>
      <c r="BU196" s="94">
        <f>BU194</f>
        <v>0</v>
      </c>
      <c r="BV196" s="94">
        <f>BV194</f>
        <v>0.17499999999999999</v>
      </c>
      <c r="BW196" s="90" t="str">
        <f t="shared" si="132"/>
        <v/>
      </c>
      <c r="BZ196" s="94">
        <f>BZ194</f>
        <v>0</v>
      </c>
      <c r="CA196" s="94">
        <f>CA194</f>
        <v>0.15</v>
      </c>
      <c r="CB196" s="90" t="str">
        <f t="shared" si="133"/>
        <v/>
      </c>
      <c r="CE196" s="95"/>
      <c r="CF196" s="96"/>
      <c r="CG196" s="97"/>
      <c r="CH196" s="97"/>
      <c r="CI196" s="98"/>
      <c r="CK196" s="99">
        <f>IFERROR(IF(F196='[1]Paramètres Généraux'!$K$12,ROUNDUP((REGENERANTS!H196*REGENERANTS!$CF$166)*'[1]Paramètres Généraux'!$M$12,-1),REGENERANTS!H196*REGENERANTS!$CF$166),"nd")</f>
        <v>0</v>
      </c>
      <c r="CN196" s="146"/>
      <c r="CO196" s="147"/>
      <c r="CP196" s="147"/>
      <c r="CQ196" s="147"/>
      <c r="CR196" s="147"/>
      <c r="CS196" s="173"/>
      <c r="CT196" s="174"/>
      <c r="CU196" s="147"/>
      <c r="CV196" s="173"/>
      <c r="CW196" s="150"/>
      <c r="CX196" s="149"/>
      <c r="CY196" s="150"/>
      <c r="CZ196" s="136"/>
      <c r="DA196" s="149"/>
      <c r="DB196" s="150"/>
      <c r="DC196" s="136"/>
      <c r="DD196" s="149"/>
      <c r="DE196" s="150"/>
      <c r="DF196" s="136"/>
      <c r="DG196" s="136"/>
      <c r="DH196" s="136"/>
      <c r="DI196" s="136"/>
      <c r="DJ196" s="136"/>
      <c r="DK196" s="136"/>
      <c r="DL196" s="136"/>
      <c r="DM196" s="136"/>
      <c r="DN196" s="136"/>
      <c r="DO196" s="149"/>
      <c r="DP196" s="150"/>
      <c r="DQ196" s="20">
        <f t="shared" si="108"/>
        <v>0</v>
      </c>
      <c r="DR196" s="20">
        <f t="shared" si="109"/>
        <v>0</v>
      </c>
      <c r="DS196" s="20">
        <f>IFERROR((IF(AND($F196="Produit Vente",CO196&gt;0),VLOOKUP($C196,'[1]Paramètres Articles'!$B:$H,7,FALSE)*$CO196)*(1-20%)),0)</f>
        <v>0</v>
      </c>
      <c r="DT196" s="20">
        <f>IFERROR((IF(AND($F196="Produit Vente",DR196&gt;0),VLOOKUP($C196,'[1]Paramètres Articles'!$B:$H,6,FALSE)*$DR196)*(1-15%)),0)</f>
        <v>0</v>
      </c>
    </row>
    <row r="197" spans="2:124" ht="12.95" hidden="1" customHeight="1" outlineLevel="1">
      <c r="B197" s="1">
        <f>IF(C197="",0,COUNTIFS($B$22:B196,"&gt;"&amp;0)+1)</f>
        <v>0</v>
      </c>
      <c r="C197" s="85"/>
      <c r="D197" s="86" t="str">
        <f>IFERROR(IF($C197="","",VLOOKUP($C197,'[1]Paramètres Articles'!$B:$G,2,FALSE)),"Non Trouvé")</f>
        <v/>
      </c>
      <c r="E197" s="87" t="str">
        <f>IFERROR(IF($C197="","",_xlfn.XLOOKUP(REGENERANTS!$C197,'[1]New Base PA'!$F:$F,'[1]New Base PA'!$D:$D,"Not Found",0)),"Non Trouvé")</f>
        <v/>
      </c>
      <c r="F197" s="88"/>
      <c r="H197" s="101"/>
      <c r="J197" s="90" t="str">
        <f>IFERROR(IF($C197="","",VLOOKUP($C197,'[1]New Base PA'!$F:$J,5,FALSE)),"Non Trouvé")</f>
        <v/>
      </c>
      <c r="K197" s="131" t="str">
        <f t="shared" si="104"/>
        <v/>
      </c>
      <c r="L197" s="132"/>
      <c r="M197" s="90">
        <f>IFERROR(IF(AND($F197="Produit Vente",H197&gt;0),VLOOKUP($C197,'[1]Paramètres Articles'!$B:$G,6,FALSE),0),"Non Trouvé")</f>
        <v>0</v>
      </c>
      <c r="N197" s="90" t="str">
        <f t="shared" si="105"/>
        <v/>
      </c>
      <c r="P197" s="92"/>
      <c r="R197" s="90" t="str">
        <f t="shared" si="106"/>
        <v/>
      </c>
      <c r="S197" s="91"/>
      <c r="T197" s="90" t="str">
        <f>IFERROR(IF($C197="","",VLOOKUP($C197,'[1]Paramètres Articles'!$B:$H,7,FALSE)),"Non Trouvé")</f>
        <v/>
      </c>
      <c r="U197" s="93"/>
      <c r="V197" s="90" t="str">
        <f t="shared" si="110"/>
        <v/>
      </c>
      <c r="W197" s="91"/>
      <c r="X197" s="90" t="str">
        <f t="shared" si="111"/>
        <v/>
      </c>
      <c r="Y197" s="91"/>
      <c r="Z197" s="90">
        <f t="shared" si="107"/>
        <v>0</v>
      </c>
      <c r="AB197" s="94">
        <f>AB196</f>
        <v>0</v>
      </c>
      <c r="AC197" s="94">
        <f>AC196</f>
        <v>0.17</v>
      </c>
      <c r="AD197" s="90" t="str">
        <f t="shared" si="123"/>
        <v/>
      </c>
      <c r="AG197" s="94">
        <f>AG196</f>
        <v>0</v>
      </c>
      <c r="AH197" s="94">
        <f>AH196</f>
        <v>0.13</v>
      </c>
      <c r="AI197" s="90" t="str">
        <f t="shared" si="124"/>
        <v/>
      </c>
      <c r="AL197" s="94">
        <f>AL196</f>
        <v>0</v>
      </c>
      <c r="AM197" s="94">
        <f>AM196</f>
        <v>0.08</v>
      </c>
      <c r="AN197" s="90" t="str">
        <f t="shared" si="125"/>
        <v/>
      </c>
      <c r="AQ197" s="94">
        <f>AQ196</f>
        <v>0</v>
      </c>
      <c r="AR197" s="94">
        <f>AR196</f>
        <v>0.05</v>
      </c>
      <c r="AS197" s="90" t="str">
        <f t="shared" si="126"/>
        <v/>
      </c>
      <c r="AV197" s="94">
        <f>AV196</f>
        <v>0</v>
      </c>
      <c r="AW197" s="94">
        <f>AW196</f>
        <v>0.32500000000000001</v>
      </c>
      <c r="AX197" s="90" t="str">
        <f t="shared" si="127"/>
        <v/>
      </c>
      <c r="BA197" s="94">
        <f>BA196</f>
        <v>0</v>
      </c>
      <c r="BB197" s="94">
        <f>BB196</f>
        <v>0.29499999999999998</v>
      </c>
      <c r="BC197" s="90" t="str">
        <f t="shared" si="128"/>
        <v/>
      </c>
      <c r="BF197" s="94">
        <f>BF196</f>
        <v>0</v>
      </c>
      <c r="BG197" s="94">
        <f>BG196</f>
        <v>0.27500000000000002</v>
      </c>
      <c r="BH197" s="90" t="str">
        <f t="shared" si="129"/>
        <v/>
      </c>
      <c r="BK197" s="94">
        <f>BK196</f>
        <v>0</v>
      </c>
      <c r="BL197" s="94">
        <f>BL196</f>
        <v>0.245</v>
      </c>
      <c r="BM197" s="90" t="str">
        <f t="shared" si="130"/>
        <v/>
      </c>
      <c r="BP197" s="94">
        <f>BP196</f>
        <v>0</v>
      </c>
      <c r="BQ197" s="94">
        <f>BQ196</f>
        <v>0.22500000000000001</v>
      </c>
      <c r="BR197" s="90" t="str">
        <f t="shared" si="131"/>
        <v/>
      </c>
      <c r="BU197" s="94">
        <f>BU196</f>
        <v>0</v>
      </c>
      <c r="BV197" s="94">
        <f>BV196</f>
        <v>0.17499999999999999</v>
      </c>
      <c r="BW197" s="90" t="str">
        <f t="shared" si="132"/>
        <v/>
      </c>
      <c r="BZ197" s="94">
        <f>BZ196</f>
        <v>0</v>
      </c>
      <c r="CA197" s="94">
        <f>CA196</f>
        <v>0.15</v>
      </c>
      <c r="CB197" s="90" t="str">
        <f t="shared" si="133"/>
        <v/>
      </c>
      <c r="CE197" s="95"/>
      <c r="CF197" s="96"/>
      <c r="CG197" s="97"/>
      <c r="CH197" s="97"/>
      <c r="CI197" s="98"/>
      <c r="CK197" s="99">
        <f>IFERROR(IF(F197='[1]Paramètres Généraux'!$K$12,ROUNDUP((REGENERANTS!H197*REGENERANTS!$CF$166)*'[1]Paramètres Généraux'!$M$12,-1),REGENERANTS!H197*REGENERANTS!$CF$166),"nd")</f>
        <v>0</v>
      </c>
      <c r="CN197" s="146"/>
      <c r="CO197" s="147"/>
      <c r="CP197" s="147"/>
      <c r="CQ197" s="147"/>
      <c r="CR197" s="147"/>
      <c r="CS197" s="173"/>
      <c r="CT197" s="174"/>
      <c r="CU197" s="147"/>
      <c r="CV197" s="173"/>
      <c r="CW197" s="150"/>
      <c r="CX197" s="149"/>
      <c r="CY197" s="150"/>
      <c r="CZ197" s="136"/>
      <c r="DA197" s="149"/>
      <c r="DB197" s="150"/>
      <c r="DC197" s="136"/>
      <c r="DD197" s="149"/>
      <c r="DE197" s="150"/>
      <c r="DF197" s="136"/>
      <c r="DG197" s="136"/>
      <c r="DH197" s="136"/>
      <c r="DI197" s="136"/>
      <c r="DJ197" s="136"/>
      <c r="DK197" s="136"/>
      <c r="DL197" s="136"/>
      <c r="DM197" s="136"/>
      <c r="DN197" s="136"/>
      <c r="DO197" s="149"/>
      <c r="DP197" s="150"/>
      <c r="DQ197" s="20">
        <f t="shared" si="108"/>
        <v>0</v>
      </c>
      <c r="DR197" s="20">
        <f t="shared" si="109"/>
        <v>0</v>
      </c>
      <c r="DS197" s="20">
        <f>IFERROR((IF(AND($F197="Produit Vente",CO197&gt;0),VLOOKUP($C197,'[1]Paramètres Articles'!$B:$H,7,FALSE)*$CO197)*(1-20%)),0)</f>
        <v>0</v>
      </c>
      <c r="DT197" s="20">
        <f>IFERROR((IF(AND($F197="Produit Vente",DR197&gt;0),VLOOKUP($C197,'[1]Paramètres Articles'!$B:$H,6,FALSE)*$DR197)*(1-15%)),0)</f>
        <v>0</v>
      </c>
    </row>
    <row r="198" spans="2:124" ht="12.95" hidden="1" customHeight="1" outlineLevel="1">
      <c r="B198" s="1">
        <f>IF(C198="",0,COUNTIFS($B$22:B197,"&gt;"&amp;0)+1)</f>
        <v>0</v>
      </c>
      <c r="C198" s="85"/>
      <c r="D198" s="86" t="str">
        <f>IFERROR(IF($C198="","",VLOOKUP($C198,'[1]Paramètres Articles'!$B:$G,2,FALSE)),"Non Trouvé")</f>
        <v/>
      </c>
      <c r="E198" s="87" t="str">
        <f>IFERROR(IF($C198="","",_xlfn.XLOOKUP(REGENERANTS!$C198,'[1]New Base PA'!$F:$F,'[1]New Base PA'!$D:$D,"Not Found",0)),"Non Trouvé")</f>
        <v/>
      </c>
      <c r="F198" s="88"/>
      <c r="H198" s="101"/>
      <c r="J198" s="90" t="str">
        <f>IFERROR(IF($C198="","",VLOOKUP($C198,'[1]New Base PA'!$F:$J,5,FALSE)),"Non Trouvé")</f>
        <v/>
      </c>
      <c r="K198" s="131" t="str">
        <f t="shared" si="104"/>
        <v/>
      </c>
      <c r="L198" s="132"/>
      <c r="M198" s="90">
        <f>IFERROR(IF(AND($F198="Produit Vente",H198&gt;0),VLOOKUP($C198,'[1]Paramètres Articles'!$B:$G,6,FALSE),0),"Non Trouvé")</f>
        <v>0</v>
      </c>
      <c r="N198" s="90" t="str">
        <f t="shared" si="105"/>
        <v/>
      </c>
      <c r="P198" s="92"/>
      <c r="R198" s="90" t="str">
        <f t="shared" si="106"/>
        <v/>
      </c>
      <c r="S198" s="91"/>
      <c r="T198" s="90" t="str">
        <f>IFERROR(IF($C198="","",VLOOKUP($C198,'[1]Paramètres Articles'!$B:$H,7,FALSE)),"Non Trouvé")</f>
        <v/>
      </c>
      <c r="U198" s="93"/>
      <c r="V198" s="90" t="str">
        <f t="shared" si="110"/>
        <v/>
      </c>
      <c r="W198" s="91"/>
      <c r="X198" s="90" t="str">
        <f t="shared" si="111"/>
        <v/>
      </c>
      <c r="Y198" s="91"/>
      <c r="Z198" s="90">
        <f t="shared" si="107"/>
        <v>0</v>
      </c>
      <c r="AB198" s="94">
        <f>AB196</f>
        <v>0</v>
      </c>
      <c r="AC198" s="94">
        <f>AC196</f>
        <v>0.17</v>
      </c>
      <c r="AD198" s="90" t="str">
        <f t="shared" si="123"/>
        <v/>
      </c>
      <c r="AG198" s="94">
        <f>AG196</f>
        <v>0</v>
      </c>
      <c r="AH198" s="94">
        <f>AH196</f>
        <v>0.13</v>
      </c>
      <c r="AI198" s="90" t="str">
        <f t="shared" si="124"/>
        <v/>
      </c>
      <c r="AL198" s="94">
        <f>AL196</f>
        <v>0</v>
      </c>
      <c r="AM198" s="94">
        <f>AM196</f>
        <v>0.08</v>
      </c>
      <c r="AN198" s="90" t="str">
        <f t="shared" si="125"/>
        <v/>
      </c>
      <c r="AQ198" s="94">
        <f>AQ196</f>
        <v>0</v>
      </c>
      <c r="AR198" s="94">
        <f>AR196</f>
        <v>0.05</v>
      </c>
      <c r="AS198" s="90" t="str">
        <f t="shared" si="126"/>
        <v/>
      </c>
      <c r="AV198" s="94">
        <f>AV196</f>
        <v>0</v>
      </c>
      <c r="AW198" s="94">
        <f>AW196</f>
        <v>0.32500000000000001</v>
      </c>
      <c r="AX198" s="90" t="str">
        <f t="shared" si="127"/>
        <v/>
      </c>
      <c r="BA198" s="94">
        <f>BA196</f>
        <v>0</v>
      </c>
      <c r="BB198" s="94">
        <f>BB196</f>
        <v>0.29499999999999998</v>
      </c>
      <c r="BC198" s="90" t="str">
        <f t="shared" si="128"/>
        <v/>
      </c>
      <c r="BF198" s="94">
        <f>BF196</f>
        <v>0</v>
      </c>
      <c r="BG198" s="94">
        <f>BG196</f>
        <v>0.27500000000000002</v>
      </c>
      <c r="BH198" s="90" t="str">
        <f t="shared" si="129"/>
        <v/>
      </c>
      <c r="BK198" s="94">
        <f>BK196</f>
        <v>0</v>
      </c>
      <c r="BL198" s="94">
        <f>BL196</f>
        <v>0.245</v>
      </c>
      <c r="BM198" s="90" t="str">
        <f t="shared" si="130"/>
        <v/>
      </c>
      <c r="BP198" s="94">
        <f>BP196</f>
        <v>0</v>
      </c>
      <c r="BQ198" s="94">
        <f>BQ196</f>
        <v>0.22500000000000001</v>
      </c>
      <c r="BR198" s="90" t="str">
        <f t="shared" si="131"/>
        <v/>
      </c>
      <c r="BU198" s="94">
        <f>BU196</f>
        <v>0</v>
      </c>
      <c r="BV198" s="94">
        <f>BV196</f>
        <v>0.17499999999999999</v>
      </c>
      <c r="BW198" s="90" t="str">
        <f t="shared" si="132"/>
        <v/>
      </c>
      <c r="BZ198" s="94">
        <f>BZ196</f>
        <v>0</v>
      </c>
      <c r="CA198" s="94">
        <f>CA196</f>
        <v>0.15</v>
      </c>
      <c r="CB198" s="90" t="str">
        <f t="shared" si="133"/>
        <v/>
      </c>
      <c r="CE198" s="95"/>
      <c r="CF198" s="96"/>
      <c r="CG198" s="97"/>
      <c r="CH198" s="97"/>
      <c r="CI198" s="98"/>
      <c r="CK198" s="99">
        <f>IFERROR(IF(F198='[1]Paramètres Généraux'!$K$12,ROUNDUP((REGENERANTS!H198*REGENERANTS!$CF$166)*'[1]Paramètres Généraux'!$M$12,-1),REGENERANTS!H198*REGENERANTS!$CF$166),"nd")</f>
        <v>0</v>
      </c>
      <c r="CN198" s="146"/>
      <c r="CO198" s="147"/>
      <c r="CP198" s="147"/>
      <c r="CQ198" s="147"/>
      <c r="CR198" s="147"/>
      <c r="CS198" s="173"/>
      <c r="CT198" s="174"/>
      <c r="CU198" s="147"/>
      <c r="CV198" s="173"/>
      <c r="CW198" s="150"/>
      <c r="CX198" s="149"/>
      <c r="CY198" s="150"/>
      <c r="CZ198" s="136"/>
      <c r="DA198" s="149"/>
      <c r="DB198" s="150"/>
      <c r="DC198" s="136"/>
      <c r="DD198" s="149"/>
      <c r="DE198" s="150"/>
      <c r="DF198" s="136"/>
      <c r="DG198" s="136"/>
      <c r="DH198" s="136"/>
      <c r="DI198" s="136"/>
      <c r="DJ198" s="136"/>
      <c r="DK198" s="136"/>
      <c r="DL198" s="136"/>
      <c r="DM198" s="136"/>
      <c r="DN198" s="136"/>
      <c r="DO198" s="149"/>
      <c r="DP198" s="150"/>
      <c r="DQ198" s="20">
        <f t="shared" si="108"/>
        <v>0</v>
      </c>
      <c r="DR198" s="20">
        <f t="shared" si="109"/>
        <v>0</v>
      </c>
      <c r="DS198" s="20">
        <f>IFERROR((IF(AND($F198="Produit Vente",CO198&gt;0),VLOOKUP($C198,'[1]Paramètres Articles'!$B:$H,7,FALSE)*$CO198)*(1-20%)),0)</f>
        <v>0</v>
      </c>
      <c r="DT198" s="20">
        <f>IFERROR((IF(AND($F198="Produit Vente",DR198&gt;0),VLOOKUP($C198,'[1]Paramètres Articles'!$B:$H,6,FALSE)*$DR198)*(1-15%)),0)</f>
        <v>0</v>
      </c>
    </row>
    <row r="199" spans="2:124" ht="12.95" hidden="1" customHeight="1" outlineLevel="1">
      <c r="B199" s="1">
        <f>IF(C199="",0,COUNTIFS($B$22:B198,"&gt;"&amp;0)+1)</f>
        <v>0</v>
      </c>
      <c r="C199" s="85"/>
      <c r="D199" s="86" t="str">
        <f>IFERROR(IF($C199="","",VLOOKUP($C199,'[1]Paramètres Articles'!$B:$G,2,FALSE)),"Non Trouvé")</f>
        <v/>
      </c>
      <c r="E199" s="87" t="str">
        <f>IFERROR(IF($C199="","",_xlfn.XLOOKUP(REGENERANTS!$C199,'[1]New Base PA'!$F:$F,'[1]New Base PA'!$D:$D,"Not Found",0)),"Non Trouvé")</f>
        <v/>
      </c>
      <c r="F199" s="88"/>
      <c r="H199" s="101"/>
      <c r="J199" s="90" t="str">
        <f>IFERROR(IF($C199="","",VLOOKUP($C199,'[1]New Base PA'!$F:$J,5,FALSE)),"Non Trouvé")</f>
        <v/>
      </c>
      <c r="K199" s="131" t="str">
        <f t="shared" si="104"/>
        <v/>
      </c>
      <c r="L199" s="132"/>
      <c r="M199" s="90">
        <f>IFERROR(IF(AND($F199="Produit Vente",H199&gt;0),VLOOKUP($C199,'[1]Paramètres Articles'!$B:$G,6,FALSE),0),"Non Trouvé")</f>
        <v>0</v>
      </c>
      <c r="N199" s="90" t="str">
        <f t="shared" si="105"/>
        <v/>
      </c>
      <c r="P199" s="92"/>
      <c r="R199" s="90" t="str">
        <f t="shared" si="106"/>
        <v/>
      </c>
      <c r="S199" s="91"/>
      <c r="T199" s="90" t="str">
        <f>IFERROR(IF($C199="","",VLOOKUP($C199,'[1]Paramètres Articles'!$B:$H,7,FALSE)),"Non Trouvé")</f>
        <v/>
      </c>
      <c r="U199" s="93"/>
      <c r="V199" s="90" t="str">
        <f t="shared" si="110"/>
        <v/>
      </c>
      <c r="W199" s="91"/>
      <c r="X199" s="90" t="str">
        <f t="shared" si="111"/>
        <v/>
      </c>
      <c r="Y199" s="91"/>
      <c r="Z199" s="90">
        <f t="shared" si="107"/>
        <v>0</v>
      </c>
      <c r="AB199" s="94">
        <f>AB198</f>
        <v>0</v>
      </c>
      <c r="AC199" s="94">
        <f>AC198</f>
        <v>0.17</v>
      </c>
      <c r="AD199" s="90" t="str">
        <f t="shared" si="123"/>
        <v/>
      </c>
      <c r="AG199" s="94">
        <f>AG198</f>
        <v>0</v>
      </c>
      <c r="AH199" s="94">
        <f>AH198</f>
        <v>0.13</v>
      </c>
      <c r="AI199" s="90" t="str">
        <f t="shared" si="124"/>
        <v/>
      </c>
      <c r="AL199" s="94">
        <f>AL198</f>
        <v>0</v>
      </c>
      <c r="AM199" s="94">
        <f>AM198</f>
        <v>0.08</v>
      </c>
      <c r="AN199" s="90" t="str">
        <f t="shared" si="125"/>
        <v/>
      </c>
      <c r="AQ199" s="94">
        <f>AQ198</f>
        <v>0</v>
      </c>
      <c r="AR199" s="94">
        <f>AR198</f>
        <v>0.05</v>
      </c>
      <c r="AS199" s="90" t="str">
        <f t="shared" si="126"/>
        <v/>
      </c>
      <c r="AV199" s="94">
        <f>AV198</f>
        <v>0</v>
      </c>
      <c r="AW199" s="94">
        <f>AW198</f>
        <v>0.32500000000000001</v>
      </c>
      <c r="AX199" s="90" t="str">
        <f t="shared" si="127"/>
        <v/>
      </c>
      <c r="BA199" s="94">
        <f>BA198</f>
        <v>0</v>
      </c>
      <c r="BB199" s="94">
        <f>BB198</f>
        <v>0.29499999999999998</v>
      </c>
      <c r="BC199" s="90" t="str">
        <f t="shared" si="128"/>
        <v/>
      </c>
      <c r="BF199" s="94">
        <f>BF198</f>
        <v>0</v>
      </c>
      <c r="BG199" s="94">
        <f>BG198</f>
        <v>0.27500000000000002</v>
      </c>
      <c r="BH199" s="90" t="str">
        <f t="shared" si="129"/>
        <v/>
      </c>
      <c r="BK199" s="94">
        <f>BK198</f>
        <v>0</v>
      </c>
      <c r="BL199" s="94">
        <f>BL198</f>
        <v>0.245</v>
      </c>
      <c r="BM199" s="90" t="str">
        <f t="shared" si="130"/>
        <v/>
      </c>
      <c r="BP199" s="94">
        <f>BP198</f>
        <v>0</v>
      </c>
      <c r="BQ199" s="94">
        <f>BQ198</f>
        <v>0.22500000000000001</v>
      </c>
      <c r="BR199" s="90" t="str">
        <f t="shared" si="131"/>
        <v/>
      </c>
      <c r="BU199" s="94">
        <f>BU198</f>
        <v>0</v>
      </c>
      <c r="BV199" s="94">
        <f>BV198</f>
        <v>0.17499999999999999</v>
      </c>
      <c r="BW199" s="90" t="str">
        <f t="shared" si="132"/>
        <v/>
      </c>
      <c r="BZ199" s="94">
        <f>BZ198</f>
        <v>0</v>
      </c>
      <c r="CA199" s="94">
        <f>CA198</f>
        <v>0.15</v>
      </c>
      <c r="CB199" s="90" t="str">
        <f t="shared" si="133"/>
        <v/>
      </c>
      <c r="CE199" s="95"/>
      <c r="CF199" s="96"/>
      <c r="CG199" s="97"/>
      <c r="CH199" s="97"/>
      <c r="CI199" s="98"/>
      <c r="CK199" s="99">
        <f>IFERROR(IF(F199='[1]Paramètres Généraux'!$K$12,ROUNDUP((REGENERANTS!H199*REGENERANTS!$CF$166)*'[1]Paramètres Généraux'!$M$12,-1),REGENERANTS!H199*REGENERANTS!$CF$166),"nd")</f>
        <v>0</v>
      </c>
      <c r="CN199" s="146"/>
      <c r="CO199" s="147"/>
      <c r="CP199" s="147"/>
      <c r="CQ199" s="147"/>
      <c r="CR199" s="147"/>
      <c r="CS199" s="173"/>
      <c r="CT199" s="174"/>
      <c r="CU199" s="147"/>
      <c r="CV199" s="173"/>
      <c r="CW199" s="150"/>
      <c r="CX199" s="149"/>
      <c r="CY199" s="150"/>
      <c r="CZ199" s="136"/>
      <c r="DA199" s="149"/>
      <c r="DB199" s="150"/>
      <c r="DC199" s="136"/>
      <c r="DD199" s="149"/>
      <c r="DE199" s="150"/>
      <c r="DF199" s="136"/>
      <c r="DG199" s="136"/>
      <c r="DH199" s="136"/>
      <c r="DI199" s="136"/>
      <c r="DJ199" s="136"/>
      <c r="DK199" s="136"/>
      <c r="DL199" s="136"/>
      <c r="DM199" s="136"/>
      <c r="DN199" s="136"/>
      <c r="DO199" s="149"/>
      <c r="DP199" s="150"/>
      <c r="DQ199" s="20">
        <f t="shared" si="108"/>
        <v>0</v>
      </c>
      <c r="DR199" s="20">
        <f t="shared" si="109"/>
        <v>0</v>
      </c>
      <c r="DS199" s="20">
        <f>IFERROR((IF(AND($F199="Produit Vente",CO199&gt;0),VLOOKUP($C199,'[1]Paramètres Articles'!$B:$H,7,FALSE)*$CO199)*(1-20%)),0)</f>
        <v>0</v>
      </c>
      <c r="DT199" s="20">
        <f>IFERROR((IF(AND($F199="Produit Vente",DR199&gt;0),VLOOKUP($C199,'[1]Paramètres Articles'!$B:$H,6,FALSE)*$DR199)*(1-15%)),0)</f>
        <v>0</v>
      </c>
    </row>
    <row r="200" spans="2:124" ht="12.95" hidden="1" customHeight="1" outlineLevel="1">
      <c r="B200" s="1">
        <f>IF(C200="",0,COUNTIFS($B$22:B199,"&gt;"&amp;0)+1)</f>
        <v>0</v>
      </c>
      <c r="C200" s="85"/>
      <c r="D200" s="86" t="str">
        <f>IFERROR(IF($C200="","",VLOOKUP($C200,'[1]Paramètres Articles'!$B:$G,2,FALSE)),"Non Trouvé")</f>
        <v/>
      </c>
      <c r="E200" s="87" t="str">
        <f>IFERROR(IF($C200="","",_xlfn.XLOOKUP(REGENERANTS!$C200,'[1]New Base PA'!$F:$F,'[1]New Base PA'!$D:$D,"Not Found",0)),"Non Trouvé")</f>
        <v/>
      </c>
      <c r="F200" s="88"/>
      <c r="H200" s="101"/>
      <c r="J200" s="90" t="str">
        <f>IFERROR(IF($C200="","",VLOOKUP($C200,'[1]New Base PA'!$F:$J,5,FALSE)),"Non Trouvé")</f>
        <v/>
      </c>
      <c r="K200" s="131" t="str">
        <f t="shared" si="104"/>
        <v/>
      </c>
      <c r="L200" s="132"/>
      <c r="M200" s="90">
        <f>IFERROR(IF(AND($F200="Produit Vente",H200&gt;0),VLOOKUP($C200,'[1]Paramètres Articles'!$B:$G,6,FALSE),0),"Non Trouvé")</f>
        <v>0</v>
      </c>
      <c r="N200" s="90" t="str">
        <f t="shared" si="105"/>
        <v/>
      </c>
      <c r="P200" s="92"/>
      <c r="R200" s="90" t="str">
        <f t="shared" si="106"/>
        <v/>
      </c>
      <c r="S200" s="91"/>
      <c r="T200" s="90" t="str">
        <f>IFERROR(IF($C200="","",VLOOKUP($C200,'[1]Paramètres Articles'!$B:$H,7,FALSE)),"Non Trouvé")</f>
        <v/>
      </c>
      <c r="U200" s="93"/>
      <c r="V200" s="90" t="str">
        <f t="shared" si="110"/>
        <v/>
      </c>
      <c r="W200" s="91"/>
      <c r="X200" s="90" t="str">
        <f t="shared" si="111"/>
        <v/>
      </c>
      <c r="Y200" s="91"/>
      <c r="Z200" s="90">
        <f t="shared" si="107"/>
        <v>0</v>
      </c>
      <c r="AB200" s="94">
        <f>AB198</f>
        <v>0</v>
      </c>
      <c r="AC200" s="94">
        <f>AC198</f>
        <v>0.17</v>
      </c>
      <c r="AD200" s="90" t="str">
        <f t="shared" si="123"/>
        <v/>
      </c>
      <c r="AG200" s="94">
        <f>AG198</f>
        <v>0</v>
      </c>
      <c r="AH200" s="94">
        <f>AH198</f>
        <v>0.13</v>
      </c>
      <c r="AI200" s="90" t="str">
        <f t="shared" si="124"/>
        <v/>
      </c>
      <c r="AL200" s="94">
        <f>AL198</f>
        <v>0</v>
      </c>
      <c r="AM200" s="94">
        <f>AM198</f>
        <v>0.08</v>
      </c>
      <c r="AN200" s="90" t="str">
        <f t="shared" si="125"/>
        <v/>
      </c>
      <c r="AQ200" s="94">
        <f>AQ198</f>
        <v>0</v>
      </c>
      <c r="AR200" s="94">
        <f>AR198</f>
        <v>0.05</v>
      </c>
      <c r="AS200" s="90" t="str">
        <f t="shared" si="126"/>
        <v/>
      </c>
      <c r="AV200" s="94">
        <f>AV198</f>
        <v>0</v>
      </c>
      <c r="AW200" s="94">
        <f>AW198</f>
        <v>0.32500000000000001</v>
      </c>
      <c r="AX200" s="90" t="str">
        <f t="shared" si="127"/>
        <v/>
      </c>
      <c r="BA200" s="94">
        <f>BA198</f>
        <v>0</v>
      </c>
      <c r="BB200" s="94">
        <f>BB198</f>
        <v>0.29499999999999998</v>
      </c>
      <c r="BC200" s="90" t="str">
        <f t="shared" si="128"/>
        <v/>
      </c>
      <c r="BF200" s="94">
        <f>BF198</f>
        <v>0</v>
      </c>
      <c r="BG200" s="94">
        <f>BG198</f>
        <v>0.27500000000000002</v>
      </c>
      <c r="BH200" s="90" t="str">
        <f t="shared" si="129"/>
        <v/>
      </c>
      <c r="BK200" s="94">
        <f>BK198</f>
        <v>0</v>
      </c>
      <c r="BL200" s="94">
        <f>BL198</f>
        <v>0.245</v>
      </c>
      <c r="BM200" s="90" t="str">
        <f t="shared" si="130"/>
        <v/>
      </c>
      <c r="BP200" s="94">
        <f>BP198</f>
        <v>0</v>
      </c>
      <c r="BQ200" s="94">
        <f>BQ198</f>
        <v>0.22500000000000001</v>
      </c>
      <c r="BR200" s="90" t="str">
        <f t="shared" si="131"/>
        <v/>
      </c>
      <c r="BU200" s="94">
        <f>BU198</f>
        <v>0</v>
      </c>
      <c r="BV200" s="94">
        <f>BV198</f>
        <v>0.17499999999999999</v>
      </c>
      <c r="BW200" s="90" t="str">
        <f t="shared" si="132"/>
        <v/>
      </c>
      <c r="BZ200" s="94">
        <f>BZ198</f>
        <v>0</v>
      </c>
      <c r="CA200" s="94">
        <f>CA198</f>
        <v>0.15</v>
      </c>
      <c r="CB200" s="90" t="str">
        <f t="shared" si="133"/>
        <v/>
      </c>
      <c r="CE200" s="95"/>
      <c r="CF200" s="96"/>
      <c r="CG200" s="97"/>
      <c r="CH200" s="97"/>
      <c r="CI200" s="98"/>
      <c r="CK200" s="99">
        <f>IFERROR(IF(F200='[1]Paramètres Généraux'!$K$12,ROUNDUP((REGENERANTS!H200*REGENERANTS!$CF$166)*'[1]Paramètres Généraux'!$M$12,-1),REGENERANTS!H200*REGENERANTS!$CF$166),"nd")</f>
        <v>0</v>
      </c>
      <c r="CN200" s="146"/>
      <c r="CO200" s="147"/>
      <c r="CP200" s="147"/>
      <c r="CQ200" s="147"/>
      <c r="CR200" s="147"/>
      <c r="CS200" s="173"/>
      <c r="CT200" s="174"/>
      <c r="CU200" s="147"/>
      <c r="CV200" s="173"/>
      <c r="CW200" s="150"/>
      <c r="CX200" s="149"/>
      <c r="CY200" s="150"/>
      <c r="CZ200" s="136"/>
      <c r="DA200" s="149"/>
      <c r="DB200" s="150"/>
      <c r="DC200" s="136"/>
      <c r="DD200" s="149"/>
      <c r="DE200" s="150"/>
      <c r="DF200" s="136"/>
      <c r="DG200" s="136"/>
      <c r="DH200" s="136"/>
      <c r="DI200" s="136"/>
      <c r="DJ200" s="136"/>
      <c r="DK200" s="136"/>
      <c r="DL200" s="136"/>
      <c r="DM200" s="136"/>
      <c r="DN200" s="136"/>
      <c r="DO200" s="149"/>
      <c r="DP200" s="150"/>
      <c r="DQ200" s="20">
        <f t="shared" si="108"/>
        <v>0</v>
      </c>
      <c r="DR200" s="20">
        <f t="shared" si="109"/>
        <v>0</v>
      </c>
      <c r="DS200" s="20">
        <f>IFERROR((IF(AND($F200="Produit Vente",CO200&gt;0),VLOOKUP($C200,'[1]Paramètres Articles'!$B:$H,7,FALSE)*$CO200)*(1-20%)),0)</f>
        <v>0</v>
      </c>
      <c r="DT200" s="20">
        <f>IFERROR((IF(AND($F200="Produit Vente",DR200&gt;0),VLOOKUP($C200,'[1]Paramètres Articles'!$B:$H,6,FALSE)*$DR200)*(1-15%)),0)</f>
        <v>0</v>
      </c>
    </row>
    <row r="201" spans="2:124" ht="12.95" hidden="1" customHeight="1" outlineLevel="1">
      <c r="B201" s="1">
        <f>IF(C201="",0,COUNTIFS($B$22:B200,"&gt;"&amp;0)+1)</f>
        <v>0</v>
      </c>
      <c r="C201" s="85"/>
      <c r="D201" s="86" t="str">
        <f>IFERROR(IF($C201="","",VLOOKUP($C201,'[1]Paramètres Articles'!$B:$G,2,FALSE)),"Non Trouvé")</f>
        <v/>
      </c>
      <c r="E201" s="87" t="str">
        <f>IFERROR(IF($C201="","",_xlfn.XLOOKUP(REGENERANTS!$C201,'[1]New Base PA'!$F:$F,'[1]New Base PA'!$D:$D,"Not Found",0)),"Non Trouvé")</f>
        <v/>
      </c>
      <c r="F201" s="88"/>
      <c r="H201" s="101"/>
      <c r="J201" s="90" t="str">
        <f>IFERROR(IF($C201="","",VLOOKUP($C201,'[1]New Base PA'!$F:$J,5,FALSE)),"Non Trouvé")</f>
        <v/>
      </c>
      <c r="K201" s="131" t="str">
        <f t="shared" si="104"/>
        <v/>
      </c>
      <c r="L201" s="132"/>
      <c r="M201" s="90">
        <f>IFERROR(IF(AND($F201="Produit Vente",H201&gt;0),VLOOKUP($C201,'[1]Paramètres Articles'!$B:$G,6,FALSE),0),"Non Trouvé")</f>
        <v>0</v>
      </c>
      <c r="N201" s="90" t="str">
        <f t="shared" si="105"/>
        <v/>
      </c>
      <c r="P201" s="92"/>
      <c r="R201" s="90" t="str">
        <f t="shared" si="106"/>
        <v/>
      </c>
      <c r="S201" s="91"/>
      <c r="T201" s="90" t="str">
        <f>IFERROR(IF($C201="","",VLOOKUP($C201,'[1]Paramètres Articles'!$B:$H,7,FALSE)),"Non Trouvé")</f>
        <v/>
      </c>
      <c r="U201" s="93"/>
      <c r="V201" s="90" t="str">
        <f t="shared" si="110"/>
        <v/>
      </c>
      <c r="W201" s="91"/>
      <c r="X201" s="90" t="str">
        <f t="shared" si="111"/>
        <v/>
      </c>
      <c r="Y201" s="91"/>
      <c r="Z201" s="90">
        <f t="shared" si="107"/>
        <v>0</v>
      </c>
      <c r="AB201" s="94">
        <f>AB200</f>
        <v>0</v>
      </c>
      <c r="AC201" s="94">
        <f>AC200</f>
        <v>0.17</v>
      </c>
      <c r="AD201" s="90" t="str">
        <f t="shared" si="123"/>
        <v/>
      </c>
      <c r="AG201" s="94">
        <f>AG200</f>
        <v>0</v>
      </c>
      <c r="AH201" s="94">
        <f>AH200</f>
        <v>0.13</v>
      </c>
      <c r="AI201" s="90" t="str">
        <f t="shared" si="124"/>
        <v/>
      </c>
      <c r="AL201" s="94">
        <f>AL200</f>
        <v>0</v>
      </c>
      <c r="AM201" s="94">
        <f>AM200</f>
        <v>0.08</v>
      </c>
      <c r="AN201" s="90" t="str">
        <f t="shared" si="125"/>
        <v/>
      </c>
      <c r="AQ201" s="94">
        <f>AQ200</f>
        <v>0</v>
      </c>
      <c r="AR201" s="94">
        <f>AR200</f>
        <v>0.05</v>
      </c>
      <c r="AS201" s="90" t="str">
        <f t="shared" si="126"/>
        <v/>
      </c>
      <c r="AV201" s="94">
        <f>AV200</f>
        <v>0</v>
      </c>
      <c r="AW201" s="94">
        <f>AW200</f>
        <v>0.32500000000000001</v>
      </c>
      <c r="AX201" s="90" t="str">
        <f t="shared" si="127"/>
        <v/>
      </c>
      <c r="BA201" s="94">
        <f>BA200</f>
        <v>0</v>
      </c>
      <c r="BB201" s="94">
        <f>BB200</f>
        <v>0.29499999999999998</v>
      </c>
      <c r="BC201" s="90" t="str">
        <f t="shared" si="128"/>
        <v/>
      </c>
      <c r="BF201" s="94">
        <f>BF200</f>
        <v>0</v>
      </c>
      <c r="BG201" s="94">
        <f>BG200</f>
        <v>0.27500000000000002</v>
      </c>
      <c r="BH201" s="90" t="str">
        <f t="shared" si="129"/>
        <v/>
      </c>
      <c r="BK201" s="94">
        <f>BK200</f>
        <v>0</v>
      </c>
      <c r="BL201" s="94">
        <f>BL200</f>
        <v>0.245</v>
      </c>
      <c r="BM201" s="90" t="str">
        <f t="shared" si="130"/>
        <v/>
      </c>
      <c r="BP201" s="94">
        <f>BP200</f>
        <v>0</v>
      </c>
      <c r="BQ201" s="94">
        <f>BQ200</f>
        <v>0.22500000000000001</v>
      </c>
      <c r="BR201" s="90" t="str">
        <f t="shared" si="131"/>
        <v/>
      </c>
      <c r="BU201" s="94">
        <f>BU200</f>
        <v>0</v>
      </c>
      <c r="BV201" s="94">
        <f>BV200</f>
        <v>0.17499999999999999</v>
      </c>
      <c r="BW201" s="90" t="str">
        <f t="shared" si="132"/>
        <v/>
      </c>
      <c r="BZ201" s="94">
        <f>BZ200</f>
        <v>0</v>
      </c>
      <c r="CA201" s="94">
        <f>CA200</f>
        <v>0.15</v>
      </c>
      <c r="CB201" s="90" t="str">
        <f t="shared" si="133"/>
        <v/>
      </c>
      <c r="CE201" s="95"/>
      <c r="CF201" s="96"/>
      <c r="CG201" s="97"/>
      <c r="CH201" s="97"/>
      <c r="CI201" s="98"/>
      <c r="CK201" s="99">
        <f>IFERROR(IF(F201='[1]Paramètres Généraux'!$K$12,ROUNDUP((REGENERANTS!H201*REGENERANTS!$CF$166)*'[1]Paramètres Généraux'!$M$12,-1),REGENERANTS!H201*REGENERANTS!$CF$166),"nd")</f>
        <v>0</v>
      </c>
      <c r="CN201" s="146"/>
      <c r="CO201" s="147"/>
      <c r="CP201" s="147"/>
      <c r="CQ201" s="147"/>
      <c r="CR201" s="147"/>
      <c r="CS201" s="173"/>
      <c r="CT201" s="174"/>
      <c r="CU201" s="147"/>
      <c r="CV201" s="173"/>
      <c r="CW201" s="150"/>
      <c r="CX201" s="149"/>
      <c r="CY201" s="150"/>
      <c r="CZ201" s="136"/>
      <c r="DA201" s="149"/>
      <c r="DB201" s="150"/>
      <c r="DC201" s="136"/>
      <c r="DD201" s="149"/>
      <c r="DE201" s="150"/>
      <c r="DF201" s="136"/>
      <c r="DG201" s="136"/>
      <c r="DH201" s="136"/>
      <c r="DI201" s="136"/>
      <c r="DJ201" s="136"/>
      <c r="DK201" s="136"/>
      <c r="DL201" s="136"/>
      <c r="DM201" s="136"/>
      <c r="DN201" s="136"/>
      <c r="DO201" s="149"/>
      <c r="DP201" s="150"/>
      <c r="DQ201" s="20">
        <f t="shared" si="108"/>
        <v>0</v>
      </c>
      <c r="DR201" s="20">
        <f t="shared" si="109"/>
        <v>0</v>
      </c>
      <c r="DS201" s="20">
        <f>IFERROR((IF(AND($F201="Produit Vente",CO201&gt;0),VLOOKUP($C201,'[1]Paramètres Articles'!$B:$H,7,FALSE)*$CO201)*(1-20%)),0)</f>
        <v>0</v>
      </c>
      <c r="DT201" s="20">
        <f>IFERROR((IF(AND($F201="Produit Vente",DR201&gt;0),VLOOKUP($C201,'[1]Paramètres Articles'!$B:$H,6,FALSE)*$DR201)*(1-15%)),0)</f>
        <v>0</v>
      </c>
    </row>
    <row r="202" spans="2:124" ht="12.95" hidden="1" customHeight="1" outlineLevel="1">
      <c r="B202" s="1">
        <f>IF(C202="",0,COUNTIFS($B$22:B201,"&gt;"&amp;0)+1)</f>
        <v>0</v>
      </c>
      <c r="C202" s="85"/>
      <c r="D202" s="86" t="str">
        <f>IFERROR(IF($C202="","",VLOOKUP($C202,'[1]Paramètres Articles'!$B:$G,2,FALSE)),"Non Trouvé")</f>
        <v/>
      </c>
      <c r="E202" s="87" t="str">
        <f>IFERROR(IF($C202="","",_xlfn.XLOOKUP(REGENERANTS!$C202,'[1]New Base PA'!$F:$F,'[1]New Base PA'!$D:$D,"Not Found",0)),"Non Trouvé")</f>
        <v/>
      </c>
      <c r="F202" s="88"/>
      <c r="H202" s="101"/>
      <c r="J202" s="90" t="str">
        <f>IFERROR(IF($C202="","",VLOOKUP($C202,'[1]New Base PA'!$F:$J,5,FALSE)),"Non Trouvé")</f>
        <v/>
      </c>
      <c r="K202" s="131" t="str">
        <f t="shared" si="104"/>
        <v/>
      </c>
      <c r="L202" s="132"/>
      <c r="M202" s="90">
        <f>IFERROR(IF(AND($F202="Produit Vente",H202&gt;0),VLOOKUP($C202,'[1]Paramètres Articles'!$B:$G,6,FALSE),0),"Non Trouvé")</f>
        <v>0</v>
      </c>
      <c r="N202" s="90" t="str">
        <f t="shared" si="105"/>
        <v/>
      </c>
      <c r="P202" s="92"/>
      <c r="R202" s="90" t="str">
        <f t="shared" si="106"/>
        <v/>
      </c>
      <c r="S202" s="91"/>
      <c r="T202" s="90" t="str">
        <f>IFERROR(IF($C202="","",VLOOKUP($C202,'[1]Paramètres Articles'!$B:$H,7,FALSE)),"Non Trouvé")</f>
        <v/>
      </c>
      <c r="U202" s="93"/>
      <c r="V202" s="90" t="str">
        <f t="shared" si="110"/>
        <v/>
      </c>
      <c r="W202" s="91"/>
      <c r="X202" s="90" t="str">
        <f t="shared" si="111"/>
        <v/>
      </c>
      <c r="Y202" s="91"/>
      <c r="Z202" s="90">
        <f t="shared" si="107"/>
        <v>0</v>
      </c>
      <c r="AB202" s="94">
        <f>AB200</f>
        <v>0</v>
      </c>
      <c r="AC202" s="94">
        <f>AC200</f>
        <v>0.17</v>
      </c>
      <c r="AD202" s="90" t="str">
        <f t="shared" si="123"/>
        <v/>
      </c>
      <c r="AG202" s="94">
        <f>AG200</f>
        <v>0</v>
      </c>
      <c r="AH202" s="94">
        <f>AH200</f>
        <v>0.13</v>
      </c>
      <c r="AI202" s="90" t="str">
        <f t="shared" si="124"/>
        <v/>
      </c>
      <c r="AL202" s="94">
        <f>AL200</f>
        <v>0</v>
      </c>
      <c r="AM202" s="94">
        <f>AM200</f>
        <v>0.08</v>
      </c>
      <c r="AN202" s="90" t="str">
        <f t="shared" si="125"/>
        <v/>
      </c>
      <c r="AQ202" s="94">
        <f>AQ200</f>
        <v>0</v>
      </c>
      <c r="AR202" s="94">
        <f>AR200</f>
        <v>0.05</v>
      </c>
      <c r="AS202" s="90" t="str">
        <f t="shared" si="126"/>
        <v/>
      </c>
      <c r="AV202" s="94">
        <f>AV200</f>
        <v>0</v>
      </c>
      <c r="AW202" s="94">
        <f>AW200</f>
        <v>0.32500000000000001</v>
      </c>
      <c r="AX202" s="90" t="str">
        <f t="shared" si="127"/>
        <v/>
      </c>
      <c r="BA202" s="94">
        <f>BA200</f>
        <v>0</v>
      </c>
      <c r="BB202" s="94">
        <f>BB200</f>
        <v>0.29499999999999998</v>
      </c>
      <c r="BC202" s="90" t="str">
        <f t="shared" si="128"/>
        <v/>
      </c>
      <c r="BF202" s="94">
        <f>BF200</f>
        <v>0</v>
      </c>
      <c r="BG202" s="94">
        <f>BG200</f>
        <v>0.27500000000000002</v>
      </c>
      <c r="BH202" s="90" t="str">
        <f t="shared" si="129"/>
        <v/>
      </c>
      <c r="BK202" s="94">
        <f>BK200</f>
        <v>0</v>
      </c>
      <c r="BL202" s="94">
        <f>BL200</f>
        <v>0.245</v>
      </c>
      <c r="BM202" s="90" t="str">
        <f t="shared" si="130"/>
        <v/>
      </c>
      <c r="BP202" s="94">
        <f>BP200</f>
        <v>0</v>
      </c>
      <c r="BQ202" s="94">
        <f>BQ200</f>
        <v>0.22500000000000001</v>
      </c>
      <c r="BR202" s="90" t="str">
        <f t="shared" si="131"/>
        <v/>
      </c>
      <c r="BU202" s="94">
        <f>BU200</f>
        <v>0</v>
      </c>
      <c r="BV202" s="94">
        <f>BV200</f>
        <v>0.17499999999999999</v>
      </c>
      <c r="BW202" s="90" t="str">
        <f t="shared" si="132"/>
        <v/>
      </c>
      <c r="BZ202" s="94">
        <f>BZ200</f>
        <v>0</v>
      </c>
      <c r="CA202" s="94">
        <f>CA200</f>
        <v>0.15</v>
      </c>
      <c r="CB202" s="90" t="str">
        <f t="shared" si="133"/>
        <v/>
      </c>
      <c r="CE202" s="95"/>
      <c r="CF202" s="96"/>
      <c r="CG202" s="97"/>
      <c r="CH202" s="97"/>
      <c r="CI202" s="98"/>
      <c r="CK202" s="99">
        <f>IFERROR(IF(F202='[1]Paramètres Généraux'!$K$12,ROUNDUP((REGENERANTS!H202*REGENERANTS!$CF$166)*'[1]Paramètres Généraux'!$M$12,-1),REGENERANTS!H202*REGENERANTS!$CF$166),"nd")</f>
        <v>0</v>
      </c>
      <c r="CN202" s="146"/>
      <c r="CO202" s="147"/>
      <c r="CP202" s="147"/>
      <c r="CQ202" s="147"/>
      <c r="CR202" s="147"/>
      <c r="CS202" s="173"/>
      <c r="CT202" s="174"/>
      <c r="CU202" s="147"/>
      <c r="CV202" s="173"/>
      <c r="CW202" s="150"/>
      <c r="CX202" s="149"/>
      <c r="CY202" s="150"/>
      <c r="CZ202" s="136"/>
      <c r="DA202" s="149"/>
      <c r="DB202" s="150"/>
      <c r="DC202" s="136"/>
      <c r="DD202" s="149"/>
      <c r="DE202" s="150"/>
      <c r="DF202" s="136"/>
      <c r="DG202" s="136"/>
      <c r="DH202" s="136"/>
      <c r="DI202" s="136"/>
      <c r="DJ202" s="136"/>
      <c r="DK202" s="136"/>
      <c r="DL202" s="136"/>
      <c r="DM202" s="136"/>
      <c r="DN202" s="136"/>
      <c r="DO202" s="149"/>
      <c r="DP202" s="150"/>
      <c r="DQ202" s="20">
        <f t="shared" si="108"/>
        <v>0</v>
      </c>
      <c r="DR202" s="20">
        <f t="shared" si="109"/>
        <v>0</v>
      </c>
      <c r="DS202" s="20">
        <f>IFERROR((IF(AND($F202="Produit Vente",CO202&gt;0),VLOOKUP($C202,'[1]Paramètres Articles'!$B:$H,7,FALSE)*$CO202)*(1-20%)),0)</f>
        <v>0</v>
      </c>
      <c r="DT202" s="20">
        <f>IFERROR((IF(AND($F202="Produit Vente",DR202&gt;0),VLOOKUP($C202,'[1]Paramètres Articles'!$B:$H,6,FALSE)*$DR202)*(1-15%)),0)</f>
        <v>0</v>
      </c>
    </row>
    <row r="203" spans="2:124" ht="12.95" hidden="1" customHeight="1" outlineLevel="1">
      <c r="B203" s="1">
        <f>IF(C203="",0,COUNTIFS($B$22:B202,"&gt;"&amp;0)+1)</f>
        <v>0</v>
      </c>
      <c r="C203" s="85"/>
      <c r="D203" s="86" t="str">
        <f>IFERROR(IF($C203="","",VLOOKUP($C203,'[1]Paramètres Articles'!$B:$G,2,FALSE)),"Non Trouvé")</f>
        <v/>
      </c>
      <c r="E203" s="87" t="str">
        <f>IFERROR(IF($C203="","",_xlfn.XLOOKUP(REGENERANTS!$C203,'[1]New Base PA'!$F:$F,'[1]New Base PA'!$D:$D,"Not Found",0)),"Non Trouvé")</f>
        <v/>
      </c>
      <c r="F203" s="88"/>
      <c r="H203" s="101"/>
      <c r="J203" s="90" t="str">
        <f>IFERROR(IF($C203="","",VLOOKUP($C203,'[1]New Base PA'!$F:$J,5,FALSE)),"Non Trouvé")</f>
        <v/>
      </c>
      <c r="K203" s="131" t="str">
        <f t="shared" si="104"/>
        <v/>
      </c>
      <c r="L203" s="132"/>
      <c r="M203" s="90">
        <f>IFERROR(IF(AND($F203="Produit Vente",H203&gt;0),VLOOKUP($C203,'[1]Paramètres Articles'!$B:$G,6,FALSE),0),"Non Trouvé")</f>
        <v>0</v>
      </c>
      <c r="N203" s="90" t="str">
        <f t="shared" si="105"/>
        <v/>
      </c>
      <c r="P203" s="92"/>
      <c r="R203" s="90" t="str">
        <f t="shared" si="106"/>
        <v/>
      </c>
      <c r="S203" s="91"/>
      <c r="T203" s="90" t="str">
        <f>IFERROR(IF($C203="","",VLOOKUP($C203,'[1]Paramètres Articles'!$B:$H,7,FALSE)),"Non Trouvé")</f>
        <v/>
      </c>
      <c r="U203" s="93"/>
      <c r="V203" s="90" t="str">
        <f t="shared" si="110"/>
        <v/>
      </c>
      <c r="W203" s="91"/>
      <c r="X203" s="90" t="str">
        <f t="shared" si="111"/>
        <v/>
      </c>
      <c r="Y203" s="91"/>
      <c r="Z203" s="90">
        <f t="shared" si="107"/>
        <v>0</v>
      </c>
      <c r="AB203" s="94">
        <f>AB202</f>
        <v>0</v>
      </c>
      <c r="AC203" s="94">
        <f>AC202</f>
        <v>0.17</v>
      </c>
      <c r="AD203" s="90" t="str">
        <f t="shared" si="123"/>
        <v/>
      </c>
      <c r="AG203" s="94">
        <f>AG202</f>
        <v>0</v>
      </c>
      <c r="AH203" s="94">
        <f>AH202</f>
        <v>0.13</v>
      </c>
      <c r="AI203" s="90" t="str">
        <f t="shared" si="124"/>
        <v/>
      </c>
      <c r="AL203" s="94">
        <f>AL202</f>
        <v>0</v>
      </c>
      <c r="AM203" s="94">
        <f>AM202</f>
        <v>0.08</v>
      </c>
      <c r="AN203" s="90" t="str">
        <f t="shared" si="125"/>
        <v/>
      </c>
      <c r="AQ203" s="94">
        <f>AQ202</f>
        <v>0</v>
      </c>
      <c r="AR203" s="94">
        <f>AR202</f>
        <v>0.05</v>
      </c>
      <c r="AS203" s="90" t="str">
        <f t="shared" si="126"/>
        <v/>
      </c>
      <c r="AV203" s="94">
        <f>AV202</f>
        <v>0</v>
      </c>
      <c r="AW203" s="94">
        <f>AW202</f>
        <v>0.32500000000000001</v>
      </c>
      <c r="AX203" s="90" t="str">
        <f t="shared" si="127"/>
        <v/>
      </c>
      <c r="BA203" s="94">
        <f>BA202</f>
        <v>0</v>
      </c>
      <c r="BB203" s="94">
        <f>BB202</f>
        <v>0.29499999999999998</v>
      </c>
      <c r="BC203" s="90" t="str">
        <f t="shared" si="128"/>
        <v/>
      </c>
      <c r="BF203" s="94">
        <f>BF202</f>
        <v>0</v>
      </c>
      <c r="BG203" s="94">
        <f>BG202</f>
        <v>0.27500000000000002</v>
      </c>
      <c r="BH203" s="90" t="str">
        <f t="shared" si="129"/>
        <v/>
      </c>
      <c r="BK203" s="94">
        <f>BK202</f>
        <v>0</v>
      </c>
      <c r="BL203" s="94">
        <f>BL202</f>
        <v>0.245</v>
      </c>
      <c r="BM203" s="90" t="str">
        <f t="shared" si="130"/>
        <v/>
      </c>
      <c r="BP203" s="94">
        <f>BP202</f>
        <v>0</v>
      </c>
      <c r="BQ203" s="94">
        <f>BQ202</f>
        <v>0.22500000000000001</v>
      </c>
      <c r="BR203" s="90" t="str">
        <f t="shared" si="131"/>
        <v/>
      </c>
      <c r="BU203" s="94">
        <f>BU202</f>
        <v>0</v>
      </c>
      <c r="BV203" s="94">
        <f>BV202</f>
        <v>0.17499999999999999</v>
      </c>
      <c r="BW203" s="90" t="str">
        <f t="shared" si="132"/>
        <v/>
      </c>
      <c r="BZ203" s="94">
        <f>BZ202</f>
        <v>0</v>
      </c>
      <c r="CA203" s="94">
        <f>CA202</f>
        <v>0.15</v>
      </c>
      <c r="CB203" s="90" t="str">
        <f t="shared" si="133"/>
        <v/>
      </c>
      <c r="CE203" s="95"/>
      <c r="CF203" s="96"/>
      <c r="CG203" s="97"/>
      <c r="CH203" s="97"/>
      <c r="CI203" s="98"/>
      <c r="CK203" s="99">
        <f>IFERROR(IF(F203='[1]Paramètres Généraux'!$K$12,ROUNDUP((REGENERANTS!H203*REGENERANTS!$CF$166)*'[1]Paramètres Généraux'!$M$12,-1),REGENERANTS!H203*REGENERANTS!$CF$166),"nd")</f>
        <v>0</v>
      </c>
      <c r="CN203" s="146"/>
      <c r="CO203" s="147"/>
      <c r="CP203" s="147"/>
      <c r="CQ203" s="147"/>
      <c r="CR203" s="147"/>
      <c r="CS203" s="173"/>
      <c r="CT203" s="174"/>
      <c r="CU203" s="147"/>
      <c r="CV203" s="173"/>
      <c r="CW203" s="150"/>
      <c r="CX203" s="149"/>
      <c r="CY203" s="150"/>
      <c r="CZ203" s="136"/>
      <c r="DA203" s="149"/>
      <c r="DB203" s="150"/>
      <c r="DC203" s="136"/>
      <c r="DD203" s="149"/>
      <c r="DE203" s="150"/>
      <c r="DF203" s="136"/>
      <c r="DG203" s="136"/>
      <c r="DH203" s="136"/>
      <c r="DI203" s="136"/>
      <c r="DJ203" s="136"/>
      <c r="DK203" s="136"/>
      <c r="DL203" s="136"/>
      <c r="DM203" s="136"/>
      <c r="DN203" s="136"/>
      <c r="DO203" s="149"/>
      <c r="DP203" s="150"/>
      <c r="DQ203" s="20">
        <f t="shared" si="108"/>
        <v>0</v>
      </c>
      <c r="DR203" s="20">
        <f t="shared" si="109"/>
        <v>0</v>
      </c>
      <c r="DS203" s="20">
        <f>IFERROR((IF(AND($F203="Produit Vente",CO203&gt;0),VLOOKUP($C203,'[1]Paramètres Articles'!$B:$H,7,FALSE)*$CO203)*(1-20%)),0)</f>
        <v>0</v>
      </c>
      <c r="DT203" s="20">
        <f>IFERROR((IF(AND($F203="Produit Vente",DR203&gt;0),VLOOKUP($C203,'[1]Paramètres Articles'!$B:$H,6,FALSE)*$DR203)*(1-15%)),0)</f>
        <v>0</v>
      </c>
    </row>
    <row r="204" spans="2:124" ht="12.95" hidden="1" customHeight="1" outlineLevel="1">
      <c r="B204" s="1">
        <f>IF(C204="",0,COUNTIFS($B$22:B203,"&gt;"&amp;0)+1)</f>
        <v>0</v>
      </c>
      <c r="C204" s="85"/>
      <c r="D204" s="86" t="str">
        <f>IFERROR(IF($C204="","",VLOOKUP($C204,'[1]Paramètres Articles'!$B:$G,2,FALSE)),"Non Trouvé")</f>
        <v/>
      </c>
      <c r="E204" s="87" t="str">
        <f>IFERROR(IF($C204="","",_xlfn.XLOOKUP(REGENERANTS!$C204,'[1]New Base PA'!$F:$F,'[1]New Base PA'!$D:$D,"Not Found",0)),"Non Trouvé")</f>
        <v/>
      </c>
      <c r="F204" s="88"/>
      <c r="H204" s="101"/>
      <c r="J204" s="90" t="str">
        <f>IFERROR(IF($C204="","",VLOOKUP($C204,'[1]New Base PA'!$F:$J,5,FALSE)),"Non Trouvé")</f>
        <v/>
      </c>
      <c r="K204" s="131" t="str">
        <f t="shared" si="104"/>
        <v/>
      </c>
      <c r="L204" s="132"/>
      <c r="M204" s="90">
        <f>IFERROR(IF(AND($F204="Produit Vente",H204&gt;0),VLOOKUP($C204,'[1]Paramètres Articles'!$B:$G,6,FALSE),0),"Non Trouvé")</f>
        <v>0</v>
      </c>
      <c r="N204" s="90" t="str">
        <f t="shared" si="105"/>
        <v/>
      </c>
      <c r="P204" s="92"/>
      <c r="R204" s="90" t="str">
        <f t="shared" si="106"/>
        <v/>
      </c>
      <c r="S204" s="91"/>
      <c r="T204" s="90" t="str">
        <f>IFERROR(IF($C204="","",VLOOKUP($C204,'[1]Paramètres Articles'!$B:$H,7,FALSE)),"Non Trouvé")</f>
        <v/>
      </c>
      <c r="U204" s="93"/>
      <c r="V204" s="90" t="str">
        <f t="shared" si="110"/>
        <v/>
      </c>
      <c r="W204" s="91"/>
      <c r="X204" s="90" t="str">
        <f t="shared" si="111"/>
        <v/>
      </c>
      <c r="Y204" s="91"/>
      <c r="Z204" s="90">
        <f t="shared" si="107"/>
        <v>0</v>
      </c>
      <c r="AB204" s="94">
        <f>AB202</f>
        <v>0</v>
      </c>
      <c r="AC204" s="94">
        <f>AC202</f>
        <v>0.17</v>
      </c>
      <c r="AD204" s="90" t="str">
        <f t="shared" si="123"/>
        <v/>
      </c>
      <c r="AG204" s="94">
        <f>AG202</f>
        <v>0</v>
      </c>
      <c r="AH204" s="94">
        <f>AH202</f>
        <v>0.13</v>
      </c>
      <c r="AI204" s="90" t="str">
        <f t="shared" si="124"/>
        <v/>
      </c>
      <c r="AL204" s="94">
        <f>AL202</f>
        <v>0</v>
      </c>
      <c r="AM204" s="94">
        <f>AM202</f>
        <v>0.08</v>
      </c>
      <c r="AN204" s="90" t="str">
        <f t="shared" si="125"/>
        <v/>
      </c>
      <c r="AQ204" s="94">
        <f>AQ202</f>
        <v>0</v>
      </c>
      <c r="AR204" s="94">
        <f>AR202</f>
        <v>0.05</v>
      </c>
      <c r="AS204" s="90" t="str">
        <f t="shared" si="126"/>
        <v/>
      </c>
      <c r="AV204" s="94">
        <f>AV202</f>
        <v>0</v>
      </c>
      <c r="AW204" s="94">
        <f>AW202</f>
        <v>0.32500000000000001</v>
      </c>
      <c r="AX204" s="90" t="str">
        <f t="shared" si="127"/>
        <v/>
      </c>
      <c r="BA204" s="94">
        <f>BA202</f>
        <v>0</v>
      </c>
      <c r="BB204" s="94">
        <f>BB202</f>
        <v>0.29499999999999998</v>
      </c>
      <c r="BC204" s="90" t="str">
        <f t="shared" si="128"/>
        <v/>
      </c>
      <c r="BF204" s="94">
        <f>BF202</f>
        <v>0</v>
      </c>
      <c r="BG204" s="94">
        <f>BG202</f>
        <v>0.27500000000000002</v>
      </c>
      <c r="BH204" s="90" t="str">
        <f t="shared" si="129"/>
        <v/>
      </c>
      <c r="BK204" s="94">
        <f>BK202</f>
        <v>0</v>
      </c>
      <c r="BL204" s="94">
        <f>BL202</f>
        <v>0.245</v>
      </c>
      <c r="BM204" s="90" t="str">
        <f t="shared" si="130"/>
        <v/>
      </c>
      <c r="BP204" s="94">
        <f>BP202</f>
        <v>0</v>
      </c>
      <c r="BQ204" s="94">
        <f>BQ202</f>
        <v>0.22500000000000001</v>
      </c>
      <c r="BR204" s="90" t="str">
        <f t="shared" si="131"/>
        <v/>
      </c>
      <c r="BU204" s="94">
        <f>BU202</f>
        <v>0</v>
      </c>
      <c r="BV204" s="94">
        <f>BV202</f>
        <v>0.17499999999999999</v>
      </c>
      <c r="BW204" s="90" t="str">
        <f t="shared" si="132"/>
        <v/>
      </c>
      <c r="BZ204" s="94">
        <f>BZ202</f>
        <v>0</v>
      </c>
      <c r="CA204" s="94">
        <f>CA202</f>
        <v>0.15</v>
      </c>
      <c r="CB204" s="90" t="str">
        <f t="shared" si="133"/>
        <v/>
      </c>
      <c r="CE204" s="95"/>
      <c r="CF204" s="96"/>
      <c r="CG204" s="97"/>
      <c r="CH204" s="97"/>
      <c r="CI204" s="98"/>
      <c r="CK204" s="99">
        <f>IFERROR(IF(F204='[1]Paramètres Généraux'!$K$12,ROUNDUP((REGENERANTS!H204*REGENERANTS!$CF$166)*'[1]Paramètres Généraux'!$M$12,-1),REGENERANTS!H204*REGENERANTS!$CF$166),"nd")</f>
        <v>0</v>
      </c>
      <c r="CN204" s="146"/>
      <c r="CO204" s="147"/>
      <c r="CP204" s="147"/>
      <c r="CQ204" s="147"/>
      <c r="CR204" s="147"/>
      <c r="CS204" s="173"/>
      <c r="CT204" s="174"/>
      <c r="CU204" s="147"/>
      <c r="CV204" s="173"/>
      <c r="CW204" s="150"/>
      <c r="CX204" s="149"/>
      <c r="CY204" s="150"/>
      <c r="CZ204" s="136"/>
      <c r="DA204" s="149"/>
      <c r="DB204" s="150"/>
      <c r="DC204" s="136"/>
      <c r="DD204" s="149"/>
      <c r="DE204" s="150"/>
      <c r="DF204" s="136"/>
      <c r="DG204" s="136"/>
      <c r="DH204" s="136"/>
      <c r="DI204" s="136"/>
      <c r="DJ204" s="136"/>
      <c r="DK204" s="136"/>
      <c r="DL204" s="136"/>
      <c r="DM204" s="136"/>
      <c r="DN204" s="136"/>
      <c r="DO204" s="149"/>
      <c r="DP204" s="150"/>
      <c r="DQ204" s="20">
        <f t="shared" si="108"/>
        <v>0</v>
      </c>
      <c r="DR204" s="20">
        <f t="shared" si="109"/>
        <v>0</v>
      </c>
      <c r="DS204" s="20">
        <f>IFERROR((IF(AND($F204="Produit Vente",CO204&gt;0),VLOOKUP($C204,'[1]Paramètres Articles'!$B:$H,7,FALSE)*$CO204)*(1-20%)),0)</f>
        <v>0</v>
      </c>
      <c r="DT204" s="20">
        <f>IFERROR((IF(AND($F204="Produit Vente",DR204&gt;0),VLOOKUP($C204,'[1]Paramètres Articles'!$B:$H,6,FALSE)*$DR204)*(1-15%)),0)</f>
        <v>0</v>
      </c>
    </row>
    <row r="205" spans="2:124" ht="12.95" hidden="1" customHeight="1" outlineLevel="1">
      <c r="B205" s="1">
        <f>IF(C205="",0,COUNTIFS($B$22:B204,"&gt;"&amp;0)+1)</f>
        <v>0</v>
      </c>
      <c r="C205" s="85"/>
      <c r="D205" s="86" t="str">
        <f>IFERROR(IF($C205="","",VLOOKUP($C205,'[1]Paramètres Articles'!$B:$G,2,FALSE)),"Non Trouvé")</f>
        <v/>
      </c>
      <c r="E205" s="87" t="str">
        <f>IFERROR(IF($C205="","",_xlfn.XLOOKUP(REGENERANTS!$C205,'[1]New Base PA'!$F:$F,'[1]New Base PA'!$D:$D,"Not Found",0)),"Non Trouvé")</f>
        <v/>
      </c>
      <c r="F205" s="88"/>
      <c r="H205" s="101"/>
      <c r="J205" s="90" t="str">
        <f>IFERROR(IF($C205="","",VLOOKUP($C205,'[1]New Base PA'!$F:$J,5,FALSE)),"Non Trouvé")</f>
        <v/>
      </c>
      <c r="K205" s="131" t="str">
        <f t="shared" si="104"/>
        <v/>
      </c>
      <c r="L205" s="132"/>
      <c r="M205" s="90">
        <f>IFERROR(IF(AND($F205="Produit Vente",H205&gt;0),VLOOKUP($C205,'[1]Paramètres Articles'!$B:$G,6,FALSE),0),"Non Trouvé")</f>
        <v>0</v>
      </c>
      <c r="N205" s="90" t="str">
        <f t="shared" si="105"/>
        <v/>
      </c>
      <c r="P205" s="92"/>
      <c r="R205" s="90" t="str">
        <f t="shared" si="106"/>
        <v/>
      </c>
      <c r="S205" s="91"/>
      <c r="T205" s="90" t="str">
        <f>IFERROR(IF($C205="","",VLOOKUP($C205,'[1]Paramètres Articles'!$B:$H,7,FALSE)),"Non Trouvé")</f>
        <v/>
      </c>
      <c r="U205" s="93"/>
      <c r="V205" s="90" t="str">
        <f t="shared" si="110"/>
        <v/>
      </c>
      <c r="W205" s="91"/>
      <c r="X205" s="90" t="str">
        <f t="shared" si="111"/>
        <v/>
      </c>
      <c r="Y205" s="91"/>
      <c r="Z205" s="90">
        <f t="shared" si="107"/>
        <v>0</v>
      </c>
      <c r="AB205" s="94">
        <f>AB204</f>
        <v>0</v>
      </c>
      <c r="AC205" s="94">
        <f>AC204</f>
        <v>0.17</v>
      </c>
      <c r="AD205" s="90" t="str">
        <f t="shared" si="123"/>
        <v/>
      </c>
      <c r="AG205" s="94">
        <f>AG204</f>
        <v>0</v>
      </c>
      <c r="AH205" s="94">
        <f>AH204</f>
        <v>0.13</v>
      </c>
      <c r="AI205" s="90" t="str">
        <f t="shared" si="124"/>
        <v/>
      </c>
      <c r="AL205" s="94">
        <f>AL204</f>
        <v>0</v>
      </c>
      <c r="AM205" s="94">
        <f>AM204</f>
        <v>0.08</v>
      </c>
      <c r="AN205" s="90" t="str">
        <f t="shared" si="125"/>
        <v/>
      </c>
      <c r="AQ205" s="94">
        <f>AQ204</f>
        <v>0</v>
      </c>
      <c r="AR205" s="94">
        <f>AR204</f>
        <v>0.05</v>
      </c>
      <c r="AS205" s="90" t="str">
        <f t="shared" si="126"/>
        <v/>
      </c>
      <c r="AV205" s="94">
        <f>AV204</f>
        <v>0</v>
      </c>
      <c r="AW205" s="94">
        <f>AW204</f>
        <v>0.32500000000000001</v>
      </c>
      <c r="AX205" s="90" t="str">
        <f t="shared" si="127"/>
        <v/>
      </c>
      <c r="BA205" s="94">
        <f>BA204</f>
        <v>0</v>
      </c>
      <c r="BB205" s="94">
        <f>BB204</f>
        <v>0.29499999999999998</v>
      </c>
      <c r="BC205" s="90" t="str">
        <f t="shared" si="128"/>
        <v/>
      </c>
      <c r="BF205" s="94">
        <f>BF204</f>
        <v>0</v>
      </c>
      <c r="BG205" s="94">
        <f>BG204</f>
        <v>0.27500000000000002</v>
      </c>
      <c r="BH205" s="90" t="str">
        <f t="shared" si="129"/>
        <v/>
      </c>
      <c r="BK205" s="94">
        <f>BK204</f>
        <v>0</v>
      </c>
      <c r="BL205" s="94">
        <f>BL204</f>
        <v>0.245</v>
      </c>
      <c r="BM205" s="90" t="str">
        <f t="shared" si="130"/>
        <v/>
      </c>
      <c r="BP205" s="94">
        <f>BP204</f>
        <v>0</v>
      </c>
      <c r="BQ205" s="94">
        <f>BQ204</f>
        <v>0.22500000000000001</v>
      </c>
      <c r="BR205" s="90" t="str">
        <f t="shared" si="131"/>
        <v/>
      </c>
      <c r="BU205" s="94">
        <f>BU204</f>
        <v>0</v>
      </c>
      <c r="BV205" s="94">
        <f>BV204</f>
        <v>0.17499999999999999</v>
      </c>
      <c r="BW205" s="90" t="str">
        <f t="shared" si="132"/>
        <v/>
      </c>
      <c r="BZ205" s="94">
        <f>BZ204</f>
        <v>0</v>
      </c>
      <c r="CA205" s="94">
        <f>CA204</f>
        <v>0.15</v>
      </c>
      <c r="CB205" s="90" t="str">
        <f t="shared" si="133"/>
        <v/>
      </c>
      <c r="CE205" s="95"/>
      <c r="CF205" s="96"/>
      <c r="CG205" s="97"/>
      <c r="CH205" s="97"/>
      <c r="CI205" s="98"/>
      <c r="CK205" s="99">
        <f>IFERROR(IF(F205='[1]Paramètres Généraux'!$K$12,ROUNDUP((REGENERANTS!H205*REGENERANTS!$CF$166)*'[1]Paramètres Généraux'!$M$12,-1),REGENERANTS!H205*REGENERANTS!$CF$166),"nd")</f>
        <v>0</v>
      </c>
      <c r="CN205" s="146"/>
      <c r="CO205" s="147"/>
      <c r="CP205" s="147"/>
      <c r="CQ205" s="147"/>
      <c r="CR205" s="147"/>
      <c r="CS205" s="173"/>
      <c r="CT205" s="174"/>
      <c r="CU205" s="147"/>
      <c r="CV205" s="173"/>
      <c r="CW205" s="150"/>
      <c r="CX205" s="149"/>
      <c r="CY205" s="150"/>
      <c r="CZ205" s="136"/>
      <c r="DA205" s="149"/>
      <c r="DB205" s="150"/>
      <c r="DC205" s="136"/>
      <c r="DD205" s="149"/>
      <c r="DE205" s="150"/>
      <c r="DF205" s="136"/>
      <c r="DG205" s="136"/>
      <c r="DH205" s="136"/>
      <c r="DI205" s="136"/>
      <c r="DJ205" s="136"/>
      <c r="DK205" s="136"/>
      <c r="DL205" s="136"/>
      <c r="DM205" s="136"/>
      <c r="DN205" s="136"/>
      <c r="DO205" s="149"/>
      <c r="DP205" s="150"/>
      <c r="DQ205" s="20">
        <f t="shared" si="108"/>
        <v>0</v>
      </c>
      <c r="DR205" s="20">
        <f t="shared" si="109"/>
        <v>0</v>
      </c>
      <c r="DS205" s="20">
        <f>IFERROR((IF(AND($F205="Produit Vente",CO205&gt;0),VLOOKUP($C205,'[1]Paramètres Articles'!$B:$H,7,FALSE)*$CO205)*(1-20%)),0)</f>
        <v>0</v>
      </c>
      <c r="DT205" s="20">
        <f>IFERROR((IF(AND($F205="Produit Vente",DR205&gt;0),VLOOKUP($C205,'[1]Paramètres Articles'!$B:$H,6,FALSE)*$DR205)*(1-15%)),0)</f>
        <v>0</v>
      </c>
    </row>
    <row r="206" spans="2:124" ht="12.95" hidden="1" customHeight="1" outlineLevel="1">
      <c r="B206" s="1">
        <f>IF(C206="",0,COUNTIFS($B$22:B205,"&gt;"&amp;0)+1)</f>
        <v>0</v>
      </c>
      <c r="C206" s="85"/>
      <c r="D206" s="86" t="str">
        <f>IFERROR(IF($C206="","",VLOOKUP($C206,'[1]Paramètres Articles'!$B:$G,2,FALSE)),"Non Trouvé")</f>
        <v/>
      </c>
      <c r="E206" s="87" t="str">
        <f>IFERROR(IF($C206="","",_xlfn.XLOOKUP(REGENERANTS!$C206,'[1]New Base PA'!$F:$F,'[1]New Base PA'!$D:$D,"Not Found",0)),"Non Trouvé")</f>
        <v/>
      </c>
      <c r="F206" s="88"/>
      <c r="H206" s="101"/>
      <c r="J206" s="90" t="str">
        <f>IFERROR(IF($C206="","",VLOOKUP($C206,'[1]New Base PA'!$F:$J,5,FALSE)),"Non Trouvé")</f>
        <v/>
      </c>
      <c r="K206" s="131" t="str">
        <f t="shared" si="104"/>
        <v/>
      </c>
      <c r="L206" s="132"/>
      <c r="M206" s="90">
        <f>IFERROR(IF(AND($F206="Produit Vente",H206&gt;0),VLOOKUP($C206,'[1]Paramètres Articles'!$B:$G,6,FALSE),0),"Non Trouvé")</f>
        <v>0</v>
      </c>
      <c r="N206" s="90" t="str">
        <f t="shared" si="105"/>
        <v/>
      </c>
      <c r="P206" s="92"/>
      <c r="R206" s="90" t="str">
        <f t="shared" si="106"/>
        <v/>
      </c>
      <c r="S206" s="91"/>
      <c r="T206" s="90" t="str">
        <f>IFERROR(IF($C206="","",VLOOKUP($C206,'[1]Paramètres Articles'!$B:$H,7,FALSE)),"Non Trouvé")</f>
        <v/>
      </c>
      <c r="U206" s="93"/>
      <c r="V206" s="90" t="str">
        <f t="shared" si="110"/>
        <v/>
      </c>
      <c r="W206" s="91"/>
      <c r="X206" s="90" t="str">
        <f t="shared" si="111"/>
        <v/>
      </c>
      <c r="Y206" s="91"/>
      <c r="Z206" s="90">
        <f t="shared" si="107"/>
        <v>0</v>
      </c>
      <c r="AB206" s="94">
        <f>AB204</f>
        <v>0</v>
      </c>
      <c r="AC206" s="94">
        <f>AC204</f>
        <v>0.17</v>
      </c>
      <c r="AD206" s="90" t="str">
        <f t="shared" si="123"/>
        <v/>
      </c>
      <c r="AG206" s="94">
        <f>AG204</f>
        <v>0</v>
      </c>
      <c r="AH206" s="94">
        <f>AH204</f>
        <v>0.13</v>
      </c>
      <c r="AI206" s="90" t="str">
        <f t="shared" si="124"/>
        <v/>
      </c>
      <c r="AL206" s="94">
        <f>AL204</f>
        <v>0</v>
      </c>
      <c r="AM206" s="94">
        <f>AM204</f>
        <v>0.08</v>
      </c>
      <c r="AN206" s="90" t="str">
        <f t="shared" si="125"/>
        <v/>
      </c>
      <c r="AQ206" s="94">
        <f>AQ204</f>
        <v>0</v>
      </c>
      <c r="AR206" s="94">
        <f>AR204</f>
        <v>0.05</v>
      </c>
      <c r="AS206" s="90" t="str">
        <f t="shared" si="126"/>
        <v/>
      </c>
      <c r="AV206" s="94">
        <f>AV204</f>
        <v>0</v>
      </c>
      <c r="AW206" s="94">
        <f>AW204</f>
        <v>0.32500000000000001</v>
      </c>
      <c r="AX206" s="90" t="str">
        <f t="shared" si="127"/>
        <v/>
      </c>
      <c r="BA206" s="94">
        <f>BA204</f>
        <v>0</v>
      </c>
      <c r="BB206" s="94">
        <f>BB204</f>
        <v>0.29499999999999998</v>
      </c>
      <c r="BC206" s="90" t="str">
        <f t="shared" si="128"/>
        <v/>
      </c>
      <c r="BF206" s="94">
        <f>BF204</f>
        <v>0</v>
      </c>
      <c r="BG206" s="94">
        <f>BG204</f>
        <v>0.27500000000000002</v>
      </c>
      <c r="BH206" s="90" t="str">
        <f t="shared" si="129"/>
        <v/>
      </c>
      <c r="BK206" s="94">
        <f>BK204</f>
        <v>0</v>
      </c>
      <c r="BL206" s="94">
        <f>BL204</f>
        <v>0.245</v>
      </c>
      <c r="BM206" s="90" t="str">
        <f t="shared" si="130"/>
        <v/>
      </c>
      <c r="BP206" s="94">
        <f>BP204</f>
        <v>0</v>
      </c>
      <c r="BQ206" s="94">
        <f>BQ204</f>
        <v>0.22500000000000001</v>
      </c>
      <c r="BR206" s="90" t="str">
        <f t="shared" si="131"/>
        <v/>
      </c>
      <c r="BU206" s="94">
        <f>BU204</f>
        <v>0</v>
      </c>
      <c r="BV206" s="94">
        <f>BV204</f>
        <v>0.17499999999999999</v>
      </c>
      <c r="BW206" s="90" t="str">
        <f t="shared" si="132"/>
        <v/>
      </c>
      <c r="BZ206" s="94">
        <f>BZ204</f>
        <v>0</v>
      </c>
      <c r="CA206" s="94">
        <f>CA204</f>
        <v>0.15</v>
      </c>
      <c r="CB206" s="90" t="str">
        <f t="shared" si="133"/>
        <v/>
      </c>
      <c r="CE206" s="95"/>
      <c r="CF206" s="96"/>
      <c r="CG206" s="97"/>
      <c r="CH206" s="97"/>
      <c r="CI206" s="98"/>
      <c r="CK206" s="99">
        <f>IFERROR(IF(F206='[1]Paramètres Généraux'!$K$12,ROUNDUP((REGENERANTS!H206*REGENERANTS!$CF$166)*'[1]Paramètres Généraux'!$M$12,-1),REGENERANTS!H206*REGENERANTS!$CF$166),"nd")</f>
        <v>0</v>
      </c>
      <c r="CN206" s="146"/>
      <c r="CO206" s="147"/>
      <c r="CP206" s="147"/>
      <c r="CQ206" s="147"/>
      <c r="CR206" s="147"/>
      <c r="CS206" s="173"/>
      <c r="CT206" s="174"/>
      <c r="CU206" s="147"/>
      <c r="CV206" s="173"/>
      <c r="CW206" s="150"/>
      <c r="CX206" s="149"/>
      <c r="CY206" s="150"/>
      <c r="CZ206" s="136"/>
      <c r="DA206" s="149"/>
      <c r="DB206" s="150"/>
      <c r="DC206" s="136"/>
      <c r="DD206" s="149"/>
      <c r="DE206" s="150"/>
      <c r="DF206" s="136"/>
      <c r="DG206" s="136"/>
      <c r="DH206" s="136"/>
      <c r="DI206" s="136"/>
      <c r="DJ206" s="136"/>
      <c r="DK206" s="136"/>
      <c r="DL206" s="136"/>
      <c r="DM206" s="136"/>
      <c r="DN206" s="136"/>
      <c r="DO206" s="149"/>
      <c r="DP206" s="150"/>
      <c r="DQ206" s="20">
        <f t="shared" si="108"/>
        <v>0</v>
      </c>
      <c r="DR206" s="20">
        <f t="shared" si="109"/>
        <v>0</v>
      </c>
      <c r="DS206" s="20">
        <f>IFERROR((IF(AND($F206="Produit Vente",CO206&gt;0),VLOOKUP($C206,'[1]Paramètres Articles'!$B:$H,7,FALSE)*$CO206)*(1-20%)),0)</f>
        <v>0</v>
      </c>
      <c r="DT206" s="20">
        <f>IFERROR((IF(AND($F206="Produit Vente",DR206&gt;0),VLOOKUP($C206,'[1]Paramètres Articles'!$B:$H,6,FALSE)*$DR206)*(1-15%)),0)</f>
        <v>0</v>
      </c>
    </row>
    <row r="207" spans="2:124" ht="12.95" hidden="1" customHeight="1" outlineLevel="1">
      <c r="B207" s="1">
        <f>IF(C207="",0,COUNTIFS($B$22:B206,"&gt;"&amp;0)+1)</f>
        <v>0</v>
      </c>
      <c r="C207" s="85"/>
      <c r="D207" s="86" t="str">
        <f>IFERROR(IF($C207="","",VLOOKUP($C207,'[1]Paramètres Articles'!$B:$G,2,FALSE)),"Non Trouvé")</f>
        <v/>
      </c>
      <c r="E207" s="87" t="str">
        <f>IFERROR(IF($C207="","",_xlfn.XLOOKUP(REGENERANTS!$C207,'[1]New Base PA'!$F:$F,'[1]New Base PA'!$D:$D,"Not Found",0)),"Non Trouvé")</f>
        <v/>
      </c>
      <c r="F207" s="88"/>
      <c r="H207" s="101"/>
      <c r="J207" s="90" t="str">
        <f>IFERROR(IF($C207="","",VLOOKUP($C207,'[1]New Base PA'!$F:$J,5,FALSE)),"Non Trouvé")</f>
        <v/>
      </c>
      <c r="K207" s="131" t="str">
        <f t="shared" si="104"/>
        <v/>
      </c>
      <c r="L207" s="132"/>
      <c r="M207" s="90">
        <f>IFERROR(IF(AND($F207="Produit Vente",H207&gt;0),VLOOKUP($C207,'[1]Paramètres Articles'!$B:$G,6,FALSE),0),"Non Trouvé")</f>
        <v>0</v>
      </c>
      <c r="N207" s="90" t="str">
        <f t="shared" si="105"/>
        <v/>
      </c>
      <c r="P207" s="92"/>
      <c r="R207" s="90" t="str">
        <f t="shared" si="106"/>
        <v/>
      </c>
      <c r="S207" s="91"/>
      <c r="T207" s="90" t="str">
        <f>IFERROR(IF($C207="","",VLOOKUP($C207,'[1]Paramètres Articles'!$B:$H,7,FALSE)),"Non Trouvé")</f>
        <v/>
      </c>
      <c r="U207" s="93"/>
      <c r="V207" s="90" t="str">
        <f t="shared" si="110"/>
        <v/>
      </c>
      <c r="W207" s="91"/>
      <c r="X207" s="90" t="str">
        <f t="shared" si="111"/>
        <v/>
      </c>
      <c r="Y207" s="91"/>
      <c r="Z207" s="90">
        <f t="shared" si="107"/>
        <v>0</v>
      </c>
      <c r="AB207" s="94">
        <f>AB206</f>
        <v>0</v>
      </c>
      <c r="AC207" s="94">
        <f>AC206</f>
        <v>0.17</v>
      </c>
      <c r="AD207" s="90" t="str">
        <f t="shared" si="123"/>
        <v/>
      </c>
      <c r="AG207" s="94">
        <f>AG206</f>
        <v>0</v>
      </c>
      <c r="AH207" s="94">
        <f>AH206</f>
        <v>0.13</v>
      </c>
      <c r="AI207" s="90" t="str">
        <f t="shared" si="124"/>
        <v/>
      </c>
      <c r="AL207" s="94">
        <f>AL206</f>
        <v>0</v>
      </c>
      <c r="AM207" s="94">
        <f>AM206</f>
        <v>0.08</v>
      </c>
      <c r="AN207" s="90" t="str">
        <f t="shared" si="125"/>
        <v/>
      </c>
      <c r="AQ207" s="94">
        <f>AQ206</f>
        <v>0</v>
      </c>
      <c r="AR207" s="94">
        <f>AR206</f>
        <v>0.05</v>
      </c>
      <c r="AS207" s="90" t="str">
        <f t="shared" si="126"/>
        <v/>
      </c>
      <c r="AV207" s="94">
        <f>AV206</f>
        <v>0</v>
      </c>
      <c r="AW207" s="94">
        <f>AW206</f>
        <v>0.32500000000000001</v>
      </c>
      <c r="AX207" s="90" t="str">
        <f t="shared" si="127"/>
        <v/>
      </c>
      <c r="BA207" s="94">
        <f>BA206</f>
        <v>0</v>
      </c>
      <c r="BB207" s="94">
        <f>BB206</f>
        <v>0.29499999999999998</v>
      </c>
      <c r="BC207" s="90" t="str">
        <f t="shared" si="128"/>
        <v/>
      </c>
      <c r="BF207" s="94">
        <f>BF206</f>
        <v>0</v>
      </c>
      <c r="BG207" s="94">
        <f>BG206</f>
        <v>0.27500000000000002</v>
      </c>
      <c r="BH207" s="90" t="str">
        <f t="shared" si="129"/>
        <v/>
      </c>
      <c r="BK207" s="94">
        <f>BK206</f>
        <v>0</v>
      </c>
      <c r="BL207" s="94">
        <f>BL206</f>
        <v>0.245</v>
      </c>
      <c r="BM207" s="90" t="str">
        <f t="shared" si="130"/>
        <v/>
      </c>
      <c r="BP207" s="94">
        <f>BP206</f>
        <v>0</v>
      </c>
      <c r="BQ207" s="94">
        <f>BQ206</f>
        <v>0.22500000000000001</v>
      </c>
      <c r="BR207" s="90" t="str">
        <f t="shared" si="131"/>
        <v/>
      </c>
      <c r="BU207" s="94">
        <f>BU206</f>
        <v>0</v>
      </c>
      <c r="BV207" s="94">
        <f>BV206</f>
        <v>0.17499999999999999</v>
      </c>
      <c r="BW207" s="90" t="str">
        <f t="shared" si="132"/>
        <v/>
      </c>
      <c r="BZ207" s="94">
        <f>BZ206</f>
        <v>0</v>
      </c>
      <c r="CA207" s="94">
        <f>CA206</f>
        <v>0.15</v>
      </c>
      <c r="CB207" s="90" t="str">
        <f t="shared" si="133"/>
        <v/>
      </c>
      <c r="CE207" s="95"/>
      <c r="CF207" s="96"/>
      <c r="CG207" s="97"/>
      <c r="CH207" s="97"/>
      <c r="CI207" s="98"/>
      <c r="CK207" s="99">
        <f>IFERROR(IF(F207='[1]Paramètres Généraux'!$K$12,ROUNDUP((REGENERANTS!H207*REGENERANTS!$CF$166)*'[1]Paramètres Généraux'!$M$12,-1),REGENERANTS!H207*REGENERANTS!$CF$166),"nd")</f>
        <v>0</v>
      </c>
      <c r="CN207" s="146"/>
      <c r="CO207" s="147"/>
      <c r="CP207" s="147"/>
      <c r="CQ207" s="147"/>
      <c r="CR207" s="147"/>
      <c r="CS207" s="173"/>
      <c r="CT207" s="174"/>
      <c r="CU207" s="147"/>
      <c r="CV207" s="173"/>
      <c r="CW207" s="150"/>
      <c r="CX207" s="149"/>
      <c r="CY207" s="150"/>
      <c r="CZ207" s="136"/>
      <c r="DA207" s="149"/>
      <c r="DB207" s="150"/>
      <c r="DC207" s="136"/>
      <c r="DD207" s="149"/>
      <c r="DE207" s="150"/>
      <c r="DF207" s="136"/>
      <c r="DG207" s="136"/>
      <c r="DH207" s="136"/>
      <c r="DI207" s="136"/>
      <c r="DJ207" s="136"/>
      <c r="DK207" s="136"/>
      <c r="DL207" s="136"/>
      <c r="DM207" s="136"/>
      <c r="DN207" s="136"/>
      <c r="DO207" s="149"/>
      <c r="DP207" s="150"/>
      <c r="DQ207" s="20">
        <f t="shared" si="108"/>
        <v>0</v>
      </c>
      <c r="DR207" s="20">
        <f t="shared" si="109"/>
        <v>0</v>
      </c>
      <c r="DS207" s="20">
        <f>IFERROR((IF(AND($F207="Produit Vente",CO207&gt;0),VLOOKUP($C207,'[1]Paramètres Articles'!$B:$H,7,FALSE)*$CO207)*(1-20%)),0)</f>
        <v>0</v>
      </c>
      <c r="DT207" s="20">
        <f>IFERROR((IF(AND($F207="Produit Vente",DR207&gt;0),VLOOKUP($C207,'[1]Paramètres Articles'!$B:$H,6,FALSE)*$DR207)*(1-15%)),0)</f>
        <v>0</v>
      </c>
    </row>
    <row r="208" spans="2:124" hidden="1" collapsed="1">
      <c r="CE208" s="155"/>
      <c r="CF208" s="156"/>
      <c r="CG208" s="156"/>
      <c r="CH208" s="156"/>
      <c r="CI208" s="157"/>
      <c r="CK208" s="99">
        <f>IFERROR(IF(F208='[1]Paramètres Généraux'!$K$12,ROUNDUP((REGENERANTS!H208*REGENERANTS!$CF$166)*'[1]Paramètres Généraux'!$M$12,-1),REGENERANTS!H208*REGENERANTS!$CF$166),"nd")</f>
        <v>0</v>
      </c>
      <c r="CN208" s="146"/>
      <c r="CO208" s="147"/>
      <c r="CP208" s="147"/>
      <c r="CQ208" s="147"/>
      <c r="CR208" s="147"/>
      <c r="CS208" s="173"/>
      <c r="CT208" s="174"/>
      <c r="CU208" s="147"/>
      <c r="CV208" s="173"/>
      <c r="CW208" s="150"/>
      <c r="CX208" s="149"/>
      <c r="CY208" s="150"/>
      <c r="CZ208" s="136"/>
      <c r="DA208" s="149"/>
      <c r="DB208" s="150"/>
      <c r="DC208" s="136"/>
      <c r="DD208" s="149"/>
      <c r="DE208" s="150"/>
      <c r="DF208" s="136"/>
      <c r="DG208" s="136"/>
      <c r="DH208" s="136"/>
      <c r="DI208" s="136"/>
      <c r="DJ208" s="136"/>
      <c r="DK208" s="136"/>
      <c r="DL208" s="136"/>
      <c r="DM208" s="136"/>
      <c r="DN208" s="136"/>
      <c r="DO208" s="149"/>
      <c r="DP208" s="150"/>
      <c r="DQ208" s="20">
        <f t="shared" si="108"/>
        <v>0</v>
      </c>
      <c r="DR208" s="20">
        <f t="shared" si="109"/>
        <v>0</v>
      </c>
      <c r="DS208" s="20">
        <f>IFERROR((IF(AND($F208="Produit Vente",CO208&gt;0),VLOOKUP($C208,'[1]Paramètres Articles'!$B:$H,7,FALSE)*$CO208)*(1-20%)),0)</f>
        <v>0</v>
      </c>
      <c r="DT208" s="20">
        <f>IFERROR((IF(AND($F208="Produit Vente",DR208&gt;0),VLOOKUP($C208,'[1]Paramètres Articles'!$B:$H,6,FALSE)*$DR208)*(1-15%)),0)</f>
        <v>0</v>
      </c>
    </row>
    <row r="209" spans="2:124" hidden="1">
      <c r="CK209" s="99"/>
    </row>
    <row r="210" spans="2:124" ht="15" hidden="1" customHeight="1">
      <c r="CK210" s="99"/>
    </row>
    <row r="211" spans="2:124" hidden="1">
      <c r="C211" s="22"/>
      <c r="D211" s="23"/>
      <c r="E211" s="24"/>
      <c r="F211" s="25" t="s">
        <v>113</v>
      </c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K211" s="99"/>
    </row>
    <row r="212" spans="2:124" ht="5.25" hidden="1" customHeight="1">
      <c r="CK212" s="99"/>
    </row>
    <row r="213" spans="2:124" ht="18" hidden="1" customHeight="1"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E213" s="27"/>
      <c r="CF213" s="28"/>
      <c r="CG213" s="28"/>
      <c r="CH213" s="28"/>
      <c r="CI213" s="29"/>
      <c r="CK213" s="99"/>
    </row>
    <row r="214" spans="2:124" hidden="1">
      <c r="AB214" s="30" t="s">
        <v>8</v>
      </c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V214" s="31" t="s">
        <v>9</v>
      </c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Z214" s="32" t="s">
        <v>10</v>
      </c>
      <c r="CA214" s="32"/>
      <c r="CB214" s="32"/>
      <c r="CC214" s="32"/>
      <c r="CE214" s="33"/>
      <c r="CF214" s="34" t="s">
        <v>11</v>
      </c>
      <c r="CG214" s="34"/>
      <c r="CH214" s="34"/>
      <c r="CI214" s="35"/>
      <c r="CK214" s="99"/>
    </row>
    <row r="215" spans="2:124" ht="5.25" hidden="1" customHeight="1">
      <c r="CE215" s="33"/>
      <c r="CF215" s="39"/>
      <c r="CG215" s="39"/>
      <c r="CH215" s="39"/>
      <c r="CI215" s="35"/>
      <c r="CK215" s="99"/>
    </row>
    <row r="216" spans="2:124" hidden="1">
      <c r="P216" s="1" t="s">
        <v>12</v>
      </c>
      <c r="AB216" s="42" t="s">
        <v>13</v>
      </c>
      <c r="AC216" s="42"/>
      <c r="AD216" s="42"/>
      <c r="AE216" s="42"/>
      <c r="AG216" s="42" t="s">
        <v>14</v>
      </c>
      <c r="AH216" s="42"/>
      <c r="AI216" s="42"/>
      <c r="AJ216" s="42"/>
      <c r="AL216" s="42" t="s">
        <v>15</v>
      </c>
      <c r="AM216" s="42"/>
      <c r="AN216" s="42"/>
      <c r="AO216" s="42"/>
      <c r="AQ216" s="42" t="s">
        <v>16</v>
      </c>
      <c r="AR216" s="42"/>
      <c r="AS216" s="42"/>
      <c r="AT216" s="42"/>
      <c r="AV216" s="43" t="s">
        <v>17</v>
      </c>
      <c r="AW216" s="43"/>
      <c r="AX216" s="43"/>
      <c r="AY216" s="43"/>
      <c r="BA216" s="43" t="s">
        <v>18</v>
      </c>
      <c r="BB216" s="43"/>
      <c r="BC216" s="43"/>
      <c r="BD216" s="43"/>
      <c r="BF216" s="43" t="s">
        <v>19</v>
      </c>
      <c r="BG216" s="43"/>
      <c r="BH216" s="43"/>
      <c r="BI216" s="43"/>
      <c r="BK216" s="43" t="s">
        <v>20</v>
      </c>
      <c r="BL216" s="43"/>
      <c r="BM216" s="43"/>
      <c r="BN216" s="43"/>
      <c r="BP216" s="43" t="s">
        <v>21</v>
      </c>
      <c r="BQ216" s="43"/>
      <c r="BR216" s="43"/>
      <c r="BS216" s="43"/>
      <c r="BU216" s="43" t="s">
        <v>22</v>
      </c>
      <c r="BV216" s="43"/>
      <c r="BW216" s="43"/>
      <c r="BX216" s="43"/>
      <c r="BZ216" s="44" t="s">
        <v>10</v>
      </c>
      <c r="CA216" s="44"/>
      <c r="CB216" s="44"/>
      <c r="CC216" s="44"/>
      <c r="CE216" s="33"/>
      <c r="CF216" s="45" t="s">
        <v>23</v>
      </c>
      <c r="CG216" s="45"/>
      <c r="CH216" s="45"/>
      <c r="CI216" s="35"/>
      <c r="CK216" s="99"/>
    </row>
    <row r="217" spans="2:124" ht="5.25" hidden="1" customHeight="1">
      <c r="CE217" s="33"/>
      <c r="CF217" s="39"/>
      <c r="CG217" s="39"/>
      <c r="CH217" s="39"/>
      <c r="CI217" s="35"/>
      <c r="CK217" s="99"/>
    </row>
    <row r="218" spans="2:124" s="46" customFormat="1" ht="38.25" hidden="1">
      <c r="E218" s="47"/>
      <c r="H218" s="48" t="s">
        <v>24</v>
      </c>
      <c r="J218" s="48" t="s">
        <v>25</v>
      </c>
      <c r="K218" s="48" t="s">
        <v>26</v>
      </c>
      <c r="M218" s="48" t="s">
        <v>27</v>
      </c>
      <c r="N218" s="48" t="s">
        <v>28</v>
      </c>
      <c r="P218" s="48" t="s">
        <v>29</v>
      </c>
      <c r="R218" s="48" t="s">
        <v>30</v>
      </c>
      <c r="T218" s="48" t="s">
        <v>31</v>
      </c>
      <c r="U218" s="48"/>
      <c r="V218" s="48" t="s">
        <v>32</v>
      </c>
      <c r="X218" s="48" t="s">
        <v>33</v>
      </c>
      <c r="Z218" s="48" t="s">
        <v>34</v>
      </c>
      <c r="AB218" s="48" t="s">
        <v>0</v>
      </c>
      <c r="AC218" s="48" t="s">
        <v>35</v>
      </c>
      <c r="AD218" s="48" t="s">
        <v>1</v>
      </c>
      <c r="AE218" s="48" t="s">
        <v>2</v>
      </c>
      <c r="AG218" s="48" t="s">
        <v>0</v>
      </c>
      <c r="AH218" s="48" t="s">
        <v>35</v>
      </c>
      <c r="AI218" s="48" t="s">
        <v>1</v>
      </c>
      <c r="AJ218" s="48" t="s">
        <v>2</v>
      </c>
      <c r="AL218" s="48" t="s">
        <v>0</v>
      </c>
      <c r="AM218" s="48" t="s">
        <v>35</v>
      </c>
      <c r="AN218" s="48" t="s">
        <v>1</v>
      </c>
      <c r="AO218" s="48" t="s">
        <v>2</v>
      </c>
      <c r="AQ218" s="48" t="s">
        <v>0</v>
      </c>
      <c r="AR218" s="48" t="s">
        <v>35</v>
      </c>
      <c r="AS218" s="48" t="s">
        <v>1</v>
      </c>
      <c r="AT218" s="48" t="s">
        <v>2</v>
      </c>
      <c r="AV218" s="48" t="s">
        <v>0</v>
      </c>
      <c r="AW218" s="48" t="s">
        <v>35</v>
      </c>
      <c r="AX218" s="48" t="s">
        <v>1</v>
      </c>
      <c r="AY218" s="48" t="s">
        <v>2</v>
      </c>
      <c r="BA218" s="48" t="s">
        <v>0</v>
      </c>
      <c r="BB218" s="48" t="s">
        <v>35</v>
      </c>
      <c r="BC218" s="48" t="s">
        <v>1</v>
      </c>
      <c r="BD218" s="48" t="s">
        <v>2</v>
      </c>
      <c r="BF218" s="48" t="s">
        <v>0</v>
      </c>
      <c r="BG218" s="48" t="s">
        <v>35</v>
      </c>
      <c r="BH218" s="48" t="s">
        <v>1</v>
      </c>
      <c r="BI218" s="48" t="s">
        <v>2</v>
      </c>
      <c r="BK218" s="48" t="s">
        <v>0</v>
      </c>
      <c r="BL218" s="48" t="s">
        <v>35</v>
      </c>
      <c r="BM218" s="48" t="s">
        <v>1</v>
      </c>
      <c r="BN218" s="48" t="s">
        <v>2</v>
      </c>
      <c r="BP218" s="48" t="s">
        <v>0</v>
      </c>
      <c r="BQ218" s="48" t="s">
        <v>35</v>
      </c>
      <c r="BR218" s="48" t="s">
        <v>1</v>
      </c>
      <c r="BS218" s="48" t="s">
        <v>2</v>
      </c>
      <c r="BU218" s="48" t="s">
        <v>0</v>
      </c>
      <c r="BV218" s="48" t="s">
        <v>35</v>
      </c>
      <c r="BW218" s="48" t="s">
        <v>1</v>
      </c>
      <c r="BX218" s="48" t="s">
        <v>2</v>
      </c>
      <c r="BZ218" s="48" t="s">
        <v>0</v>
      </c>
      <c r="CA218" s="48" t="s">
        <v>35</v>
      </c>
      <c r="CB218" s="48" t="s">
        <v>1</v>
      </c>
      <c r="CC218" s="48" t="s">
        <v>2</v>
      </c>
      <c r="CE218" s="49"/>
      <c r="CF218" s="50" t="s">
        <v>0</v>
      </c>
      <c r="CG218" s="50" t="s">
        <v>1</v>
      </c>
      <c r="CH218" s="50" t="s">
        <v>2</v>
      </c>
      <c r="CI218" s="51"/>
      <c r="CK218" s="160"/>
      <c r="CW218" s="176"/>
      <c r="CX218" s="176"/>
      <c r="CY218" s="176"/>
      <c r="CZ218" s="176"/>
      <c r="DA218" s="176"/>
      <c r="DB218" s="176"/>
      <c r="DC218" s="176"/>
      <c r="DD218" s="176"/>
      <c r="DE218" s="176"/>
      <c r="DF218" s="176"/>
      <c r="DG218" s="176"/>
      <c r="DH218" s="176"/>
      <c r="DI218" s="176"/>
      <c r="DJ218" s="176"/>
      <c r="DK218" s="176"/>
      <c r="DL218" s="176"/>
      <c r="DM218" s="176"/>
      <c r="DN218" s="176"/>
      <c r="DO218" s="176"/>
      <c r="DP218" s="176"/>
    </row>
    <row r="219" spans="2:124" ht="26.25" hidden="1" thickBot="1">
      <c r="C219" s="60" t="s">
        <v>49</v>
      </c>
      <c r="D219" s="60" t="s">
        <v>50</v>
      </c>
      <c r="E219" s="161" t="s">
        <v>51</v>
      </c>
      <c r="F219" s="60" t="s">
        <v>52</v>
      </c>
      <c r="H219" s="61" t="s">
        <v>53</v>
      </c>
      <c r="J219" s="61" t="s">
        <v>54</v>
      </c>
      <c r="K219" s="61" t="s">
        <v>54</v>
      </c>
      <c r="M219" s="61" t="s">
        <v>54</v>
      </c>
      <c r="N219" s="61" t="s">
        <v>54</v>
      </c>
      <c r="P219" s="61" t="s">
        <v>54</v>
      </c>
      <c r="R219" s="61" t="s">
        <v>54</v>
      </c>
      <c r="T219" s="61" t="s">
        <v>54</v>
      </c>
      <c r="U219" s="62"/>
      <c r="V219" s="61" t="s">
        <v>54</v>
      </c>
      <c r="X219" s="61" t="s">
        <v>54</v>
      </c>
      <c r="Z219" s="61" t="s">
        <v>54</v>
      </c>
      <c r="AB219" s="61" t="s">
        <v>53</v>
      </c>
      <c r="AC219" s="61" t="s">
        <v>54</v>
      </c>
      <c r="AD219" s="61" t="s">
        <v>54</v>
      </c>
      <c r="AE219" s="61" t="s">
        <v>54</v>
      </c>
      <c r="AG219" s="61" t="s">
        <v>53</v>
      </c>
      <c r="AH219" s="61" t="s">
        <v>54</v>
      </c>
      <c r="AI219" s="61" t="s">
        <v>54</v>
      </c>
      <c r="AJ219" s="61" t="s">
        <v>54</v>
      </c>
      <c r="AL219" s="61" t="s">
        <v>53</v>
      </c>
      <c r="AM219" s="61" t="s">
        <v>54</v>
      </c>
      <c r="AN219" s="61" t="s">
        <v>54</v>
      </c>
      <c r="AO219" s="61" t="s">
        <v>54</v>
      </c>
      <c r="AQ219" s="61" t="s">
        <v>53</v>
      </c>
      <c r="AR219" s="61" t="s">
        <v>54</v>
      </c>
      <c r="AS219" s="61" t="s">
        <v>54</v>
      </c>
      <c r="AT219" s="61" t="s">
        <v>54</v>
      </c>
      <c r="AV219" s="61" t="s">
        <v>53</v>
      </c>
      <c r="AW219" s="61" t="s">
        <v>54</v>
      </c>
      <c r="AX219" s="61" t="s">
        <v>54</v>
      </c>
      <c r="AY219" s="61" t="s">
        <v>54</v>
      </c>
      <c r="BA219" s="61" t="s">
        <v>53</v>
      </c>
      <c r="BB219" s="61" t="s">
        <v>54</v>
      </c>
      <c r="BC219" s="61" t="s">
        <v>54</v>
      </c>
      <c r="BD219" s="61" t="s">
        <v>54</v>
      </c>
      <c r="BF219" s="61" t="s">
        <v>53</v>
      </c>
      <c r="BG219" s="61" t="s">
        <v>54</v>
      </c>
      <c r="BH219" s="61" t="s">
        <v>54</v>
      </c>
      <c r="BI219" s="61" t="s">
        <v>54</v>
      </c>
      <c r="BK219" s="61" t="s">
        <v>53</v>
      </c>
      <c r="BL219" s="61" t="s">
        <v>54</v>
      </c>
      <c r="BM219" s="61" t="s">
        <v>54</v>
      </c>
      <c r="BN219" s="61" t="s">
        <v>54</v>
      </c>
      <c r="BP219" s="61" t="s">
        <v>53</v>
      </c>
      <c r="BQ219" s="61" t="s">
        <v>54</v>
      </c>
      <c r="BR219" s="61" t="s">
        <v>54</v>
      </c>
      <c r="BS219" s="61" t="s">
        <v>54</v>
      </c>
      <c r="BU219" s="61" t="s">
        <v>53</v>
      </c>
      <c r="BV219" s="61" t="s">
        <v>54</v>
      </c>
      <c r="BW219" s="61" t="s">
        <v>54</v>
      </c>
      <c r="BX219" s="61" t="s">
        <v>54</v>
      </c>
      <c r="BZ219" s="61" t="s">
        <v>53</v>
      </c>
      <c r="CA219" s="61" t="s">
        <v>54</v>
      </c>
      <c r="CB219" s="61" t="s">
        <v>54</v>
      </c>
      <c r="CC219" s="61" t="s">
        <v>54</v>
      </c>
      <c r="CE219" s="33"/>
      <c r="CF219" s="63" t="s">
        <v>53</v>
      </c>
      <c r="CG219" s="63" t="s">
        <v>54</v>
      </c>
      <c r="CH219" s="63" t="s">
        <v>54</v>
      </c>
      <c r="CI219" s="35"/>
      <c r="CJ219" s="64">
        <f>ROUNDUP(CF221*60%,-1)</f>
        <v>0</v>
      </c>
      <c r="CK219" s="99"/>
    </row>
    <row r="220" spans="2:124" ht="5.25" hidden="1" customHeight="1">
      <c r="V220"/>
      <c r="X220"/>
      <c r="CE220" s="33"/>
      <c r="CF220" s="39"/>
      <c r="CG220" s="39"/>
      <c r="CH220" s="39"/>
      <c r="CI220" s="35"/>
      <c r="CK220" s="99"/>
    </row>
    <row r="221" spans="2:124" s="64" customFormat="1" ht="12.95" hidden="1" customHeight="1">
      <c r="B221" s="64">
        <f>C211</f>
        <v>0</v>
      </c>
      <c r="C221" s="65" t="s">
        <v>56</v>
      </c>
      <c r="D221" s="65"/>
      <c r="E221" s="66"/>
      <c r="F221" s="65"/>
      <c r="H221" s="67">
        <f>IFERROR(SUMIFS(H223:H262,F223:F262,"Produit Vente"),"Non trouvé")</f>
        <v>23.759999999999998</v>
      </c>
      <c r="J221" s="68">
        <f>IFERROR($K221/$H221,"Non Trouvé")</f>
        <v>17.020323905723906</v>
      </c>
      <c r="K221" s="68">
        <f>IFERROR(SUM(K223:K262),"Non Trouvé")</f>
        <v>404.402896</v>
      </c>
      <c r="M221" s="68">
        <f>IFERROR($N221/$H221,"Non Trouvé")</f>
        <v>28.577331692761174</v>
      </c>
      <c r="N221" s="68">
        <f>IFERROR(SUM(N223:N262),"Non Trouvé")</f>
        <v>678.99740102000544</v>
      </c>
      <c r="P221" s="69">
        <f>IFERROR(-(R221-N221)/N221,"Non Trouvé")</f>
        <v>0</v>
      </c>
      <c r="R221" s="68">
        <f>IFERROR(SUM(R223:R262),"Non Trouvé")</f>
        <v>678.99740102000544</v>
      </c>
      <c r="T221" s="68">
        <f>IFERROR(SUM(T223:T262),"Non Trouvé")</f>
        <v>885.39994304461027</v>
      </c>
      <c r="U221" s="70"/>
      <c r="V221" s="68">
        <f>IFERROR(SUM(V223:V263),"Non Trouvé")</f>
        <v>0</v>
      </c>
      <c r="X221" s="68">
        <f>IFERROR(SUM(X223:X263),"Non Trouvé")</f>
        <v>0</v>
      </c>
      <c r="Z221" s="68">
        <f>IFERROR(SUM(Z223:Z262),"Non Trouvé")</f>
        <v>1899.6456000000003</v>
      </c>
      <c r="AB221" s="71">
        <f>ROUND($AB$210*AB213,0)</f>
        <v>0</v>
      </c>
      <c r="AC221" s="72">
        <f>IFERROR(VLOOKUP(AB216,'[1]Paramètres Généraux'!$O:$P,2,FALSE),"Non Trouvé")</f>
        <v>0.17</v>
      </c>
      <c r="AD221" s="68">
        <f>IFERROR(SUM(AD223:AD263),"Non Trouvé")</f>
        <v>0</v>
      </c>
      <c r="AE221" s="69" t="str">
        <f>IFERROR((AD221-$K221*AB221)/AD221,"Non Trouvé")</f>
        <v>Non Trouvé</v>
      </c>
      <c r="AG221" s="71">
        <f>ROUND($AB$210*AG213,0)</f>
        <v>0</v>
      </c>
      <c r="AH221" s="72">
        <f>IFERROR(VLOOKUP(AG216,'[1]Paramètres Généraux'!$O:$P,2,FALSE),"Non Trouvé")</f>
        <v>0.13</v>
      </c>
      <c r="AI221" s="68">
        <f>IFERROR(SUM(AI223:AI263),"Non Trouvé")</f>
        <v>0</v>
      </c>
      <c r="AJ221" s="69" t="str">
        <f>IFERROR((AI221-$K221*AG221)/AI221,"Non Trouvé")</f>
        <v>Non Trouvé</v>
      </c>
      <c r="AL221" s="71">
        <f>ROUND($AB$210*AL213,0)</f>
        <v>0</v>
      </c>
      <c r="AM221" s="72">
        <f>IFERROR(VLOOKUP(AL216,'[1]Paramètres Généraux'!$O:$P,2,FALSE),"Non Trouvé")</f>
        <v>0.08</v>
      </c>
      <c r="AN221" s="68">
        <f>IFERROR(SUM(AN223:AN263),"Non Trouvé")</f>
        <v>0</v>
      </c>
      <c r="AO221" s="69" t="str">
        <f>IFERROR((AN221-$K221*AL221)/AN221,"Non Trouvé")</f>
        <v>Non Trouvé</v>
      </c>
      <c r="AQ221" s="71">
        <f>ROUND($AB$210*AQ213,0)</f>
        <v>0</v>
      </c>
      <c r="AR221" s="72">
        <f>IFERROR(VLOOKUP(AQ216,'[1]Paramètres Généraux'!$O:$P,2,FALSE),"Non Trouvé")</f>
        <v>0.05</v>
      </c>
      <c r="AS221" s="68">
        <f>IFERROR(SUM(AS223:AS263),"Non Trouvé")</f>
        <v>0</v>
      </c>
      <c r="AT221" s="69" t="str">
        <f>IFERROR((AS221-$K221*AQ221)/AS221,"Non Trouvé")</f>
        <v>Non Trouvé</v>
      </c>
      <c r="AV221" s="71">
        <f>ROUND($AB$210*AV213,0)</f>
        <v>0</v>
      </c>
      <c r="AW221" s="72">
        <f>IFERROR(VLOOKUP(AV216,'[1]Paramètres Généraux'!$O:$P,2,FALSE),"Non Trouvé")</f>
        <v>0.32500000000000001</v>
      </c>
      <c r="AX221" s="68">
        <f>IFERROR(SUM(AX223:AX263),"Non Trouvé")</f>
        <v>0</v>
      </c>
      <c r="AY221" s="69" t="str">
        <f>IFERROR((AX221-$K221*AV221)/AX221,"Non Trouvé")</f>
        <v>Non Trouvé</v>
      </c>
      <c r="BA221" s="71">
        <f>ROUND($AB$210*BA213,0)</f>
        <v>0</v>
      </c>
      <c r="BB221" s="72">
        <f>IFERROR(VLOOKUP(BA216,'[1]Paramètres Généraux'!$O:$P,2,FALSE),"Non Trouvé")</f>
        <v>0.29499999999999998</v>
      </c>
      <c r="BC221" s="68">
        <f>IFERROR(SUM(BC223:BC263),"Non Trouvé")</f>
        <v>0</v>
      </c>
      <c r="BD221" s="69" t="str">
        <f>IFERROR((BC221-$K221*BA221)/BC221,"Non Trouvé")</f>
        <v>Non Trouvé</v>
      </c>
      <c r="BF221" s="71">
        <f>ROUND($AB$210*BF213,0)</f>
        <v>0</v>
      </c>
      <c r="BG221" s="72">
        <f>IFERROR(VLOOKUP(BF216,'[1]Paramètres Généraux'!$O:$P,2,FALSE),"Non Trouvé")</f>
        <v>0.27500000000000002</v>
      </c>
      <c r="BH221" s="68">
        <f>IFERROR(SUM(BH223:BH263),"Non Trouvé")</f>
        <v>0</v>
      </c>
      <c r="BI221" s="69" t="str">
        <f>IFERROR((BH221-$K221*BF221)/BH221,"Non Trouvé")</f>
        <v>Non Trouvé</v>
      </c>
      <c r="BK221" s="71">
        <f>ROUND($AB$210*BK213,0)</f>
        <v>0</v>
      </c>
      <c r="BL221" s="72">
        <f>IFERROR(VLOOKUP(BK216,'[1]Paramètres Généraux'!$O:$P,2,FALSE),"Non Trouvé")</f>
        <v>0.245</v>
      </c>
      <c r="BM221" s="68">
        <f>IFERROR(SUM(BM223:BM263),"Non Trouvé")</f>
        <v>0</v>
      </c>
      <c r="BN221" s="69" t="str">
        <f>IFERROR((BM221-$K221*BK221)/BM221,"Non Trouvé")</f>
        <v>Non Trouvé</v>
      </c>
      <c r="BP221" s="71">
        <f>ROUND($AB$210*BP213,0)</f>
        <v>0</v>
      </c>
      <c r="BQ221" s="72">
        <f>IFERROR(VLOOKUP(BP216,'[1]Paramètres Généraux'!$O:$P,2,FALSE),"Non Trouvé")</f>
        <v>0.22500000000000001</v>
      </c>
      <c r="BR221" s="68">
        <f>IFERROR(SUM(BR223:BR263),"Non Trouvé")</f>
        <v>0</v>
      </c>
      <c r="BS221" s="69" t="str">
        <f>IFERROR((BR221-$K221*BP221)/BR221,"Non Trouvé")</f>
        <v>Non Trouvé</v>
      </c>
      <c r="BU221" s="71">
        <f>ROUND($AB$210*BU213,0)</f>
        <v>0</v>
      </c>
      <c r="BV221" s="72">
        <f>IFERROR(VLOOKUP(BU216,'[1]Paramètres Généraux'!$O:$P,2,FALSE),"Non Trouvé")</f>
        <v>0.17499999999999999</v>
      </c>
      <c r="BW221" s="68">
        <f>IFERROR(SUM(BW223:BW263),"Non Trouvé")</f>
        <v>0</v>
      </c>
      <c r="BX221" s="69" t="str">
        <f>IFERROR((BW221-$K221*BU221)/BW221,"Non Trouvé")</f>
        <v>Non Trouvé</v>
      </c>
      <c r="BZ221" s="71">
        <f>ROUND($AB$210*BZ213,0)</f>
        <v>0</v>
      </c>
      <c r="CA221" s="72">
        <f>IFERROR(VLOOKUP(BZ216,'[1]Paramètres Généraux'!$O:$P,2,FALSE),"Non Trouvé")</f>
        <v>0.15</v>
      </c>
      <c r="CB221" s="68">
        <f>IFERROR(SUM(CB223:CB263),"Non Trouvé")</f>
        <v>0</v>
      </c>
      <c r="CC221" s="69" t="str">
        <f>IFERROR((CB221-$K221*BZ221)/CB221,"Non Trouvé")</f>
        <v>Non Trouvé</v>
      </c>
      <c r="CE221" s="73"/>
      <c r="CF221" s="67">
        <f>SUMIFS($AB221:$CC221,$AB218:$CC218,CF218)</f>
        <v>0</v>
      </c>
      <c r="CG221" s="67">
        <f>SUMIFS($AB221:$CC221,$AB218:$CC218,CG218)</f>
        <v>0</v>
      </c>
      <c r="CH221" s="74" t="str">
        <f>IFERROR((CG221-$K221*CF221)/CG221,"Non Trouvé")</f>
        <v>Non Trouvé</v>
      </c>
      <c r="CI221" s="75"/>
      <c r="CJ221" s="64">
        <f>ROUNDUP(CF221*70%,-1)</f>
        <v>0</v>
      </c>
      <c r="CK221" s="162"/>
      <c r="CW221" s="177"/>
      <c r="CX221" s="177"/>
      <c r="CY221" s="177"/>
      <c r="CZ221" s="177"/>
      <c r="DA221" s="177"/>
      <c r="DB221" s="177"/>
      <c r="DC221" s="177"/>
      <c r="DD221" s="177"/>
      <c r="DE221" s="177"/>
      <c r="DF221" s="177"/>
      <c r="DG221" s="177"/>
      <c r="DH221" s="177"/>
      <c r="DI221" s="177"/>
      <c r="DJ221" s="177"/>
      <c r="DK221" s="177"/>
      <c r="DL221" s="177"/>
      <c r="DM221" s="177"/>
      <c r="DN221" s="177"/>
      <c r="DO221" s="177"/>
      <c r="DP221" s="177"/>
    </row>
    <row r="222" spans="2:124" ht="5.25" hidden="1" customHeight="1">
      <c r="V222"/>
      <c r="X222"/>
      <c r="CE222" s="33"/>
      <c r="CF222" s="39"/>
      <c r="CG222" s="39"/>
      <c r="CH222" s="39"/>
      <c r="CI222" s="35"/>
      <c r="CK222" s="99"/>
    </row>
    <row r="223" spans="2:124" ht="12.95" hidden="1" customHeight="1" thickBot="1">
      <c r="B223" s="1">
        <f>IF(C223="",0,COUNTIFS($B$22:B222,"&gt;"&amp;0)+1)</f>
        <v>82</v>
      </c>
      <c r="C223" s="85">
        <v>1020202</v>
      </c>
      <c r="D223" s="86" t="str">
        <f>IFERROR(IF($C223="","",VLOOKUP($C223,'[1]Paramètres Articles'!$B:$G,2,FALSE)),"Non Trouvé")</f>
        <v>Sérum Jour/Nuit - Régénérant - 30 ml</v>
      </c>
      <c r="E223" s="87">
        <f>IFERROR(IF($C223="","",_xlfn.XLOOKUP(REGENERANTS!$C223,'[1]New Base PA'!$F:$F,'[1]New Base PA'!$D:$D,"Not Found",0)),"Non Trouvé")</f>
        <v>4020829103115</v>
      </c>
      <c r="F223" s="88" t="s">
        <v>90</v>
      </c>
      <c r="H223" s="101">
        <f>24*13%</f>
        <v>3.12</v>
      </c>
      <c r="J223" s="90"/>
      <c r="K223" s="131"/>
      <c r="L223" s="132"/>
      <c r="M223" s="90">
        <f>IFERROR(IF(AND($F223="Produit Vente",H223&gt;0),VLOOKUP($C223,'[1]Paramètres Articles'!$B:$G,6,FALSE),0),"Non Trouvé")</f>
        <v>41.117049418604651</v>
      </c>
      <c r="N223" s="90"/>
      <c r="P223" s="92"/>
      <c r="R223" s="90">
        <f t="shared" ref="R223:R262" si="134">IFERROR(IF($C223="","",$N223*(1-$P223)),"Non Trouvé")</f>
        <v>0</v>
      </c>
      <c r="S223" s="91"/>
      <c r="T223" s="90">
        <f>IFERROR(IF($C223="","",VLOOKUP($C223,'[1]Paramètres Articles'!$B:$H,7,FALSE)),"Non Trouvé")</f>
        <v>69.900000000000006</v>
      </c>
      <c r="U223" s="93"/>
      <c r="V223" s="90" t="str">
        <f>IFERROR(IF($C223="","",IF($P223="","",$T223*(1-$P223))),"Non Trouvé")</f>
        <v/>
      </c>
      <c r="W223" s="91"/>
      <c r="X223" s="90" t="str">
        <f>IFERROR(T223-V223,"")</f>
        <v/>
      </c>
      <c r="Y223" s="91"/>
      <c r="Z223" s="90">
        <f t="shared" ref="Z223:Z262" si="135">IFERROR(IF(OR(T223=0,T223=""),0,T223*H223),"Non Trouvé")</f>
        <v>218.08800000000002</v>
      </c>
      <c r="AB223" s="94">
        <f>AB221</f>
        <v>0</v>
      </c>
      <c r="AC223" s="94">
        <f>AC221</f>
        <v>0.17</v>
      </c>
      <c r="AD223" s="90">
        <f>IFERROR(IF($C223="","",IF($P$15="Cascade",$R223*(1-AC223)*AB223,IF($P$15="Additionnelle",($N223-($N223*($P223+AC223)))*AB223))),"Non Trouvé")</f>
        <v>0</v>
      </c>
      <c r="AG223" s="94">
        <f>AG221</f>
        <v>0</v>
      </c>
      <c r="AH223" s="94">
        <f>AH221</f>
        <v>0.13</v>
      </c>
      <c r="AI223" s="90">
        <f>IFERROR(IF($C223="","",IF($P$15="Cascade",$R223*(1-AH223)*AG223,IF($P$15="Additionnelle",($N223-($N223*($P223+AH223)))*AG223))),"Non Trouvé")</f>
        <v>0</v>
      </c>
      <c r="AL223" s="94">
        <f>AL221</f>
        <v>0</v>
      </c>
      <c r="AM223" s="94">
        <f>AM221</f>
        <v>0.08</v>
      </c>
      <c r="AN223" s="90">
        <f>IFERROR(IF($C223="","",IF($P$15="Cascade",$R223*(1-AM223)*AL223,IF($P$15="Additionnelle",($N223-($N223*($P223+AM223)))*AL223))),"Non Trouvé")</f>
        <v>0</v>
      </c>
      <c r="AQ223" s="94">
        <f>AQ221</f>
        <v>0</v>
      </c>
      <c r="AR223" s="94">
        <f>AR221</f>
        <v>0.05</v>
      </c>
      <c r="AS223" s="90">
        <f>IFERROR(IF($C223="","",IF($P$15="Cascade",$R223*(1-AR223)*AQ223,IF($P$15="Additionnelle",($N223-($N223*($P223+AR223)))*AQ223))),"Non Trouvé")</f>
        <v>0</v>
      </c>
      <c r="AV223" s="94">
        <f>AV221</f>
        <v>0</v>
      </c>
      <c r="AW223" s="94">
        <f>AW221</f>
        <v>0.32500000000000001</v>
      </c>
      <c r="AX223" s="90">
        <f>IFERROR(IF($C223="","",IF($P$15="Cascade",$R223*(1-AW223)*AV223,IF($P$15="Additionnelle",($N223-($N223*($P223+AW223)))*AV223))),"Non Trouvé")</f>
        <v>0</v>
      </c>
      <c r="BA223" s="94">
        <f>BA221</f>
        <v>0</v>
      </c>
      <c r="BB223" s="94">
        <f>BB221</f>
        <v>0.29499999999999998</v>
      </c>
      <c r="BC223" s="90">
        <f>IFERROR(IF($C223="","",IF($P$15="Cascade",$R223*(1-BB223)*BA223,IF($P$15="Additionnelle",($N223-($N223*($P223+BB223)))*BA223))),"Non Trouvé")</f>
        <v>0</v>
      </c>
      <c r="BF223" s="94">
        <f>BF221</f>
        <v>0</v>
      </c>
      <c r="BG223" s="94">
        <f>BG221</f>
        <v>0.27500000000000002</v>
      </c>
      <c r="BH223" s="90">
        <f>IFERROR(IF($C223="","",IF($P$15="Cascade",$R223*(1-BG223)*BF223,IF($P$15="Additionnelle",($N223-($N223*($P223+BG223)))*BF223))),"Non Trouvé")</f>
        <v>0</v>
      </c>
      <c r="BK223" s="94">
        <f>BK221</f>
        <v>0</v>
      </c>
      <c r="BL223" s="94">
        <f>BL221</f>
        <v>0.245</v>
      </c>
      <c r="BM223" s="90">
        <f>IFERROR(IF($C223="","",IF($P$15="Cascade",$R223*(1-BL223)*BK223,IF($P$15="Additionnelle",($N223-($N223*($P223+BL223)))*BK223))),"Non Trouvé")</f>
        <v>0</v>
      </c>
      <c r="BP223" s="94">
        <f>BP221</f>
        <v>0</v>
      </c>
      <c r="BQ223" s="94">
        <f>BQ221</f>
        <v>0.22500000000000001</v>
      </c>
      <c r="BR223" s="90">
        <f>IFERROR(IF($C223="","",IF($P$15="Cascade",$R223*(1-BQ223)*BP223,IF($P$15="Additionnelle",($N223-($N223*($P223+BQ223)))*BP223))),"Non Trouvé")</f>
        <v>0</v>
      </c>
      <c r="BU223" s="94">
        <f>BU221</f>
        <v>0</v>
      </c>
      <c r="BV223" s="94">
        <f>BV221</f>
        <v>0.17499999999999999</v>
      </c>
      <c r="BW223" s="90">
        <f>IFERROR(IF($C223="","",IF($P$15="Cascade",$R223*(1-BV223)*BU223,IF($P$15="Additionnelle",($N223-($N223*($P223+BV223)))*BU223))),"Non Trouvé")</f>
        <v>0</v>
      </c>
      <c r="BZ223" s="94">
        <f>BZ221</f>
        <v>0</v>
      </c>
      <c r="CA223" s="94">
        <f>CA221</f>
        <v>0.15</v>
      </c>
      <c r="CB223" s="90">
        <f>IFERROR(IF($C223="","",IF($P$15="Cascade",$R223*(1-CA223)*BZ223,IF($P$15="Additionnelle",($N223-($N223*($P223+CA223)))*BZ223))),"Non Trouvé")</f>
        <v>0</v>
      </c>
      <c r="CE223" s="95"/>
      <c r="CF223" s="96"/>
      <c r="CG223" s="97"/>
      <c r="CH223" s="97"/>
      <c r="CI223" s="98"/>
      <c r="CK223" s="99">
        <f>IFERROR(IF(F223='[1]Paramètres Généraux'!$K$12,ROUNDUP((REGENERANTS!H223*REGENERANTS!$CF$221)*'[1]Paramètres Généraux'!$M$12,-1),REGENERANTS!H223*REGENERANTS!$CF$221),"nd")</f>
        <v>0</v>
      </c>
      <c r="CN223" s="164"/>
      <c r="CO223" s="165"/>
      <c r="CP223" s="165"/>
      <c r="CQ223" s="165"/>
      <c r="CR223" s="165"/>
      <c r="CS223" s="166"/>
      <c r="CT223" s="167"/>
      <c r="CU223" s="165"/>
      <c r="CV223" s="166"/>
      <c r="CW223" s="168"/>
      <c r="CX223" s="169"/>
      <c r="CY223" s="168"/>
      <c r="CZ223" s="170"/>
      <c r="DA223" s="169"/>
      <c r="DB223" s="168"/>
      <c r="DC223" s="170"/>
      <c r="DD223" s="169"/>
      <c r="DE223" s="168"/>
      <c r="DF223" s="170"/>
      <c r="DG223" s="170"/>
      <c r="DH223" s="170"/>
      <c r="DI223" s="170"/>
      <c r="DJ223" s="170"/>
      <c r="DK223" s="170"/>
      <c r="DL223" s="170"/>
      <c r="DM223" s="170"/>
      <c r="DN223" s="170"/>
      <c r="DO223" s="169"/>
      <c r="DP223" s="168"/>
      <c r="DQ223" s="20">
        <f t="shared" ref="DQ223:DQ263" si="136">SUM(CN223:DP223)</f>
        <v>0</v>
      </c>
      <c r="DR223" s="20">
        <f t="shared" ref="DR223:DR263" si="137">SUM(CV223:DP223)</f>
        <v>0</v>
      </c>
      <c r="DS223" s="20">
        <f>IFERROR((IF(AND($F223="Produit Vente",CO223&gt;0),VLOOKUP($C223,'[1]Paramètres Articles'!$B:$H,7,FALSE)*$CO223)*(1-20%)),0)</f>
        <v>0</v>
      </c>
      <c r="DT223" s="20">
        <f>IFERROR((IF(AND($F223="Produit Vente",DR223&gt;0),VLOOKUP($C223,'[1]Paramètres Articles'!$B:$H,6,FALSE)*$DR223)*(1-15%)),0)</f>
        <v>0</v>
      </c>
    </row>
    <row r="224" spans="2:124" ht="12.95" hidden="1" customHeight="1" thickBot="1">
      <c r="B224" s="1">
        <f>IF(C224="",0,COUNTIFS($B$22:B223,"&gt;"&amp;0)+1)</f>
        <v>83</v>
      </c>
      <c r="C224" s="85">
        <v>1020310</v>
      </c>
      <c r="D224" s="86" t="str">
        <f>IFERROR(IF($C224="","",VLOOKUP($C224,'[1]Paramètres Articles'!$B:$G,2,FALSE)),"Non Trouvé")</f>
        <v>Crème de Jour Eclat du Teint - Régénérant - 40 ml</v>
      </c>
      <c r="E224" s="87">
        <f>IFERROR(IF($C224="","",_xlfn.XLOOKUP(REGENERANTS!$C224,'[1]New Base PA'!$F:$F,'[1]New Base PA'!$D:$D,"Not Found",0)),"Non Trouvé")</f>
        <v>4020829060999</v>
      </c>
      <c r="F224" s="88" t="s">
        <v>90</v>
      </c>
      <c r="H224" s="101">
        <f>24*7%</f>
        <v>1.6800000000000002</v>
      </c>
      <c r="J224" s="90"/>
      <c r="K224" s="131"/>
      <c r="L224" s="132"/>
      <c r="M224" s="90">
        <f>IFERROR(IF(AND($F224="Produit Vente",H224&gt;0),VLOOKUP($C224,'[1]Paramètres Articles'!$B:$G,6,FALSE),0),"Non Trouvé")</f>
        <v>41.12</v>
      </c>
      <c r="N224" s="90"/>
      <c r="P224" s="92"/>
      <c r="R224" s="90">
        <f t="shared" si="134"/>
        <v>0</v>
      </c>
      <c r="S224" s="91"/>
      <c r="T224" s="90">
        <f>IFERROR(IF($C224="","",VLOOKUP($C224,'[1]Paramètres Articles'!$B:$H,7,FALSE)),"Non Trouvé")</f>
        <v>69.900000000000006</v>
      </c>
      <c r="U224" s="93"/>
      <c r="V224" s="90" t="str">
        <f t="shared" ref="V224:V262" si="138">IFERROR(IF($C224="","",IF($P224="","",$T224*(1-$P224))),"Non Trouvé")</f>
        <v/>
      </c>
      <c r="W224" s="91"/>
      <c r="X224" s="90" t="str">
        <f>IFERROR(T224-V224,"")</f>
        <v/>
      </c>
      <c r="Y224" s="91"/>
      <c r="Z224" s="90">
        <f t="shared" si="135"/>
        <v>117.43200000000002</v>
      </c>
      <c r="AB224" s="94">
        <f>AB223</f>
        <v>0</v>
      </c>
      <c r="AC224" s="94">
        <f>AC223</f>
        <v>0.17</v>
      </c>
      <c r="AD224" s="90">
        <f>IFERROR(IF($C224="","",IF($P$15="Cascade",$R224*(1-AC224)*AB224,IF($P$15="Additionnelle",($N224-($N224*($P224+AC224)))*AB224))),"Non Trouvé")</f>
        <v>0</v>
      </c>
      <c r="AG224" s="94">
        <f>AG223</f>
        <v>0</v>
      </c>
      <c r="AH224" s="94">
        <f>AH223</f>
        <v>0.13</v>
      </c>
      <c r="AI224" s="90">
        <f>IFERROR(IF($C224="","",IF($P$15="Cascade",$R224*(1-AH224)*AG224,IF($P$15="Additionnelle",($N224-($N224*($P224+AH224)))*AG224))),"Non Trouvé")</f>
        <v>0</v>
      </c>
      <c r="AL224" s="94">
        <f>AL223</f>
        <v>0</v>
      </c>
      <c r="AM224" s="94">
        <f>AM223</f>
        <v>0.08</v>
      </c>
      <c r="AN224" s="90">
        <f>IFERROR(IF($C224="","",IF($P$15="Cascade",$R224*(1-AM224)*AL224,IF($P$15="Additionnelle",($N224-($N224*($P224+AM224)))*AL224))),"Non Trouvé")</f>
        <v>0</v>
      </c>
      <c r="AQ224" s="94">
        <f>AQ223</f>
        <v>0</v>
      </c>
      <c r="AR224" s="94">
        <f>AR223</f>
        <v>0.05</v>
      </c>
      <c r="AS224" s="90">
        <f>IFERROR(IF($C224="","",IF($P$15="Cascade",$R224*(1-AR224)*AQ224,IF($P$15="Additionnelle",($N224-($N224*($P224+AR224)))*AQ224))),"Non Trouvé")</f>
        <v>0</v>
      </c>
      <c r="AV224" s="94">
        <f>AV223</f>
        <v>0</v>
      </c>
      <c r="AW224" s="94">
        <f>AW223</f>
        <v>0.32500000000000001</v>
      </c>
      <c r="AX224" s="90">
        <f>IFERROR(IF($C224="","",IF($P$15="Cascade",$R224*(1-AW224)*AV224,IF($P$15="Additionnelle",($N224-($N224*($P224+AW224)))*AV224))),"Non Trouvé")</f>
        <v>0</v>
      </c>
      <c r="BA224" s="94">
        <f>BA223</f>
        <v>0</v>
      </c>
      <c r="BB224" s="94">
        <f>BB223</f>
        <v>0.29499999999999998</v>
      </c>
      <c r="BC224" s="90">
        <f>IFERROR(IF($C224="","",IF($P$15="Cascade",$R224*(1-BB224)*BA224,IF($P$15="Additionnelle",($N224-($N224*($P224+BB224)))*BA224))),"Non Trouvé")</f>
        <v>0</v>
      </c>
      <c r="BF224" s="94">
        <f>BF223</f>
        <v>0</v>
      </c>
      <c r="BG224" s="94">
        <f>BG223</f>
        <v>0.27500000000000002</v>
      </c>
      <c r="BH224" s="90">
        <f>IFERROR(IF($C224="","",IF($P$15="Cascade",$R224*(1-BG224)*BF224,IF($P$15="Additionnelle",($N224-($N224*($P224+BG224)))*BF224))),"Non Trouvé")</f>
        <v>0</v>
      </c>
      <c r="BK224" s="94">
        <f>BK223</f>
        <v>0</v>
      </c>
      <c r="BL224" s="94">
        <f>BL223</f>
        <v>0.245</v>
      </c>
      <c r="BM224" s="90">
        <f>IFERROR(IF($C224="","",IF($P$15="Cascade",$R224*(1-BL224)*BK224,IF($P$15="Additionnelle",($N224-($N224*($P224+BL224)))*BK224))),"Non Trouvé")</f>
        <v>0</v>
      </c>
      <c r="BP224" s="94">
        <f>BP223</f>
        <v>0</v>
      </c>
      <c r="BQ224" s="94">
        <f>BQ223</f>
        <v>0.22500000000000001</v>
      </c>
      <c r="BR224" s="90">
        <f>IFERROR(IF($C224="","",IF($P$15="Cascade",$R224*(1-BQ224)*BP224,IF($P$15="Additionnelle",($N224-($N224*($P224+BQ224)))*BP224))),"Non Trouvé")</f>
        <v>0</v>
      </c>
      <c r="BU224" s="94">
        <f>BU223</f>
        <v>0</v>
      </c>
      <c r="BV224" s="94">
        <f>BV223</f>
        <v>0.17499999999999999</v>
      </c>
      <c r="BW224" s="90">
        <f>IFERROR(IF($C224="","",IF($P$15="Cascade",$R224*(1-BV224)*BU224,IF($P$15="Additionnelle",($N224-($N224*($P224+BV224)))*BU224))),"Non Trouvé")</f>
        <v>0</v>
      </c>
      <c r="BZ224" s="94">
        <f>BZ223</f>
        <v>0</v>
      </c>
      <c r="CA224" s="94">
        <f>CA223</f>
        <v>0.15</v>
      </c>
      <c r="CB224" s="90">
        <f>IFERROR(IF($C224="","",IF($P$15="Cascade",$R224*(1-CA224)*BZ224,IF($P$15="Additionnelle",($N224-($N224*($P224+CA224)))*BZ224))),"Non Trouvé")</f>
        <v>0</v>
      </c>
      <c r="CE224" s="95"/>
      <c r="CF224" s="114"/>
      <c r="CG224" s="115" t="s">
        <v>91</v>
      </c>
      <c r="CH224" s="116" t="e">
        <f>CG221/CF221</f>
        <v>#DIV/0!</v>
      </c>
      <c r="CI224" s="98"/>
      <c r="CK224" s="99">
        <f>IFERROR(IF(F224='[1]Paramètres Généraux'!$K$12,ROUNDUP((REGENERANTS!H224*REGENERANTS!$CF$221)*'[1]Paramètres Généraux'!$M$12,-1),REGENERANTS!H224*REGENERANTS!$CF$221),"nd")</f>
        <v>0</v>
      </c>
      <c r="CN224" s="100"/>
      <c r="CO224" s="101"/>
      <c r="CP224" s="101"/>
      <c r="CQ224" s="101"/>
      <c r="CR224" s="101"/>
      <c r="CS224" s="171"/>
      <c r="CT224" s="172"/>
      <c r="CU224" s="101"/>
      <c r="CV224" s="171"/>
      <c r="CW224" s="106"/>
      <c r="CX224" s="107"/>
      <c r="CY224" s="106"/>
      <c r="CZ224" s="104"/>
      <c r="DA224" s="107"/>
      <c r="DB224" s="106"/>
      <c r="DC224" s="104"/>
      <c r="DD224" s="107"/>
      <c r="DE224" s="106"/>
      <c r="DF224" s="104"/>
      <c r="DG224" s="104"/>
      <c r="DH224" s="104"/>
      <c r="DI224" s="104"/>
      <c r="DJ224" s="104"/>
      <c r="DK224" s="104"/>
      <c r="DL224" s="104"/>
      <c r="DM224" s="104"/>
      <c r="DN224" s="104"/>
      <c r="DO224" s="107"/>
      <c r="DP224" s="106"/>
      <c r="DQ224" s="20">
        <f t="shared" si="136"/>
        <v>0</v>
      </c>
      <c r="DR224" s="20">
        <f t="shared" si="137"/>
        <v>0</v>
      </c>
      <c r="DS224" s="20">
        <f>IFERROR((IF(AND($F224="Produit Vente",CO224&gt;0),VLOOKUP($C224,'[1]Paramètres Articles'!$B:$H,7,FALSE)*$CO224)*(1-20%)),0)</f>
        <v>0</v>
      </c>
      <c r="DT224" s="20">
        <f>IFERROR((IF(AND($F224="Produit Vente",DR224&gt;0),VLOOKUP($C224,'[1]Paramètres Articles'!$B:$H,6,FALSE)*$DR224)*(1-15%)),0)</f>
        <v>0</v>
      </c>
    </row>
    <row r="225" spans="2:124" ht="12.95" hidden="1" customHeight="1" thickBot="1">
      <c r="B225" s="1">
        <f>IF(C225="",0,COUNTIFS($B$22:B224,"&gt;"&amp;0)+1)</f>
        <v>84</v>
      </c>
      <c r="C225" s="85">
        <v>1020401</v>
      </c>
      <c r="D225" s="86" t="str">
        <f>IFERROR(IF($C225="","",VLOOKUP($C225,'[1]Paramètres Articles'!$B:$G,2,FALSE)),"Non Trouvé")</f>
        <v>Crème Contour des Yeux - Régénérant - 15 ml</v>
      </c>
      <c r="E225" s="87">
        <f>IFERROR(IF($C225="","",_xlfn.XLOOKUP(REGENERANTS!$C225,'[1]New Base PA'!$F:$F,'[1]New Base PA'!$D:$D,"Not Found",0)),"Non Trouvé")</f>
        <v>4020829013919</v>
      </c>
      <c r="F225" s="88" t="s">
        <v>90</v>
      </c>
      <c r="H225" s="101">
        <f>24*9%</f>
        <v>2.16</v>
      </c>
      <c r="J225" s="90"/>
      <c r="K225" s="131"/>
      <c r="L225" s="132"/>
      <c r="M225" s="90">
        <f>IFERROR(IF(AND($F225="Produit Vente",H225&gt;0),VLOOKUP($C225,'[1]Paramètres Articles'!$B:$G,6,FALSE),0),"Non Trouvé")</f>
        <v>39.71</v>
      </c>
      <c r="N225" s="90"/>
      <c r="P225" s="92"/>
      <c r="R225" s="90">
        <f t="shared" si="134"/>
        <v>0</v>
      </c>
      <c r="S225" s="91"/>
      <c r="T225" s="90">
        <f>IFERROR(IF($C225="","",VLOOKUP($C225,'[1]Paramètres Articles'!$B:$H,7,FALSE)),"Non Trouvé")</f>
        <v>67.5</v>
      </c>
      <c r="U225" s="93"/>
      <c r="V225" s="90" t="str">
        <f t="shared" si="138"/>
        <v/>
      </c>
      <c r="W225" s="91"/>
      <c r="X225" s="90" t="str">
        <f t="shared" ref="X225:X262" si="139">IFERROR(T225-V225,"")</f>
        <v/>
      </c>
      <c r="Y225" s="91"/>
      <c r="Z225" s="90">
        <f t="shared" si="135"/>
        <v>145.80000000000001</v>
      </c>
      <c r="AB225" s="94">
        <f>AB223</f>
        <v>0</v>
      </c>
      <c r="AC225" s="94">
        <f>AC223</f>
        <v>0.17</v>
      </c>
      <c r="AD225" s="90">
        <f>IFERROR(IF($C225="","",IF($P$15="Cascade",$R225*(1-AC225)*AB225,IF($P$15="Additionnelle",($N225-($N225*($P225+AC225)))*AB225))),"Non Trouvé")</f>
        <v>0</v>
      </c>
      <c r="AG225" s="94">
        <f>AG223</f>
        <v>0</v>
      </c>
      <c r="AH225" s="94">
        <f>AH223</f>
        <v>0.13</v>
      </c>
      <c r="AI225" s="90">
        <f>IFERROR(IF($C225="","",IF($P$15="Cascade",$R225*(1-AH225)*AG225,IF($P$15="Additionnelle",($N225-($N225*($P225+AH225)))*AG225))),"Non Trouvé")</f>
        <v>0</v>
      </c>
      <c r="AL225" s="94">
        <f>AL223</f>
        <v>0</v>
      </c>
      <c r="AM225" s="94">
        <f>AM223</f>
        <v>0.08</v>
      </c>
      <c r="AN225" s="90">
        <f>IFERROR(IF($C225="","",IF($P$15="Cascade",$R225*(1-AM225)*AL225,IF($P$15="Additionnelle",($N225-($N225*($P225+AM225)))*AL225))),"Non Trouvé")</f>
        <v>0</v>
      </c>
      <c r="AQ225" s="94">
        <f>AQ223</f>
        <v>0</v>
      </c>
      <c r="AR225" s="94">
        <f>AR223</f>
        <v>0.05</v>
      </c>
      <c r="AS225" s="90">
        <f>IFERROR(IF($C225="","",IF($P$15="Cascade",$R225*(1-AR225)*AQ225,IF($P$15="Additionnelle",($N225-($N225*($P225+AR225)))*AQ225))),"Non Trouvé")</f>
        <v>0</v>
      </c>
      <c r="AV225" s="94">
        <f>AV223</f>
        <v>0</v>
      </c>
      <c r="AW225" s="94">
        <f>AW223</f>
        <v>0.32500000000000001</v>
      </c>
      <c r="AX225" s="90">
        <f>IFERROR(IF($C225="","",IF($P$15="Cascade",$R225*(1-AW225)*AV225,IF($P$15="Additionnelle",($N225-($N225*($P225+AW225)))*AV225))),"Non Trouvé")</f>
        <v>0</v>
      </c>
      <c r="BA225" s="94">
        <f>BA223</f>
        <v>0</v>
      </c>
      <c r="BB225" s="94">
        <f>BB223</f>
        <v>0.29499999999999998</v>
      </c>
      <c r="BC225" s="90">
        <f>IFERROR(IF($C225="","",IF($P$15="Cascade",$R225*(1-BB225)*BA225,IF($P$15="Additionnelle",($N225-($N225*($P225+BB225)))*BA225))),"Non Trouvé")</f>
        <v>0</v>
      </c>
      <c r="BF225" s="94">
        <f>BF223</f>
        <v>0</v>
      </c>
      <c r="BG225" s="94">
        <f>BG223</f>
        <v>0.27500000000000002</v>
      </c>
      <c r="BH225" s="90">
        <f>IFERROR(IF($C225="","",IF($P$15="Cascade",$R225*(1-BG225)*BF225,IF($P$15="Additionnelle",($N225-($N225*($P225+BG225)))*BF225))),"Non Trouvé")</f>
        <v>0</v>
      </c>
      <c r="BK225" s="94">
        <f>BK223</f>
        <v>0</v>
      </c>
      <c r="BL225" s="94">
        <f>BL223</f>
        <v>0.245</v>
      </c>
      <c r="BM225" s="90">
        <f>IFERROR(IF($C225="","",IF($P$15="Cascade",$R225*(1-BL225)*BK225,IF($P$15="Additionnelle",($N225-($N225*($P225+BL225)))*BK225))),"Non Trouvé")</f>
        <v>0</v>
      </c>
      <c r="BP225" s="94">
        <f>BP223</f>
        <v>0</v>
      </c>
      <c r="BQ225" s="94">
        <f>BQ223</f>
        <v>0.22500000000000001</v>
      </c>
      <c r="BR225" s="90">
        <f>IFERROR(IF($C225="","",IF($P$15="Cascade",$R225*(1-BQ225)*BP225,IF($P$15="Additionnelle",($N225-($N225*($P225+BQ225)))*BP225))),"Non Trouvé")</f>
        <v>0</v>
      </c>
      <c r="BU225" s="94">
        <f>BU223</f>
        <v>0</v>
      </c>
      <c r="BV225" s="94">
        <f>BV223</f>
        <v>0.17499999999999999</v>
      </c>
      <c r="BW225" s="90">
        <f>IFERROR(IF($C225="","",IF($P$15="Cascade",$R225*(1-BV225)*BU225,IF($P$15="Additionnelle",($N225-($N225*($P225+BV225)))*BU225))),"Non Trouvé")</f>
        <v>0</v>
      </c>
      <c r="BZ225" s="94">
        <f>BZ223</f>
        <v>0</v>
      </c>
      <c r="CA225" s="94">
        <f>CA223</f>
        <v>0.15</v>
      </c>
      <c r="CB225" s="90">
        <f>IFERROR(IF($C225="","",IF($P$15="Cascade",$R225*(1-CA225)*BZ225,IF($P$15="Additionnelle",($N225-($N225*($P225+CA225)))*BZ225))),"Non Trouvé")</f>
        <v>0</v>
      </c>
      <c r="CE225" s="95"/>
      <c r="CF225" s="114"/>
      <c r="CG225" s="115" t="s">
        <v>92</v>
      </c>
      <c r="CH225" s="118">
        <f>SUM(CH227:CH230)</f>
        <v>0.33975689348862492</v>
      </c>
      <c r="CI225" s="98"/>
      <c r="CK225" s="99">
        <f>IFERROR(IF(F225='[1]Paramètres Généraux'!$K$12,ROUNDUP((REGENERANTS!H225*REGENERANTS!$CF$221)*'[1]Paramètres Généraux'!$M$12,-1),REGENERANTS!H225*REGENERANTS!$CF$221),"nd")</f>
        <v>0</v>
      </c>
      <c r="CN225" s="100"/>
      <c r="CO225" s="101"/>
      <c r="CP225" s="101"/>
      <c r="CQ225" s="101"/>
      <c r="CR225" s="101"/>
      <c r="CS225" s="171"/>
      <c r="CT225" s="172"/>
      <c r="CU225" s="101"/>
      <c r="CV225" s="171"/>
      <c r="CW225" s="106"/>
      <c r="CX225" s="107"/>
      <c r="CY225" s="106"/>
      <c r="CZ225" s="104"/>
      <c r="DA225" s="107"/>
      <c r="DB225" s="106"/>
      <c r="DC225" s="104"/>
      <c r="DD225" s="107"/>
      <c r="DE225" s="106"/>
      <c r="DF225" s="104"/>
      <c r="DG225" s="104"/>
      <c r="DH225" s="104"/>
      <c r="DI225" s="104"/>
      <c r="DJ225" s="104"/>
      <c r="DK225" s="104"/>
      <c r="DL225" s="104"/>
      <c r="DM225" s="104"/>
      <c r="DN225" s="104"/>
      <c r="DO225" s="107"/>
      <c r="DP225" s="106"/>
      <c r="DQ225" s="20">
        <f t="shared" si="136"/>
        <v>0</v>
      </c>
      <c r="DR225" s="20">
        <f t="shared" si="137"/>
        <v>0</v>
      </c>
      <c r="DS225" s="20">
        <f>IFERROR((IF(AND($F225="Produit Vente",CO225&gt;0),VLOOKUP($C225,'[1]Paramètres Articles'!$B:$H,7,FALSE)*$CO225)*(1-20%)),0)</f>
        <v>0</v>
      </c>
      <c r="DT225" s="20">
        <f>IFERROR((IF(AND($F225="Produit Vente",DR225&gt;0),VLOOKUP($C225,'[1]Paramètres Articles'!$B:$H,6,FALSE)*$DR225)*(1-15%)),0)</f>
        <v>0</v>
      </c>
    </row>
    <row r="226" spans="2:124" ht="12.95" hidden="1" customHeight="1" outlineLevel="1">
      <c r="B226" s="1">
        <f>IF(C226="",0,COUNTIFS($B$22:B225,"&gt;"&amp;0)+1)</f>
        <v>85</v>
      </c>
      <c r="C226" s="85">
        <v>1020302</v>
      </c>
      <c r="D226" s="86" t="str">
        <f>IFERROR(IF($C226="","",VLOOKUP($C226,'[1]Paramètres Articles'!$B:$G,2,FALSE)),"Non Trouvé")</f>
        <v>Crème Cou et Décolleté - Régénérant - 40 ml</v>
      </c>
      <c r="E226" s="87">
        <f>IFERROR(IF($C226="","",_xlfn.XLOOKUP(REGENERANTS!$C226,'[1]New Base PA'!$F:$F,'[1]New Base PA'!$D:$D,"Not Found",0)),"Non Trouvé")</f>
        <v>4020829008366</v>
      </c>
      <c r="F226" s="88" t="s">
        <v>90</v>
      </c>
      <c r="H226" s="101">
        <f>24*4%</f>
        <v>0.96</v>
      </c>
      <c r="J226" s="90">
        <f>IFERROR(IF($C226="","",VLOOKUP($C226,'[1]New Base PA'!$F:$J,5,FALSE)),"Non Trouvé")</f>
        <v>13.774999999999999</v>
      </c>
      <c r="K226" s="131">
        <f t="shared" ref="K226:K262" si="140">IFERROR(IF($C226="","",$J226*$H226),"Non Trouvé")</f>
        <v>13.223999999999998</v>
      </c>
      <c r="L226" s="132"/>
      <c r="M226" s="90">
        <f>IFERROR(IF(AND($F226="Produit Vente",H226&gt;0),VLOOKUP($C226,'[1]Paramètres Articles'!$B:$G,6,FALSE),0),"Non Trouvé")</f>
        <v>35.878166666666665</v>
      </c>
      <c r="N226" s="90">
        <f t="shared" ref="N226:N262" si="141">IFERROR(IF($C226="","",$M226*$H226),"Non Trouvé")</f>
        <v>34.443039999999996</v>
      </c>
      <c r="P226" s="92"/>
      <c r="R226" s="90">
        <f t="shared" si="134"/>
        <v>34.443039999999996</v>
      </c>
      <c r="S226" s="91"/>
      <c r="T226" s="90">
        <f>IFERROR(IF($C226="","",VLOOKUP($C226,'[1]Paramètres Articles'!$B:$H,7,FALSE)),"Non Trouvé")</f>
        <v>61</v>
      </c>
      <c r="U226" s="93"/>
      <c r="V226" s="90" t="str">
        <f t="shared" si="138"/>
        <v/>
      </c>
      <c r="W226" s="91"/>
      <c r="X226" s="90" t="str">
        <f t="shared" si="139"/>
        <v/>
      </c>
      <c r="Y226" s="91"/>
      <c r="Z226" s="90">
        <f t="shared" si="135"/>
        <v>58.559999999999995</v>
      </c>
      <c r="AB226" s="94">
        <f>AB225</f>
        <v>0</v>
      </c>
      <c r="AC226" s="94">
        <f>AC225</f>
        <v>0.17</v>
      </c>
      <c r="AD226" s="90">
        <f t="shared" ref="AD226:AD262" si="142">IFERROR(IF($C226="","",IF($P$15="Cascade",$R226*(1-AC226)*AB226,IF($P$15="Additionnelle",($N226-($N226*($P226+AC226)))*AB226))),"Non Trouvé")</f>
        <v>0</v>
      </c>
      <c r="AG226" s="94">
        <f>AG225</f>
        <v>0</v>
      </c>
      <c r="AH226" s="94">
        <f>AH225</f>
        <v>0.13</v>
      </c>
      <c r="AI226" s="90">
        <f t="shared" ref="AI226:AI262" si="143">IFERROR(IF($C226="","",IF($P$15="Cascade",$R226*(1-AH226)*AG226,IF($P$15="Additionnelle",($N226-($N226*($P226+AH226)))*AG226))),"Non Trouvé")</f>
        <v>0</v>
      </c>
      <c r="AL226" s="94">
        <f>AL225</f>
        <v>0</v>
      </c>
      <c r="AM226" s="94">
        <f>AM225</f>
        <v>0.08</v>
      </c>
      <c r="AN226" s="90">
        <f t="shared" ref="AN226:AN262" si="144">IFERROR(IF($C226="","",IF($P$15="Cascade",$R226*(1-AM226)*AL226,IF($P$15="Additionnelle",($N226-($N226*($P226+AM226)))*AL226))),"Non Trouvé")</f>
        <v>0</v>
      </c>
      <c r="AQ226" s="94">
        <f>AQ225</f>
        <v>0</v>
      </c>
      <c r="AR226" s="94">
        <f>AR225</f>
        <v>0.05</v>
      </c>
      <c r="AS226" s="90">
        <f t="shared" ref="AS226:AS262" si="145">IFERROR(IF($C226="","",IF($P$15="Cascade",$R226*(1-AR226)*AQ226,IF($P$15="Additionnelle",($N226-($N226*($P226+AR226)))*AQ226))),"Non Trouvé")</f>
        <v>0</v>
      </c>
      <c r="AV226" s="94">
        <f>AV225</f>
        <v>0</v>
      </c>
      <c r="AW226" s="94">
        <f>AW225</f>
        <v>0.32500000000000001</v>
      </c>
      <c r="AX226" s="90">
        <f t="shared" ref="AX226:AX262" si="146">IFERROR(IF($C226="","",IF($P$15="Cascade",$R226*(1-AW226)*AV226,IF($P$15="Additionnelle",($N226-($N226*($P226+AW226)))*AV226))),"Non Trouvé")</f>
        <v>0</v>
      </c>
      <c r="BA226" s="94">
        <f>BA225</f>
        <v>0</v>
      </c>
      <c r="BB226" s="94">
        <f>BB225</f>
        <v>0.29499999999999998</v>
      </c>
      <c r="BC226" s="90">
        <f t="shared" ref="BC226:BC262" si="147">IFERROR(IF($C226="","",IF($P$15="Cascade",$R226*(1-BB226)*BA226,IF($P$15="Additionnelle",($N226-($N226*($P226+BB226)))*BA226))),"Non Trouvé")</f>
        <v>0</v>
      </c>
      <c r="BF226" s="94">
        <f>BF225</f>
        <v>0</v>
      </c>
      <c r="BG226" s="94">
        <f>BG225</f>
        <v>0.27500000000000002</v>
      </c>
      <c r="BH226" s="90">
        <f t="shared" ref="BH226:BH262" si="148">IFERROR(IF($C226="","",IF($P$15="Cascade",$R226*(1-BG226)*BF226,IF($P$15="Additionnelle",($N226-($N226*($P226+BG226)))*BF226))),"Non Trouvé")</f>
        <v>0</v>
      </c>
      <c r="BK226" s="94">
        <f>BK225</f>
        <v>0</v>
      </c>
      <c r="BL226" s="94">
        <f>BL225</f>
        <v>0.245</v>
      </c>
      <c r="BM226" s="90">
        <f t="shared" ref="BM226:BM262" si="149">IFERROR(IF($C226="","",IF($P$15="Cascade",$R226*(1-BL226)*BK226,IF($P$15="Additionnelle",($N226-($N226*($P226+BL226)))*BK226))),"Non Trouvé")</f>
        <v>0</v>
      </c>
      <c r="BP226" s="94">
        <f>BP225</f>
        <v>0</v>
      </c>
      <c r="BQ226" s="94">
        <f>BQ225</f>
        <v>0.22500000000000001</v>
      </c>
      <c r="BR226" s="90">
        <f t="shared" ref="BR226:BR262" si="150">IFERROR(IF($C226="","",IF($P$15="Cascade",$R226*(1-BQ226)*BP226,IF($P$15="Additionnelle",($N226-($N226*($P226+BQ226)))*BP226))),"Non Trouvé")</f>
        <v>0</v>
      </c>
      <c r="BU226" s="94">
        <f>BU225</f>
        <v>0</v>
      </c>
      <c r="BV226" s="94">
        <f>BV225</f>
        <v>0.17499999999999999</v>
      </c>
      <c r="BW226" s="90">
        <f t="shared" ref="BW226:BW262" si="151">IFERROR(IF($C226="","",IF($P$15="Cascade",$R226*(1-BV226)*BU226,IF($P$15="Additionnelle",($N226-($N226*($P226+BV226)))*BU226))),"Non Trouvé")</f>
        <v>0</v>
      </c>
      <c r="BZ226" s="94">
        <f>BZ225</f>
        <v>0</v>
      </c>
      <c r="CA226" s="94">
        <f>CA225</f>
        <v>0.15</v>
      </c>
      <c r="CB226" s="90">
        <f t="shared" ref="CB226:CB262" si="152">IFERROR(IF($C226="","",IF($P$15="Cascade",$R226*(1-CA226)*BZ226,IF($P$15="Additionnelle",($N226-($N226*($P226+CA226)))*BZ226))),"Non Trouvé")</f>
        <v>0</v>
      </c>
      <c r="CE226" s="95"/>
      <c r="CF226" s="96"/>
      <c r="CG226" s="97"/>
      <c r="CH226" s="97"/>
      <c r="CI226" s="98"/>
      <c r="CK226" s="99">
        <f>IFERROR(IF(F226='[1]Paramètres Généraux'!$K$12,ROUNDUP((REGENERANTS!H226*REGENERANTS!$CF$221)*'[1]Paramètres Généraux'!$M$12,-1),REGENERANTS!H226*REGENERANTS!$CF$221),"nd")</f>
        <v>0</v>
      </c>
      <c r="CN226" s="100"/>
      <c r="CO226" s="101"/>
      <c r="CP226" s="101"/>
      <c r="CQ226" s="101"/>
      <c r="CR226" s="101"/>
      <c r="CS226" s="171"/>
      <c r="CT226" s="172"/>
      <c r="CU226" s="101"/>
      <c r="CV226" s="171"/>
      <c r="CW226" s="106"/>
      <c r="CX226" s="107"/>
      <c r="CY226" s="106"/>
      <c r="CZ226" s="104"/>
      <c r="DA226" s="107"/>
      <c r="DB226" s="106"/>
      <c r="DC226" s="104"/>
      <c r="DD226" s="107"/>
      <c r="DE226" s="106"/>
      <c r="DF226" s="104"/>
      <c r="DG226" s="104"/>
      <c r="DH226" s="104"/>
      <c r="DI226" s="104"/>
      <c r="DJ226" s="104"/>
      <c r="DK226" s="104"/>
      <c r="DL226" s="104"/>
      <c r="DM226" s="104"/>
      <c r="DN226" s="104"/>
      <c r="DO226" s="107"/>
      <c r="DP226" s="106"/>
      <c r="DQ226" s="20">
        <f t="shared" si="136"/>
        <v>0</v>
      </c>
      <c r="DR226" s="20">
        <f t="shared" si="137"/>
        <v>0</v>
      </c>
      <c r="DS226" s="20">
        <f>IFERROR((IF(AND($F226="Produit Vente",CO226&gt;0),VLOOKUP($C226,'[1]Paramètres Articles'!$B:$H,7,FALSE)*$CO226)*(1-20%)),0)</f>
        <v>0</v>
      </c>
      <c r="DT226" s="20">
        <f>IFERROR((IF(AND($F226="Produit Vente",DR226&gt;0),VLOOKUP($C226,'[1]Paramètres Articles'!$B:$H,6,FALSE)*$DR226)*(1-15%)),0)</f>
        <v>0</v>
      </c>
    </row>
    <row r="227" spans="2:124" ht="12.95" hidden="1" customHeight="1" outlineLevel="1">
      <c r="B227" s="1">
        <f>IF(C227="",0,COUNTIFS($B$22:B226,"&gt;"&amp;0)+1)</f>
        <v>86</v>
      </c>
      <c r="C227" s="85">
        <v>1020721</v>
      </c>
      <c r="D227" s="86" t="str">
        <f>IFERROR(IF($C227="","",VLOOKUP($C227,'[1]Paramètres Articles'!$B:$G,2,FALSE)),"Non Trouvé")</f>
        <v>Cure Intensive Fortifiante - Régénérant - 40ml</v>
      </c>
      <c r="E227" s="87">
        <f>IFERROR(IF($C227="","",_xlfn.XLOOKUP(REGENERANTS!$C227,'[1]New Base PA'!$F:$F,'[1]New Base PA'!$D:$D,"Not Found",0)),"Non Trouvé")</f>
        <v>4020829102941</v>
      </c>
      <c r="F227" s="88" t="s">
        <v>90</v>
      </c>
      <c r="H227" s="101">
        <v>0</v>
      </c>
      <c r="J227" s="90">
        <f>IFERROR(IF($C227="","",VLOOKUP($C227,'[1]New Base PA'!$F:$J,5,FALSE)),"Non Trouvé")</f>
        <v>16.878</v>
      </c>
      <c r="K227" s="131">
        <f t="shared" si="140"/>
        <v>0</v>
      </c>
      <c r="L227" s="132"/>
      <c r="M227" s="90">
        <f>IFERROR(IF(AND($F227="Produit Vente",H227&gt;0),VLOOKUP($C227,'[1]Paramètres Articles'!$B:$G,6,FALSE),0),"Non Trouvé")</f>
        <v>0</v>
      </c>
      <c r="N227" s="90">
        <f t="shared" si="141"/>
        <v>0</v>
      </c>
      <c r="P227" s="92"/>
      <c r="R227" s="90">
        <f t="shared" si="134"/>
        <v>0</v>
      </c>
      <c r="S227" s="91"/>
      <c r="T227" s="90">
        <f>IFERROR(IF($C227="","",VLOOKUP($C227,'[1]Paramètres Articles'!$B:$H,7,FALSE)),"Non Trouvé")</f>
        <v>72.898071522305145</v>
      </c>
      <c r="U227" s="93"/>
      <c r="V227" s="90" t="str">
        <f t="shared" si="138"/>
        <v/>
      </c>
      <c r="W227" s="91"/>
      <c r="X227" s="90" t="str">
        <f t="shared" si="139"/>
        <v/>
      </c>
      <c r="Y227" s="91"/>
      <c r="Z227" s="90">
        <f t="shared" si="135"/>
        <v>0</v>
      </c>
      <c r="AB227" s="94">
        <f>AB225</f>
        <v>0</v>
      </c>
      <c r="AC227" s="94">
        <f>AC225</f>
        <v>0.17</v>
      </c>
      <c r="AD227" s="90">
        <f t="shared" si="142"/>
        <v>0</v>
      </c>
      <c r="AG227" s="94">
        <f>AG225</f>
        <v>0</v>
      </c>
      <c r="AH227" s="94">
        <f>AH225</f>
        <v>0.13</v>
      </c>
      <c r="AI227" s="90">
        <f t="shared" si="143"/>
        <v>0</v>
      </c>
      <c r="AL227" s="94">
        <f>AL225</f>
        <v>0</v>
      </c>
      <c r="AM227" s="94">
        <f>AM225</f>
        <v>0.08</v>
      </c>
      <c r="AN227" s="90">
        <f t="shared" si="144"/>
        <v>0</v>
      </c>
      <c r="AQ227" s="94">
        <f>AQ225</f>
        <v>0</v>
      </c>
      <c r="AR227" s="94">
        <f>AR225</f>
        <v>0.05</v>
      </c>
      <c r="AS227" s="90">
        <f t="shared" si="145"/>
        <v>0</v>
      </c>
      <c r="AV227" s="94">
        <f>AV225</f>
        <v>0</v>
      </c>
      <c r="AW227" s="94">
        <f>AW225</f>
        <v>0.32500000000000001</v>
      </c>
      <c r="AX227" s="90">
        <f t="shared" si="146"/>
        <v>0</v>
      </c>
      <c r="BA227" s="94">
        <f>BA225</f>
        <v>0</v>
      </c>
      <c r="BB227" s="94">
        <f>BB225</f>
        <v>0.29499999999999998</v>
      </c>
      <c r="BC227" s="90">
        <f t="shared" si="147"/>
        <v>0</v>
      </c>
      <c r="BF227" s="94">
        <f>BF225</f>
        <v>0</v>
      </c>
      <c r="BG227" s="94">
        <f>BG225</f>
        <v>0.27500000000000002</v>
      </c>
      <c r="BH227" s="90">
        <f t="shared" si="148"/>
        <v>0</v>
      </c>
      <c r="BK227" s="94">
        <f>BK225</f>
        <v>0</v>
      </c>
      <c r="BL227" s="94">
        <f>BL225</f>
        <v>0.245</v>
      </c>
      <c r="BM227" s="90">
        <f t="shared" si="149"/>
        <v>0</v>
      </c>
      <c r="BP227" s="94">
        <f>BP225</f>
        <v>0</v>
      </c>
      <c r="BQ227" s="94">
        <f>BQ225</f>
        <v>0.22500000000000001</v>
      </c>
      <c r="BR227" s="90">
        <f t="shared" si="150"/>
        <v>0</v>
      </c>
      <c r="BU227" s="94">
        <f>BU225</f>
        <v>0</v>
      </c>
      <c r="BV227" s="94">
        <f>BV225</f>
        <v>0.17499999999999999</v>
      </c>
      <c r="BW227" s="90">
        <f t="shared" si="151"/>
        <v>0</v>
      </c>
      <c r="BZ227" s="94">
        <f>BZ225</f>
        <v>0</v>
      </c>
      <c r="CA227" s="94">
        <f>CA225</f>
        <v>0.15</v>
      </c>
      <c r="CB227" s="90">
        <f t="shared" si="152"/>
        <v>0</v>
      </c>
      <c r="CE227" s="95"/>
      <c r="CF227" s="96"/>
      <c r="CG227" s="88" t="s">
        <v>93</v>
      </c>
      <c r="CH227" s="120">
        <f>SUMIFS(K223:K262,F223:F262,CG227)/SUMIFS(K223:K262,F223:F262,"Produit Vente")</f>
        <v>0.21995062978669533</v>
      </c>
      <c r="CI227" s="98"/>
      <c r="CK227" s="99">
        <f>IFERROR(IF(F227='[1]Paramètres Généraux'!$K$12,ROUNDUP((REGENERANTS!H227*REGENERANTS!$CF$221)*'[1]Paramètres Généraux'!$M$12,-1),REGENERANTS!H227*REGENERANTS!$CF$221),"nd")</f>
        <v>0</v>
      </c>
      <c r="CN227" s="100"/>
      <c r="CO227" s="101"/>
      <c r="CP227" s="101"/>
      <c r="CQ227" s="101"/>
      <c r="CR227" s="101"/>
      <c r="CS227" s="171"/>
      <c r="CT227" s="172"/>
      <c r="CU227" s="101"/>
      <c r="CV227" s="171"/>
      <c r="CW227" s="106"/>
      <c r="CX227" s="107"/>
      <c r="CY227" s="106"/>
      <c r="CZ227" s="104"/>
      <c r="DA227" s="107"/>
      <c r="DB227" s="106"/>
      <c r="DC227" s="104"/>
      <c r="DD227" s="107"/>
      <c r="DE227" s="106"/>
      <c r="DF227" s="104"/>
      <c r="DG227" s="104"/>
      <c r="DH227" s="104"/>
      <c r="DI227" s="104"/>
      <c r="DJ227" s="104"/>
      <c r="DK227" s="104"/>
      <c r="DL227" s="104"/>
      <c r="DM227" s="104"/>
      <c r="DN227" s="104"/>
      <c r="DO227" s="107"/>
      <c r="DP227" s="106"/>
      <c r="DQ227" s="20">
        <f t="shared" si="136"/>
        <v>0</v>
      </c>
      <c r="DR227" s="20">
        <f t="shared" si="137"/>
        <v>0</v>
      </c>
      <c r="DS227" s="20">
        <f>IFERROR((IF(AND($F227="Produit Vente",CO227&gt;0),VLOOKUP($C227,'[1]Paramètres Articles'!$B:$H,7,FALSE)*$CO227)*(1-20%)),0)</f>
        <v>0</v>
      </c>
      <c r="DT227" s="20">
        <f>IFERROR((IF(AND($F227="Produit Vente",DR227&gt;0),VLOOKUP($C227,'[1]Paramètres Articles'!$B:$H,6,FALSE)*$DR227)*(1-15%)),0)</f>
        <v>0</v>
      </c>
    </row>
    <row r="228" spans="2:124" ht="12.95" hidden="1" customHeight="1" outlineLevel="1">
      <c r="B228" s="1">
        <f>IF(C228="",0,COUNTIFS($B$22:B227,"&gt;"&amp;0)+1)</f>
        <v>87</v>
      </c>
      <c r="C228" s="85">
        <v>1020107</v>
      </c>
      <c r="D228" s="86" t="str">
        <f>IFERROR(IF($C228="","",VLOOKUP($C228,'[1]Paramètres Articles'!$B:$G,2,FALSE)),"Non Trouvé")</f>
        <v>Lait pour le Corps - Régénérant - 150 ml</v>
      </c>
      <c r="E228" s="87">
        <f>IFERROR(IF($C228="","",_xlfn.XLOOKUP(REGENERANTS!$C228,'[1]New Base PA'!$F:$F,'[1]New Base PA'!$D:$D,"Not Found",0)),"Non Trouvé")</f>
        <v>4020829103160</v>
      </c>
      <c r="F228" s="88" t="s">
        <v>90</v>
      </c>
      <c r="H228" s="101">
        <f>24*3%</f>
        <v>0.72</v>
      </c>
      <c r="J228" s="90">
        <f>IFERROR(IF($C228="","",VLOOKUP($C228,'[1]New Base PA'!$F:$J,5,FALSE)),"Non Trouvé")</f>
        <v>10.335599999999999</v>
      </c>
      <c r="K228" s="131">
        <f t="shared" si="140"/>
        <v>7.4416319999999994</v>
      </c>
      <c r="L228" s="132"/>
      <c r="M228" s="90">
        <f>IFERROR(IF(AND($F228="Produit Vente",H228&gt;0),VLOOKUP($C228,'[1]Paramètres Articles'!$B:$G,6,FALSE),0),"Non Trouvé")</f>
        <v>26.119999999999997</v>
      </c>
      <c r="N228" s="90">
        <f t="shared" si="141"/>
        <v>18.806399999999996</v>
      </c>
      <c r="P228" s="92"/>
      <c r="R228" s="90">
        <f t="shared" si="134"/>
        <v>18.806399999999996</v>
      </c>
      <c r="S228" s="91"/>
      <c r="T228" s="90">
        <f>IFERROR(IF($C228="","",VLOOKUP($C228,'[1]Paramètres Articles'!$B:$H,7,FALSE)),"Non Trouvé")</f>
        <v>44.4</v>
      </c>
      <c r="U228" s="93"/>
      <c r="V228" s="90" t="str">
        <f t="shared" si="138"/>
        <v/>
      </c>
      <c r="W228" s="91"/>
      <c r="X228" s="90" t="str">
        <f t="shared" si="139"/>
        <v/>
      </c>
      <c r="Y228" s="91"/>
      <c r="Z228" s="90">
        <f t="shared" si="135"/>
        <v>31.967999999999996</v>
      </c>
      <c r="AB228" s="94">
        <f>AB227</f>
        <v>0</v>
      </c>
      <c r="AC228" s="94">
        <f>AC227</f>
        <v>0.17</v>
      </c>
      <c r="AD228" s="90">
        <f t="shared" si="142"/>
        <v>0</v>
      </c>
      <c r="AG228" s="94">
        <f>AG227</f>
        <v>0</v>
      </c>
      <c r="AH228" s="94">
        <f>AH227</f>
        <v>0.13</v>
      </c>
      <c r="AI228" s="90">
        <f t="shared" si="143"/>
        <v>0</v>
      </c>
      <c r="AL228" s="94">
        <f>AL227</f>
        <v>0</v>
      </c>
      <c r="AM228" s="94">
        <f>AM227</f>
        <v>0.08</v>
      </c>
      <c r="AN228" s="90">
        <f t="shared" si="144"/>
        <v>0</v>
      </c>
      <c r="AQ228" s="94">
        <f>AQ227</f>
        <v>0</v>
      </c>
      <c r="AR228" s="94">
        <f>AR227</f>
        <v>0.05</v>
      </c>
      <c r="AS228" s="90">
        <f t="shared" si="145"/>
        <v>0</v>
      </c>
      <c r="AV228" s="94">
        <f>AV227</f>
        <v>0</v>
      </c>
      <c r="AW228" s="94">
        <f>AW227</f>
        <v>0.32500000000000001</v>
      </c>
      <c r="AX228" s="90">
        <f t="shared" si="146"/>
        <v>0</v>
      </c>
      <c r="BA228" s="94">
        <f>BA227</f>
        <v>0</v>
      </c>
      <c r="BB228" s="94">
        <f>BB227</f>
        <v>0.29499999999999998</v>
      </c>
      <c r="BC228" s="90">
        <f t="shared" si="147"/>
        <v>0</v>
      </c>
      <c r="BF228" s="94">
        <f>BF227</f>
        <v>0</v>
      </c>
      <c r="BG228" s="94">
        <f>BG227</f>
        <v>0.27500000000000002</v>
      </c>
      <c r="BH228" s="90">
        <f t="shared" si="148"/>
        <v>0</v>
      </c>
      <c r="BK228" s="94">
        <f>BK227</f>
        <v>0</v>
      </c>
      <c r="BL228" s="94">
        <f>BL227</f>
        <v>0.245</v>
      </c>
      <c r="BM228" s="90">
        <f t="shared" si="149"/>
        <v>0</v>
      </c>
      <c r="BP228" s="94">
        <f>BP227</f>
        <v>0</v>
      </c>
      <c r="BQ228" s="94">
        <f>BQ227</f>
        <v>0.22500000000000001</v>
      </c>
      <c r="BR228" s="90">
        <f t="shared" si="150"/>
        <v>0</v>
      </c>
      <c r="BU228" s="94">
        <f>BU227</f>
        <v>0</v>
      </c>
      <c r="BV228" s="94">
        <f>BV227</f>
        <v>0.17499999999999999</v>
      </c>
      <c r="BW228" s="90">
        <f t="shared" si="151"/>
        <v>0</v>
      </c>
      <c r="BZ228" s="94">
        <f>BZ227</f>
        <v>0</v>
      </c>
      <c r="CA228" s="94">
        <f>CA227</f>
        <v>0.15</v>
      </c>
      <c r="CB228" s="90">
        <f t="shared" si="152"/>
        <v>0</v>
      </c>
      <c r="CE228" s="95"/>
      <c r="CF228" s="96"/>
      <c r="CG228" s="88" t="s">
        <v>94</v>
      </c>
      <c r="CH228" s="120">
        <f>SUMIFS(K223:K263,F223:F263,CG228)/K221</f>
        <v>0</v>
      </c>
      <c r="CI228" s="98"/>
      <c r="CK228" s="99">
        <f>IFERROR(IF(F228='[1]Paramètres Généraux'!$K$12,ROUNDUP((REGENERANTS!H228*REGENERANTS!$CF$221)*'[1]Paramètres Généraux'!$M$12,-1),REGENERANTS!H228*REGENERANTS!$CF$221),"nd")</f>
        <v>0</v>
      </c>
      <c r="CN228" s="100"/>
      <c r="CO228" s="101"/>
      <c r="CP228" s="101"/>
      <c r="CQ228" s="101"/>
      <c r="CR228" s="101"/>
      <c r="CS228" s="171"/>
      <c r="CT228" s="172"/>
      <c r="CU228" s="101"/>
      <c r="CV228" s="171"/>
      <c r="CW228" s="106"/>
      <c r="CX228" s="107"/>
      <c r="CY228" s="106"/>
      <c r="CZ228" s="104"/>
      <c r="DA228" s="107"/>
      <c r="DB228" s="106"/>
      <c r="DC228" s="104"/>
      <c r="DD228" s="107"/>
      <c r="DE228" s="106"/>
      <c r="DF228" s="104"/>
      <c r="DG228" s="104"/>
      <c r="DH228" s="104"/>
      <c r="DI228" s="104"/>
      <c r="DJ228" s="104"/>
      <c r="DK228" s="104"/>
      <c r="DL228" s="104"/>
      <c r="DM228" s="104"/>
      <c r="DN228" s="104"/>
      <c r="DO228" s="107"/>
      <c r="DP228" s="106"/>
      <c r="DQ228" s="20">
        <f t="shared" si="136"/>
        <v>0</v>
      </c>
      <c r="DR228" s="20">
        <f t="shared" si="137"/>
        <v>0</v>
      </c>
      <c r="DS228" s="20">
        <f>IFERROR((IF(AND($F228="Produit Vente",CO228&gt;0),VLOOKUP($C228,'[1]Paramètres Articles'!$B:$H,7,FALSE)*$CO228)*(1-20%)),0)</f>
        <v>0</v>
      </c>
      <c r="DT228" s="20">
        <f>IFERROR((IF(AND($F228="Produit Vente",DR228&gt;0),VLOOKUP($C228,'[1]Paramètres Articles'!$B:$H,6,FALSE)*$DR228)*(1-15%)),0)</f>
        <v>0</v>
      </c>
    </row>
    <row r="229" spans="2:124" ht="12.95" hidden="1" customHeight="1" outlineLevel="1">
      <c r="B229" s="1">
        <f>IF(C229="",0,COUNTIFS($B$22:B228,"&gt;"&amp;0)+1)</f>
        <v>88</v>
      </c>
      <c r="C229" s="85">
        <v>1020102</v>
      </c>
      <c r="D229" s="86" t="str">
        <f>IFERROR(IF($C229="","",VLOOKUP($C229,'[1]Paramètres Articles'!$B:$G,2,FALSE)),"Non Trouvé")</f>
        <v>Crème pour les Mains - Régénérant - 50 ml</v>
      </c>
      <c r="E229" s="87">
        <f>IFERROR(IF($C229="","",_xlfn.XLOOKUP(REGENERANTS!$C229,'[1]New Base PA'!$F:$F,'[1]New Base PA'!$D:$D,"Not Found",0)),"Non Trouvé")</f>
        <v>4020829049666</v>
      </c>
      <c r="F229" s="88" t="s">
        <v>90</v>
      </c>
      <c r="H229" s="101">
        <f>24*5%</f>
        <v>1.2000000000000002</v>
      </c>
      <c r="J229" s="90">
        <f>IFERROR(IF($C229="","",VLOOKUP($C229,'[1]New Base PA'!$F:$J,5,FALSE)),"Non Trouvé")</f>
        <v>6.5481999999999987</v>
      </c>
      <c r="K229" s="131">
        <f t="shared" si="140"/>
        <v>7.8578399999999995</v>
      </c>
      <c r="L229" s="132"/>
      <c r="M229" s="90">
        <f>IFERROR(IF(AND($F229="Produit Vente",H229&gt;0),VLOOKUP($C229,'[1]Paramètres Articles'!$B:$G,6,FALSE),0),"Non Trouvé")</f>
        <v>17.352941176470591</v>
      </c>
      <c r="N229" s="90">
        <f t="shared" si="141"/>
        <v>20.82352941176471</v>
      </c>
      <c r="P229" s="92"/>
      <c r="R229" s="90">
        <f t="shared" si="134"/>
        <v>20.82352941176471</v>
      </c>
      <c r="S229" s="91"/>
      <c r="T229" s="90">
        <f>IFERROR(IF($C229="","",VLOOKUP($C229,'[1]Paramètres Articles'!$B:$H,7,FALSE)),"Non Trouvé")</f>
        <v>29.5</v>
      </c>
      <c r="U229" s="93"/>
      <c r="V229" s="90" t="str">
        <f t="shared" si="138"/>
        <v/>
      </c>
      <c r="W229" s="91"/>
      <c r="X229" s="90" t="str">
        <f t="shared" si="139"/>
        <v/>
      </c>
      <c r="Y229" s="91"/>
      <c r="Z229" s="90">
        <f t="shared" si="135"/>
        <v>35.400000000000006</v>
      </c>
      <c r="AB229" s="94">
        <f>AB227</f>
        <v>0</v>
      </c>
      <c r="AC229" s="94">
        <f>AC227</f>
        <v>0.17</v>
      </c>
      <c r="AD229" s="90">
        <f t="shared" si="142"/>
        <v>0</v>
      </c>
      <c r="AG229" s="94">
        <f>AG227</f>
        <v>0</v>
      </c>
      <c r="AH229" s="94">
        <f>AH227</f>
        <v>0.13</v>
      </c>
      <c r="AI229" s="90">
        <f t="shared" si="143"/>
        <v>0</v>
      </c>
      <c r="AL229" s="94">
        <f>AL227</f>
        <v>0</v>
      </c>
      <c r="AM229" s="94">
        <f>AM227</f>
        <v>0.08</v>
      </c>
      <c r="AN229" s="90">
        <f t="shared" si="144"/>
        <v>0</v>
      </c>
      <c r="AQ229" s="94">
        <f>AQ227</f>
        <v>0</v>
      </c>
      <c r="AR229" s="94">
        <f>AR227</f>
        <v>0.05</v>
      </c>
      <c r="AS229" s="90">
        <f t="shared" si="145"/>
        <v>0</v>
      </c>
      <c r="AV229" s="94">
        <f>AV227</f>
        <v>0</v>
      </c>
      <c r="AW229" s="94">
        <f>AW227</f>
        <v>0.32500000000000001</v>
      </c>
      <c r="AX229" s="90">
        <f t="shared" si="146"/>
        <v>0</v>
      </c>
      <c r="BA229" s="94">
        <f>BA227</f>
        <v>0</v>
      </c>
      <c r="BB229" s="94">
        <f>BB227</f>
        <v>0.29499999999999998</v>
      </c>
      <c r="BC229" s="90">
        <f t="shared" si="147"/>
        <v>0</v>
      </c>
      <c r="BF229" s="94">
        <f>BF227</f>
        <v>0</v>
      </c>
      <c r="BG229" s="94">
        <f>BG227</f>
        <v>0.27500000000000002</v>
      </c>
      <c r="BH229" s="90">
        <f t="shared" si="148"/>
        <v>0</v>
      </c>
      <c r="BK229" s="94">
        <f>BK227</f>
        <v>0</v>
      </c>
      <c r="BL229" s="94">
        <f>BL227</f>
        <v>0.245</v>
      </c>
      <c r="BM229" s="90">
        <f t="shared" si="149"/>
        <v>0</v>
      </c>
      <c r="BP229" s="94">
        <f>BP227</f>
        <v>0</v>
      </c>
      <c r="BQ229" s="94">
        <f>BQ227</f>
        <v>0.22500000000000001</v>
      </c>
      <c r="BR229" s="90">
        <f t="shared" si="150"/>
        <v>0</v>
      </c>
      <c r="BU229" s="94">
        <f>BU227</f>
        <v>0</v>
      </c>
      <c r="BV229" s="94">
        <f>BV227</f>
        <v>0.17499999999999999</v>
      </c>
      <c r="BW229" s="90">
        <f t="shared" si="151"/>
        <v>0</v>
      </c>
      <c r="BZ229" s="94">
        <f>BZ227</f>
        <v>0</v>
      </c>
      <c r="CA229" s="94">
        <f>CA227</f>
        <v>0.15</v>
      </c>
      <c r="CB229" s="90">
        <f t="shared" si="152"/>
        <v>0</v>
      </c>
      <c r="CE229" s="95"/>
      <c r="CF229" s="96"/>
      <c r="CG229" s="88" t="s">
        <v>95</v>
      </c>
      <c r="CH229" s="120">
        <f>SUMIFS(K223:K263,F223:F263,CG229)/K221</f>
        <v>0</v>
      </c>
      <c r="CI229" s="98"/>
      <c r="CK229" s="99">
        <f>IFERROR(IF(F229='[1]Paramètres Généraux'!$K$12,ROUNDUP((REGENERANTS!H229*REGENERANTS!$CF$221)*'[1]Paramètres Généraux'!$M$12,-1),REGENERANTS!H229*REGENERANTS!$CF$221),"nd")</f>
        <v>0</v>
      </c>
      <c r="CN229" s="100"/>
      <c r="CO229" s="101"/>
      <c r="CP229" s="101"/>
      <c r="CQ229" s="101"/>
      <c r="CR229" s="101"/>
      <c r="CS229" s="171"/>
      <c r="CT229" s="172"/>
      <c r="CU229" s="101"/>
      <c r="CV229" s="171"/>
      <c r="CW229" s="106"/>
      <c r="CX229" s="107"/>
      <c r="CY229" s="106"/>
      <c r="CZ229" s="104"/>
      <c r="DA229" s="107"/>
      <c r="DB229" s="106"/>
      <c r="DC229" s="104"/>
      <c r="DD229" s="107"/>
      <c r="DE229" s="106"/>
      <c r="DF229" s="104"/>
      <c r="DG229" s="104"/>
      <c r="DH229" s="104"/>
      <c r="DI229" s="104"/>
      <c r="DJ229" s="104"/>
      <c r="DK229" s="104"/>
      <c r="DL229" s="104"/>
      <c r="DM229" s="104"/>
      <c r="DN229" s="104"/>
      <c r="DO229" s="107"/>
      <c r="DP229" s="106"/>
      <c r="DQ229" s="20">
        <f t="shared" si="136"/>
        <v>0</v>
      </c>
      <c r="DR229" s="20">
        <f t="shared" si="137"/>
        <v>0</v>
      </c>
      <c r="DS229" s="20">
        <f>IFERROR((IF(AND($F229="Produit Vente",CO229&gt;0),VLOOKUP($C229,'[1]Paramètres Articles'!$B:$H,7,FALSE)*$CO229)*(1-20%)),0)</f>
        <v>0</v>
      </c>
      <c r="DT229" s="20">
        <f>IFERROR((IF(AND($F229="Produit Vente",DR229&gt;0),VLOOKUP($C229,'[1]Paramètres Articles'!$B:$H,6,FALSE)*$DR229)*(1-15%)),0)</f>
        <v>0</v>
      </c>
    </row>
    <row r="230" spans="2:124" ht="12.95" hidden="1" customHeight="1" outlineLevel="1">
      <c r="B230" s="1">
        <f>IF(C230="",0,COUNTIFS($B$22:B229,"&gt;"&amp;0)+1)</f>
        <v>89</v>
      </c>
      <c r="C230" s="85">
        <v>1020722</v>
      </c>
      <c r="D230" s="86" t="str">
        <f>IFERROR(IF($C230="","",VLOOKUP($C230,'[1]Paramètres Articles'!$B:$G,2,FALSE)),"Non Trouvé")</f>
        <v>Cure Intensive Rééquilibrante - Régénérant Intensif - 40ml</v>
      </c>
      <c r="E230" s="87">
        <f>IFERROR(IF($C230="","",_xlfn.XLOOKUP(REGENERANTS!$C230,'[1]New Base PA'!$F:$F,'[1]New Base PA'!$D:$D,"Not Found",0)),"Non Trouvé")</f>
        <v>4020829102934</v>
      </c>
      <c r="F230" s="88" t="s">
        <v>90</v>
      </c>
      <c r="H230" s="101">
        <v>0</v>
      </c>
      <c r="J230" s="90">
        <f>IFERROR(IF($C230="","",VLOOKUP($C230,'[1]New Base PA'!$F:$J,5,FALSE)),"Non Trouvé")</f>
        <v>16.878</v>
      </c>
      <c r="K230" s="131">
        <f t="shared" si="140"/>
        <v>0</v>
      </c>
      <c r="L230" s="132"/>
      <c r="M230" s="90">
        <f>IFERROR(IF(AND($F230="Produit Vente",H230&gt;0),VLOOKUP($C230,'[1]Paramètres Articles'!$B:$G,6,FALSE),0),"Non Trouvé")</f>
        <v>0</v>
      </c>
      <c r="N230" s="90">
        <f t="shared" si="141"/>
        <v>0</v>
      </c>
      <c r="P230" s="92"/>
      <c r="R230" s="90">
        <f t="shared" si="134"/>
        <v>0</v>
      </c>
      <c r="S230" s="91"/>
      <c r="T230" s="90">
        <f>IFERROR(IF($C230="","",VLOOKUP($C230,'[1]Paramètres Articles'!$B:$H,7,FALSE)),"Non Trouvé")</f>
        <v>72.898071522305145</v>
      </c>
      <c r="U230" s="93"/>
      <c r="V230" s="90" t="str">
        <f t="shared" si="138"/>
        <v/>
      </c>
      <c r="W230" s="91"/>
      <c r="X230" s="90" t="str">
        <f t="shared" si="139"/>
        <v/>
      </c>
      <c r="Y230" s="91"/>
      <c r="Z230" s="90">
        <f t="shared" si="135"/>
        <v>0</v>
      </c>
      <c r="AB230" s="94">
        <f>AB229</f>
        <v>0</v>
      </c>
      <c r="AC230" s="94">
        <f>AC229</f>
        <v>0.17</v>
      </c>
      <c r="AD230" s="90">
        <f t="shared" si="142"/>
        <v>0</v>
      </c>
      <c r="AG230" s="94">
        <f>AG229</f>
        <v>0</v>
      </c>
      <c r="AH230" s="94">
        <f>AH229</f>
        <v>0.13</v>
      </c>
      <c r="AI230" s="90">
        <f t="shared" si="143"/>
        <v>0</v>
      </c>
      <c r="AL230" s="94">
        <f>AL229</f>
        <v>0</v>
      </c>
      <c r="AM230" s="94">
        <f>AM229</f>
        <v>0.08</v>
      </c>
      <c r="AN230" s="90">
        <f t="shared" si="144"/>
        <v>0</v>
      </c>
      <c r="AQ230" s="94">
        <f>AQ229</f>
        <v>0</v>
      </c>
      <c r="AR230" s="94">
        <f>AR229</f>
        <v>0.05</v>
      </c>
      <c r="AS230" s="90">
        <f t="shared" si="145"/>
        <v>0</v>
      </c>
      <c r="AV230" s="94">
        <f>AV229</f>
        <v>0</v>
      </c>
      <c r="AW230" s="94">
        <f>AW229</f>
        <v>0.32500000000000001</v>
      </c>
      <c r="AX230" s="90">
        <f t="shared" si="146"/>
        <v>0</v>
      </c>
      <c r="BA230" s="94">
        <f>BA229</f>
        <v>0</v>
      </c>
      <c r="BB230" s="94">
        <f>BB229</f>
        <v>0.29499999999999998</v>
      </c>
      <c r="BC230" s="90">
        <f t="shared" si="147"/>
        <v>0</v>
      </c>
      <c r="BF230" s="94">
        <f>BF229</f>
        <v>0</v>
      </c>
      <c r="BG230" s="94">
        <f>BG229</f>
        <v>0.27500000000000002</v>
      </c>
      <c r="BH230" s="90">
        <f t="shared" si="148"/>
        <v>0</v>
      </c>
      <c r="BK230" s="94">
        <f>BK229</f>
        <v>0</v>
      </c>
      <c r="BL230" s="94">
        <f>BL229</f>
        <v>0.245</v>
      </c>
      <c r="BM230" s="90">
        <f t="shared" si="149"/>
        <v>0</v>
      </c>
      <c r="BP230" s="94">
        <f>BP229</f>
        <v>0</v>
      </c>
      <c r="BQ230" s="94">
        <f>BQ229</f>
        <v>0.22500000000000001</v>
      </c>
      <c r="BR230" s="90">
        <f t="shared" si="150"/>
        <v>0</v>
      </c>
      <c r="BU230" s="94">
        <f>BU229</f>
        <v>0</v>
      </c>
      <c r="BV230" s="94">
        <f>BV229</f>
        <v>0.17499999999999999</v>
      </c>
      <c r="BW230" s="90">
        <f t="shared" si="151"/>
        <v>0</v>
      </c>
      <c r="BZ230" s="94">
        <f>BZ229</f>
        <v>0</v>
      </c>
      <c r="CA230" s="94">
        <f>CA229</f>
        <v>0.15</v>
      </c>
      <c r="CB230" s="90">
        <f t="shared" si="152"/>
        <v>0</v>
      </c>
      <c r="CE230" s="95"/>
      <c r="CF230" s="96"/>
      <c r="CG230" s="88" t="s">
        <v>96</v>
      </c>
      <c r="CH230" s="120">
        <f>SUMIFS(K223:K263,F223:F263,CG230)/K221</f>
        <v>0.11980626370192958</v>
      </c>
      <c r="CI230" s="98"/>
      <c r="CK230" s="99">
        <f>IFERROR(IF(F230='[1]Paramètres Généraux'!$K$12,ROUNDUP((REGENERANTS!H230*REGENERANTS!$CF$221)*'[1]Paramètres Généraux'!$M$12,-1),REGENERANTS!H230*REGENERANTS!$CF$221),"nd")</f>
        <v>0</v>
      </c>
      <c r="CN230" s="100"/>
      <c r="CO230" s="101"/>
      <c r="CP230" s="101"/>
      <c r="CQ230" s="101"/>
      <c r="CR230" s="101"/>
      <c r="CS230" s="171"/>
      <c r="CT230" s="172"/>
      <c r="CU230" s="101"/>
      <c r="CV230" s="171"/>
      <c r="CW230" s="106"/>
      <c r="CX230" s="107"/>
      <c r="CY230" s="106"/>
      <c r="CZ230" s="104"/>
      <c r="DA230" s="107"/>
      <c r="DB230" s="106"/>
      <c r="DC230" s="104"/>
      <c r="DD230" s="107"/>
      <c r="DE230" s="106"/>
      <c r="DF230" s="104"/>
      <c r="DG230" s="104"/>
      <c r="DH230" s="104"/>
      <c r="DI230" s="104"/>
      <c r="DJ230" s="104"/>
      <c r="DK230" s="104"/>
      <c r="DL230" s="104"/>
      <c r="DM230" s="104"/>
      <c r="DN230" s="104"/>
      <c r="DO230" s="107"/>
      <c r="DP230" s="106"/>
      <c r="DQ230" s="20">
        <f t="shared" si="136"/>
        <v>0</v>
      </c>
      <c r="DR230" s="20">
        <f t="shared" si="137"/>
        <v>0</v>
      </c>
      <c r="DS230" s="20">
        <f>IFERROR((IF(AND($F230="Produit Vente",CO230&gt;0),VLOOKUP($C230,'[1]Paramètres Articles'!$B:$H,7,FALSE)*$CO230)*(1-20%)),0)</f>
        <v>0</v>
      </c>
      <c r="DT230" s="20">
        <f>IFERROR((IF(AND($F230="Produit Vente",DR230&gt;0),VLOOKUP($C230,'[1]Paramètres Articles'!$B:$H,6,FALSE)*$DR230)*(1-15%)),0)</f>
        <v>0</v>
      </c>
    </row>
    <row r="231" spans="2:124" ht="12.95" hidden="1" customHeight="1" outlineLevel="1">
      <c r="B231" s="1">
        <f>IF(C231="",0,COUNTIFS($B$22:B230,"&gt;"&amp;0)+1)</f>
        <v>90</v>
      </c>
      <c r="C231" s="85">
        <v>1020719</v>
      </c>
      <c r="D231" s="86" t="str">
        <f>IFERROR(IF($C231="","",VLOOKUP($C231,'[1]Paramètres Articles'!$B:$G,2,FALSE)),"Non Trouvé")</f>
        <v>Huile Fortifiante - Régénérant Intensif - 20ml</v>
      </c>
      <c r="E231" s="87">
        <f>IFERROR(IF($C231="","",_xlfn.XLOOKUP(REGENERANTS!$C231,'[1]New Base PA'!$F:$F,'[1]New Base PA'!$D:$D,"Not Found",0)),"Non Trouvé")</f>
        <v>4020829103030</v>
      </c>
      <c r="F231" s="88" t="s">
        <v>90</v>
      </c>
      <c r="H231" s="101">
        <f>24*7%</f>
        <v>1.6800000000000002</v>
      </c>
      <c r="J231" s="90">
        <f>IFERROR(IF($C231="","",VLOOKUP($C231,'[1]New Base PA'!$F:$J,5,FALSE)),"Non Trouvé")</f>
        <v>18.4208</v>
      </c>
      <c r="K231" s="131">
        <f t="shared" si="140"/>
        <v>30.946944000000002</v>
      </c>
      <c r="L231" s="132"/>
      <c r="M231" s="90">
        <f>IFERROR(IF(AND($F231="Produit Vente",H231&gt;0),VLOOKUP($C231,'[1]Paramètres Articles'!$B:$G,6,FALSE),0),"Non Trouvé")</f>
        <v>46.768280254777068</v>
      </c>
      <c r="N231" s="90">
        <f t="shared" si="141"/>
        <v>78.570710828025483</v>
      </c>
      <c r="P231" s="92"/>
      <c r="R231" s="90">
        <f t="shared" si="134"/>
        <v>78.570710828025483</v>
      </c>
      <c r="S231" s="91"/>
      <c r="T231" s="90">
        <f>IFERROR(IF($C231="","",VLOOKUP($C231,'[1]Paramètres Articles'!$B:$H,7,FALSE)),"Non Trouvé")</f>
        <v>79.5</v>
      </c>
      <c r="U231" s="93"/>
      <c r="V231" s="90" t="str">
        <f t="shared" si="138"/>
        <v/>
      </c>
      <c r="W231" s="91"/>
      <c r="X231" s="90" t="str">
        <f t="shared" si="139"/>
        <v/>
      </c>
      <c r="Y231" s="91"/>
      <c r="Z231" s="90">
        <f t="shared" si="135"/>
        <v>133.56</v>
      </c>
      <c r="AB231" s="94">
        <f>AB229</f>
        <v>0</v>
      </c>
      <c r="AC231" s="94">
        <f>AC229</f>
        <v>0.17</v>
      </c>
      <c r="AD231" s="90">
        <f t="shared" si="142"/>
        <v>0</v>
      </c>
      <c r="AG231" s="94">
        <f>AG229</f>
        <v>0</v>
      </c>
      <c r="AH231" s="94">
        <f>AH229</f>
        <v>0.13</v>
      </c>
      <c r="AI231" s="90">
        <f t="shared" si="143"/>
        <v>0</v>
      </c>
      <c r="AL231" s="94">
        <f>AL229</f>
        <v>0</v>
      </c>
      <c r="AM231" s="94">
        <f>AM229</f>
        <v>0.08</v>
      </c>
      <c r="AN231" s="90">
        <f t="shared" si="144"/>
        <v>0</v>
      </c>
      <c r="AQ231" s="94">
        <f>AQ229</f>
        <v>0</v>
      </c>
      <c r="AR231" s="94">
        <f>AR229</f>
        <v>0.05</v>
      </c>
      <c r="AS231" s="90">
        <f t="shared" si="145"/>
        <v>0</v>
      </c>
      <c r="AV231" s="94">
        <f>AV229</f>
        <v>0</v>
      </c>
      <c r="AW231" s="94">
        <f>AW229</f>
        <v>0.32500000000000001</v>
      </c>
      <c r="AX231" s="90">
        <f t="shared" si="146"/>
        <v>0</v>
      </c>
      <c r="BA231" s="94">
        <f>BA229</f>
        <v>0</v>
      </c>
      <c r="BB231" s="94">
        <f>BB229</f>
        <v>0.29499999999999998</v>
      </c>
      <c r="BC231" s="90">
        <f t="shared" si="147"/>
        <v>0</v>
      </c>
      <c r="BF231" s="94">
        <f>BF229</f>
        <v>0</v>
      </c>
      <c r="BG231" s="94">
        <f>BG229</f>
        <v>0.27500000000000002</v>
      </c>
      <c r="BH231" s="90">
        <f t="shared" si="148"/>
        <v>0</v>
      </c>
      <c r="BK231" s="94">
        <f>BK229</f>
        <v>0</v>
      </c>
      <c r="BL231" s="94">
        <f>BL229</f>
        <v>0.245</v>
      </c>
      <c r="BM231" s="90">
        <f t="shared" si="149"/>
        <v>0</v>
      </c>
      <c r="BP231" s="94">
        <f>BP229</f>
        <v>0</v>
      </c>
      <c r="BQ231" s="94">
        <f>BQ229</f>
        <v>0.22500000000000001</v>
      </c>
      <c r="BR231" s="90">
        <f t="shared" si="150"/>
        <v>0</v>
      </c>
      <c r="BU231" s="94">
        <f>BU229</f>
        <v>0</v>
      </c>
      <c r="BV231" s="94">
        <f>BV229</f>
        <v>0.17499999999999999</v>
      </c>
      <c r="BW231" s="90">
        <f t="shared" si="151"/>
        <v>0</v>
      </c>
      <c r="BZ231" s="94">
        <f>BZ229</f>
        <v>0</v>
      </c>
      <c r="CA231" s="94">
        <f>CA229</f>
        <v>0.15</v>
      </c>
      <c r="CB231" s="90">
        <f t="shared" si="152"/>
        <v>0</v>
      </c>
      <c r="CE231" s="95"/>
      <c r="CF231" s="96"/>
      <c r="CG231" s="97"/>
      <c r="CH231" s="97"/>
      <c r="CI231" s="98"/>
      <c r="CK231" s="99">
        <f>IFERROR(IF(F231='[1]Paramètres Généraux'!$K$12,ROUNDUP((REGENERANTS!H231*REGENERANTS!$CF$221)*'[1]Paramètres Généraux'!$M$12,-1),REGENERANTS!H231*REGENERANTS!$CF$221),"nd")</f>
        <v>0</v>
      </c>
      <c r="CN231" s="100"/>
      <c r="CO231" s="101"/>
      <c r="CP231" s="101"/>
      <c r="CQ231" s="101"/>
      <c r="CR231" s="101"/>
      <c r="CS231" s="171"/>
      <c r="CT231" s="172"/>
      <c r="CU231" s="101"/>
      <c r="CV231" s="171"/>
      <c r="CW231" s="106"/>
      <c r="CX231" s="107"/>
      <c r="CY231" s="106"/>
      <c r="CZ231" s="104"/>
      <c r="DA231" s="107"/>
      <c r="DB231" s="106"/>
      <c r="DC231" s="104"/>
      <c r="DD231" s="107"/>
      <c r="DE231" s="106"/>
      <c r="DF231" s="104"/>
      <c r="DG231" s="104"/>
      <c r="DH231" s="104"/>
      <c r="DI231" s="104"/>
      <c r="DJ231" s="104"/>
      <c r="DK231" s="104"/>
      <c r="DL231" s="104"/>
      <c r="DM231" s="104"/>
      <c r="DN231" s="104"/>
      <c r="DO231" s="107"/>
      <c r="DP231" s="106"/>
      <c r="DQ231" s="20">
        <f t="shared" si="136"/>
        <v>0</v>
      </c>
      <c r="DR231" s="20">
        <f t="shared" si="137"/>
        <v>0</v>
      </c>
      <c r="DS231" s="20">
        <f>IFERROR((IF(AND($F231="Produit Vente",CO231&gt;0),VLOOKUP($C231,'[1]Paramètres Articles'!$B:$H,7,FALSE)*$CO231)*(1-20%)),0)</f>
        <v>0</v>
      </c>
      <c r="DT231" s="20">
        <f>IFERROR((IF(AND($F231="Produit Vente",DR231&gt;0),VLOOKUP($C231,'[1]Paramètres Articles'!$B:$H,6,FALSE)*$DR231)*(1-15%)),0)</f>
        <v>0</v>
      </c>
    </row>
    <row r="232" spans="2:124" ht="12.95" hidden="1" customHeight="1" outlineLevel="1">
      <c r="B232" s="1">
        <f>IF(C232="",0,COUNTIFS($B$22:B231,"&gt;"&amp;0)+1)</f>
        <v>91</v>
      </c>
      <c r="C232" s="85">
        <v>1020717</v>
      </c>
      <c r="D232" s="86" t="str">
        <f>IFERROR(IF($C232="","",VLOOKUP($C232,'[1]Paramètres Articles'!$B:$G,2,FALSE)),"Non Trouvé")</f>
        <v>Sérum Contour des Yeux - Régénérant Intensif -15 ml</v>
      </c>
      <c r="E232" s="87">
        <f>IFERROR(IF($C232="","",_xlfn.XLOOKUP(REGENERANTS!$C232,'[1]New Base PA'!$F:$F,'[1]New Base PA'!$D:$D,"Not Found",0)),"Non Trouvé")</f>
        <v>4020829101067</v>
      </c>
      <c r="F232" s="88" t="s">
        <v>90</v>
      </c>
      <c r="H232" s="101">
        <f>24*6%</f>
        <v>1.44</v>
      </c>
      <c r="J232" s="90">
        <f>IFERROR(IF($C232="","",VLOOKUP($C232,'[1]New Base PA'!$F:$J,5,FALSE)),"Non Trouvé")</f>
        <v>17.817599999999999</v>
      </c>
      <c r="K232" s="131">
        <f t="shared" si="140"/>
        <v>25.657343999999998</v>
      </c>
      <c r="L232" s="132"/>
      <c r="M232" s="90">
        <f>IFERROR(IF(AND($F232="Produit Vente",H232&gt;0),VLOOKUP($C232,'[1]Paramètres Articles'!$B:$G,6,FALSE),0),"Non Trouvé")</f>
        <v>44.12</v>
      </c>
      <c r="N232" s="90">
        <f t="shared" si="141"/>
        <v>63.532799999999995</v>
      </c>
      <c r="P232" s="92"/>
      <c r="R232" s="90">
        <f t="shared" si="134"/>
        <v>63.532799999999995</v>
      </c>
      <c r="S232" s="91"/>
      <c r="T232" s="90">
        <f>IFERROR(IF($C232="","",VLOOKUP($C232,'[1]Paramètres Articles'!$B:$H,7,FALSE)),"Non Trouvé")</f>
        <v>75</v>
      </c>
      <c r="U232" s="93"/>
      <c r="V232" s="90" t="str">
        <f t="shared" si="138"/>
        <v/>
      </c>
      <c r="W232" s="91"/>
      <c r="X232" s="90" t="str">
        <f t="shared" si="139"/>
        <v/>
      </c>
      <c r="Y232" s="91"/>
      <c r="Z232" s="90">
        <f t="shared" si="135"/>
        <v>108</v>
      </c>
      <c r="AB232" s="94">
        <f>AB231</f>
        <v>0</v>
      </c>
      <c r="AC232" s="94">
        <f>AC231</f>
        <v>0.17</v>
      </c>
      <c r="AD232" s="90">
        <f t="shared" si="142"/>
        <v>0</v>
      </c>
      <c r="AG232" s="94">
        <f>AG231</f>
        <v>0</v>
      </c>
      <c r="AH232" s="94">
        <f>AH231</f>
        <v>0.13</v>
      </c>
      <c r="AI232" s="90">
        <f t="shared" si="143"/>
        <v>0</v>
      </c>
      <c r="AL232" s="94">
        <f>AL231</f>
        <v>0</v>
      </c>
      <c r="AM232" s="94">
        <f>AM231</f>
        <v>0.08</v>
      </c>
      <c r="AN232" s="90">
        <f t="shared" si="144"/>
        <v>0</v>
      </c>
      <c r="AQ232" s="94">
        <f>AQ231</f>
        <v>0</v>
      </c>
      <c r="AR232" s="94">
        <f>AR231</f>
        <v>0.05</v>
      </c>
      <c r="AS232" s="90">
        <f t="shared" si="145"/>
        <v>0</v>
      </c>
      <c r="AV232" s="94">
        <f>AV231</f>
        <v>0</v>
      </c>
      <c r="AW232" s="94">
        <f>AW231</f>
        <v>0.32500000000000001</v>
      </c>
      <c r="AX232" s="90">
        <f t="shared" si="146"/>
        <v>0</v>
      </c>
      <c r="BA232" s="94">
        <f>BA231</f>
        <v>0</v>
      </c>
      <c r="BB232" s="94">
        <f>BB231</f>
        <v>0.29499999999999998</v>
      </c>
      <c r="BC232" s="90">
        <f t="shared" si="147"/>
        <v>0</v>
      </c>
      <c r="BF232" s="94">
        <f>BF231</f>
        <v>0</v>
      </c>
      <c r="BG232" s="94">
        <f>BG231</f>
        <v>0.27500000000000002</v>
      </c>
      <c r="BH232" s="90">
        <f t="shared" si="148"/>
        <v>0</v>
      </c>
      <c r="BK232" s="94">
        <f>BK231</f>
        <v>0</v>
      </c>
      <c r="BL232" s="94">
        <f>BL231</f>
        <v>0.245</v>
      </c>
      <c r="BM232" s="90">
        <f t="shared" si="149"/>
        <v>0</v>
      </c>
      <c r="BP232" s="94">
        <f>BP231</f>
        <v>0</v>
      </c>
      <c r="BQ232" s="94">
        <f>BQ231</f>
        <v>0.22500000000000001</v>
      </c>
      <c r="BR232" s="90">
        <f t="shared" si="150"/>
        <v>0</v>
      </c>
      <c r="BU232" s="94">
        <f>BU231</f>
        <v>0</v>
      </c>
      <c r="BV232" s="94">
        <f>BV231</f>
        <v>0.17499999999999999</v>
      </c>
      <c r="BW232" s="90">
        <f t="shared" si="151"/>
        <v>0</v>
      </c>
      <c r="BZ232" s="94">
        <f>BZ231</f>
        <v>0</v>
      </c>
      <c r="CA232" s="94">
        <f>CA231</f>
        <v>0.15</v>
      </c>
      <c r="CB232" s="90">
        <f t="shared" si="152"/>
        <v>0</v>
      </c>
      <c r="CE232" s="95"/>
      <c r="CF232" s="96"/>
      <c r="CG232" s="97"/>
      <c r="CH232" s="97"/>
      <c r="CI232" s="98"/>
      <c r="CK232" s="99">
        <f>IFERROR(IF(F232='[1]Paramètres Généraux'!$K$12,ROUNDUP((REGENERANTS!H232*REGENERANTS!$CF$221)*'[1]Paramètres Généraux'!$M$12,-1),REGENERANTS!H232*REGENERANTS!$CF$221),"nd")</f>
        <v>0</v>
      </c>
      <c r="CN232" s="100"/>
      <c r="CO232" s="101"/>
      <c r="CP232" s="101"/>
      <c r="CQ232" s="101"/>
      <c r="CR232" s="101"/>
      <c r="CS232" s="171"/>
      <c r="CT232" s="172"/>
      <c r="CU232" s="101"/>
      <c r="CV232" s="171"/>
      <c r="CW232" s="106"/>
      <c r="CX232" s="107"/>
      <c r="CY232" s="106"/>
      <c r="CZ232" s="104"/>
      <c r="DA232" s="107"/>
      <c r="DB232" s="106"/>
      <c r="DC232" s="104"/>
      <c r="DD232" s="107"/>
      <c r="DE232" s="106"/>
      <c r="DF232" s="104"/>
      <c r="DG232" s="104"/>
      <c r="DH232" s="104"/>
      <c r="DI232" s="104"/>
      <c r="DJ232" s="104"/>
      <c r="DK232" s="104"/>
      <c r="DL232" s="104"/>
      <c r="DM232" s="104"/>
      <c r="DN232" s="104"/>
      <c r="DO232" s="107"/>
      <c r="DP232" s="106"/>
      <c r="DQ232" s="20">
        <f t="shared" si="136"/>
        <v>0</v>
      </c>
      <c r="DR232" s="20">
        <f t="shared" si="137"/>
        <v>0</v>
      </c>
      <c r="DS232" s="20">
        <f>IFERROR((IF(AND($F232="Produit Vente",CO232&gt;0),VLOOKUP($C232,'[1]Paramètres Articles'!$B:$H,7,FALSE)*$CO232)*(1-20%)),0)</f>
        <v>0</v>
      </c>
      <c r="DT232" s="20">
        <f>IFERROR((IF(AND($F232="Produit Vente",DR232&gt;0),VLOOKUP($C232,'[1]Paramètres Articles'!$B:$H,6,FALSE)*$DR232)*(1-15%)),0)</f>
        <v>0</v>
      </c>
    </row>
    <row r="233" spans="2:124" ht="12.95" hidden="1" customHeight="1" outlineLevel="1">
      <c r="B233" s="1">
        <f>IF(C233="",0,COUNTIFS($B$22:B232,"&gt;"&amp;0)+1)</f>
        <v>92</v>
      </c>
      <c r="C233" s="85">
        <v>1020718</v>
      </c>
      <c r="D233" s="86" t="str">
        <f>IFERROR(IF($C233="","",VLOOKUP($C233,'[1]Paramètres Articles'!$B:$G,2,FALSE)),"Non Trouvé")</f>
        <v>Sérum de Nuit - Régénérant Intensif - 30 ml</v>
      </c>
      <c r="E233" s="87">
        <f>IFERROR(IF($C233="","",_xlfn.XLOOKUP(REGENERANTS!$C233,'[1]New Base PA'!$F:$F,'[1]New Base PA'!$D:$D,"Not Found",0)),"Non Trouvé")</f>
        <v>4020829101111</v>
      </c>
      <c r="F233" s="88" t="s">
        <v>90</v>
      </c>
      <c r="H233" s="101">
        <f>24*11%</f>
        <v>2.64</v>
      </c>
      <c r="J233" s="90">
        <f>IFERROR(IF($C233="","",VLOOKUP($C233,'[1]New Base PA'!$F:$J,5,FALSE)),"Non Trouvé")</f>
        <v>18.2758</v>
      </c>
      <c r="K233" s="131">
        <f t="shared" si="140"/>
        <v>48.248112000000006</v>
      </c>
      <c r="L233" s="132"/>
      <c r="M233" s="90">
        <f>IFERROR(IF(AND($F233="Produit Vente",H233&gt;0),VLOOKUP($C233,'[1]Paramètres Articles'!$B:$G,6,FALSE),0),"Non Trouvé")</f>
        <v>46.758152866242035</v>
      </c>
      <c r="N233" s="90">
        <f t="shared" si="141"/>
        <v>123.44152356687898</v>
      </c>
      <c r="P233" s="92"/>
      <c r="R233" s="90">
        <f t="shared" si="134"/>
        <v>123.44152356687898</v>
      </c>
      <c r="S233" s="91"/>
      <c r="T233" s="90">
        <f>IFERROR(IF($C233="","",VLOOKUP($C233,'[1]Paramètres Articles'!$B:$H,7,FALSE)),"Non Trouvé")</f>
        <v>79.5</v>
      </c>
      <c r="U233" s="93"/>
      <c r="V233" s="90" t="str">
        <f t="shared" si="138"/>
        <v/>
      </c>
      <c r="W233" s="91"/>
      <c r="X233" s="90" t="str">
        <f t="shared" si="139"/>
        <v/>
      </c>
      <c r="Y233" s="91"/>
      <c r="Z233" s="90">
        <f t="shared" si="135"/>
        <v>209.88000000000002</v>
      </c>
      <c r="AB233" s="94">
        <f>AB231</f>
        <v>0</v>
      </c>
      <c r="AC233" s="94">
        <f>AC231</f>
        <v>0.17</v>
      </c>
      <c r="AD233" s="90">
        <f t="shared" si="142"/>
        <v>0</v>
      </c>
      <c r="AG233" s="94">
        <f>AG231</f>
        <v>0</v>
      </c>
      <c r="AH233" s="94">
        <f>AH231</f>
        <v>0.13</v>
      </c>
      <c r="AI233" s="90">
        <f t="shared" si="143"/>
        <v>0</v>
      </c>
      <c r="AL233" s="94">
        <f>AL231</f>
        <v>0</v>
      </c>
      <c r="AM233" s="94">
        <f>AM231</f>
        <v>0.08</v>
      </c>
      <c r="AN233" s="90">
        <f t="shared" si="144"/>
        <v>0</v>
      </c>
      <c r="AQ233" s="94">
        <f>AQ231</f>
        <v>0</v>
      </c>
      <c r="AR233" s="94">
        <f>AR231</f>
        <v>0.05</v>
      </c>
      <c r="AS233" s="90">
        <f t="shared" si="145"/>
        <v>0</v>
      </c>
      <c r="AV233" s="94">
        <f>AV231</f>
        <v>0</v>
      </c>
      <c r="AW233" s="94">
        <f>AW231</f>
        <v>0.32500000000000001</v>
      </c>
      <c r="AX233" s="90">
        <f t="shared" si="146"/>
        <v>0</v>
      </c>
      <c r="BA233" s="94">
        <f>BA231</f>
        <v>0</v>
      </c>
      <c r="BB233" s="94">
        <f>BB231</f>
        <v>0.29499999999999998</v>
      </c>
      <c r="BC233" s="90">
        <f t="shared" si="147"/>
        <v>0</v>
      </c>
      <c r="BF233" s="94">
        <f>BF231</f>
        <v>0</v>
      </c>
      <c r="BG233" s="94">
        <f>BG231</f>
        <v>0.27500000000000002</v>
      </c>
      <c r="BH233" s="90">
        <f t="shared" si="148"/>
        <v>0</v>
      </c>
      <c r="BK233" s="94">
        <f>BK231</f>
        <v>0</v>
      </c>
      <c r="BL233" s="94">
        <f>BL231</f>
        <v>0.245</v>
      </c>
      <c r="BM233" s="90">
        <f t="shared" si="149"/>
        <v>0</v>
      </c>
      <c r="BP233" s="94">
        <f>BP231</f>
        <v>0</v>
      </c>
      <c r="BQ233" s="94">
        <f>BQ231</f>
        <v>0.22500000000000001</v>
      </c>
      <c r="BR233" s="90">
        <f t="shared" si="150"/>
        <v>0</v>
      </c>
      <c r="BU233" s="94">
        <f>BU231</f>
        <v>0</v>
      </c>
      <c r="BV233" s="94">
        <f>BV231</f>
        <v>0.17499999999999999</v>
      </c>
      <c r="BW233" s="90">
        <f t="shared" si="151"/>
        <v>0</v>
      </c>
      <c r="BZ233" s="94">
        <f>BZ231</f>
        <v>0</v>
      </c>
      <c r="CA233" s="94">
        <f>CA231</f>
        <v>0.15</v>
      </c>
      <c r="CB233" s="90">
        <f t="shared" si="152"/>
        <v>0</v>
      </c>
      <c r="CE233" s="95"/>
      <c r="CF233" s="96"/>
      <c r="CG233" s="97"/>
      <c r="CH233" s="97"/>
      <c r="CI233" s="98"/>
      <c r="CK233" s="99">
        <f>IFERROR(IF(F233='[1]Paramètres Généraux'!$K$12,ROUNDUP((REGENERANTS!H233*REGENERANTS!$CF$221)*'[1]Paramètres Généraux'!$M$12,-1),REGENERANTS!H233*REGENERANTS!$CF$221),"nd")</f>
        <v>0</v>
      </c>
      <c r="CN233" s="100"/>
      <c r="CO233" s="101"/>
      <c r="CP233" s="101"/>
      <c r="CQ233" s="101"/>
      <c r="CR233" s="101"/>
      <c r="CS233" s="171"/>
      <c r="CT233" s="172"/>
      <c r="CU233" s="101"/>
      <c r="CV233" s="171"/>
      <c r="CW233" s="106"/>
      <c r="CX233" s="107"/>
      <c r="CY233" s="106"/>
      <c r="CZ233" s="104"/>
      <c r="DA233" s="107"/>
      <c r="DB233" s="106"/>
      <c r="DC233" s="104"/>
      <c r="DD233" s="107"/>
      <c r="DE233" s="106"/>
      <c r="DF233" s="104"/>
      <c r="DG233" s="104"/>
      <c r="DH233" s="104"/>
      <c r="DI233" s="104"/>
      <c r="DJ233" s="104"/>
      <c r="DK233" s="104"/>
      <c r="DL233" s="104"/>
      <c r="DM233" s="104"/>
      <c r="DN233" s="104"/>
      <c r="DO233" s="107"/>
      <c r="DP233" s="106"/>
      <c r="DQ233" s="20">
        <f t="shared" si="136"/>
        <v>0</v>
      </c>
      <c r="DR233" s="20">
        <f t="shared" si="137"/>
        <v>0</v>
      </c>
      <c r="DS233" s="20">
        <f>IFERROR((IF(AND($F233="Produit Vente",CO233&gt;0),VLOOKUP($C233,'[1]Paramètres Articles'!$B:$H,7,FALSE)*$CO233)*(1-20%)),0)</f>
        <v>0</v>
      </c>
      <c r="DT233" s="20">
        <f>IFERROR((IF(AND($F233="Produit Vente",DR233&gt;0),VLOOKUP($C233,'[1]Paramètres Articles'!$B:$H,6,FALSE)*$DR233)*(1-15%)),0)</f>
        <v>0</v>
      </c>
    </row>
    <row r="234" spans="2:124" ht="12.95" hidden="1" customHeight="1" outlineLevel="1">
      <c r="B234" s="1">
        <f>IF(C234="",0,COUNTIFS($B$22:B233,"&gt;"&amp;0)+1)</f>
        <v>93</v>
      </c>
      <c r="C234" s="85">
        <v>1020301</v>
      </c>
      <c r="D234" s="86" t="str">
        <f>IFERROR(IF($C234="","",VLOOKUP($C234,'[1]Paramètres Articles'!$B:$G,2,FALSE)),"Non Trouvé")</f>
        <v>Crème de Jour - Régénérant - 40 ml</v>
      </c>
      <c r="E234" s="87">
        <f>IFERROR(IF($C234="","",_xlfn.XLOOKUP(REGENERANTS!$C234,'[1]New Base PA'!$F:$F,'[1]New Base PA'!$D:$D,"Not Found",0)),"Non Trouvé")</f>
        <v>4020829007383</v>
      </c>
      <c r="F234" s="88" t="s">
        <v>90</v>
      </c>
      <c r="H234" s="101">
        <f>24*17%</f>
        <v>4.08</v>
      </c>
      <c r="J234" s="90">
        <f>IFERROR(IF($C234="","",VLOOKUP($C234,'[1]New Base PA'!$F:$J,5,FALSE)),"Non Trouvé")</f>
        <v>14.801599999999999</v>
      </c>
      <c r="K234" s="131">
        <f t="shared" si="140"/>
        <v>60.390527999999996</v>
      </c>
      <c r="L234" s="132"/>
      <c r="M234" s="90">
        <f>IFERROR(IF(AND($F234="Produit Vente",H234&gt;0),VLOOKUP($C234,'[1]Paramètres Articles'!$B:$G,6,FALSE),0),"Non Trouvé")</f>
        <v>38.532973805855164</v>
      </c>
      <c r="N234" s="90">
        <f t="shared" si="141"/>
        <v>157.21453312788907</v>
      </c>
      <c r="P234" s="92"/>
      <c r="R234" s="90">
        <f t="shared" si="134"/>
        <v>157.21453312788907</v>
      </c>
      <c r="S234" s="91"/>
      <c r="T234" s="90">
        <f>IFERROR(IF($C234="","",VLOOKUP($C234,'[1]Paramètres Articles'!$B:$H,7,FALSE)),"Non Trouvé")</f>
        <v>65.5</v>
      </c>
      <c r="U234" s="93"/>
      <c r="V234" s="90" t="str">
        <f t="shared" si="138"/>
        <v/>
      </c>
      <c r="W234" s="91"/>
      <c r="X234" s="90" t="str">
        <f t="shared" si="139"/>
        <v/>
      </c>
      <c r="Y234" s="91"/>
      <c r="Z234" s="90">
        <f t="shared" si="135"/>
        <v>267.24</v>
      </c>
      <c r="AB234" s="94">
        <f>AB233</f>
        <v>0</v>
      </c>
      <c r="AC234" s="94">
        <f>AC233</f>
        <v>0.17</v>
      </c>
      <c r="AD234" s="90">
        <f t="shared" si="142"/>
        <v>0</v>
      </c>
      <c r="AG234" s="94">
        <f>AG233</f>
        <v>0</v>
      </c>
      <c r="AH234" s="94">
        <f>AH233</f>
        <v>0.13</v>
      </c>
      <c r="AI234" s="90">
        <f t="shared" si="143"/>
        <v>0</v>
      </c>
      <c r="AL234" s="94">
        <f>AL233</f>
        <v>0</v>
      </c>
      <c r="AM234" s="94">
        <f>AM233</f>
        <v>0.08</v>
      </c>
      <c r="AN234" s="90">
        <f t="shared" si="144"/>
        <v>0</v>
      </c>
      <c r="AQ234" s="94">
        <f>AQ233</f>
        <v>0</v>
      </c>
      <c r="AR234" s="94">
        <f>AR233</f>
        <v>0.05</v>
      </c>
      <c r="AS234" s="90">
        <f t="shared" si="145"/>
        <v>0</v>
      </c>
      <c r="AV234" s="94">
        <f>AV233</f>
        <v>0</v>
      </c>
      <c r="AW234" s="94">
        <f>AW233</f>
        <v>0.32500000000000001</v>
      </c>
      <c r="AX234" s="90">
        <f t="shared" si="146"/>
        <v>0</v>
      </c>
      <c r="BA234" s="94">
        <f>BA233</f>
        <v>0</v>
      </c>
      <c r="BB234" s="94">
        <f>BB233</f>
        <v>0.29499999999999998</v>
      </c>
      <c r="BC234" s="90">
        <f t="shared" si="147"/>
        <v>0</v>
      </c>
      <c r="BF234" s="94">
        <f>BF233</f>
        <v>0</v>
      </c>
      <c r="BG234" s="94">
        <f>BG233</f>
        <v>0.27500000000000002</v>
      </c>
      <c r="BH234" s="90">
        <f t="shared" si="148"/>
        <v>0</v>
      </c>
      <c r="BK234" s="94">
        <f>BK233</f>
        <v>0</v>
      </c>
      <c r="BL234" s="94">
        <f>BL233</f>
        <v>0.245</v>
      </c>
      <c r="BM234" s="90">
        <f t="shared" si="149"/>
        <v>0</v>
      </c>
      <c r="BP234" s="94">
        <f>BP233</f>
        <v>0</v>
      </c>
      <c r="BQ234" s="94">
        <f>BQ233</f>
        <v>0.22500000000000001</v>
      </c>
      <c r="BR234" s="90">
        <f t="shared" si="150"/>
        <v>0</v>
      </c>
      <c r="BU234" s="94">
        <f>BU233</f>
        <v>0</v>
      </c>
      <c r="BV234" s="94">
        <f>BV233</f>
        <v>0.17499999999999999</v>
      </c>
      <c r="BW234" s="90">
        <f t="shared" si="151"/>
        <v>0</v>
      </c>
      <c r="BZ234" s="94">
        <f>BZ233</f>
        <v>0</v>
      </c>
      <c r="CA234" s="94">
        <f>CA233</f>
        <v>0.15</v>
      </c>
      <c r="CB234" s="90">
        <f t="shared" si="152"/>
        <v>0</v>
      </c>
      <c r="CE234" s="95"/>
      <c r="CF234" s="128"/>
      <c r="CG234" s="97"/>
      <c r="CH234" s="97"/>
      <c r="CI234" s="98"/>
      <c r="CK234" s="99">
        <f>IFERROR(IF(F234='[1]Paramètres Généraux'!$K$12,ROUNDUP((REGENERANTS!H234*REGENERANTS!$CF$221)*'[1]Paramètres Généraux'!$M$12,-1),REGENERANTS!H234*REGENERANTS!$CF$221),"nd")</f>
        <v>0</v>
      </c>
      <c r="CN234" s="100"/>
      <c r="CO234" s="101"/>
      <c r="CP234" s="101"/>
      <c r="CQ234" s="101"/>
      <c r="CR234" s="101"/>
      <c r="CS234" s="171"/>
      <c r="CT234" s="172"/>
      <c r="CU234" s="101"/>
      <c r="CV234" s="171"/>
      <c r="CW234" s="106"/>
      <c r="CX234" s="107"/>
      <c r="CY234" s="106"/>
      <c r="CZ234" s="104"/>
      <c r="DA234" s="107"/>
      <c r="DB234" s="106"/>
      <c r="DC234" s="104"/>
      <c r="DD234" s="107"/>
      <c r="DE234" s="106"/>
      <c r="DF234" s="104"/>
      <c r="DG234" s="104"/>
      <c r="DH234" s="104"/>
      <c r="DI234" s="104"/>
      <c r="DJ234" s="104"/>
      <c r="DK234" s="104"/>
      <c r="DL234" s="104"/>
      <c r="DM234" s="104"/>
      <c r="DN234" s="104"/>
      <c r="DO234" s="107"/>
      <c r="DP234" s="106"/>
      <c r="DQ234" s="20">
        <f t="shared" si="136"/>
        <v>0</v>
      </c>
      <c r="DR234" s="20">
        <f t="shared" si="137"/>
        <v>0</v>
      </c>
      <c r="DS234" s="20">
        <f>IFERROR((IF(AND($F234="Produit Vente",CO234&gt;0),VLOOKUP($C234,'[1]Paramètres Articles'!$B:$H,7,FALSE)*$CO234)*(1-20%)),0)</f>
        <v>0</v>
      </c>
      <c r="DT234" s="20">
        <f>IFERROR((IF(AND($F234="Produit Vente",DR234&gt;0),VLOOKUP($C234,'[1]Paramètres Articles'!$B:$H,6,FALSE)*$DR234)*(1-15%)),0)</f>
        <v>0</v>
      </c>
    </row>
    <row r="235" spans="2:124" ht="12.95" hidden="1" customHeight="1" outlineLevel="1">
      <c r="B235" s="1">
        <f>IF(C235="",0,COUNTIFS($B$22:B234,"&gt;"&amp;0)+1)</f>
        <v>94</v>
      </c>
      <c r="C235" s="85">
        <v>1020720</v>
      </c>
      <c r="D235" s="86" t="str">
        <f>IFERROR(IF($C235="","",VLOOKUP($C235,'[1]Paramètres Articles'!$B:$G,2,FALSE)),"Non Trouvé")</f>
        <v>Crème de Jour - Régénérant Intensif - 40ml</v>
      </c>
      <c r="E235" s="87">
        <f>IFERROR(IF($C235="","",_xlfn.XLOOKUP(REGENERANTS!$C235,'[1]New Base PA'!$F:$F,'[1]New Base PA'!$D:$D,"Not Found",0)),"Non Trouvé")</f>
        <v>4020829102972</v>
      </c>
      <c r="F235" s="88" t="s">
        <v>90</v>
      </c>
      <c r="H235" s="101">
        <f>24*17%</f>
        <v>4.08</v>
      </c>
      <c r="J235" s="90">
        <f>IFERROR(IF($C235="","",VLOOKUP($C235,'[1]New Base PA'!$F:$J,5,FALSE)),"Non Trouvé")</f>
        <v>17.191199999999998</v>
      </c>
      <c r="K235" s="131">
        <f t="shared" si="140"/>
        <v>70.140096</v>
      </c>
      <c r="L235" s="132"/>
      <c r="M235" s="90">
        <f>IFERROR(IF(AND($F235="Produit Vente",H235&gt;0),VLOOKUP($C235,'[1]Paramètres Articles'!$B:$G,6,FALSE),0),"Non Trouvé")</f>
        <v>44.648251001335112</v>
      </c>
      <c r="N235" s="90">
        <f t="shared" si="141"/>
        <v>182.16486408544725</v>
      </c>
      <c r="P235" s="92"/>
      <c r="R235" s="90">
        <f t="shared" si="134"/>
        <v>182.16486408544725</v>
      </c>
      <c r="S235" s="91"/>
      <c r="T235" s="90">
        <f>IFERROR(IF($C235="","",VLOOKUP($C235,'[1]Paramètres Articles'!$B:$H,7,FALSE)),"Non Trouvé")</f>
        <v>75.900000000000006</v>
      </c>
      <c r="U235" s="93"/>
      <c r="V235" s="90" t="str">
        <f t="shared" si="138"/>
        <v/>
      </c>
      <c r="W235" s="91"/>
      <c r="X235" s="90" t="str">
        <f t="shared" si="139"/>
        <v/>
      </c>
      <c r="Y235" s="91"/>
      <c r="Z235" s="90">
        <f t="shared" si="135"/>
        <v>309.67200000000003</v>
      </c>
      <c r="AB235" s="94">
        <f>AB233</f>
        <v>0</v>
      </c>
      <c r="AC235" s="94">
        <f>AC233</f>
        <v>0.17</v>
      </c>
      <c r="AD235" s="90">
        <f t="shared" si="142"/>
        <v>0</v>
      </c>
      <c r="AG235" s="94">
        <f>AG233</f>
        <v>0</v>
      </c>
      <c r="AH235" s="94">
        <f>AH233</f>
        <v>0.13</v>
      </c>
      <c r="AI235" s="90">
        <f t="shared" si="143"/>
        <v>0</v>
      </c>
      <c r="AL235" s="94">
        <f>AL233</f>
        <v>0</v>
      </c>
      <c r="AM235" s="94">
        <f>AM233</f>
        <v>0.08</v>
      </c>
      <c r="AN235" s="90">
        <f t="shared" si="144"/>
        <v>0</v>
      </c>
      <c r="AQ235" s="94">
        <f>AQ233</f>
        <v>0</v>
      </c>
      <c r="AR235" s="94">
        <f>AR233</f>
        <v>0.05</v>
      </c>
      <c r="AS235" s="90">
        <f t="shared" si="145"/>
        <v>0</v>
      </c>
      <c r="AV235" s="94">
        <f>AV233</f>
        <v>0</v>
      </c>
      <c r="AW235" s="94">
        <f>AW233</f>
        <v>0.32500000000000001</v>
      </c>
      <c r="AX235" s="90">
        <f t="shared" si="146"/>
        <v>0</v>
      </c>
      <c r="BA235" s="94">
        <f>BA233</f>
        <v>0</v>
      </c>
      <c r="BB235" s="94">
        <f>BB233</f>
        <v>0.29499999999999998</v>
      </c>
      <c r="BC235" s="90">
        <f t="shared" si="147"/>
        <v>0</v>
      </c>
      <c r="BF235" s="94">
        <f>BF233</f>
        <v>0</v>
      </c>
      <c r="BG235" s="94">
        <f>BG233</f>
        <v>0.27500000000000002</v>
      </c>
      <c r="BH235" s="90">
        <f t="shared" si="148"/>
        <v>0</v>
      </c>
      <c r="BK235" s="94">
        <f>BK233</f>
        <v>0</v>
      </c>
      <c r="BL235" s="94">
        <f>BL233</f>
        <v>0.245</v>
      </c>
      <c r="BM235" s="90">
        <f t="shared" si="149"/>
        <v>0</v>
      </c>
      <c r="BP235" s="94">
        <f>BP233</f>
        <v>0</v>
      </c>
      <c r="BQ235" s="94">
        <f>BQ233</f>
        <v>0.22500000000000001</v>
      </c>
      <c r="BR235" s="90">
        <f t="shared" si="150"/>
        <v>0</v>
      </c>
      <c r="BU235" s="94">
        <f>BU233</f>
        <v>0</v>
      </c>
      <c r="BV235" s="94">
        <f>BV233</f>
        <v>0.17499999999999999</v>
      </c>
      <c r="BW235" s="90">
        <f t="shared" si="151"/>
        <v>0</v>
      </c>
      <c r="BZ235" s="94">
        <f>BZ233</f>
        <v>0</v>
      </c>
      <c r="CA235" s="94">
        <f>CA233</f>
        <v>0.15</v>
      </c>
      <c r="CB235" s="90">
        <f t="shared" si="152"/>
        <v>0</v>
      </c>
      <c r="CE235" s="95"/>
      <c r="CF235" s="97"/>
      <c r="CG235" s="128" t="s">
        <v>4</v>
      </c>
      <c r="CH235" s="97"/>
      <c r="CI235" s="98"/>
      <c r="CK235" s="99">
        <f>IFERROR(IF(F235='[1]Paramètres Généraux'!$K$12,ROUNDUP((REGENERANTS!H235*REGENERANTS!$CF$221)*'[1]Paramètres Généraux'!$M$12,-1),REGENERANTS!H235*REGENERANTS!$CF$221),"nd")</f>
        <v>0</v>
      </c>
      <c r="CN235" s="100"/>
      <c r="CO235" s="101"/>
      <c r="CP235" s="101"/>
      <c r="CQ235" s="101"/>
      <c r="CR235" s="101"/>
      <c r="CS235" s="171"/>
      <c r="CT235" s="172"/>
      <c r="CU235" s="101"/>
      <c r="CV235" s="171"/>
      <c r="CW235" s="106"/>
      <c r="CX235" s="107"/>
      <c r="CY235" s="106"/>
      <c r="CZ235" s="104"/>
      <c r="DA235" s="107"/>
      <c r="DB235" s="106"/>
      <c r="DC235" s="104"/>
      <c r="DD235" s="107"/>
      <c r="DE235" s="106"/>
      <c r="DF235" s="104"/>
      <c r="DG235" s="104"/>
      <c r="DH235" s="104"/>
      <c r="DI235" s="104"/>
      <c r="DJ235" s="104"/>
      <c r="DK235" s="104"/>
      <c r="DL235" s="104"/>
      <c r="DM235" s="104"/>
      <c r="DN235" s="104"/>
      <c r="DO235" s="107"/>
      <c r="DP235" s="106"/>
      <c r="DQ235" s="20">
        <f t="shared" si="136"/>
        <v>0</v>
      </c>
      <c r="DR235" s="20">
        <f t="shared" si="137"/>
        <v>0</v>
      </c>
      <c r="DS235" s="20">
        <f>IFERROR((IF(AND($F235="Produit Vente",CO235&gt;0),VLOOKUP($C235,'[1]Paramètres Articles'!$B:$H,7,FALSE)*$CO235)*(1-20%)),0)</f>
        <v>0</v>
      </c>
      <c r="DT235" s="20">
        <f>IFERROR((IF(AND($F235="Produit Vente",DR235&gt;0),VLOOKUP($C235,'[1]Paramètres Articles'!$B:$H,6,FALSE)*$DR235)*(1-15%)),0)</f>
        <v>0</v>
      </c>
    </row>
    <row r="236" spans="2:124" ht="12.95" hidden="1" customHeight="1" outlineLevel="1">
      <c r="B236" s="1">
        <f>IF(C236="",0,COUNTIFS($B$22:B235,"&gt;"&amp;0)+1)</f>
        <v>95</v>
      </c>
      <c r="C236" s="85" t="s">
        <v>97</v>
      </c>
      <c r="D236" s="86" t="str">
        <f>IFERROR(IF($C236="","",VLOOKUP($C236,'[1]Paramètres Articles'!$B:$G,2,FALSE)),"Non Trouvé")</f>
        <v>Panneau vitrine Régénérants 2026</v>
      </c>
      <c r="E236" s="87">
        <f>IFERROR(IF($C236="","",_xlfn.XLOOKUP(REGENERANTS!$C236,'[1]New Base PA'!$F:$F,'[1]New Base PA'!$D:$D,"Not Found",0)),"Non Trouvé")</f>
        <v>0</v>
      </c>
      <c r="F236" s="88" t="s">
        <v>98</v>
      </c>
      <c r="H236" s="101">
        <v>1</v>
      </c>
      <c r="J236" s="90">
        <f>IFERROR(IF($C236="","",VLOOKUP($C236,'[1]New Base PA'!$F:$J,5,FALSE)),"Non Trouvé")</f>
        <v>20.079999999999998</v>
      </c>
      <c r="K236" s="131">
        <f t="shared" si="140"/>
        <v>20.079999999999998</v>
      </c>
      <c r="L236" s="132"/>
      <c r="M236" s="90">
        <f>IFERROR(IF(AND($F236="Produit Vente",H236&gt;0),VLOOKUP($C236,'[1]Paramètres Articles'!$B:$G,6,FALSE),0),"Non Trouvé")</f>
        <v>0</v>
      </c>
      <c r="N236" s="90">
        <f t="shared" si="141"/>
        <v>0</v>
      </c>
      <c r="P236" s="92"/>
      <c r="R236" s="90">
        <f t="shared" si="134"/>
        <v>0</v>
      </c>
      <c r="S236" s="91"/>
      <c r="T236" s="90">
        <f>IFERROR(IF($C236="","",VLOOKUP($C236,'[1]Paramètres Articles'!$B:$H,7,FALSE)),"Non Trouvé")</f>
        <v>0</v>
      </c>
      <c r="U236" s="93"/>
      <c r="V236" s="90" t="str">
        <f t="shared" si="138"/>
        <v/>
      </c>
      <c r="W236" s="91"/>
      <c r="X236" s="90" t="str">
        <f t="shared" si="139"/>
        <v/>
      </c>
      <c r="Y236" s="91"/>
      <c r="Z236" s="90">
        <f t="shared" si="135"/>
        <v>0</v>
      </c>
      <c r="AB236" s="94">
        <f>AB235</f>
        <v>0</v>
      </c>
      <c r="AC236" s="94">
        <f>AC235</f>
        <v>0.17</v>
      </c>
      <c r="AD236" s="90">
        <f t="shared" si="142"/>
        <v>0</v>
      </c>
      <c r="AG236" s="94">
        <f>AG235</f>
        <v>0</v>
      </c>
      <c r="AH236" s="94">
        <f>AH235</f>
        <v>0.13</v>
      </c>
      <c r="AI236" s="90">
        <f t="shared" si="143"/>
        <v>0</v>
      </c>
      <c r="AL236" s="94">
        <f>AL235</f>
        <v>0</v>
      </c>
      <c r="AM236" s="94">
        <f>AM235</f>
        <v>0.08</v>
      </c>
      <c r="AN236" s="90">
        <f t="shared" si="144"/>
        <v>0</v>
      </c>
      <c r="AQ236" s="94">
        <f>AQ235</f>
        <v>0</v>
      </c>
      <c r="AR236" s="94">
        <f>AR235</f>
        <v>0.05</v>
      </c>
      <c r="AS236" s="90">
        <f t="shared" si="145"/>
        <v>0</v>
      </c>
      <c r="AV236" s="94">
        <f>AV235</f>
        <v>0</v>
      </c>
      <c r="AW236" s="94">
        <f>AW235</f>
        <v>0.32500000000000001</v>
      </c>
      <c r="AX236" s="90">
        <f t="shared" si="146"/>
        <v>0</v>
      </c>
      <c r="BA236" s="94">
        <f>BA235</f>
        <v>0</v>
      </c>
      <c r="BB236" s="94">
        <f>BB235</f>
        <v>0.29499999999999998</v>
      </c>
      <c r="BC236" s="90">
        <f t="shared" si="147"/>
        <v>0</v>
      </c>
      <c r="BF236" s="94">
        <f>BF235</f>
        <v>0</v>
      </c>
      <c r="BG236" s="94">
        <f>BG235</f>
        <v>0.27500000000000002</v>
      </c>
      <c r="BH236" s="90">
        <f t="shared" si="148"/>
        <v>0</v>
      </c>
      <c r="BK236" s="94">
        <f>BK235</f>
        <v>0</v>
      </c>
      <c r="BL236" s="94">
        <f>BL235</f>
        <v>0.245</v>
      </c>
      <c r="BM236" s="90">
        <f t="shared" si="149"/>
        <v>0</v>
      </c>
      <c r="BP236" s="94">
        <f>BP235</f>
        <v>0</v>
      </c>
      <c r="BQ236" s="94">
        <f>BQ235</f>
        <v>0.22500000000000001</v>
      </c>
      <c r="BR236" s="90">
        <f t="shared" si="150"/>
        <v>0</v>
      </c>
      <c r="BU236" s="94">
        <f>BU235</f>
        <v>0</v>
      </c>
      <c r="BV236" s="94">
        <f>BV235</f>
        <v>0.17499999999999999</v>
      </c>
      <c r="BW236" s="90">
        <f t="shared" si="151"/>
        <v>0</v>
      </c>
      <c r="BZ236" s="94">
        <f>BZ235</f>
        <v>0</v>
      </c>
      <c r="CA236" s="94">
        <f>CA235</f>
        <v>0.15</v>
      </c>
      <c r="CB236" s="90">
        <f t="shared" si="152"/>
        <v>0</v>
      </c>
      <c r="CE236" s="95"/>
      <c r="CF236" s="133"/>
      <c r="CG236" s="97" t="s">
        <v>0</v>
      </c>
      <c r="CH236" s="133">
        <f>SUMIFS($AB221:$AT221,$AB218:$AT218,CG236)+SUMIFS($BZ221:$CC221,$BZ218:$CC218,CG236)</f>
        <v>0</v>
      </c>
      <c r="CI236" s="98"/>
      <c r="CK236" s="99">
        <f>IFERROR(IF(F236='[1]Paramètres Généraux'!$K$12,ROUNDUP((REGENERANTS!H236*REGENERANTS!$CF$221)*'[1]Paramètres Généraux'!$M$12,-1),REGENERANTS!H236*REGENERANTS!$CF$221),"nd")</f>
        <v>0</v>
      </c>
      <c r="CN236" s="100"/>
      <c r="CO236" s="101"/>
      <c r="CP236" s="101"/>
      <c r="CQ236" s="101"/>
      <c r="CR236" s="101"/>
      <c r="CS236" s="171"/>
      <c r="CT236" s="172"/>
      <c r="CU236" s="101"/>
      <c r="CV236" s="171"/>
      <c r="CW236" s="106"/>
      <c r="CX236" s="107"/>
      <c r="CY236" s="106"/>
      <c r="CZ236" s="104"/>
      <c r="DA236" s="107"/>
      <c r="DB236" s="106"/>
      <c r="DC236" s="104"/>
      <c r="DD236" s="107"/>
      <c r="DE236" s="106"/>
      <c r="DF236" s="104"/>
      <c r="DG236" s="104"/>
      <c r="DH236" s="104"/>
      <c r="DI236" s="104"/>
      <c r="DJ236" s="104"/>
      <c r="DK236" s="104"/>
      <c r="DL236" s="104"/>
      <c r="DM236" s="104"/>
      <c r="DN236" s="104"/>
      <c r="DO236" s="107"/>
      <c r="DP236" s="106"/>
      <c r="DQ236" s="20">
        <f t="shared" si="136"/>
        <v>0</v>
      </c>
      <c r="DR236" s="20">
        <f t="shared" si="137"/>
        <v>0</v>
      </c>
      <c r="DS236" s="20">
        <f>IFERROR((IF(AND($F236="Produit Vente",CO236&gt;0),VLOOKUP($C236,'[1]Paramètres Articles'!$B:$H,7,FALSE)*$CO236)*(1-20%)),0)</f>
        <v>0</v>
      </c>
      <c r="DT236" s="20">
        <f>IFERROR((IF(AND($F236="Produit Vente",DR236&gt;0),VLOOKUP($C236,'[1]Paramètres Articles'!$B:$H,6,FALSE)*$DR236)*(1-15%)),0)</f>
        <v>0</v>
      </c>
    </row>
    <row r="237" spans="2:124" ht="12.95" hidden="1" customHeight="1" outlineLevel="1">
      <c r="B237" s="1">
        <f>IF(C237="",0,COUNTIFS($B$22:B236,"&gt;"&amp;0)+1)</f>
        <v>96</v>
      </c>
      <c r="C237" s="85" t="s">
        <v>99</v>
      </c>
      <c r="D237" s="86" t="str">
        <f>IFERROR(IF($C237="","",VLOOKUP($C237,'[1]Paramètres Articles'!$B:$G,2,FALSE)),"Non Trouvé")</f>
        <v>Présentoir Régénérants 2026</v>
      </c>
      <c r="E237" s="87">
        <f>IFERROR(IF($C237="","",_xlfn.XLOOKUP(REGENERANTS!$C237,'[1]New Base PA'!$F:$F,'[1]New Base PA'!$D:$D,"Not Found",0)),"Non Trouvé")</f>
        <v>0</v>
      </c>
      <c r="F237" s="88" t="s">
        <v>100</v>
      </c>
      <c r="H237" s="101">
        <v>1</v>
      </c>
      <c r="J237" s="90">
        <f>IFERROR(IF($C237="","",VLOOKUP($C237,'[1]New Base PA'!$F:$J,5,FALSE)),"Non Trouvé")</f>
        <v>13.92</v>
      </c>
      <c r="K237" s="131">
        <f t="shared" si="140"/>
        <v>13.92</v>
      </c>
      <c r="L237" s="132"/>
      <c r="M237" s="90">
        <f>IFERROR(IF(AND($F237="Produit Vente",H237&gt;0),VLOOKUP($C237,'[1]Paramètres Articles'!$B:$G,6,FALSE),0),"Non Trouvé")</f>
        <v>0</v>
      </c>
      <c r="N237" s="90">
        <f t="shared" si="141"/>
        <v>0</v>
      </c>
      <c r="P237" s="92"/>
      <c r="R237" s="90">
        <f t="shared" si="134"/>
        <v>0</v>
      </c>
      <c r="S237" s="91"/>
      <c r="T237" s="90">
        <f>IFERROR(IF($C237="","",VLOOKUP($C237,'[1]Paramètres Articles'!$B:$H,7,FALSE)),"Non Trouvé")</f>
        <v>0</v>
      </c>
      <c r="U237" s="93"/>
      <c r="V237" s="90" t="str">
        <f t="shared" si="138"/>
        <v/>
      </c>
      <c r="W237" s="91"/>
      <c r="X237" s="90" t="str">
        <f t="shared" si="139"/>
        <v/>
      </c>
      <c r="Y237" s="91"/>
      <c r="Z237" s="90">
        <f t="shared" si="135"/>
        <v>0</v>
      </c>
      <c r="AB237" s="94">
        <f>AB235</f>
        <v>0</v>
      </c>
      <c r="AC237" s="94">
        <f>AC235</f>
        <v>0.17</v>
      </c>
      <c r="AD237" s="90">
        <f t="shared" si="142"/>
        <v>0</v>
      </c>
      <c r="AG237" s="94">
        <f>AG235</f>
        <v>0</v>
      </c>
      <c r="AH237" s="94">
        <f>AH235</f>
        <v>0.13</v>
      </c>
      <c r="AI237" s="90">
        <f t="shared" si="143"/>
        <v>0</v>
      </c>
      <c r="AL237" s="94">
        <f>AL235</f>
        <v>0</v>
      </c>
      <c r="AM237" s="94">
        <f>AM235</f>
        <v>0.08</v>
      </c>
      <c r="AN237" s="90">
        <f t="shared" si="144"/>
        <v>0</v>
      </c>
      <c r="AQ237" s="94">
        <f>AQ235</f>
        <v>0</v>
      </c>
      <c r="AR237" s="94">
        <f>AR235</f>
        <v>0.05</v>
      </c>
      <c r="AS237" s="90">
        <f t="shared" si="145"/>
        <v>0</v>
      </c>
      <c r="AV237" s="94">
        <f>AV235</f>
        <v>0</v>
      </c>
      <c r="AW237" s="94">
        <f>AW235</f>
        <v>0.32500000000000001</v>
      </c>
      <c r="AX237" s="90">
        <f t="shared" si="146"/>
        <v>0</v>
      </c>
      <c r="BA237" s="94">
        <f>BA235</f>
        <v>0</v>
      </c>
      <c r="BB237" s="94">
        <f>BB235</f>
        <v>0.29499999999999998</v>
      </c>
      <c r="BC237" s="90">
        <f t="shared" si="147"/>
        <v>0</v>
      </c>
      <c r="BF237" s="94">
        <f>BF235</f>
        <v>0</v>
      </c>
      <c r="BG237" s="94">
        <f>BG235</f>
        <v>0.27500000000000002</v>
      </c>
      <c r="BH237" s="90">
        <f t="shared" si="148"/>
        <v>0</v>
      </c>
      <c r="BK237" s="94">
        <f>BK235</f>
        <v>0</v>
      </c>
      <c r="BL237" s="94">
        <f>BL235</f>
        <v>0.245</v>
      </c>
      <c r="BM237" s="90">
        <f t="shared" si="149"/>
        <v>0</v>
      </c>
      <c r="BP237" s="94">
        <f>BP235</f>
        <v>0</v>
      </c>
      <c r="BQ237" s="94">
        <f>BQ235</f>
        <v>0.22500000000000001</v>
      </c>
      <c r="BR237" s="90">
        <f t="shared" si="150"/>
        <v>0</v>
      </c>
      <c r="BU237" s="94">
        <f>BU235</f>
        <v>0</v>
      </c>
      <c r="BV237" s="94">
        <f>BV235</f>
        <v>0.17499999999999999</v>
      </c>
      <c r="BW237" s="90">
        <f t="shared" si="151"/>
        <v>0</v>
      </c>
      <c r="BZ237" s="94">
        <f>BZ235</f>
        <v>0</v>
      </c>
      <c r="CA237" s="94">
        <f>CA235</f>
        <v>0.15</v>
      </c>
      <c r="CB237" s="90">
        <f t="shared" si="152"/>
        <v>0</v>
      </c>
      <c r="CE237" s="95"/>
      <c r="CF237" s="96"/>
      <c r="CG237" s="97" t="s">
        <v>1</v>
      </c>
      <c r="CH237" s="134">
        <f>SUMIFS($AB221:$AT221,$AB218:$AT218,CG237)+SUMIFS($BZ221:$CC221,$BZ218:$CC218,CG237)</f>
        <v>0</v>
      </c>
      <c r="CI237" s="98"/>
      <c r="CK237" s="99">
        <f>IFERROR(IF(F237='[1]Paramètres Généraux'!$K$12,ROUNDUP((REGENERANTS!H237*REGENERANTS!$CF$221)*'[1]Paramètres Généraux'!$M$12,-1),REGENERANTS!H237*REGENERANTS!$CF$221),"nd")</f>
        <v>0</v>
      </c>
      <c r="CN237" s="100"/>
      <c r="CO237" s="101"/>
      <c r="CP237" s="101"/>
      <c r="CQ237" s="101"/>
      <c r="CR237" s="101"/>
      <c r="CS237" s="171"/>
      <c r="CT237" s="172"/>
      <c r="CU237" s="101"/>
      <c r="CV237" s="171"/>
      <c r="CW237" s="106"/>
      <c r="CX237" s="107"/>
      <c r="CY237" s="106"/>
      <c r="CZ237" s="104"/>
      <c r="DA237" s="107"/>
      <c r="DB237" s="106"/>
      <c r="DC237" s="104"/>
      <c r="DD237" s="107"/>
      <c r="DE237" s="106"/>
      <c r="DF237" s="104"/>
      <c r="DG237" s="104"/>
      <c r="DH237" s="104"/>
      <c r="DI237" s="104"/>
      <c r="DJ237" s="104"/>
      <c r="DK237" s="104"/>
      <c r="DL237" s="104"/>
      <c r="DM237" s="104"/>
      <c r="DN237" s="104"/>
      <c r="DO237" s="107"/>
      <c r="DP237" s="106"/>
      <c r="DQ237" s="20">
        <f t="shared" si="136"/>
        <v>0</v>
      </c>
      <c r="DR237" s="20">
        <f t="shared" si="137"/>
        <v>0</v>
      </c>
      <c r="DS237" s="20">
        <f>IFERROR((IF(AND($F237="Produit Vente",CO237&gt;0),VLOOKUP($C237,'[1]Paramètres Articles'!$B:$H,7,FALSE)*$CO237)*(1-20%)),0)</f>
        <v>0</v>
      </c>
      <c r="DT237" s="20">
        <f>IFERROR((IF(AND($F237="Produit Vente",DR237&gt;0),VLOOKUP($C237,'[1]Paramètres Articles'!$B:$H,6,FALSE)*$DR237)*(1-15%)),0)</f>
        <v>0</v>
      </c>
    </row>
    <row r="238" spans="2:124" ht="12.95" hidden="1" customHeight="1" outlineLevel="1">
      <c r="B238" s="1">
        <f>IF(C238="",0,COUNTIFS($B$22:B237,"&gt;"&amp;0)+1)</f>
        <v>97</v>
      </c>
      <c r="C238" s="85">
        <v>3020202</v>
      </c>
      <c r="D238" s="86" t="str">
        <f>IFERROR(IF($C238="","",VLOOKUP($C238,'[1]Paramètres Articles'!$B:$G,2,FALSE)),"Non Trouvé")</f>
        <v>Testeur - Sérum Jour / Nuit - Régénérant 30ml - 15% comprise</v>
      </c>
      <c r="E238" s="87">
        <f>IFERROR(IF($C238="","",_xlfn.XLOOKUP(REGENERANTS!$C238,'[1]New Base PA'!$F:$F,'[1]New Base PA'!$D:$D,"Not Found",0)),"Non Trouvé")</f>
        <v>4020829103146</v>
      </c>
      <c r="F238" s="88" t="s">
        <v>96</v>
      </c>
      <c r="H238" s="101">
        <v>1</v>
      </c>
      <c r="J238" s="90">
        <f>IFERROR(IF($C238="","",VLOOKUP($C238,'[1]New Base PA'!$F:$J,5,FALSE)),"Non Trouvé")</f>
        <v>11.62</v>
      </c>
      <c r="K238" s="131">
        <f t="shared" si="140"/>
        <v>11.62</v>
      </c>
      <c r="L238" s="132"/>
      <c r="M238" s="90">
        <f>IFERROR(IF(AND($F238="Produit Vente",H238&gt;0),VLOOKUP($C238,'[1]Paramètres Articles'!$B:$G,6,FALSE),0),"Non Trouvé")</f>
        <v>0</v>
      </c>
      <c r="N238" s="90">
        <f t="shared" si="141"/>
        <v>0</v>
      </c>
      <c r="P238" s="92"/>
      <c r="R238" s="90">
        <f t="shared" si="134"/>
        <v>0</v>
      </c>
      <c r="S238" s="91"/>
      <c r="T238" s="90" t="str">
        <f>IFERROR(IF($C238="","",VLOOKUP($C238,'[1]Paramètres Articles'!$B:$H,7,FALSE)),"Non Trouvé")</f>
        <v>Non Trouvé</v>
      </c>
      <c r="U238" s="93"/>
      <c r="V238" s="90" t="str">
        <f t="shared" si="138"/>
        <v/>
      </c>
      <c r="W238" s="91"/>
      <c r="X238" s="90" t="str">
        <f t="shared" si="139"/>
        <v/>
      </c>
      <c r="Y238" s="91"/>
      <c r="Z238" s="90" t="str">
        <f t="shared" si="135"/>
        <v>Non Trouvé</v>
      </c>
      <c r="AB238" s="94">
        <f>AB237</f>
        <v>0</v>
      </c>
      <c r="AC238" s="94">
        <f>AC237</f>
        <v>0.17</v>
      </c>
      <c r="AD238" s="90">
        <f t="shared" si="142"/>
        <v>0</v>
      </c>
      <c r="AG238" s="94">
        <f>AG237</f>
        <v>0</v>
      </c>
      <c r="AH238" s="94">
        <f>AH237</f>
        <v>0.13</v>
      </c>
      <c r="AI238" s="90">
        <f t="shared" si="143"/>
        <v>0</v>
      </c>
      <c r="AL238" s="94">
        <f>AL237</f>
        <v>0</v>
      </c>
      <c r="AM238" s="94">
        <f>AM237</f>
        <v>0.08</v>
      </c>
      <c r="AN238" s="90">
        <f t="shared" si="144"/>
        <v>0</v>
      </c>
      <c r="AQ238" s="94">
        <f>AQ237</f>
        <v>0</v>
      </c>
      <c r="AR238" s="94">
        <f>AR237</f>
        <v>0.05</v>
      </c>
      <c r="AS238" s="90">
        <f t="shared" si="145"/>
        <v>0</v>
      </c>
      <c r="AV238" s="94">
        <f>AV237</f>
        <v>0</v>
      </c>
      <c r="AW238" s="94">
        <f>AW237</f>
        <v>0.32500000000000001</v>
      </c>
      <c r="AX238" s="90">
        <f t="shared" si="146"/>
        <v>0</v>
      </c>
      <c r="BA238" s="94">
        <f>BA237</f>
        <v>0</v>
      </c>
      <c r="BB238" s="94">
        <f>BB237</f>
        <v>0.29499999999999998</v>
      </c>
      <c r="BC238" s="90">
        <f t="shared" si="147"/>
        <v>0</v>
      </c>
      <c r="BF238" s="94">
        <f>BF237</f>
        <v>0</v>
      </c>
      <c r="BG238" s="94">
        <f>BG237</f>
        <v>0.27500000000000002</v>
      </c>
      <c r="BH238" s="90">
        <f t="shared" si="148"/>
        <v>0</v>
      </c>
      <c r="BK238" s="94">
        <f>BK237</f>
        <v>0</v>
      </c>
      <c r="BL238" s="94">
        <f>BL237</f>
        <v>0.245</v>
      </c>
      <c r="BM238" s="90">
        <f t="shared" si="149"/>
        <v>0</v>
      </c>
      <c r="BP238" s="94">
        <f>BP237</f>
        <v>0</v>
      </c>
      <c r="BQ238" s="94">
        <f>BQ237</f>
        <v>0.22500000000000001</v>
      </c>
      <c r="BR238" s="90">
        <f t="shared" si="150"/>
        <v>0</v>
      </c>
      <c r="BU238" s="94">
        <f>BU237</f>
        <v>0</v>
      </c>
      <c r="BV238" s="94">
        <f>BV237</f>
        <v>0.17499999999999999</v>
      </c>
      <c r="BW238" s="90">
        <f t="shared" si="151"/>
        <v>0</v>
      </c>
      <c r="BZ238" s="94">
        <f>BZ237</f>
        <v>0</v>
      </c>
      <c r="CA238" s="94">
        <f>CA237</f>
        <v>0.15</v>
      </c>
      <c r="CB238" s="90">
        <f t="shared" si="152"/>
        <v>0</v>
      </c>
      <c r="CE238" s="95"/>
      <c r="CF238" s="128"/>
      <c r="CG238" s="97" t="s">
        <v>2</v>
      </c>
      <c r="CH238" s="135" t="str">
        <f>IFERROR((CH237-$K221*CH236)/CH237,"Non Trouvé")</f>
        <v>Non Trouvé</v>
      </c>
      <c r="CI238" s="98"/>
      <c r="CK238" s="99">
        <f>IFERROR(IF(F238='[1]Paramètres Généraux'!$K$12,ROUNDUP((REGENERANTS!H238*REGENERANTS!$CF$221)*'[1]Paramètres Généraux'!$M$12,-1),REGENERANTS!H238*REGENERANTS!$CF$221),"nd")</f>
        <v>0</v>
      </c>
      <c r="CN238" s="100"/>
      <c r="CO238" s="101"/>
      <c r="CP238" s="101"/>
      <c r="CQ238" s="101"/>
      <c r="CR238" s="101"/>
      <c r="CS238" s="171"/>
      <c r="CT238" s="172"/>
      <c r="CU238" s="101"/>
      <c r="CV238" s="171"/>
      <c r="CW238" s="106"/>
      <c r="CX238" s="107"/>
      <c r="CY238" s="106"/>
      <c r="CZ238" s="104"/>
      <c r="DA238" s="107"/>
      <c r="DB238" s="106"/>
      <c r="DC238" s="104"/>
      <c r="DD238" s="107"/>
      <c r="DE238" s="106"/>
      <c r="DF238" s="104"/>
      <c r="DG238" s="104"/>
      <c r="DH238" s="104"/>
      <c r="DI238" s="104"/>
      <c r="DJ238" s="104"/>
      <c r="DK238" s="104"/>
      <c r="DL238" s="104"/>
      <c r="DM238" s="104"/>
      <c r="DN238" s="104"/>
      <c r="DO238" s="107"/>
      <c r="DP238" s="106"/>
      <c r="DQ238" s="20">
        <f t="shared" si="136"/>
        <v>0</v>
      </c>
      <c r="DR238" s="20">
        <f t="shared" si="137"/>
        <v>0</v>
      </c>
      <c r="DS238" s="20">
        <f>IFERROR((IF(AND($F238="Produit Vente",CO238&gt;0),VLOOKUP($C238,'[1]Paramètres Articles'!$B:$H,7,FALSE)*$CO238)*(1-20%)),0)</f>
        <v>0</v>
      </c>
      <c r="DT238" s="20">
        <f>IFERROR((IF(AND($F238="Produit Vente",DR238&gt;0),VLOOKUP($C238,'[1]Paramètres Articles'!$B:$H,6,FALSE)*$DR238)*(1-15%)),0)</f>
        <v>0</v>
      </c>
    </row>
    <row r="239" spans="2:124" ht="12.95" hidden="1" customHeight="1" outlineLevel="1">
      <c r="B239" s="1">
        <f>IF(C239="",0,COUNTIFS($B$22:B238,"&gt;"&amp;0)+1)</f>
        <v>98</v>
      </c>
      <c r="C239" s="85">
        <v>3020301</v>
      </c>
      <c r="D239" s="86" t="str">
        <f>IFERROR(IF($C239="","",VLOOKUP($C239,'[1]Paramètres Articles'!$B:$G,2,FALSE)),"Non Trouvé")</f>
        <v>Testeur - Crème de Jour Régénérante 40 ml - 15% comprise</v>
      </c>
      <c r="E239" s="87">
        <f>IFERROR(IF($C239="","",_xlfn.XLOOKUP(REGENERANTS!$C239,'[1]New Base PA'!$F:$F,'[1]New Base PA'!$D:$D,"Not Found",0)),"Non Trouvé")</f>
        <v>4020829007123</v>
      </c>
      <c r="F239" s="88" t="s">
        <v>96</v>
      </c>
      <c r="H239" s="101">
        <v>1</v>
      </c>
      <c r="J239" s="90">
        <f>IFERROR(IF($C239="","",VLOOKUP($C239,'[1]New Base PA'!$F:$J,5,FALSE)),"Non Trouvé")</f>
        <v>10.85</v>
      </c>
      <c r="K239" s="131">
        <f t="shared" si="140"/>
        <v>10.85</v>
      </c>
      <c r="L239" s="132"/>
      <c r="M239" s="90">
        <f>IFERROR(IF(AND($F239="Produit Vente",H239&gt;0),VLOOKUP($C239,'[1]Paramètres Articles'!$B:$G,6,FALSE),0),"Non Trouvé")</f>
        <v>0</v>
      </c>
      <c r="N239" s="90">
        <f t="shared" si="141"/>
        <v>0</v>
      </c>
      <c r="P239" s="92"/>
      <c r="R239" s="90">
        <f t="shared" si="134"/>
        <v>0</v>
      </c>
      <c r="S239" s="91"/>
      <c r="T239" s="90" t="str">
        <f>IFERROR(IF($C239="","",VLOOKUP($C239,'[1]Paramètres Articles'!$B:$H,7,FALSE)),"Non Trouvé")</f>
        <v>Non Trouvé</v>
      </c>
      <c r="U239" s="93"/>
      <c r="V239" s="90" t="str">
        <f t="shared" si="138"/>
        <v/>
      </c>
      <c r="W239" s="91"/>
      <c r="X239" s="90" t="str">
        <f t="shared" si="139"/>
        <v/>
      </c>
      <c r="Y239" s="91"/>
      <c r="Z239" s="90" t="str">
        <f t="shared" si="135"/>
        <v>Non Trouvé</v>
      </c>
      <c r="AB239" s="94">
        <f>AB237</f>
        <v>0</v>
      </c>
      <c r="AC239" s="94">
        <f>AC237</f>
        <v>0.17</v>
      </c>
      <c r="AD239" s="90">
        <f t="shared" si="142"/>
        <v>0</v>
      </c>
      <c r="AG239" s="94">
        <f>AG237</f>
        <v>0</v>
      </c>
      <c r="AH239" s="94">
        <f>AH237</f>
        <v>0.13</v>
      </c>
      <c r="AI239" s="90">
        <f t="shared" si="143"/>
        <v>0</v>
      </c>
      <c r="AL239" s="94">
        <f>AL237</f>
        <v>0</v>
      </c>
      <c r="AM239" s="94">
        <f>AM237</f>
        <v>0.08</v>
      </c>
      <c r="AN239" s="90">
        <f t="shared" si="144"/>
        <v>0</v>
      </c>
      <c r="AQ239" s="94">
        <f>AQ237</f>
        <v>0</v>
      </c>
      <c r="AR239" s="94">
        <f>AR237</f>
        <v>0.05</v>
      </c>
      <c r="AS239" s="90">
        <f t="shared" si="145"/>
        <v>0</v>
      </c>
      <c r="AV239" s="94">
        <f>AV237</f>
        <v>0</v>
      </c>
      <c r="AW239" s="94">
        <f>AW237</f>
        <v>0.32500000000000001</v>
      </c>
      <c r="AX239" s="90">
        <f t="shared" si="146"/>
        <v>0</v>
      </c>
      <c r="BA239" s="94">
        <f>BA237</f>
        <v>0</v>
      </c>
      <c r="BB239" s="94">
        <f>BB237</f>
        <v>0.29499999999999998</v>
      </c>
      <c r="BC239" s="90">
        <f t="shared" si="147"/>
        <v>0</v>
      </c>
      <c r="BF239" s="94">
        <f>BF237</f>
        <v>0</v>
      </c>
      <c r="BG239" s="94">
        <f>BG237</f>
        <v>0.27500000000000002</v>
      </c>
      <c r="BH239" s="90">
        <f t="shared" si="148"/>
        <v>0</v>
      </c>
      <c r="BK239" s="94">
        <f>BK237</f>
        <v>0</v>
      </c>
      <c r="BL239" s="94">
        <f>BL237</f>
        <v>0.245</v>
      </c>
      <c r="BM239" s="90">
        <f t="shared" si="149"/>
        <v>0</v>
      </c>
      <c r="BP239" s="94">
        <f>BP237</f>
        <v>0</v>
      </c>
      <c r="BQ239" s="94">
        <f>BQ237</f>
        <v>0.22500000000000001</v>
      </c>
      <c r="BR239" s="90">
        <f t="shared" si="150"/>
        <v>0</v>
      </c>
      <c r="BU239" s="94">
        <f>BU237</f>
        <v>0</v>
      </c>
      <c r="BV239" s="94">
        <f>BV237</f>
        <v>0.17499999999999999</v>
      </c>
      <c r="BW239" s="90">
        <f t="shared" si="151"/>
        <v>0</v>
      </c>
      <c r="BZ239" s="94">
        <f>BZ237</f>
        <v>0</v>
      </c>
      <c r="CA239" s="94">
        <f>CA237</f>
        <v>0.15</v>
      </c>
      <c r="CB239" s="90">
        <f t="shared" si="152"/>
        <v>0</v>
      </c>
      <c r="CE239" s="95"/>
      <c r="CF239" s="97"/>
      <c r="CG239" s="97" t="s">
        <v>103</v>
      </c>
      <c r="CH239" s="134">
        <f>IFERROR(CH237*CH238,0)</f>
        <v>0</v>
      </c>
      <c r="CI239" s="98"/>
      <c r="CK239" s="99">
        <f>IFERROR(IF(F239='[1]Paramètres Généraux'!$K$12,ROUNDUP((REGENERANTS!H239*REGENERANTS!$CF$221)*'[1]Paramètres Généraux'!$M$12,-1),REGENERANTS!H239*REGENERANTS!$CF$221),"nd")</f>
        <v>0</v>
      </c>
      <c r="CN239" s="100"/>
      <c r="CO239" s="101"/>
      <c r="CP239" s="101"/>
      <c r="CQ239" s="101"/>
      <c r="CR239" s="101"/>
      <c r="CS239" s="171"/>
      <c r="CT239" s="172"/>
      <c r="CU239" s="101"/>
      <c r="CV239" s="171"/>
      <c r="CW239" s="106"/>
      <c r="CX239" s="107"/>
      <c r="CY239" s="106"/>
      <c r="CZ239" s="104"/>
      <c r="DA239" s="107"/>
      <c r="DB239" s="106"/>
      <c r="DC239" s="104"/>
      <c r="DD239" s="107"/>
      <c r="DE239" s="106"/>
      <c r="DF239" s="104"/>
      <c r="DG239" s="104"/>
      <c r="DH239" s="104"/>
      <c r="DI239" s="104"/>
      <c r="DJ239" s="104"/>
      <c r="DK239" s="104"/>
      <c r="DL239" s="104"/>
      <c r="DM239" s="104"/>
      <c r="DN239" s="104"/>
      <c r="DO239" s="107"/>
      <c r="DP239" s="106"/>
      <c r="DQ239" s="20">
        <f t="shared" si="136"/>
        <v>0</v>
      </c>
      <c r="DR239" s="20">
        <f t="shared" si="137"/>
        <v>0</v>
      </c>
      <c r="DS239" s="20">
        <f>IFERROR((IF(AND($F239="Produit Vente",CO239&gt;0),VLOOKUP($C239,'[1]Paramètres Articles'!$B:$H,7,FALSE)*$CO239)*(1-20%)),0)</f>
        <v>0</v>
      </c>
      <c r="DT239" s="20">
        <f>IFERROR((IF(AND($F239="Produit Vente",DR239&gt;0),VLOOKUP($C239,'[1]Paramètres Articles'!$B:$H,6,FALSE)*$DR239)*(1-15%)),0)</f>
        <v>0</v>
      </c>
    </row>
    <row r="240" spans="2:124" ht="12.95" hidden="1" customHeight="1" outlineLevel="1">
      <c r="B240" s="1">
        <f>IF(C240="",0,COUNTIFS($B$22:B239,"&gt;"&amp;0)+1)</f>
        <v>99</v>
      </c>
      <c r="C240" s="85">
        <v>3020720</v>
      </c>
      <c r="D240" s="86" t="str">
        <f>IFERROR(IF($C240="","",VLOOKUP($C240,'[1]Paramètres Articles'!$B:$G,2,FALSE)),"Non Trouvé")</f>
        <v>Testeur - Crème de Jour - Régénérant Intensif - 40ml - 15 % comprise</v>
      </c>
      <c r="E240" s="87">
        <f>IFERROR(IF($C240="","",_xlfn.XLOOKUP(REGENERANTS!$C240,'[1]New Base PA'!$F:$F,'[1]New Base PA'!$D:$D,"Not Found",0)),"Non Trouvé")</f>
        <v>4020829103207</v>
      </c>
      <c r="F240" s="88" t="s">
        <v>96</v>
      </c>
      <c r="H240" s="101">
        <v>1</v>
      </c>
      <c r="J240" s="90">
        <f>IFERROR(IF($C240="","",VLOOKUP($C240,'[1]New Base PA'!$F:$J,5,FALSE)),"Non Trouvé")</f>
        <v>12.59</v>
      </c>
      <c r="K240" s="131">
        <f t="shared" si="140"/>
        <v>12.59</v>
      </c>
      <c r="L240" s="132"/>
      <c r="M240" s="90">
        <f>IFERROR(IF(AND($F240="Produit Vente",H240&gt;0),VLOOKUP($C240,'[1]Paramètres Articles'!$B:$G,6,FALSE),0),"Non Trouvé")</f>
        <v>0</v>
      </c>
      <c r="N240" s="90">
        <f t="shared" si="141"/>
        <v>0</v>
      </c>
      <c r="P240" s="92"/>
      <c r="R240" s="90">
        <f t="shared" si="134"/>
        <v>0</v>
      </c>
      <c r="S240" s="91"/>
      <c r="T240" s="90" t="str">
        <f>IFERROR(IF($C240="","",VLOOKUP($C240,'[1]Paramètres Articles'!$B:$H,7,FALSE)),"Non Trouvé")</f>
        <v>Non Trouvé</v>
      </c>
      <c r="U240" s="93"/>
      <c r="V240" s="90" t="str">
        <f t="shared" si="138"/>
        <v/>
      </c>
      <c r="W240" s="91"/>
      <c r="X240" s="90" t="str">
        <f t="shared" si="139"/>
        <v/>
      </c>
      <c r="Y240" s="91"/>
      <c r="Z240" s="90" t="str">
        <f t="shared" si="135"/>
        <v>Non Trouvé</v>
      </c>
      <c r="AB240" s="94">
        <f>AB239</f>
        <v>0</v>
      </c>
      <c r="AC240" s="94">
        <f>AC239</f>
        <v>0.17</v>
      </c>
      <c r="AD240" s="90">
        <f t="shared" si="142"/>
        <v>0</v>
      </c>
      <c r="AG240" s="94">
        <f>AG239</f>
        <v>0</v>
      </c>
      <c r="AH240" s="94">
        <f>AH239</f>
        <v>0.13</v>
      </c>
      <c r="AI240" s="90">
        <f t="shared" si="143"/>
        <v>0</v>
      </c>
      <c r="AL240" s="94">
        <f>AL239</f>
        <v>0</v>
      </c>
      <c r="AM240" s="94">
        <f>AM239</f>
        <v>0.08</v>
      </c>
      <c r="AN240" s="90">
        <f t="shared" si="144"/>
        <v>0</v>
      </c>
      <c r="AQ240" s="94">
        <f>AQ239</f>
        <v>0</v>
      </c>
      <c r="AR240" s="94">
        <f>AR239</f>
        <v>0.05</v>
      </c>
      <c r="AS240" s="90">
        <f t="shared" si="145"/>
        <v>0</v>
      </c>
      <c r="AV240" s="94">
        <f>AV239</f>
        <v>0</v>
      </c>
      <c r="AW240" s="94">
        <f>AW239</f>
        <v>0.32500000000000001</v>
      </c>
      <c r="AX240" s="90">
        <f t="shared" si="146"/>
        <v>0</v>
      </c>
      <c r="BA240" s="94">
        <f>BA239</f>
        <v>0</v>
      </c>
      <c r="BB240" s="94">
        <f>BB239</f>
        <v>0.29499999999999998</v>
      </c>
      <c r="BC240" s="90">
        <f t="shared" si="147"/>
        <v>0</v>
      </c>
      <c r="BF240" s="94">
        <f>BF239</f>
        <v>0</v>
      </c>
      <c r="BG240" s="94">
        <f>BG239</f>
        <v>0.27500000000000002</v>
      </c>
      <c r="BH240" s="90">
        <f t="shared" si="148"/>
        <v>0</v>
      </c>
      <c r="BK240" s="94">
        <f>BK239</f>
        <v>0</v>
      </c>
      <c r="BL240" s="94">
        <f>BL239</f>
        <v>0.245</v>
      </c>
      <c r="BM240" s="90">
        <f t="shared" si="149"/>
        <v>0</v>
      </c>
      <c r="BP240" s="94">
        <f>BP239</f>
        <v>0</v>
      </c>
      <c r="BQ240" s="94">
        <f>BQ239</f>
        <v>0.22500000000000001</v>
      </c>
      <c r="BR240" s="90">
        <f t="shared" si="150"/>
        <v>0</v>
      </c>
      <c r="BU240" s="94">
        <f>BU239</f>
        <v>0</v>
      </c>
      <c r="BV240" s="94">
        <f>BV239</f>
        <v>0.17499999999999999</v>
      </c>
      <c r="BW240" s="90">
        <f t="shared" si="151"/>
        <v>0</v>
      </c>
      <c r="BZ240" s="94">
        <f>BZ239</f>
        <v>0</v>
      </c>
      <c r="CA240" s="94">
        <f>CA239</f>
        <v>0.15</v>
      </c>
      <c r="CB240" s="90">
        <f t="shared" si="152"/>
        <v>0</v>
      </c>
      <c r="CE240" s="95"/>
      <c r="CF240" s="133"/>
      <c r="CG240" s="96"/>
      <c r="CH240" s="96"/>
      <c r="CI240" s="98"/>
      <c r="CK240" s="99">
        <f>IFERROR(IF(F240='[1]Paramètres Généraux'!$K$12,ROUNDUP((REGENERANTS!H240*REGENERANTS!$CF$221)*'[1]Paramètres Généraux'!$M$12,-1),REGENERANTS!H240*REGENERANTS!$CF$221),"nd")</f>
        <v>0</v>
      </c>
      <c r="CN240" s="100"/>
      <c r="CO240" s="101"/>
      <c r="CP240" s="101"/>
      <c r="CQ240" s="101"/>
      <c r="CR240" s="101"/>
      <c r="CS240" s="171"/>
      <c r="CT240" s="172"/>
      <c r="CU240" s="101"/>
      <c r="CV240" s="171"/>
      <c r="CW240" s="106"/>
      <c r="CX240" s="107"/>
      <c r="CY240" s="106"/>
      <c r="CZ240" s="104"/>
      <c r="DA240" s="107"/>
      <c r="DB240" s="106"/>
      <c r="DC240" s="104"/>
      <c r="DD240" s="107"/>
      <c r="DE240" s="106"/>
      <c r="DF240" s="104"/>
      <c r="DG240" s="104"/>
      <c r="DH240" s="104"/>
      <c r="DI240" s="104"/>
      <c r="DJ240" s="104"/>
      <c r="DK240" s="104"/>
      <c r="DL240" s="104"/>
      <c r="DM240" s="104"/>
      <c r="DN240" s="104"/>
      <c r="DO240" s="107"/>
      <c r="DP240" s="106"/>
      <c r="DQ240" s="20">
        <f t="shared" si="136"/>
        <v>0</v>
      </c>
      <c r="DR240" s="20">
        <f t="shared" si="137"/>
        <v>0</v>
      </c>
      <c r="DS240" s="20">
        <f>IFERROR((IF(AND($F240="Produit Vente",CO240&gt;0),VLOOKUP($C240,'[1]Paramètres Articles'!$B:$H,7,FALSE)*$CO240)*(1-20%)),0)</f>
        <v>0</v>
      </c>
      <c r="DT240" s="20">
        <f>IFERROR((IF(AND($F240="Produit Vente",DR240&gt;0),VLOOKUP($C240,'[1]Paramètres Articles'!$B:$H,6,FALSE)*$DR240)*(1-15%)),0)</f>
        <v>0</v>
      </c>
    </row>
    <row r="241" spans="2:124" ht="12.95" hidden="1" customHeight="1" outlineLevel="1">
      <c r="B241" s="1">
        <f>IF(C241="",0,COUNTIFS($B$22:B240,"&gt;"&amp;0)+1)</f>
        <v>100</v>
      </c>
      <c r="C241" s="85">
        <v>3020718</v>
      </c>
      <c r="D241" s="86" t="str">
        <f>IFERROR(IF($C241="","",VLOOKUP($C241,'[1]Paramètres Articles'!$B:$G,2,FALSE)),"Non Trouvé")</f>
        <v>Testeur - Sérum de Nuit - Régénérant Intensif 30ml - 15% comprise</v>
      </c>
      <c r="E241" s="87">
        <f>IFERROR(IF($C241="","",_xlfn.XLOOKUP(REGENERANTS!$C241,'[1]New Base PA'!$F:$F,'[1]New Base PA'!$D:$D,"Not Found",0)),"Non Trouvé")</f>
        <v>4020829101142</v>
      </c>
      <c r="F241" s="88" t="s">
        <v>96</v>
      </c>
      <c r="H241" s="101">
        <v>1</v>
      </c>
      <c r="J241" s="90">
        <f>IFERROR(IF($C241="","",VLOOKUP($C241,'[1]New Base PA'!$F:$J,5,FALSE)),"Non Trouvé")</f>
        <v>13.39</v>
      </c>
      <c r="K241" s="131">
        <f t="shared" si="140"/>
        <v>13.39</v>
      </c>
      <c r="L241" s="132"/>
      <c r="M241" s="90">
        <f>IFERROR(IF(AND($F241="Produit Vente",H241&gt;0),VLOOKUP($C241,'[1]Paramètres Articles'!$B:$G,6,FALSE),0),"Non Trouvé")</f>
        <v>0</v>
      </c>
      <c r="N241" s="90">
        <f t="shared" si="141"/>
        <v>0</v>
      </c>
      <c r="P241" s="92"/>
      <c r="R241" s="90">
        <f t="shared" si="134"/>
        <v>0</v>
      </c>
      <c r="S241" s="91"/>
      <c r="T241" s="90" t="str">
        <f>IFERROR(IF($C241="","",VLOOKUP($C241,'[1]Paramètres Articles'!$B:$H,7,FALSE)),"Non Trouvé")</f>
        <v>Non Trouvé</v>
      </c>
      <c r="U241" s="93"/>
      <c r="V241" s="90" t="str">
        <f t="shared" si="138"/>
        <v/>
      </c>
      <c r="W241" s="91"/>
      <c r="X241" s="90" t="str">
        <f t="shared" si="139"/>
        <v/>
      </c>
      <c r="Y241" s="91"/>
      <c r="Z241" s="90" t="str">
        <f t="shared" si="135"/>
        <v>Non Trouvé</v>
      </c>
      <c r="AB241" s="94">
        <f>AB239</f>
        <v>0</v>
      </c>
      <c r="AC241" s="94">
        <f>AC239</f>
        <v>0.17</v>
      </c>
      <c r="AD241" s="90">
        <f t="shared" si="142"/>
        <v>0</v>
      </c>
      <c r="AG241" s="94">
        <f>AG239</f>
        <v>0</v>
      </c>
      <c r="AH241" s="94">
        <f>AH239</f>
        <v>0.13</v>
      </c>
      <c r="AI241" s="90">
        <f t="shared" si="143"/>
        <v>0</v>
      </c>
      <c r="AL241" s="94">
        <f>AL239</f>
        <v>0</v>
      </c>
      <c r="AM241" s="94">
        <f>AM239</f>
        <v>0.08</v>
      </c>
      <c r="AN241" s="90">
        <f t="shared" si="144"/>
        <v>0</v>
      </c>
      <c r="AQ241" s="94">
        <f>AQ239</f>
        <v>0</v>
      </c>
      <c r="AR241" s="94">
        <f>AR239</f>
        <v>0.05</v>
      </c>
      <c r="AS241" s="90">
        <f t="shared" si="145"/>
        <v>0</v>
      </c>
      <c r="AV241" s="94">
        <f>AV239</f>
        <v>0</v>
      </c>
      <c r="AW241" s="94">
        <f>AW239</f>
        <v>0.32500000000000001</v>
      </c>
      <c r="AX241" s="90">
        <f t="shared" si="146"/>
        <v>0</v>
      </c>
      <c r="BA241" s="94">
        <f>BA239</f>
        <v>0</v>
      </c>
      <c r="BB241" s="94">
        <f>BB239</f>
        <v>0.29499999999999998</v>
      </c>
      <c r="BC241" s="90">
        <f t="shared" si="147"/>
        <v>0</v>
      </c>
      <c r="BF241" s="94">
        <f>BF239</f>
        <v>0</v>
      </c>
      <c r="BG241" s="94">
        <f>BG239</f>
        <v>0.27500000000000002</v>
      </c>
      <c r="BH241" s="90">
        <f t="shared" si="148"/>
        <v>0</v>
      </c>
      <c r="BK241" s="94">
        <f>BK239</f>
        <v>0</v>
      </c>
      <c r="BL241" s="94">
        <f>BL239</f>
        <v>0.245</v>
      </c>
      <c r="BM241" s="90">
        <f t="shared" si="149"/>
        <v>0</v>
      </c>
      <c r="BP241" s="94">
        <f>BP239</f>
        <v>0</v>
      </c>
      <c r="BQ241" s="94">
        <f>BQ239</f>
        <v>0.22500000000000001</v>
      </c>
      <c r="BR241" s="90">
        <f t="shared" si="150"/>
        <v>0</v>
      </c>
      <c r="BU241" s="94">
        <f>BU239</f>
        <v>0</v>
      </c>
      <c r="BV241" s="94">
        <f>BV239</f>
        <v>0.17499999999999999</v>
      </c>
      <c r="BW241" s="90">
        <f t="shared" si="151"/>
        <v>0</v>
      </c>
      <c r="BZ241" s="94">
        <f>BZ239</f>
        <v>0</v>
      </c>
      <c r="CA241" s="94">
        <f>CA239</f>
        <v>0.15</v>
      </c>
      <c r="CB241" s="90">
        <f t="shared" si="152"/>
        <v>0</v>
      </c>
      <c r="CE241" s="95"/>
      <c r="CF241" s="96"/>
      <c r="CG241" s="128" t="s">
        <v>7</v>
      </c>
      <c r="CH241" s="96"/>
      <c r="CI241" s="98"/>
      <c r="CK241" s="99">
        <f>IFERROR(IF(F241='[1]Paramètres Généraux'!$K$12,ROUNDUP((REGENERANTS!H241*REGENERANTS!$CF$221)*'[1]Paramètres Généraux'!$M$12,-1),REGENERANTS!H241*REGENERANTS!$CF$221),"nd")</f>
        <v>0</v>
      </c>
      <c r="CN241" s="100"/>
      <c r="CO241" s="101"/>
      <c r="CP241" s="101"/>
      <c r="CQ241" s="101"/>
      <c r="CR241" s="101"/>
      <c r="CS241" s="171"/>
      <c r="CT241" s="172"/>
      <c r="CU241" s="101"/>
      <c r="CV241" s="171"/>
      <c r="CW241" s="106"/>
      <c r="CX241" s="107"/>
      <c r="CY241" s="106"/>
      <c r="CZ241" s="104"/>
      <c r="DA241" s="107"/>
      <c r="DB241" s="106"/>
      <c r="DC241" s="104"/>
      <c r="DD241" s="107"/>
      <c r="DE241" s="106"/>
      <c r="DF241" s="104"/>
      <c r="DG241" s="104"/>
      <c r="DH241" s="104"/>
      <c r="DI241" s="104"/>
      <c r="DJ241" s="104"/>
      <c r="DK241" s="104"/>
      <c r="DL241" s="104"/>
      <c r="DM241" s="104"/>
      <c r="DN241" s="104"/>
      <c r="DO241" s="107"/>
      <c r="DP241" s="106"/>
      <c r="DQ241" s="20">
        <f t="shared" si="136"/>
        <v>0</v>
      </c>
      <c r="DR241" s="20">
        <f t="shared" si="137"/>
        <v>0</v>
      </c>
      <c r="DS241" s="20">
        <f>IFERROR((IF(AND($F241="Produit Vente",CO241&gt;0),VLOOKUP($C241,'[1]Paramètres Articles'!$B:$H,7,FALSE)*$CO241)*(1-20%)),0)</f>
        <v>0</v>
      </c>
      <c r="DT241" s="20">
        <f>IFERROR((IF(AND($F241="Produit Vente",DR241&gt;0),VLOOKUP($C241,'[1]Paramètres Articles'!$B:$H,6,FALSE)*$DR241)*(1-15%)),0)</f>
        <v>0</v>
      </c>
    </row>
    <row r="242" spans="2:124" ht="12.95" hidden="1" customHeight="1" outlineLevel="1">
      <c r="B242" s="1">
        <f>IF(C242="",0,COUNTIFS($B$22:B241,"&gt;"&amp;0)+1)</f>
        <v>101</v>
      </c>
      <c r="C242" s="85" t="s">
        <v>112</v>
      </c>
      <c r="D242" s="86" t="str">
        <f>IFERROR(IF($C242="","",VLOOKUP($C242,'[1]Paramètres Articles'!$B:$G,2,FALSE)),"Non Trouvé")</f>
        <v>Non Trouvé</v>
      </c>
      <c r="E242" s="87" t="str">
        <f>IFERROR(IF($C242="","",_xlfn.XLOOKUP(REGENERANTS!$C242,'[1]New Base PA'!$F:$F,'[1]New Base PA'!$D:$D,"Not Found",0)),"Non Trouvé")</f>
        <v>Not Found</v>
      </c>
      <c r="F242" s="88" t="s">
        <v>100</v>
      </c>
      <c r="H242" s="101">
        <v>0</v>
      </c>
      <c r="J242" s="90" t="str">
        <f>IFERROR(IF($C242="","",VLOOKUP($C242,'[1]New Base PA'!$F:$J,5,FALSE)),"Non Trouvé")</f>
        <v>Non Trouvé</v>
      </c>
      <c r="K242" s="131" t="str">
        <f t="shared" si="140"/>
        <v>Non Trouvé</v>
      </c>
      <c r="L242" s="132"/>
      <c r="M242" s="90">
        <f>IFERROR(IF(AND($F242="Produit Vente",H242&gt;0),VLOOKUP($C242,'[1]Paramètres Articles'!$B:$G,6,FALSE),0),"Non Trouvé")</f>
        <v>0</v>
      </c>
      <c r="N242" s="90">
        <f t="shared" si="141"/>
        <v>0</v>
      </c>
      <c r="P242" s="92"/>
      <c r="R242" s="90">
        <f t="shared" si="134"/>
        <v>0</v>
      </c>
      <c r="S242" s="91"/>
      <c r="T242" s="90" t="str">
        <f>IFERROR(IF($C242="","",VLOOKUP($C242,'[1]Paramètres Articles'!$B:$H,7,FALSE)),"Non Trouvé")</f>
        <v>Non Trouvé</v>
      </c>
      <c r="U242" s="93"/>
      <c r="V242" s="90" t="str">
        <f t="shared" si="138"/>
        <v/>
      </c>
      <c r="W242" s="91"/>
      <c r="X242" s="90" t="str">
        <f t="shared" si="139"/>
        <v/>
      </c>
      <c r="Y242" s="91"/>
      <c r="Z242" s="90" t="str">
        <f t="shared" si="135"/>
        <v>Non Trouvé</v>
      </c>
      <c r="AB242" s="94">
        <f>AB241</f>
        <v>0</v>
      </c>
      <c r="AC242" s="94">
        <f>AC241</f>
        <v>0.17</v>
      </c>
      <c r="AD242" s="90">
        <f t="shared" si="142"/>
        <v>0</v>
      </c>
      <c r="AG242" s="94">
        <f>AG241</f>
        <v>0</v>
      </c>
      <c r="AH242" s="94">
        <f>AH241</f>
        <v>0.13</v>
      </c>
      <c r="AI242" s="90">
        <f t="shared" si="143"/>
        <v>0</v>
      </c>
      <c r="AL242" s="94">
        <f>AL241</f>
        <v>0</v>
      </c>
      <c r="AM242" s="94">
        <f>AM241</f>
        <v>0.08</v>
      </c>
      <c r="AN242" s="90">
        <f t="shared" si="144"/>
        <v>0</v>
      </c>
      <c r="AQ242" s="94">
        <f>AQ241</f>
        <v>0</v>
      </c>
      <c r="AR242" s="94">
        <f>AR241</f>
        <v>0.05</v>
      </c>
      <c r="AS242" s="90">
        <f t="shared" si="145"/>
        <v>0</v>
      </c>
      <c r="AV242" s="94">
        <f>AV241</f>
        <v>0</v>
      </c>
      <c r="AW242" s="94">
        <f>AW241</f>
        <v>0.32500000000000001</v>
      </c>
      <c r="AX242" s="90">
        <f t="shared" si="146"/>
        <v>0</v>
      </c>
      <c r="BA242" s="94">
        <f>BA241</f>
        <v>0</v>
      </c>
      <c r="BB242" s="94">
        <f>BB241</f>
        <v>0.29499999999999998</v>
      </c>
      <c r="BC242" s="90">
        <f t="shared" si="147"/>
        <v>0</v>
      </c>
      <c r="BF242" s="94">
        <f>BF241</f>
        <v>0</v>
      </c>
      <c r="BG242" s="94">
        <f>BG241</f>
        <v>0.27500000000000002</v>
      </c>
      <c r="BH242" s="90">
        <f t="shared" si="148"/>
        <v>0</v>
      </c>
      <c r="BK242" s="94">
        <f>BK241</f>
        <v>0</v>
      </c>
      <c r="BL242" s="94">
        <f>BL241</f>
        <v>0.245</v>
      </c>
      <c r="BM242" s="90">
        <f t="shared" si="149"/>
        <v>0</v>
      </c>
      <c r="BP242" s="94">
        <f>BP241</f>
        <v>0</v>
      </c>
      <c r="BQ242" s="94">
        <f>BQ241</f>
        <v>0.22500000000000001</v>
      </c>
      <c r="BR242" s="90">
        <f t="shared" si="150"/>
        <v>0</v>
      </c>
      <c r="BU242" s="94">
        <f>BU241</f>
        <v>0</v>
      </c>
      <c r="BV242" s="94">
        <f>BV241</f>
        <v>0.17499999999999999</v>
      </c>
      <c r="BW242" s="90">
        <f t="shared" si="151"/>
        <v>0</v>
      </c>
      <c r="BZ242" s="94">
        <f>BZ241</f>
        <v>0</v>
      </c>
      <c r="CA242" s="94">
        <f>CA241</f>
        <v>0.15</v>
      </c>
      <c r="CB242" s="90">
        <f t="shared" si="152"/>
        <v>0</v>
      </c>
      <c r="CE242" s="95"/>
      <c r="CF242" s="96"/>
      <c r="CG242" s="97" t="s">
        <v>0</v>
      </c>
      <c r="CH242" s="133">
        <f>SUMIFS($AV221:$BX221,$AV218:$BX218,CG242)</f>
        <v>0</v>
      </c>
      <c r="CI242" s="98"/>
      <c r="CK242" s="99">
        <f>IFERROR(IF(F242='[1]Paramètres Généraux'!$K$12,ROUNDUP((REGENERANTS!H242*REGENERANTS!$CF$221)*'[1]Paramètres Généraux'!$M$12,-1),REGENERANTS!H242*REGENERANTS!$CF$221),"nd")</f>
        <v>0</v>
      </c>
      <c r="CN242" s="146"/>
      <c r="CO242" s="147"/>
      <c r="CP242" s="147"/>
      <c r="CQ242" s="147"/>
      <c r="CR242" s="147"/>
      <c r="CS242" s="173"/>
      <c r="CT242" s="174"/>
      <c r="CU242" s="147"/>
      <c r="CV242" s="173"/>
      <c r="CW242" s="150"/>
      <c r="CX242" s="149"/>
      <c r="CY242" s="150"/>
      <c r="CZ242" s="136"/>
      <c r="DA242" s="149"/>
      <c r="DB242" s="150"/>
      <c r="DC242" s="136"/>
      <c r="DD242" s="149"/>
      <c r="DE242" s="150"/>
      <c r="DF242" s="136"/>
      <c r="DG242" s="136"/>
      <c r="DH242" s="136"/>
      <c r="DI242" s="136"/>
      <c r="DJ242" s="136"/>
      <c r="DK242" s="136"/>
      <c r="DL242" s="136"/>
      <c r="DM242" s="136"/>
      <c r="DN242" s="136"/>
      <c r="DO242" s="149"/>
      <c r="DP242" s="150"/>
      <c r="DQ242" s="20">
        <f t="shared" si="136"/>
        <v>0</v>
      </c>
      <c r="DR242" s="20">
        <f t="shared" si="137"/>
        <v>0</v>
      </c>
      <c r="DS242" s="20">
        <f>IFERROR((IF(AND($F242="Produit Vente",CO242&gt;0),VLOOKUP($C242,'[1]Paramètres Articles'!$B:$H,7,FALSE)*$CO242)*(1-20%)),0)</f>
        <v>0</v>
      </c>
      <c r="DT242" s="20">
        <f>IFERROR((IF(AND($F242="Produit Vente",DR242&gt;0),VLOOKUP($C242,'[1]Paramètres Articles'!$B:$H,6,FALSE)*$DR242)*(1-15%)),0)</f>
        <v>0</v>
      </c>
    </row>
    <row r="243" spans="2:124" ht="12.95" hidden="1" customHeight="1" outlineLevel="1">
      <c r="B243" s="1">
        <f>IF(C243="",0,COUNTIFS($B$22:B242,"&gt;"&amp;0)+1)</f>
        <v>102</v>
      </c>
      <c r="C243" s="85">
        <v>1010116</v>
      </c>
      <c r="D243" s="86" t="str">
        <f>IFERROR(IF($C243="","",VLOOKUP($C243,'[1]Paramètres Articles'!$B:$G,2,FALSE)),"Non Trouvé")</f>
        <v>Baume Lacté Nettoyant - 75 ml</v>
      </c>
      <c r="E243" s="87">
        <f>IFERROR(IF($C243="","",_xlfn.XLOOKUP(REGENERANTS!$C243,'[1]New Base PA'!$F:$F,'[1]New Base PA'!$D:$D,"Not Found",0)),"Non Trouvé")</f>
        <v>4020829094048</v>
      </c>
      <c r="F243" s="88" t="s">
        <v>93</v>
      </c>
      <c r="H243" s="101">
        <v>12</v>
      </c>
      <c r="J243" s="90">
        <f>IFERROR(IF($C243="","",VLOOKUP($C243,'[1]New Base PA'!$F:$J,5,FALSE)),"Non Trouvé")</f>
        <v>4.8371999999999993</v>
      </c>
      <c r="K243" s="131">
        <f t="shared" si="140"/>
        <v>58.046399999999991</v>
      </c>
      <c r="L243" s="132"/>
      <c r="M243" s="90">
        <f>IFERROR(IF(AND($F243="Produit Vente",H243&gt;0),VLOOKUP($C243,'[1]Paramètres Articles'!$B:$G,6,FALSE),0),"Non Trouvé")</f>
        <v>0</v>
      </c>
      <c r="N243" s="90">
        <f t="shared" si="141"/>
        <v>0</v>
      </c>
      <c r="P243" s="92"/>
      <c r="R243" s="90">
        <f t="shared" si="134"/>
        <v>0</v>
      </c>
      <c r="S243" s="91"/>
      <c r="T243" s="90">
        <f>IFERROR(IF($C243="","",VLOOKUP($C243,'[1]Paramètres Articles'!$B:$H,7,FALSE)),"Non Trouvé")</f>
        <v>22.003800000000002</v>
      </c>
      <c r="U243" s="93"/>
      <c r="V243" s="90" t="str">
        <f t="shared" si="138"/>
        <v/>
      </c>
      <c r="W243" s="91"/>
      <c r="X243" s="90" t="str">
        <f t="shared" si="139"/>
        <v/>
      </c>
      <c r="Y243" s="91"/>
      <c r="Z243" s="90">
        <f t="shared" si="135"/>
        <v>264.04560000000004</v>
      </c>
      <c r="AB243" s="94">
        <f>AB241</f>
        <v>0</v>
      </c>
      <c r="AC243" s="94">
        <f>AC241</f>
        <v>0.17</v>
      </c>
      <c r="AD243" s="90">
        <f t="shared" si="142"/>
        <v>0</v>
      </c>
      <c r="AG243" s="94">
        <f>AG241</f>
        <v>0</v>
      </c>
      <c r="AH243" s="94">
        <f>AH241</f>
        <v>0.13</v>
      </c>
      <c r="AI243" s="90">
        <f t="shared" si="143"/>
        <v>0</v>
      </c>
      <c r="AL243" s="94">
        <f>AL241</f>
        <v>0</v>
      </c>
      <c r="AM243" s="94">
        <f>AM241</f>
        <v>0.08</v>
      </c>
      <c r="AN243" s="90">
        <f t="shared" si="144"/>
        <v>0</v>
      </c>
      <c r="AQ243" s="94">
        <f>AQ241</f>
        <v>0</v>
      </c>
      <c r="AR243" s="94">
        <f>AR241</f>
        <v>0.05</v>
      </c>
      <c r="AS243" s="90">
        <f t="shared" si="145"/>
        <v>0</v>
      </c>
      <c r="AV243" s="94">
        <f>AV241</f>
        <v>0</v>
      </c>
      <c r="AW243" s="94">
        <f>AW241</f>
        <v>0.32500000000000001</v>
      </c>
      <c r="AX243" s="90">
        <f t="shared" si="146"/>
        <v>0</v>
      </c>
      <c r="BA243" s="94">
        <f>BA241</f>
        <v>0</v>
      </c>
      <c r="BB243" s="94">
        <f>BB241</f>
        <v>0.29499999999999998</v>
      </c>
      <c r="BC243" s="90">
        <f t="shared" si="147"/>
        <v>0</v>
      </c>
      <c r="BF243" s="94">
        <f>BF241</f>
        <v>0</v>
      </c>
      <c r="BG243" s="94">
        <f>BG241</f>
        <v>0.27500000000000002</v>
      </c>
      <c r="BH243" s="90">
        <f t="shared" si="148"/>
        <v>0</v>
      </c>
      <c r="BK243" s="94">
        <f>BK241</f>
        <v>0</v>
      </c>
      <c r="BL243" s="94">
        <f>BL241</f>
        <v>0.245</v>
      </c>
      <c r="BM243" s="90">
        <f t="shared" si="149"/>
        <v>0</v>
      </c>
      <c r="BP243" s="94">
        <f>BP241</f>
        <v>0</v>
      </c>
      <c r="BQ243" s="94">
        <f>BQ241</f>
        <v>0.22500000000000001</v>
      </c>
      <c r="BR243" s="90">
        <f t="shared" si="150"/>
        <v>0</v>
      </c>
      <c r="BU243" s="94">
        <f>BU241</f>
        <v>0</v>
      </c>
      <c r="BV243" s="94">
        <f>BV241</f>
        <v>0.17499999999999999</v>
      </c>
      <c r="BW243" s="90">
        <f t="shared" si="151"/>
        <v>0</v>
      </c>
      <c r="BZ243" s="94">
        <f>BZ241</f>
        <v>0</v>
      </c>
      <c r="CA243" s="94">
        <f>CA241</f>
        <v>0.15</v>
      </c>
      <c r="CB243" s="90">
        <f t="shared" si="152"/>
        <v>0</v>
      </c>
      <c r="CE243" s="95"/>
      <c r="CF243" s="96"/>
      <c r="CG243" s="97" t="s">
        <v>1</v>
      </c>
      <c r="CH243" s="134">
        <f>SUMIFS($AV221:$BX221,$AV218:$BX218,CG243)</f>
        <v>0</v>
      </c>
      <c r="CI243" s="98"/>
      <c r="CK243" s="99">
        <f>IFERROR(IF(F243='[1]Paramètres Généraux'!$K$12,ROUNDUP((REGENERANTS!H243*REGENERANTS!$CF$221)*'[1]Paramètres Généraux'!$M$12,-1),REGENERANTS!H243*REGENERANTS!$CF$221),"nd")</f>
        <v>0</v>
      </c>
      <c r="CN243" s="146"/>
      <c r="CO243" s="147"/>
      <c r="CP243" s="147"/>
      <c r="CQ243" s="147"/>
      <c r="CR243" s="147"/>
      <c r="CS243" s="173"/>
      <c r="CT243" s="174"/>
      <c r="CU243" s="147"/>
      <c r="CV243" s="173"/>
      <c r="CW243" s="150"/>
      <c r="CX243" s="149"/>
      <c r="CY243" s="150"/>
      <c r="CZ243" s="136"/>
      <c r="DA243" s="149"/>
      <c r="DB243" s="150"/>
      <c r="DC243" s="136"/>
      <c r="DD243" s="149"/>
      <c r="DE243" s="150"/>
      <c r="DF243" s="136"/>
      <c r="DG243" s="136"/>
      <c r="DH243" s="136"/>
      <c r="DI243" s="136"/>
      <c r="DJ243" s="136"/>
      <c r="DK243" s="136"/>
      <c r="DL243" s="136"/>
      <c r="DM243" s="136"/>
      <c r="DN243" s="136"/>
      <c r="DO243" s="149"/>
      <c r="DP243" s="150"/>
      <c r="DQ243" s="20">
        <f t="shared" si="136"/>
        <v>0</v>
      </c>
      <c r="DR243" s="20">
        <f t="shared" si="137"/>
        <v>0</v>
      </c>
      <c r="DS243" s="20">
        <f>IFERROR((IF(AND($F243="Produit Vente",CO243&gt;0),VLOOKUP($C243,'[1]Paramètres Articles'!$B:$H,7,FALSE)*$CO243)*(1-20%)),0)</f>
        <v>0</v>
      </c>
      <c r="DT243" s="20">
        <f>IFERROR((IF(AND($F243="Produit Vente",DR243&gt;0),VLOOKUP($C243,'[1]Paramètres Articles'!$B:$H,6,FALSE)*$DR243)*(1-15%)),0)</f>
        <v>0</v>
      </c>
    </row>
    <row r="244" spans="2:124" ht="12.95" hidden="1" customHeight="1" outlineLevel="1">
      <c r="B244" s="1">
        <f>IF(C244="",0,COUNTIFS($B$22:B243,"&gt;"&amp;0)+1)</f>
        <v>0</v>
      </c>
      <c r="C244" s="85"/>
      <c r="D244" s="86" t="str">
        <f>IFERROR(IF($C244="","",VLOOKUP($C244,'[1]Paramètres Articles'!$B:$G,2,FALSE)),"Non Trouvé")</f>
        <v/>
      </c>
      <c r="E244" s="87" t="str">
        <f>IFERROR(IF($C244="","",_xlfn.XLOOKUP(REGENERANTS!$C244,'[1]New Base PA'!$F:$F,'[1]New Base PA'!$D:$D,"Not Found",0)),"Non Trouvé")</f>
        <v/>
      </c>
      <c r="F244" s="88"/>
      <c r="H244" s="101"/>
      <c r="J244" s="90" t="str">
        <f>IFERROR(IF($C244="","",VLOOKUP($C244,'[1]New Base PA'!$F:$J,5,FALSE)),"Non Trouvé")</f>
        <v/>
      </c>
      <c r="K244" s="131" t="str">
        <f t="shared" si="140"/>
        <v/>
      </c>
      <c r="L244" s="132"/>
      <c r="M244" s="90">
        <f>IFERROR(IF(AND($F244="Produit Vente",H244&gt;0),VLOOKUP($C244,'[1]Paramètres Articles'!$B:$G,6,FALSE),0),"Non Trouvé")</f>
        <v>0</v>
      </c>
      <c r="N244" s="90" t="str">
        <f t="shared" si="141"/>
        <v/>
      </c>
      <c r="P244" s="92"/>
      <c r="R244" s="90" t="str">
        <f t="shared" si="134"/>
        <v/>
      </c>
      <c r="S244" s="91"/>
      <c r="T244" s="90" t="str">
        <f>IFERROR(IF($C244="","",VLOOKUP($C244,'[1]Paramètres Articles'!$B:$H,7,FALSE)),"Non Trouvé")</f>
        <v/>
      </c>
      <c r="U244" s="93"/>
      <c r="V244" s="90" t="str">
        <f t="shared" si="138"/>
        <v/>
      </c>
      <c r="W244" s="91"/>
      <c r="X244" s="90" t="str">
        <f t="shared" si="139"/>
        <v/>
      </c>
      <c r="Y244" s="91"/>
      <c r="Z244" s="90">
        <f t="shared" si="135"/>
        <v>0</v>
      </c>
      <c r="AB244" s="94">
        <f>AB243</f>
        <v>0</v>
      </c>
      <c r="AC244" s="94">
        <f>AC243</f>
        <v>0.17</v>
      </c>
      <c r="AD244" s="90" t="str">
        <f t="shared" si="142"/>
        <v/>
      </c>
      <c r="AG244" s="94">
        <f>AG243</f>
        <v>0</v>
      </c>
      <c r="AH244" s="94">
        <f>AH243</f>
        <v>0.13</v>
      </c>
      <c r="AI244" s="90" t="str">
        <f t="shared" si="143"/>
        <v/>
      </c>
      <c r="AL244" s="94">
        <f>AL243</f>
        <v>0</v>
      </c>
      <c r="AM244" s="94">
        <f>AM243</f>
        <v>0.08</v>
      </c>
      <c r="AN244" s="90" t="str">
        <f t="shared" si="144"/>
        <v/>
      </c>
      <c r="AQ244" s="94">
        <f>AQ243</f>
        <v>0</v>
      </c>
      <c r="AR244" s="94">
        <f>AR243</f>
        <v>0.05</v>
      </c>
      <c r="AS244" s="90" t="str">
        <f t="shared" si="145"/>
        <v/>
      </c>
      <c r="AV244" s="94">
        <f>AV243</f>
        <v>0</v>
      </c>
      <c r="AW244" s="94">
        <f>AW243</f>
        <v>0.32500000000000001</v>
      </c>
      <c r="AX244" s="90" t="str">
        <f t="shared" si="146"/>
        <v/>
      </c>
      <c r="BA244" s="94">
        <f>BA243</f>
        <v>0</v>
      </c>
      <c r="BB244" s="94">
        <f>BB243</f>
        <v>0.29499999999999998</v>
      </c>
      <c r="BC244" s="90" t="str">
        <f t="shared" si="147"/>
        <v/>
      </c>
      <c r="BF244" s="94">
        <f>BF243</f>
        <v>0</v>
      </c>
      <c r="BG244" s="94">
        <f>BG243</f>
        <v>0.27500000000000002</v>
      </c>
      <c r="BH244" s="90" t="str">
        <f t="shared" si="148"/>
        <v/>
      </c>
      <c r="BK244" s="94">
        <f>BK243</f>
        <v>0</v>
      </c>
      <c r="BL244" s="94">
        <f>BL243</f>
        <v>0.245</v>
      </c>
      <c r="BM244" s="90" t="str">
        <f t="shared" si="149"/>
        <v/>
      </c>
      <c r="BP244" s="94">
        <f>BP243</f>
        <v>0</v>
      </c>
      <c r="BQ244" s="94">
        <f>BQ243</f>
        <v>0.22500000000000001</v>
      </c>
      <c r="BR244" s="90" t="str">
        <f t="shared" si="150"/>
        <v/>
      </c>
      <c r="BU244" s="94">
        <f>BU243</f>
        <v>0</v>
      </c>
      <c r="BV244" s="94">
        <f>BV243</f>
        <v>0.17499999999999999</v>
      </c>
      <c r="BW244" s="90" t="str">
        <f t="shared" si="151"/>
        <v/>
      </c>
      <c r="BZ244" s="94">
        <f>BZ243</f>
        <v>0</v>
      </c>
      <c r="CA244" s="94">
        <f>CA243</f>
        <v>0.15</v>
      </c>
      <c r="CB244" s="90" t="str">
        <f t="shared" si="152"/>
        <v/>
      </c>
      <c r="CE244" s="95"/>
      <c r="CF244" s="96"/>
      <c r="CG244" s="97" t="s">
        <v>2</v>
      </c>
      <c r="CH244" s="135" t="str">
        <f>IFERROR((CH243-$K221*CH242)/CH243,"Non Trouvé")</f>
        <v>Non Trouvé</v>
      </c>
      <c r="CI244" s="98"/>
      <c r="CK244" s="99">
        <f>IFERROR(IF(F244='[1]Paramètres Généraux'!$K$12,ROUNDUP((REGENERANTS!H244*REGENERANTS!$CF$221)*'[1]Paramètres Généraux'!$M$12,-1),REGENERANTS!H244*REGENERANTS!$CF$221),"nd")</f>
        <v>0</v>
      </c>
      <c r="CN244" s="146"/>
      <c r="CO244" s="147"/>
      <c r="CP244" s="147"/>
      <c r="CQ244" s="147"/>
      <c r="CR244" s="147"/>
      <c r="CS244" s="173"/>
      <c r="CT244" s="174"/>
      <c r="CU244" s="147"/>
      <c r="CV244" s="173"/>
      <c r="CW244" s="150"/>
      <c r="CX244" s="149"/>
      <c r="CY244" s="150"/>
      <c r="CZ244" s="136"/>
      <c r="DA244" s="149"/>
      <c r="DB244" s="150"/>
      <c r="DC244" s="136"/>
      <c r="DD244" s="149"/>
      <c r="DE244" s="150"/>
      <c r="DF244" s="136"/>
      <c r="DG244" s="136"/>
      <c r="DH244" s="136"/>
      <c r="DI244" s="136"/>
      <c r="DJ244" s="136"/>
      <c r="DK244" s="136"/>
      <c r="DL244" s="136"/>
      <c r="DM244" s="136"/>
      <c r="DN244" s="136"/>
      <c r="DO244" s="149"/>
      <c r="DP244" s="150"/>
      <c r="DQ244" s="20">
        <f t="shared" si="136"/>
        <v>0</v>
      </c>
      <c r="DR244" s="20">
        <f t="shared" si="137"/>
        <v>0</v>
      </c>
      <c r="DS244" s="20">
        <f>IFERROR((IF(AND($F244="Produit Vente",CO244&gt;0),VLOOKUP($C244,'[1]Paramètres Articles'!$B:$H,7,FALSE)*$CO244)*(1-20%)),0)</f>
        <v>0</v>
      </c>
      <c r="DT244" s="20">
        <f>IFERROR((IF(AND($F244="Produit Vente",DR244&gt;0),VLOOKUP($C244,'[1]Paramètres Articles'!$B:$H,6,FALSE)*$DR244)*(1-15%)),0)</f>
        <v>0</v>
      </c>
    </row>
    <row r="245" spans="2:124" ht="12.95" hidden="1" customHeight="1" outlineLevel="1">
      <c r="B245" s="1">
        <f>IF(C245="",0,COUNTIFS($B$22:B244,"&gt;"&amp;0)+1)</f>
        <v>0</v>
      </c>
      <c r="C245" s="85"/>
      <c r="D245" s="86" t="str">
        <f>IFERROR(IF($C245="","",VLOOKUP($C245,'[1]Paramètres Articles'!$B:$G,2,FALSE)),"Non Trouvé")</f>
        <v/>
      </c>
      <c r="E245" s="87" t="str">
        <f>IFERROR(IF($C245="","",_xlfn.XLOOKUP(REGENERANTS!$C245,'[1]New Base PA'!$F:$F,'[1]New Base PA'!$D:$D,"Not Found",0)),"Non Trouvé")</f>
        <v/>
      </c>
      <c r="F245" s="88"/>
      <c r="H245" s="101"/>
      <c r="J245" s="90" t="str">
        <f>IFERROR(IF($C245="","",VLOOKUP($C245,'[1]New Base PA'!$F:$J,5,FALSE)),"Non Trouvé")</f>
        <v/>
      </c>
      <c r="K245" s="131" t="str">
        <f t="shared" si="140"/>
        <v/>
      </c>
      <c r="L245" s="132"/>
      <c r="M245" s="90">
        <f>IFERROR(IF(AND($F245="Produit Vente",H245&gt;0),VLOOKUP($C245,'[1]Paramètres Articles'!$B:$G,6,FALSE),0),"Non Trouvé")</f>
        <v>0</v>
      </c>
      <c r="N245" s="90" t="str">
        <f t="shared" si="141"/>
        <v/>
      </c>
      <c r="P245" s="92"/>
      <c r="R245" s="90" t="str">
        <f t="shared" si="134"/>
        <v/>
      </c>
      <c r="S245" s="91"/>
      <c r="T245" s="90" t="str">
        <f>IFERROR(IF($C245="","",VLOOKUP($C245,'[1]Paramètres Articles'!$B:$H,7,FALSE)),"Non Trouvé")</f>
        <v/>
      </c>
      <c r="U245" s="93"/>
      <c r="V245" s="90" t="str">
        <f t="shared" si="138"/>
        <v/>
      </c>
      <c r="W245" s="91"/>
      <c r="X245" s="90" t="str">
        <f t="shared" si="139"/>
        <v/>
      </c>
      <c r="Y245" s="91"/>
      <c r="Z245" s="90">
        <f t="shared" si="135"/>
        <v>0</v>
      </c>
      <c r="AB245" s="94">
        <f>AB243</f>
        <v>0</v>
      </c>
      <c r="AC245" s="94">
        <f>AC243</f>
        <v>0.17</v>
      </c>
      <c r="AD245" s="90" t="str">
        <f t="shared" si="142"/>
        <v/>
      </c>
      <c r="AG245" s="94">
        <f>AG243</f>
        <v>0</v>
      </c>
      <c r="AH245" s="94">
        <f>AH243</f>
        <v>0.13</v>
      </c>
      <c r="AI245" s="90" t="str">
        <f t="shared" si="143"/>
        <v/>
      </c>
      <c r="AL245" s="94">
        <f>AL243</f>
        <v>0</v>
      </c>
      <c r="AM245" s="94">
        <f>AM243</f>
        <v>0.08</v>
      </c>
      <c r="AN245" s="90" t="str">
        <f t="shared" si="144"/>
        <v/>
      </c>
      <c r="AQ245" s="94">
        <f>AQ243</f>
        <v>0</v>
      </c>
      <c r="AR245" s="94">
        <f>AR243</f>
        <v>0.05</v>
      </c>
      <c r="AS245" s="90" t="str">
        <f t="shared" si="145"/>
        <v/>
      </c>
      <c r="AV245" s="94">
        <f>AV243</f>
        <v>0</v>
      </c>
      <c r="AW245" s="94">
        <f>AW243</f>
        <v>0.32500000000000001</v>
      </c>
      <c r="AX245" s="90" t="str">
        <f t="shared" si="146"/>
        <v/>
      </c>
      <c r="BA245" s="94">
        <f>BA243</f>
        <v>0</v>
      </c>
      <c r="BB245" s="94">
        <f>BB243</f>
        <v>0.29499999999999998</v>
      </c>
      <c r="BC245" s="90" t="str">
        <f t="shared" si="147"/>
        <v/>
      </c>
      <c r="BF245" s="94">
        <f>BF243</f>
        <v>0</v>
      </c>
      <c r="BG245" s="94">
        <f>BG243</f>
        <v>0.27500000000000002</v>
      </c>
      <c r="BH245" s="90" t="str">
        <f t="shared" si="148"/>
        <v/>
      </c>
      <c r="BK245" s="94">
        <f>BK243</f>
        <v>0</v>
      </c>
      <c r="BL245" s="94">
        <f>BL243</f>
        <v>0.245</v>
      </c>
      <c r="BM245" s="90" t="str">
        <f t="shared" si="149"/>
        <v/>
      </c>
      <c r="BP245" s="94">
        <f>BP243</f>
        <v>0</v>
      </c>
      <c r="BQ245" s="94">
        <f>BQ243</f>
        <v>0.22500000000000001</v>
      </c>
      <c r="BR245" s="90" t="str">
        <f t="shared" si="150"/>
        <v/>
      </c>
      <c r="BU245" s="94">
        <f>BU243</f>
        <v>0</v>
      </c>
      <c r="BV245" s="94">
        <f>BV243</f>
        <v>0.17499999999999999</v>
      </c>
      <c r="BW245" s="90" t="str">
        <f t="shared" si="151"/>
        <v/>
      </c>
      <c r="BZ245" s="94">
        <f>BZ243</f>
        <v>0</v>
      </c>
      <c r="CA245" s="94">
        <f>CA243</f>
        <v>0.15</v>
      </c>
      <c r="CB245" s="90" t="str">
        <f t="shared" si="152"/>
        <v/>
      </c>
      <c r="CE245" s="95"/>
      <c r="CF245" s="96"/>
      <c r="CG245" s="97" t="s">
        <v>103</v>
      </c>
      <c r="CH245" s="134">
        <f>IFERROR(CH243*CH244,0)</f>
        <v>0</v>
      </c>
      <c r="CI245" s="98"/>
      <c r="CK245" s="99">
        <f>IFERROR(IF(F245='[1]Paramètres Généraux'!$K$12,ROUNDUP((REGENERANTS!H245*REGENERANTS!$CF$221)*'[1]Paramètres Généraux'!$M$12,-1),REGENERANTS!H245*REGENERANTS!$CF$221),"nd")</f>
        <v>0</v>
      </c>
      <c r="CN245" s="146"/>
      <c r="CO245" s="147"/>
      <c r="CP245" s="147"/>
      <c r="CQ245" s="147"/>
      <c r="CR245" s="147"/>
      <c r="CS245" s="173"/>
      <c r="CT245" s="174"/>
      <c r="CU245" s="147"/>
      <c r="CV245" s="173"/>
      <c r="CW245" s="150"/>
      <c r="CX245" s="149"/>
      <c r="CY245" s="150"/>
      <c r="CZ245" s="136"/>
      <c r="DA245" s="149"/>
      <c r="DB245" s="150"/>
      <c r="DC245" s="136"/>
      <c r="DD245" s="149"/>
      <c r="DE245" s="150"/>
      <c r="DF245" s="136"/>
      <c r="DG245" s="136"/>
      <c r="DH245" s="136"/>
      <c r="DI245" s="136"/>
      <c r="DJ245" s="136"/>
      <c r="DK245" s="136"/>
      <c r="DL245" s="136"/>
      <c r="DM245" s="136"/>
      <c r="DN245" s="136"/>
      <c r="DO245" s="149"/>
      <c r="DP245" s="150"/>
      <c r="DQ245" s="20">
        <f t="shared" si="136"/>
        <v>0</v>
      </c>
      <c r="DR245" s="20">
        <f t="shared" si="137"/>
        <v>0</v>
      </c>
      <c r="DS245" s="20">
        <f>IFERROR((IF(AND($F245="Produit Vente",CO245&gt;0),VLOOKUP($C245,'[1]Paramètres Articles'!$B:$H,7,FALSE)*$CO245)*(1-20%)),0)</f>
        <v>0</v>
      </c>
      <c r="DT245" s="20">
        <f>IFERROR((IF(AND($F245="Produit Vente",DR245&gt;0),VLOOKUP($C245,'[1]Paramètres Articles'!$B:$H,6,FALSE)*$DR245)*(1-15%)),0)</f>
        <v>0</v>
      </c>
    </row>
    <row r="246" spans="2:124" ht="12.95" hidden="1" customHeight="1" outlineLevel="1">
      <c r="B246" s="1">
        <f>IF(C246="",0,COUNTIFS($B$22:B245,"&gt;"&amp;0)+1)</f>
        <v>0</v>
      </c>
      <c r="C246" s="85"/>
      <c r="D246" s="86" t="str">
        <f>IFERROR(IF($C246="","",VLOOKUP($C246,'[1]Paramètres Articles'!$B:$G,2,FALSE)),"Non Trouvé")</f>
        <v/>
      </c>
      <c r="E246" s="87" t="str">
        <f>IFERROR(IF($C246="","",_xlfn.XLOOKUP(REGENERANTS!$C246,'[1]New Base PA'!$F:$F,'[1]New Base PA'!$D:$D,"Not Found",0)),"Non Trouvé")</f>
        <v/>
      </c>
      <c r="F246" s="88"/>
      <c r="H246" s="101"/>
      <c r="J246" s="90" t="str">
        <f>IFERROR(IF($C246="","",VLOOKUP($C246,'[1]New Base PA'!$F:$J,5,FALSE)),"Non Trouvé")</f>
        <v/>
      </c>
      <c r="K246" s="131" t="str">
        <f t="shared" si="140"/>
        <v/>
      </c>
      <c r="L246" s="132"/>
      <c r="M246" s="90">
        <f>IFERROR(IF(AND($F246="Produit Vente",H246&gt;0),VLOOKUP($C246,'[1]Paramètres Articles'!$B:$G,6,FALSE),0),"Non Trouvé")</f>
        <v>0</v>
      </c>
      <c r="N246" s="90" t="str">
        <f t="shared" si="141"/>
        <v/>
      </c>
      <c r="P246" s="92"/>
      <c r="R246" s="90" t="str">
        <f t="shared" si="134"/>
        <v/>
      </c>
      <c r="S246" s="91"/>
      <c r="T246" s="90" t="str">
        <f>IFERROR(IF($C246="","",VLOOKUP($C246,'[1]Paramètres Articles'!$B:$H,7,FALSE)),"Non Trouvé")</f>
        <v/>
      </c>
      <c r="U246" s="93"/>
      <c r="V246" s="90" t="str">
        <f t="shared" si="138"/>
        <v/>
      </c>
      <c r="W246" s="91"/>
      <c r="X246" s="90" t="str">
        <f t="shared" si="139"/>
        <v/>
      </c>
      <c r="Y246" s="91"/>
      <c r="Z246" s="90">
        <f t="shared" si="135"/>
        <v>0</v>
      </c>
      <c r="AB246" s="94">
        <f>AB245</f>
        <v>0</v>
      </c>
      <c r="AC246" s="94">
        <f>AC245</f>
        <v>0.17</v>
      </c>
      <c r="AD246" s="90" t="str">
        <f t="shared" si="142"/>
        <v/>
      </c>
      <c r="AG246" s="94">
        <f>AG245</f>
        <v>0</v>
      </c>
      <c r="AH246" s="94">
        <f>AH245</f>
        <v>0.13</v>
      </c>
      <c r="AI246" s="90" t="str">
        <f t="shared" si="143"/>
        <v/>
      </c>
      <c r="AL246" s="94">
        <f>AL245</f>
        <v>0</v>
      </c>
      <c r="AM246" s="94">
        <f>AM245</f>
        <v>0.08</v>
      </c>
      <c r="AN246" s="90" t="str">
        <f t="shared" si="144"/>
        <v/>
      </c>
      <c r="AQ246" s="94">
        <f>AQ245</f>
        <v>0</v>
      </c>
      <c r="AR246" s="94">
        <f>AR245</f>
        <v>0.05</v>
      </c>
      <c r="AS246" s="90" t="str">
        <f t="shared" si="145"/>
        <v/>
      </c>
      <c r="AV246" s="94">
        <f>AV245</f>
        <v>0</v>
      </c>
      <c r="AW246" s="94">
        <f>AW245</f>
        <v>0.32500000000000001</v>
      </c>
      <c r="AX246" s="90" t="str">
        <f t="shared" si="146"/>
        <v/>
      </c>
      <c r="BA246" s="94">
        <f>BA245</f>
        <v>0</v>
      </c>
      <c r="BB246" s="94">
        <f>BB245</f>
        <v>0.29499999999999998</v>
      </c>
      <c r="BC246" s="90" t="str">
        <f t="shared" si="147"/>
        <v/>
      </c>
      <c r="BF246" s="94">
        <f>BF245</f>
        <v>0</v>
      </c>
      <c r="BG246" s="94">
        <f>BG245</f>
        <v>0.27500000000000002</v>
      </c>
      <c r="BH246" s="90" t="str">
        <f t="shared" si="148"/>
        <v/>
      </c>
      <c r="BK246" s="94">
        <f>BK245</f>
        <v>0</v>
      </c>
      <c r="BL246" s="94">
        <f>BL245</f>
        <v>0.245</v>
      </c>
      <c r="BM246" s="90" t="str">
        <f t="shared" si="149"/>
        <v/>
      </c>
      <c r="BP246" s="94">
        <f>BP245</f>
        <v>0</v>
      </c>
      <c r="BQ246" s="94">
        <f>BQ245</f>
        <v>0.22500000000000001</v>
      </c>
      <c r="BR246" s="90" t="str">
        <f t="shared" si="150"/>
        <v/>
      </c>
      <c r="BU246" s="94">
        <f>BU245</f>
        <v>0</v>
      </c>
      <c r="BV246" s="94">
        <f>BV245</f>
        <v>0.17499999999999999</v>
      </c>
      <c r="BW246" s="90" t="str">
        <f t="shared" si="151"/>
        <v/>
      </c>
      <c r="BZ246" s="94">
        <f>BZ245</f>
        <v>0</v>
      </c>
      <c r="CA246" s="94">
        <f>CA245</f>
        <v>0.15</v>
      </c>
      <c r="CB246" s="90" t="str">
        <f t="shared" si="152"/>
        <v/>
      </c>
      <c r="CE246" s="95"/>
      <c r="CF246" s="96"/>
      <c r="CG246" s="97"/>
      <c r="CH246" s="97"/>
      <c r="CI246" s="98"/>
      <c r="CK246" s="99">
        <f>IFERROR(IF(F246='[1]Paramètres Généraux'!$K$12,ROUNDUP((REGENERANTS!H246*REGENERANTS!$CF$221)*'[1]Paramètres Généraux'!$M$12,-1),REGENERANTS!H246*REGENERANTS!$CF$221),"nd")</f>
        <v>0</v>
      </c>
      <c r="CN246" s="146"/>
      <c r="CO246" s="147"/>
      <c r="CP246" s="147"/>
      <c r="CQ246" s="147"/>
      <c r="CR246" s="147"/>
      <c r="CS246" s="173"/>
      <c r="CT246" s="174"/>
      <c r="CU246" s="147"/>
      <c r="CV246" s="173"/>
      <c r="CW246" s="150"/>
      <c r="CX246" s="149"/>
      <c r="CY246" s="150"/>
      <c r="CZ246" s="136"/>
      <c r="DA246" s="149"/>
      <c r="DB246" s="150"/>
      <c r="DC246" s="136"/>
      <c r="DD246" s="149"/>
      <c r="DE246" s="150"/>
      <c r="DF246" s="136"/>
      <c r="DG246" s="136"/>
      <c r="DH246" s="136"/>
      <c r="DI246" s="136"/>
      <c r="DJ246" s="136"/>
      <c r="DK246" s="136"/>
      <c r="DL246" s="136"/>
      <c r="DM246" s="136"/>
      <c r="DN246" s="136"/>
      <c r="DO246" s="149"/>
      <c r="DP246" s="150"/>
      <c r="DQ246" s="20">
        <f t="shared" si="136"/>
        <v>0</v>
      </c>
      <c r="DR246" s="20">
        <f t="shared" si="137"/>
        <v>0</v>
      </c>
      <c r="DS246" s="20">
        <f>IFERROR((IF(AND($F246="Produit Vente",CO246&gt;0),VLOOKUP($C246,'[1]Paramètres Articles'!$B:$H,7,FALSE)*$CO246)*(1-20%)),0)</f>
        <v>0</v>
      </c>
      <c r="DT246" s="20">
        <f>IFERROR((IF(AND($F246="Produit Vente",DR246&gt;0),VLOOKUP($C246,'[1]Paramètres Articles'!$B:$H,6,FALSE)*$DR246)*(1-15%)),0)</f>
        <v>0</v>
      </c>
    </row>
    <row r="247" spans="2:124" ht="12.95" hidden="1" customHeight="1" outlineLevel="1">
      <c r="B247" s="1">
        <f>IF(C247="",0,COUNTIFS($B$22:B246,"&gt;"&amp;0)+1)</f>
        <v>0</v>
      </c>
      <c r="C247" s="85"/>
      <c r="D247" s="86" t="str">
        <f>IFERROR(IF($C247="","",VLOOKUP($C247,'[1]Paramètres Articles'!$B:$G,2,FALSE)),"Non Trouvé")</f>
        <v/>
      </c>
      <c r="E247" s="87" t="str">
        <f>IFERROR(IF($C247="","",_xlfn.XLOOKUP(REGENERANTS!$C247,'[1]New Base PA'!$F:$F,'[1]New Base PA'!$D:$D,"Not Found",0)),"Non Trouvé")</f>
        <v/>
      </c>
      <c r="F247" s="88"/>
      <c r="H247" s="101"/>
      <c r="J247" s="90" t="str">
        <f>IFERROR(IF($C247="","",VLOOKUP($C247,'[1]New Base PA'!$F:$J,5,FALSE)),"Non Trouvé")</f>
        <v/>
      </c>
      <c r="K247" s="131" t="str">
        <f t="shared" si="140"/>
        <v/>
      </c>
      <c r="L247" s="132"/>
      <c r="M247" s="90">
        <f>IFERROR(IF(AND($F247="Produit Vente",H247&gt;0),VLOOKUP($C247,'[1]Paramètres Articles'!$B:$G,6,FALSE),0),"Non Trouvé")</f>
        <v>0</v>
      </c>
      <c r="N247" s="90" t="str">
        <f t="shared" si="141"/>
        <v/>
      </c>
      <c r="P247" s="92"/>
      <c r="R247" s="90" t="str">
        <f t="shared" si="134"/>
        <v/>
      </c>
      <c r="S247" s="91"/>
      <c r="T247" s="90" t="str">
        <f>IFERROR(IF($C247="","",VLOOKUP($C247,'[1]Paramètres Articles'!$B:$H,7,FALSE)),"Non Trouvé")</f>
        <v/>
      </c>
      <c r="U247" s="93"/>
      <c r="V247" s="90" t="str">
        <f t="shared" si="138"/>
        <v/>
      </c>
      <c r="W247" s="91"/>
      <c r="X247" s="90" t="str">
        <f t="shared" si="139"/>
        <v/>
      </c>
      <c r="Y247" s="91"/>
      <c r="Z247" s="90">
        <f t="shared" si="135"/>
        <v>0</v>
      </c>
      <c r="AB247" s="94">
        <f>AB245</f>
        <v>0</v>
      </c>
      <c r="AC247" s="94">
        <f>AC245</f>
        <v>0.17</v>
      </c>
      <c r="AD247" s="90" t="str">
        <f t="shared" si="142"/>
        <v/>
      </c>
      <c r="AG247" s="94">
        <f>AG245</f>
        <v>0</v>
      </c>
      <c r="AH247" s="94">
        <f>AH245</f>
        <v>0.13</v>
      </c>
      <c r="AI247" s="90" t="str">
        <f t="shared" si="143"/>
        <v/>
      </c>
      <c r="AL247" s="94">
        <f>AL245</f>
        <v>0</v>
      </c>
      <c r="AM247" s="94">
        <f>AM245</f>
        <v>0.08</v>
      </c>
      <c r="AN247" s="90" t="str">
        <f t="shared" si="144"/>
        <v/>
      </c>
      <c r="AQ247" s="94">
        <f>AQ245</f>
        <v>0</v>
      </c>
      <c r="AR247" s="94">
        <f>AR245</f>
        <v>0.05</v>
      </c>
      <c r="AS247" s="90" t="str">
        <f t="shared" si="145"/>
        <v/>
      </c>
      <c r="AV247" s="94">
        <f>AV245</f>
        <v>0</v>
      </c>
      <c r="AW247" s="94">
        <f>AW245</f>
        <v>0.32500000000000001</v>
      </c>
      <c r="AX247" s="90" t="str">
        <f t="shared" si="146"/>
        <v/>
      </c>
      <c r="BA247" s="94">
        <f>BA245</f>
        <v>0</v>
      </c>
      <c r="BB247" s="94">
        <f>BB245</f>
        <v>0.29499999999999998</v>
      </c>
      <c r="BC247" s="90" t="str">
        <f t="shared" si="147"/>
        <v/>
      </c>
      <c r="BF247" s="94">
        <f>BF245</f>
        <v>0</v>
      </c>
      <c r="BG247" s="94">
        <f>BG245</f>
        <v>0.27500000000000002</v>
      </c>
      <c r="BH247" s="90" t="str">
        <f t="shared" si="148"/>
        <v/>
      </c>
      <c r="BK247" s="94">
        <f>BK245</f>
        <v>0</v>
      </c>
      <c r="BL247" s="94">
        <f>BL245</f>
        <v>0.245</v>
      </c>
      <c r="BM247" s="90" t="str">
        <f t="shared" si="149"/>
        <v/>
      </c>
      <c r="BP247" s="94">
        <f>BP245</f>
        <v>0</v>
      </c>
      <c r="BQ247" s="94">
        <f>BQ245</f>
        <v>0.22500000000000001</v>
      </c>
      <c r="BR247" s="90" t="str">
        <f t="shared" si="150"/>
        <v/>
      </c>
      <c r="BU247" s="94">
        <f>BU245</f>
        <v>0</v>
      </c>
      <c r="BV247" s="94">
        <f>BV245</f>
        <v>0.17499999999999999</v>
      </c>
      <c r="BW247" s="90" t="str">
        <f t="shared" si="151"/>
        <v/>
      </c>
      <c r="BZ247" s="94">
        <f>BZ245</f>
        <v>0</v>
      </c>
      <c r="CA247" s="94">
        <f>CA245</f>
        <v>0.15</v>
      </c>
      <c r="CB247" s="90" t="str">
        <f t="shared" si="152"/>
        <v/>
      </c>
      <c r="CE247" s="95"/>
      <c r="CF247" s="96"/>
      <c r="CG247" s="97"/>
      <c r="CH247" s="97"/>
      <c r="CI247" s="98"/>
      <c r="CK247" s="99">
        <f>IFERROR(IF(F247='[1]Paramètres Généraux'!$K$12,ROUNDUP((REGENERANTS!H247*REGENERANTS!$CF$221)*'[1]Paramètres Généraux'!$M$12,-1),REGENERANTS!H247*REGENERANTS!$CF$221),"nd")</f>
        <v>0</v>
      </c>
      <c r="CN247" s="146"/>
      <c r="CO247" s="147"/>
      <c r="CP247" s="147"/>
      <c r="CQ247" s="147"/>
      <c r="CR247" s="147"/>
      <c r="CS247" s="173"/>
      <c r="CT247" s="174"/>
      <c r="CU247" s="147"/>
      <c r="CV247" s="173"/>
      <c r="CW247" s="150"/>
      <c r="CX247" s="149"/>
      <c r="CY247" s="150"/>
      <c r="CZ247" s="136"/>
      <c r="DA247" s="149"/>
      <c r="DB247" s="150"/>
      <c r="DC247" s="136"/>
      <c r="DD247" s="149"/>
      <c r="DE247" s="150"/>
      <c r="DF247" s="136"/>
      <c r="DG247" s="136"/>
      <c r="DH247" s="136"/>
      <c r="DI247" s="136"/>
      <c r="DJ247" s="136"/>
      <c r="DK247" s="136"/>
      <c r="DL247" s="136"/>
      <c r="DM247" s="136"/>
      <c r="DN247" s="136"/>
      <c r="DO247" s="149"/>
      <c r="DP247" s="150"/>
      <c r="DQ247" s="20">
        <f t="shared" si="136"/>
        <v>0</v>
      </c>
      <c r="DR247" s="20">
        <f t="shared" si="137"/>
        <v>0</v>
      </c>
      <c r="DS247" s="20">
        <f>IFERROR((IF(AND($F247="Produit Vente",CO247&gt;0),VLOOKUP($C247,'[1]Paramètres Articles'!$B:$H,7,FALSE)*$CO247)*(1-20%)),0)</f>
        <v>0</v>
      </c>
      <c r="DT247" s="20">
        <f>IFERROR((IF(AND($F247="Produit Vente",DR247&gt;0),VLOOKUP($C247,'[1]Paramètres Articles'!$B:$H,6,FALSE)*$DR247)*(1-15%)),0)</f>
        <v>0</v>
      </c>
    </row>
    <row r="248" spans="2:124" ht="12.95" hidden="1" customHeight="1" outlineLevel="1">
      <c r="B248" s="1">
        <f>IF(C248="",0,COUNTIFS($B$22:B247,"&gt;"&amp;0)+1)</f>
        <v>0</v>
      </c>
      <c r="C248" s="85"/>
      <c r="D248" s="86" t="str">
        <f>IFERROR(IF($C248="","",VLOOKUP($C248,'[1]Paramètres Articles'!$B:$G,2,FALSE)),"Non Trouvé")</f>
        <v/>
      </c>
      <c r="E248" s="87" t="str">
        <f>IFERROR(IF($C248="","",_xlfn.XLOOKUP(REGENERANTS!$C248,'[1]New Base PA'!$F:$F,'[1]New Base PA'!$D:$D,"Not Found",0)),"Non Trouvé")</f>
        <v/>
      </c>
      <c r="F248" s="88"/>
      <c r="H248" s="101"/>
      <c r="J248" s="90" t="str">
        <f>IFERROR(IF($C248="","",VLOOKUP($C248,'[1]New Base PA'!$F:$J,5,FALSE)),"Non Trouvé")</f>
        <v/>
      </c>
      <c r="K248" s="131" t="str">
        <f t="shared" si="140"/>
        <v/>
      </c>
      <c r="L248" s="132"/>
      <c r="M248" s="90">
        <f>IFERROR(IF(AND($F248="Produit Vente",H248&gt;0),VLOOKUP($C248,'[1]Paramètres Articles'!$B:$G,6,FALSE),0),"Non Trouvé")</f>
        <v>0</v>
      </c>
      <c r="N248" s="90" t="str">
        <f t="shared" si="141"/>
        <v/>
      </c>
      <c r="P248" s="92"/>
      <c r="R248" s="90" t="str">
        <f t="shared" si="134"/>
        <v/>
      </c>
      <c r="S248" s="91"/>
      <c r="T248" s="90" t="str">
        <f>IFERROR(IF($C248="","",VLOOKUP($C248,'[1]Paramètres Articles'!$B:$H,7,FALSE)),"Non Trouvé")</f>
        <v/>
      </c>
      <c r="U248" s="93"/>
      <c r="V248" s="90" t="str">
        <f t="shared" si="138"/>
        <v/>
      </c>
      <c r="W248" s="91"/>
      <c r="X248" s="90" t="str">
        <f t="shared" si="139"/>
        <v/>
      </c>
      <c r="Y248" s="91"/>
      <c r="Z248" s="90">
        <f t="shared" si="135"/>
        <v>0</v>
      </c>
      <c r="AB248" s="94">
        <f>AB247</f>
        <v>0</v>
      </c>
      <c r="AC248" s="94">
        <f>AC247</f>
        <v>0.17</v>
      </c>
      <c r="AD248" s="90" t="str">
        <f t="shared" si="142"/>
        <v/>
      </c>
      <c r="AG248" s="94">
        <f>AG247</f>
        <v>0</v>
      </c>
      <c r="AH248" s="94">
        <f>AH247</f>
        <v>0.13</v>
      </c>
      <c r="AI248" s="90" t="str">
        <f t="shared" si="143"/>
        <v/>
      </c>
      <c r="AL248" s="94">
        <f>AL247</f>
        <v>0</v>
      </c>
      <c r="AM248" s="94">
        <f>AM247</f>
        <v>0.08</v>
      </c>
      <c r="AN248" s="90" t="str">
        <f t="shared" si="144"/>
        <v/>
      </c>
      <c r="AQ248" s="94">
        <f>AQ247</f>
        <v>0</v>
      </c>
      <c r="AR248" s="94">
        <f>AR247</f>
        <v>0.05</v>
      </c>
      <c r="AS248" s="90" t="str">
        <f t="shared" si="145"/>
        <v/>
      </c>
      <c r="AV248" s="94">
        <f>AV247</f>
        <v>0</v>
      </c>
      <c r="AW248" s="94">
        <f>AW247</f>
        <v>0.32500000000000001</v>
      </c>
      <c r="AX248" s="90" t="str">
        <f t="shared" si="146"/>
        <v/>
      </c>
      <c r="BA248" s="94">
        <f>BA247</f>
        <v>0</v>
      </c>
      <c r="BB248" s="94">
        <f>BB247</f>
        <v>0.29499999999999998</v>
      </c>
      <c r="BC248" s="90" t="str">
        <f t="shared" si="147"/>
        <v/>
      </c>
      <c r="BF248" s="94">
        <f>BF247</f>
        <v>0</v>
      </c>
      <c r="BG248" s="94">
        <f>BG247</f>
        <v>0.27500000000000002</v>
      </c>
      <c r="BH248" s="90" t="str">
        <f t="shared" si="148"/>
        <v/>
      </c>
      <c r="BK248" s="94">
        <f>BK247</f>
        <v>0</v>
      </c>
      <c r="BL248" s="94">
        <f>BL247</f>
        <v>0.245</v>
      </c>
      <c r="BM248" s="90" t="str">
        <f t="shared" si="149"/>
        <v/>
      </c>
      <c r="BP248" s="94">
        <f>BP247</f>
        <v>0</v>
      </c>
      <c r="BQ248" s="94">
        <f>BQ247</f>
        <v>0.22500000000000001</v>
      </c>
      <c r="BR248" s="90" t="str">
        <f t="shared" si="150"/>
        <v/>
      </c>
      <c r="BU248" s="94">
        <f>BU247</f>
        <v>0</v>
      </c>
      <c r="BV248" s="94">
        <f>BV247</f>
        <v>0.17499999999999999</v>
      </c>
      <c r="BW248" s="90" t="str">
        <f t="shared" si="151"/>
        <v/>
      </c>
      <c r="BZ248" s="94">
        <f>BZ247</f>
        <v>0</v>
      </c>
      <c r="CA248" s="94">
        <f>CA247</f>
        <v>0.15</v>
      </c>
      <c r="CB248" s="90" t="str">
        <f t="shared" si="152"/>
        <v/>
      </c>
      <c r="CE248" s="95"/>
      <c r="CF248" s="96"/>
      <c r="CG248" s="97"/>
      <c r="CH248" s="97"/>
      <c r="CI248" s="98"/>
      <c r="CK248" s="99">
        <f>IFERROR(IF(F248='[1]Paramètres Généraux'!$K$12,ROUNDUP((REGENERANTS!H248*REGENERANTS!$CF$221)*'[1]Paramètres Généraux'!$M$12,-1),REGENERANTS!H248*REGENERANTS!$CF$221),"nd")</f>
        <v>0</v>
      </c>
      <c r="CN248" s="146"/>
      <c r="CO248" s="147"/>
      <c r="CP248" s="147"/>
      <c r="CQ248" s="147"/>
      <c r="CR248" s="147"/>
      <c r="CS248" s="173"/>
      <c r="CT248" s="174"/>
      <c r="CU248" s="147"/>
      <c r="CV248" s="173"/>
      <c r="CW248" s="150"/>
      <c r="CX248" s="149"/>
      <c r="CY248" s="150"/>
      <c r="CZ248" s="136"/>
      <c r="DA248" s="149"/>
      <c r="DB248" s="150"/>
      <c r="DC248" s="136"/>
      <c r="DD248" s="149"/>
      <c r="DE248" s="150"/>
      <c r="DF248" s="136"/>
      <c r="DG248" s="136"/>
      <c r="DH248" s="136"/>
      <c r="DI248" s="136"/>
      <c r="DJ248" s="136"/>
      <c r="DK248" s="136"/>
      <c r="DL248" s="136"/>
      <c r="DM248" s="136"/>
      <c r="DN248" s="136"/>
      <c r="DO248" s="149"/>
      <c r="DP248" s="150"/>
      <c r="DQ248" s="20">
        <f t="shared" si="136"/>
        <v>0</v>
      </c>
      <c r="DR248" s="20">
        <f t="shared" si="137"/>
        <v>0</v>
      </c>
      <c r="DS248" s="20">
        <f>IFERROR((IF(AND($F248="Produit Vente",CO248&gt;0),VLOOKUP($C248,'[1]Paramètres Articles'!$B:$H,7,FALSE)*$CO248)*(1-20%)),0)</f>
        <v>0</v>
      </c>
      <c r="DT248" s="20">
        <f>IFERROR((IF(AND($F248="Produit Vente",DR248&gt;0),VLOOKUP($C248,'[1]Paramètres Articles'!$B:$H,6,FALSE)*$DR248)*(1-15%)),0)</f>
        <v>0</v>
      </c>
    </row>
    <row r="249" spans="2:124" ht="12.95" hidden="1" customHeight="1" outlineLevel="1">
      <c r="B249" s="1">
        <f>IF(C249="",0,COUNTIFS($B$22:B248,"&gt;"&amp;0)+1)</f>
        <v>0</v>
      </c>
      <c r="C249" s="85"/>
      <c r="D249" s="86" t="str">
        <f>IFERROR(IF($C249="","",VLOOKUP($C249,'[1]Paramètres Articles'!$B:$G,2,FALSE)),"Non Trouvé")</f>
        <v/>
      </c>
      <c r="E249" s="87" t="str">
        <f>IFERROR(IF($C249="","",_xlfn.XLOOKUP(REGENERANTS!$C249,'[1]New Base PA'!$F:$F,'[1]New Base PA'!$D:$D,"Not Found",0)),"Non Trouvé")</f>
        <v/>
      </c>
      <c r="F249" s="88"/>
      <c r="H249" s="101"/>
      <c r="J249" s="90" t="str">
        <f>IFERROR(IF($C249="","",VLOOKUP($C249,'[1]New Base PA'!$F:$J,5,FALSE)),"Non Trouvé")</f>
        <v/>
      </c>
      <c r="K249" s="131" t="str">
        <f t="shared" si="140"/>
        <v/>
      </c>
      <c r="L249" s="132"/>
      <c r="M249" s="90">
        <f>IFERROR(IF(AND($F249="Produit Vente",H249&gt;0),VLOOKUP($C249,'[1]Paramètres Articles'!$B:$G,6,FALSE),0),"Non Trouvé")</f>
        <v>0</v>
      </c>
      <c r="N249" s="90" t="str">
        <f t="shared" si="141"/>
        <v/>
      </c>
      <c r="P249" s="92"/>
      <c r="R249" s="90" t="str">
        <f t="shared" si="134"/>
        <v/>
      </c>
      <c r="S249" s="91"/>
      <c r="T249" s="90" t="str">
        <f>IFERROR(IF($C249="","",VLOOKUP($C249,'[1]Paramètres Articles'!$B:$H,7,FALSE)),"Non Trouvé")</f>
        <v/>
      </c>
      <c r="U249" s="93"/>
      <c r="V249" s="90" t="str">
        <f t="shared" si="138"/>
        <v/>
      </c>
      <c r="W249" s="91"/>
      <c r="X249" s="90" t="str">
        <f t="shared" si="139"/>
        <v/>
      </c>
      <c r="Y249" s="91"/>
      <c r="Z249" s="90">
        <f t="shared" si="135"/>
        <v>0</v>
      </c>
      <c r="AB249" s="94">
        <f>AB247</f>
        <v>0</v>
      </c>
      <c r="AC249" s="94">
        <f>AC247</f>
        <v>0.17</v>
      </c>
      <c r="AD249" s="90" t="str">
        <f t="shared" si="142"/>
        <v/>
      </c>
      <c r="AG249" s="94">
        <f>AG247</f>
        <v>0</v>
      </c>
      <c r="AH249" s="94">
        <f>AH247</f>
        <v>0.13</v>
      </c>
      <c r="AI249" s="90" t="str">
        <f t="shared" si="143"/>
        <v/>
      </c>
      <c r="AL249" s="94">
        <f>AL247</f>
        <v>0</v>
      </c>
      <c r="AM249" s="94">
        <f>AM247</f>
        <v>0.08</v>
      </c>
      <c r="AN249" s="90" t="str">
        <f t="shared" si="144"/>
        <v/>
      </c>
      <c r="AQ249" s="94">
        <f>AQ247</f>
        <v>0</v>
      </c>
      <c r="AR249" s="94">
        <f>AR247</f>
        <v>0.05</v>
      </c>
      <c r="AS249" s="90" t="str">
        <f t="shared" si="145"/>
        <v/>
      </c>
      <c r="AV249" s="94">
        <f>AV247</f>
        <v>0</v>
      </c>
      <c r="AW249" s="94">
        <f>AW247</f>
        <v>0.32500000000000001</v>
      </c>
      <c r="AX249" s="90" t="str">
        <f t="shared" si="146"/>
        <v/>
      </c>
      <c r="BA249" s="94">
        <f>BA247</f>
        <v>0</v>
      </c>
      <c r="BB249" s="94">
        <f>BB247</f>
        <v>0.29499999999999998</v>
      </c>
      <c r="BC249" s="90" t="str">
        <f t="shared" si="147"/>
        <v/>
      </c>
      <c r="BF249" s="94">
        <f>BF247</f>
        <v>0</v>
      </c>
      <c r="BG249" s="94">
        <f>BG247</f>
        <v>0.27500000000000002</v>
      </c>
      <c r="BH249" s="90" t="str">
        <f t="shared" si="148"/>
        <v/>
      </c>
      <c r="BK249" s="94">
        <f>BK247</f>
        <v>0</v>
      </c>
      <c r="BL249" s="94">
        <f>BL247</f>
        <v>0.245</v>
      </c>
      <c r="BM249" s="90" t="str">
        <f t="shared" si="149"/>
        <v/>
      </c>
      <c r="BP249" s="94">
        <f>BP247</f>
        <v>0</v>
      </c>
      <c r="BQ249" s="94">
        <f>BQ247</f>
        <v>0.22500000000000001</v>
      </c>
      <c r="BR249" s="90" t="str">
        <f t="shared" si="150"/>
        <v/>
      </c>
      <c r="BU249" s="94">
        <f>BU247</f>
        <v>0</v>
      </c>
      <c r="BV249" s="94">
        <f>BV247</f>
        <v>0.17499999999999999</v>
      </c>
      <c r="BW249" s="90" t="str">
        <f t="shared" si="151"/>
        <v/>
      </c>
      <c r="BZ249" s="94">
        <f>BZ247</f>
        <v>0</v>
      </c>
      <c r="CA249" s="94">
        <f>CA247</f>
        <v>0.15</v>
      </c>
      <c r="CB249" s="90" t="str">
        <f t="shared" si="152"/>
        <v/>
      </c>
      <c r="CE249" s="95"/>
      <c r="CF249" s="96"/>
      <c r="CG249" s="97"/>
      <c r="CH249" s="97"/>
      <c r="CI249" s="98"/>
      <c r="CK249" s="99">
        <f>IFERROR(IF(F249='[1]Paramètres Généraux'!$K$12,ROUNDUP((REGENERANTS!H249*REGENERANTS!$CF$221)*'[1]Paramètres Généraux'!$M$12,-1),REGENERANTS!H249*REGENERANTS!$CF$221),"nd")</f>
        <v>0</v>
      </c>
      <c r="CN249" s="146"/>
      <c r="CO249" s="147"/>
      <c r="CP249" s="147"/>
      <c r="CQ249" s="147"/>
      <c r="CR249" s="147"/>
      <c r="CS249" s="173"/>
      <c r="CT249" s="174"/>
      <c r="CU249" s="147"/>
      <c r="CV249" s="173"/>
      <c r="CW249" s="150"/>
      <c r="CX249" s="149"/>
      <c r="CY249" s="150"/>
      <c r="CZ249" s="136"/>
      <c r="DA249" s="149"/>
      <c r="DB249" s="150"/>
      <c r="DC249" s="136"/>
      <c r="DD249" s="149"/>
      <c r="DE249" s="150"/>
      <c r="DF249" s="136"/>
      <c r="DG249" s="136"/>
      <c r="DH249" s="136"/>
      <c r="DI249" s="136"/>
      <c r="DJ249" s="136"/>
      <c r="DK249" s="136"/>
      <c r="DL249" s="136"/>
      <c r="DM249" s="136"/>
      <c r="DN249" s="136"/>
      <c r="DO249" s="149"/>
      <c r="DP249" s="150"/>
      <c r="DQ249" s="20">
        <f t="shared" si="136"/>
        <v>0</v>
      </c>
      <c r="DR249" s="20">
        <f t="shared" si="137"/>
        <v>0</v>
      </c>
      <c r="DS249" s="20">
        <f>IFERROR((IF(AND($F249="Produit Vente",CO249&gt;0),VLOOKUP($C249,'[1]Paramètres Articles'!$B:$H,7,FALSE)*$CO249)*(1-20%)),0)</f>
        <v>0</v>
      </c>
      <c r="DT249" s="20">
        <f>IFERROR((IF(AND($F249="Produit Vente",DR249&gt;0),VLOOKUP($C249,'[1]Paramètres Articles'!$B:$H,6,FALSE)*$DR249)*(1-15%)),0)</f>
        <v>0</v>
      </c>
    </row>
    <row r="250" spans="2:124" ht="12.95" hidden="1" customHeight="1" outlineLevel="1">
      <c r="B250" s="1">
        <f>IF(C250="",0,COUNTIFS($B$22:B249,"&gt;"&amp;0)+1)</f>
        <v>0</v>
      </c>
      <c r="C250" s="85"/>
      <c r="D250" s="86" t="str">
        <f>IFERROR(IF($C250="","",VLOOKUP($C250,'[1]Paramètres Articles'!$B:$G,2,FALSE)),"Non Trouvé")</f>
        <v/>
      </c>
      <c r="E250" s="87" t="str">
        <f>IFERROR(IF($C250="","",_xlfn.XLOOKUP(REGENERANTS!$C250,'[1]New Base PA'!$F:$F,'[1]New Base PA'!$D:$D,"Not Found",0)),"Non Trouvé")</f>
        <v/>
      </c>
      <c r="F250" s="88"/>
      <c r="H250" s="101"/>
      <c r="J250" s="90" t="str">
        <f>IFERROR(IF($C250="","",VLOOKUP($C250,'[1]New Base PA'!$F:$J,5,FALSE)),"Non Trouvé")</f>
        <v/>
      </c>
      <c r="K250" s="131" t="str">
        <f t="shared" si="140"/>
        <v/>
      </c>
      <c r="L250" s="132"/>
      <c r="M250" s="90">
        <f>IFERROR(IF(AND($F250="Produit Vente",H250&gt;0),VLOOKUP($C250,'[1]Paramètres Articles'!$B:$G,6,FALSE),0),"Non Trouvé")</f>
        <v>0</v>
      </c>
      <c r="N250" s="90" t="str">
        <f t="shared" si="141"/>
        <v/>
      </c>
      <c r="P250" s="92"/>
      <c r="R250" s="90" t="str">
        <f t="shared" si="134"/>
        <v/>
      </c>
      <c r="S250" s="91"/>
      <c r="T250" s="90" t="str">
        <f>IFERROR(IF($C250="","",VLOOKUP($C250,'[1]Paramètres Articles'!$B:$H,7,FALSE)),"Non Trouvé")</f>
        <v/>
      </c>
      <c r="U250" s="93"/>
      <c r="V250" s="90" t="str">
        <f t="shared" si="138"/>
        <v/>
      </c>
      <c r="W250" s="91"/>
      <c r="X250" s="90" t="str">
        <f t="shared" si="139"/>
        <v/>
      </c>
      <c r="Y250" s="91"/>
      <c r="Z250" s="90">
        <f t="shared" si="135"/>
        <v>0</v>
      </c>
      <c r="AB250" s="94">
        <f>AB249</f>
        <v>0</v>
      </c>
      <c r="AC250" s="94">
        <f>AC249</f>
        <v>0.17</v>
      </c>
      <c r="AD250" s="90" t="str">
        <f t="shared" si="142"/>
        <v/>
      </c>
      <c r="AG250" s="94">
        <f>AG249</f>
        <v>0</v>
      </c>
      <c r="AH250" s="94">
        <f>AH249</f>
        <v>0.13</v>
      </c>
      <c r="AI250" s="90" t="str">
        <f t="shared" si="143"/>
        <v/>
      </c>
      <c r="AL250" s="94">
        <f>AL249</f>
        <v>0</v>
      </c>
      <c r="AM250" s="94">
        <f>AM249</f>
        <v>0.08</v>
      </c>
      <c r="AN250" s="90" t="str">
        <f t="shared" si="144"/>
        <v/>
      </c>
      <c r="AQ250" s="94">
        <f>AQ249</f>
        <v>0</v>
      </c>
      <c r="AR250" s="94">
        <f>AR249</f>
        <v>0.05</v>
      </c>
      <c r="AS250" s="90" t="str">
        <f t="shared" si="145"/>
        <v/>
      </c>
      <c r="AV250" s="94">
        <f>AV249</f>
        <v>0</v>
      </c>
      <c r="AW250" s="94">
        <f>AW249</f>
        <v>0.32500000000000001</v>
      </c>
      <c r="AX250" s="90" t="str">
        <f t="shared" si="146"/>
        <v/>
      </c>
      <c r="BA250" s="94">
        <f>BA249</f>
        <v>0</v>
      </c>
      <c r="BB250" s="94">
        <f>BB249</f>
        <v>0.29499999999999998</v>
      </c>
      <c r="BC250" s="90" t="str">
        <f t="shared" si="147"/>
        <v/>
      </c>
      <c r="BF250" s="94">
        <f>BF249</f>
        <v>0</v>
      </c>
      <c r="BG250" s="94">
        <f>BG249</f>
        <v>0.27500000000000002</v>
      </c>
      <c r="BH250" s="90" t="str">
        <f t="shared" si="148"/>
        <v/>
      </c>
      <c r="BK250" s="94">
        <f>BK249</f>
        <v>0</v>
      </c>
      <c r="BL250" s="94">
        <f>BL249</f>
        <v>0.245</v>
      </c>
      <c r="BM250" s="90" t="str">
        <f t="shared" si="149"/>
        <v/>
      </c>
      <c r="BP250" s="94">
        <f>BP249</f>
        <v>0</v>
      </c>
      <c r="BQ250" s="94">
        <f>BQ249</f>
        <v>0.22500000000000001</v>
      </c>
      <c r="BR250" s="90" t="str">
        <f t="shared" si="150"/>
        <v/>
      </c>
      <c r="BU250" s="94">
        <f>BU249</f>
        <v>0</v>
      </c>
      <c r="BV250" s="94">
        <f>BV249</f>
        <v>0.17499999999999999</v>
      </c>
      <c r="BW250" s="90" t="str">
        <f t="shared" si="151"/>
        <v/>
      </c>
      <c r="BZ250" s="94">
        <f>BZ249</f>
        <v>0</v>
      </c>
      <c r="CA250" s="94">
        <f>CA249</f>
        <v>0.15</v>
      </c>
      <c r="CB250" s="90" t="str">
        <f t="shared" si="152"/>
        <v/>
      </c>
      <c r="CE250" s="95"/>
      <c r="CF250" s="96"/>
      <c r="CG250" s="97"/>
      <c r="CH250" s="97"/>
      <c r="CI250" s="98"/>
      <c r="CK250" s="99">
        <f>IFERROR(IF(F250='[1]Paramètres Généraux'!$K$12,ROUNDUP((REGENERANTS!H250*REGENERANTS!$CF$221)*'[1]Paramètres Généraux'!$M$12,-1),REGENERANTS!H250*REGENERANTS!$CF$221),"nd")</f>
        <v>0</v>
      </c>
      <c r="CN250" s="146"/>
      <c r="CO250" s="147"/>
      <c r="CP250" s="147"/>
      <c r="CQ250" s="147"/>
      <c r="CR250" s="147"/>
      <c r="CS250" s="173"/>
      <c r="CT250" s="174"/>
      <c r="CU250" s="147"/>
      <c r="CV250" s="173"/>
      <c r="CW250" s="150"/>
      <c r="CX250" s="149"/>
      <c r="CY250" s="150"/>
      <c r="CZ250" s="136"/>
      <c r="DA250" s="149"/>
      <c r="DB250" s="150"/>
      <c r="DC250" s="136"/>
      <c r="DD250" s="149"/>
      <c r="DE250" s="150"/>
      <c r="DF250" s="136"/>
      <c r="DG250" s="136"/>
      <c r="DH250" s="136"/>
      <c r="DI250" s="136"/>
      <c r="DJ250" s="136"/>
      <c r="DK250" s="136"/>
      <c r="DL250" s="136"/>
      <c r="DM250" s="136"/>
      <c r="DN250" s="136"/>
      <c r="DO250" s="149"/>
      <c r="DP250" s="150"/>
      <c r="DQ250" s="20">
        <f t="shared" si="136"/>
        <v>0</v>
      </c>
      <c r="DR250" s="20">
        <f t="shared" si="137"/>
        <v>0</v>
      </c>
      <c r="DS250" s="20">
        <f>IFERROR((IF(AND($F250="Produit Vente",CO250&gt;0),VLOOKUP($C250,'[1]Paramètres Articles'!$B:$H,7,FALSE)*$CO250)*(1-20%)),0)</f>
        <v>0</v>
      </c>
      <c r="DT250" s="20">
        <f>IFERROR((IF(AND($F250="Produit Vente",DR250&gt;0),VLOOKUP($C250,'[1]Paramètres Articles'!$B:$H,6,FALSE)*$DR250)*(1-15%)),0)</f>
        <v>0</v>
      </c>
    </row>
    <row r="251" spans="2:124" ht="12.95" hidden="1" customHeight="1" outlineLevel="1">
      <c r="B251" s="1">
        <f>IF(C251="",0,COUNTIFS($B$22:B250,"&gt;"&amp;0)+1)</f>
        <v>0</v>
      </c>
      <c r="C251" s="85"/>
      <c r="D251" s="86" t="str">
        <f>IFERROR(IF($C251="","",VLOOKUP($C251,'[1]Paramètres Articles'!$B:$G,2,FALSE)),"Non Trouvé")</f>
        <v/>
      </c>
      <c r="E251" s="87" t="str">
        <f>IFERROR(IF($C251="","",_xlfn.XLOOKUP(REGENERANTS!$C251,'[1]New Base PA'!$F:$F,'[1]New Base PA'!$D:$D,"Not Found",0)),"Non Trouvé")</f>
        <v/>
      </c>
      <c r="F251" s="88"/>
      <c r="H251" s="101"/>
      <c r="J251" s="90" t="str">
        <f>IFERROR(IF($C251="","",VLOOKUP($C251,'[1]New Base PA'!$F:$J,5,FALSE)),"Non Trouvé")</f>
        <v/>
      </c>
      <c r="K251" s="131" t="str">
        <f t="shared" si="140"/>
        <v/>
      </c>
      <c r="L251" s="132"/>
      <c r="M251" s="90">
        <f>IFERROR(IF(AND($F251="Produit Vente",H251&gt;0),VLOOKUP($C251,'[1]Paramètres Articles'!$B:$G,6,FALSE),0),"Non Trouvé")</f>
        <v>0</v>
      </c>
      <c r="N251" s="90" t="str">
        <f t="shared" si="141"/>
        <v/>
      </c>
      <c r="P251" s="92"/>
      <c r="R251" s="90" t="str">
        <f t="shared" si="134"/>
        <v/>
      </c>
      <c r="S251" s="91"/>
      <c r="T251" s="90" t="str">
        <f>IFERROR(IF($C251="","",VLOOKUP($C251,'[1]Paramètres Articles'!$B:$H,7,FALSE)),"Non Trouvé")</f>
        <v/>
      </c>
      <c r="U251" s="93"/>
      <c r="V251" s="90" t="str">
        <f t="shared" si="138"/>
        <v/>
      </c>
      <c r="W251" s="91"/>
      <c r="X251" s="90" t="str">
        <f t="shared" si="139"/>
        <v/>
      </c>
      <c r="Y251" s="91"/>
      <c r="Z251" s="90">
        <f t="shared" si="135"/>
        <v>0</v>
      </c>
      <c r="AB251" s="94">
        <f>AB249</f>
        <v>0</v>
      </c>
      <c r="AC251" s="94">
        <f>AC249</f>
        <v>0.17</v>
      </c>
      <c r="AD251" s="90" t="str">
        <f t="shared" si="142"/>
        <v/>
      </c>
      <c r="AG251" s="94">
        <f>AG249</f>
        <v>0</v>
      </c>
      <c r="AH251" s="94">
        <f>AH249</f>
        <v>0.13</v>
      </c>
      <c r="AI251" s="90" t="str">
        <f t="shared" si="143"/>
        <v/>
      </c>
      <c r="AL251" s="94">
        <f>AL249</f>
        <v>0</v>
      </c>
      <c r="AM251" s="94">
        <f>AM249</f>
        <v>0.08</v>
      </c>
      <c r="AN251" s="90" t="str">
        <f t="shared" si="144"/>
        <v/>
      </c>
      <c r="AQ251" s="94">
        <f>AQ249</f>
        <v>0</v>
      </c>
      <c r="AR251" s="94">
        <f>AR249</f>
        <v>0.05</v>
      </c>
      <c r="AS251" s="90" t="str">
        <f t="shared" si="145"/>
        <v/>
      </c>
      <c r="AV251" s="94">
        <f>AV249</f>
        <v>0</v>
      </c>
      <c r="AW251" s="94">
        <f>AW249</f>
        <v>0.32500000000000001</v>
      </c>
      <c r="AX251" s="90" t="str">
        <f t="shared" si="146"/>
        <v/>
      </c>
      <c r="BA251" s="94">
        <f>BA249</f>
        <v>0</v>
      </c>
      <c r="BB251" s="94">
        <f>BB249</f>
        <v>0.29499999999999998</v>
      </c>
      <c r="BC251" s="90" t="str">
        <f t="shared" si="147"/>
        <v/>
      </c>
      <c r="BF251" s="94">
        <f>BF249</f>
        <v>0</v>
      </c>
      <c r="BG251" s="94">
        <f>BG249</f>
        <v>0.27500000000000002</v>
      </c>
      <c r="BH251" s="90" t="str">
        <f t="shared" si="148"/>
        <v/>
      </c>
      <c r="BK251" s="94">
        <f>BK249</f>
        <v>0</v>
      </c>
      <c r="BL251" s="94">
        <f>BL249</f>
        <v>0.245</v>
      </c>
      <c r="BM251" s="90" t="str">
        <f t="shared" si="149"/>
        <v/>
      </c>
      <c r="BP251" s="94">
        <f>BP249</f>
        <v>0</v>
      </c>
      <c r="BQ251" s="94">
        <f>BQ249</f>
        <v>0.22500000000000001</v>
      </c>
      <c r="BR251" s="90" t="str">
        <f t="shared" si="150"/>
        <v/>
      </c>
      <c r="BU251" s="94">
        <f>BU249</f>
        <v>0</v>
      </c>
      <c r="BV251" s="94">
        <f>BV249</f>
        <v>0.17499999999999999</v>
      </c>
      <c r="BW251" s="90" t="str">
        <f t="shared" si="151"/>
        <v/>
      </c>
      <c r="BZ251" s="94">
        <f>BZ249</f>
        <v>0</v>
      </c>
      <c r="CA251" s="94">
        <f>CA249</f>
        <v>0.15</v>
      </c>
      <c r="CB251" s="90" t="str">
        <f t="shared" si="152"/>
        <v/>
      </c>
      <c r="CE251" s="95"/>
      <c r="CF251" s="96"/>
      <c r="CG251" s="97"/>
      <c r="CH251" s="97"/>
      <c r="CI251" s="98"/>
      <c r="CK251" s="99">
        <f>IFERROR(IF(F251='[1]Paramètres Généraux'!$K$12,ROUNDUP((REGENERANTS!H251*REGENERANTS!$CF$221)*'[1]Paramètres Généraux'!$M$12,-1),REGENERANTS!H251*REGENERANTS!$CF$221),"nd")</f>
        <v>0</v>
      </c>
      <c r="CN251" s="146"/>
      <c r="CO251" s="147"/>
      <c r="CP251" s="147"/>
      <c r="CQ251" s="147"/>
      <c r="CR251" s="147"/>
      <c r="CS251" s="173"/>
      <c r="CT251" s="174"/>
      <c r="CU251" s="147"/>
      <c r="CV251" s="173"/>
      <c r="CW251" s="150"/>
      <c r="CX251" s="149"/>
      <c r="CY251" s="150"/>
      <c r="CZ251" s="136"/>
      <c r="DA251" s="149"/>
      <c r="DB251" s="150"/>
      <c r="DC251" s="136"/>
      <c r="DD251" s="149"/>
      <c r="DE251" s="150"/>
      <c r="DF251" s="136"/>
      <c r="DG251" s="136"/>
      <c r="DH251" s="136"/>
      <c r="DI251" s="136"/>
      <c r="DJ251" s="136"/>
      <c r="DK251" s="136"/>
      <c r="DL251" s="136"/>
      <c r="DM251" s="136"/>
      <c r="DN251" s="136"/>
      <c r="DO251" s="149"/>
      <c r="DP251" s="150"/>
      <c r="DQ251" s="20">
        <f t="shared" si="136"/>
        <v>0</v>
      </c>
      <c r="DR251" s="20">
        <f t="shared" si="137"/>
        <v>0</v>
      </c>
      <c r="DS251" s="20">
        <f>IFERROR((IF(AND($F251="Produit Vente",CO251&gt;0),VLOOKUP($C251,'[1]Paramètres Articles'!$B:$H,7,FALSE)*$CO251)*(1-20%)),0)</f>
        <v>0</v>
      </c>
      <c r="DT251" s="20">
        <f>IFERROR((IF(AND($F251="Produit Vente",DR251&gt;0),VLOOKUP($C251,'[1]Paramètres Articles'!$B:$H,6,FALSE)*$DR251)*(1-15%)),0)</f>
        <v>0</v>
      </c>
    </row>
    <row r="252" spans="2:124" ht="12.95" hidden="1" customHeight="1" outlineLevel="1">
      <c r="B252" s="1">
        <f>IF(C252="",0,COUNTIFS($B$22:B251,"&gt;"&amp;0)+1)</f>
        <v>0</v>
      </c>
      <c r="C252" s="85"/>
      <c r="D252" s="86" t="str">
        <f>IFERROR(IF($C252="","",VLOOKUP($C252,'[1]Paramètres Articles'!$B:$G,2,FALSE)),"Non Trouvé")</f>
        <v/>
      </c>
      <c r="E252" s="87" t="str">
        <f>IFERROR(IF($C252="","",_xlfn.XLOOKUP(REGENERANTS!$C252,'[1]New Base PA'!$F:$F,'[1]New Base PA'!$D:$D,"Not Found",0)),"Non Trouvé")</f>
        <v/>
      </c>
      <c r="F252" s="88"/>
      <c r="H252" s="101"/>
      <c r="J252" s="90" t="str">
        <f>IFERROR(IF($C252="","",VLOOKUP($C252,'[1]New Base PA'!$F:$J,5,FALSE)),"Non Trouvé")</f>
        <v/>
      </c>
      <c r="K252" s="131" t="str">
        <f t="shared" si="140"/>
        <v/>
      </c>
      <c r="L252" s="132"/>
      <c r="M252" s="90">
        <f>IFERROR(IF(AND($F252="Produit Vente",H252&gt;0),VLOOKUP($C252,'[1]Paramètres Articles'!$B:$G,6,FALSE),0),"Non Trouvé")</f>
        <v>0</v>
      </c>
      <c r="N252" s="90" t="str">
        <f t="shared" si="141"/>
        <v/>
      </c>
      <c r="P252" s="92"/>
      <c r="R252" s="90" t="str">
        <f t="shared" si="134"/>
        <v/>
      </c>
      <c r="S252" s="91"/>
      <c r="T252" s="90" t="str">
        <f>IFERROR(IF($C252="","",VLOOKUP($C252,'[1]Paramètres Articles'!$B:$H,7,FALSE)),"Non Trouvé")</f>
        <v/>
      </c>
      <c r="U252" s="93"/>
      <c r="V252" s="90" t="str">
        <f t="shared" si="138"/>
        <v/>
      </c>
      <c r="W252" s="91"/>
      <c r="X252" s="90" t="str">
        <f t="shared" si="139"/>
        <v/>
      </c>
      <c r="Y252" s="91"/>
      <c r="Z252" s="90">
        <f t="shared" si="135"/>
        <v>0</v>
      </c>
      <c r="AB252" s="94">
        <f>AB251</f>
        <v>0</v>
      </c>
      <c r="AC252" s="94">
        <f>AC251</f>
        <v>0.17</v>
      </c>
      <c r="AD252" s="90" t="str">
        <f t="shared" si="142"/>
        <v/>
      </c>
      <c r="AG252" s="94">
        <f>AG251</f>
        <v>0</v>
      </c>
      <c r="AH252" s="94">
        <f>AH251</f>
        <v>0.13</v>
      </c>
      <c r="AI252" s="90" t="str">
        <f t="shared" si="143"/>
        <v/>
      </c>
      <c r="AL252" s="94">
        <f>AL251</f>
        <v>0</v>
      </c>
      <c r="AM252" s="94">
        <f>AM251</f>
        <v>0.08</v>
      </c>
      <c r="AN252" s="90" t="str">
        <f t="shared" si="144"/>
        <v/>
      </c>
      <c r="AQ252" s="94">
        <f>AQ251</f>
        <v>0</v>
      </c>
      <c r="AR252" s="94">
        <f>AR251</f>
        <v>0.05</v>
      </c>
      <c r="AS252" s="90" t="str">
        <f t="shared" si="145"/>
        <v/>
      </c>
      <c r="AV252" s="94">
        <f>AV251</f>
        <v>0</v>
      </c>
      <c r="AW252" s="94">
        <f>AW251</f>
        <v>0.32500000000000001</v>
      </c>
      <c r="AX252" s="90" t="str">
        <f t="shared" si="146"/>
        <v/>
      </c>
      <c r="BA252" s="94">
        <f>BA251</f>
        <v>0</v>
      </c>
      <c r="BB252" s="94">
        <f>BB251</f>
        <v>0.29499999999999998</v>
      </c>
      <c r="BC252" s="90" t="str">
        <f t="shared" si="147"/>
        <v/>
      </c>
      <c r="BF252" s="94">
        <f>BF251</f>
        <v>0</v>
      </c>
      <c r="BG252" s="94">
        <f>BG251</f>
        <v>0.27500000000000002</v>
      </c>
      <c r="BH252" s="90" t="str">
        <f t="shared" si="148"/>
        <v/>
      </c>
      <c r="BK252" s="94">
        <f>BK251</f>
        <v>0</v>
      </c>
      <c r="BL252" s="94">
        <f>BL251</f>
        <v>0.245</v>
      </c>
      <c r="BM252" s="90" t="str">
        <f t="shared" si="149"/>
        <v/>
      </c>
      <c r="BP252" s="94">
        <f>BP251</f>
        <v>0</v>
      </c>
      <c r="BQ252" s="94">
        <f>BQ251</f>
        <v>0.22500000000000001</v>
      </c>
      <c r="BR252" s="90" t="str">
        <f t="shared" si="150"/>
        <v/>
      </c>
      <c r="BU252" s="94">
        <f>BU251</f>
        <v>0</v>
      </c>
      <c r="BV252" s="94">
        <f>BV251</f>
        <v>0.17499999999999999</v>
      </c>
      <c r="BW252" s="90" t="str">
        <f t="shared" si="151"/>
        <v/>
      </c>
      <c r="BZ252" s="94">
        <f>BZ251</f>
        <v>0</v>
      </c>
      <c r="CA252" s="94">
        <f>CA251</f>
        <v>0.15</v>
      </c>
      <c r="CB252" s="90" t="str">
        <f t="shared" si="152"/>
        <v/>
      </c>
      <c r="CE252" s="95"/>
      <c r="CF252" s="96"/>
      <c r="CG252" s="97"/>
      <c r="CH252" s="97"/>
      <c r="CI252" s="98"/>
      <c r="CK252" s="99">
        <f>IFERROR(IF(F252='[1]Paramètres Généraux'!$K$12,ROUNDUP((REGENERANTS!H252*REGENERANTS!$CF$221)*'[1]Paramètres Généraux'!$M$12,-1),REGENERANTS!H252*REGENERANTS!$CF$221),"nd")</f>
        <v>0</v>
      </c>
      <c r="CN252" s="146"/>
      <c r="CO252" s="147"/>
      <c r="CP252" s="147"/>
      <c r="CQ252" s="147"/>
      <c r="CR252" s="147"/>
      <c r="CS252" s="173"/>
      <c r="CT252" s="174"/>
      <c r="CU252" s="147"/>
      <c r="CV252" s="173"/>
      <c r="CW252" s="150"/>
      <c r="CX252" s="149"/>
      <c r="CY252" s="150"/>
      <c r="CZ252" s="136"/>
      <c r="DA252" s="149"/>
      <c r="DB252" s="150"/>
      <c r="DC252" s="136"/>
      <c r="DD252" s="149"/>
      <c r="DE252" s="150"/>
      <c r="DF252" s="136"/>
      <c r="DG252" s="136"/>
      <c r="DH252" s="136"/>
      <c r="DI252" s="136"/>
      <c r="DJ252" s="136"/>
      <c r="DK252" s="136"/>
      <c r="DL252" s="136"/>
      <c r="DM252" s="136"/>
      <c r="DN252" s="136"/>
      <c r="DO252" s="149"/>
      <c r="DP252" s="150"/>
      <c r="DQ252" s="20">
        <f t="shared" si="136"/>
        <v>0</v>
      </c>
      <c r="DR252" s="20">
        <f t="shared" si="137"/>
        <v>0</v>
      </c>
      <c r="DS252" s="20">
        <f>IFERROR((IF(AND($F252="Produit Vente",CO252&gt;0),VLOOKUP($C252,'[1]Paramètres Articles'!$B:$H,7,FALSE)*$CO252)*(1-20%)),0)</f>
        <v>0</v>
      </c>
      <c r="DT252" s="20">
        <f>IFERROR((IF(AND($F252="Produit Vente",DR252&gt;0),VLOOKUP($C252,'[1]Paramètres Articles'!$B:$H,6,FALSE)*$DR252)*(1-15%)),0)</f>
        <v>0</v>
      </c>
    </row>
    <row r="253" spans="2:124" ht="12.95" hidden="1" customHeight="1" outlineLevel="1">
      <c r="B253" s="1">
        <f>IF(C253="",0,COUNTIFS($B$22:B252,"&gt;"&amp;0)+1)</f>
        <v>0</v>
      </c>
      <c r="C253" s="85"/>
      <c r="D253" s="86" t="str">
        <f>IFERROR(IF($C253="","",VLOOKUP($C253,'[1]Paramètres Articles'!$B:$G,2,FALSE)),"Non Trouvé")</f>
        <v/>
      </c>
      <c r="E253" s="87" t="str">
        <f>IFERROR(IF($C253="","",_xlfn.XLOOKUP(REGENERANTS!$C253,'[1]New Base PA'!$F:$F,'[1]New Base PA'!$D:$D,"Not Found",0)),"Non Trouvé")</f>
        <v/>
      </c>
      <c r="F253" s="88"/>
      <c r="H253" s="101"/>
      <c r="J253" s="90" t="str">
        <f>IFERROR(IF($C253="","",VLOOKUP($C253,'[1]New Base PA'!$F:$J,5,FALSE)),"Non Trouvé")</f>
        <v/>
      </c>
      <c r="K253" s="131" t="str">
        <f t="shared" si="140"/>
        <v/>
      </c>
      <c r="L253" s="132"/>
      <c r="M253" s="90">
        <f>IFERROR(IF(AND($F253="Produit Vente",H253&gt;0),VLOOKUP($C253,'[1]Paramètres Articles'!$B:$G,6,FALSE),0),"Non Trouvé")</f>
        <v>0</v>
      </c>
      <c r="N253" s="90" t="str">
        <f t="shared" si="141"/>
        <v/>
      </c>
      <c r="P253" s="92"/>
      <c r="R253" s="90" t="str">
        <f t="shared" si="134"/>
        <v/>
      </c>
      <c r="S253" s="91"/>
      <c r="T253" s="90" t="str">
        <f>IFERROR(IF($C253="","",VLOOKUP($C253,'[1]Paramètres Articles'!$B:$H,7,FALSE)),"Non Trouvé")</f>
        <v/>
      </c>
      <c r="U253" s="93"/>
      <c r="V253" s="90" t="str">
        <f t="shared" si="138"/>
        <v/>
      </c>
      <c r="W253" s="91"/>
      <c r="X253" s="90" t="str">
        <f t="shared" si="139"/>
        <v/>
      </c>
      <c r="Y253" s="91"/>
      <c r="Z253" s="90">
        <f t="shared" si="135"/>
        <v>0</v>
      </c>
      <c r="AB253" s="94">
        <f>AB251</f>
        <v>0</v>
      </c>
      <c r="AC253" s="94">
        <f>AC251</f>
        <v>0.17</v>
      </c>
      <c r="AD253" s="90" t="str">
        <f t="shared" si="142"/>
        <v/>
      </c>
      <c r="AG253" s="94">
        <f>AG251</f>
        <v>0</v>
      </c>
      <c r="AH253" s="94">
        <f>AH251</f>
        <v>0.13</v>
      </c>
      <c r="AI253" s="90" t="str">
        <f t="shared" si="143"/>
        <v/>
      </c>
      <c r="AL253" s="94">
        <f>AL251</f>
        <v>0</v>
      </c>
      <c r="AM253" s="94">
        <f>AM251</f>
        <v>0.08</v>
      </c>
      <c r="AN253" s="90" t="str">
        <f t="shared" si="144"/>
        <v/>
      </c>
      <c r="AQ253" s="94">
        <f>AQ251</f>
        <v>0</v>
      </c>
      <c r="AR253" s="94">
        <f>AR251</f>
        <v>0.05</v>
      </c>
      <c r="AS253" s="90" t="str">
        <f t="shared" si="145"/>
        <v/>
      </c>
      <c r="AV253" s="94">
        <f>AV251</f>
        <v>0</v>
      </c>
      <c r="AW253" s="94">
        <f>AW251</f>
        <v>0.32500000000000001</v>
      </c>
      <c r="AX253" s="90" t="str">
        <f t="shared" si="146"/>
        <v/>
      </c>
      <c r="BA253" s="94">
        <f>BA251</f>
        <v>0</v>
      </c>
      <c r="BB253" s="94">
        <f>BB251</f>
        <v>0.29499999999999998</v>
      </c>
      <c r="BC253" s="90" t="str">
        <f t="shared" si="147"/>
        <v/>
      </c>
      <c r="BF253" s="94">
        <f>BF251</f>
        <v>0</v>
      </c>
      <c r="BG253" s="94">
        <f>BG251</f>
        <v>0.27500000000000002</v>
      </c>
      <c r="BH253" s="90" t="str">
        <f t="shared" si="148"/>
        <v/>
      </c>
      <c r="BK253" s="94">
        <f>BK251</f>
        <v>0</v>
      </c>
      <c r="BL253" s="94">
        <f>BL251</f>
        <v>0.245</v>
      </c>
      <c r="BM253" s="90" t="str">
        <f t="shared" si="149"/>
        <v/>
      </c>
      <c r="BP253" s="94">
        <f>BP251</f>
        <v>0</v>
      </c>
      <c r="BQ253" s="94">
        <f>BQ251</f>
        <v>0.22500000000000001</v>
      </c>
      <c r="BR253" s="90" t="str">
        <f t="shared" si="150"/>
        <v/>
      </c>
      <c r="BU253" s="94">
        <f>BU251</f>
        <v>0</v>
      </c>
      <c r="BV253" s="94">
        <f>BV251</f>
        <v>0.17499999999999999</v>
      </c>
      <c r="BW253" s="90" t="str">
        <f t="shared" si="151"/>
        <v/>
      </c>
      <c r="BZ253" s="94">
        <f>BZ251</f>
        <v>0</v>
      </c>
      <c r="CA253" s="94">
        <f>CA251</f>
        <v>0.15</v>
      </c>
      <c r="CB253" s="90" t="str">
        <f t="shared" si="152"/>
        <v/>
      </c>
      <c r="CE253" s="95"/>
      <c r="CF253" s="96"/>
      <c r="CG253" s="97"/>
      <c r="CH253" s="97"/>
      <c r="CI253" s="98"/>
      <c r="CK253" s="99">
        <f>IFERROR(IF(F253='[1]Paramètres Généraux'!$K$12,ROUNDUP((REGENERANTS!H253*REGENERANTS!$CF$221)*'[1]Paramètres Généraux'!$M$12,-1),REGENERANTS!H253*REGENERANTS!$CF$221),"nd")</f>
        <v>0</v>
      </c>
      <c r="CN253" s="146"/>
      <c r="CO253" s="147"/>
      <c r="CP253" s="147"/>
      <c r="CQ253" s="147"/>
      <c r="CR253" s="147"/>
      <c r="CS253" s="173"/>
      <c r="CT253" s="174"/>
      <c r="CU253" s="147"/>
      <c r="CV253" s="173"/>
      <c r="CW253" s="150"/>
      <c r="CX253" s="149"/>
      <c r="CY253" s="150"/>
      <c r="CZ253" s="136"/>
      <c r="DA253" s="149"/>
      <c r="DB253" s="150"/>
      <c r="DC253" s="136"/>
      <c r="DD253" s="149"/>
      <c r="DE253" s="150"/>
      <c r="DF253" s="136"/>
      <c r="DG253" s="136"/>
      <c r="DH253" s="136"/>
      <c r="DI253" s="136"/>
      <c r="DJ253" s="136"/>
      <c r="DK253" s="136"/>
      <c r="DL253" s="136"/>
      <c r="DM253" s="136"/>
      <c r="DN253" s="136"/>
      <c r="DO253" s="149"/>
      <c r="DP253" s="150"/>
      <c r="DQ253" s="20">
        <f t="shared" si="136"/>
        <v>0</v>
      </c>
      <c r="DR253" s="20">
        <f t="shared" si="137"/>
        <v>0</v>
      </c>
      <c r="DS253" s="20">
        <f>IFERROR((IF(AND($F253="Produit Vente",CO253&gt;0),VLOOKUP($C253,'[1]Paramètres Articles'!$B:$H,7,FALSE)*$CO253)*(1-20%)),0)</f>
        <v>0</v>
      </c>
      <c r="DT253" s="20">
        <f>IFERROR((IF(AND($F253="Produit Vente",DR253&gt;0),VLOOKUP($C253,'[1]Paramètres Articles'!$B:$H,6,FALSE)*$DR253)*(1-15%)),0)</f>
        <v>0</v>
      </c>
    </row>
    <row r="254" spans="2:124" ht="12.95" hidden="1" customHeight="1" outlineLevel="1">
      <c r="B254" s="1">
        <f>IF(C254="",0,COUNTIFS($B$22:B253,"&gt;"&amp;0)+1)</f>
        <v>0</v>
      </c>
      <c r="C254" s="85"/>
      <c r="D254" s="86" t="str">
        <f>IFERROR(IF($C254="","",VLOOKUP($C254,'[1]Paramètres Articles'!$B:$G,2,FALSE)),"Non Trouvé")</f>
        <v/>
      </c>
      <c r="E254" s="87" t="str">
        <f>IFERROR(IF($C254="","",_xlfn.XLOOKUP(REGENERANTS!$C254,'[1]New Base PA'!$F:$F,'[1]New Base PA'!$D:$D,"Not Found",0)),"Non Trouvé")</f>
        <v/>
      </c>
      <c r="F254" s="88"/>
      <c r="H254" s="101"/>
      <c r="J254" s="90" t="str">
        <f>IFERROR(IF($C254="","",VLOOKUP($C254,'[1]New Base PA'!$F:$J,5,FALSE)),"Non Trouvé")</f>
        <v/>
      </c>
      <c r="K254" s="131" t="str">
        <f t="shared" si="140"/>
        <v/>
      </c>
      <c r="L254" s="132"/>
      <c r="M254" s="90">
        <f>IFERROR(IF(AND($F254="Produit Vente",H254&gt;0),VLOOKUP($C254,'[1]Paramètres Articles'!$B:$G,6,FALSE),0),"Non Trouvé")</f>
        <v>0</v>
      </c>
      <c r="N254" s="90" t="str">
        <f t="shared" si="141"/>
        <v/>
      </c>
      <c r="P254" s="92"/>
      <c r="R254" s="90" t="str">
        <f t="shared" si="134"/>
        <v/>
      </c>
      <c r="S254" s="91"/>
      <c r="T254" s="90" t="str">
        <f>IFERROR(IF($C254="","",VLOOKUP($C254,'[1]Paramètres Articles'!$B:$H,7,FALSE)),"Non Trouvé")</f>
        <v/>
      </c>
      <c r="U254" s="93"/>
      <c r="V254" s="90" t="str">
        <f t="shared" si="138"/>
        <v/>
      </c>
      <c r="W254" s="91"/>
      <c r="X254" s="90" t="str">
        <f t="shared" si="139"/>
        <v/>
      </c>
      <c r="Y254" s="91"/>
      <c r="Z254" s="90">
        <f t="shared" si="135"/>
        <v>0</v>
      </c>
      <c r="AB254" s="94">
        <f>AB253</f>
        <v>0</v>
      </c>
      <c r="AC254" s="94">
        <f>AC253</f>
        <v>0.17</v>
      </c>
      <c r="AD254" s="90" t="str">
        <f t="shared" si="142"/>
        <v/>
      </c>
      <c r="AG254" s="94">
        <f>AG253</f>
        <v>0</v>
      </c>
      <c r="AH254" s="94">
        <f>AH253</f>
        <v>0.13</v>
      </c>
      <c r="AI254" s="90" t="str">
        <f t="shared" si="143"/>
        <v/>
      </c>
      <c r="AL254" s="94">
        <f>AL253</f>
        <v>0</v>
      </c>
      <c r="AM254" s="94">
        <f>AM253</f>
        <v>0.08</v>
      </c>
      <c r="AN254" s="90" t="str">
        <f t="shared" si="144"/>
        <v/>
      </c>
      <c r="AQ254" s="94">
        <f>AQ253</f>
        <v>0</v>
      </c>
      <c r="AR254" s="94">
        <f>AR253</f>
        <v>0.05</v>
      </c>
      <c r="AS254" s="90" t="str">
        <f t="shared" si="145"/>
        <v/>
      </c>
      <c r="AV254" s="94">
        <f>AV253</f>
        <v>0</v>
      </c>
      <c r="AW254" s="94">
        <f>AW253</f>
        <v>0.32500000000000001</v>
      </c>
      <c r="AX254" s="90" t="str">
        <f t="shared" si="146"/>
        <v/>
      </c>
      <c r="BA254" s="94">
        <f>BA253</f>
        <v>0</v>
      </c>
      <c r="BB254" s="94">
        <f>BB253</f>
        <v>0.29499999999999998</v>
      </c>
      <c r="BC254" s="90" t="str">
        <f t="shared" si="147"/>
        <v/>
      </c>
      <c r="BF254" s="94">
        <f>BF253</f>
        <v>0</v>
      </c>
      <c r="BG254" s="94">
        <f>BG253</f>
        <v>0.27500000000000002</v>
      </c>
      <c r="BH254" s="90" t="str">
        <f t="shared" si="148"/>
        <v/>
      </c>
      <c r="BK254" s="94">
        <f>BK253</f>
        <v>0</v>
      </c>
      <c r="BL254" s="94">
        <f>BL253</f>
        <v>0.245</v>
      </c>
      <c r="BM254" s="90" t="str">
        <f t="shared" si="149"/>
        <v/>
      </c>
      <c r="BP254" s="94">
        <f>BP253</f>
        <v>0</v>
      </c>
      <c r="BQ254" s="94">
        <f>BQ253</f>
        <v>0.22500000000000001</v>
      </c>
      <c r="BR254" s="90" t="str">
        <f t="shared" si="150"/>
        <v/>
      </c>
      <c r="BU254" s="94">
        <f>BU253</f>
        <v>0</v>
      </c>
      <c r="BV254" s="94">
        <f>BV253</f>
        <v>0.17499999999999999</v>
      </c>
      <c r="BW254" s="90" t="str">
        <f t="shared" si="151"/>
        <v/>
      </c>
      <c r="BZ254" s="94">
        <f>BZ253</f>
        <v>0</v>
      </c>
      <c r="CA254" s="94">
        <f>CA253</f>
        <v>0.15</v>
      </c>
      <c r="CB254" s="90" t="str">
        <f t="shared" si="152"/>
        <v/>
      </c>
      <c r="CE254" s="95"/>
      <c r="CF254" s="96"/>
      <c r="CG254" s="97"/>
      <c r="CH254" s="97"/>
      <c r="CI254" s="98"/>
      <c r="CK254" s="99">
        <f>IFERROR(IF(F254='[1]Paramètres Généraux'!$K$12,ROUNDUP((REGENERANTS!H254*REGENERANTS!$CF$221)*'[1]Paramètres Généraux'!$M$12,-1),REGENERANTS!H254*REGENERANTS!$CF$221),"nd")</f>
        <v>0</v>
      </c>
      <c r="CN254" s="146"/>
      <c r="CO254" s="147"/>
      <c r="CP254" s="147"/>
      <c r="CQ254" s="147"/>
      <c r="CR254" s="147"/>
      <c r="CS254" s="173"/>
      <c r="CT254" s="174"/>
      <c r="CU254" s="147"/>
      <c r="CV254" s="173"/>
      <c r="CW254" s="150"/>
      <c r="CX254" s="149"/>
      <c r="CY254" s="150"/>
      <c r="CZ254" s="136"/>
      <c r="DA254" s="149"/>
      <c r="DB254" s="150"/>
      <c r="DC254" s="136"/>
      <c r="DD254" s="149"/>
      <c r="DE254" s="150"/>
      <c r="DF254" s="136"/>
      <c r="DG254" s="136"/>
      <c r="DH254" s="136"/>
      <c r="DI254" s="136"/>
      <c r="DJ254" s="136"/>
      <c r="DK254" s="136"/>
      <c r="DL254" s="136"/>
      <c r="DM254" s="136"/>
      <c r="DN254" s="136"/>
      <c r="DO254" s="149"/>
      <c r="DP254" s="150"/>
      <c r="DQ254" s="20">
        <f t="shared" si="136"/>
        <v>0</v>
      </c>
      <c r="DR254" s="20">
        <f t="shared" si="137"/>
        <v>0</v>
      </c>
      <c r="DS254" s="20">
        <f>IFERROR((IF(AND($F254="Produit Vente",CO254&gt;0),VLOOKUP($C254,'[1]Paramètres Articles'!$B:$H,7,FALSE)*$CO254)*(1-20%)),0)</f>
        <v>0</v>
      </c>
      <c r="DT254" s="20">
        <f>IFERROR((IF(AND($F254="Produit Vente",DR254&gt;0),VLOOKUP($C254,'[1]Paramètres Articles'!$B:$H,6,FALSE)*$DR254)*(1-15%)),0)</f>
        <v>0</v>
      </c>
    </row>
    <row r="255" spans="2:124" ht="12.95" hidden="1" customHeight="1" outlineLevel="1">
      <c r="B255" s="1">
        <f>IF(C255="",0,COUNTIFS($B$22:B254,"&gt;"&amp;0)+1)</f>
        <v>0</v>
      </c>
      <c r="C255" s="85"/>
      <c r="D255" s="86" t="str">
        <f>IFERROR(IF($C255="","",VLOOKUP($C255,'[1]Paramètres Articles'!$B:$G,2,FALSE)),"Non Trouvé")</f>
        <v/>
      </c>
      <c r="E255" s="87" t="str">
        <f>IFERROR(IF($C255="","",_xlfn.XLOOKUP(REGENERANTS!$C255,'[1]New Base PA'!$F:$F,'[1]New Base PA'!$D:$D,"Not Found",0)),"Non Trouvé")</f>
        <v/>
      </c>
      <c r="F255" s="88"/>
      <c r="H255" s="101"/>
      <c r="J255" s="90" t="str">
        <f>IFERROR(IF($C255="","",VLOOKUP($C255,'[1]New Base PA'!$F:$J,5,FALSE)),"Non Trouvé")</f>
        <v/>
      </c>
      <c r="K255" s="131" t="str">
        <f t="shared" si="140"/>
        <v/>
      </c>
      <c r="L255" s="132"/>
      <c r="M255" s="90">
        <f>IFERROR(IF(AND($F255="Produit Vente",H255&gt;0),VLOOKUP($C255,'[1]Paramètres Articles'!$B:$G,6,FALSE),0),"Non Trouvé")</f>
        <v>0</v>
      </c>
      <c r="N255" s="90" t="str">
        <f t="shared" si="141"/>
        <v/>
      </c>
      <c r="P255" s="92"/>
      <c r="R255" s="90" t="str">
        <f t="shared" si="134"/>
        <v/>
      </c>
      <c r="S255" s="91"/>
      <c r="T255" s="90" t="str">
        <f>IFERROR(IF($C255="","",VLOOKUP($C255,'[1]Paramètres Articles'!$B:$H,7,FALSE)),"Non Trouvé")</f>
        <v/>
      </c>
      <c r="U255" s="93"/>
      <c r="V255" s="90" t="str">
        <f t="shared" si="138"/>
        <v/>
      </c>
      <c r="W255" s="91"/>
      <c r="X255" s="90" t="str">
        <f t="shared" si="139"/>
        <v/>
      </c>
      <c r="Y255" s="91"/>
      <c r="Z255" s="90">
        <f t="shared" si="135"/>
        <v>0</v>
      </c>
      <c r="AB255" s="94">
        <f>AB253</f>
        <v>0</v>
      </c>
      <c r="AC255" s="94">
        <f>AC253</f>
        <v>0.17</v>
      </c>
      <c r="AD255" s="90" t="str">
        <f t="shared" si="142"/>
        <v/>
      </c>
      <c r="AG255" s="94">
        <f>AG253</f>
        <v>0</v>
      </c>
      <c r="AH255" s="94">
        <f>AH253</f>
        <v>0.13</v>
      </c>
      <c r="AI255" s="90" t="str">
        <f t="shared" si="143"/>
        <v/>
      </c>
      <c r="AL255" s="94">
        <f>AL253</f>
        <v>0</v>
      </c>
      <c r="AM255" s="94">
        <f>AM253</f>
        <v>0.08</v>
      </c>
      <c r="AN255" s="90" t="str">
        <f t="shared" si="144"/>
        <v/>
      </c>
      <c r="AQ255" s="94">
        <f>AQ253</f>
        <v>0</v>
      </c>
      <c r="AR255" s="94">
        <f>AR253</f>
        <v>0.05</v>
      </c>
      <c r="AS255" s="90" t="str">
        <f t="shared" si="145"/>
        <v/>
      </c>
      <c r="AV255" s="94">
        <f>AV253</f>
        <v>0</v>
      </c>
      <c r="AW255" s="94">
        <f>AW253</f>
        <v>0.32500000000000001</v>
      </c>
      <c r="AX255" s="90" t="str">
        <f t="shared" si="146"/>
        <v/>
      </c>
      <c r="BA255" s="94">
        <f>BA253</f>
        <v>0</v>
      </c>
      <c r="BB255" s="94">
        <f>BB253</f>
        <v>0.29499999999999998</v>
      </c>
      <c r="BC255" s="90" t="str">
        <f t="shared" si="147"/>
        <v/>
      </c>
      <c r="BF255" s="94">
        <f>BF253</f>
        <v>0</v>
      </c>
      <c r="BG255" s="94">
        <f>BG253</f>
        <v>0.27500000000000002</v>
      </c>
      <c r="BH255" s="90" t="str">
        <f t="shared" si="148"/>
        <v/>
      </c>
      <c r="BK255" s="94">
        <f>BK253</f>
        <v>0</v>
      </c>
      <c r="BL255" s="94">
        <f>BL253</f>
        <v>0.245</v>
      </c>
      <c r="BM255" s="90" t="str">
        <f t="shared" si="149"/>
        <v/>
      </c>
      <c r="BP255" s="94">
        <f>BP253</f>
        <v>0</v>
      </c>
      <c r="BQ255" s="94">
        <f>BQ253</f>
        <v>0.22500000000000001</v>
      </c>
      <c r="BR255" s="90" t="str">
        <f t="shared" si="150"/>
        <v/>
      </c>
      <c r="BU255" s="94">
        <f>BU253</f>
        <v>0</v>
      </c>
      <c r="BV255" s="94">
        <f>BV253</f>
        <v>0.17499999999999999</v>
      </c>
      <c r="BW255" s="90" t="str">
        <f t="shared" si="151"/>
        <v/>
      </c>
      <c r="BZ255" s="94">
        <f>BZ253</f>
        <v>0</v>
      </c>
      <c r="CA255" s="94">
        <f>CA253</f>
        <v>0.15</v>
      </c>
      <c r="CB255" s="90" t="str">
        <f t="shared" si="152"/>
        <v/>
      </c>
      <c r="CE255" s="95"/>
      <c r="CF255" s="96"/>
      <c r="CG255" s="97"/>
      <c r="CH255" s="97"/>
      <c r="CI255" s="98"/>
      <c r="CK255" s="99">
        <f>IFERROR(IF(F255='[1]Paramètres Généraux'!$K$12,ROUNDUP((REGENERANTS!H255*REGENERANTS!$CF$221)*'[1]Paramètres Généraux'!$M$12,-1),REGENERANTS!H255*REGENERANTS!$CF$221),"nd")</f>
        <v>0</v>
      </c>
      <c r="CN255" s="146"/>
      <c r="CO255" s="147"/>
      <c r="CP255" s="147"/>
      <c r="CQ255" s="147"/>
      <c r="CR255" s="147"/>
      <c r="CS255" s="173"/>
      <c r="CT255" s="174"/>
      <c r="CU255" s="147"/>
      <c r="CV255" s="173"/>
      <c r="CW255" s="150"/>
      <c r="CX255" s="149"/>
      <c r="CY255" s="150"/>
      <c r="CZ255" s="136"/>
      <c r="DA255" s="149"/>
      <c r="DB255" s="150"/>
      <c r="DC255" s="136"/>
      <c r="DD255" s="149"/>
      <c r="DE255" s="150"/>
      <c r="DF255" s="136"/>
      <c r="DG255" s="136"/>
      <c r="DH255" s="136"/>
      <c r="DI255" s="136"/>
      <c r="DJ255" s="136"/>
      <c r="DK255" s="136"/>
      <c r="DL255" s="136"/>
      <c r="DM255" s="136"/>
      <c r="DN255" s="136"/>
      <c r="DO255" s="149"/>
      <c r="DP255" s="150"/>
      <c r="DQ255" s="20">
        <f t="shared" si="136"/>
        <v>0</v>
      </c>
      <c r="DR255" s="20">
        <f t="shared" si="137"/>
        <v>0</v>
      </c>
      <c r="DS255" s="20">
        <f>IFERROR((IF(AND($F255="Produit Vente",CO255&gt;0),VLOOKUP($C255,'[1]Paramètres Articles'!$B:$H,7,FALSE)*$CO255)*(1-20%)),0)</f>
        <v>0</v>
      </c>
      <c r="DT255" s="20">
        <f>IFERROR((IF(AND($F255="Produit Vente",DR255&gt;0),VLOOKUP($C255,'[1]Paramètres Articles'!$B:$H,6,FALSE)*$DR255)*(1-15%)),0)</f>
        <v>0</v>
      </c>
    </row>
    <row r="256" spans="2:124" ht="12.95" hidden="1" customHeight="1" outlineLevel="1">
      <c r="B256" s="1">
        <f>IF(C256="",0,COUNTIFS($B$22:B255,"&gt;"&amp;0)+1)</f>
        <v>0</v>
      </c>
      <c r="C256" s="85"/>
      <c r="D256" s="86" t="str">
        <f>IFERROR(IF($C256="","",VLOOKUP($C256,'[1]Paramètres Articles'!$B:$G,2,FALSE)),"Non Trouvé")</f>
        <v/>
      </c>
      <c r="E256" s="87" t="str">
        <f>IFERROR(IF($C256="","",_xlfn.XLOOKUP(REGENERANTS!$C256,'[1]New Base PA'!$F:$F,'[1]New Base PA'!$D:$D,"Not Found",0)),"Non Trouvé")</f>
        <v/>
      </c>
      <c r="F256" s="88"/>
      <c r="H256" s="101"/>
      <c r="J256" s="90" t="str">
        <f>IFERROR(IF($C256="","",VLOOKUP($C256,'[1]New Base PA'!$F:$J,5,FALSE)),"Non Trouvé")</f>
        <v/>
      </c>
      <c r="K256" s="131" t="str">
        <f t="shared" si="140"/>
        <v/>
      </c>
      <c r="L256" s="132"/>
      <c r="M256" s="90">
        <f>IFERROR(IF(AND($F256="Produit Vente",H256&gt;0),VLOOKUP($C256,'[1]Paramètres Articles'!$B:$G,6,FALSE),0),"Non Trouvé")</f>
        <v>0</v>
      </c>
      <c r="N256" s="90" t="str">
        <f t="shared" si="141"/>
        <v/>
      </c>
      <c r="P256" s="92"/>
      <c r="R256" s="90" t="str">
        <f t="shared" si="134"/>
        <v/>
      </c>
      <c r="S256" s="91"/>
      <c r="T256" s="90" t="str">
        <f>IFERROR(IF($C256="","",VLOOKUP($C256,'[1]Paramètres Articles'!$B:$H,7,FALSE)),"Non Trouvé")</f>
        <v/>
      </c>
      <c r="U256" s="93"/>
      <c r="V256" s="90" t="str">
        <f t="shared" si="138"/>
        <v/>
      </c>
      <c r="W256" s="91"/>
      <c r="X256" s="90" t="str">
        <f t="shared" si="139"/>
        <v/>
      </c>
      <c r="Y256" s="91"/>
      <c r="Z256" s="90">
        <f t="shared" si="135"/>
        <v>0</v>
      </c>
      <c r="AB256" s="94">
        <f>AB255</f>
        <v>0</v>
      </c>
      <c r="AC256" s="94">
        <f>AC255</f>
        <v>0.17</v>
      </c>
      <c r="AD256" s="90" t="str">
        <f t="shared" si="142"/>
        <v/>
      </c>
      <c r="AG256" s="94">
        <f>AG255</f>
        <v>0</v>
      </c>
      <c r="AH256" s="94">
        <f>AH255</f>
        <v>0.13</v>
      </c>
      <c r="AI256" s="90" t="str">
        <f t="shared" si="143"/>
        <v/>
      </c>
      <c r="AL256" s="94">
        <f>AL255</f>
        <v>0</v>
      </c>
      <c r="AM256" s="94">
        <f>AM255</f>
        <v>0.08</v>
      </c>
      <c r="AN256" s="90" t="str">
        <f t="shared" si="144"/>
        <v/>
      </c>
      <c r="AQ256" s="94">
        <f>AQ255</f>
        <v>0</v>
      </c>
      <c r="AR256" s="94">
        <f>AR255</f>
        <v>0.05</v>
      </c>
      <c r="AS256" s="90" t="str">
        <f t="shared" si="145"/>
        <v/>
      </c>
      <c r="AV256" s="94">
        <f>AV255</f>
        <v>0</v>
      </c>
      <c r="AW256" s="94">
        <f>AW255</f>
        <v>0.32500000000000001</v>
      </c>
      <c r="AX256" s="90" t="str">
        <f t="shared" si="146"/>
        <v/>
      </c>
      <c r="BA256" s="94">
        <f>BA255</f>
        <v>0</v>
      </c>
      <c r="BB256" s="94">
        <f>BB255</f>
        <v>0.29499999999999998</v>
      </c>
      <c r="BC256" s="90" t="str">
        <f t="shared" si="147"/>
        <v/>
      </c>
      <c r="BF256" s="94">
        <f>BF255</f>
        <v>0</v>
      </c>
      <c r="BG256" s="94">
        <f>BG255</f>
        <v>0.27500000000000002</v>
      </c>
      <c r="BH256" s="90" t="str">
        <f t="shared" si="148"/>
        <v/>
      </c>
      <c r="BK256" s="94">
        <f>BK255</f>
        <v>0</v>
      </c>
      <c r="BL256" s="94">
        <f>BL255</f>
        <v>0.245</v>
      </c>
      <c r="BM256" s="90" t="str">
        <f t="shared" si="149"/>
        <v/>
      </c>
      <c r="BP256" s="94">
        <f>BP255</f>
        <v>0</v>
      </c>
      <c r="BQ256" s="94">
        <f>BQ255</f>
        <v>0.22500000000000001</v>
      </c>
      <c r="BR256" s="90" t="str">
        <f t="shared" si="150"/>
        <v/>
      </c>
      <c r="BU256" s="94">
        <f>BU255</f>
        <v>0</v>
      </c>
      <c r="BV256" s="94">
        <f>BV255</f>
        <v>0.17499999999999999</v>
      </c>
      <c r="BW256" s="90" t="str">
        <f t="shared" si="151"/>
        <v/>
      </c>
      <c r="BZ256" s="94">
        <f>BZ255</f>
        <v>0</v>
      </c>
      <c r="CA256" s="94">
        <f>CA255</f>
        <v>0.15</v>
      </c>
      <c r="CB256" s="90" t="str">
        <f t="shared" si="152"/>
        <v/>
      </c>
      <c r="CE256" s="95"/>
      <c r="CF256" s="96"/>
      <c r="CG256" s="97"/>
      <c r="CH256" s="97"/>
      <c r="CI256" s="98"/>
      <c r="CK256" s="99">
        <f>IFERROR(IF(F256='[1]Paramètres Généraux'!$K$12,ROUNDUP((REGENERANTS!H256*REGENERANTS!$CF$221)*'[1]Paramètres Généraux'!$M$12,-1),REGENERANTS!H256*REGENERANTS!$CF$221),"nd")</f>
        <v>0</v>
      </c>
      <c r="CN256" s="146"/>
      <c r="CO256" s="147"/>
      <c r="CP256" s="147"/>
      <c r="CQ256" s="147"/>
      <c r="CR256" s="147"/>
      <c r="CS256" s="173"/>
      <c r="CT256" s="174"/>
      <c r="CU256" s="147"/>
      <c r="CV256" s="173"/>
      <c r="CW256" s="150"/>
      <c r="CX256" s="149"/>
      <c r="CY256" s="150"/>
      <c r="CZ256" s="136"/>
      <c r="DA256" s="149"/>
      <c r="DB256" s="150"/>
      <c r="DC256" s="136"/>
      <c r="DD256" s="149"/>
      <c r="DE256" s="150"/>
      <c r="DF256" s="136"/>
      <c r="DG256" s="136"/>
      <c r="DH256" s="136"/>
      <c r="DI256" s="136"/>
      <c r="DJ256" s="136"/>
      <c r="DK256" s="136"/>
      <c r="DL256" s="136"/>
      <c r="DM256" s="136"/>
      <c r="DN256" s="136"/>
      <c r="DO256" s="149"/>
      <c r="DP256" s="150"/>
      <c r="DQ256" s="20">
        <f t="shared" si="136"/>
        <v>0</v>
      </c>
      <c r="DR256" s="20">
        <f t="shared" si="137"/>
        <v>0</v>
      </c>
      <c r="DS256" s="20">
        <f>IFERROR((IF(AND($F256="Produit Vente",CO256&gt;0),VLOOKUP($C256,'[1]Paramètres Articles'!$B:$H,7,FALSE)*$CO256)*(1-20%)),0)</f>
        <v>0</v>
      </c>
      <c r="DT256" s="20">
        <f>IFERROR((IF(AND($F256="Produit Vente",DR256&gt;0),VLOOKUP($C256,'[1]Paramètres Articles'!$B:$H,6,FALSE)*$DR256)*(1-15%)),0)</f>
        <v>0</v>
      </c>
    </row>
    <row r="257" spans="2:124" ht="12.95" hidden="1" customHeight="1" outlineLevel="1">
      <c r="B257" s="1">
        <f>IF(C257="",0,COUNTIFS($B$22:B256,"&gt;"&amp;0)+1)</f>
        <v>0</v>
      </c>
      <c r="C257" s="85"/>
      <c r="D257" s="86" t="str">
        <f>IFERROR(IF($C257="","",VLOOKUP($C257,'[1]Paramètres Articles'!$B:$G,2,FALSE)),"Non Trouvé")</f>
        <v/>
      </c>
      <c r="E257" s="87" t="str">
        <f>IFERROR(IF($C257="","",_xlfn.XLOOKUP(REGENERANTS!$C257,'[1]New Base PA'!$F:$F,'[1]New Base PA'!$D:$D,"Not Found",0)),"Non Trouvé")</f>
        <v/>
      </c>
      <c r="F257" s="88"/>
      <c r="H257" s="101"/>
      <c r="J257" s="90" t="str">
        <f>IFERROR(IF($C257="","",VLOOKUP($C257,'[1]New Base PA'!$F:$J,5,FALSE)),"Non Trouvé")</f>
        <v/>
      </c>
      <c r="K257" s="131" t="str">
        <f t="shared" si="140"/>
        <v/>
      </c>
      <c r="L257" s="132"/>
      <c r="M257" s="90">
        <f>IFERROR(IF(AND($F257="Produit Vente",H257&gt;0),VLOOKUP($C257,'[1]Paramètres Articles'!$B:$G,6,FALSE),0),"Non Trouvé")</f>
        <v>0</v>
      </c>
      <c r="N257" s="90" t="str">
        <f t="shared" si="141"/>
        <v/>
      </c>
      <c r="P257" s="92"/>
      <c r="R257" s="90" t="str">
        <f t="shared" si="134"/>
        <v/>
      </c>
      <c r="S257" s="91"/>
      <c r="T257" s="90" t="str">
        <f>IFERROR(IF($C257="","",VLOOKUP($C257,'[1]Paramètres Articles'!$B:$H,7,FALSE)),"Non Trouvé")</f>
        <v/>
      </c>
      <c r="U257" s="93"/>
      <c r="V257" s="90" t="str">
        <f t="shared" si="138"/>
        <v/>
      </c>
      <c r="W257" s="91"/>
      <c r="X257" s="90" t="str">
        <f t="shared" si="139"/>
        <v/>
      </c>
      <c r="Y257" s="91"/>
      <c r="Z257" s="90">
        <f t="shared" si="135"/>
        <v>0</v>
      </c>
      <c r="AB257" s="94">
        <f>AB255</f>
        <v>0</v>
      </c>
      <c r="AC257" s="94">
        <f>AC255</f>
        <v>0.17</v>
      </c>
      <c r="AD257" s="90" t="str">
        <f t="shared" si="142"/>
        <v/>
      </c>
      <c r="AG257" s="94">
        <f>AG255</f>
        <v>0</v>
      </c>
      <c r="AH257" s="94">
        <f>AH255</f>
        <v>0.13</v>
      </c>
      <c r="AI257" s="90" t="str">
        <f t="shared" si="143"/>
        <v/>
      </c>
      <c r="AL257" s="94">
        <f>AL255</f>
        <v>0</v>
      </c>
      <c r="AM257" s="94">
        <f>AM255</f>
        <v>0.08</v>
      </c>
      <c r="AN257" s="90" t="str">
        <f t="shared" si="144"/>
        <v/>
      </c>
      <c r="AQ257" s="94">
        <f>AQ255</f>
        <v>0</v>
      </c>
      <c r="AR257" s="94">
        <f>AR255</f>
        <v>0.05</v>
      </c>
      <c r="AS257" s="90" t="str">
        <f t="shared" si="145"/>
        <v/>
      </c>
      <c r="AV257" s="94">
        <f>AV255</f>
        <v>0</v>
      </c>
      <c r="AW257" s="94">
        <f>AW255</f>
        <v>0.32500000000000001</v>
      </c>
      <c r="AX257" s="90" t="str">
        <f t="shared" si="146"/>
        <v/>
      </c>
      <c r="BA257" s="94">
        <f>BA255</f>
        <v>0</v>
      </c>
      <c r="BB257" s="94">
        <f>BB255</f>
        <v>0.29499999999999998</v>
      </c>
      <c r="BC257" s="90" t="str">
        <f t="shared" si="147"/>
        <v/>
      </c>
      <c r="BF257" s="94">
        <f>BF255</f>
        <v>0</v>
      </c>
      <c r="BG257" s="94">
        <f>BG255</f>
        <v>0.27500000000000002</v>
      </c>
      <c r="BH257" s="90" t="str">
        <f t="shared" si="148"/>
        <v/>
      </c>
      <c r="BK257" s="94">
        <f>BK255</f>
        <v>0</v>
      </c>
      <c r="BL257" s="94">
        <f>BL255</f>
        <v>0.245</v>
      </c>
      <c r="BM257" s="90" t="str">
        <f t="shared" si="149"/>
        <v/>
      </c>
      <c r="BP257" s="94">
        <f>BP255</f>
        <v>0</v>
      </c>
      <c r="BQ257" s="94">
        <f>BQ255</f>
        <v>0.22500000000000001</v>
      </c>
      <c r="BR257" s="90" t="str">
        <f t="shared" si="150"/>
        <v/>
      </c>
      <c r="BU257" s="94">
        <f>BU255</f>
        <v>0</v>
      </c>
      <c r="BV257" s="94">
        <f>BV255</f>
        <v>0.17499999999999999</v>
      </c>
      <c r="BW257" s="90" t="str">
        <f t="shared" si="151"/>
        <v/>
      </c>
      <c r="BZ257" s="94">
        <f>BZ255</f>
        <v>0</v>
      </c>
      <c r="CA257" s="94">
        <f>CA255</f>
        <v>0.15</v>
      </c>
      <c r="CB257" s="90" t="str">
        <f t="shared" si="152"/>
        <v/>
      </c>
      <c r="CE257" s="95"/>
      <c r="CF257" s="96"/>
      <c r="CG257" s="97"/>
      <c r="CH257" s="97"/>
      <c r="CI257" s="98"/>
      <c r="CK257" s="99">
        <f>IFERROR(IF(F257='[1]Paramètres Généraux'!$K$12,ROUNDUP((REGENERANTS!H257*REGENERANTS!$CF$221)*'[1]Paramètres Généraux'!$M$12,-1),REGENERANTS!H257*REGENERANTS!$CF$221),"nd")</f>
        <v>0</v>
      </c>
      <c r="CN257" s="146"/>
      <c r="CO257" s="147"/>
      <c r="CP257" s="147"/>
      <c r="CQ257" s="147"/>
      <c r="CR257" s="147"/>
      <c r="CS257" s="173"/>
      <c r="CT257" s="174"/>
      <c r="CU257" s="147"/>
      <c r="CV257" s="173"/>
      <c r="CW257" s="150"/>
      <c r="CX257" s="149"/>
      <c r="CY257" s="150"/>
      <c r="CZ257" s="136"/>
      <c r="DA257" s="149"/>
      <c r="DB257" s="150"/>
      <c r="DC257" s="136"/>
      <c r="DD257" s="149"/>
      <c r="DE257" s="150"/>
      <c r="DF257" s="136"/>
      <c r="DG257" s="136"/>
      <c r="DH257" s="136"/>
      <c r="DI257" s="136"/>
      <c r="DJ257" s="136"/>
      <c r="DK257" s="136"/>
      <c r="DL257" s="136"/>
      <c r="DM257" s="136"/>
      <c r="DN257" s="136"/>
      <c r="DO257" s="149"/>
      <c r="DP257" s="150"/>
      <c r="DQ257" s="20">
        <f t="shared" si="136"/>
        <v>0</v>
      </c>
      <c r="DR257" s="20">
        <f t="shared" si="137"/>
        <v>0</v>
      </c>
      <c r="DS257" s="20">
        <f>IFERROR((IF(AND($F257="Produit Vente",CO257&gt;0),VLOOKUP($C257,'[1]Paramètres Articles'!$B:$H,7,FALSE)*$CO257)*(1-20%)),0)</f>
        <v>0</v>
      </c>
      <c r="DT257" s="20">
        <f>IFERROR((IF(AND($F257="Produit Vente",DR257&gt;0),VLOOKUP($C257,'[1]Paramètres Articles'!$B:$H,6,FALSE)*$DR257)*(1-15%)),0)</f>
        <v>0</v>
      </c>
    </row>
    <row r="258" spans="2:124" ht="12.95" hidden="1" customHeight="1" outlineLevel="1">
      <c r="B258" s="1">
        <f>IF(C258="",0,COUNTIFS($B$22:B257,"&gt;"&amp;0)+1)</f>
        <v>0</v>
      </c>
      <c r="C258" s="85"/>
      <c r="D258" s="86" t="str">
        <f>IFERROR(IF($C258="","",VLOOKUP($C258,'[1]Paramètres Articles'!$B:$G,2,FALSE)),"Non Trouvé")</f>
        <v/>
      </c>
      <c r="E258" s="87" t="str">
        <f>IFERROR(IF($C258="","",_xlfn.XLOOKUP(REGENERANTS!$C258,'[1]New Base PA'!$F:$F,'[1]New Base PA'!$D:$D,"Not Found",0)),"Non Trouvé")</f>
        <v/>
      </c>
      <c r="F258" s="88"/>
      <c r="H258" s="101"/>
      <c r="J258" s="90" t="str">
        <f>IFERROR(IF($C258="","",VLOOKUP($C258,'[1]New Base PA'!$F:$J,5,FALSE)),"Non Trouvé")</f>
        <v/>
      </c>
      <c r="K258" s="131" t="str">
        <f t="shared" si="140"/>
        <v/>
      </c>
      <c r="L258" s="132"/>
      <c r="M258" s="90">
        <f>IFERROR(IF(AND($F258="Produit Vente",H258&gt;0),VLOOKUP($C258,'[1]Paramètres Articles'!$B:$G,6,FALSE),0),"Non Trouvé")</f>
        <v>0</v>
      </c>
      <c r="N258" s="90" t="str">
        <f t="shared" si="141"/>
        <v/>
      </c>
      <c r="P258" s="92"/>
      <c r="R258" s="90" t="str">
        <f t="shared" si="134"/>
        <v/>
      </c>
      <c r="S258" s="91"/>
      <c r="T258" s="90" t="str">
        <f>IFERROR(IF($C258="","",VLOOKUP($C258,'[1]Paramètres Articles'!$B:$H,7,FALSE)),"Non Trouvé")</f>
        <v/>
      </c>
      <c r="U258" s="93"/>
      <c r="V258" s="90" t="str">
        <f t="shared" si="138"/>
        <v/>
      </c>
      <c r="W258" s="91"/>
      <c r="X258" s="90" t="str">
        <f t="shared" si="139"/>
        <v/>
      </c>
      <c r="Y258" s="91"/>
      <c r="Z258" s="90">
        <f t="shared" si="135"/>
        <v>0</v>
      </c>
      <c r="AB258" s="94">
        <f>AB257</f>
        <v>0</v>
      </c>
      <c r="AC258" s="94">
        <f>AC257</f>
        <v>0.17</v>
      </c>
      <c r="AD258" s="90" t="str">
        <f t="shared" si="142"/>
        <v/>
      </c>
      <c r="AG258" s="94">
        <f>AG257</f>
        <v>0</v>
      </c>
      <c r="AH258" s="94">
        <f>AH257</f>
        <v>0.13</v>
      </c>
      <c r="AI258" s="90" t="str">
        <f t="shared" si="143"/>
        <v/>
      </c>
      <c r="AL258" s="94">
        <f>AL257</f>
        <v>0</v>
      </c>
      <c r="AM258" s="94">
        <f>AM257</f>
        <v>0.08</v>
      </c>
      <c r="AN258" s="90" t="str">
        <f t="shared" si="144"/>
        <v/>
      </c>
      <c r="AQ258" s="94">
        <f>AQ257</f>
        <v>0</v>
      </c>
      <c r="AR258" s="94">
        <f>AR257</f>
        <v>0.05</v>
      </c>
      <c r="AS258" s="90" t="str">
        <f t="shared" si="145"/>
        <v/>
      </c>
      <c r="AV258" s="94">
        <f>AV257</f>
        <v>0</v>
      </c>
      <c r="AW258" s="94">
        <f>AW257</f>
        <v>0.32500000000000001</v>
      </c>
      <c r="AX258" s="90" t="str">
        <f t="shared" si="146"/>
        <v/>
      </c>
      <c r="BA258" s="94">
        <f>BA257</f>
        <v>0</v>
      </c>
      <c r="BB258" s="94">
        <f>BB257</f>
        <v>0.29499999999999998</v>
      </c>
      <c r="BC258" s="90" t="str">
        <f t="shared" si="147"/>
        <v/>
      </c>
      <c r="BF258" s="94">
        <f>BF257</f>
        <v>0</v>
      </c>
      <c r="BG258" s="94">
        <f>BG257</f>
        <v>0.27500000000000002</v>
      </c>
      <c r="BH258" s="90" t="str">
        <f t="shared" si="148"/>
        <v/>
      </c>
      <c r="BK258" s="94">
        <f>BK257</f>
        <v>0</v>
      </c>
      <c r="BL258" s="94">
        <f>BL257</f>
        <v>0.245</v>
      </c>
      <c r="BM258" s="90" t="str">
        <f t="shared" si="149"/>
        <v/>
      </c>
      <c r="BP258" s="94">
        <f>BP257</f>
        <v>0</v>
      </c>
      <c r="BQ258" s="94">
        <f>BQ257</f>
        <v>0.22500000000000001</v>
      </c>
      <c r="BR258" s="90" t="str">
        <f t="shared" si="150"/>
        <v/>
      </c>
      <c r="BU258" s="94">
        <f>BU257</f>
        <v>0</v>
      </c>
      <c r="BV258" s="94">
        <f>BV257</f>
        <v>0.17499999999999999</v>
      </c>
      <c r="BW258" s="90" t="str">
        <f t="shared" si="151"/>
        <v/>
      </c>
      <c r="BZ258" s="94">
        <f>BZ257</f>
        <v>0</v>
      </c>
      <c r="CA258" s="94">
        <f>CA257</f>
        <v>0.15</v>
      </c>
      <c r="CB258" s="90" t="str">
        <f t="shared" si="152"/>
        <v/>
      </c>
      <c r="CE258" s="95"/>
      <c r="CF258" s="96"/>
      <c r="CG258" s="97"/>
      <c r="CH258" s="97"/>
      <c r="CI258" s="98"/>
      <c r="CK258" s="99">
        <f>IFERROR(IF(F258='[1]Paramètres Généraux'!$K$12,ROUNDUP((REGENERANTS!H258*REGENERANTS!$CF$221)*'[1]Paramètres Généraux'!$M$12,-1),REGENERANTS!H258*REGENERANTS!$CF$221),"nd")</f>
        <v>0</v>
      </c>
      <c r="CN258" s="146"/>
      <c r="CO258" s="147"/>
      <c r="CP258" s="147"/>
      <c r="CQ258" s="147"/>
      <c r="CR258" s="147"/>
      <c r="CS258" s="173"/>
      <c r="CT258" s="174"/>
      <c r="CU258" s="147"/>
      <c r="CV258" s="173"/>
      <c r="CW258" s="150"/>
      <c r="CX258" s="149"/>
      <c r="CY258" s="150"/>
      <c r="CZ258" s="136"/>
      <c r="DA258" s="149"/>
      <c r="DB258" s="150"/>
      <c r="DC258" s="136"/>
      <c r="DD258" s="149"/>
      <c r="DE258" s="150"/>
      <c r="DF258" s="136"/>
      <c r="DG258" s="136"/>
      <c r="DH258" s="136"/>
      <c r="DI258" s="136"/>
      <c r="DJ258" s="136"/>
      <c r="DK258" s="136"/>
      <c r="DL258" s="136"/>
      <c r="DM258" s="136"/>
      <c r="DN258" s="136"/>
      <c r="DO258" s="149"/>
      <c r="DP258" s="150"/>
      <c r="DQ258" s="20">
        <f t="shared" si="136"/>
        <v>0</v>
      </c>
      <c r="DR258" s="20">
        <f t="shared" si="137"/>
        <v>0</v>
      </c>
      <c r="DS258" s="20">
        <f>IFERROR((IF(AND($F258="Produit Vente",CO258&gt;0),VLOOKUP($C258,'[1]Paramètres Articles'!$B:$H,7,FALSE)*$CO258)*(1-20%)),0)</f>
        <v>0</v>
      </c>
      <c r="DT258" s="20">
        <f>IFERROR((IF(AND($F258="Produit Vente",DR258&gt;0),VLOOKUP($C258,'[1]Paramètres Articles'!$B:$H,6,FALSE)*$DR258)*(1-15%)),0)</f>
        <v>0</v>
      </c>
    </row>
    <row r="259" spans="2:124" ht="12.95" hidden="1" customHeight="1" outlineLevel="1">
      <c r="B259" s="1">
        <f>IF(C259="",0,COUNTIFS($B$22:B258,"&gt;"&amp;0)+1)</f>
        <v>0</v>
      </c>
      <c r="C259" s="85"/>
      <c r="D259" s="86" t="str">
        <f>IFERROR(IF($C259="","",VLOOKUP($C259,'[1]Paramètres Articles'!$B:$G,2,FALSE)),"Non Trouvé")</f>
        <v/>
      </c>
      <c r="E259" s="87" t="str">
        <f>IFERROR(IF($C259="","",_xlfn.XLOOKUP(REGENERANTS!$C259,'[1]New Base PA'!$F:$F,'[1]New Base PA'!$D:$D,"Not Found",0)),"Non Trouvé")</f>
        <v/>
      </c>
      <c r="F259" s="88"/>
      <c r="H259" s="101"/>
      <c r="J259" s="90" t="str">
        <f>IFERROR(IF($C259="","",VLOOKUP($C259,'[1]New Base PA'!$F:$J,5,FALSE)),"Non Trouvé")</f>
        <v/>
      </c>
      <c r="K259" s="131" t="str">
        <f t="shared" si="140"/>
        <v/>
      </c>
      <c r="L259" s="132"/>
      <c r="M259" s="90">
        <f>IFERROR(IF(AND($F259="Produit Vente",H259&gt;0),VLOOKUP($C259,'[1]Paramètres Articles'!$B:$G,6,FALSE),0),"Non Trouvé")</f>
        <v>0</v>
      </c>
      <c r="N259" s="90" t="str">
        <f t="shared" si="141"/>
        <v/>
      </c>
      <c r="P259" s="92"/>
      <c r="R259" s="90" t="str">
        <f t="shared" si="134"/>
        <v/>
      </c>
      <c r="S259" s="91"/>
      <c r="T259" s="90" t="str">
        <f>IFERROR(IF($C259="","",VLOOKUP($C259,'[1]Paramètres Articles'!$B:$H,7,FALSE)),"Non Trouvé")</f>
        <v/>
      </c>
      <c r="U259" s="93"/>
      <c r="V259" s="90" t="str">
        <f t="shared" si="138"/>
        <v/>
      </c>
      <c r="W259" s="91"/>
      <c r="X259" s="90" t="str">
        <f t="shared" si="139"/>
        <v/>
      </c>
      <c r="Y259" s="91"/>
      <c r="Z259" s="90">
        <f t="shared" si="135"/>
        <v>0</v>
      </c>
      <c r="AB259" s="94">
        <f>AB257</f>
        <v>0</v>
      </c>
      <c r="AC259" s="94">
        <f>AC257</f>
        <v>0.17</v>
      </c>
      <c r="AD259" s="90" t="str">
        <f t="shared" si="142"/>
        <v/>
      </c>
      <c r="AG259" s="94">
        <f>AG257</f>
        <v>0</v>
      </c>
      <c r="AH259" s="94">
        <f>AH257</f>
        <v>0.13</v>
      </c>
      <c r="AI259" s="90" t="str">
        <f t="shared" si="143"/>
        <v/>
      </c>
      <c r="AL259" s="94">
        <f>AL257</f>
        <v>0</v>
      </c>
      <c r="AM259" s="94">
        <f>AM257</f>
        <v>0.08</v>
      </c>
      <c r="AN259" s="90" t="str">
        <f t="shared" si="144"/>
        <v/>
      </c>
      <c r="AQ259" s="94">
        <f>AQ257</f>
        <v>0</v>
      </c>
      <c r="AR259" s="94">
        <f>AR257</f>
        <v>0.05</v>
      </c>
      <c r="AS259" s="90" t="str">
        <f t="shared" si="145"/>
        <v/>
      </c>
      <c r="AV259" s="94">
        <f>AV257</f>
        <v>0</v>
      </c>
      <c r="AW259" s="94">
        <f>AW257</f>
        <v>0.32500000000000001</v>
      </c>
      <c r="AX259" s="90" t="str">
        <f t="shared" si="146"/>
        <v/>
      </c>
      <c r="BA259" s="94">
        <f>BA257</f>
        <v>0</v>
      </c>
      <c r="BB259" s="94">
        <f>BB257</f>
        <v>0.29499999999999998</v>
      </c>
      <c r="BC259" s="90" t="str">
        <f t="shared" si="147"/>
        <v/>
      </c>
      <c r="BF259" s="94">
        <f>BF257</f>
        <v>0</v>
      </c>
      <c r="BG259" s="94">
        <f>BG257</f>
        <v>0.27500000000000002</v>
      </c>
      <c r="BH259" s="90" t="str">
        <f t="shared" si="148"/>
        <v/>
      </c>
      <c r="BK259" s="94">
        <f>BK257</f>
        <v>0</v>
      </c>
      <c r="BL259" s="94">
        <f>BL257</f>
        <v>0.245</v>
      </c>
      <c r="BM259" s="90" t="str">
        <f t="shared" si="149"/>
        <v/>
      </c>
      <c r="BP259" s="94">
        <f>BP257</f>
        <v>0</v>
      </c>
      <c r="BQ259" s="94">
        <f>BQ257</f>
        <v>0.22500000000000001</v>
      </c>
      <c r="BR259" s="90" t="str">
        <f t="shared" si="150"/>
        <v/>
      </c>
      <c r="BU259" s="94">
        <f>BU257</f>
        <v>0</v>
      </c>
      <c r="BV259" s="94">
        <f>BV257</f>
        <v>0.17499999999999999</v>
      </c>
      <c r="BW259" s="90" t="str">
        <f t="shared" si="151"/>
        <v/>
      </c>
      <c r="BZ259" s="94">
        <f>BZ257</f>
        <v>0</v>
      </c>
      <c r="CA259" s="94">
        <f>CA257</f>
        <v>0.15</v>
      </c>
      <c r="CB259" s="90" t="str">
        <f t="shared" si="152"/>
        <v/>
      </c>
      <c r="CE259" s="95"/>
      <c r="CF259" s="96"/>
      <c r="CG259" s="97"/>
      <c r="CH259" s="97"/>
      <c r="CI259" s="98"/>
      <c r="CK259" s="99">
        <f>IFERROR(IF(F259='[1]Paramètres Généraux'!$K$12,ROUNDUP((REGENERANTS!H259*REGENERANTS!$CF$221)*'[1]Paramètres Généraux'!$M$12,-1),REGENERANTS!H259*REGENERANTS!$CF$221),"nd")</f>
        <v>0</v>
      </c>
      <c r="CN259" s="146"/>
      <c r="CO259" s="147"/>
      <c r="CP259" s="147"/>
      <c r="CQ259" s="147"/>
      <c r="CR259" s="147"/>
      <c r="CS259" s="173"/>
      <c r="CT259" s="174"/>
      <c r="CU259" s="147"/>
      <c r="CV259" s="173"/>
      <c r="CW259" s="150"/>
      <c r="CX259" s="149"/>
      <c r="CY259" s="150"/>
      <c r="CZ259" s="136"/>
      <c r="DA259" s="149"/>
      <c r="DB259" s="150"/>
      <c r="DC259" s="136"/>
      <c r="DD259" s="149"/>
      <c r="DE259" s="150"/>
      <c r="DF259" s="136"/>
      <c r="DG259" s="136"/>
      <c r="DH259" s="136"/>
      <c r="DI259" s="136"/>
      <c r="DJ259" s="136"/>
      <c r="DK259" s="136"/>
      <c r="DL259" s="136"/>
      <c r="DM259" s="136"/>
      <c r="DN259" s="136"/>
      <c r="DO259" s="149"/>
      <c r="DP259" s="150"/>
      <c r="DQ259" s="20">
        <f t="shared" si="136"/>
        <v>0</v>
      </c>
      <c r="DR259" s="20">
        <f t="shared" si="137"/>
        <v>0</v>
      </c>
      <c r="DS259" s="20">
        <f>IFERROR((IF(AND($F259="Produit Vente",CO259&gt;0),VLOOKUP($C259,'[1]Paramètres Articles'!$B:$H,7,FALSE)*$CO259)*(1-20%)),0)</f>
        <v>0</v>
      </c>
      <c r="DT259" s="20">
        <f>IFERROR((IF(AND($F259="Produit Vente",DR259&gt;0),VLOOKUP($C259,'[1]Paramètres Articles'!$B:$H,6,FALSE)*$DR259)*(1-15%)),0)</f>
        <v>0</v>
      </c>
    </row>
    <row r="260" spans="2:124" ht="12.95" hidden="1" customHeight="1" outlineLevel="1">
      <c r="B260" s="1">
        <f>IF(C260="",0,COUNTIFS($B$22:B259,"&gt;"&amp;0)+1)</f>
        <v>0</v>
      </c>
      <c r="C260" s="85"/>
      <c r="D260" s="86" t="str">
        <f>IFERROR(IF($C260="","",VLOOKUP($C260,'[1]Paramètres Articles'!$B:$G,2,FALSE)),"Non Trouvé")</f>
        <v/>
      </c>
      <c r="E260" s="87" t="str">
        <f>IFERROR(IF($C260="","",_xlfn.XLOOKUP(REGENERANTS!$C260,'[1]New Base PA'!$F:$F,'[1]New Base PA'!$D:$D,"Not Found",0)),"Non Trouvé")</f>
        <v/>
      </c>
      <c r="F260" s="88"/>
      <c r="H260" s="101"/>
      <c r="J260" s="90" t="str">
        <f>IFERROR(IF($C260="","",VLOOKUP($C260,'[1]New Base PA'!$F:$J,5,FALSE)),"Non Trouvé")</f>
        <v/>
      </c>
      <c r="K260" s="131" t="str">
        <f t="shared" si="140"/>
        <v/>
      </c>
      <c r="L260" s="132"/>
      <c r="M260" s="90">
        <f>IFERROR(IF(AND($F260="Produit Vente",H260&gt;0),VLOOKUP($C260,'[1]Paramètres Articles'!$B:$G,6,FALSE),0),"Non Trouvé")</f>
        <v>0</v>
      </c>
      <c r="N260" s="90" t="str">
        <f t="shared" si="141"/>
        <v/>
      </c>
      <c r="P260" s="92"/>
      <c r="R260" s="90" t="str">
        <f t="shared" si="134"/>
        <v/>
      </c>
      <c r="S260" s="91"/>
      <c r="T260" s="90" t="str">
        <f>IFERROR(IF($C260="","",VLOOKUP($C260,'[1]Paramètres Articles'!$B:$H,7,FALSE)),"Non Trouvé")</f>
        <v/>
      </c>
      <c r="U260" s="93"/>
      <c r="V260" s="90" t="str">
        <f t="shared" si="138"/>
        <v/>
      </c>
      <c r="W260" s="91"/>
      <c r="X260" s="90" t="str">
        <f t="shared" si="139"/>
        <v/>
      </c>
      <c r="Y260" s="91"/>
      <c r="Z260" s="90">
        <f t="shared" si="135"/>
        <v>0</v>
      </c>
      <c r="AB260" s="94">
        <f>AB259</f>
        <v>0</v>
      </c>
      <c r="AC260" s="94">
        <f>AC259</f>
        <v>0.17</v>
      </c>
      <c r="AD260" s="90" t="str">
        <f t="shared" si="142"/>
        <v/>
      </c>
      <c r="AG260" s="94">
        <f>AG259</f>
        <v>0</v>
      </c>
      <c r="AH260" s="94">
        <f>AH259</f>
        <v>0.13</v>
      </c>
      <c r="AI260" s="90" t="str">
        <f t="shared" si="143"/>
        <v/>
      </c>
      <c r="AL260" s="94">
        <f>AL259</f>
        <v>0</v>
      </c>
      <c r="AM260" s="94">
        <f>AM259</f>
        <v>0.08</v>
      </c>
      <c r="AN260" s="90" t="str">
        <f t="shared" si="144"/>
        <v/>
      </c>
      <c r="AQ260" s="94">
        <f>AQ259</f>
        <v>0</v>
      </c>
      <c r="AR260" s="94">
        <f>AR259</f>
        <v>0.05</v>
      </c>
      <c r="AS260" s="90" t="str">
        <f t="shared" si="145"/>
        <v/>
      </c>
      <c r="AV260" s="94">
        <f>AV259</f>
        <v>0</v>
      </c>
      <c r="AW260" s="94">
        <f>AW259</f>
        <v>0.32500000000000001</v>
      </c>
      <c r="AX260" s="90" t="str">
        <f t="shared" si="146"/>
        <v/>
      </c>
      <c r="BA260" s="94">
        <f>BA259</f>
        <v>0</v>
      </c>
      <c r="BB260" s="94">
        <f>BB259</f>
        <v>0.29499999999999998</v>
      </c>
      <c r="BC260" s="90" t="str">
        <f t="shared" si="147"/>
        <v/>
      </c>
      <c r="BF260" s="94">
        <f>BF259</f>
        <v>0</v>
      </c>
      <c r="BG260" s="94">
        <f>BG259</f>
        <v>0.27500000000000002</v>
      </c>
      <c r="BH260" s="90" t="str">
        <f t="shared" si="148"/>
        <v/>
      </c>
      <c r="BK260" s="94">
        <f>BK259</f>
        <v>0</v>
      </c>
      <c r="BL260" s="94">
        <f>BL259</f>
        <v>0.245</v>
      </c>
      <c r="BM260" s="90" t="str">
        <f t="shared" si="149"/>
        <v/>
      </c>
      <c r="BP260" s="94">
        <f>BP259</f>
        <v>0</v>
      </c>
      <c r="BQ260" s="94">
        <f>BQ259</f>
        <v>0.22500000000000001</v>
      </c>
      <c r="BR260" s="90" t="str">
        <f t="shared" si="150"/>
        <v/>
      </c>
      <c r="BU260" s="94">
        <f>BU259</f>
        <v>0</v>
      </c>
      <c r="BV260" s="94">
        <f>BV259</f>
        <v>0.17499999999999999</v>
      </c>
      <c r="BW260" s="90" t="str">
        <f t="shared" si="151"/>
        <v/>
      </c>
      <c r="BZ260" s="94">
        <f>BZ259</f>
        <v>0</v>
      </c>
      <c r="CA260" s="94">
        <f>CA259</f>
        <v>0.15</v>
      </c>
      <c r="CB260" s="90" t="str">
        <f t="shared" si="152"/>
        <v/>
      </c>
      <c r="CE260" s="95"/>
      <c r="CF260" s="96"/>
      <c r="CG260" s="97"/>
      <c r="CH260" s="97"/>
      <c r="CI260" s="98"/>
      <c r="CK260" s="99">
        <f>IFERROR(IF(F260='[1]Paramètres Généraux'!$K$12,ROUNDUP((REGENERANTS!H260*REGENERANTS!$CF$221)*'[1]Paramètres Généraux'!$M$12,-1),REGENERANTS!H260*REGENERANTS!$CF$221),"nd")</f>
        <v>0</v>
      </c>
      <c r="CN260" s="146"/>
      <c r="CO260" s="147"/>
      <c r="CP260" s="147"/>
      <c r="CQ260" s="147"/>
      <c r="CR260" s="147"/>
      <c r="CS260" s="173"/>
      <c r="CT260" s="174"/>
      <c r="CU260" s="147"/>
      <c r="CV260" s="173"/>
      <c r="CW260" s="150"/>
      <c r="CX260" s="149"/>
      <c r="CY260" s="150"/>
      <c r="CZ260" s="136"/>
      <c r="DA260" s="149"/>
      <c r="DB260" s="150"/>
      <c r="DC260" s="136"/>
      <c r="DD260" s="149"/>
      <c r="DE260" s="150"/>
      <c r="DF260" s="136"/>
      <c r="DG260" s="136"/>
      <c r="DH260" s="136"/>
      <c r="DI260" s="136"/>
      <c r="DJ260" s="136"/>
      <c r="DK260" s="136"/>
      <c r="DL260" s="136"/>
      <c r="DM260" s="136"/>
      <c r="DN260" s="136"/>
      <c r="DO260" s="149"/>
      <c r="DP260" s="150"/>
      <c r="DQ260" s="20">
        <f t="shared" si="136"/>
        <v>0</v>
      </c>
      <c r="DR260" s="20">
        <f t="shared" si="137"/>
        <v>0</v>
      </c>
      <c r="DS260" s="20">
        <f>IFERROR((IF(AND($F260="Produit Vente",CO260&gt;0),VLOOKUP($C260,'[1]Paramètres Articles'!$B:$H,7,FALSE)*$CO260)*(1-20%)),0)</f>
        <v>0</v>
      </c>
      <c r="DT260" s="20">
        <f>IFERROR((IF(AND($F260="Produit Vente",DR260&gt;0),VLOOKUP($C260,'[1]Paramètres Articles'!$B:$H,6,FALSE)*$DR260)*(1-15%)),0)</f>
        <v>0</v>
      </c>
    </row>
    <row r="261" spans="2:124" ht="12.95" hidden="1" customHeight="1" outlineLevel="1">
      <c r="B261" s="1">
        <f>IF(C261="",0,COUNTIFS($B$22:B260,"&gt;"&amp;0)+1)</f>
        <v>0</v>
      </c>
      <c r="C261" s="85"/>
      <c r="D261" s="86" t="str">
        <f>IFERROR(IF($C261="","",VLOOKUP($C261,'[1]Paramètres Articles'!$B:$G,2,FALSE)),"Non Trouvé")</f>
        <v/>
      </c>
      <c r="E261" s="87" t="str">
        <f>IFERROR(IF($C261="","",_xlfn.XLOOKUP(REGENERANTS!$C261,'[1]New Base PA'!$F:$F,'[1]New Base PA'!$D:$D,"Not Found",0)),"Non Trouvé")</f>
        <v/>
      </c>
      <c r="F261" s="88"/>
      <c r="H261" s="101"/>
      <c r="J261" s="90" t="str">
        <f>IFERROR(IF($C261="","",VLOOKUP($C261,'[1]New Base PA'!$F:$J,5,FALSE)),"Non Trouvé")</f>
        <v/>
      </c>
      <c r="K261" s="131" t="str">
        <f t="shared" si="140"/>
        <v/>
      </c>
      <c r="L261" s="132"/>
      <c r="M261" s="90">
        <f>IFERROR(IF(AND($F261="Produit Vente",H261&gt;0),VLOOKUP($C261,'[1]Paramètres Articles'!$B:$G,6,FALSE),0),"Non Trouvé")</f>
        <v>0</v>
      </c>
      <c r="N261" s="90" t="str">
        <f t="shared" si="141"/>
        <v/>
      </c>
      <c r="P261" s="92"/>
      <c r="R261" s="90" t="str">
        <f t="shared" si="134"/>
        <v/>
      </c>
      <c r="S261" s="91"/>
      <c r="T261" s="90" t="str">
        <f>IFERROR(IF($C261="","",VLOOKUP($C261,'[1]Paramètres Articles'!$B:$H,7,FALSE)),"Non Trouvé")</f>
        <v/>
      </c>
      <c r="U261" s="93"/>
      <c r="V261" s="90" t="str">
        <f t="shared" si="138"/>
        <v/>
      </c>
      <c r="W261" s="91"/>
      <c r="X261" s="90" t="str">
        <f t="shared" si="139"/>
        <v/>
      </c>
      <c r="Y261" s="91"/>
      <c r="Z261" s="90">
        <f t="shared" si="135"/>
        <v>0</v>
      </c>
      <c r="AB261" s="94">
        <f>AB259</f>
        <v>0</v>
      </c>
      <c r="AC261" s="94">
        <f>AC259</f>
        <v>0.17</v>
      </c>
      <c r="AD261" s="90" t="str">
        <f t="shared" si="142"/>
        <v/>
      </c>
      <c r="AG261" s="94">
        <f>AG259</f>
        <v>0</v>
      </c>
      <c r="AH261" s="94">
        <f>AH259</f>
        <v>0.13</v>
      </c>
      <c r="AI261" s="90" t="str">
        <f t="shared" si="143"/>
        <v/>
      </c>
      <c r="AL261" s="94">
        <f>AL259</f>
        <v>0</v>
      </c>
      <c r="AM261" s="94">
        <f>AM259</f>
        <v>0.08</v>
      </c>
      <c r="AN261" s="90" t="str">
        <f t="shared" si="144"/>
        <v/>
      </c>
      <c r="AQ261" s="94">
        <f>AQ259</f>
        <v>0</v>
      </c>
      <c r="AR261" s="94">
        <f>AR259</f>
        <v>0.05</v>
      </c>
      <c r="AS261" s="90" t="str">
        <f t="shared" si="145"/>
        <v/>
      </c>
      <c r="AV261" s="94">
        <f>AV259</f>
        <v>0</v>
      </c>
      <c r="AW261" s="94">
        <f>AW259</f>
        <v>0.32500000000000001</v>
      </c>
      <c r="AX261" s="90" t="str">
        <f t="shared" si="146"/>
        <v/>
      </c>
      <c r="BA261" s="94">
        <f>BA259</f>
        <v>0</v>
      </c>
      <c r="BB261" s="94">
        <f>BB259</f>
        <v>0.29499999999999998</v>
      </c>
      <c r="BC261" s="90" t="str">
        <f t="shared" si="147"/>
        <v/>
      </c>
      <c r="BF261" s="94">
        <f>BF259</f>
        <v>0</v>
      </c>
      <c r="BG261" s="94">
        <f>BG259</f>
        <v>0.27500000000000002</v>
      </c>
      <c r="BH261" s="90" t="str">
        <f t="shared" si="148"/>
        <v/>
      </c>
      <c r="BK261" s="94">
        <f>BK259</f>
        <v>0</v>
      </c>
      <c r="BL261" s="94">
        <f>BL259</f>
        <v>0.245</v>
      </c>
      <c r="BM261" s="90" t="str">
        <f t="shared" si="149"/>
        <v/>
      </c>
      <c r="BP261" s="94">
        <f>BP259</f>
        <v>0</v>
      </c>
      <c r="BQ261" s="94">
        <f>BQ259</f>
        <v>0.22500000000000001</v>
      </c>
      <c r="BR261" s="90" t="str">
        <f t="shared" si="150"/>
        <v/>
      </c>
      <c r="BU261" s="94">
        <f>BU259</f>
        <v>0</v>
      </c>
      <c r="BV261" s="94">
        <f>BV259</f>
        <v>0.17499999999999999</v>
      </c>
      <c r="BW261" s="90" t="str">
        <f t="shared" si="151"/>
        <v/>
      </c>
      <c r="BZ261" s="94">
        <f>BZ259</f>
        <v>0</v>
      </c>
      <c r="CA261" s="94">
        <f>CA259</f>
        <v>0.15</v>
      </c>
      <c r="CB261" s="90" t="str">
        <f t="shared" si="152"/>
        <v/>
      </c>
      <c r="CE261" s="95"/>
      <c r="CF261" s="96"/>
      <c r="CG261" s="97"/>
      <c r="CH261" s="97"/>
      <c r="CI261" s="98"/>
      <c r="CK261" s="99">
        <f>IFERROR(IF(F261='[1]Paramètres Généraux'!$K$12,ROUNDUP((REGENERANTS!H261*REGENERANTS!$CF$221)*'[1]Paramètres Généraux'!$M$12,-1),REGENERANTS!H261*REGENERANTS!$CF$221),"nd")</f>
        <v>0</v>
      </c>
      <c r="CN261" s="146"/>
      <c r="CO261" s="147"/>
      <c r="CP261" s="147"/>
      <c r="CQ261" s="147"/>
      <c r="CR261" s="147"/>
      <c r="CS261" s="173"/>
      <c r="CT261" s="174"/>
      <c r="CU261" s="147"/>
      <c r="CV261" s="173"/>
      <c r="CW261" s="150"/>
      <c r="CX261" s="149"/>
      <c r="CY261" s="150"/>
      <c r="CZ261" s="136"/>
      <c r="DA261" s="149"/>
      <c r="DB261" s="150"/>
      <c r="DC261" s="136"/>
      <c r="DD261" s="149"/>
      <c r="DE261" s="150"/>
      <c r="DF261" s="136"/>
      <c r="DG261" s="136"/>
      <c r="DH261" s="136"/>
      <c r="DI261" s="136"/>
      <c r="DJ261" s="136"/>
      <c r="DK261" s="136"/>
      <c r="DL261" s="136"/>
      <c r="DM261" s="136"/>
      <c r="DN261" s="136"/>
      <c r="DO261" s="149"/>
      <c r="DP261" s="150"/>
      <c r="DQ261" s="20">
        <f t="shared" si="136"/>
        <v>0</v>
      </c>
      <c r="DR261" s="20">
        <f t="shared" si="137"/>
        <v>0</v>
      </c>
      <c r="DS261" s="20">
        <f>IFERROR((IF(AND($F261="Produit Vente",CO261&gt;0),VLOOKUP($C261,'[1]Paramètres Articles'!$B:$H,7,FALSE)*$CO261)*(1-20%)),0)</f>
        <v>0</v>
      </c>
      <c r="DT261" s="20">
        <f>IFERROR((IF(AND($F261="Produit Vente",DR261&gt;0),VLOOKUP($C261,'[1]Paramètres Articles'!$B:$H,6,FALSE)*$DR261)*(1-15%)),0)</f>
        <v>0</v>
      </c>
    </row>
    <row r="262" spans="2:124" ht="12.95" hidden="1" customHeight="1" outlineLevel="1">
      <c r="B262" s="1">
        <f>IF(C262="",0,COUNTIFS($B$22:B261,"&gt;"&amp;0)+1)</f>
        <v>0</v>
      </c>
      <c r="C262" s="85"/>
      <c r="D262" s="86" t="str">
        <f>IFERROR(IF($C262="","",VLOOKUP($C262,'[1]Paramètres Articles'!$B:$G,2,FALSE)),"Non Trouvé")</f>
        <v/>
      </c>
      <c r="E262" s="87" t="str">
        <f>IFERROR(IF($C262="","",_xlfn.XLOOKUP(REGENERANTS!$C262,'[1]New Base PA'!$F:$F,'[1]New Base PA'!$D:$D,"Not Found",0)),"Non Trouvé")</f>
        <v/>
      </c>
      <c r="F262" s="88"/>
      <c r="H262" s="101"/>
      <c r="J262" s="90" t="str">
        <f>IFERROR(IF($C262="","",VLOOKUP($C262,'[1]New Base PA'!$F:$J,5,FALSE)),"Non Trouvé")</f>
        <v/>
      </c>
      <c r="K262" s="131" t="str">
        <f t="shared" si="140"/>
        <v/>
      </c>
      <c r="L262" s="132"/>
      <c r="M262" s="90">
        <f>IFERROR(IF(AND($F262="Produit Vente",H262&gt;0),VLOOKUP($C262,'[1]Paramètres Articles'!$B:$G,6,FALSE),0),"Non Trouvé")</f>
        <v>0</v>
      </c>
      <c r="N262" s="90" t="str">
        <f t="shared" si="141"/>
        <v/>
      </c>
      <c r="P262" s="92"/>
      <c r="R262" s="90" t="str">
        <f t="shared" si="134"/>
        <v/>
      </c>
      <c r="S262" s="91"/>
      <c r="T262" s="90" t="str">
        <f>IFERROR(IF($C262="","",VLOOKUP($C262,'[1]Paramètres Articles'!$B:$H,7,FALSE)),"Non Trouvé")</f>
        <v/>
      </c>
      <c r="U262" s="93"/>
      <c r="V262" s="90" t="str">
        <f t="shared" si="138"/>
        <v/>
      </c>
      <c r="W262" s="91"/>
      <c r="X262" s="90" t="str">
        <f t="shared" si="139"/>
        <v/>
      </c>
      <c r="Y262" s="91"/>
      <c r="Z262" s="90">
        <f t="shared" si="135"/>
        <v>0</v>
      </c>
      <c r="AB262" s="94">
        <f>AB261</f>
        <v>0</v>
      </c>
      <c r="AC262" s="94">
        <f>AC261</f>
        <v>0.17</v>
      </c>
      <c r="AD262" s="90" t="str">
        <f t="shared" si="142"/>
        <v/>
      </c>
      <c r="AG262" s="94">
        <f>AG261</f>
        <v>0</v>
      </c>
      <c r="AH262" s="94">
        <f>AH261</f>
        <v>0.13</v>
      </c>
      <c r="AI262" s="90" t="str">
        <f t="shared" si="143"/>
        <v/>
      </c>
      <c r="AL262" s="94">
        <f>AL261</f>
        <v>0</v>
      </c>
      <c r="AM262" s="94">
        <f>AM261</f>
        <v>0.08</v>
      </c>
      <c r="AN262" s="90" t="str">
        <f t="shared" si="144"/>
        <v/>
      </c>
      <c r="AQ262" s="94">
        <f>AQ261</f>
        <v>0</v>
      </c>
      <c r="AR262" s="94">
        <f>AR261</f>
        <v>0.05</v>
      </c>
      <c r="AS262" s="90" t="str">
        <f t="shared" si="145"/>
        <v/>
      </c>
      <c r="AV262" s="94">
        <f>AV261</f>
        <v>0</v>
      </c>
      <c r="AW262" s="94">
        <f>AW261</f>
        <v>0.32500000000000001</v>
      </c>
      <c r="AX262" s="90" t="str">
        <f t="shared" si="146"/>
        <v/>
      </c>
      <c r="BA262" s="94">
        <f>BA261</f>
        <v>0</v>
      </c>
      <c r="BB262" s="94">
        <f>BB261</f>
        <v>0.29499999999999998</v>
      </c>
      <c r="BC262" s="90" t="str">
        <f t="shared" si="147"/>
        <v/>
      </c>
      <c r="BF262" s="94">
        <f>BF261</f>
        <v>0</v>
      </c>
      <c r="BG262" s="94">
        <f>BG261</f>
        <v>0.27500000000000002</v>
      </c>
      <c r="BH262" s="90" t="str">
        <f t="shared" si="148"/>
        <v/>
      </c>
      <c r="BK262" s="94">
        <f>BK261</f>
        <v>0</v>
      </c>
      <c r="BL262" s="94">
        <f>BL261</f>
        <v>0.245</v>
      </c>
      <c r="BM262" s="90" t="str">
        <f t="shared" si="149"/>
        <v/>
      </c>
      <c r="BP262" s="94">
        <f>BP261</f>
        <v>0</v>
      </c>
      <c r="BQ262" s="94">
        <f>BQ261</f>
        <v>0.22500000000000001</v>
      </c>
      <c r="BR262" s="90" t="str">
        <f t="shared" si="150"/>
        <v/>
      </c>
      <c r="BU262" s="94">
        <f>BU261</f>
        <v>0</v>
      </c>
      <c r="BV262" s="94">
        <f>BV261</f>
        <v>0.17499999999999999</v>
      </c>
      <c r="BW262" s="90" t="str">
        <f t="shared" si="151"/>
        <v/>
      </c>
      <c r="BZ262" s="94">
        <f>BZ261</f>
        <v>0</v>
      </c>
      <c r="CA262" s="94">
        <f>CA261</f>
        <v>0.15</v>
      </c>
      <c r="CB262" s="90" t="str">
        <f t="shared" si="152"/>
        <v/>
      </c>
      <c r="CE262" s="95"/>
      <c r="CF262" s="96"/>
      <c r="CG262" s="97"/>
      <c r="CH262" s="97"/>
      <c r="CI262" s="98"/>
      <c r="CK262" s="99">
        <f>IFERROR(IF(F262='[1]Paramètres Généraux'!$K$12,ROUNDUP((REGENERANTS!H262*REGENERANTS!$CF$221)*'[1]Paramètres Généraux'!$M$12,-1),REGENERANTS!H262*REGENERANTS!$CF$221),"nd")</f>
        <v>0</v>
      </c>
      <c r="CN262" s="146"/>
      <c r="CO262" s="147"/>
      <c r="CP262" s="147"/>
      <c r="CQ262" s="147"/>
      <c r="CR262" s="147"/>
      <c r="CS262" s="173"/>
      <c r="CT262" s="174"/>
      <c r="CU262" s="147"/>
      <c r="CV262" s="173"/>
      <c r="CW262" s="150"/>
      <c r="CX262" s="149"/>
      <c r="CY262" s="150"/>
      <c r="CZ262" s="136"/>
      <c r="DA262" s="149"/>
      <c r="DB262" s="150"/>
      <c r="DC262" s="136"/>
      <c r="DD262" s="149"/>
      <c r="DE262" s="150"/>
      <c r="DF262" s="136"/>
      <c r="DG262" s="136"/>
      <c r="DH262" s="136"/>
      <c r="DI262" s="136"/>
      <c r="DJ262" s="136"/>
      <c r="DK262" s="136"/>
      <c r="DL262" s="136"/>
      <c r="DM262" s="136"/>
      <c r="DN262" s="136"/>
      <c r="DO262" s="149"/>
      <c r="DP262" s="150"/>
      <c r="DQ262" s="20">
        <f t="shared" si="136"/>
        <v>0</v>
      </c>
      <c r="DR262" s="20">
        <f t="shared" si="137"/>
        <v>0</v>
      </c>
      <c r="DS262" s="20">
        <f>IFERROR((IF(AND($F262="Produit Vente",CO262&gt;0),VLOOKUP($C262,'[1]Paramètres Articles'!$B:$H,7,FALSE)*$CO262)*(1-20%)),0)</f>
        <v>0</v>
      </c>
      <c r="DT262" s="20">
        <f>IFERROR((IF(AND($F262="Produit Vente",DR262&gt;0),VLOOKUP($C262,'[1]Paramètres Articles'!$B:$H,6,FALSE)*$DR262)*(1-15%)),0)</f>
        <v>0</v>
      </c>
    </row>
    <row r="263" spans="2:124" hidden="1" collapsed="1">
      <c r="B263" s="1">
        <f>IF(C263="",0,COUNTIFS($B$22:B262,"&gt;"&amp;0)+1)</f>
        <v>0</v>
      </c>
      <c r="CE263" s="155"/>
      <c r="CF263" s="156"/>
      <c r="CG263" s="156"/>
      <c r="CH263" s="156"/>
      <c r="CI263" s="157"/>
      <c r="CK263" s="99">
        <f>IFERROR(IF(F263='[1]Paramètres Généraux'!$K$12,ROUNDUP((REGENERANTS!H263*REGENERANTS!$CF$221)*'[1]Paramètres Généraux'!$M$12,-1),REGENERANTS!H263*REGENERANTS!$CF$221),"nd")</f>
        <v>0</v>
      </c>
      <c r="CN263" s="146"/>
      <c r="CO263" s="147"/>
      <c r="CP263" s="147"/>
      <c r="CQ263" s="147"/>
      <c r="CR263" s="147"/>
      <c r="CS263" s="173"/>
      <c r="CT263" s="174"/>
      <c r="CU263" s="147"/>
      <c r="CV263" s="173"/>
      <c r="CW263" s="150"/>
      <c r="CX263" s="149"/>
      <c r="CY263" s="150"/>
      <c r="CZ263" s="136"/>
      <c r="DA263" s="149"/>
      <c r="DB263" s="150"/>
      <c r="DC263" s="136"/>
      <c r="DD263" s="149"/>
      <c r="DE263" s="150"/>
      <c r="DF263" s="136"/>
      <c r="DG263" s="136"/>
      <c r="DH263" s="136"/>
      <c r="DI263" s="136"/>
      <c r="DJ263" s="136"/>
      <c r="DK263" s="136"/>
      <c r="DL263" s="136"/>
      <c r="DM263" s="136"/>
      <c r="DN263" s="136"/>
      <c r="DO263" s="149"/>
      <c r="DP263" s="150"/>
      <c r="DQ263" s="20">
        <f t="shared" si="136"/>
        <v>0</v>
      </c>
      <c r="DR263" s="20">
        <f t="shared" si="137"/>
        <v>0</v>
      </c>
      <c r="DS263" s="20">
        <f>IFERROR((IF(AND($F263="Produit Vente",CO263&gt;0),VLOOKUP($C263,'[1]Paramètres Articles'!$B:$H,7,FALSE)*$CO263)*(1-20%)),0)</f>
        <v>0</v>
      </c>
      <c r="DT263" s="20">
        <f>IFERROR((IF(AND($F263="Produit Vente",DR263&gt;0),VLOOKUP($C263,'[1]Paramètres Articles'!$B:$H,6,FALSE)*$DR263)*(1-15%)),0)</f>
        <v>0</v>
      </c>
    </row>
    <row r="264" spans="2:124" ht="18" hidden="1" customHeight="1">
      <c r="CK264" s="99"/>
    </row>
    <row r="265" spans="2:124" hidden="1">
      <c r="C265" s="22"/>
      <c r="D265" s="23"/>
      <c r="E265" s="24"/>
      <c r="F265" s="25" t="s">
        <v>114</v>
      </c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K265" s="99"/>
    </row>
    <row r="266" spans="2:124" ht="8.25" hidden="1" customHeight="1">
      <c r="CK266" s="99"/>
    </row>
    <row r="267" spans="2:124" ht="12.95" hidden="1" customHeight="1"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>
        <v>0.13</v>
      </c>
      <c r="AW267" s="26"/>
      <c r="AX267" s="26"/>
      <c r="AY267" s="26"/>
      <c r="AZ267" s="26"/>
      <c r="BA267" s="26">
        <v>0.1</v>
      </c>
      <c r="BB267" s="26"/>
      <c r="BC267" s="26"/>
      <c r="BD267" s="26"/>
      <c r="BE267" s="26"/>
      <c r="BF267" s="26">
        <v>0.21</v>
      </c>
      <c r="BG267" s="26"/>
      <c r="BH267" s="26"/>
      <c r="BI267" s="26"/>
      <c r="BJ267" s="26"/>
      <c r="BK267" s="26">
        <v>0.34</v>
      </c>
      <c r="BL267" s="26"/>
      <c r="BM267" s="26"/>
      <c r="BN267" s="26"/>
      <c r="BO267" s="26"/>
      <c r="BP267" s="26">
        <v>0.22</v>
      </c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E267" s="27"/>
      <c r="CF267" s="28"/>
      <c r="CG267" s="28"/>
      <c r="CH267" s="28"/>
      <c r="CI267" s="29"/>
      <c r="CK267" s="99"/>
    </row>
    <row r="268" spans="2:124" hidden="1">
      <c r="AB268" s="30" t="s">
        <v>8</v>
      </c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V268" s="31" t="s">
        <v>9</v>
      </c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Z268" s="32" t="s">
        <v>10</v>
      </c>
      <c r="CA268" s="32"/>
      <c r="CB268" s="32"/>
      <c r="CC268" s="32"/>
      <c r="CE268" s="33"/>
      <c r="CF268" s="34" t="s">
        <v>11</v>
      </c>
      <c r="CG268" s="34"/>
      <c r="CH268" s="34"/>
      <c r="CI268" s="35"/>
      <c r="CK268" s="99"/>
    </row>
    <row r="269" spans="2:124" ht="5.25" hidden="1" customHeight="1">
      <c r="CE269" s="33"/>
      <c r="CF269" s="39"/>
      <c r="CG269" s="39"/>
      <c r="CH269" s="39"/>
      <c r="CI269" s="35"/>
      <c r="CK269" s="99"/>
    </row>
    <row r="270" spans="2:124" hidden="1">
      <c r="P270" s="1" t="s">
        <v>12</v>
      </c>
      <c r="AB270" s="42" t="s">
        <v>13</v>
      </c>
      <c r="AC270" s="42"/>
      <c r="AD270" s="42"/>
      <c r="AE270" s="42"/>
      <c r="AG270" s="42" t="s">
        <v>14</v>
      </c>
      <c r="AH270" s="42"/>
      <c r="AI270" s="42"/>
      <c r="AJ270" s="42"/>
      <c r="AL270" s="42" t="s">
        <v>15</v>
      </c>
      <c r="AM270" s="42"/>
      <c r="AN270" s="42"/>
      <c r="AO270" s="42"/>
      <c r="AQ270" s="42" t="s">
        <v>16</v>
      </c>
      <c r="AR270" s="42"/>
      <c r="AS270" s="42"/>
      <c r="AT270" s="42"/>
      <c r="AV270" s="43" t="s">
        <v>17</v>
      </c>
      <c r="AW270" s="43"/>
      <c r="AX270" s="43"/>
      <c r="AY270" s="43"/>
      <c r="BA270" s="43" t="s">
        <v>18</v>
      </c>
      <c r="BB270" s="43"/>
      <c r="BC270" s="43"/>
      <c r="BD270" s="43"/>
      <c r="BF270" s="43" t="s">
        <v>19</v>
      </c>
      <c r="BG270" s="43"/>
      <c r="BH270" s="43"/>
      <c r="BI270" s="43"/>
      <c r="BK270" s="43" t="s">
        <v>20</v>
      </c>
      <c r="BL270" s="43"/>
      <c r="BM270" s="43"/>
      <c r="BN270" s="43"/>
      <c r="BP270" s="43" t="s">
        <v>21</v>
      </c>
      <c r="BQ270" s="43"/>
      <c r="BR270" s="43"/>
      <c r="BS270" s="43"/>
      <c r="BU270" s="43" t="s">
        <v>22</v>
      </c>
      <c r="BV270" s="43"/>
      <c r="BW270" s="43"/>
      <c r="BX270" s="43"/>
      <c r="BZ270" s="44" t="s">
        <v>10</v>
      </c>
      <c r="CA270" s="44"/>
      <c r="CB270" s="44"/>
      <c r="CC270" s="44"/>
      <c r="CE270" s="33"/>
      <c r="CF270" s="45" t="s">
        <v>23</v>
      </c>
      <c r="CG270" s="45"/>
      <c r="CH270" s="45"/>
      <c r="CI270" s="35"/>
      <c r="CK270" s="99"/>
    </row>
    <row r="271" spans="2:124" ht="5.25" hidden="1" customHeight="1">
      <c r="CE271" s="33"/>
      <c r="CF271" s="39"/>
      <c r="CG271" s="39"/>
      <c r="CH271" s="39"/>
      <c r="CI271" s="35"/>
      <c r="CK271" s="99"/>
    </row>
    <row r="272" spans="2:124" s="46" customFormat="1" ht="38.25" hidden="1">
      <c r="E272" s="47"/>
      <c r="H272" s="48" t="s">
        <v>24</v>
      </c>
      <c r="J272" s="48" t="s">
        <v>25</v>
      </c>
      <c r="K272" s="48" t="s">
        <v>26</v>
      </c>
      <c r="M272" s="48" t="s">
        <v>27</v>
      </c>
      <c r="N272" s="48" t="s">
        <v>28</v>
      </c>
      <c r="P272" s="48" t="s">
        <v>29</v>
      </c>
      <c r="R272" s="48" t="s">
        <v>30</v>
      </c>
      <c r="T272" s="48" t="s">
        <v>31</v>
      </c>
      <c r="U272" s="48"/>
      <c r="V272" s="48" t="s">
        <v>32</v>
      </c>
      <c r="X272" s="48" t="s">
        <v>33</v>
      </c>
      <c r="Z272" s="48" t="s">
        <v>34</v>
      </c>
      <c r="AB272" s="48" t="s">
        <v>0</v>
      </c>
      <c r="AC272" s="48" t="s">
        <v>35</v>
      </c>
      <c r="AD272" s="48" t="s">
        <v>1</v>
      </c>
      <c r="AE272" s="48" t="s">
        <v>2</v>
      </c>
      <c r="AG272" s="48" t="s">
        <v>0</v>
      </c>
      <c r="AH272" s="48" t="s">
        <v>35</v>
      </c>
      <c r="AI272" s="48" t="s">
        <v>1</v>
      </c>
      <c r="AJ272" s="48" t="s">
        <v>2</v>
      </c>
      <c r="AL272" s="48" t="s">
        <v>0</v>
      </c>
      <c r="AM272" s="48" t="s">
        <v>35</v>
      </c>
      <c r="AN272" s="48" t="s">
        <v>1</v>
      </c>
      <c r="AO272" s="48" t="s">
        <v>2</v>
      </c>
      <c r="AQ272" s="48" t="s">
        <v>0</v>
      </c>
      <c r="AR272" s="48" t="s">
        <v>35</v>
      </c>
      <c r="AS272" s="48" t="s">
        <v>1</v>
      </c>
      <c r="AT272" s="48" t="s">
        <v>2</v>
      </c>
      <c r="AV272" s="48" t="s">
        <v>0</v>
      </c>
      <c r="AW272" s="48" t="s">
        <v>35</v>
      </c>
      <c r="AX272" s="48" t="s">
        <v>1</v>
      </c>
      <c r="AY272" s="48" t="s">
        <v>2</v>
      </c>
      <c r="BA272" s="48" t="s">
        <v>0</v>
      </c>
      <c r="BB272" s="48" t="s">
        <v>35</v>
      </c>
      <c r="BC272" s="48" t="s">
        <v>1</v>
      </c>
      <c r="BD272" s="48" t="s">
        <v>2</v>
      </c>
      <c r="BF272" s="48" t="s">
        <v>0</v>
      </c>
      <c r="BG272" s="48" t="s">
        <v>35</v>
      </c>
      <c r="BH272" s="48" t="s">
        <v>1</v>
      </c>
      <c r="BI272" s="48" t="s">
        <v>2</v>
      </c>
      <c r="BK272" s="48" t="s">
        <v>0</v>
      </c>
      <c r="BL272" s="48" t="s">
        <v>35</v>
      </c>
      <c r="BM272" s="48" t="s">
        <v>1</v>
      </c>
      <c r="BN272" s="48" t="s">
        <v>2</v>
      </c>
      <c r="BP272" s="48" t="s">
        <v>0</v>
      </c>
      <c r="BQ272" s="48" t="s">
        <v>35</v>
      </c>
      <c r="BR272" s="48" t="s">
        <v>1</v>
      </c>
      <c r="BS272" s="48" t="s">
        <v>2</v>
      </c>
      <c r="BU272" s="48" t="s">
        <v>0</v>
      </c>
      <c r="BV272" s="48" t="s">
        <v>35</v>
      </c>
      <c r="BW272" s="48" t="s">
        <v>1</v>
      </c>
      <c r="BX272" s="48" t="s">
        <v>2</v>
      </c>
      <c r="BZ272" s="48" t="s">
        <v>0</v>
      </c>
      <c r="CA272" s="48" t="s">
        <v>35</v>
      </c>
      <c r="CB272" s="48" t="s">
        <v>1</v>
      </c>
      <c r="CC272" s="48" t="s">
        <v>2</v>
      </c>
      <c r="CE272" s="49"/>
      <c r="CF272" s="50" t="s">
        <v>0</v>
      </c>
      <c r="CG272" s="50" t="s">
        <v>1</v>
      </c>
      <c r="CH272" s="50" t="s">
        <v>2</v>
      </c>
      <c r="CI272" s="51"/>
      <c r="CK272" s="160"/>
      <c r="CW272" s="176"/>
      <c r="CX272" s="176"/>
      <c r="CY272" s="176"/>
      <c r="CZ272" s="176"/>
      <c r="DA272" s="176"/>
      <c r="DB272" s="176"/>
      <c r="DC272" s="176"/>
      <c r="DD272" s="176"/>
      <c r="DE272" s="176"/>
      <c r="DF272" s="176"/>
      <c r="DG272" s="176"/>
      <c r="DH272" s="176"/>
      <c r="DI272" s="176"/>
      <c r="DJ272" s="176"/>
      <c r="DK272" s="176"/>
      <c r="DL272" s="176"/>
      <c r="DM272" s="176"/>
      <c r="DN272" s="176"/>
      <c r="DO272" s="176"/>
      <c r="DP272" s="176"/>
    </row>
    <row r="273" spans="2:124" ht="26.25" hidden="1" thickBot="1">
      <c r="C273" s="60" t="s">
        <v>49</v>
      </c>
      <c r="D273" s="60" t="s">
        <v>50</v>
      </c>
      <c r="E273" s="161" t="s">
        <v>51</v>
      </c>
      <c r="F273" s="60" t="s">
        <v>52</v>
      </c>
      <c r="H273" s="61" t="s">
        <v>53</v>
      </c>
      <c r="J273" s="61" t="s">
        <v>54</v>
      </c>
      <c r="K273" s="61" t="s">
        <v>54</v>
      </c>
      <c r="M273" s="61" t="s">
        <v>54</v>
      </c>
      <c r="N273" s="61" t="s">
        <v>54</v>
      </c>
      <c r="P273" s="61" t="s">
        <v>54</v>
      </c>
      <c r="R273" s="61" t="s">
        <v>54</v>
      </c>
      <c r="T273" s="61" t="s">
        <v>54</v>
      </c>
      <c r="U273" s="62"/>
      <c r="V273" s="61" t="s">
        <v>54</v>
      </c>
      <c r="X273" s="61" t="s">
        <v>54</v>
      </c>
      <c r="Z273" s="61" t="s">
        <v>54</v>
      </c>
      <c r="AB273" s="61" t="s">
        <v>53</v>
      </c>
      <c r="AC273" s="61" t="s">
        <v>54</v>
      </c>
      <c r="AD273" s="61" t="s">
        <v>54</v>
      </c>
      <c r="AE273" s="61" t="s">
        <v>54</v>
      </c>
      <c r="AG273" s="61" t="s">
        <v>53</v>
      </c>
      <c r="AH273" s="61" t="s">
        <v>54</v>
      </c>
      <c r="AI273" s="61" t="s">
        <v>54</v>
      </c>
      <c r="AJ273" s="61" t="s">
        <v>54</v>
      </c>
      <c r="AL273" s="61" t="s">
        <v>53</v>
      </c>
      <c r="AM273" s="61" t="s">
        <v>54</v>
      </c>
      <c r="AN273" s="61" t="s">
        <v>54</v>
      </c>
      <c r="AO273" s="61" t="s">
        <v>54</v>
      </c>
      <c r="AQ273" s="61" t="s">
        <v>53</v>
      </c>
      <c r="AR273" s="61" t="s">
        <v>54</v>
      </c>
      <c r="AS273" s="61" t="s">
        <v>54</v>
      </c>
      <c r="AT273" s="61" t="s">
        <v>54</v>
      </c>
      <c r="AV273" s="61" t="s">
        <v>53</v>
      </c>
      <c r="AW273" s="61" t="s">
        <v>54</v>
      </c>
      <c r="AX273" s="61" t="s">
        <v>54</v>
      </c>
      <c r="AY273" s="61" t="s">
        <v>54</v>
      </c>
      <c r="BA273" s="61" t="s">
        <v>53</v>
      </c>
      <c r="BB273" s="61" t="s">
        <v>54</v>
      </c>
      <c r="BC273" s="61" t="s">
        <v>54</v>
      </c>
      <c r="BD273" s="61" t="s">
        <v>54</v>
      </c>
      <c r="BF273" s="61" t="s">
        <v>53</v>
      </c>
      <c r="BG273" s="61" t="s">
        <v>54</v>
      </c>
      <c r="BH273" s="61" t="s">
        <v>54</v>
      </c>
      <c r="BI273" s="61" t="s">
        <v>54</v>
      </c>
      <c r="BK273" s="61" t="s">
        <v>53</v>
      </c>
      <c r="BL273" s="61" t="s">
        <v>54</v>
      </c>
      <c r="BM273" s="61" t="s">
        <v>54</v>
      </c>
      <c r="BN273" s="61" t="s">
        <v>54</v>
      </c>
      <c r="BP273" s="61" t="s">
        <v>53</v>
      </c>
      <c r="BQ273" s="61" t="s">
        <v>54</v>
      </c>
      <c r="BR273" s="61" t="s">
        <v>54</v>
      </c>
      <c r="BS273" s="61" t="s">
        <v>54</v>
      </c>
      <c r="BU273" s="61" t="s">
        <v>53</v>
      </c>
      <c r="BV273" s="61" t="s">
        <v>54</v>
      </c>
      <c r="BW273" s="61" t="s">
        <v>54</v>
      </c>
      <c r="BX273" s="61" t="s">
        <v>54</v>
      </c>
      <c r="BZ273" s="61" t="s">
        <v>53</v>
      </c>
      <c r="CA273" s="61" t="s">
        <v>54</v>
      </c>
      <c r="CB273" s="61" t="s">
        <v>54</v>
      </c>
      <c r="CC273" s="61" t="s">
        <v>54</v>
      </c>
      <c r="CE273" s="33"/>
      <c r="CF273" s="63" t="s">
        <v>53</v>
      </c>
      <c r="CG273" s="63" t="s">
        <v>54</v>
      </c>
      <c r="CH273" s="63" t="s">
        <v>54</v>
      </c>
      <c r="CI273" s="35"/>
      <c r="CJ273" s="64">
        <f>ROUNDUP(CF275*60%,-1)</f>
        <v>0</v>
      </c>
      <c r="CK273" s="99"/>
    </row>
    <row r="274" spans="2:124" ht="5.25" hidden="1" customHeight="1">
      <c r="V274"/>
      <c r="X274"/>
      <c r="CE274" s="33"/>
      <c r="CF274" s="39"/>
      <c r="CG274" s="39"/>
      <c r="CH274" s="39"/>
      <c r="CI274" s="35"/>
      <c r="CK274" s="99"/>
    </row>
    <row r="275" spans="2:124" s="64" customFormat="1" ht="12.95" hidden="1" customHeight="1">
      <c r="B275" s="64">
        <f>C265</f>
        <v>0</v>
      </c>
      <c r="C275" s="65" t="s">
        <v>56</v>
      </c>
      <c r="D275" s="65"/>
      <c r="E275" s="66"/>
      <c r="F275" s="65"/>
      <c r="H275" s="67">
        <f>IFERROR(SUMIFS(H277:H316,F277:F316,"Produit Vente"),"Non trouvé")</f>
        <v>11.879999999999999</v>
      </c>
      <c r="J275" s="68">
        <f>IFERROR($K275/$H275,"Non Trouvé")</f>
        <v>12.993640404040404</v>
      </c>
      <c r="K275" s="68">
        <f>IFERROR(SUM(K277:K316),"Non Trouvé")</f>
        <v>154.36444799999998</v>
      </c>
      <c r="M275" s="68">
        <f>IFERROR($N275/$H275,"Non Trouvé")</f>
        <v>27.127708797138279</v>
      </c>
      <c r="N275" s="68">
        <f>IFERROR(SUM(N277:N316),"Non Trouvé")</f>
        <v>322.27718051000272</v>
      </c>
      <c r="P275" s="69">
        <f>IFERROR(-(R275-N275)/N275,"Non Trouvé")</f>
        <v>0</v>
      </c>
      <c r="R275" s="68">
        <f>IFERROR(SUM(R277:R316),"Non Trouvé")</f>
        <v>322.27718051000272</v>
      </c>
      <c r="T275" s="68">
        <f>IFERROR(SUM(T277:T316),"Non Trouvé")</f>
        <v>885.39994304461027</v>
      </c>
      <c r="U275" s="70"/>
      <c r="V275" s="68">
        <f>IFERROR(SUM(V277:V317),"Non Trouvé")</f>
        <v>0</v>
      </c>
      <c r="X275" s="68">
        <f>IFERROR(SUM(X277:X317),"Non Trouvé")</f>
        <v>0</v>
      </c>
      <c r="Z275" s="68">
        <f>IFERROR(SUM(Z277:Z316),"Non Trouvé")</f>
        <v>949.82280000000014</v>
      </c>
      <c r="AB275" s="71">
        <f>ROUND($AB$264*AB267,0)</f>
        <v>0</v>
      </c>
      <c r="AC275" s="72">
        <f>IFERROR(VLOOKUP(AB270,'[1]Paramètres Généraux'!$O:$P,2,FALSE),"Non Trouvé")</f>
        <v>0.17</v>
      </c>
      <c r="AD275" s="68">
        <f>IFERROR(SUM(AD277:AD317),"Non Trouvé")</f>
        <v>0</v>
      </c>
      <c r="AE275" s="69" t="str">
        <f>IFERROR((AD275-$K275*AB275)/AD275,"Non Trouvé")</f>
        <v>Non Trouvé</v>
      </c>
      <c r="AG275" s="71">
        <f>ROUND($AB$264*AG267,0)</f>
        <v>0</v>
      </c>
      <c r="AH275" s="72">
        <f>IFERROR(VLOOKUP(AG270,'[1]Paramètres Généraux'!$O:$P,2,FALSE),"Non Trouvé")</f>
        <v>0.13</v>
      </c>
      <c r="AI275" s="68">
        <f>IFERROR(SUM(AI277:AI317),"Non Trouvé")</f>
        <v>0</v>
      </c>
      <c r="AJ275" s="69" t="str">
        <f>IFERROR((AI275-$K275*AG275)/AI275,"Non Trouvé")</f>
        <v>Non Trouvé</v>
      </c>
      <c r="AL275" s="71">
        <f>ROUND($AB$264*AL267,0)</f>
        <v>0</v>
      </c>
      <c r="AM275" s="72">
        <f>IFERROR(VLOOKUP(AL270,'[1]Paramètres Généraux'!$O:$P,2,FALSE),"Non Trouvé")</f>
        <v>0.08</v>
      </c>
      <c r="AN275" s="68">
        <f>IFERROR(SUM(AN277:AN317),"Non Trouvé")</f>
        <v>0</v>
      </c>
      <c r="AO275" s="69" t="str">
        <f>IFERROR((AN275-$K275*AL275)/AN275,"Non Trouvé")</f>
        <v>Non Trouvé</v>
      </c>
      <c r="AQ275" s="71">
        <f>ROUND($AB$264*AQ267,0)</f>
        <v>0</v>
      </c>
      <c r="AR275" s="72">
        <f>IFERROR(VLOOKUP(AQ270,'[1]Paramètres Généraux'!$O:$P,2,FALSE),"Non Trouvé")</f>
        <v>0.05</v>
      </c>
      <c r="AS275" s="68">
        <f>IFERROR(SUM(AS277:AS317),"Non Trouvé")</f>
        <v>0</v>
      </c>
      <c r="AT275" s="69" t="str">
        <f>IFERROR((AS275-$K275*AQ275)/AS275,"Non Trouvé")</f>
        <v>Non Trouvé</v>
      </c>
      <c r="AV275" s="71">
        <f>ROUND($AB$264*AV267,0)</f>
        <v>0</v>
      </c>
      <c r="AW275" s="72">
        <f>IFERROR(VLOOKUP(AV270,'[1]Paramètres Généraux'!$O:$P,2,FALSE),"Non Trouvé")</f>
        <v>0.32500000000000001</v>
      </c>
      <c r="AX275" s="68">
        <f>IFERROR(SUM(AX277:AX317),"Non Trouvé")</f>
        <v>0</v>
      </c>
      <c r="AY275" s="69" t="str">
        <f>IFERROR((AX275-$K275*AV275)/AX275,"Non Trouvé")</f>
        <v>Non Trouvé</v>
      </c>
      <c r="BA275" s="71">
        <f>ROUND($AB$264*BA267,0)</f>
        <v>0</v>
      </c>
      <c r="BB275" s="72">
        <f>IFERROR(VLOOKUP(BA270,'[1]Paramètres Généraux'!$O:$P,2,FALSE),"Non Trouvé")</f>
        <v>0.29499999999999998</v>
      </c>
      <c r="BC275" s="68">
        <f>IFERROR(SUM(BC277:BC317),"Non Trouvé")</f>
        <v>0</v>
      </c>
      <c r="BD275" s="69" t="str">
        <f>IFERROR((BC275-$K275*BA275)/BC275,"Non Trouvé")</f>
        <v>Non Trouvé</v>
      </c>
      <c r="BF275" s="71">
        <f>ROUND($AB$264*BF267,0)</f>
        <v>0</v>
      </c>
      <c r="BG275" s="72">
        <f>IFERROR(VLOOKUP(BF270,'[1]Paramètres Généraux'!$O:$P,2,FALSE),"Non Trouvé")</f>
        <v>0.27500000000000002</v>
      </c>
      <c r="BH275" s="68">
        <f>IFERROR(SUM(BH277:BH317),"Non Trouvé")</f>
        <v>0</v>
      </c>
      <c r="BI275" s="69" t="str">
        <f>IFERROR((BH275-$K275*BF275)/BH275,"Non Trouvé")</f>
        <v>Non Trouvé</v>
      </c>
      <c r="BK275" s="71">
        <f>ROUND($AB$264*BK267,0)</f>
        <v>0</v>
      </c>
      <c r="BL275" s="72">
        <f>IFERROR(VLOOKUP(BK270,'[1]Paramètres Généraux'!$O:$P,2,FALSE),"Non Trouvé")</f>
        <v>0.245</v>
      </c>
      <c r="BM275" s="68">
        <f>IFERROR(SUM(BM277:BM317),"Non Trouvé")</f>
        <v>0</v>
      </c>
      <c r="BN275" s="69" t="str">
        <f>IFERROR((BM275-$K275*BK275)/BM275,"Non Trouvé")</f>
        <v>Non Trouvé</v>
      </c>
      <c r="BP275" s="71">
        <f>ROUND($AB$264*BP267,0)</f>
        <v>0</v>
      </c>
      <c r="BQ275" s="72">
        <f>IFERROR(VLOOKUP(BP270,'[1]Paramètres Généraux'!$O:$P,2,FALSE),"Non Trouvé")</f>
        <v>0.22500000000000001</v>
      </c>
      <c r="BR275" s="68">
        <f>IFERROR(SUM(BR277:BR317),"Non Trouvé")</f>
        <v>0</v>
      </c>
      <c r="BS275" s="69" t="str">
        <f>IFERROR((BR275-$K275*BP275)/BR275,"Non Trouvé")</f>
        <v>Non Trouvé</v>
      </c>
      <c r="BU275" s="71">
        <f>ROUND($AB$264*BU267,0)</f>
        <v>0</v>
      </c>
      <c r="BV275" s="72">
        <f>IFERROR(VLOOKUP(BU270,'[1]Paramètres Généraux'!$O:$P,2,FALSE),"Non Trouvé")</f>
        <v>0.17499999999999999</v>
      </c>
      <c r="BW275" s="68">
        <f>IFERROR(SUM(BW277:BW317),"Non Trouvé")</f>
        <v>0</v>
      </c>
      <c r="BX275" s="69" t="str">
        <f>IFERROR((BW275-$K275*BU275)/BW275,"Non Trouvé")</f>
        <v>Non Trouvé</v>
      </c>
      <c r="BZ275" s="71">
        <f>ROUND($AB$264*BZ267,0)</f>
        <v>0</v>
      </c>
      <c r="CA275" s="72">
        <f>IFERROR(VLOOKUP(BZ270,'[1]Paramètres Généraux'!$O:$P,2,FALSE),"Non Trouvé")</f>
        <v>0.15</v>
      </c>
      <c r="CB275" s="68">
        <f>IFERROR(SUM(CB277:CB317),"Non Trouvé")</f>
        <v>0</v>
      </c>
      <c r="CC275" s="69" t="str">
        <f>IFERROR((CB275-$K275*BZ275)/CB275,"Non Trouvé")</f>
        <v>Non Trouvé</v>
      </c>
      <c r="CE275" s="73"/>
      <c r="CF275" s="67">
        <f>SUMIFS($AB275:$CC275,$AB272:$CC272,CF272)</f>
        <v>0</v>
      </c>
      <c r="CG275" s="67">
        <f>SUMIFS($AB275:$CC275,$AB272:$CC272,CG272)</f>
        <v>0</v>
      </c>
      <c r="CH275" s="74" t="str">
        <f>IFERROR((CG275-$K275*CF275)/CG275,"Non Trouvé")</f>
        <v>Non Trouvé</v>
      </c>
      <c r="CI275" s="75"/>
      <c r="CJ275" s="64">
        <f>ROUNDUP(CF275*70%,-1)</f>
        <v>0</v>
      </c>
      <c r="CK275" s="162"/>
      <c r="CW275" s="177"/>
      <c r="CX275" s="177"/>
      <c r="CY275" s="177"/>
      <c r="CZ275" s="177"/>
      <c r="DA275" s="177"/>
      <c r="DB275" s="177"/>
      <c r="DC275" s="177"/>
      <c r="DD275" s="177"/>
      <c r="DE275" s="177"/>
      <c r="DF275" s="177"/>
      <c r="DG275" s="177"/>
      <c r="DH275" s="177"/>
      <c r="DI275" s="177"/>
      <c r="DJ275" s="177"/>
      <c r="DK275" s="177"/>
      <c r="DL275" s="177"/>
      <c r="DM275" s="177"/>
      <c r="DN275" s="177"/>
      <c r="DO275" s="177"/>
      <c r="DP275" s="177"/>
    </row>
    <row r="276" spans="2:124" ht="5.25" hidden="1" customHeight="1">
      <c r="V276"/>
      <c r="X276"/>
      <c r="CE276" s="33"/>
      <c r="CF276" s="39"/>
      <c r="CG276" s="39"/>
      <c r="CH276" s="39"/>
      <c r="CI276" s="35"/>
      <c r="CK276" s="99"/>
    </row>
    <row r="277" spans="2:124" ht="12.95" hidden="1" customHeight="1" thickBot="1">
      <c r="B277" s="1">
        <f>IF(C277="",0,COUNTIFS($B$22:B276,"&gt;"&amp;0)+1)</f>
        <v>103</v>
      </c>
      <c r="C277" s="85">
        <v>1020202</v>
      </c>
      <c r="D277" s="86" t="str">
        <f>IFERROR(IF($C277="","",VLOOKUP($C277,'[1]Paramètres Articles'!$B:$G,2,FALSE)),"Non Trouvé")</f>
        <v>Sérum Jour/Nuit - Régénérant - 30 ml</v>
      </c>
      <c r="E277" s="87">
        <f>IFERROR(IF($C277="","",_xlfn.XLOOKUP(REGENERANTS!$C277,'[1]New Base PA'!$F:$F,'[1]New Base PA'!$D:$D,"Not Found",0)),"Non Trouvé")</f>
        <v>4020829103115</v>
      </c>
      <c r="F277" s="88" t="s">
        <v>90</v>
      </c>
      <c r="H277" s="101">
        <f>12*13%</f>
        <v>1.56</v>
      </c>
      <c r="J277" s="90"/>
      <c r="K277" s="131"/>
      <c r="L277" s="132"/>
      <c r="M277" s="131">
        <f>IFERROR(IF(AND($F277="Produit Vente",H277&gt;0),VLOOKUP($C277,'[1]Paramètres Articles'!$B:$G,6,FALSE),0),"Non Trouvé")</f>
        <v>41.117049418604651</v>
      </c>
      <c r="N277" s="131"/>
      <c r="P277" s="92"/>
      <c r="R277" s="90">
        <f t="shared" ref="R277:R316" si="153">IFERROR(IF($C277="","",$N277*(1-$P277)),"Non Trouvé")</f>
        <v>0</v>
      </c>
      <c r="S277" s="91"/>
      <c r="T277" s="90">
        <f>IFERROR(IF($C277="","",VLOOKUP($C277,'[1]Paramètres Articles'!$B:$H,7,FALSE)),"Non Trouvé")</f>
        <v>69.900000000000006</v>
      </c>
      <c r="U277" s="93"/>
      <c r="V277" s="90" t="str">
        <f>IFERROR(IF($C277="","",IF($P277="","",$T277*(1-$P277))),"Non Trouvé")</f>
        <v/>
      </c>
      <c r="W277" s="91"/>
      <c r="X277" s="90" t="str">
        <f>IFERROR(T277-V277,"")</f>
        <v/>
      </c>
      <c r="Y277" s="91"/>
      <c r="Z277" s="90">
        <f t="shared" ref="Z277:Z316" si="154">IFERROR(IF(OR(T277=0,T277=""),0,T277*H277),"Non Trouvé")</f>
        <v>109.04400000000001</v>
      </c>
      <c r="AB277" s="94">
        <f>AB275</f>
        <v>0</v>
      </c>
      <c r="AC277" s="94">
        <f>AC275</f>
        <v>0.17</v>
      </c>
      <c r="AD277" s="90">
        <f>IFERROR(IF($C277="","",IF($P$15="Cascade",$R277*(1-AC277)*AB277,IF($P$15="Additionnelle",($N277-($N277*($P277+AC277)))*AB277))),"Non Trouvé")</f>
        <v>0</v>
      </c>
      <c r="AG277" s="94">
        <f>AG275</f>
        <v>0</v>
      </c>
      <c r="AH277" s="94">
        <f>AH275</f>
        <v>0.13</v>
      </c>
      <c r="AI277" s="90">
        <f>IFERROR(IF($C277="","",IF($P$15="Cascade",$R277*(1-AH277)*AG277,IF($P$15="Additionnelle",($N277-($N277*($P277+AH277)))*AG277))),"Non Trouvé")</f>
        <v>0</v>
      </c>
      <c r="AL277" s="94">
        <f>AL275</f>
        <v>0</v>
      </c>
      <c r="AM277" s="94">
        <f>AM275</f>
        <v>0.08</v>
      </c>
      <c r="AN277" s="90">
        <f>IFERROR(IF($C277="","",IF($P$15="Cascade",$R277*(1-AM277)*AL277,IF($P$15="Additionnelle",($N277-($N277*($P277+AM277)))*AL277))),"Non Trouvé")</f>
        <v>0</v>
      </c>
      <c r="AQ277" s="94">
        <f>AQ275</f>
        <v>0</v>
      </c>
      <c r="AR277" s="94">
        <f>AR275</f>
        <v>0.05</v>
      </c>
      <c r="AS277" s="90">
        <f>IFERROR(IF($C277="","",IF($P$15="Cascade",$R277*(1-AR277)*AQ277,IF($P$15="Additionnelle",($N277-($N277*($P277+AR277)))*AQ277))),"Non Trouvé")</f>
        <v>0</v>
      </c>
      <c r="AV277" s="94">
        <f>AV275</f>
        <v>0</v>
      </c>
      <c r="AW277" s="94">
        <f>AW275</f>
        <v>0.32500000000000001</v>
      </c>
      <c r="AX277" s="90">
        <f>IFERROR(IF($C277="","",IF($P$15="Cascade",$R277*(1-AW277)*AV277,IF($P$15="Additionnelle",($N277-($N277*($P277+AW277)))*AV277))),"Non Trouvé")</f>
        <v>0</v>
      </c>
      <c r="BA277" s="94">
        <f>BA275</f>
        <v>0</v>
      </c>
      <c r="BB277" s="94">
        <f>BB275</f>
        <v>0.29499999999999998</v>
      </c>
      <c r="BC277" s="90">
        <f>IFERROR(IF($C277="","",IF($P$15="Cascade",$R277*(1-BB277)*BA277,IF($P$15="Additionnelle",($N277-($N277*($P277+BB277)))*BA277))),"Non Trouvé")</f>
        <v>0</v>
      </c>
      <c r="BF277" s="94">
        <f>BF275</f>
        <v>0</v>
      </c>
      <c r="BG277" s="94">
        <f>BG275</f>
        <v>0.27500000000000002</v>
      </c>
      <c r="BH277" s="90">
        <f>IFERROR(IF($C277="","",IF($P$15="Cascade",$R277*(1-BG277)*BF277,IF($P$15="Additionnelle",($N277-($N277*($P277+BG277)))*BF277))),"Non Trouvé")</f>
        <v>0</v>
      </c>
      <c r="BK277" s="94">
        <f>BK275</f>
        <v>0</v>
      </c>
      <c r="BL277" s="94">
        <f>BL275</f>
        <v>0.245</v>
      </c>
      <c r="BM277" s="90">
        <f>IFERROR(IF($C277="","",IF($P$15="Cascade",$R277*(1-BL277)*BK277,IF($P$15="Additionnelle",($N277-($N277*($P277+BL277)))*BK277))),"Non Trouvé")</f>
        <v>0</v>
      </c>
      <c r="BP277" s="94">
        <f>BP275</f>
        <v>0</v>
      </c>
      <c r="BQ277" s="94">
        <f>BQ275</f>
        <v>0.22500000000000001</v>
      </c>
      <c r="BR277" s="90">
        <f>IFERROR(IF($C277="","",IF($P$15="Cascade",$R277*(1-BQ277)*BP277,IF($P$15="Additionnelle",($N277-($N277*($P277+BQ277)))*BP277))),"Non Trouvé")</f>
        <v>0</v>
      </c>
      <c r="BU277" s="94">
        <f>BU275</f>
        <v>0</v>
      </c>
      <c r="BV277" s="94">
        <f>BV275</f>
        <v>0.17499999999999999</v>
      </c>
      <c r="BW277" s="90">
        <f>IFERROR(IF($C277="","",IF($P$15="Cascade",$R277*(1-BV277)*BU277,IF($P$15="Additionnelle",($N277-($N277*($P277+BV277)))*BU277))),"Non Trouvé")</f>
        <v>0</v>
      </c>
      <c r="BZ277" s="94">
        <f>BZ275</f>
        <v>0</v>
      </c>
      <c r="CA277" s="94">
        <f>CA275</f>
        <v>0.15</v>
      </c>
      <c r="CB277" s="90">
        <f>IFERROR(IF($C277="","",IF($P$15="Cascade",$R277*(1-CA277)*BZ277,IF($P$15="Additionnelle",($N277-($N277*($P277+CA277)))*BZ277))),"Non Trouvé")</f>
        <v>0</v>
      </c>
      <c r="CE277" s="95"/>
      <c r="CF277" s="96"/>
      <c r="CG277" s="97"/>
      <c r="CH277" s="97"/>
      <c r="CI277" s="98"/>
      <c r="CK277" s="99">
        <f>IFERROR(IF(F277='[1]Paramètres Généraux'!$K$12,ROUNDUP((REGENERANTS!H277*REGENERANTS!$CF$275)*'[1]Paramètres Généraux'!$M$12,-1),REGENERANTS!H277*REGENERANTS!$CF$275),"nd")</f>
        <v>0</v>
      </c>
      <c r="CN277" s="164"/>
      <c r="CO277" s="165"/>
      <c r="CP277" s="165"/>
      <c r="CQ277" s="165"/>
      <c r="CR277" s="165"/>
      <c r="CS277" s="166"/>
      <c r="CT277" s="167"/>
      <c r="CU277" s="165"/>
      <c r="CV277" s="166"/>
      <c r="CW277" s="168"/>
      <c r="CX277" s="169"/>
      <c r="CY277" s="168"/>
      <c r="CZ277" s="170"/>
      <c r="DA277" s="169"/>
      <c r="DB277" s="168"/>
      <c r="DC277" s="170"/>
      <c r="DD277" s="169"/>
      <c r="DE277" s="168"/>
      <c r="DF277" s="170"/>
      <c r="DG277" s="170"/>
      <c r="DH277" s="170"/>
      <c r="DI277" s="170"/>
      <c r="DJ277" s="170"/>
      <c r="DK277" s="170"/>
      <c r="DL277" s="170"/>
      <c r="DM277" s="170"/>
      <c r="DN277" s="170"/>
      <c r="DO277" s="169"/>
      <c r="DP277" s="168"/>
      <c r="DQ277" s="20">
        <f t="shared" ref="DQ277:DQ317" si="155">SUM(CN277:DP277)</f>
        <v>0</v>
      </c>
      <c r="DR277" s="20">
        <f t="shared" ref="DR277:DR317" si="156">SUM(CV277:DP277)</f>
        <v>0</v>
      </c>
      <c r="DS277" s="20">
        <f>IFERROR((IF(AND($F277="Produit Vente",CO277&gt;0),VLOOKUP($C277,'[1]Paramètres Articles'!$B:$H,7,FALSE)*$CO277)*(1-20%)),0)</f>
        <v>0</v>
      </c>
      <c r="DT277" s="20">
        <f>IFERROR((IF(AND($F277="Produit Vente",DR277&gt;0),VLOOKUP($C277,'[1]Paramètres Articles'!$B:$H,6,FALSE)*$DR277)*(1-15%)),0)</f>
        <v>0</v>
      </c>
    </row>
    <row r="278" spans="2:124" ht="12.95" hidden="1" customHeight="1" thickBot="1">
      <c r="B278" s="1">
        <f>IF(C278="",0,COUNTIFS($B$22:B277,"&gt;"&amp;0)+1)</f>
        <v>104</v>
      </c>
      <c r="C278" s="85">
        <v>1020310</v>
      </c>
      <c r="D278" s="86" t="str">
        <f>IFERROR(IF($C278="","",VLOOKUP($C278,'[1]Paramètres Articles'!$B:$G,2,FALSE)),"Non Trouvé")</f>
        <v>Crème de Jour Eclat du Teint - Régénérant - 40 ml</v>
      </c>
      <c r="E278" s="87">
        <f>IFERROR(IF($C278="","",_xlfn.XLOOKUP(REGENERANTS!$C278,'[1]New Base PA'!$F:$F,'[1]New Base PA'!$D:$D,"Not Found",0)),"Non Trouvé")</f>
        <v>4020829060999</v>
      </c>
      <c r="F278" s="88" t="s">
        <v>90</v>
      </c>
      <c r="H278" s="101">
        <f>12*7%</f>
        <v>0.84000000000000008</v>
      </c>
      <c r="J278" s="90"/>
      <c r="K278" s="131"/>
      <c r="L278" s="132"/>
      <c r="M278" s="131">
        <f>IFERROR(IF(AND($F278="Produit Vente",H278&gt;0),VLOOKUP($C278,'[1]Paramètres Articles'!$B:$G,6,FALSE),0),"Non Trouvé")</f>
        <v>41.12</v>
      </c>
      <c r="N278" s="131"/>
      <c r="P278" s="92"/>
      <c r="R278" s="90">
        <f t="shared" si="153"/>
        <v>0</v>
      </c>
      <c r="S278" s="91"/>
      <c r="T278" s="90">
        <f>IFERROR(IF($C278="","",VLOOKUP($C278,'[1]Paramètres Articles'!$B:$H,7,FALSE)),"Non Trouvé")</f>
        <v>69.900000000000006</v>
      </c>
      <c r="U278" s="93"/>
      <c r="V278" s="90" t="str">
        <f t="shared" ref="V278:V316" si="157">IFERROR(IF($C278="","",IF($P278="","",$T278*(1-$P278))),"Non Trouvé")</f>
        <v/>
      </c>
      <c r="W278" s="91"/>
      <c r="X278" s="90" t="str">
        <f>IFERROR(T278-V278,"")</f>
        <v/>
      </c>
      <c r="Y278" s="91"/>
      <c r="Z278" s="90">
        <f t="shared" si="154"/>
        <v>58.716000000000008</v>
      </c>
      <c r="AB278" s="94">
        <f>AB277</f>
        <v>0</v>
      </c>
      <c r="AC278" s="94">
        <f>AC277</f>
        <v>0.17</v>
      </c>
      <c r="AD278" s="90">
        <f>IFERROR(IF($C278="","",IF($P$15="Cascade",$R278*(1-AC278)*AB278,IF($P$15="Additionnelle",($N278-($N278*($P278+AC278)))*AB278))),"Non Trouvé")</f>
        <v>0</v>
      </c>
      <c r="AG278" s="94">
        <f>AG277</f>
        <v>0</v>
      </c>
      <c r="AH278" s="94">
        <f>AH277</f>
        <v>0.13</v>
      </c>
      <c r="AI278" s="90">
        <f>IFERROR(IF($C278="","",IF($P$15="Cascade",$R278*(1-AH278)*AG278,IF($P$15="Additionnelle",($N278-($N278*($P278+AH278)))*AG278))),"Non Trouvé")</f>
        <v>0</v>
      </c>
      <c r="AL278" s="94">
        <f>AL277</f>
        <v>0</v>
      </c>
      <c r="AM278" s="94">
        <f>AM277</f>
        <v>0.08</v>
      </c>
      <c r="AN278" s="90">
        <f>IFERROR(IF($C278="","",IF($P$15="Cascade",$R278*(1-AM278)*AL278,IF($P$15="Additionnelle",($N278-($N278*($P278+AM278)))*AL278))),"Non Trouvé")</f>
        <v>0</v>
      </c>
      <c r="AQ278" s="94">
        <f>AQ277</f>
        <v>0</v>
      </c>
      <c r="AR278" s="94">
        <f>AR277</f>
        <v>0.05</v>
      </c>
      <c r="AS278" s="90">
        <f>IFERROR(IF($C278="","",IF($P$15="Cascade",$R278*(1-AR278)*AQ278,IF($P$15="Additionnelle",($N278-($N278*($P278+AR278)))*AQ278))),"Non Trouvé")</f>
        <v>0</v>
      </c>
      <c r="AV278" s="94">
        <f>AV277</f>
        <v>0</v>
      </c>
      <c r="AW278" s="94">
        <f>AW277</f>
        <v>0.32500000000000001</v>
      </c>
      <c r="AX278" s="90">
        <f>IFERROR(IF($C278="","",IF($P$15="Cascade",$R278*(1-AW278)*AV278,IF($P$15="Additionnelle",($N278-($N278*($P278+AW278)))*AV278))),"Non Trouvé")</f>
        <v>0</v>
      </c>
      <c r="BA278" s="94">
        <f>BA277</f>
        <v>0</v>
      </c>
      <c r="BB278" s="94">
        <f>BB277</f>
        <v>0.29499999999999998</v>
      </c>
      <c r="BC278" s="90">
        <f>IFERROR(IF($C278="","",IF($P$15="Cascade",$R278*(1-BB278)*BA278,IF($P$15="Additionnelle",($N278-($N278*($P278+BB278)))*BA278))),"Non Trouvé")</f>
        <v>0</v>
      </c>
      <c r="BF278" s="94">
        <f>BF277</f>
        <v>0</v>
      </c>
      <c r="BG278" s="94">
        <f>BG277</f>
        <v>0.27500000000000002</v>
      </c>
      <c r="BH278" s="90">
        <f>IFERROR(IF($C278="","",IF($P$15="Cascade",$R278*(1-BG278)*BF278,IF($P$15="Additionnelle",($N278-($N278*($P278+BG278)))*BF278))),"Non Trouvé")</f>
        <v>0</v>
      </c>
      <c r="BK278" s="94">
        <f>BK277</f>
        <v>0</v>
      </c>
      <c r="BL278" s="94">
        <f>BL277</f>
        <v>0.245</v>
      </c>
      <c r="BM278" s="90">
        <f>IFERROR(IF($C278="","",IF($P$15="Cascade",$R278*(1-BL278)*BK278,IF($P$15="Additionnelle",($N278-($N278*($P278+BL278)))*BK278))),"Non Trouvé")</f>
        <v>0</v>
      </c>
      <c r="BP278" s="94">
        <f>BP277</f>
        <v>0</v>
      </c>
      <c r="BQ278" s="94">
        <f>BQ277</f>
        <v>0.22500000000000001</v>
      </c>
      <c r="BR278" s="90">
        <f>IFERROR(IF($C278="","",IF($P$15="Cascade",$R278*(1-BQ278)*BP278,IF($P$15="Additionnelle",($N278-($N278*($P278+BQ278)))*BP278))),"Non Trouvé")</f>
        <v>0</v>
      </c>
      <c r="BU278" s="94">
        <f>BU277</f>
        <v>0</v>
      </c>
      <c r="BV278" s="94">
        <f>BV277</f>
        <v>0.17499999999999999</v>
      </c>
      <c r="BW278" s="90">
        <f>IFERROR(IF($C278="","",IF($P$15="Cascade",$R278*(1-BV278)*BU278,IF($P$15="Additionnelle",($N278-($N278*($P278+BV278)))*BU278))),"Non Trouvé")</f>
        <v>0</v>
      </c>
      <c r="BZ278" s="94">
        <f>BZ277</f>
        <v>0</v>
      </c>
      <c r="CA278" s="94">
        <f>CA277</f>
        <v>0.15</v>
      </c>
      <c r="CB278" s="90">
        <f>IFERROR(IF($C278="","",IF($P$15="Cascade",$R278*(1-CA278)*BZ278,IF($P$15="Additionnelle",($N278-($N278*($P278+CA278)))*BZ278))),"Non Trouvé")</f>
        <v>0</v>
      </c>
      <c r="CE278" s="95"/>
      <c r="CF278" s="114"/>
      <c r="CG278" s="115" t="s">
        <v>91</v>
      </c>
      <c r="CH278" s="116" t="e">
        <f>CG275/CF275</f>
        <v>#DIV/0!</v>
      </c>
      <c r="CI278" s="98"/>
      <c r="CK278" s="99">
        <f>IFERROR(IF(F278='[1]Paramètres Généraux'!$K$12,ROUNDUP((REGENERANTS!H278*REGENERANTS!$CF$275)*'[1]Paramètres Généraux'!$M$12,-1),REGENERANTS!H278*REGENERANTS!$CF$275),"nd")</f>
        <v>0</v>
      </c>
      <c r="CN278" s="100"/>
      <c r="CO278" s="101"/>
      <c r="CP278" s="101"/>
      <c r="CQ278" s="101"/>
      <c r="CR278" s="101"/>
      <c r="CS278" s="171"/>
      <c r="CT278" s="172"/>
      <c r="CU278" s="101"/>
      <c r="CV278" s="171"/>
      <c r="CW278" s="106"/>
      <c r="CX278" s="107"/>
      <c r="CY278" s="106"/>
      <c r="CZ278" s="104"/>
      <c r="DA278" s="107"/>
      <c r="DB278" s="106"/>
      <c r="DC278" s="104"/>
      <c r="DD278" s="107"/>
      <c r="DE278" s="106"/>
      <c r="DF278" s="104"/>
      <c r="DG278" s="104"/>
      <c r="DH278" s="104"/>
      <c r="DI278" s="104"/>
      <c r="DJ278" s="104"/>
      <c r="DK278" s="104"/>
      <c r="DL278" s="104"/>
      <c r="DM278" s="104"/>
      <c r="DN278" s="104"/>
      <c r="DO278" s="107"/>
      <c r="DP278" s="106"/>
      <c r="DQ278" s="20">
        <f t="shared" si="155"/>
        <v>0</v>
      </c>
      <c r="DR278" s="20">
        <f t="shared" si="156"/>
        <v>0</v>
      </c>
      <c r="DS278" s="20">
        <f>IFERROR((IF(AND($F278="Produit Vente",CO278&gt;0),VLOOKUP($C278,'[1]Paramètres Articles'!$B:$H,7,FALSE)*$CO278)*(1-20%)),0)</f>
        <v>0</v>
      </c>
      <c r="DT278" s="20">
        <f>IFERROR((IF(AND($F278="Produit Vente",DR278&gt;0),VLOOKUP($C278,'[1]Paramètres Articles'!$B:$H,6,FALSE)*$DR278)*(1-15%)),0)</f>
        <v>0</v>
      </c>
    </row>
    <row r="279" spans="2:124" ht="12.95" hidden="1" customHeight="1" thickBot="1">
      <c r="B279" s="1">
        <f>IF(C279="",0,COUNTIFS($B$22:B278,"&gt;"&amp;0)+1)</f>
        <v>105</v>
      </c>
      <c r="C279" s="85">
        <v>1020401</v>
      </c>
      <c r="D279" s="86" t="str">
        <f>IFERROR(IF($C279="","",VLOOKUP($C279,'[1]Paramètres Articles'!$B:$G,2,FALSE)),"Non Trouvé")</f>
        <v>Crème Contour des Yeux - Régénérant - 15 ml</v>
      </c>
      <c r="E279" s="87">
        <f>IFERROR(IF($C279="","",_xlfn.XLOOKUP(REGENERANTS!$C279,'[1]New Base PA'!$F:$F,'[1]New Base PA'!$D:$D,"Not Found",0)),"Non Trouvé")</f>
        <v>4020829013919</v>
      </c>
      <c r="F279" s="88" t="s">
        <v>90</v>
      </c>
      <c r="H279" s="101">
        <f>12*9%</f>
        <v>1.08</v>
      </c>
      <c r="J279" s="90"/>
      <c r="K279" s="131"/>
      <c r="L279" s="132"/>
      <c r="M279" s="131">
        <f>IFERROR(IF(AND($F279="Produit Vente",H279&gt;0),VLOOKUP($C279,'[1]Paramètres Articles'!$B:$G,6,FALSE),0),"Non Trouvé")</f>
        <v>39.71</v>
      </c>
      <c r="N279" s="131"/>
      <c r="P279" s="92"/>
      <c r="R279" s="90">
        <f t="shared" si="153"/>
        <v>0</v>
      </c>
      <c r="S279" s="91"/>
      <c r="T279" s="90">
        <f>IFERROR(IF($C279="","",VLOOKUP($C279,'[1]Paramètres Articles'!$B:$H,7,FALSE)),"Non Trouvé")</f>
        <v>67.5</v>
      </c>
      <c r="U279" s="93"/>
      <c r="V279" s="90" t="str">
        <f t="shared" si="157"/>
        <v/>
      </c>
      <c r="W279" s="91"/>
      <c r="X279" s="90" t="str">
        <f t="shared" ref="X279:X316" si="158">IFERROR(T279-V279,"")</f>
        <v/>
      </c>
      <c r="Y279" s="91"/>
      <c r="Z279" s="90">
        <f t="shared" si="154"/>
        <v>72.900000000000006</v>
      </c>
      <c r="AB279" s="94">
        <f>AB277</f>
        <v>0</v>
      </c>
      <c r="AC279" s="94">
        <f>AC277</f>
        <v>0.17</v>
      </c>
      <c r="AD279" s="90">
        <f>IFERROR(IF($C279="","",IF($P$15="Cascade",$R279*(1-AC279)*AB279,IF($P$15="Additionnelle",($N279-($N279*($P279+AC279)))*AB279))),"Non Trouvé")</f>
        <v>0</v>
      </c>
      <c r="AG279" s="94">
        <f>AG277</f>
        <v>0</v>
      </c>
      <c r="AH279" s="94">
        <f>AH277</f>
        <v>0.13</v>
      </c>
      <c r="AI279" s="90">
        <f>IFERROR(IF($C279="","",IF($P$15="Cascade",$R279*(1-AH279)*AG279,IF($P$15="Additionnelle",($N279-($N279*($P279+AH279)))*AG279))),"Non Trouvé")</f>
        <v>0</v>
      </c>
      <c r="AL279" s="94">
        <f>AL277</f>
        <v>0</v>
      </c>
      <c r="AM279" s="94">
        <f>AM277</f>
        <v>0.08</v>
      </c>
      <c r="AN279" s="90">
        <f>IFERROR(IF($C279="","",IF($P$15="Cascade",$R279*(1-AM279)*AL279,IF($P$15="Additionnelle",($N279-($N279*($P279+AM279)))*AL279))),"Non Trouvé")</f>
        <v>0</v>
      </c>
      <c r="AQ279" s="94">
        <f>AQ277</f>
        <v>0</v>
      </c>
      <c r="AR279" s="94">
        <f>AR277</f>
        <v>0.05</v>
      </c>
      <c r="AS279" s="90">
        <f>IFERROR(IF($C279="","",IF($P$15="Cascade",$R279*(1-AR279)*AQ279,IF($P$15="Additionnelle",($N279-($N279*($P279+AR279)))*AQ279))),"Non Trouvé")</f>
        <v>0</v>
      </c>
      <c r="AV279" s="94">
        <f>AV277</f>
        <v>0</v>
      </c>
      <c r="AW279" s="94">
        <f>AW277</f>
        <v>0.32500000000000001</v>
      </c>
      <c r="AX279" s="90">
        <f>IFERROR(IF($C279="","",IF($P$15="Cascade",$R279*(1-AW279)*AV279,IF($P$15="Additionnelle",($N279-($N279*($P279+AW279)))*AV279))),"Non Trouvé")</f>
        <v>0</v>
      </c>
      <c r="BA279" s="94">
        <f>BA277</f>
        <v>0</v>
      </c>
      <c r="BB279" s="94">
        <f>BB277</f>
        <v>0.29499999999999998</v>
      </c>
      <c r="BC279" s="90">
        <f>IFERROR(IF($C279="","",IF($P$15="Cascade",$R279*(1-BB279)*BA279,IF($P$15="Additionnelle",($N279-($N279*($P279+BB279)))*BA279))),"Non Trouvé")</f>
        <v>0</v>
      </c>
      <c r="BF279" s="94">
        <f>BF277</f>
        <v>0</v>
      </c>
      <c r="BG279" s="94">
        <f>BG277</f>
        <v>0.27500000000000002</v>
      </c>
      <c r="BH279" s="90">
        <f>IFERROR(IF($C279="","",IF($P$15="Cascade",$R279*(1-BG279)*BF279,IF($P$15="Additionnelle",($N279-($N279*($P279+BG279)))*BF279))),"Non Trouvé")</f>
        <v>0</v>
      </c>
      <c r="BK279" s="94">
        <f>BK277</f>
        <v>0</v>
      </c>
      <c r="BL279" s="94">
        <f>BL277</f>
        <v>0.245</v>
      </c>
      <c r="BM279" s="90">
        <f>IFERROR(IF($C279="","",IF($P$15="Cascade",$R279*(1-BL279)*BK279,IF($P$15="Additionnelle",($N279-($N279*($P279+BL279)))*BK279))),"Non Trouvé")</f>
        <v>0</v>
      </c>
      <c r="BP279" s="94">
        <f>BP277</f>
        <v>0</v>
      </c>
      <c r="BQ279" s="94">
        <f>BQ277</f>
        <v>0.22500000000000001</v>
      </c>
      <c r="BR279" s="90">
        <f>IFERROR(IF($C279="","",IF($P$15="Cascade",$R279*(1-BQ279)*BP279,IF($P$15="Additionnelle",($N279-($N279*($P279+BQ279)))*BP279))),"Non Trouvé")</f>
        <v>0</v>
      </c>
      <c r="BU279" s="94">
        <f>BU277</f>
        <v>0</v>
      </c>
      <c r="BV279" s="94">
        <f>BV277</f>
        <v>0.17499999999999999</v>
      </c>
      <c r="BW279" s="90">
        <f>IFERROR(IF($C279="","",IF($P$15="Cascade",$R279*(1-BV279)*BU279,IF($P$15="Additionnelle",($N279-($N279*($P279+BV279)))*BU279))),"Non Trouvé")</f>
        <v>0</v>
      </c>
      <c r="BZ279" s="94">
        <f>BZ277</f>
        <v>0</v>
      </c>
      <c r="CA279" s="94">
        <f>CA277</f>
        <v>0.15</v>
      </c>
      <c r="CB279" s="90">
        <f>IFERROR(IF($C279="","",IF($P$15="Cascade",$R279*(1-CA279)*BZ279,IF($P$15="Additionnelle",($N279-($N279*($P279+CA279)))*BZ279))),"Non Trouvé")</f>
        <v>0</v>
      </c>
      <c r="CE279" s="95"/>
      <c r="CF279" s="114"/>
      <c r="CG279" s="115" t="s">
        <v>92</v>
      </c>
      <c r="CH279" s="118">
        <f>SUM(CH281:CH284)</f>
        <v>0.23155346275154368</v>
      </c>
      <c r="CI279" s="98"/>
      <c r="CK279" s="99">
        <f>IFERROR(IF(F279='[1]Paramètres Généraux'!$K$12,ROUNDUP((REGENERANTS!H279*REGENERANTS!$CF$275)*'[1]Paramètres Généraux'!$M$12,-1),REGENERANTS!H279*REGENERANTS!$CF$275),"nd")</f>
        <v>0</v>
      </c>
      <c r="CN279" s="100"/>
      <c r="CO279" s="101"/>
      <c r="CP279" s="101"/>
      <c r="CQ279" s="101"/>
      <c r="CR279" s="101"/>
      <c r="CS279" s="171"/>
      <c r="CT279" s="172"/>
      <c r="CU279" s="101"/>
      <c r="CV279" s="171"/>
      <c r="CW279" s="106"/>
      <c r="CX279" s="107"/>
      <c r="CY279" s="106"/>
      <c r="CZ279" s="104"/>
      <c r="DA279" s="107"/>
      <c r="DB279" s="106"/>
      <c r="DC279" s="104"/>
      <c r="DD279" s="107"/>
      <c r="DE279" s="106"/>
      <c r="DF279" s="104"/>
      <c r="DG279" s="104"/>
      <c r="DH279" s="104"/>
      <c r="DI279" s="104"/>
      <c r="DJ279" s="104"/>
      <c r="DK279" s="104"/>
      <c r="DL279" s="104"/>
      <c r="DM279" s="104"/>
      <c r="DN279" s="104"/>
      <c r="DO279" s="107"/>
      <c r="DP279" s="106"/>
      <c r="DQ279" s="20">
        <f t="shared" si="155"/>
        <v>0</v>
      </c>
      <c r="DR279" s="20">
        <f t="shared" si="156"/>
        <v>0</v>
      </c>
      <c r="DS279" s="20">
        <f>IFERROR((IF(AND($F279="Produit Vente",CO279&gt;0),VLOOKUP($C279,'[1]Paramètres Articles'!$B:$H,7,FALSE)*$CO279)*(1-20%)),0)</f>
        <v>0</v>
      </c>
      <c r="DT279" s="20">
        <f>IFERROR((IF(AND($F279="Produit Vente",DR279&gt;0),VLOOKUP($C279,'[1]Paramètres Articles'!$B:$H,6,FALSE)*$DR279)*(1-15%)),0)</f>
        <v>0</v>
      </c>
    </row>
    <row r="280" spans="2:124" ht="12.95" hidden="1" customHeight="1" outlineLevel="1">
      <c r="B280" s="1">
        <f>IF(C280="",0,COUNTIFS($B$22:B279,"&gt;"&amp;0)+1)</f>
        <v>106</v>
      </c>
      <c r="C280" s="85">
        <v>1020302</v>
      </c>
      <c r="D280" s="86" t="str">
        <f>IFERROR(IF($C280="","",VLOOKUP($C280,'[1]Paramètres Articles'!$B:$G,2,FALSE)),"Non Trouvé")</f>
        <v>Crème Cou et Décolleté - Régénérant - 40 ml</v>
      </c>
      <c r="E280" s="87">
        <f>IFERROR(IF($C280="","",_xlfn.XLOOKUP(REGENERANTS!$C280,'[1]New Base PA'!$F:$F,'[1]New Base PA'!$D:$D,"Not Found",0)),"Non Trouvé")</f>
        <v>4020829008366</v>
      </c>
      <c r="F280" s="88" t="s">
        <v>90</v>
      </c>
      <c r="H280" s="101">
        <f>12*4%</f>
        <v>0.48</v>
      </c>
      <c r="J280" s="90"/>
      <c r="K280" s="131"/>
      <c r="L280" s="132"/>
      <c r="M280" s="131">
        <f>IFERROR(IF(AND($F280="Produit Vente",H280&gt;0),VLOOKUP($C280,'[1]Paramètres Articles'!$B:$G,6,FALSE),0),"Non Trouvé")</f>
        <v>35.878166666666665</v>
      </c>
      <c r="N280" s="131"/>
      <c r="P280" s="92"/>
      <c r="R280" s="90">
        <f t="shared" si="153"/>
        <v>0</v>
      </c>
      <c r="S280" s="91"/>
      <c r="T280" s="90">
        <f>IFERROR(IF($C280="","",VLOOKUP($C280,'[1]Paramètres Articles'!$B:$H,7,FALSE)),"Non Trouvé")</f>
        <v>61</v>
      </c>
      <c r="U280" s="93"/>
      <c r="V280" s="90" t="str">
        <f t="shared" si="157"/>
        <v/>
      </c>
      <c r="W280" s="91"/>
      <c r="X280" s="90" t="str">
        <f t="shared" si="158"/>
        <v/>
      </c>
      <c r="Y280" s="91"/>
      <c r="Z280" s="90">
        <f t="shared" si="154"/>
        <v>29.279999999999998</v>
      </c>
      <c r="AB280" s="94">
        <f>AB279</f>
        <v>0</v>
      </c>
      <c r="AC280" s="94">
        <f>AC279</f>
        <v>0.17</v>
      </c>
      <c r="AD280" s="90">
        <f t="shared" ref="AD280:AD316" si="159">IFERROR(IF($C280="","",IF($P$15="Cascade",$R280*(1-AC280)*AB280,IF($P$15="Additionnelle",($N280-($N280*($P280+AC280)))*AB280))),"Non Trouvé")</f>
        <v>0</v>
      </c>
      <c r="AG280" s="94">
        <f>AG279</f>
        <v>0</v>
      </c>
      <c r="AH280" s="94">
        <f>AH279</f>
        <v>0.13</v>
      </c>
      <c r="AI280" s="90">
        <f t="shared" ref="AI280:AI316" si="160">IFERROR(IF($C280="","",IF($P$15="Cascade",$R280*(1-AH280)*AG280,IF($P$15="Additionnelle",($N280-($N280*($P280+AH280)))*AG280))),"Non Trouvé")</f>
        <v>0</v>
      </c>
      <c r="AL280" s="94">
        <f>AL279</f>
        <v>0</v>
      </c>
      <c r="AM280" s="94">
        <f>AM279</f>
        <v>0.08</v>
      </c>
      <c r="AN280" s="90">
        <f t="shared" ref="AN280:AN316" si="161">IFERROR(IF($C280="","",IF($P$15="Cascade",$R280*(1-AM280)*AL280,IF($P$15="Additionnelle",($N280-($N280*($P280+AM280)))*AL280))),"Non Trouvé")</f>
        <v>0</v>
      </c>
      <c r="AQ280" s="94">
        <f>AQ279</f>
        <v>0</v>
      </c>
      <c r="AR280" s="94">
        <f>AR279</f>
        <v>0.05</v>
      </c>
      <c r="AS280" s="90">
        <f t="shared" ref="AS280:AS316" si="162">IFERROR(IF($C280="","",IF($P$15="Cascade",$R280*(1-AR280)*AQ280,IF($P$15="Additionnelle",($N280-($N280*($P280+AR280)))*AQ280))),"Non Trouvé")</f>
        <v>0</v>
      </c>
      <c r="AV280" s="94">
        <f>AV279</f>
        <v>0</v>
      </c>
      <c r="AW280" s="94">
        <f>AW279</f>
        <v>0.32500000000000001</v>
      </c>
      <c r="AX280" s="90">
        <f t="shared" ref="AX280:AX316" si="163">IFERROR(IF($C280="","",IF($P$15="Cascade",$R280*(1-AW280)*AV280,IF($P$15="Additionnelle",($N280-($N280*($P280+AW280)))*AV280))),"Non Trouvé")</f>
        <v>0</v>
      </c>
      <c r="BA280" s="94">
        <f>BA279</f>
        <v>0</v>
      </c>
      <c r="BB280" s="94">
        <f>BB279</f>
        <v>0.29499999999999998</v>
      </c>
      <c r="BC280" s="90">
        <f t="shared" ref="BC280:BC316" si="164">IFERROR(IF($C280="","",IF($P$15="Cascade",$R280*(1-BB280)*BA280,IF($P$15="Additionnelle",($N280-($N280*($P280+BB280)))*BA280))),"Non Trouvé")</f>
        <v>0</v>
      </c>
      <c r="BF280" s="94">
        <f>BF279</f>
        <v>0</v>
      </c>
      <c r="BG280" s="94">
        <f>BG279</f>
        <v>0.27500000000000002</v>
      </c>
      <c r="BH280" s="90">
        <f t="shared" ref="BH280:BH316" si="165">IFERROR(IF($C280="","",IF($P$15="Cascade",$R280*(1-BG280)*BF280,IF($P$15="Additionnelle",($N280-($N280*($P280+BG280)))*BF280))),"Non Trouvé")</f>
        <v>0</v>
      </c>
      <c r="BK280" s="94">
        <f>BK279</f>
        <v>0</v>
      </c>
      <c r="BL280" s="94">
        <f>BL279</f>
        <v>0.245</v>
      </c>
      <c r="BM280" s="90">
        <f t="shared" ref="BM280:BM316" si="166">IFERROR(IF($C280="","",IF($P$15="Cascade",$R280*(1-BL280)*BK280,IF($P$15="Additionnelle",($N280-($N280*($P280+BL280)))*BK280))),"Non Trouvé")</f>
        <v>0</v>
      </c>
      <c r="BP280" s="94">
        <f>BP279</f>
        <v>0</v>
      </c>
      <c r="BQ280" s="94">
        <f>BQ279</f>
        <v>0.22500000000000001</v>
      </c>
      <c r="BR280" s="90">
        <f t="shared" ref="BR280:BR316" si="167">IFERROR(IF($C280="","",IF($P$15="Cascade",$R280*(1-BQ280)*BP280,IF($P$15="Additionnelle",($N280-($N280*($P280+BQ280)))*BP280))),"Non Trouvé")</f>
        <v>0</v>
      </c>
      <c r="BU280" s="94">
        <f>BU279</f>
        <v>0</v>
      </c>
      <c r="BV280" s="94">
        <f>BV279</f>
        <v>0.17499999999999999</v>
      </c>
      <c r="BW280" s="90">
        <f t="shared" ref="BW280:BW316" si="168">IFERROR(IF($C280="","",IF($P$15="Cascade",$R280*(1-BV280)*BU280,IF($P$15="Additionnelle",($N280-($N280*($P280+BV280)))*BU280))),"Non Trouvé")</f>
        <v>0</v>
      </c>
      <c r="BZ280" s="94">
        <f>BZ279</f>
        <v>0</v>
      </c>
      <c r="CA280" s="94">
        <f>CA279</f>
        <v>0.15</v>
      </c>
      <c r="CB280" s="90">
        <f t="shared" ref="CB280:CB316" si="169">IFERROR(IF($C280="","",IF($P$15="Cascade",$R280*(1-CA280)*BZ280,IF($P$15="Additionnelle",($N280-($N280*($P280+CA280)))*BZ280))),"Non Trouvé")</f>
        <v>0</v>
      </c>
      <c r="CE280" s="95"/>
      <c r="CF280" s="96"/>
      <c r="CG280" s="97"/>
      <c r="CH280" s="97"/>
      <c r="CI280" s="98"/>
      <c r="CK280" s="99">
        <f>IFERROR(IF(F280='[1]Paramètres Généraux'!$K$12,ROUNDUP((REGENERANTS!H280*REGENERANTS!$CF$275)*'[1]Paramètres Généraux'!$M$12,-1),REGENERANTS!H280*REGENERANTS!$CF$275),"nd")</f>
        <v>0</v>
      </c>
      <c r="CN280" s="100"/>
      <c r="CO280" s="101"/>
      <c r="CP280" s="101"/>
      <c r="CQ280" s="101"/>
      <c r="CR280" s="101"/>
      <c r="CS280" s="171"/>
      <c r="CT280" s="172"/>
      <c r="CU280" s="101"/>
      <c r="CV280" s="171"/>
      <c r="CW280" s="106"/>
      <c r="CX280" s="107"/>
      <c r="CY280" s="106"/>
      <c r="CZ280" s="104"/>
      <c r="DA280" s="107"/>
      <c r="DB280" s="106"/>
      <c r="DC280" s="104"/>
      <c r="DD280" s="107"/>
      <c r="DE280" s="106"/>
      <c r="DF280" s="104"/>
      <c r="DG280" s="104"/>
      <c r="DH280" s="104"/>
      <c r="DI280" s="104"/>
      <c r="DJ280" s="104"/>
      <c r="DK280" s="104"/>
      <c r="DL280" s="104"/>
      <c r="DM280" s="104"/>
      <c r="DN280" s="104"/>
      <c r="DO280" s="107"/>
      <c r="DP280" s="106"/>
      <c r="DQ280" s="20">
        <f t="shared" si="155"/>
        <v>0</v>
      </c>
      <c r="DR280" s="20">
        <f t="shared" si="156"/>
        <v>0</v>
      </c>
      <c r="DS280" s="20">
        <f>IFERROR((IF(AND($F280="Produit Vente",CO280&gt;0),VLOOKUP($C280,'[1]Paramètres Articles'!$B:$H,7,FALSE)*$CO280)*(1-20%)),0)</f>
        <v>0</v>
      </c>
      <c r="DT280" s="20">
        <f>IFERROR((IF(AND($F280="Produit Vente",DR280&gt;0),VLOOKUP($C280,'[1]Paramètres Articles'!$B:$H,6,FALSE)*$DR280)*(1-15%)),0)</f>
        <v>0</v>
      </c>
    </row>
    <row r="281" spans="2:124" ht="12.95" hidden="1" customHeight="1" outlineLevel="1">
      <c r="B281" s="1">
        <f>IF(C281="",0,COUNTIFS($B$22:B280,"&gt;"&amp;0)+1)</f>
        <v>107</v>
      </c>
      <c r="C281" s="85">
        <v>1020721</v>
      </c>
      <c r="D281" s="86" t="str">
        <f>IFERROR(IF($C281="","",VLOOKUP($C281,'[1]Paramètres Articles'!$B:$G,2,FALSE)),"Non Trouvé")</f>
        <v>Cure Intensive Fortifiante - Régénérant - 40ml</v>
      </c>
      <c r="E281" s="87">
        <f>IFERROR(IF($C281="","",_xlfn.XLOOKUP(REGENERANTS!$C281,'[1]New Base PA'!$F:$F,'[1]New Base PA'!$D:$D,"Not Found",0)),"Non Trouvé")</f>
        <v>4020829102941</v>
      </c>
      <c r="F281" s="88" t="s">
        <v>90</v>
      </c>
      <c r="H281" s="101">
        <v>0</v>
      </c>
      <c r="J281" s="90">
        <f>IFERROR(IF($C281="","",VLOOKUP($C281,'[1]New Base PA'!$F:$J,5,FALSE)),"Non Trouvé")</f>
        <v>16.878</v>
      </c>
      <c r="K281" s="131">
        <f t="shared" ref="K281:K316" si="170">IFERROR(IF($C281="","",$J281*$H281),"Non Trouvé")</f>
        <v>0</v>
      </c>
      <c r="L281" s="132"/>
      <c r="M281" s="131">
        <f>IFERROR(IF(AND($F281="Produit Vente",H281&gt;0),VLOOKUP($C281,'[1]Paramètres Articles'!$B:$G,6,FALSE),0),"Non Trouvé")</f>
        <v>0</v>
      </c>
      <c r="N281" s="131">
        <f t="shared" ref="N281:N316" si="171">IFERROR(IF($C281="","",$M281*$H281),"Non Trouvé")</f>
        <v>0</v>
      </c>
      <c r="P281" s="92"/>
      <c r="R281" s="90">
        <f t="shared" si="153"/>
        <v>0</v>
      </c>
      <c r="S281" s="91"/>
      <c r="T281" s="90">
        <f>IFERROR(IF($C281="","",VLOOKUP($C281,'[1]Paramètres Articles'!$B:$H,7,FALSE)),"Non Trouvé")</f>
        <v>72.898071522305145</v>
      </c>
      <c r="U281" s="93"/>
      <c r="V281" s="90" t="str">
        <f t="shared" si="157"/>
        <v/>
      </c>
      <c r="W281" s="91"/>
      <c r="X281" s="90" t="str">
        <f t="shared" si="158"/>
        <v/>
      </c>
      <c r="Y281" s="91"/>
      <c r="Z281" s="90">
        <f t="shared" si="154"/>
        <v>0</v>
      </c>
      <c r="AB281" s="94">
        <f>AB279</f>
        <v>0</v>
      </c>
      <c r="AC281" s="94">
        <f>AC279</f>
        <v>0.17</v>
      </c>
      <c r="AD281" s="90">
        <f t="shared" si="159"/>
        <v>0</v>
      </c>
      <c r="AG281" s="94">
        <f>AG279</f>
        <v>0</v>
      </c>
      <c r="AH281" s="94">
        <f>AH279</f>
        <v>0.13</v>
      </c>
      <c r="AI281" s="90">
        <f t="shared" si="160"/>
        <v>0</v>
      </c>
      <c r="AL281" s="94">
        <f>AL279</f>
        <v>0</v>
      </c>
      <c r="AM281" s="94">
        <f>AM279</f>
        <v>0.08</v>
      </c>
      <c r="AN281" s="90">
        <f t="shared" si="161"/>
        <v>0</v>
      </c>
      <c r="AQ281" s="94">
        <f>AQ279</f>
        <v>0</v>
      </c>
      <c r="AR281" s="94">
        <f>AR279</f>
        <v>0.05</v>
      </c>
      <c r="AS281" s="90">
        <f t="shared" si="162"/>
        <v>0</v>
      </c>
      <c r="AV281" s="94">
        <f>AV279</f>
        <v>0</v>
      </c>
      <c r="AW281" s="94">
        <f>AW279</f>
        <v>0.32500000000000001</v>
      </c>
      <c r="AX281" s="90">
        <f t="shared" si="163"/>
        <v>0</v>
      </c>
      <c r="BA281" s="94">
        <f>BA279</f>
        <v>0</v>
      </c>
      <c r="BB281" s="94">
        <f>BB279</f>
        <v>0.29499999999999998</v>
      </c>
      <c r="BC281" s="90">
        <f t="shared" si="164"/>
        <v>0</v>
      </c>
      <c r="BF281" s="94">
        <f>BF279</f>
        <v>0</v>
      </c>
      <c r="BG281" s="94">
        <f>BG279</f>
        <v>0.27500000000000002</v>
      </c>
      <c r="BH281" s="90">
        <f t="shared" si="165"/>
        <v>0</v>
      </c>
      <c r="BK281" s="94">
        <f>BK279</f>
        <v>0</v>
      </c>
      <c r="BL281" s="94">
        <f>BL279</f>
        <v>0.245</v>
      </c>
      <c r="BM281" s="90">
        <f t="shared" si="166"/>
        <v>0</v>
      </c>
      <c r="BP281" s="94">
        <f>BP279</f>
        <v>0</v>
      </c>
      <c r="BQ281" s="94">
        <f>BQ279</f>
        <v>0.22500000000000001</v>
      </c>
      <c r="BR281" s="90">
        <f t="shared" si="167"/>
        <v>0</v>
      </c>
      <c r="BU281" s="94">
        <f>BU279</f>
        <v>0</v>
      </c>
      <c r="BV281" s="94">
        <f>BV279</f>
        <v>0.17499999999999999</v>
      </c>
      <c r="BW281" s="90">
        <f t="shared" si="168"/>
        <v>0</v>
      </c>
      <c r="BZ281" s="94">
        <f>BZ279</f>
        <v>0</v>
      </c>
      <c r="CA281" s="94">
        <f>CA279</f>
        <v>0.15</v>
      </c>
      <c r="CB281" s="90">
        <f t="shared" si="169"/>
        <v>0</v>
      </c>
      <c r="CE281" s="95"/>
      <c r="CF281" s="96"/>
      <c r="CG281" s="88" t="s">
        <v>93</v>
      </c>
      <c r="CH281" s="120">
        <f>SUMIFS(K277:K316,F277:F316,CG281)/SUMIFS(K277:K316,F277:F316,"Produit Vente")</f>
        <v>0.23155346275154368</v>
      </c>
      <c r="CI281" s="98"/>
      <c r="CK281" s="99">
        <f>IFERROR(IF(F281='[1]Paramètres Généraux'!$K$12,ROUNDUP((REGENERANTS!H281*REGENERANTS!$CF$275)*'[1]Paramètres Généraux'!$M$12,-1),REGENERANTS!H281*REGENERANTS!$CF$275),"nd")</f>
        <v>0</v>
      </c>
      <c r="CN281" s="100"/>
      <c r="CO281" s="101"/>
      <c r="CP281" s="101"/>
      <c r="CQ281" s="101"/>
      <c r="CR281" s="101"/>
      <c r="CS281" s="171"/>
      <c r="CT281" s="172"/>
      <c r="CU281" s="101"/>
      <c r="CV281" s="171"/>
      <c r="CW281" s="106"/>
      <c r="CX281" s="107"/>
      <c r="CY281" s="106"/>
      <c r="CZ281" s="104"/>
      <c r="DA281" s="107"/>
      <c r="DB281" s="106"/>
      <c r="DC281" s="104"/>
      <c r="DD281" s="107"/>
      <c r="DE281" s="106"/>
      <c r="DF281" s="104"/>
      <c r="DG281" s="104"/>
      <c r="DH281" s="104"/>
      <c r="DI281" s="104"/>
      <c r="DJ281" s="104"/>
      <c r="DK281" s="104"/>
      <c r="DL281" s="104"/>
      <c r="DM281" s="104"/>
      <c r="DN281" s="104"/>
      <c r="DO281" s="107"/>
      <c r="DP281" s="106"/>
      <c r="DQ281" s="20">
        <f t="shared" si="155"/>
        <v>0</v>
      </c>
      <c r="DR281" s="20">
        <f t="shared" si="156"/>
        <v>0</v>
      </c>
      <c r="DS281" s="20">
        <f>IFERROR((IF(AND($F281="Produit Vente",CO281&gt;0),VLOOKUP($C281,'[1]Paramètres Articles'!$B:$H,7,FALSE)*$CO281)*(1-20%)),0)</f>
        <v>0</v>
      </c>
      <c r="DT281" s="20">
        <f>IFERROR((IF(AND($F281="Produit Vente",DR281&gt;0),VLOOKUP($C281,'[1]Paramètres Articles'!$B:$H,6,FALSE)*$DR281)*(1-15%)),0)</f>
        <v>0</v>
      </c>
    </row>
    <row r="282" spans="2:124" ht="12.95" hidden="1" customHeight="1" outlineLevel="1">
      <c r="B282" s="1">
        <f>IF(C282="",0,COUNTIFS($B$22:B281,"&gt;"&amp;0)+1)</f>
        <v>108</v>
      </c>
      <c r="C282" s="85">
        <v>1020107</v>
      </c>
      <c r="D282" s="86" t="str">
        <f>IFERROR(IF($C282="","",VLOOKUP($C282,'[1]Paramètres Articles'!$B:$G,2,FALSE)),"Non Trouvé")</f>
        <v>Lait pour le Corps - Régénérant - 150 ml</v>
      </c>
      <c r="E282" s="87">
        <f>IFERROR(IF($C282="","",_xlfn.XLOOKUP(REGENERANTS!$C282,'[1]New Base PA'!$F:$F,'[1]New Base PA'!$D:$D,"Not Found",0)),"Non Trouvé")</f>
        <v>4020829103160</v>
      </c>
      <c r="F282" s="88" t="s">
        <v>90</v>
      </c>
      <c r="H282" s="101">
        <f>12*3%</f>
        <v>0.36</v>
      </c>
      <c r="J282" s="90">
        <f>IFERROR(IF($C282="","",VLOOKUP($C282,'[1]New Base PA'!$F:$J,5,FALSE)),"Non Trouvé")</f>
        <v>10.335599999999999</v>
      </c>
      <c r="K282" s="131">
        <f t="shared" si="170"/>
        <v>3.7208159999999997</v>
      </c>
      <c r="L282" s="132"/>
      <c r="M282" s="131">
        <f>IFERROR(IF(AND($F282="Produit Vente",H282&gt;0),VLOOKUP($C282,'[1]Paramètres Articles'!$B:$G,6,FALSE),0),"Non Trouvé")</f>
        <v>26.119999999999997</v>
      </c>
      <c r="N282" s="131">
        <f t="shared" si="171"/>
        <v>9.4031999999999982</v>
      </c>
      <c r="P282" s="92"/>
      <c r="R282" s="90">
        <f t="shared" si="153"/>
        <v>9.4031999999999982</v>
      </c>
      <c r="S282" s="91"/>
      <c r="T282" s="90">
        <f>IFERROR(IF($C282="","",VLOOKUP($C282,'[1]Paramètres Articles'!$B:$H,7,FALSE)),"Non Trouvé")</f>
        <v>44.4</v>
      </c>
      <c r="U282" s="93"/>
      <c r="V282" s="90" t="str">
        <f t="shared" si="157"/>
        <v/>
      </c>
      <c r="W282" s="91"/>
      <c r="X282" s="90" t="str">
        <f t="shared" si="158"/>
        <v/>
      </c>
      <c r="Y282" s="91"/>
      <c r="Z282" s="90">
        <f t="shared" si="154"/>
        <v>15.983999999999998</v>
      </c>
      <c r="AB282" s="94">
        <f>AB281</f>
        <v>0</v>
      </c>
      <c r="AC282" s="94">
        <f>AC281</f>
        <v>0.17</v>
      </c>
      <c r="AD282" s="90">
        <f t="shared" si="159"/>
        <v>0</v>
      </c>
      <c r="AG282" s="94">
        <f>AG281</f>
        <v>0</v>
      </c>
      <c r="AH282" s="94">
        <f>AH281</f>
        <v>0.13</v>
      </c>
      <c r="AI282" s="90">
        <f t="shared" si="160"/>
        <v>0</v>
      </c>
      <c r="AL282" s="94">
        <f>AL281</f>
        <v>0</v>
      </c>
      <c r="AM282" s="94">
        <f>AM281</f>
        <v>0.08</v>
      </c>
      <c r="AN282" s="90">
        <f t="shared" si="161"/>
        <v>0</v>
      </c>
      <c r="AQ282" s="94">
        <f>AQ281</f>
        <v>0</v>
      </c>
      <c r="AR282" s="94">
        <f>AR281</f>
        <v>0.05</v>
      </c>
      <c r="AS282" s="90">
        <f t="shared" si="162"/>
        <v>0</v>
      </c>
      <c r="AV282" s="94">
        <f>AV281</f>
        <v>0</v>
      </c>
      <c r="AW282" s="94">
        <f>AW281</f>
        <v>0.32500000000000001</v>
      </c>
      <c r="AX282" s="90">
        <f t="shared" si="163"/>
        <v>0</v>
      </c>
      <c r="BA282" s="94">
        <f>BA281</f>
        <v>0</v>
      </c>
      <c r="BB282" s="94">
        <f>BB281</f>
        <v>0.29499999999999998</v>
      </c>
      <c r="BC282" s="90">
        <f t="shared" si="164"/>
        <v>0</v>
      </c>
      <c r="BF282" s="94">
        <f>BF281</f>
        <v>0</v>
      </c>
      <c r="BG282" s="94">
        <f>BG281</f>
        <v>0.27500000000000002</v>
      </c>
      <c r="BH282" s="90">
        <f t="shared" si="165"/>
        <v>0</v>
      </c>
      <c r="BK282" s="94">
        <f>BK281</f>
        <v>0</v>
      </c>
      <c r="BL282" s="94">
        <f>BL281</f>
        <v>0.245</v>
      </c>
      <c r="BM282" s="90">
        <f t="shared" si="166"/>
        <v>0</v>
      </c>
      <c r="BP282" s="94">
        <f>BP281</f>
        <v>0</v>
      </c>
      <c r="BQ282" s="94">
        <f>BQ281</f>
        <v>0.22500000000000001</v>
      </c>
      <c r="BR282" s="90">
        <f t="shared" si="167"/>
        <v>0</v>
      </c>
      <c r="BU282" s="94">
        <f>BU281</f>
        <v>0</v>
      </c>
      <c r="BV282" s="94">
        <f>BV281</f>
        <v>0.17499999999999999</v>
      </c>
      <c r="BW282" s="90">
        <f t="shared" si="168"/>
        <v>0</v>
      </c>
      <c r="BZ282" s="94">
        <f>BZ281</f>
        <v>0</v>
      </c>
      <c r="CA282" s="94">
        <f>CA281</f>
        <v>0.15</v>
      </c>
      <c r="CB282" s="90">
        <f t="shared" si="169"/>
        <v>0</v>
      </c>
      <c r="CE282" s="95"/>
      <c r="CF282" s="96"/>
      <c r="CG282" s="88" t="s">
        <v>94</v>
      </c>
      <c r="CH282" s="120">
        <f>SUMIFS(K277:K317,F277:F317,CG282)/K275</f>
        <v>0</v>
      </c>
      <c r="CI282" s="98"/>
      <c r="CK282" s="99">
        <f>IFERROR(IF(F282='[1]Paramètres Généraux'!$K$12,ROUNDUP((REGENERANTS!H282*REGENERANTS!$CF$275)*'[1]Paramètres Généraux'!$M$12,-1),REGENERANTS!H282*REGENERANTS!$CF$275),"nd")</f>
        <v>0</v>
      </c>
      <c r="CN282" s="100"/>
      <c r="CO282" s="101"/>
      <c r="CP282" s="101"/>
      <c r="CQ282" s="101"/>
      <c r="CR282" s="101"/>
      <c r="CS282" s="171"/>
      <c r="CT282" s="172"/>
      <c r="CU282" s="101"/>
      <c r="CV282" s="171"/>
      <c r="CW282" s="106"/>
      <c r="CX282" s="107"/>
      <c r="CY282" s="106"/>
      <c r="CZ282" s="104"/>
      <c r="DA282" s="107"/>
      <c r="DB282" s="106"/>
      <c r="DC282" s="104"/>
      <c r="DD282" s="107"/>
      <c r="DE282" s="106"/>
      <c r="DF282" s="104"/>
      <c r="DG282" s="104"/>
      <c r="DH282" s="104"/>
      <c r="DI282" s="104"/>
      <c r="DJ282" s="104"/>
      <c r="DK282" s="104"/>
      <c r="DL282" s="104"/>
      <c r="DM282" s="104"/>
      <c r="DN282" s="104"/>
      <c r="DO282" s="107"/>
      <c r="DP282" s="106"/>
      <c r="DQ282" s="20">
        <f t="shared" si="155"/>
        <v>0</v>
      </c>
      <c r="DR282" s="20">
        <f t="shared" si="156"/>
        <v>0</v>
      </c>
      <c r="DS282" s="20">
        <f>IFERROR((IF(AND($F282="Produit Vente",CO282&gt;0),VLOOKUP($C282,'[1]Paramètres Articles'!$B:$H,7,FALSE)*$CO282)*(1-20%)),0)</f>
        <v>0</v>
      </c>
      <c r="DT282" s="20">
        <f>IFERROR((IF(AND($F282="Produit Vente",DR282&gt;0),VLOOKUP($C282,'[1]Paramètres Articles'!$B:$H,6,FALSE)*$DR282)*(1-15%)),0)</f>
        <v>0</v>
      </c>
    </row>
    <row r="283" spans="2:124" ht="12.95" hidden="1" customHeight="1" outlineLevel="1">
      <c r="B283" s="1">
        <f>IF(C283="",0,COUNTIFS($B$22:B282,"&gt;"&amp;0)+1)</f>
        <v>109</v>
      </c>
      <c r="C283" s="85">
        <v>1020102</v>
      </c>
      <c r="D283" s="86" t="str">
        <f>IFERROR(IF($C283="","",VLOOKUP($C283,'[1]Paramètres Articles'!$B:$G,2,FALSE)),"Non Trouvé")</f>
        <v>Crème pour les Mains - Régénérant - 50 ml</v>
      </c>
      <c r="E283" s="87">
        <f>IFERROR(IF($C283="","",_xlfn.XLOOKUP(REGENERANTS!$C283,'[1]New Base PA'!$F:$F,'[1]New Base PA'!$D:$D,"Not Found",0)),"Non Trouvé")</f>
        <v>4020829049666</v>
      </c>
      <c r="F283" s="88" t="s">
        <v>90</v>
      </c>
      <c r="H283" s="101">
        <f>12*5%</f>
        <v>0.60000000000000009</v>
      </c>
      <c r="J283" s="90">
        <f>IFERROR(IF($C283="","",VLOOKUP($C283,'[1]New Base PA'!$F:$J,5,FALSE)),"Non Trouvé")</f>
        <v>6.5481999999999987</v>
      </c>
      <c r="K283" s="131">
        <f t="shared" si="170"/>
        <v>3.9289199999999997</v>
      </c>
      <c r="L283" s="132"/>
      <c r="M283" s="131">
        <f>IFERROR(IF(AND($F283="Produit Vente",H283&gt;0),VLOOKUP($C283,'[1]Paramètres Articles'!$B:$G,6,FALSE),0),"Non Trouvé")</f>
        <v>17.352941176470591</v>
      </c>
      <c r="N283" s="131">
        <f t="shared" si="171"/>
        <v>10.411764705882355</v>
      </c>
      <c r="P283" s="92"/>
      <c r="R283" s="90">
        <f t="shared" si="153"/>
        <v>10.411764705882355</v>
      </c>
      <c r="S283" s="91"/>
      <c r="T283" s="90">
        <f>IFERROR(IF($C283="","",VLOOKUP($C283,'[1]Paramètres Articles'!$B:$H,7,FALSE)),"Non Trouvé")</f>
        <v>29.5</v>
      </c>
      <c r="U283" s="93"/>
      <c r="V283" s="90" t="str">
        <f t="shared" si="157"/>
        <v/>
      </c>
      <c r="W283" s="91"/>
      <c r="X283" s="90" t="str">
        <f t="shared" si="158"/>
        <v/>
      </c>
      <c r="Y283" s="91"/>
      <c r="Z283" s="90">
        <f t="shared" si="154"/>
        <v>17.700000000000003</v>
      </c>
      <c r="AB283" s="94">
        <f>AB281</f>
        <v>0</v>
      </c>
      <c r="AC283" s="94">
        <f>AC281</f>
        <v>0.17</v>
      </c>
      <c r="AD283" s="90">
        <f t="shared" si="159"/>
        <v>0</v>
      </c>
      <c r="AG283" s="94">
        <f>AG281</f>
        <v>0</v>
      </c>
      <c r="AH283" s="94">
        <f>AH281</f>
        <v>0.13</v>
      </c>
      <c r="AI283" s="90">
        <f t="shared" si="160"/>
        <v>0</v>
      </c>
      <c r="AL283" s="94">
        <f>AL281</f>
        <v>0</v>
      </c>
      <c r="AM283" s="94">
        <f>AM281</f>
        <v>0.08</v>
      </c>
      <c r="AN283" s="90">
        <f t="shared" si="161"/>
        <v>0</v>
      </c>
      <c r="AQ283" s="94">
        <f>AQ281</f>
        <v>0</v>
      </c>
      <c r="AR283" s="94">
        <f>AR281</f>
        <v>0.05</v>
      </c>
      <c r="AS283" s="90">
        <f t="shared" si="162"/>
        <v>0</v>
      </c>
      <c r="AV283" s="94">
        <f>AV281</f>
        <v>0</v>
      </c>
      <c r="AW283" s="94">
        <f>AW281</f>
        <v>0.32500000000000001</v>
      </c>
      <c r="AX283" s="90">
        <f t="shared" si="163"/>
        <v>0</v>
      </c>
      <c r="BA283" s="94">
        <f>BA281</f>
        <v>0</v>
      </c>
      <c r="BB283" s="94">
        <f>BB281</f>
        <v>0.29499999999999998</v>
      </c>
      <c r="BC283" s="90">
        <f t="shared" si="164"/>
        <v>0</v>
      </c>
      <c r="BF283" s="94">
        <f>BF281</f>
        <v>0</v>
      </c>
      <c r="BG283" s="94">
        <f>BG281</f>
        <v>0.27500000000000002</v>
      </c>
      <c r="BH283" s="90">
        <f t="shared" si="165"/>
        <v>0</v>
      </c>
      <c r="BK283" s="94">
        <f>BK281</f>
        <v>0</v>
      </c>
      <c r="BL283" s="94">
        <f>BL281</f>
        <v>0.245</v>
      </c>
      <c r="BM283" s="90">
        <f t="shared" si="166"/>
        <v>0</v>
      </c>
      <c r="BP283" s="94">
        <f>BP281</f>
        <v>0</v>
      </c>
      <c r="BQ283" s="94">
        <f>BQ281</f>
        <v>0.22500000000000001</v>
      </c>
      <c r="BR283" s="90">
        <f t="shared" si="167"/>
        <v>0</v>
      </c>
      <c r="BU283" s="94">
        <f>BU281</f>
        <v>0</v>
      </c>
      <c r="BV283" s="94">
        <f>BV281</f>
        <v>0.17499999999999999</v>
      </c>
      <c r="BW283" s="90">
        <f t="shared" si="168"/>
        <v>0</v>
      </c>
      <c r="BZ283" s="94">
        <f>BZ281</f>
        <v>0</v>
      </c>
      <c r="CA283" s="94">
        <f>CA281</f>
        <v>0.15</v>
      </c>
      <c r="CB283" s="90">
        <f t="shared" si="169"/>
        <v>0</v>
      </c>
      <c r="CE283" s="95"/>
      <c r="CF283" s="96"/>
      <c r="CG283" s="88" t="s">
        <v>95</v>
      </c>
      <c r="CH283" s="120">
        <f>SUMIFS(K277:K317,F277:F317,CG283)/K275</f>
        <v>0</v>
      </c>
      <c r="CI283" s="98"/>
      <c r="CK283" s="99">
        <f>IFERROR(IF(F283='[1]Paramètres Généraux'!$K$12,ROUNDUP((REGENERANTS!H283*REGENERANTS!$CF$275)*'[1]Paramètres Généraux'!$M$12,-1),REGENERANTS!H283*REGENERANTS!$CF$275),"nd")</f>
        <v>0</v>
      </c>
      <c r="CN283" s="100"/>
      <c r="CO283" s="101"/>
      <c r="CP283" s="101"/>
      <c r="CQ283" s="101"/>
      <c r="CR283" s="101"/>
      <c r="CS283" s="171"/>
      <c r="CT283" s="172"/>
      <c r="CU283" s="101"/>
      <c r="CV283" s="171"/>
      <c r="CW283" s="106"/>
      <c r="CX283" s="107"/>
      <c r="CY283" s="106"/>
      <c r="CZ283" s="104"/>
      <c r="DA283" s="107"/>
      <c r="DB283" s="106"/>
      <c r="DC283" s="104"/>
      <c r="DD283" s="107"/>
      <c r="DE283" s="106"/>
      <c r="DF283" s="104"/>
      <c r="DG283" s="104"/>
      <c r="DH283" s="104"/>
      <c r="DI283" s="104"/>
      <c r="DJ283" s="104"/>
      <c r="DK283" s="104"/>
      <c r="DL283" s="104"/>
      <c r="DM283" s="104"/>
      <c r="DN283" s="104"/>
      <c r="DO283" s="107"/>
      <c r="DP283" s="106"/>
      <c r="DQ283" s="20">
        <f t="shared" si="155"/>
        <v>0</v>
      </c>
      <c r="DR283" s="20">
        <f t="shared" si="156"/>
        <v>0</v>
      </c>
      <c r="DS283" s="20">
        <f>IFERROR((IF(AND($F283="Produit Vente",CO283&gt;0),VLOOKUP($C283,'[1]Paramètres Articles'!$B:$H,7,FALSE)*$CO283)*(1-20%)),0)</f>
        <v>0</v>
      </c>
      <c r="DT283" s="20">
        <f>IFERROR((IF(AND($F283="Produit Vente",DR283&gt;0),VLOOKUP($C283,'[1]Paramètres Articles'!$B:$H,6,FALSE)*$DR283)*(1-15%)),0)</f>
        <v>0</v>
      </c>
    </row>
    <row r="284" spans="2:124" ht="12.95" hidden="1" customHeight="1" outlineLevel="1">
      <c r="B284" s="1">
        <f>IF(C284="",0,COUNTIFS($B$22:B283,"&gt;"&amp;0)+1)</f>
        <v>110</v>
      </c>
      <c r="C284" s="85">
        <v>1020722</v>
      </c>
      <c r="D284" s="86" t="str">
        <f>IFERROR(IF($C284="","",VLOOKUP($C284,'[1]Paramètres Articles'!$B:$G,2,FALSE)),"Non Trouvé")</f>
        <v>Cure Intensive Rééquilibrante - Régénérant Intensif - 40ml</v>
      </c>
      <c r="E284" s="87">
        <f>IFERROR(IF($C284="","",_xlfn.XLOOKUP(REGENERANTS!$C284,'[1]New Base PA'!$F:$F,'[1]New Base PA'!$D:$D,"Not Found",0)),"Non Trouvé")</f>
        <v>4020829102934</v>
      </c>
      <c r="F284" s="88" t="s">
        <v>90</v>
      </c>
      <c r="H284" s="101">
        <v>0</v>
      </c>
      <c r="J284" s="90">
        <f>IFERROR(IF($C284="","",VLOOKUP($C284,'[1]New Base PA'!$F:$J,5,FALSE)),"Non Trouvé")</f>
        <v>16.878</v>
      </c>
      <c r="K284" s="131">
        <f t="shared" si="170"/>
        <v>0</v>
      </c>
      <c r="L284" s="132"/>
      <c r="M284" s="131">
        <f>IFERROR(IF(AND($F284="Produit Vente",H284&gt;0),VLOOKUP($C284,'[1]Paramètres Articles'!$B:$G,6,FALSE),0),"Non Trouvé")</f>
        <v>0</v>
      </c>
      <c r="N284" s="131">
        <f t="shared" si="171"/>
        <v>0</v>
      </c>
      <c r="P284" s="92"/>
      <c r="R284" s="90">
        <f t="shared" si="153"/>
        <v>0</v>
      </c>
      <c r="S284" s="91"/>
      <c r="T284" s="90">
        <f>IFERROR(IF($C284="","",VLOOKUP($C284,'[1]Paramètres Articles'!$B:$H,7,FALSE)),"Non Trouvé")</f>
        <v>72.898071522305145</v>
      </c>
      <c r="U284" s="93"/>
      <c r="V284" s="90" t="str">
        <f t="shared" si="157"/>
        <v/>
      </c>
      <c r="W284" s="91"/>
      <c r="X284" s="90" t="str">
        <f t="shared" si="158"/>
        <v/>
      </c>
      <c r="Y284" s="91"/>
      <c r="Z284" s="90">
        <f t="shared" si="154"/>
        <v>0</v>
      </c>
      <c r="AB284" s="94">
        <f>AB283</f>
        <v>0</v>
      </c>
      <c r="AC284" s="94">
        <f>AC283</f>
        <v>0.17</v>
      </c>
      <c r="AD284" s="90">
        <f t="shared" si="159"/>
        <v>0</v>
      </c>
      <c r="AG284" s="94">
        <f>AG283</f>
        <v>0</v>
      </c>
      <c r="AH284" s="94">
        <f>AH283</f>
        <v>0.13</v>
      </c>
      <c r="AI284" s="90">
        <f t="shared" si="160"/>
        <v>0</v>
      </c>
      <c r="AL284" s="94">
        <f>AL283</f>
        <v>0</v>
      </c>
      <c r="AM284" s="94">
        <f>AM283</f>
        <v>0.08</v>
      </c>
      <c r="AN284" s="90">
        <f t="shared" si="161"/>
        <v>0</v>
      </c>
      <c r="AQ284" s="94">
        <f>AQ283</f>
        <v>0</v>
      </c>
      <c r="AR284" s="94">
        <f>AR283</f>
        <v>0.05</v>
      </c>
      <c r="AS284" s="90">
        <f t="shared" si="162"/>
        <v>0</v>
      </c>
      <c r="AV284" s="94">
        <f>AV283</f>
        <v>0</v>
      </c>
      <c r="AW284" s="94">
        <f>AW283</f>
        <v>0.32500000000000001</v>
      </c>
      <c r="AX284" s="90">
        <f t="shared" si="163"/>
        <v>0</v>
      </c>
      <c r="BA284" s="94">
        <f>BA283</f>
        <v>0</v>
      </c>
      <c r="BB284" s="94">
        <f>BB283</f>
        <v>0.29499999999999998</v>
      </c>
      <c r="BC284" s="90">
        <f t="shared" si="164"/>
        <v>0</v>
      </c>
      <c r="BF284" s="94">
        <f>BF283</f>
        <v>0</v>
      </c>
      <c r="BG284" s="94">
        <f>BG283</f>
        <v>0.27500000000000002</v>
      </c>
      <c r="BH284" s="90">
        <f t="shared" si="165"/>
        <v>0</v>
      </c>
      <c r="BK284" s="94">
        <f>BK283</f>
        <v>0</v>
      </c>
      <c r="BL284" s="94">
        <f>BL283</f>
        <v>0.245</v>
      </c>
      <c r="BM284" s="90">
        <f t="shared" si="166"/>
        <v>0</v>
      </c>
      <c r="BP284" s="94">
        <f>BP283</f>
        <v>0</v>
      </c>
      <c r="BQ284" s="94">
        <f>BQ283</f>
        <v>0.22500000000000001</v>
      </c>
      <c r="BR284" s="90">
        <f t="shared" si="167"/>
        <v>0</v>
      </c>
      <c r="BU284" s="94">
        <f>BU283</f>
        <v>0</v>
      </c>
      <c r="BV284" s="94">
        <f>BV283</f>
        <v>0.17499999999999999</v>
      </c>
      <c r="BW284" s="90">
        <f t="shared" si="168"/>
        <v>0</v>
      </c>
      <c r="BZ284" s="94">
        <f>BZ283</f>
        <v>0</v>
      </c>
      <c r="CA284" s="94">
        <f>CA283</f>
        <v>0.15</v>
      </c>
      <c r="CB284" s="90">
        <f t="shared" si="169"/>
        <v>0</v>
      </c>
      <c r="CE284" s="95"/>
      <c r="CF284" s="96"/>
      <c r="CG284" s="88" t="s">
        <v>96</v>
      </c>
      <c r="CH284" s="120">
        <f>SUMIFS(K277:K317,F277:F317,CG284)/K275</f>
        <v>0</v>
      </c>
      <c r="CI284" s="98"/>
      <c r="CK284" s="99">
        <f>IFERROR(IF(F284='[1]Paramètres Généraux'!$K$12,ROUNDUP((REGENERANTS!H284*REGENERANTS!$CF$275)*'[1]Paramètres Généraux'!$M$12,-1),REGENERANTS!H284*REGENERANTS!$CF$275),"nd")</f>
        <v>0</v>
      </c>
      <c r="CN284" s="100"/>
      <c r="CO284" s="101"/>
      <c r="CP284" s="101"/>
      <c r="CQ284" s="101"/>
      <c r="CR284" s="101"/>
      <c r="CS284" s="171"/>
      <c r="CT284" s="172"/>
      <c r="CU284" s="101"/>
      <c r="CV284" s="171"/>
      <c r="CW284" s="106"/>
      <c r="CX284" s="107"/>
      <c r="CY284" s="106"/>
      <c r="CZ284" s="104"/>
      <c r="DA284" s="107"/>
      <c r="DB284" s="106"/>
      <c r="DC284" s="104"/>
      <c r="DD284" s="107"/>
      <c r="DE284" s="106"/>
      <c r="DF284" s="104"/>
      <c r="DG284" s="104"/>
      <c r="DH284" s="104"/>
      <c r="DI284" s="104"/>
      <c r="DJ284" s="104"/>
      <c r="DK284" s="104"/>
      <c r="DL284" s="104"/>
      <c r="DM284" s="104"/>
      <c r="DN284" s="104"/>
      <c r="DO284" s="107"/>
      <c r="DP284" s="106"/>
      <c r="DQ284" s="20">
        <f t="shared" si="155"/>
        <v>0</v>
      </c>
      <c r="DR284" s="20">
        <f t="shared" si="156"/>
        <v>0</v>
      </c>
      <c r="DS284" s="20">
        <f>IFERROR((IF(AND($F284="Produit Vente",CO284&gt;0),VLOOKUP($C284,'[1]Paramètres Articles'!$B:$H,7,FALSE)*$CO284)*(1-20%)),0)</f>
        <v>0</v>
      </c>
      <c r="DT284" s="20">
        <f>IFERROR((IF(AND($F284="Produit Vente",DR284&gt;0),VLOOKUP($C284,'[1]Paramètres Articles'!$B:$H,6,FALSE)*$DR284)*(1-15%)),0)</f>
        <v>0</v>
      </c>
    </row>
    <row r="285" spans="2:124" ht="12.95" hidden="1" customHeight="1" outlineLevel="1">
      <c r="B285" s="1">
        <f>IF(C285="",0,COUNTIFS($B$22:B284,"&gt;"&amp;0)+1)</f>
        <v>111</v>
      </c>
      <c r="C285" s="85">
        <v>1020719</v>
      </c>
      <c r="D285" s="86" t="str">
        <f>IFERROR(IF($C285="","",VLOOKUP($C285,'[1]Paramètres Articles'!$B:$G,2,FALSE)),"Non Trouvé")</f>
        <v>Huile Fortifiante - Régénérant Intensif - 20ml</v>
      </c>
      <c r="E285" s="87">
        <f>IFERROR(IF($C285="","",_xlfn.XLOOKUP(REGENERANTS!$C285,'[1]New Base PA'!$F:$F,'[1]New Base PA'!$D:$D,"Not Found",0)),"Non Trouvé")</f>
        <v>4020829103030</v>
      </c>
      <c r="F285" s="88" t="s">
        <v>90</v>
      </c>
      <c r="H285" s="101">
        <f>12*7%</f>
        <v>0.84000000000000008</v>
      </c>
      <c r="J285" s="90">
        <f>IFERROR(IF($C285="","",VLOOKUP($C285,'[1]New Base PA'!$F:$J,5,FALSE)),"Non Trouvé")</f>
        <v>18.4208</v>
      </c>
      <c r="K285" s="131">
        <f t="shared" si="170"/>
        <v>15.473472000000001</v>
      </c>
      <c r="L285" s="132"/>
      <c r="M285" s="131">
        <f>IFERROR(IF(AND($F285="Produit Vente",H285&gt;0),VLOOKUP($C285,'[1]Paramètres Articles'!$B:$G,6,FALSE),0),"Non Trouvé")</f>
        <v>46.768280254777068</v>
      </c>
      <c r="N285" s="131">
        <f t="shared" si="171"/>
        <v>39.285355414012741</v>
      </c>
      <c r="P285" s="92"/>
      <c r="R285" s="90">
        <f t="shared" si="153"/>
        <v>39.285355414012741</v>
      </c>
      <c r="S285" s="91"/>
      <c r="T285" s="90">
        <f>IFERROR(IF($C285="","",VLOOKUP($C285,'[1]Paramètres Articles'!$B:$H,7,FALSE)),"Non Trouvé")</f>
        <v>79.5</v>
      </c>
      <c r="U285" s="93"/>
      <c r="V285" s="90" t="str">
        <f t="shared" si="157"/>
        <v/>
      </c>
      <c r="W285" s="91"/>
      <c r="X285" s="90" t="str">
        <f t="shared" si="158"/>
        <v/>
      </c>
      <c r="Y285" s="91"/>
      <c r="Z285" s="90">
        <f t="shared" si="154"/>
        <v>66.78</v>
      </c>
      <c r="AB285" s="94">
        <f>AB283</f>
        <v>0</v>
      </c>
      <c r="AC285" s="94">
        <f>AC283</f>
        <v>0.17</v>
      </c>
      <c r="AD285" s="90">
        <f t="shared" si="159"/>
        <v>0</v>
      </c>
      <c r="AG285" s="94">
        <f>AG283</f>
        <v>0</v>
      </c>
      <c r="AH285" s="94">
        <f>AH283</f>
        <v>0.13</v>
      </c>
      <c r="AI285" s="90">
        <f t="shared" si="160"/>
        <v>0</v>
      </c>
      <c r="AL285" s="94">
        <f>AL283</f>
        <v>0</v>
      </c>
      <c r="AM285" s="94">
        <f>AM283</f>
        <v>0.08</v>
      </c>
      <c r="AN285" s="90">
        <f t="shared" si="161"/>
        <v>0</v>
      </c>
      <c r="AQ285" s="94">
        <f>AQ283</f>
        <v>0</v>
      </c>
      <c r="AR285" s="94">
        <f>AR283</f>
        <v>0.05</v>
      </c>
      <c r="AS285" s="90">
        <f t="shared" si="162"/>
        <v>0</v>
      </c>
      <c r="AV285" s="94">
        <f>AV283</f>
        <v>0</v>
      </c>
      <c r="AW285" s="94">
        <f>AW283</f>
        <v>0.32500000000000001</v>
      </c>
      <c r="AX285" s="90">
        <f t="shared" si="163"/>
        <v>0</v>
      </c>
      <c r="BA285" s="94">
        <f>BA283</f>
        <v>0</v>
      </c>
      <c r="BB285" s="94">
        <f>BB283</f>
        <v>0.29499999999999998</v>
      </c>
      <c r="BC285" s="90">
        <f t="shared" si="164"/>
        <v>0</v>
      </c>
      <c r="BF285" s="94">
        <f>BF283</f>
        <v>0</v>
      </c>
      <c r="BG285" s="94">
        <f>BG283</f>
        <v>0.27500000000000002</v>
      </c>
      <c r="BH285" s="90">
        <f t="shared" si="165"/>
        <v>0</v>
      </c>
      <c r="BK285" s="94">
        <f>BK283</f>
        <v>0</v>
      </c>
      <c r="BL285" s="94">
        <f>BL283</f>
        <v>0.245</v>
      </c>
      <c r="BM285" s="90">
        <f t="shared" si="166"/>
        <v>0</v>
      </c>
      <c r="BP285" s="94">
        <f>BP283</f>
        <v>0</v>
      </c>
      <c r="BQ285" s="94">
        <f>BQ283</f>
        <v>0.22500000000000001</v>
      </c>
      <c r="BR285" s="90">
        <f t="shared" si="167"/>
        <v>0</v>
      </c>
      <c r="BU285" s="94">
        <f>BU283</f>
        <v>0</v>
      </c>
      <c r="BV285" s="94">
        <f>BV283</f>
        <v>0.17499999999999999</v>
      </c>
      <c r="BW285" s="90">
        <f t="shared" si="168"/>
        <v>0</v>
      </c>
      <c r="BZ285" s="94">
        <f>BZ283</f>
        <v>0</v>
      </c>
      <c r="CA285" s="94">
        <f>CA283</f>
        <v>0.15</v>
      </c>
      <c r="CB285" s="90">
        <f t="shared" si="169"/>
        <v>0</v>
      </c>
      <c r="CE285" s="95"/>
      <c r="CF285" s="96"/>
      <c r="CG285" s="97"/>
      <c r="CH285" s="97"/>
      <c r="CI285" s="98"/>
      <c r="CK285" s="99">
        <f>IFERROR(IF(F285='[1]Paramètres Généraux'!$K$12,ROUNDUP((REGENERANTS!H285*REGENERANTS!$CF$275)*'[1]Paramètres Généraux'!$M$12,-1),REGENERANTS!H285*REGENERANTS!$CF$275),"nd")</f>
        <v>0</v>
      </c>
      <c r="CN285" s="100"/>
      <c r="CO285" s="101"/>
      <c r="CP285" s="101"/>
      <c r="CQ285" s="101"/>
      <c r="CR285" s="101"/>
      <c r="CS285" s="171"/>
      <c r="CT285" s="172"/>
      <c r="CU285" s="101"/>
      <c r="CV285" s="171"/>
      <c r="CW285" s="106"/>
      <c r="CX285" s="107"/>
      <c r="CY285" s="106"/>
      <c r="CZ285" s="104"/>
      <c r="DA285" s="107"/>
      <c r="DB285" s="106"/>
      <c r="DC285" s="104"/>
      <c r="DD285" s="107"/>
      <c r="DE285" s="106"/>
      <c r="DF285" s="104"/>
      <c r="DG285" s="104"/>
      <c r="DH285" s="104"/>
      <c r="DI285" s="104"/>
      <c r="DJ285" s="104"/>
      <c r="DK285" s="104"/>
      <c r="DL285" s="104"/>
      <c r="DM285" s="104"/>
      <c r="DN285" s="104"/>
      <c r="DO285" s="107"/>
      <c r="DP285" s="106"/>
      <c r="DQ285" s="20">
        <f t="shared" si="155"/>
        <v>0</v>
      </c>
      <c r="DR285" s="20">
        <f t="shared" si="156"/>
        <v>0</v>
      </c>
      <c r="DS285" s="20">
        <f>IFERROR((IF(AND($F285="Produit Vente",CO285&gt;0),VLOOKUP($C285,'[1]Paramètres Articles'!$B:$H,7,FALSE)*$CO285)*(1-20%)),0)</f>
        <v>0</v>
      </c>
      <c r="DT285" s="20">
        <f>IFERROR((IF(AND($F285="Produit Vente",DR285&gt;0),VLOOKUP($C285,'[1]Paramètres Articles'!$B:$H,6,FALSE)*$DR285)*(1-15%)),0)</f>
        <v>0</v>
      </c>
    </row>
    <row r="286" spans="2:124" ht="12.95" hidden="1" customHeight="1" outlineLevel="1">
      <c r="B286" s="1">
        <f>IF(C286="",0,COUNTIFS($B$22:B285,"&gt;"&amp;0)+1)</f>
        <v>112</v>
      </c>
      <c r="C286" s="85">
        <v>1020717</v>
      </c>
      <c r="D286" s="86" t="str">
        <f>IFERROR(IF($C286="","",VLOOKUP($C286,'[1]Paramètres Articles'!$B:$G,2,FALSE)),"Non Trouvé")</f>
        <v>Sérum Contour des Yeux - Régénérant Intensif -15 ml</v>
      </c>
      <c r="E286" s="87">
        <f>IFERROR(IF($C286="","",_xlfn.XLOOKUP(REGENERANTS!$C286,'[1]New Base PA'!$F:$F,'[1]New Base PA'!$D:$D,"Not Found",0)),"Non Trouvé")</f>
        <v>4020829101067</v>
      </c>
      <c r="F286" s="88" t="s">
        <v>90</v>
      </c>
      <c r="H286" s="101">
        <f>12*6%</f>
        <v>0.72</v>
      </c>
      <c r="J286" s="90">
        <f>IFERROR(IF($C286="","",VLOOKUP($C286,'[1]New Base PA'!$F:$J,5,FALSE)),"Non Trouvé")</f>
        <v>17.817599999999999</v>
      </c>
      <c r="K286" s="131">
        <f t="shared" si="170"/>
        <v>12.828671999999999</v>
      </c>
      <c r="L286" s="132"/>
      <c r="M286" s="131">
        <f>IFERROR(IF(AND($F286="Produit Vente",H286&gt;0),VLOOKUP($C286,'[1]Paramètres Articles'!$B:$G,6,FALSE),0),"Non Trouvé")</f>
        <v>44.12</v>
      </c>
      <c r="N286" s="131">
        <f t="shared" si="171"/>
        <v>31.766399999999997</v>
      </c>
      <c r="P286" s="92"/>
      <c r="R286" s="90">
        <f t="shared" si="153"/>
        <v>31.766399999999997</v>
      </c>
      <c r="S286" s="91"/>
      <c r="T286" s="90">
        <f>IFERROR(IF($C286="","",VLOOKUP($C286,'[1]Paramètres Articles'!$B:$H,7,FALSE)),"Non Trouvé")</f>
        <v>75</v>
      </c>
      <c r="U286" s="93"/>
      <c r="V286" s="90" t="str">
        <f t="shared" si="157"/>
        <v/>
      </c>
      <c r="W286" s="91"/>
      <c r="X286" s="90" t="str">
        <f t="shared" si="158"/>
        <v/>
      </c>
      <c r="Y286" s="91"/>
      <c r="Z286" s="90">
        <f t="shared" si="154"/>
        <v>54</v>
      </c>
      <c r="AB286" s="94">
        <f>AB285</f>
        <v>0</v>
      </c>
      <c r="AC286" s="94">
        <f>AC285</f>
        <v>0.17</v>
      </c>
      <c r="AD286" s="90">
        <f t="shared" si="159"/>
        <v>0</v>
      </c>
      <c r="AG286" s="94">
        <f>AG285</f>
        <v>0</v>
      </c>
      <c r="AH286" s="94">
        <f>AH285</f>
        <v>0.13</v>
      </c>
      <c r="AI286" s="90">
        <f t="shared" si="160"/>
        <v>0</v>
      </c>
      <c r="AL286" s="94">
        <f>AL285</f>
        <v>0</v>
      </c>
      <c r="AM286" s="94">
        <f>AM285</f>
        <v>0.08</v>
      </c>
      <c r="AN286" s="90">
        <f t="shared" si="161"/>
        <v>0</v>
      </c>
      <c r="AQ286" s="94">
        <f>AQ285</f>
        <v>0</v>
      </c>
      <c r="AR286" s="94">
        <f>AR285</f>
        <v>0.05</v>
      </c>
      <c r="AS286" s="90">
        <f t="shared" si="162"/>
        <v>0</v>
      </c>
      <c r="AV286" s="94">
        <f>AV285</f>
        <v>0</v>
      </c>
      <c r="AW286" s="94">
        <f>AW285</f>
        <v>0.32500000000000001</v>
      </c>
      <c r="AX286" s="90">
        <f t="shared" si="163"/>
        <v>0</v>
      </c>
      <c r="BA286" s="94">
        <f>BA285</f>
        <v>0</v>
      </c>
      <c r="BB286" s="94">
        <f>BB285</f>
        <v>0.29499999999999998</v>
      </c>
      <c r="BC286" s="90">
        <f t="shared" si="164"/>
        <v>0</v>
      </c>
      <c r="BF286" s="94">
        <f>BF285</f>
        <v>0</v>
      </c>
      <c r="BG286" s="94">
        <f>BG285</f>
        <v>0.27500000000000002</v>
      </c>
      <c r="BH286" s="90">
        <f t="shared" si="165"/>
        <v>0</v>
      </c>
      <c r="BK286" s="94">
        <f>BK285</f>
        <v>0</v>
      </c>
      <c r="BL286" s="94">
        <f>BL285</f>
        <v>0.245</v>
      </c>
      <c r="BM286" s="90">
        <f t="shared" si="166"/>
        <v>0</v>
      </c>
      <c r="BP286" s="94">
        <f>BP285</f>
        <v>0</v>
      </c>
      <c r="BQ286" s="94">
        <f>BQ285</f>
        <v>0.22500000000000001</v>
      </c>
      <c r="BR286" s="90">
        <f t="shared" si="167"/>
        <v>0</v>
      </c>
      <c r="BU286" s="94">
        <f>BU285</f>
        <v>0</v>
      </c>
      <c r="BV286" s="94">
        <f>BV285</f>
        <v>0.17499999999999999</v>
      </c>
      <c r="BW286" s="90">
        <f t="shared" si="168"/>
        <v>0</v>
      </c>
      <c r="BZ286" s="94">
        <f>BZ285</f>
        <v>0</v>
      </c>
      <c r="CA286" s="94">
        <f>CA285</f>
        <v>0.15</v>
      </c>
      <c r="CB286" s="90">
        <f t="shared" si="169"/>
        <v>0</v>
      </c>
      <c r="CE286" s="95"/>
      <c r="CF286" s="96"/>
      <c r="CG286" s="97"/>
      <c r="CH286" s="97"/>
      <c r="CI286" s="98"/>
      <c r="CK286" s="99">
        <f>IFERROR(IF(F286='[1]Paramètres Généraux'!$K$12,ROUNDUP((REGENERANTS!H286*REGENERANTS!$CF$275)*'[1]Paramètres Généraux'!$M$12,-1),REGENERANTS!H286*REGENERANTS!$CF$275),"nd")</f>
        <v>0</v>
      </c>
      <c r="CN286" s="100"/>
      <c r="CO286" s="101"/>
      <c r="CP286" s="101"/>
      <c r="CQ286" s="101"/>
      <c r="CR286" s="101"/>
      <c r="CS286" s="171"/>
      <c r="CT286" s="172"/>
      <c r="CU286" s="101"/>
      <c r="CV286" s="171"/>
      <c r="CW286" s="106"/>
      <c r="CX286" s="107"/>
      <c r="CY286" s="106"/>
      <c r="CZ286" s="104"/>
      <c r="DA286" s="107"/>
      <c r="DB286" s="106"/>
      <c r="DC286" s="104"/>
      <c r="DD286" s="107"/>
      <c r="DE286" s="106"/>
      <c r="DF286" s="104"/>
      <c r="DG286" s="104"/>
      <c r="DH286" s="104"/>
      <c r="DI286" s="104"/>
      <c r="DJ286" s="104"/>
      <c r="DK286" s="104"/>
      <c r="DL286" s="104"/>
      <c r="DM286" s="104"/>
      <c r="DN286" s="104"/>
      <c r="DO286" s="107"/>
      <c r="DP286" s="106"/>
      <c r="DQ286" s="20">
        <f t="shared" si="155"/>
        <v>0</v>
      </c>
      <c r="DR286" s="20">
        <f t="shared" si="156"/>
        <v>0</v>
      </c>
      <c r="DS286" s="20">
        <f>IFERROR((IF(AND($F286="Produit Vente",CO286&gt;0),VLOOKUP($C286,'[1]Paramètres Articles'!$B:$H,7,FALSE)*$CO286)*(1-20%)),0)</f>
        <v>0</v>
      </c>
      <c r="DT286" s="20">
        <f>IFERROR((IF(AND($F286="Produit Vente",DR286&gt;0),VLOOKUP($C286,'[1]Paramètres Articles'!$B:$H,6,FALSE)*$DR286)*(1-15%)),0)</f>
        <v>0</v>
      </c>
    </row>
    <row r="287" spans="2:124" ht="12.95" hidden="1" customHeight="1" outlineLevel="1">
      <c r="B287" s="1">
        <f>IF(C287="",0,COUNTIFS($B$22:B286,"&gt;"&amp;0)+1)</f>
        <v>113</v>
      </c>
      <c r="C287" s="85">
        <v>1020718</v>
      </c>
      <c r="D287" s="86" t="str">
        <f>IFERROR(IF($C287="","",VLOOKUP($C287,'[1]Paramètres Articles'!$B:$G,2,FALSE)),"Non Trouvé")</f>
        <v>Sérum de Nuit - Régénérant Intensif - 30 ml</v>
      </c>
      <c r="E287" s="87">
        <f>IFERROR(IF($C287="","",_xlfn.XLOOKUP(REGENERANTS!$C287,'[1]New Base PA'!$F:$F,'[1]New Base PA'!$D:$D,"Not Found",0)),"Non Trouvé")</f>
        <v>4020829101111</v>
      </c>
      <c r="F287" s="88" t="s">
        <v>90</v>
      </c>
      <c r="H287" s="101">
        <f>12*11%</f>
        <v>1.32</v>
      </c>
      <c r="J287" s="90">
        <f>IFERROR(IF($C287="","",VLOOKUP($C287,'[1]New Base PA'!$F:$J,5,FALSE)),"Non Trouvé")</f>
        <v>18.2758</v>
      </c>
      <c r="K287" s="131">
        <f t="shared" si="170"/>
        <v>24.124056000000003</v>
      </c>
      <c r="L287" s="132"/>
      <c r="M287" s="131">
        <f>IFERROR(IF(AND($F287="Produit Vente",H287&gt;0),VLOOKUP($C287,'[1]Paramètres Articles'!$B:$G,6,FALSE),0),"Non Trouvé")</f>
        <v>46.758152866242035</v>
      </c>
      <c r="N287" s="131">
        <f t="shared" si="171"/>
        <v>61.720761783439492</v>
      </c>
      <c r="P287" s="92"/>
      <c r="R287" s="90">
        <f t="shared" si="153"/>
        <v>61.720761783439492</v>
      </c>
      <c r="S287" s="91"/>
      <c r="T287" s="90">
        <f>IFERROR(IF($C287="","",VLOOKUP($C287,'[1]Paramètres Articles'!$B:$H,7,FALSE)),"Non Trouvé")</f>
        <v>79.5</v>
      </c>
      <c r="U287" s="93"/>
      <c r="V287" s="90" t="str">
        <f t="shared" si="157"/>
        <v/>
      </c>
      <c r="W287" s="91"/>
      <c r="X287" s="90" t="str">
        <f t="shared" si="158"/>
        <v/>
      </c>
      <c r="Y287" s="91"/>
      <c r="Z287" s="90">
        <f t="shared" si="154"/>
        <v>104.94000000000001</v>
      </c>
      <c r="AB287" s="94">
        <f>AB285</f>
        <v>0</v>
      </c>
      <c r="AC287" s="94">
        <f>AC285</f>
        <v>0.17</v>
      </c>
      <c r="AD287" s="90">
        <f t="shared" si="159"/>
        <v>0</v>
      </c>
      <c r="AG287" s="94">
        <f>AG285</f>
        <v>0</v>
      </c>
      <c r="AH287" s="94">
        <f>AH285</f>
        <v>0.13</v>
      </c>
      <c r="AI287" s="90">
        <f t="shared" si="160"/>
        <v>0</v>
      </c>
      <c r="AL287" s="94">
        <f>AL285</f>
        <v>0</v>
      </c>
      <c r="AM287" s="94">
        <f>AM285</f>
        <v>0.08</v>
      </c>
      <c r="AN287" s="90">
        <f t="shared" si="161"/>
        <v>0</v>
      </c>
      <c r="AQ287" s="94">
        <f>AQ285</f>
        <v>0</v>
      </c>
      <c r="AR287" s="94">
        <f>AR285</f>
        <v>0.05</v>
      </c>
      <c r="AS287" s="90">
        <f t="shared" si="162"/>
        <v>0</v>
      </c>
      <c r="AV287" s="94">
        <f>AV285</f>
        <v>0</v>
      </c>
      <c r="AW287" s="94">
        <f>AW285</f>
        <v>0.32500000000000001</v>
      </c>
      <c r="AX287" s="90">
        <f t="shared" si="163"/>
        <v>0</v>
      </c>
      <c r="BA287" s="94">
        <f>BA285</f>
        <v>0</v>
      </c>
      <c r="BB287" s="94">
        <f>BB285</f>
        <v>0.29499999999999998</v>
      </c>
      <c r="BC287" s="90">
        <f t="shared" si="164"/>
        <v>0</v>
      </c>
      <c r="BF287" s="94">
        <f>BF285</f>
        <v>0</v>
      </c>
      <c r="BG287" s="94">
        <f>BG285</f>
        <v>0.27500000000000002</v>
      </c>
      <c r="BH287" s="90">
        <f t="shared" si="165"/>
        <v>0</v>
      </c>
      <c r="BK287" s="94">
        <f>BK285</f>
        <v>0</v>
      </c>
      <c r="BL287" s="94">
        <f>BL285</f>
        <v>0.245</v>
      </c>
      <c r="BM287" s="90">
        <f t="shared" si="166"/>
        <v>0</v>
      </c>
      <c r="BP287" s="94">
        <f>BP285</f>
        <v>0</v>
      </c>
      <c r="BQ287" s="94">
        <f>BQ285</f>
        <v>0.22500000000000001</v>
      </c>
      <c r="BR287" s="90">
        <f t="shared" si="167"/>
        <v>0</v>
      </c>
      <c r="BU287" s="94">
        <f>BU285</f>
        <v>0</v>
      </c>
      <c r="BV287" s="94">
        <f>BV285</f>
        <v>0.17499999999999999</v>
      </c>
      <c r="BW287" s="90">
        <f t="shared" si="168"/>
        <v>0</v>
      </c>
      <c r="BZ287" s="94">
        <f>BZ285</f>
        <v>0</v>
      </c>
      <c r="CA287" s="94">
        <f>CA285</f>
        <v>0.15</v>
      </c>
      <c r="CB287" s="90">
        <f t="shared" si="169"/>
        <v>0</v>
      </c>
      <c r="CE287" s="95"/>
      <c r="CF287" s="96"/>
      <c r="CG287" s="97"/>
      <c r="CH287" s="97"/>
      <c r="CI287" s="98"/>
      <c r="CK287" s="99">
        <f>IFERROR(IF(F287='[1]Paramètres Généraux'!$K$12,ROUNDUP((REGENERANTS!H287*REGENERANTS!$CF$275)*'[1]Paramètres Généraux'!$M$12,-1),REGENERANTS!H287*REGENERANTS!$CF$275),"nd")</f>
        <v>0</v>
      </c>
      <c r="CN287" s="100"/>
      <c r="CO287" s="101"/>
      <c r="CP287" s="101"/>
      <c r="CQ287" s="101"/>
      <c r="CR287" s="101"/>
      <c r="CS287" s="171"/>
      <c r="CT287" s="172"/>
      <c r="CU287" s="101"/>
      <c r="CV287" s="171"/>
      <c r="CW287" s="106"/>
      <c r="CX287" s="107"/>
      <c r="CY287" s="106"/>
      <c r="CZ287" s="104"/>
      <c r="DA287" s="107"/>
      <c r="DB287" s="106"/>
      <c r="DC287" s="104"/>
      <c r="DD287" s="107"/>
      <c r="DE287" s="106"/>
      <c r="DF287" s="104"/>
      <c r="DG287" s="104"/>
      <c r="DH287" s="104"/>
      <c r="DI287" s="104"/>
      <c r="DJ287" s="104"/>
      <c r="DK287" s="104"/>
      <c r="DL287" s="104"/>
      <c r="DM287" s="104"/>
      <c r="DN287" s="104"/>
      <c r="DO287" s="107"/>
      <c r="DP287" s="106"/>
      <c r="DQ287" s="20">
        <f t="shared" si="155"/>
        <v>0</v>
      </c>
      <c r="DR287" s="20">
        <f t="shared" si="156"/>
        <v>0</v>
      </c>
      <c r="DS287" s="20">
        <f>IFERROR((IF(AND($F287="Produit Vente",CO287&gt;0),VLOOKUP($C287,'[1]Paramètres Articles'!$B:$H,7,FALSE)*$CO287)*(1-20%)),0)</f>
        <v>0</v>
      </c>
      <c r="DT287" s="20">
        <f>IFERROR((IF(AND($F287="Produit Vente",DR287&gt;0),VLOOKUP($C287,'[1]Paramètres Articles'!$B:$H,6,FALSE)*$DR287)*(1-15%)),0)</f>
        <v>0</v>
      </c>
    </row>
    <row r="288" spans="2:124" ht="12.95" hidden="1" customHeight="1" outlineLevel="1">
      <c r="B288" s="1">
        <f>IF(C288="",0,COUNTIFS($B$22:B287,"&gt;"&amp;0)+1)</f>
        <v>114</v>
      </c>
      <c r="C288" s="85">
        <v>1020301</v>
      </c>
      <c r="D288" s="86" t="str">
        <f>IFERROR(IF($C288="","",VLOOKUP($C288,'[1]Paramètres Articles'!$B:$G,2,FALSE)),"Non Trouvé")</f>
        <v>Crème de Jour - Régénérant - 40 ml</v>
      </c>
      <c r="E288" s="87">
        <f>IFERROR(IF($C288="","",_xlfn.XLOOKUP(REGENERANTS!$C288,'[1]New Base PA'!$F:$F,'[1]New Base PA'!$D:$D,"Not Found",0)),"Non Trouvé")</f>
        <v>4020829007383</v>
      </c>
      <c r="F288" s="88" t="s">
        <v>90</v>
      </c>
      <c r="H288" s="101">
        <f>12*17%</f>
        <v>2.04</v>
      </c>
      <c r="J288" s="90">
        <f>IFERROR(IF($C288="","",VLOOKUP($C288,'[1]New Base PA'!$F:$J,5,FALSE)),"Non Trouvé")</f>
        <v>14.801599999999999</v>
      </c>
      <c r="K288" s="131">
        <f t="shared" si="170"/>
        <v>30.195263999999998</v>
      </c>
      <c r="L288" s="132"/>
      <c r="M288" s="131">
        <f>IFERROR(IF(AND($F288="Produit Vente",H288&gt;0),VLOOKUP($C288,'[1]Paramètres Articles'!$B:$G,6,FALSE),0),"Non Trouvé")</f>
        <v>38.532973805855164</v>
      </c>
      <c r="N288" s="131">
        <f t="shared" si="171"/>
        <v>78.607266563944535</v>
      </c>
      <c r="P288" s="92"/>
      <c r="R288" s="90">
        <f t="shared" si="153"/>
        <v>78.607266563944535</v>
      </c>
      <c r="S288" s="91"/>
      <c r="T288" s="90">
        <f>IFERROR(IF($C288="","",VLOOKUP($C288,'[1]Paramètres Articles'!$B:$H,7,FALSE)),"Non Trouvé")</f>
        <v>65.5</v>
      </c>
      <c r="U288" s="93"/>
      <c r="V288" s="90" t="str">
        <f t="shared" si="157"/>
        <v/>
      </c>
      <c r="W288" s="91"/>
      <c r="X288" s="90" t="str">
        <f t="shared" si="158"/>
        <v/>
      </c>
      <c r="Y288" s="91"/>
      <c r="Z288" s="90">
        <f t="shared" si="154"/>
        <v>133.62</v>
      </c>
      <c r="AB288" s="94">
        <f>AB287</f>
        <v>0</v>
      </c>
      <c r="AC288" s="94">
        <f>AC287</f>
        <v>0.17</v>
      </c>
      <c r="AD288" s="90">
        <f t="shared" si="159"/>
        <v>0</v>
      </c>
      <c r="AG288" s="94">
        <f>AG287</f>
        <v>0</v>
      </c>
      <c r="AH288" s="94">
        <f>AH287</f>
        <v>0.13</v>
      </c>
      <c r="AI288" s="90">
        <f t="shared" si="160"/>
        <v>0</v>
      </c>
      <c r="AL288" s="94">
        <f>AL287</f>
        <v>0</v>
      </c>
      <c r="AM288" s="94">
        <f>AM287</f>
        <v>0.08</v>
      </c>
      <c r="AN288" s="90">
        <f t="shared" si="161"/>
        <v>0</v>
      </c>
      <c r="AQ288" s="94">
        <f>AQ287</f>
        <v>0</v>
      </c>
      <c r="AR288" s="94">
        <f>AR287</f>
        <v>0.05</v>
      </c>
      <c r="AS288" s="90">
        <f t="shared" si="162"/>
        <v>0</v>
      </c>
      <c r="AV288" s="94">
        <f>AV287</f>
        <v>0</v>
      </c>
      <c r="AW288" s="94">
        <f>AW287</f>
        <v>0.32500000000000001</v>
      </c>
      <c r="AX288" s="90">
        <f t="shared" si="163"/>
        <v>0</v>
      </c>
      <c r="BA288" s="94">
        <f>BA287</f>
        <v>0</v>
      </c>
      <c r="BB288" s="94">
        <f>BB287</f>
        <v>0.29499999999999998</v>
      </c>
      <c r="BC288" s="90">
        <f t="shared" si="164"/>
        <v>0</v>
      </c>
      <c r="BF288" s="94">
        <f>BF287</f>
        <v>0</v>
      </c>
      <c r="BG288" s="94">
        <f>BG287</f>
        <v>0.27500000000000002</v>
      </c>
      <c r="BH288" s="90">
        <f t="shared" si="165"/>
        <v>0</v>
      </c>
      <c r="BK288" s="94">
        <f>BK287</f>
        <v>0</v>
      </c>
      <c r="BL288" s="94">
        <f>BL287</f>
        <v>0.245</v>
      </c>
      <c r="BM288" s="90">
        <f t="shared" si="166"/>
        <v>0</v>
      </c>
      <c r="BP288" s="94">
        <f>BP287</f>
        <v>0</v>
      </c>
      <c r="BQ288" s="94">
        <f>BQ287</f>
        <v>0.22500000000000001</v>
      </c>
      <c r="BR288" s="90">
        <f t="shared" si="167"/>
        <v>0</v>
      </c>
      <c r="BU288" s="94">
        <f>BU287</f>
        <v>0</v>
      </c>
      <c r="BV288" s="94">
        <f>BV287</f>
        <v>0.17499999999999999</v>
      </c>
      <c r="BW288" s="90">
        <f t="shared" si="168"/>
        <v>0</v>
      </c>
      <c r="BZ288" s="94">
        <f>BZ287</f>
        <v>0</v>
      </c>
      <c r="CA288" s="94">
        <f>CA287</f>
        <v>0.15</v>
      </c>
      <c r="CB288" s="90">
        <f t="shared" si="169"/>
        <v>0</v>
      </c>
      <c r="CE288" s="95"/>
      <c r="CF288" s="128"/>
      <c r="CG288" s="97"/>
      <c r="CH288" s="97"/>
      <c r="CI288" s="98"/>
      <c r="CK288" s="99">
        <f>IFERROR(IF(F288='[1]Paramètres Généraux'!$K$12,ROUNDUP((REGENERANTS!H288*REGENERANTS!$CF$275)*'[1]Paramètres Généraux'!$M$12,-1),REGENERANTS!H288*REGENERANTS!$CF$275),"nd")</f>
        <v>0</v>
      </c>
      <c r="CN288" s="100"/>
      <c r="CO288" s="101"/>
      <c r="CP288" s="101"/>
      <c r="CQ288" s="101"/>
      <c r="CR288" s="101"/>
      <c r="CS288" s="171"/>
      <c r="CT288" s="172"/>
      <c r="CU288" s="101"/>
      <c r="CV288" s="171"/>
      <c r="CW288" s="106"/>
      <c r="CX288" s="107"/>
      <c r="CY288" s="106"/>
      <c r="CZ288" s="104"/>
      <c r="DA288" s="107"/>
      <c r="DB288" s="106"/>
      <c r="DC288" s="104"/>
      <c r="DD288" s="107"/>
      <c r="DE288" s="106"/>
      <c r="DF288" s="104"/>
      <c r="DG288" s="104"/>
      <c r="DH288" s="104"/>
      <c r="DI288" s="104"/>
      <c r="DJ288" s="104"/>
      <c r="DK288" s="104"/>
      <c r="DL288" s="104"/>
      <c r="DM288" s="104"/>
      <c r="DN288" s="104"/>
      <c r="DO288" s="107"/>
      <c r="DP288" s="106"/>
      <c r="DQ288" s="20">
        <f t="shared" si="155"/>
        <v>0</v>
      </c>
      <c r="DR288" s="20">
        <f t="shared" si="156"/>
        <v>0</v>
      </c>
      <c r="DS288" s="20">
        <f>IFERROR((IF(AND($F288="Produit Vente",CO288&gt;0),VLOOKUP($C288,'[1]Paramètres Articles'!$B:$H,7,FALSE)*$CO288)*(1-20%)),0)</f>
        <v>0</v>
      </c>
      <c r="DT288" s="20">
        <f>IFERROR((IF(AND($F288="Produit Vente",DR288&gt;0),VLOOKUP($C288,'[1]Paramètres Articles'!$B:$H,6,FALSE)*$DR288)*(1-15%)),0)</f>
        <v>0</v>
      </c>
    </row>
    <row r="289" spans="2:124" ht="12.95" hidden="1" customHeight="1" outlineLevel="1">
      <c r="B289" s="1">
        <f>IF(C289="",0,COUNTIFS($B$22:B288,"&gt;"&amp;0)+1)</f>
        <v>115</v>
      </c>
      <c r="C289" s="85">
        <v>1020720</v>
      </c>
      <c r="D289" s="86" t="str">
        <f>IFERROR(IF($C289="","",VLOOKUP($C289,'[1]Paramètres Articles'!$B:$G,2,FALSE)),"Non Trouvé")</f>
        <v>Crème de Jour - Régénérant Intensif - 40ml</v>
      </c>
      <c r="E289" s="87">
        <f>IFERROR(IF($C289="","",_xlfn.XLOOKUP(REGENERANTS!$C289,'[1]New Base PA'!$F:$F,'[1]New Base PA'!$D:$D,"Not Found",0)),"Non Trouvé")</f>
        <v>4020829102972</v>
      </c>
      <c r="F289" s="88" t="s">
        <v>90</v>
      </c>
      <c r="H289" s="101">
        <f>12*17%</f>
        <v>2.04</v>
      </c>
      <c r="J289" s="90">
        <f>IFERROR(IF($C289="","",VLOOKUP($C289,'[1]New Base PA'!$F:$J,5,FALSE)),"Non Trouvé")</f>
        <v>17.191199999999998</v>
      </c>
      <c r="K289" s="131">
        <f t="shared" si="170"/>
        <v>35.070048</v>
      </c>
      <c r="L289" s="132"/>
      <c r="M289" s="131">
        <f>IFERROR(IF(AND($F289="Produit Vente",H289&gt;0),VLOOKUP($C289,'[1]Paramètres Articles'!$B:$G,6,FALSE),0),"Non Trouvé")</f>
        <v>44.648251001335112</v>
      </c>
      <c r="N289" s="131">
        <f t="shared" si="171"/>
        <v>91.082432042723624</v>
      </c>
      <c r="P289" s="92"/>
      <c r="R289" s="90">
        <f t="shared" si="153"/>
        <v>91.082432042723624</v>
      </c>
      <c r="S289" s="91"/>
      <c r="T289" s="90">
        <f>IFERROR(IF($C289="","",VLOOKUP($C289,'[1]Paramètres Articles'!$B:$H,7,FALSE)),"Non Trouvé")</f>
        <v>75.900000000000006</v>
      </c>
      <c r="U289" s="93"/>
      <c r="V289" s="90" t="str">
        <f t="shared" si="157"/>
        <v/>
      </c>
      <c r="W289" s="91"/>
      <c r="X289" s="90" t="str">
        <f t="shared" si="158"/>
        <v/>
      </c>
      <c r="Y289" s="91"/>
      <c r="Z289" s="90">
        <f t="shared" si="154"/>
        <v>154.83600000000001</v>
      </c>
      <c r="AB289" s="94">
        <f>AB287</f>
        <v>0</v>
      </c>
      <c r="AC289" s="94">
        <f>AC287</f>
        <v>0.17</v>
      </c>
      <c r="AD289" s="90">
        <f t="shared" si="159"/>
        <v>0</v>
      </c>
      <c r="AG289" s="94">
        <f>AG287</f>
        <v>0</v>
      </c>
      <c r="AH289" s="94">
        <f>AH287</f>
        <v>0.13</v>
      </c>
      <c r="AI289" s="90">
        <f t="shared" si="160"/>
        <v>0</v>
      </c>
      <c r="AL289" s="94">
        <f>AL287</f>
        <v>0</v>
      </c>
      <c r="AM289" s="94">
        <f>AM287</f>
        <v>0.08</v>
      </c>
      <c r="AN289" s="90">
        <f t="shared" si="161"/>
        <v>0</v>
      </c>
      <c r="AQ289" s="94">
        <f>AQ287</f>
        <v>0</v>
      </c>
      <c r="AR289" s="94">
        <f>AR287</f>
        <v>0.05</v>
      </c>
      <c r="AS289" s="90">
        <f t="shared" si="162"/>
        <v>0</v>
      </c>
      <c r="AV289" s="94">
        <f>AV287</f>
        <v>0</v>
      </c>
      <c r="AW289" s="94">
        <f>AW287</f>
        <v>0.32500000000000001</v>
      </c>
      <c r="AX289" s="90">
        <f t="shared" si="163"/>
        <v>0</v>
      </c>
      <c r="BA289" s="94">
        <f>BA287</f>
        <v>0</v>
      </c>
      <c r="BB289" s="94">
        <f>BB287</f>
        <v>0.29499999999999998</v>
      </c>
      <c r="BC289" s="90">
        <f t="shared" si="164"/>
        <v>0</v>
      </c>
      <c r="BF289" s="94">
        <f>BF287</f>
        <v>0</v>
      </c>
      <c r="BG289" s="94">
        <f>BG287</f>
        <v>0.27500000000000002</v>
      </c>
      <c r="BH289" s="90">
        <f t="shared" si="165"/>
        <v>0</v>
      </c>
      <c r="BK289" s="94">
        <f>BK287</f>
        <v>0</v>
      </c>
      <c r="BL289" s="94">
        <f>BL287</f>
        <v>0.245</v>
      </c>
      <c r="BM289" s="90">
        <f t="shared" si="166"/>
        <v>0</v>
      </c>
      <c r="BP289" s="94">
        <f>BP287</f>
        <v>0</v>
      </c>
      <c r="BQ289" s="94">
        <f>BQ287</f>
        <v>0.22500000000000001</v>
      </c>
      <c r="BR289" s="90">
        <f t="shared" si="167"/>
        <v>0</v>
      </c>
      <c r="BU289" s="94">
        <f>BU287</f>
        <v>0</v>
      </c>
      <c r="BV289" s="94">
        <f>BV287</f>
        <v>0.17499999999999999</v>
      </c>
      <c r="BW289" s="90">
        <f t="shared" si="168"/>
        <v>0</v>
      </c>
      <c r="BZ289" s="94">
        <f>BZ287</f>
        <v>0</v>
      </c>
      <c r="CA289" s="94">
        <f>CA287</f>
        <v>0.15</v>
      </c>
      <c r="CB289" s="90">
        <f t="shared" si="169"/>
        <v>0</v>
      </c>
      <c r="CE289" s="95"/>
      <c r="CF289" s="97"/>
      <c r="CG289" s="128" t="s">
        <v>4</v>
      </c>
      <c r="CH289" s="97"/>
      <c r="CI289" s="98"/>
      <c r="CK289" s="99">
        <f>IFERROR(IF(F289='[1]Paramètres Généraux'!$K$12,ROUNDUP((REGENERANTS!H289*REGENERANTS!$CF$275)*'[1]Paramètres Généraux'!$M$12,-1),REGENERANTS!H289*REGENERANTS!$CF$275),"nd")</f>
        <v>0</v>
      </c>
      <c r="CN289" s="100"/>
      <c r="CO289" s="101"/>
      <c r="CP289" s="101"/>
      <c r="CQ289" s="101"/>
      <c r="CR289" s="101"/>
      <c r="CS289" s="171"/>
      <c r="CT289" s="172"/>
      <c r="CU289" s="101"/>
      <c r="CV289" s="171"/>
      <c r="CW289" s="106"/>
      <c r="CX289" s="107"/>
      <c r="CY289" s="106"/>
      <c r="CZ289" s="104"/>
      <c r="DA289" s="107"/>
      <c r="DB289" s="106"/>
      <c r="DC289" s="104"/>
      <c r="DD289" s="107"/>
      <c r="DE289" s="106"/>
      <c r="DF289" s="104"/>
      <c r="DG289" s="104"/>
      <c r="DH289" s="104"/>
      <c r="DI289" s="104"/>
      <c r="DJ289" s="104"/>
      <c r="DK289" s="104"/>
      <c r="DL289" s="104"/>
      <c r="DM289" s="104"/>
      <c r="DN289" s="104"/>
      <c r="DO289" s="107"/>
      <c r="DP289" s="106"/>
      <c r="DQ289" s="20">
        <f t="shared" si="155"/>
        <v>0</v>
      </c>
      <c r="DR289" s="20">
        <f t="shared" si="156"/>
        <v>0</v>
      </c>
      <c r="DS289" s="20">
        <f>IFERROR((IF(AND($F289="Produit Vente",CO289&gt;0),VLOOKUP($C289,'[1]Paramètres Articles'!$B:$H,7,FALSE)*$CO289)*(1-20%)),0)</f>
        <v>0</v>
      </c>
      <c r="DT289" s="20">
        <f>IFERROR((IF(AND($F289="Produit Vente",DR289&gt;0),VLOOKUP($C289,'[1]Paramètres Articles'!$B:$H,6,FALSE)*$DR289)*(1-15%)),0)</f>
        <v>0</v>
      </c>
    </row>
    <row r="290" spans="2:124" ht="12.95" hidden="1" customHeight="1" outlineLevel="1">
      <c r="B290" s="1">
        <f>IF(C290="",0,COUNTIFS($B$22:B289,"&gt;"&amp;0)+1)</f>
        <v>116</v>
      </c>
      <c r="C290" s="85" t="s">
        <v>97</v>
      </c>
      <c r="D290" s="86" t="str">
        <f>IFERROR(IF($C290="","",VLOOKUP($C290,'[1]Paramètres Articles'!$B:$G,2,FALSE)),"Non Trouvé")</f>
        <v>Panneau vitrine Régénérants 2026</v>
      </c>
      <c r="E290" s="87">
        <f>IFERROR(IF($C290="","",_xlfn.XLOOKUP(REGENERANTS!$C290,'[1]New Base PA'!$F:$F,'[1]New Base PA'!$D:$D,"Not Found",0)),"Non Trouvé")</f>
        <v>0</v>
      </c>
      <c r="F290" s="88" t="s">
        <v>98</v>
      </c>
      <c r="H290" s="101">
        <v>0</v>
      </c>
      <c r="J290" s="90">
        <f>IFERROR(IF($C290="","",VLOOKUP($C290,'[1]New Base PA'!$F:$J,5,FALSE)),"Non Trouvé")</f>
        <v>20.079999999999998</v>
      </c>
      <c r="K290" s="131">
        <f t="shared" si="170"/>
        <v>0</v>
      </c>
      <c r="L290" s="132"/>
      <c r="M290" s="131">
        <f>IFERROR(IF(AND($F290="Produit Vente",H290&gt;0),VLOOKUP($C290,'[1]Paramètres Articles'!$B:$G,6,FALSE),0),"Non Trouvé")</f>
        <v>0</v>
      </c>
      <c r="N290" s="131">
        <f t="shared" si="171"/>
        <v>0</v>
      </c>
      <c r="P290" s="92"/>
      <c r="R290" s="90">
        <f t="shared" si="153"/>
        <v>0</v>
      </c>
      <c r="S290" s="91"/>
      <c r="T290" s="90">
        <f>IFERROR(IF($C290="","",VLOOKUP($C290,'[1]Paramètres Articles'!$B:$H,7,FALSE)),"Non Trouvé")</f>
        <v>0</v>
      </c>
      <c r="U290" s="93"/>
      <c r="V290" s="90" t="str">
        <f t="shared" si="157"/>
        <v/>
      </c>
      <c r="W290" s="91"/>
      <c r="X290" s="90" t="str">
        <f t="shared" si="158"/>
        <v/>
      </c>
      <c r="Y290" s="91"/>
      <c r="Z290" s="90">
        <f t="shared" si="154"/>
        <v>0</v>
      </c>
      <c r="AB290" s="94">
        <f>AB289</f>
        <v>0</v>
      </c>
      <c r="AC290" s="94">
        <f>AC289</f>
        <v>0.17</v>
      </c>
      <c r="AD290" s="90">
        <f t="shared" si="159"/>
        <v>0</v>
      </c>
      <c r="AG290" s="94">
        <f>AG289</f>
        <v>0</v>
      </c>
      <c r="AH290" s="94">
        <f>AH289</f>
        <v>0.13</v>
      </c>
      <c r="AI290" s="90">
        <f t="shared" si="160"/>
        <v>0</v>
      </c>
      <c r="AL290" s="94">
        <f>AL289</f>
        <v>0</v>
      </c>
      <c r="AM290" s="94">
        <f>AM289</f>
        <v>0.08</v>
      </c>
      <c r="AN290" s="90">
        <f t="shared" si="161"/>
        <v>0</v>
      </c>
      <c r="AQ290" s="94">
        <f>AQ289</f>
        <v>0</v>
      </c>
      <c r="AR290" s="94">
        <f>AR289</f>
        <v>0.05</v>
      </c>
      <c r="AS290" s="90">
        <f t="shared" si="162"/>
        <v>0</v>
      </c>
      <c r="AV290" s="94">
        <f>AV289</f>
        <v>0</v>
      </c>
      <c r="AW290" s="94">
        <f>AW289</f>
        <v>0.32500000000000001</v>
      </c>
      <c r="AX290" s="90">
        <f t="shared" si="163"/>
        <v>0</v>
      </c>
      <c r="BA290" s="94">
        <f>BA289</f>
        <v>0</v>
      </c>
      <c r="BB290" s="94">
        <f>BB289</f>
        <v>0.29499999999999998</v>
      </c>
      <c r="BC290" s="90">
        <f t="shared" si="164"/>
        <v>0</v>
      </c>
      <c r="BF290" s="94">
        <f>BF289</f>
        <v>0</v>
      </c>
      <c r="BG290" s="94">
        <f>BG289</f>
        <v>0.27500000000000002</v>
      </c>
      <c r="BH290" s="90">
        <f t="shared" si="165"/>
        <v>0</v>
      </c>
      <c r="BK290" s="94">
        <f>BK289</f>
        <v>0</v>
      </c>
      <c r="BL290" s="94">
        <f>BL289</f>
        <v>0.245</v>
      </c>
      <c r="BM290" s="90">
        <f t="shared" si="166"/>
        <v>0</v>
      </c>
      <c r="BP290" s="94">
        <f>BP289</f>
        <v>0</v>
      </c>
      <c r="BQ290" s="94">
        <f>BQ289</f>
        <v>0.22500000000000001</v>
      </c>
      <c r="BR290" s="90">
        <f t="shared" si="167"/>
        <v>0</v>
      </c>
      <c r="BU290" s="94">
        <f>BU289</f>
        <v>0</v>
      </c>
      <c r="BV290" s="94">
        <f>BV289</f>
        <v>0.17499999999999999</v>
      </c>
      <c r="BW290" s="90">
        <f t="shared" si="168"/>
        <v>0</v>
      </c>
      <c r="BZ290" s="94">
        <f>BZ289</f>
        <v>0</v>
      </c>
      <c r="CA290" s="94">
        <f>CA289</f>
        <v>0.15</v>
      </c>
      <c r="CB290" s="90">
        <f t="shared" si="169"/>
        <v>0</v>
      </c>
      <c r="CE290" s="95"/>
      <c r="CF290" s="133"/>
      <c r="CG290" s="97" t="s">
        <v>0</v>
      </c>
      <c r="CH290" s="133">
        <f>SUMIFS($AB275:$AT275,$AB272:$AT272,CG290)+SUMIFS($BZ275:$CC275,$BZ272:$CC272,CG290)</f>
        <v>0</v>
      </c>
      <c r="CI290" s="98"/>
      <c r="CK290" s="99">
        <f>IFERROR(IF(F290='[1]Paramètres Généraux'!$K$12,ROUNDUP((REGENERANTS!H290*REGENERANTS!$CF$275)*'[1]Paramètres Généraux'!$M$12,-1),REGENERANTS!H290*REGENERANTS!$CF$275),"nd")</f>
        <v>0</v>
      </c>
      <c r="CN290" s="100"/>
      <c r="CO290" s="101"/>
      <c r="CP290" s="101"/>
      <c r="CQ290" s="101"/>
      <c r="CR290" s="101"/>
      <c r="CS290" s="171"/>
      <c r="CT290" s="172"/>
      <c r="CU290" s="101"/>
      <c r="CV290" s="171"/>
      <c r="CW290" s="106"/>
      <c r="CX290" s="107"/>
      <c r="CY290" s="106"/>
      <c r="CZ290" s="104"/>
      <c r="DA290" s="107"/>
      <c r="DB290" s="106"/>
      <c r="DC290" s="104"/>
      <c r="DD290" s="107"/>
      <c r="DE290" s="106"/>
      <c r="DF290" s="104"/>
      <c r="DG290" s="104"/>
      <c r="DH290" s="104"/>
      <c r="DI290" s="104"/>
      <c r="DJ290" s="104"/>
      <c r="DK290" s="104"/>
      <c r="DL290" s="104"/>
      <c r="DM290" s="104"/>
      <c r="DN290" s="104"/>
      <c r="DO290" s="107"/>
      <c r="DP290" s="106"/>
      <c r="DQ290" s="20">
        <f t="shared" si="155"/>
        <v>0</v>
      </c>
      <c r="DR290" s="20">
        <f t="shared" si="156"/>
        <v>0</v>
      </c>
      <c r="DS290" s="20">
        <f>IFERROR((IF(AND($F290="Produit Vente",CO290&gt;0),VLOOKUP($C290,'[1]Paramètres Articles'!$B:$H,7,FALSE)*$CO290)*(1-20%)),0)</f>
        <v>0</v>
      </c>
      <c r="DT290" s="20">
        <f>IFERROR((IF(AND($F290="Produit Vente",DR290&gt;0),VLOOKUP($C290,'[1]Paramètres Articles'!$B:$H,6,FALSE)*$DR290)*(1-15%)),0)</f>
        <v>0</v>
      </c>
    </row>
    <row r="291" spans="2:124" ht="12.95" hidden="1" customHeight="1" outlineLevel="1">
      <c r="B291" s="1">
        <f>IF(C291="",0,COUNTIFS($B$22:B290,"&gt;"&amp;0)+1)</f>
        <v>117</v>
      </c>
      <c r="C291" s="85" t="s">
        <v>99</v>
      </c>
      <c r="D291" s="86" t="str">
        <f>IFERROR(IF($C291="","",VLOOKUP($C291,'[1]Paramètres Articles'!$B:$G,2,FALSE)),"Non Trouvé")</f>
        <v>Présentoir Régénérants 2026</v>
      </c>
      <c r="E291" s="87">
        <f>IFERROR(IF($C291="","",_xlfn.XLOOKUP(REGENERANTS!$C291,'[1]New Base PA'!$F:$F,'[1]New Base PA'!$D:$D,"Not Found",0)),"Non Trouvé")</f>
        <v>0</v>
      </c>
      <c r="F291" s="88" t="s">
        <v>100</v>
      </c>
      <c r="H291" s="101">
        <v>0</v>
      </c>
      <c r="J291" s="90">
        <f>IFERROR(IF($C291="","",VLOOKUP($C291,'[1]New Base PA'!$F:$J,5,FALSE)),"Non Trouvé")</f>
        <v>13.92</v>
      </c>
      <c r="K291" s="131">
        <f t="shared" si="170"/>
        <v>0</v>
      </c>
      <c r="L291" s="132"/>
      <c r="M291" s="131">
        <f>IFERROR(IF(AND($F291="Produit Vente",H291&gt;0),VLOOKUP($C291,'[1]Paramètres Articles'!$B:$G,6,FALSE),0),"Non Trouvé")</f>
        <v>0</v>
      </c>
      <c r="N291" s="131">
        <f t="shared" si="171"/>
        <v>0</v>
      </c>
      <c r="P291" s="92"/>
      <c r="R291" s="90">
        <f t="shared" si="153"/>
        <v>0</v>
      </c>
      <c r="S291" s="91"/>
      <c r="T291" s="90">
        <f>IFERROR(IF($C291="","",VLOOKUP($C291,'[1]Paramètres Articles'!$B:$H,7,FALSE)),"Non Trouvé")</f>
        <v>0</v>
      </c>
      <c r="U291" s="93"/>
      <c r="V291" s="90" t="str">
        <f t="shared" si="157"/>
        <v/>
      </c>
      <c r="W291" s="91"/>
      <c r="X291" s="90" t="str">
        <f t="shared" si="158"/>
        <v/>
      </c>
      <c r="Y291" s="91"/>
      <c r="Z291" s="90">
        <f t="shared" si="154"/>
        <v>0</v>
      </c>
      <c r="AB291" s="94">
        <f>AB289</f>
        <v>0</v>
      </c>
      <c r="AC291" s="94">
        <f>AC289</f>
        <v>0.17</v>
      </c>
      <c r="AD291" s="90">
        <f t="shared" si="159"/>
        <v>0</v>
      </c>
      <c r="AG291" s="94">
        <f>AG289</f>
        <v>0</v>
      </c>
      <c r="AH291" s="94">
        <f>AH289</f>
        <v>0.13</v>
      </c>
      <c r="AI291" s="90">
        <f t="shared" si="160"/>
        <v>0</v>
      </c>
      <c r="AL291" s="94">
        <f>AL289</f>
        <v>0</v>
      </c>
      <c r="AM291" s="94">
        <f>AM289</f>
        <v>0.08</v>
      </c>
      <c r="AN291" s="90">
        <f t="shared" si="161"/>
        <v>0</v>
      </c>
      <c r="AQ291" s="94">
        <f>AQ289</f>
        <v>0</v>
      </c>
      <c r="AR291" s="94">
        <f>AR289</f>
        <v>0.05</v>
      </c>
      <c r="AS291" s="90">
        <f t="shared" si="162"/>
        <v>0</v>
      </c>
      <c r="AV291" s="94">
        <f>AV289</f>
        <v>0</v>
      </c>
      <c r="AW291" s="94">
        <f>AW289</f>
        <v>0.32500000000000001</v>
      </c>
      <c r="AX291" s="90">
        <f t="shared" si="163"/>
        <v>0</v>
      </c>
      <c r="BA291" s="94">
        <f>BA289</f>
        <v>0</v>
      </c>
      <c r="BB291" s="94">
        <f>BB289</f>
        <v>0.29499999999999998</v>
      </c>
      <c r="BC291" s="90">
        <f t="shared" si="164"/>
        <v>0</v>
      </c>
      <c r="BF291" s="94">
        <f>BF289</f>
        <v>0</v>
      </c>
      <c r="BG291" s="94">
        <f>BG289</f>
        <v>0.27500000000000002</v>
      </c>
      <c r="BH291" s="90">
        <f t="shared" si="165"/>
        <v>0</v>
      </c>
      <c r="BK291" s="94">
        <f>BK289</f>
        <v>0</v>
      </c>
      <c r="BL291" s="94">
        <f>BL289</f>
        <v>0.245</v>
      </c>
      <c r="BM291" s="90">
        <f t="shared" si="166"/>
        <v>0</v>
      </c>
      <c r="BP291" s="94">
        <f>BP289</f>
        <v>0</v>
      </c>
      <c r="BQ291" s="94">
        <f>BQ289</f>
        <v>0.22500000000000001</v>
      </c>
      <c r="BR291" s="90">
        <f t="shared" si="167"/>
        <v>0</v>
      </c>
      <c r="BU291" s="94">
        <f>BU289</f>
        <v>0</v>
      </c>
      <c r="BV291" s="94">
        <f>BV289</f>
        <v>0.17499999999999999</v>
      </c>
      <c r="BW291" s="90">
        <f t="shared" si="168"/>
        <v>0</v>
      </c>
      <c r="BZ291" s="94">
        <f>BZ289</f>
        <v>0</v>
      </c>
      <c r="CA291" s="94">
        <f>CA289</f>
        <v>0.15</v>
      </c>
      <c r="CB291" s="90">
        <f t="shared" si="169"/>
        <v>0</v>
      </c>
      <c r="CE291" s="95"/>
      <c r="CF291" s="96"/>
      <c r="CG291" s="97" t="s">
        <v>1</v>
      </c>
      <c r="CH291" s="134">
        <f>SUMIFS($AB275:$AT275,$AB272:$AT272,CG291)+SUMIFS($BZ275:$CC275,$BZ272:$CC272,CG291)</f>
        <v>0</v>
      </c>
      <c r="CI291" s="98"/>
      <c r="CK291" s="99">
        <f>IFERROR(IF(F291='[1]Paramètres Généraux'!$K$12,ROUNDUP((REGENERANTS!H291*REGENERANTS!$CF$275)*'[1]Paramètres Généraux'!$M$12,-1),REGENERANTS!H291*REGENERANTS!$CF$275),"nd")</f>
        <v>0</v>
      </c>
      <c r="CN291" s="100"/>
      <c r="CO291" s="101"/>
      <c r="CP291" s="101"/>
      <c r="CQ291" s="101"/>
      <c r="CR291" s="101"/>
      <c r="CS291" s="171"/>
      <c r="CT291" s="172"/>
      <c r="CU291" s="101"/>
      <c r="CV291" s="171"/>
      <c r="CW291" s="106"/>
      <c r="CX291" s="107"/>
      <c r="CY291" s="106"/>
      <c r="CZ291" s="104"/>
      <c r="DA291" s="107"/>
      <c r="DB291" s="106"/>
      <c r="DC291" s="104"/>
      <c r="DD291" s="107"/>
      <c r="DE291" s="106"/>
      <c r="DF291" s="104"/>
      <c r="DG291" s="104"/>
      <c r="DH291" s="104"/>
      <c r="DI291" s="104"/>
      <c r="DJ291" s="104"/>
      <c r="DK291" s="104"/>
      <c r="DL291" s="104"/>
      <c r="DM291" s="104"/>
      <c r="DN291" s="104"/>
      <c r="DO291" s="107"/>
      <c r="DP291" s="106"/>
      <c r="DQ291" s="20">
        <f t="shared" si="155"/>
        <v>0</v>
      </c>
      <c r="DR291" s="20">
        <f t="shared" si="156"/>
        <v>0</v>
      </c>
      <c r="DS291" s="20">
        <f>IFERROR((IF(AND($F291="Produit Vente",CO291&gt;0),VLOOKUP($C291,'[1]Paramètres Articles'!$B:$H,7,FALSE)*$CO291)*(1-20%)),0)</f>
        <v>0</v>
      </c>
      <c r="DT291" s="20">
        <f>IFERROR((IF(AND($F291="Produit Vente",DR291&gt;0),VLOOKUP($C291,'[1]Paramètres Articles'!$B:$H,6,FALSE)*$DR291)*(1-15%)),0)</f>
        <v>0</v>
      </c>
    </row>
    <row r="292" spans="2:124" ht="12.95" hidden="1" customHeight="1" outlineLevel="1">
      <c r="B292" s="1">
        <f>IF(C292="",0,COUNTIFS($B$22:B291,"&gt;"&amp;0)+1)</f>
        <v>118</v>
      </c>
      <c r="C292" s="85">
        <v>3020202</v>
      </c>
      <c r="D292" s="86" t="str">
        <f>IFERROR(IF($C292="","",VLOOKUP($C292,'[1]Paramètres Articles'!$B:$G,2,FALSE)),"Non Trouvé")</f>
        <v>Testeur - Sérum Jour / Nuit - Régénérant 30ml - 15% comprise</v>
      </c>
      <c r="E292" s="87">
        <f>IFERROR(IF($C292="","",_xlfn.XLOOKUP(REGENERANTS!$C292,'[1]New Base PA'!$F:$F,'[1]New Base PA'!$D:$D,"Not Found",0)),"Non Trouvé")</f>
        <v>4020829103146</v>
      </c>
      <c r="F292" s="88" t="s">
        <v>96</v>
      </c>
      <c r="H292" s="101">
        <v>0</v>
      </c>
      <c r="J292" s="90">
        <f>IFERROR(IF($C292="","",VLOOKUP($C292,'[1]New Base PA'!$F:$J,5,FALSE)),"Non Trouvé")</f>
        <v>11.62</v>
      </c>
      <c r="K292" s="131">
        <f t="shared" si="170"/>
        <v>0</v>
      </c>
      <c r="L292" s="132"/>
      <c r="M292" s="131">
        <f>IFERROR(IF(AND($F292="Produit Vente",H292&gt;0),VLOOKUP($C292,'[1]Paramètres Articles'!$B:$G,6,FALSE),0),"Non Trouvé")</f>
        <v>0</v>
      </c>
      <c r="N292" s="131">
        <f t="shared" si="171"/>
        <v>0</v>
      </c>
      <c r="P292" s="92"/>
      <c r="R292" s="90">
        <f t="shared" si="153"/>
        <v>0</v>
      </c>
      <c r="S292" s="91"/>
      <c r="T292" s="90" t="str">
        <f>IFERROR(IF($C292="","",VLOOKUP($C292,'[1]Paramètres Articles'!$B:$H,7,FALSE)),"Non Trouvé")</f>
        <v>Non Trouvé</v>
      </c>
      <c r="U292" s="93"/>
      <c r="V292" s="90" t="str">
        <f t="shared" si="157"/>
        <v/>
      </c>
      <c r="W292" s="91"/>
      <c r="X292" s="90" t="str">
        <f t="shared" si="158"/>
        <v/>
      </c>
      <c r="Y292" s="91"/>
      <c r="Z292" s="90" t="str">
        <f t="shared" si="154"/>
        <v>Non Trouvé</v>
      </c>
      <c r="AB292" s="94">
        <f>AB291</f>
        <v>0</v>
      </c>
      <c r="AC292" s="94">
        <f>AC291</f>
        <v>0.17</v>
      </c>
      <c r="AD292" s="90">
        <f t="shared" si="159"/>
        <v>0</v>
      </c>
      <c r="AG292" s="94">
        <f>AG291</f>
        <v>0</v>
      </c>
      <c r="AH292" s="94">
        <f>AH291</f>
        <v>0.13</v>
      </c>
      <c r="AI292" s="90">
        <f t="shared" si="160"/>
        <v>0</v>
      </c>
      <c r="AL292" s="94">
        <f>AL291</f>
        <v>0</v>
      </c>
      <c r="AM292" s="94">
        <f>AM291</f>
        <v>0.08</v>
      </c>
      <c r="AN292" s="90">
        <f t="shared" si="161"/>
        <v>0</v>
      </c>
      <c r="AQ292" s="94">
        <f>AQ291</f>
        <v>0</v>
      </c>
      <c r="AR292" s="94">
        <f>AR291</f>
        <v>0.05</v>
      </c>
      <c r="AS292" s="90">
        <f t="shared" si="162"/>
        <v>0</v>
      </c>
      <c r="AV292" s="94">
        <f>AV291</f>
        <v>0</v>
      </c>
      <c r="AW292" s="94">
        <f>AW291</f>
        <v>0.32500000000000001</v>
      </c>
      <c r="AX292" s="90">
        <f t="shared" si="163"/>
        <v>0</v>
      </c>
      <c r="BA292" s="94">
        <f>BA291</f>
        <v>0</v>
      </c>
      <c r="BB292" s="94">
        <f>BB291</f>
        <v>0.29499999999999998</v>
      </c>
      <c r="BC292" s="90">
        <f t="shared" si="164"/>
        <v>0</v>
      </c>
      <c r="BF292" s="94">
        <f>BF291</f>
        <v>0</v>
      </c>
      <c r="BG292" s="94">
        <f>BG291</f>
        <v>0.27500000000000002</v>
      </c>
      <c r="BH292" s="90">
        <f t="shared" si="165"/>
        <v>0</v>
      </c>
      <c r="BK292" s="94">
        <f>BK291</f>
        <v>0</v>
      </c>
      <c r="BL292" s="94">
        <f>BL291</f>
        <v>0.245</v>
      </c>
      <c r="BM292" s="90">
        <f t="shared" si="166"/>
        <v>0</v>
      </c>
      <c r="BP292" s="94">
        <f>BP291</f>
        <v>0</v>
      </c>
      <c r="BQ292" s="94">
        <f>BQ291</f>
        <v>0.22500000000000001</v>
      </c>
      <c r="BR292" s="90">
        <f t="shared" si="167"/>
        <v>0</v>
      </c>
      <c r="BU292" s="94">
        <f>BU291</f>
        <v>0</v>
      </c>
      <c r="BV292" s="94">
        <f>BV291</f>
        <v>0.17499999999999999</v>
      </c>
      <c r="BW292" s="90">
        <f t="shared" si="168"/>
        <v>0</v>
      </c>
      <c r="BZ292" s="94">
        <f>BZ291</f>
        <v>0</v>
      </c>
      <c r="CA292" s="94">
        <f>CA291</f>
        <v>0.15</v>
      </c>
      <c r="CB292" s="90">
        <f t="shared" si="169"/>
        <v>0</v>
      </c>
      <c r="CE292" s="95"/>
      <c r="CF292" s="128"/>
      <c r="CG292" s="97" t="s">
        <v>2</v>
      </c>
      <c r="CH292" s="135" t="str">
        <f>IFERROR((CH291-$K275*CH290)/CH291,"Non Trouvé")</f>
        <v>Non Trouvé</v>
      </c>
      <c r="CI292" s="98"/>
      <c r="CK292" s="99">
        <f>IFERROR(IF(F292='[1]Paramètres Généraux'!$K$12,ROUNDUP((REGENERANTS!H292*REGENERANTS!$CF$275)*'[1]Paramètres Généraux'!$M$12,-1),REGENERANTS!H292*REGENERANTS!$CF$275),"nd")</f>
        <v>0</v>
      </c>
      <c r="CN292" s="100"/>
      <c r="CO292" s="101"/>
      <c r="CP292" s="101"/>
      <c r="CQ292" s="101"/>
      <c r="CR292" s="101"/>
      <c r="CS292" s="171"/>
      <c r="CT292" s="172"/>
      <c r="CU292" s="101"/>
      <c r="CV292" s="171"/>
      <c r="CW292" s="106"/>
      <c r="CX292" s="107"/>
      <c r="CY292" s="106"/>
      <c r="CZ292" s="104"/>
      <c r="DA292" s="107"/>
      <c r="DB292" s="106"/>
      <c r="DC292" s="104"/>
      <c r="DD292" s="107"/>
      <c r="DE292" s="106"/>
      <c r="DF292" s="104"/>
      <c r="DG292" s="104"/>
      <c r="DH292" s="104"/>
      <c r="DI292" s="104"/>
      <c r="DJ292" s="104"/>
      <c r="DK292" s="104"/>
      <c r="DL292" s="104"/>
      <c r="DM292" s="104"/>
      <c r="DN292" s="104"/>
      <c r="DO292" s="107"/>
      <c r="DP292" s="106"/>
      <c r="DQ292" s="20">
        <f t="shared" si="155"/>
        <v>0</v>
      </c>
      <c r="DR292" s="20">
        <f t="shared" si="156"/>
        <v>0</v>
      </c>
      <c r="DS292" s="20">
        <f>IFERROR((IF(AND($F292="Produit Vente",CO292&gt;0),VLOOKUP($C292,'[1]Paramètres Articles'!$B:$H,7,FALSE)*$CO292)*(1-20%)),0)</f>
        <v>0</v>
      </c>
      <c r="DT292" s="20">
        <f>IFERROR((IF(AND($F292="Produit Vente",DR292&gt;0),VLOOKUP($C292,'[1]Paramètres Articles'!$B:$H,6,FALSE)*$DR292)*(1-15%)),0)</f>
        <v>0</v>
      </c>
    </row>
    <row r="293" spans="2:124" ht="12.95" hidden="1" customHeight="1" outlineLevel="1">
      <c r="B293" s="1">
        <f>IF(C293="",0,COUNTIFS($B$22:B292,"&gt;"&amp;0)+1)</f>
        <v>119</v>
      </c>
      <c r="C293" s="85">
        <v>3020301</v>
      </c>
      <c r="D293" s="86" t="str">
        <f>IFERROR(IF($C293="","",VLOOKUP($C293,'[1]Paramètres Articles'!$B:$G,2,FALSE)),"Non Trouvé")</f>
        <v>Testeur - Crème de Jour Régénérante 40 ml - 15% comprise</v>
      </c>
      <c r="E293" s="87">
        <f>IFERROR(IF($C293="","",_xlfn.XLOOKUP(REGENERANTS!$C293,'[1]New Base PA'!$F:$F,'[1]New Base PA'!$D:$D,"Not Found",0)),"Non Trouvé")</f>
        <v>4020829007123</v>
      </c>
      <c r="F293" s="88" t="s">
        <v>96</v>
      </c>
      <c r="H293" s="101">
        <v>0</v>
      </c>
      <c r="J293" s="90">
        <f>IFERROR(IF($C293="","",VLOOKUP($C293,'[1]New Base PA'!$F:$J,5,FALSE)),"Non Trouvé")</f>
        <v>10.85</v>
      </c>
      <c r="K293" s="131">
        <f t="shared" si="170"/>
        <v>0</v>
      </c>
      <c r="L293" s="132"/>
      <c r="M293" s="131">
        <f>IFERROR(IF(AND($F293="Produit Vente",H293&gt;0),VLOOKUP($C293,'[1]Paramètres Articles'!$B:$G,6,FALSE),0),"Non Trouvé")</f>
        <v>0</v>
      </c>
      <c r="N293" s="131">
        <f t="shared" si="171"/>
        <v>0</v>
      </c>
      <c r="P293" s="92"/>
      <c r="R293" s="90">
        <f t="shared" si="153"/>
        <v>0</v>
      </c>
      <c r="S293" s="91"/>
      <c r="T293" s="90" t="str">
        <f>IFERROR(IF($C293="","",VLOOKUP($C293,'[1]Paramètres Articles'!$B:$H,7,FALSE)),"Non Trouvé")</f>
        <v>Non Trouvé</v>
      </c>
      <c r="U293" s="93"/>
      <c r="V293" s="90" t="str">
        <f t="shared" si="157"/>
        <v/>
      </c>
      <c r="W293" s="91"/>
      <c r="X293" s="90" t="str">
        <f t="shared" si="158"/>
        <v/>
      </c>
      <c r="Y293" s="91"/>
      <c r="Z293" s="90" t="str">
        <f t="shared" si="154"/>
        <v>Non Trouvé</v>
      </c>
      <c r="AB293" s="94">
        <f>AB291</f>
        <v>0</v>
      </c>
      <c r="AC293" s="94">
        <f>AC291</f>
        <v>0.17</v>
      </c>
      <c r="AD293" s="90">
        <f t="shared" si="159"/>
        <v>0</v>
      </c>
      <c r="AG293" s="94">
        <f>AG291</f>
        <v>0</v>
      </c>
      <c r="AH293" s="94">
        <f>AH291</f>
        <v>0.13</v>
      </c>
      <c r="AI293" s="90">
        <f t="shared" si="160"/>
        <v>0</v>
      </c>
      <c r="AL293" s="94">
        <f>AL291</f>
        <v>0</v>
      </c>
      <c r="AM293" s="94">
        <f>AM291</f>
        <v>0.08</v>
      </c>
      <c r="AN293" s="90">
        <f t="shared" si="161"/>
        <v>0</v>
      </c>
      <c r="AQ293" s="94">
        <f>AQ291</f>
        <v>0</v>
      </c>
      <c r="AR293" s="94">
        <f>AR291</f>
        <v>0.05</v>
      </c>
      <c r="AS293" s="90">
        <f t="shared" si="162"/>
        <v>0</v>
      </c>
      <c r="AV293" s="94">
        <f>AV291</f>
        <v>0</v>
      </c>
      <c r="AW293" s="94">
        <f>AW291</f>
        <v>0.32500000000000001</v>
      </c>
      <c r="AX293" s="90">
        <f t="shared" si="163"/>
        <v>0</v>
      </c>
      <c r="BA293" s="94">
        <f>BA291</f>
        <v>0</v>
      </c>
      <c r="BB293" s="94">
        <f>BB291</f>
        <v>0.29499999999999998</v>
      </c>
      <c r="BC293" s="90">
        <f t="shared" si="164"/>
        <v>0</v>
      </c>
      <c r="BF293" s="94">
        <f>BF291</f>
        <v>0</v>
      </c>
      <c r="BG293" s="94">
        <f>BG291</f>
        <v>0.27500000000000002</v>
      </c>
      <c r="BH293" s="90">
        <f t="shared" si="165"/>
        <v>0</v>
      </c>
      <c r="BK293" s="94">
        <f>BK291</f>
        <v>0</v>
      </c>
      <c r="BL293" s="94">
        <f>BL291</f>
        <v>0.245</v>
      </c>
      <c r="BM293" s="90">
        <f t="shared" si="166"/>
        <v>0</v>
      </c>
      <c r="BP293" s="94">
        <f>BP291</f>
        <v>0</v>
      </c>
      <c r="BQ293" s="94">
        <f>BQ291</f>
        <v>0.22500000000000001</v>
      </c>
      <c r="BR293" s="90">
        <f t="shared" si="167"/>
        <v>0</v>
      </c>
      <c r="BU293" s="94">
        <f>BU291</f>
        <v>0</v>
      </c>
      <c r="BV293" s="94">
        <f>BV291</f>
        <v>0.17499999999999999</v>
      </c>
      <c r="BW293" s="90">
        <f t="shared" si="168"/>
        <v>0</v>
      </c>
      <c r="BZ293" s="94">
        <f>BZ291</f>
        <v>0</v>
      </c>
      <c r="CA293" s="94">
        <f>CA291</f>
        <v>0.15</v>
      </c>
      <c r="CB293" s="90">
        <f t="shared" si="169"/>
        <v>0</v>
      </c>
      <c r="CE293" s="95"/>
      <c r="CF293" s="97"/>
      <c r="CG293" s="97" t="s">
        <v>103</v>
      </c>
      <c r="CH293" s="134">
        <f>IFERROR(CH291*CH292,0)</f>
        <v>0</v>
      </c>
      <c r="CI293" s="98"/>
      <c r="CK293" s="99">
        <f>IFERROR(IF(F293='[1]Paramètres Généraux'!$K$12,ROUNDUP((REGENERANTS!H293*REGENERANTS!$CF$275)*'[1]Paramètres Généraux'!$M$12,-1),REGENERANTS!H293*REGENERANTS!$CF$275),"nd")</f>
        <v>0</v>
      </c>
      <c r="CN293" s="100"/>
      <c r="CO293" s="101"/>
      <c r="CP293" s="101"/>
      <c r="CQ293" s="101"/>
      <c r="CR293" s="101"/>
      <c r="CS293" s="171"/>
      <c r="CT293" s="172"/>
      <c r="CU293" s="101"/>
      <c r="CV293" s="171"/>
      <c r="CW293" s="106"/>
      <c r="CX293" s="107"/>
      <c r="CY293" s="106"/>
      <c r="CZ293" s="104"/>
      <c r="DA293" s="107"/>
      <c r="DB293" s="106"/>
      <c r="DC293" s="104"/>
      <c r="DD293" s="107"/>
      <c r="DE293" s="106"/>
      <c r="DF293" s="104"/>
      <c r="DG293" s="104"/>
      <c r="DH293" s="104"/>
      <c r="DI293" s="104"/>
      <c r="DJ293" s="104"/>
      <c r="DK293" s="104"/>
      <c r="DL293" s="104"/>
      <c r="DM293" s="104"/>
      <c r="DN293" s="104"/>
      <c r="DO293" s="107"/>
      <c r="DP293" s="106"/>
      <c r="DQ293" s="20">
        <f t="shared" si="155"/>
        <v>0</v>
      </c>
      <c r="DR293" s="20">
        <f t="shared" si="156"/>
        <v>0</v>
      </c>
      <c r="DS293" s="20">
        <f>IFERROR((IF(AND($F293="Produit Vente",CO293&gt;0),VLOOKUP($C293,'[1]Paramètres Articles'!$B:$H,7,FALSE)*$CO293)*(1-20%)),0)</f>
        <v>0</v>
      </c>
      <c r="DT293" s="20">
        <f>IFERROR((IF(AND($F293="Produit Vente",DR293&gt;0),VLOOKUP($C293,'[1]Paramètres Articles'!$B:$H,6,FALSE)*$DR293)*(1-15%)),0)</f>
        <v>0</v>
      </c>
    </row>
    <row r="294" spans="2:124" ht="12.95" hidden="1" customHeight="1" outlineLevel="1">
      <c r="B294" s="1">
        <f>IF(C294="",0,COUNTIFS($B$22:B293,"&gt;"&amp;0)+1)</f>
        <v>120</v>
      </c>
      <c r="C294" s="85">
        <v>3020720</v>
      </c>
      <c r="D294" s="86" t="str">
        <f>IFERROR(IF($C294="","",VLOOKUP($C294,'[1]Paramètres Articles'!$B:$G,2,FALSE)),"Non Trouvé")</f>
        <v>Testeur - Crème de Jour - Régénérant Intensif - 40ml - 15 % comprise</v>
      </c>
      <c r="E294" s="87">
        <f>IFERROR(IF($C294="","",_xlfn.XLOOKUP(REGENERANTS!$C294,'[1]New Base PA'!$F:$F,'[1]New Base PA'!$D:$D,"Not Found",0)),"Non Trouvé")</f>
        <v>4020829103207</v>
      </c>
      <c r="F294" s="88" t="s">
        <v>96</v>
      </c>
      <c r="H294" s="101">
        <v>0</v>
      </c>
      <c r="J294" s="90">
        <f>IFERROR(IF($C294="","",VLOOKUP($C294,'[1]New Base PA'!$F:$J,5,FALSE)),"Non Trouvé")</f>
        <v>12.59</v>
      </c>
      <c r="K294" s="131">
        <f t="shared" si="170"/>
        <v>0</v>
      </c>
      <c r="L294" s="132"/>
      <c r="M294" s="131">
        <f>IFERROR(IF(AND($F294="Produit Vente",H294&gt;0),VLOOKUP($C294,'[1]Paramètres Articles'!$B:$G,6,FALSE),0),"Non Trouvé")</f>
        <v>0</v>
      </c>
      <c r="N294" s="131">
        <f t="shared" si="171"/>
        <v>0</v>
      </c>
      <c r="P294" s="92"/>
      <c r="R294" s="90">
        <f t="shared" si="153"/>
        <v>0</v>
      </c>
      <c r="S294" s="91"/>
      <c r="T294" s="90" t="str">
        <f>IFERROR(IF($C294="","",VLOOKUP($C294,'[1]Paramètres Articles'!$B:$H,7,FALSE)),"Non Trouvé")</f>
        <v>Non Trouvé</v>
      </c>
      <c r="U294" s="93"/>
      <c r="V294" s="90" t="str">
        <f t="shared" si="157"/>
        <v/>
      </c>
      <c r="W294" s="91"/>
      <c r="X294" s="90" t="str">
        <f t="shared" si="158"/>
        <v/>
      </c>
      <c r="Y294" s="91"/>
      <c r="Z294" s="90" t="str">
        <f t="shared" si="154"/>
        <v>Non Trouvé</v>
      </c>
      <c r="AB294" s="94">
        <f>AB293</f>
        <v>0</v>
      </c>
      <c r="AC294" s="94">
        <f>AC293</f>
        <v>0.17</v>
      </c>
      <c r="AD294" s="90">
        <f t="shared" si="159"/>
        <v>0</v>
      </c>
      <c r="AG294" s="94">
        <f>AG293</f>
        <v>0</v>
      </c>
      <c r="AH294" s="94">
        <f>AH293</f>
        <v>0.13</v>
      </c>
      <c r="AI294" s="90">
        <f t="shared" si="160"/>
        <v>0</v>
      </c>
      <c r="AL294" s="94">
        <f>AL293</f>
        <v>0</v>
      </c>
      <c r="AM294" s="94">
        <f>AM293</f>
        <v>0.08</v>
      </c>
      <c r="AN294" s="90">
        <f t="shared" si="161"/>
        <v>0</v>
      </c>
      <c r="AQ294" s="94">
        <f>AQ293</f>
        <v>0</v>
      </c>
      <c r="AR294" s="94">
        <f>AR293</f>
        <v>0.05</v>
      </c>
      <c r="AS294" s="90">
        <f t="shared" si="162"/>
        <v>0</v>
      </c>
      <c r="AV294" s="94">
        <f>AV293</f>
        <v>0</v>
      </c>
      <c r="AW294" s="94">
        <f>AW293</f>
        <v>0.32500000000000001</v>
      </c>
      <c r="AX294" s="90">
        <f t="shared" si="163"/>
        <v>0</v>
      </c>
      <c r="BA294" s="94">
        <f>BA293</f>
        <v>0</v>
      </c>
      <c r="BB294" s="94">
        <f>BB293</f>
        <v>0.29499999999999998</v>
      </c>
      <c r="BC294" s="90">
        <f t="shared" si="164"/>
        <v>0</v>
      </c>
      <c r="BF294" s="94">
        <f>BF293</f>
        <v>0</v>
      </c>
      <c r="BG294" s="94">
        <f>BG293</f>
        <v>0.27500000000000002</v>
      </c>
      <c r="BH294" s="90">
        <f t="shared" si="165"/>
        <v>0</v>
      </c>
      <c r="BK294" s="94">
        <f>BK293</f>
        <v>0</v>
      </c>
      <c r="BL294" s="94">
        <f>BL293</f>
        <v>0.245</v>
      </c>
      <c r="BM294" s="90">
        <f t="shared" si="166"/>
        <v>0</v>
      </c>
      <c r="BP294" s="94">
        <f>BP293</f>
        <v>0</v>
      </c>
      <c r="BQ294" s="94">
        <f>BQ293</f>
        <v>0.22500000000000001</v>
      </c>
      <c r="BR294" s="90">
        <f t="shared" si="167"/>
        <v>0</v>
      </c>
      <c r="BU294" s="94">
        <f>BU293</f>
        <v>0</v>
      </c>
      <c r="BV294" s="94">
        <f>BV293</f>
        <v>0.17499999999999999</v>
      </c>
      <c r="BW294" s="90">
        <f t="shared" si="168"/>
        <v>0</v>
      </c>
      <c r="BZ294" s="94">
        <f>BZ293</f>
        <v>0</v>
      </c>
      <c r="CA294" s="94">
        <f>CA293</f>
        <v>0.15</v>
      </c>
      <c r="CB294" s="90">
        <f t="shared" si="169"/>
        <v>0</v>
      </c>
      <c r="CE294" s="95"/>
      <c r="CF294" s="133"/>
      <c r="CG294" s="96"/>
      <c r="CH294" s="96"/>
      <c r="CI294" s="98"/>
      <c r="CK294" s="99">
        <f>IFERROR(IF(F294='[1]Paramètres Généraux'!$K$12,ROUNDUP((REGENERANTS!H294*REGENERANTS!$CF$275)*'[1]Paramètres Généraux'!$M$12,-1),REGENERANTS!H294*REGENERANTS!$CF$275),"nd")</f>
        <v>0</v>
      </c>
      <c r="CN294" s="100"/>
      <c r="CO294" s="101"/>
      <c r="CP294" s="101"/>
      <c r="CQ294" s="101"/>
      <c r="CR294" s="101"/>
      <c r="CS294" s="171"/>
      <c r="CT294" s="172"/>
      <c r="CU294" s="101"/>
      <c r="CV294" s="171"/>
      <c r="CW294" s="106"/>
      <c r="CX294" s="107"/>
      <c r="CY294" s="106"/>
      <c r="CZ294" s="104"/>
      <c r="DA294" s="107"/>
      <c r="DB294" s="106"/>
      <c r="DC294" s="104"/>
      <c r="DD294" s="107"/>
      <c r="DE294" s="106"/>
      <c r="DF294" s="104"/>
      <c r="DG294" s="104"/>
      <c r="DH294" s="104"/>
      <c r="DI294" s="104"/>
      <c r="DJ294" s="104"/>
      <c r="DK294" s="104"/>
      <c r="DL294" s="104"/>
      <c r="DM294" s="104"/>
      <c r="DN294" s="104"/>
      <c r="DO294" s="107"/>
      <c r="DP294" s="106"/>
      <c r="DQ294" s="20">
        <f t="shared" si="155"/>
        <v>0</v>
      </c>
      <c r="DR294" s="20">
        <f t="shared" si="156"/>
        <v>0</v>
      </c>
      <c r="DS294" s="20">
        <f>IFERROR((IF(AND($F294="Produit Vente",CO294&gt;0),VLOOKUP($C294,'[1]Paramètres Articles'!$B:$H,7,FALSE)*$CO294)*(1-20%)),0)</f>
        <v>0</v>
      </c>
      <c r="DT294" s="20">
        <f>IFERROR((IF(AND($F294="Produit Vente",DR294&gt;0),VLOOKUP($C294,'[1]Paramètres Articles'!$B:$H,6,FALSE)*$DR294)*(1-15%)),0)</f>
        <v>0</v>
      </c>
    </row>
    <row r="295" spans="2:124" ht="12.95" hidden="1" customHeight="1" outlineLevel="1">
      <c r="B295" s="1">
        <f>IF(C295="",0,COUNTIFS($B$22:B294,"&gt;"&amp;0)+1)</f>
        <v>121</v>
      </c>
      <c r="C295" s="85">
        <v>3020718</v>
      </c>
      <c r="D295" s="86" t="str">
        <f>IFERROR(IF($C295="","",VLOOKUP($C295,'[1]Paramètres Articles'!$B:$G,2,FALSE)),"Non Trouvé")</f>
        <v>Testeur - Sérum de Nuit - Régénérant Intensif 30ml - 15% comprise</v>
      </c>
      <c r="E295" s="87">
        <f>IFERROR(IF($C295="","",_xlfn.XLOOKUP(REGENERANTS!$C295,'[1]New Base PA'!$F:$F,'[1]New Base PA'!$D:$D,"Not Found",0)),"Non Trouvé")</f>
        <v>4020829101142</v>
      </c>
      <c r="F295" s="88" t="s">
        <v>96</v>
      </c>
      <c r="H295" s="101">
        <v>0</v>
      </c>
      <c r="J295" s="90">
        <f>IFERROR(IF($C295="","",VLOOKUP($C295,'[1]New Base PA'!$F:$J,5,FALSE)),"Non Trouvé")</f>
        <v>13.39</v>
      </c>
      <c r="K295" s="131">
        <f t="shared" si="170"/>
        <v>0</v>
      </c>
      <c r="L295" s="132"/>
      <c r="M295" s="131">
        <f>IFERROR(IF(AND($F295="Produit Vente",H295&gt;0),VLOOKUP($C295,'[1]Paramètres Articles'!$B:$G,6,FALSE),0),"Non Trouvé")</f>
        <v>0</v>
      </c>
      <c r="N295" s="131">
        <f t="shared" si="171"/>
        <v>0</v>
      </c>
      <c r="P295" s="92"/>
      <c r="R295" s="90">
        <f t="shared" si="153"/>
        <v>0</v>
      </c>
      <c r="S295" s="91"/>
      <c r="T295" s="90" t="str">
        <f>IFERROR(IF($C295="","",VLOOKUP($C295,'[1]Paramètres Articles'!$B:$H,7,FALSE)),"Non Trouvé")</f>
        <v>Non Trouvé</v>
      </c>
      <c r="U295" s="93"/>
      <c r="V295" s="90" t="str">
        <f t="shared" si="157"/>
        <v/>
      </c>
      <c r="W295" s="91"/>
      <c r="X295" s="90" t="str">
        <f t="shared" si="158"/>
        <v/>
      </c>
      <c r="Y295" s="91"/>
      <c r="Z295" s="90" t="str">
        <f t="shared" si="154"/>
        <v>Non Trouvé</v>
      </c>
      <c r="AB295" s="94">
        <f>AB293</f>
        <v>0</v>
      </c>
      <c r="AC295" s="94">
        <f>AC293</f>
        <v>0.17</v>
      </c>
      <c r="AD295" s="90">
        <f t="shared" si="159"/>
        <v>0</v>
      </c>
      <c r="AG295" s="94">
        <f>AG293</f>
        <v>0</v>
      </c>
      <c r="AH295" s="94">
        <f>AH293</f>
        <v>0.13</v>
      </c>
      <c r="AI295" s="90">
        <f t="shared" si="160"/>
        <v>0</v>
      </c>
      <c r="AL295" s="94">
        <f>AL293</f>
        <v>0</v>
      </c>
      <c r="AM295" s="94">
        <f>AM293</f>
        <v>0.08</v>
      </c>
      <c r="AN295" s="90">
        <f t="shared" si="161"/>
        <v>0</v>
      </c>
      <c r="AQ295" s="94">
        <f>AQ293</f>
        <v>0</v>
      </c>
      <c r="AR295" s="94">
        <f>AR293</f>
        <v>0.05</v>
      </c>
      <c r="AS295" s="90">
        <f t="shared" si="162"/>
        <v>0</v>
      </c>
      <c r="AV295" s="94">
        <f>AV293</f>
        <v>0</v>
      </c>
      <c r="AW295" s="94">
        <f>AW293</f>
        <v>0.32500000000000001</v>
      </c>
      <c r="AX295" s="90">
        <f t="shared" si="163"/>
        <v>0</v>
      </c>
      <c r="BA295" s="94">
        <f>BA293</f>
        <v>0</v>
      </c>
      <c r="BB295" s="94">
        <f>BB293</f>
        <v>0.29499999999999998</v>
      </c>
      <c r="BC295" s="90">
        <f t="shared" si="164"/>
        <v>0</v>
      </c>
      <c r="BF295" s="94">
        <f>BF293</f>
        <v>0</v>
      </c>
      <c r="BG295" s="94">
        <f>BG293</f>
        <v>0.27500000000000002</v>
      </c>
      <c r="BH295" s="90">
        <f t="shared" si="165"/>
        <v>0</v>
      </c>
      <c r="BK295" s="94">
        <f>BK293</f>
        <v>0</v>
      </c>
      <c r="BL295" s="94">
        <f>BL293</f>
        <v>0.245</v>
      </c>
      <c r="BM295" s="90">
        <f t="shared" si="166"/>
        <v>0</v>
      </c>
      <c r="BP295" s="94">
        <f>BP293</f>
        <v>0</v>
      </c>
      <c r="BQ295" s="94">
        <f>BQ293</f>
        <v>0.22500000000000001</v>
      </c>
      <c r="BR295" s="90">
        <f t="shared" si="167"/>
        <v>0</v>
      </c>
      <c r="BU295" s="94">
        <f>BU293</f>
        <v>0</v>
      </c>
      <c r="BV295" s="94">
        <f>BV293</f>
        <v>0.17499999999999999</v>
      </c>
      <c r="BW295" s="90">
        <f t="shared" si="168"/>
        <v>0</v>
      </c>
      <c r="BZ295" s="94">
        <f>BZ293</f>
        <v>0</v>
      </c>
      <c r="CA295" s="94">
        <f>CA293</f>
        <v>0.15</v>
      </c>
      <c r="CB295" s="90">
        <f t="shared" si="169"/>
        <v>0</v>
      </c>
      <c r="CE295" s="95"/>
      <c r="CF295" s="96"/>
      <c r="CG295" s="128" t="s">
        <v>7</v>
      </c>
      <c r="CH295" s="96"/>
      <c r="CI295" s="98"/>
      <c r="CK295" s="99">
        <f>IFERROR(IF(F295='[1]Paramètres Généraux'!$K$12,ROUNDUP((REGENERANTS!H295*REGENERANTS!$CF$275)*'[1]Paramètres Généraux'!$M$12,-1),REGENERANTS!H295*REGENERANTS!$CF$275),"nd")</f>
        <v>0</v>
      </c>
      <c r="CN295" s="100"/>
      <c r="CO295" s="101"/>
      <c r="CP295" s="101"/>
      <c r="CQ295" s="101"/>
      <c r="CR295" s="101"/>
      <c r="CS295" s="171"/>
      <c r="CT295" s="172"/>
      <c r="CU295" s="101"/>
      <c r="CV295" s="171"/>
      <c r="CW295" s="106"/>
      <c r="CX295" s="107"/>
      <c r="CY295" s="106"/>
      <c r="CZ295" s="104"/>
      <c r="DA295" s="107"/>
      <c r="DB295" s="106"/>
      <c r="DC295" s="104"/>
      <c r="DD295" s="107"/>
      <c r="DE295" s="106"/>
      <c r="DF295" s="104"/>
      <c r="DG295" s="104"/>
      <c r="DH295" s="104"/>
      <c r="DI295" s="104"/>
      <c r="DJ295" s="104"/>
      <c r="DK295" s="104"/>
      <c r="DL295" s="104"/>
      <c r="DM295" s="104"/>
      <c r="DN295" s="104"/>
      <c r="DO295" s="107"/>
      <c r="DP295" s="106"/>
      <c r="DQ295" s="20">
        <f t="shared" si="155"/>
        <v>0</v>
      </c>
      <c r="DR295" s="20">
        <f t="shared" si="156"/>
        <v>0</v>
      </c>
      <c r="DS295" s="20">
        <f>IFERROR((IF(AND($F295="Produit Vente",CO295&gt;0),VLOOKUP($C295,'[1]Paramètres Articles'!$B:$H,7,FALSE)*$CO295)*(1-20%)),0)</f>
        <v>0</v>
      </c>
      <c r="DT295" s="20">
        <f>IFERROR((IF(AND($F295="Produit Vente",DR295&gt;0),VLOOKUP($C295,'[1]Paramètres Articles'!$B:$H,6,FALSE)*$DR295)*(1-15%)),0)</f>
        <v>0</v>
      </c>
    </row>
    <row r="296" spans="2:124" ht="12.95" hidden="1" customHeight="1" outlineLevel="1">
      <c r="B296" s="1">
        <f>IF(C296="",0,COUNTIFS($B$22:B295,"&gt;"&amp;0)+1)</f>
        <v>122</v>
      </c>
      <c r="C296" s="85" t="s">
        <v>112</v>
      </c>
      <c r="D296" s="86" t="str">
        <f>IFERROR(IF($C296="","",VLOOKUP($C296,'[1]Paramètres Articles'!$B:$G,2,FALSE)),"Non Trouvé")</f>
        <v>Non Trouvé</v>
      </c>
      <c r="E296" s="87" t="str">
        <f>IFERROR(IF($C296="","",_xlfn.XLOOKUP(REGENERANTS!$C296,'[1]New Base PA'!$F:$F,'[1]New Base PA'!$D:$D,"Not Found",0)),"Non Trouvé")</f>
        <v>Not Found</v>
      </c>
      <c r="F296" s="88" t="s">
        <v>100</v>
      </c>
      <c r="H296" s="101">
        <v>0</v>
      </c>
      <c r="J296" s="90" t="str">
        <f>IFERROR(IF($C296="","",VLOOKUP($C296,'[1]New Base PA'!$F:$J,5,FALSE)),"Non Trouvé")</f>
        <v>Non Trouvé</v>
      </c>
      <c r="K296" s="131" t="str">
        <f t="shared" si="170"/>
        <v>Non Trouvé</v>
      </c>
      <c r="L296" s="132"/>
      <c r="M296" s="131">
        <f>IFERROR(IF(AND($F296="Produit Vente",H296&gt;0),VLOOKUP($C296,'[1]Paramètres Articles'!$B:$G,6,FALSE),0),"Non Trouvé")</f>
        <v>0</v>
      </c>
      <c r="N296" s="131">
        <f t="shared" si="171"/>
        <v>0</v>
      </c>
      <c r="P296" s="92"/>
      <c r="R296" s="90">
        <f t="shared" si="153"/>
        <v>0</v>
      </c>
      <c r="S296" s="91"/>
      <c r="T296" s="90" t="str">
        <f>IFERROR(IF($C296="","",VLOOKUP($C296,'[1]Paramètres Articles'!$B:$H,7,FALSE)),"Non Trouvé")</f>
        <v>Non Trouvé</v>
      </c>
      <c r="U296" s="93"/>
      <c r="V296" s="90" t="str">
        <f t="shared" si="157"/>
        <v/>
      </c>
      <c r="W296" s="91"/>
      <c r="X296" s="90" t="str">
        <f t="shared" si="158"/>
        <v/>
      </c>
      <c r="Y296" s="91"/>
      <c r="Z296" s="90" t="str">
        <f t="shared" si="154"/>
        <v>Non Trouvé</v>
      </c>
      <c r="AB296" s="94">
        <f>AB295</f>
        <v>0</v>
      </c>
      <c r="AC296" s="94">
        <f>AC295</f>
        <v>0.17</v>
      </c>
      <c r="AD296" s="90">
        <f t="shared" si="159"/>
        <v>0</v>
      </c>
      <c r="AG296" s="94">
        <f>AG295</f>
        <v>0</v>
      </c>
      <c r="AH296" s="94">
        <f>AH295</f>
        <v>0.13</v>
      </c>
      <c r="AI296" s="90">
        <f t="shared" si="160"/>
        <v>0</v>
      </c>
      <c r="AL296" s="94">
        <f>AL295</f>
        <v>0</v>
      </c>
      <c r="AM296" s="94">
        <f>AM295</f>
        <v>0.08</v>
      </c>
      <c r="AN296" s="90">
        <f t="shared" si="161"/>
        <v>0</v>
      </c>
      <c r="AQ296" s="94">
        <f>AQ295</f>
        <v>0</v>
      </c>
      <c r="AR296" s="94">
        <f>AR295</f>
        <v>0.05</v>
      </c>
      <c r="AS296" s="90">
        <f t="shared" si="162"/>
        <v>0</v>
      </c>
      <c r="AV296" s="94">
        <f>AV295</f>
        <v>0</v>
      </c>
      <c r="AW296" s="94">
        <f>AW295</f>
        <v>0.32500000000000001</v>
      </c>
      <c r="AX296" s="90">
        <f t="shared" si="163"/>
        <v>0</v>
      </c>
      <c r="BA296" s="94">
        <f>BA295</f>
        <v>0</v>
      </c>
      <c r="BB296" s="94">
        <f>BB295</f>
        <v>0.29499999999999998</v>
      </c>
      <c r="BC296" s="90">
        <f t="shared" si="164"/>
        <v>0</v>
      </c>
      <c r="BF296" s="94">
        <f>BF295</f>
        <v>0</v>
      </c>
      <c r="BG296" s="94">
        <f>BG295</f>
        <v>0.27500000000000002</v>
      </c>
      <c r="BH296" s="90">
        <f t="shared" si="165"/>
        <v>0</v>
      </c>
      <c r="BK296" s="94">
        <f>BK295</f>
        <v>0</v>
      </c>
      <c r="BL296" s="94">
        <f>BL295</f>
        <v>0.245</v>
      </c>
      <c r="BM296" s="90">
        <f t="shared" si="166"/>
        <v>0</v>
      </c>
      <c r="BP296" s="94">
        <f>BP295</f>
        <v>0</v>
      </c>
      <c r="BQ296" s="94">
        <f>BQ295</f>
        <v>0.22500000000000001</v>
      </c>
      <c r="BR296" s="90">
        <f t="shared" si="167"/>
        <v>0</v>
      </c>
      <c r="BU296" s="94">
        <f>BU295</f>
        <v>0</v>
      </c>
      <c r="BV296" s="94">
        <f>BV295</f>
        <v>0.17499999999999999</v>
      </c>
      <c r="BW296" s="90">
        <f t="shared" si="168"/>
        <v>0</v>
      </c>
      <c r="BZ296" s="94">
        <f>BZ295</f>
        <v>0</v>
      </c>
      <c r="CA296" s="94">
        <f>CA295</f>
        <v>0.15</v>
      </c>
      <c r="CB296" s="90">
        <f t="shared" si="169"/>
        <v>0</v>
      </c>
      <c r="CE296" s="95"/>
      <c r="CF296" s="96"/>
      <c r="CG296" s="97" t="s">
        <v>0</v>
      </c>
      <c r="CH296" s="133">
        <f>SUMIFS($AV275:$BX275,$AV272:$BX272,CG296)</f>
        <v>0</v>
      </c>
      <c r="CI296" s="98"/>
      <c r="CK296" s="99">
        <f>IFERROR(IF(F296='[1]Paramètres Généraux'!$K$12,ROUNDUP((REGENERANTS!H296*REGENERANTS!$CF$275)*'[1]Paramètres Généraux'!$M$12,-1),REGENERANTS!H296*REGENERANTS!$CF$275),"nd")</f>
        <v>0</v>
      </c>
      <c r="CN296" s="146"/>
      <c r="CO296" s="147"/>
      <c r="CP296" s="147"/>
      <c r="CQ296" s="147"/>
      <c r="CR296" s="147"/>
      <c r="CS296" s="173"/>
      <c r="CT296" s="174"/>
      <c r="CU296" s="147"/>
      <c r="CV296" s="173"/>
      <c r="CW296" s="150"/>
      <c r="CX296" s="149"/>
      <c r="CY296" s="150"/>
      <c r="CZ296" s="136"/>
      <c r="DA296" s="149"/>
      <c r="DB296" s="150"/>
      <c r="DC296" s="136"/>
      <c r="DD296" s="149"/>
      <c r="DE296" s="150"/>
      <c r="DF296" s="136"/>
      <c r="DG296" s="136"/>
      <c r="DH296" s="136"/>
      <c r="DI296" s="136"/>
      <c r="DJ296" s="136"/>
      <c r="DK296" s="136"/>
      <c r="DL296" s="136"/>
      <c r="DM296" s="136"/>
      <c r="DN296" s="136"/>
      <c r="DO296" s="149"/>
      <c r="DP296" s="150"/>
      <c r="DQ296" s="20">
        <f t="shared" si="155"/>
        <v>0</v>
      </c>
      <c r="DR296" s="20">
        <f t="shared" si="156"/>
        <v>0</v>
      </c>
      <c r="DS296" s="20">
        <f>IFERROR((IF(AND($F296="Produit Vente",CO296&gt;0),VLOOKUP($C296,'[1]Paramètres Articles'!$B:$H,7,FALSE)*$CO296)*(1-20%)),0)</f>
        <v>0</v>
      </c>
      <c r="DT296" s="20">
        <f>IFERROR((IF(AND($F296="Produit Vente",DR296&gt;0),VLOOKUP($C296,'[1]Paramètres Articles'!$B:$H,6,FALSE)*$DR296)*(1-15%)),0)</f>
        <v>0</v>
      </c>
    </row>
    <row r="297" spans="2:124" ht="12.95" hidden="1" customHeight="1" outlineLevel="1">
      <c r="B297" s="1">
        <f>IF(C297="",0,COUNTIFS($B$22:B296,"&gt;"&amp;0)+1)</f>
        <v>123</v>
      </c>
      <c r="C297" s="85">
        <v>1010116</v>
      </c>
      <c r="D297" s="86" t="str">
        <f>IFERROR(IF($C297="","",VLOOKUP($C297,'[1]Paramètres Articles'!$B:$G,2,FALSE)),"Non Trouvé")</f>
        <v>Baume Lacté Nettoyant - 75 ml</v>
      </c>
      <c r="E297" s="87">
        <f>IFERROR(IF($C297="","",_xlfn.XLOOKUP(REGENERANTS!$C297,'[1]New Base PA'!$F:$F,'[1]New Base PA'!$D:$D,"Not Found",0)),"Non Trouvé")</f>
        <v>4020829094048</v>
      </c>
      <c r="F297" s="88" t="s">
        <v>93</v>
      </c>
      <c r="H297" s="101">
        <v>6</v>
      </c>
      <c r="J297" s="90">
        <f>IFERROR(IF($C297="","",VLOOKUP($C297,'[1]New Base PA'!$F:$J,5,FALSE)),"Non Trouvé")</f>
        <v>4.8371999999999993</v>
      </c>
      <c r="K297" s="131">
        <f t="shared" si="170"/>
        <v>29.023199999999996</v>
      </c>
      <c r="L297" s="132"/>
      <c r="M297" s="131">
        <f>IFERROR(IF(AND($F297="Produit Vente",H297&gt;0),VLOOKUP($C297,'[1]Paramètres Articles'!$B:$G,6,FALSE),0),"Non Trouvé")</f>
        <v>0</v>
      </c>
      <c r="N297" s="131">
        <f t="shared" si="171"/>
        <v>0</v>
      </c>
      <c r="P297" s="92"/>
      <c r="R297" s="90">
        <f t="shared" si="153"/>
        <v>0</v>
      </c>
      <c r="S297" s="91"/>
      <c r="T297" s="90">
        <f>IFERROR(IF($C297="","",VLOOKUP($C297,'[1]Paramètres Articles'!$B:$H,7,FALSE)),"Non Trouvé")</f>
        <v>22.003800000000002</v>
      </c>
      <c r="U297" s="93"/>
      <c r="V297" s="90" t="str">
        <f t="shared" si="157"/>
        <v/>
      </c>
      <c r="W297" s="91"/>
      <c r="X297" s="90" t="str">
        <f t="shared" si="158"/>
        <v/>
      </c>
      <c r="Y297" s="91"/>
      <c r="Z297" s="90">
        <f t="shared" si="154"/>
        <v>132.02280000000002</v>
      </c>
      <c r="AB297" s="94">
        <f>AB295</f>
        <v>0</v>
      </c>
      <c r="AC297" s="94">
        <f>AC295</f>
        <v>0.17</v>
      </c>
      <c r="AD297" s="90">
        <f t="shared" si="159"/>
        <v>0</v>
      </c>
      <c r="AG297" s="94">
        <f>AG295</f>
        <v>0</v>
      </c>
      <c r="AH297" s="94">
        <f>AH295</f>
        <v>0.13</v>
      </c>
      <c r="AI297" s="90">
        <f t="shared" si="160"/>
        <v>0</v>
      </c>
      <c r="AL297" s="94">
        <f>AL295</f>
        <v>0</v>
      </c>
      <c r="AM297" s="94">
        <f>AM295</f>
        <v>0.08</v>
      </c>
      <c r="AN297" s="90">
        <f t="shared" si="161"/>
        <v>0</v>
      </c>
      <c r="AQ297" s="94">
        <f>AQ295</f>
        <v>0</v>
      </c>
      <c r="AR297" s="94">
        <f>AR295</f>
        <v>0.05</v>
      </c>
      <c r="AS297" s="90">
        <f t="shared" si="162"/>
        <v>0</v>
      </c>
      <c r="AV297" s="94">
        <f>AV295</f>
        <v>0</v>
      </c>
      <c r="AW297" s="94">
        <f>AW295</f>
        <v>0.32500000000000001</v>
      </c>
      <c r="AX297" s="90">
        <f t="shared" si="163"/>
        <v>0</v>
      </c>
      <c r="BA297" s="94">
        <f>BA295</f>
        <v>0</v>
      </c>
      <c r="BB297" s="94">
        <f>BB295</f>
        <v>0.29499999999999998</v>
      </c>
      <c r="BC297" s="90">
        <f t="shared" si="164"/>
        <v>0</v>
      </c>
      <c r="BF297" s="94">
        <f>BF295</f>
        <v>0</v>
      </c>
      <c r="BG297" s="94">
        <f>BG295</f>
        <v>0.27500000000000002</v>
      </c>
      <c r="BH297" s="90">
        <f t="shared" si="165"/>
        <v>0</v>
      </c>
      <c r="BK297" s="94">
        <f>BK295</f>
        <v>0</v>
      </c>
      <c r="BL297" s="94">
        <f>BL295</f>
        <v>0.245</v>
      </c>
      <c r="BM297" s="90">
        <f t="shared" si="166"/>
        <v>0</v>
      </c>
      <c r="BP297" s="94">
        <f>BP295</f>
        <v>0</v>
      </c>
      <c r="BQ297" s="94">
        <f>BQ295</f>
        <v>0.22500000000000001</v>
      </c>
      <c r="BR297" s="90">
        <f t="shared" si="167"/>
        <v>0</v>
      </c>
      <c r="BU297" s="94">
        <f>BU295</f>
        <v>0</v>
      </c>
      <c r="BV297" s="94">
        <f>BV295</f>
        <v>0.17499999999999999</v>
      </c>
      <c r="BW297" s="90">
        <f t="shared" si="168"/>
        <v>0</v>
      </c>
      <c r="BZ297" s="94">
        <f>BZ295</f>
        <v>0</v>
      </c>
      <c r="CA297" s="94">
        <f>CA295</f>
        <v>0.15</v>
      </c>
      <c r="CB297" s="90">
        <f t="shared" si="169"/>
        <v>0</v>
      </c>
      <c r="CE297" s="95"/>
      <c r="CF297" s="96"/>
      <c r="CG297" s="97" t="s">
        <v>1</v>
      </c>
      <c r="CH297" s="134">
        <f>SUMIFS($AV275:$BX275,$AV272:$BX272,CG297)</f>
        <v>0</v>
      </c>
      <c r="CI297" s="98"/>
      <c r="CK297" s="99">
        <f>IFERROR(IF(F297='[1]Paramètres Généraux'!$K$12,ROUNDUP((REGENERANTS!H297*REGENERANTS!$CF$275)*'[1]Paramètres Généraux'!$M$12,-1),REGENERANTS!H297*REGENERANTS!$CF$275),"nd")</f>
        <v>0</v>
      </c>
      <c r="CN297" s="146"/>
      <c r="CO297" s="147"/>
      <c r="CP297" s="147"/>
      <c r="CQ297" s="147"/>
      <c r="CR297" s="147"/>
      <c r="CS297" s="173"/>
      <c r="CT297" s="174"/>
      <c r="CU297" s="147"/>
      <c r="CV297" s="173"/>
      <c r="CW297" s="150"/>
      <c r="CX297" s="149"/>
      <c r="CY297" s="150"/>
      <c r="CZ297" s="136"/>
      <c r="DA297" s="149"/>
      <c r="DB297" s="150"/>
      <c r="DC297" s="136"/>
      <c r="DD297" s="149"/>
      <c r="DE297" s="150"/>
      <c r="DF297" s="136"/>
      <c r="DG297" s="136"/>
      <c r="DH297" s="136"/>
      <c r="DI297" s="136"/>
      <c r="DJ297" s="136"/>
      <c r="DK297" s="136"/>
      <c r="DL297" s="136"/>
      <c r="DM297" s="136"/>
      <c r="DN297" s="136"/>
      <c r="DO297" s="149"/>
      <c r="DP297" s="150"/>
      <c r="DQ297" s="20">
        <f t="shared" si="155"/>
        <v>0</v>
      </c>
      <c r="DR297" s="20">
        <f t="shared" si="156"/>
        <v>0</v>
      </c>
      <c r="DS297" s="20">
        <f>IFERROR((IF(AND($F297="Produit Vente",CO297&gt;0),VLOOKUP($C297,'[1]Paramètres Articles'!$B:$H,7,FALSE)*$CO297)*(1-20%)),0)</f>
        <v>0</v>
      </c>
      <c r="DT297" s="20">
        <f>IFERROR((IF(AND($F297="Produit Vente",DR297&gt;0),VLOOKUP($C297,'[1]Paramètres Articles'!$B:$H,6,FALSE)*$DR297)*(1-15%)),0)</f>
        <v>0</v>
      </c>
    </row>
    <row r="298" spans="2:124" ht="12.95" hidden="1" customHeight="1" outlineLevel="1">
      <c r="B298" s="1">
        <f>IF(C298="",0,COUNTIFS($B$22:B297,"&gt;"&amp;0)+1)</f>
        <v>0</v>
      </c>
      <c r="C298" s="85"/>
      <c r="D298" s="86" t="str">
        <f>IFERROR(IF($C298="","",VLOOKUP($C298,'[1]Paramètres Articles'!$B:$G,2,FALSE)),"Non Trouvé")</f>
        <v/>
      </c>
      <c r="E298" s="87" t="str">
        <f>IFERROR(IF($C298="","",_xlfn.XLOOKUP(REGENERANTS!$C298,'[1]New Base PA'!$F:$F,'[1]New Base PA'!$D:$D,"Not Found",0)),"Non Trouvé")</f>
        <v/>
      </c>
      <c r="F298" s="88"/>
      <c r="H298" s="101"/>
      <c r="J298" s="90" t="str">
        <f>IFERROR(IF($C298="","",VLOOKUP($C298,'[1]New Base PA'!$F:$J,5,FALSE)),"Non Trouvé")</f>
        <v/>
      </c>
      <c r="K298" s="131" t="str">
        <f t="shared" si="170"/>
        <v/>
      </c>
      <c r="L298" s="132"/>
      <c r="M298" s="131">
        <f>IFERROR(IF(AND($F298="Produit Vente",H298&gt;0),VLOOKUP($C298,'[1]Paramètres Articles'!$B:$G,6,FALSE),0),"Non Trouvé")</f>
        <v>0</v>
      </c>
      <c r="N298" s="131" t="str">
        <f t="shared" si="171"/>
        <v/>
      </c>
      <c r="P298" s="92"/>
      <c r="R298" s="90" t="str">
        <f t="shared" si="153"/>
        <v/>
      </c>
      <c r="S298" s="91"/>
      <c r="T298" s="90" t="str">
        <f>IFERROR(IF($C298="","",VLOOKUP($C298,'[1]Paramètres Articles'!$B:$H,7,FALSE)),"Non Trouvé")</f>
        <v/>
      </c>
      <c r="U298" s="93"/>
      <c r="V298" s="90" t="str">
        <f t="shared" si="157"/>
        <v/>
      </c>
      <c r="W298" s="91"/>
      <c r="X298" s="90" t="str">
        <f t="shared" si="158"/>
        <v/>
      </c>
      <c r="Y298" s="91"/>
      <c r="Z298" s="90">
        <f t="shared" si="154"/>
        <v>0</v>
      </c>
      <c r="AB298" s="94">
        <f>AB297</f>
        <v>0</v>
      </c>
      <c r="AC298" s="94">
        <f>AC297</f>
        <v>0.17</v>
      </c>
      <c r="AD298" s="90" t="str">
        <f t="shared" si="159"/>
        <v/>
      </c>
      <c r="AG298" s="94">
        <f>AG297</f>
        <v>0</v>
      </c>
      <c r="AH298" s="94">
        <f>AH297</f>
        <v>0.13</v>
      </c>
      <c r="AI298" s="90" t="str">
        <f t="shared" si="160"/>
        <v/>
      </c>
      <c r="AL298" s="94">
        <f>AL297</f>
        <v>0</v>
      </c>
      <c r="AM298" s="94">
        <f>AM297</f>
        <v>0.08</v>
      </c>
      <c r="AN298" s="90" t="str">
        <f t="shared" si="161"/>
        <v/>
      </c>
      <c r="AQ298" s="94">
        <f>AQ297</f>
        <v>0</v>
      </c>
      <c r="AR298" s="94">
        <f>AR297</f>
        <v>0.05</v>
      </c>
      <c r="AS298" s="90" t="str">
        <f t="shared" si="162"/>
        <v/>
      </c>
      <c r="AV298" s="94">
        <f>AV297</f>
        <v>0</v>
      </c>
      <c r="AW298" s="94">
        <f>AW297</f>
        <v>0.32500000000000001</v>
      </c>
      <c r="AX298" s="90" t="str">
        <f t="shared" si="163"/>
        <v/>
      </c>
      <c r="BA298" s="94">
        <f>BA297</f>
        <v>0</v>
      </c>
      <c r="BB298" s="94">
        <f>BB297</f>
        <v>0.29499999999999998</v>
      </c>
      <c r="BC298" s="90" t="str">
        <f t="shared" si="164"/>
        <v/>
      </c>
      <c r="BF298" s="94">
        <f>BF297</f>
        <v>0</v>
      </c>
      <c r="BG298" s="94">
        <f>BG297</f>
        <v>0.27500000000000002</v>
      </c>
      <c r="BH298" s="90" t="str">
        <f t="shared" si="165"/>
        <v/>
      </c>
      <c r="BK298" s="94">
        <f>BK297</f>
        <v>0</v>
      </c>
      <c r="BL298" s="94">
        <f>BL297</f>
        <v>0.245</v>
      </c>
      <c r="BM298" s="90" t="str">
        <f t="shared" si="166"/>
        <v/>
      </c>
      <c r="BP298" s="94">
        <f>BP297</f>
        <v>0</v>
      </c>
      <c r="BQ298" s="94">
        <f>BQ297</f>
        <v>0.22500000000000001</v>
      </c>
      <c r="BR298" s="90" t="str">
        <f t="shared" si="167"/>
        <v/>
      </c>
      <c r="BU298" s="94">
        <f>BU297</f>
        <v>0</v>
      </c>
      <c r="BV298" s="94">
        <f>BV297</f>
        <v>0.17499999999999999</v>
      </c>
      <c r="BW298" s="90" t="str">
        <f t="shared" si="168"/>
        <v/>
      </c>
      <c r="BZ298" s="94">
        <f>BZ297</f>
        <v>0</v>
      </c>
      <c r="CA298" s="94">
        <f>CA297</f>
        <v>0.15</v>
      </c>
      <c r="CB298" s="90" t="str">
        <f t="shared" si="169"/>
        <v/>
      </c>
      <c r="CE298" s="95"/>
      <c r="CF298" s="96"/>
      <c r="CG298" s="97" t="s">
        <v>2</v>
      </c>
      <c r="CH298" s="135" t="str">
        <f>IFERROR((CH297-$K275*CH296)/CH297,"Non Trouvé")</f>
        <v>Non Trouvé</v>
      </c>
      <c r="CI298" s="98"/>
      <c r="CK298" s="99">
        <f>IFERROR(IF(F298='[1]Paramètres Généraux'!$K$12,ROUNDUP((REGENERANTS!H298*REGENERANTS!$CF$275)*'[1]Paramètres Généraux'!$M$12,-1),REGENERANTS!H298*REGENERANTS!$CF$275),"nd")</f>
        <v>0</v>
      </c>
      <c r="CN298" s="146"/>
      <c r="CO298" s="147"/>
      <c r="CP298" s="147"/>
      <c r="CQ298" s="147"/>
      <c r="CR298" s="147"/>
      <c r="CS298" s="173"/>
      <c r="CT298" s="174"/>
      <c r="CU298" s="147"/>
      <c r="CV298" s="173"/>
      <c r="CW298" s="150"/>
      <c r="CX298" s="149"/>
      <c r="CY298" s="150"/>
      <c r="CZ298" s="136"/>
      <c r="DA298" s="149"/>
      <c r="DB298" s="150"/>
      <c r="DC298" s="136"/>
      <c r="DD298" s="149"/>
      <c r="DE298" s="150"/>
      <c r="DF298" s="136"/>
      <c r="DG298" s="136"/>
      <c r="DH298" s="136"/>
      <c r="DI298" s="136"/>
      <c r="DJ298" s="136"/>
      <c r="DK298" s="136"/>
      <c r="DL298" s="136"/>
      <c r="DM298" s="136"/>
      <c r="DN298" s="136"/>
      <c r="DO298" s="149"/>
      <c r="DP298" s="150"/>
      <c r="DQ298" s="20">
        <f t="shared" si="155"/>
        <v>0</v>
      </c>
      <c r="DR298" s="20">
        <f t="shared" si="156"/>
        <v>0</v>
      </c>
      <c r="DS298" s="20">
        <f>IFERROR((IF(AND($F298="Produit Vente",CO298&gt;0),VLOOKUP($C298,'[1]Paramètres Articles'!$B:$H,7,FALSE)*$CO298)*(1-20%)),0)</f>
        <v>0</v>
      </c>
      <c r="DT298" s="20">
        <f>IFERROR((IF(AND($F298="Produit Vente",DR298&gt;0),VLOOKUP($C298,'[1]Paramètres Articles'!$B:$H,6,FALSE)*$DR298)*(1-15%)),0)</f>
        <v>0</v>
      </c>
    </row>
    <row r="299" spans="2:124" ht="12.95" hidden="1" customHeight="1" outlineLevel="1">
      <c r="B299" s="1">
        <f>IF(C299="",0,COUNTIFS($B$22:B298,"&gt;"&amp;0)+1)</f>
        <v>0</v>
      </c>
      <c r="C299" s="85"/>
      <c r="D299" s="86" t="str">
        <f>IFERROR(IF($C299="","",VLOOKUP($C299,'[1]Paramètres Articles'!$B:$G,2,FALSE)),"Non Trouvé")</f>
        <v/>
      </c>
      <c r="E299" s="87" t="str">
        <f>IFERROR(IF($C299="","",_xlfn.XLOOKUP(REGENERANTS!$C299,'[1]New Base PA'!$F:$F,'[1]New Base PA'!$D:$D,"Not Found",0)),"Non Trouvé")</f>
        <v/>
      </c>
      <c r="F299" s="88"/>
      <c r="H299" s="101"/>
      <c r="J299" s="90" t="str">
        <f>IFERROR(IF($C299="","",VLOOKUP($C299,'[1]New Base PA'!$F:$J,5,FALSE)),"Non Trouvé")</f>
        <v/>
      </c>
      <c r="K299" s="131" t="str">
        <f t="shared" si="170"/>
        <v/>
      </c>
      <c r="L299" s="132"/>
      <c r="M299" s="131">
        <f>IFERROR(IF(AND($F299="Produit Vente",H299&gt;0),VLOOKUP($C299,'[1]Paramètres Articles'!$B:$G,6,FALSE),0),"Non Trouvé")</f>
        <v>0</v>
      </c>
      <c r="N299" s="131" t="str">
        <f t="shared" si="171"/>
        <v/>
      </c>
      <c r="P299" s="92"/>
      <c r="R299" s="90" t="str">
        <f t="shared" si="153"/>
        <v/>
      </c>
      <c r="S299" s="91"/>
      <c r="T299" s="90" t="str">
        <f>IFERROR(IF($C299="","",VLOOKUP($C299,'[1]Paramètres Articles'!$B:$H,7,FALSE)),"Non Trouvé")</f>
        <v/>
      </c>
      <c r="U299" s="93"/>
      <c r="V299" s="90" t="str">
        <f t="shared" si="157"/>
        <v/>
      </c>
      <c r="W299" s="91"/>
      <c r="X299" s="90" t="str">
        <f t="shared" si="158"/>
        <v/>
      </c>
      <c r="Y299" s="91"/>
      <c r="Z299" s="90">
        <f t="shared" si="154"/>
        <v>0</v>
      </c>
      <c r="AB299" s="94">
        <f>AB297</f>
        <v>0</v>
      </c>
      <c r="AC299" s="94">
        <f>AC297</f>
        <v>0.17</v>
      </c>
      <c r="AD299" s="90" t="str">
        <f t="shared" si="159"/>
        <v/>
      </c>
      <c r="AG299" s="94">
        <f>AG297</f>
        <v>0</v>
      </c>
      <c r="AH299" s="94">
        <f>AH297</f>
        <v>0.13</v>
      </c>
      <c r="AI299" s="90" t="str">
        <f t="shared" si="160"/>
        <v/>
      </c>
      <c r="AL299" s="94">
        <f>AL297</f>
        <v>0</v>
      </c>
      <c r="AM299" s="94">
        <f>AM297</f>
        <v>0.08</v>
      </c>
      <c r="AN299" s="90" t="str">
        <f t="shared" si="161"/>
        <v/>
      </c>
      <c r="AQ299" s="94">
        <f>AQ297</f>
        <v>0</v>
      </c>
      <c r="AR299" s="94">
        <f>AR297</f>
        <v>0.05</v>
      </c>
      <c r="AS299" s="90" t="str">
        <f t="shared" si="162"/>
        <v/>
      </c>
      <c r="AV299" s="94">
        <f>AV297</f>
        <v>0</v>
      </c>
      <c r="AW299" s="94">
        <f>AW297</f>
        <v>0.32500000000000001</v>
      </c>
      <c r="AX299" s="90" t="str">
        <f t="shared" si="163"/>
        <v/>
      </c>
      <c r="BA299" s="94">
        <f>BA297</f>
        <v>0</v>
      </c>
      <c r="BB299" s="94">
        <f>BB297</f>
        <v>0.29499999999999998</v>
      </c>
      <c r="BC299" s="90" t="str">
        <f t="shared" si="164"/>
        <v/>
      </c>
      <c r="BF299" s="94">
        <f>BF297</f>
        <v>0</v>
      </c>
      <c r="BG299" s="94">
        <f>BG297</f>
        <v>0.27500000000000002</v>
      </c>
      <c r="BH299" s="90" t="str">
        <f t="shared" si="165"/>
        <v/>
      </c>
      <c r="BK299" s="94">
        <f>BK297</f>
        <v>0</v>
      </c>
      <c r="BL299" s="94">
        <f>BL297</f>
        <v>0.245</v>
      </c>
      <c r="BM299" s="90" t="str">
        <f t="shared" si="166"/>
        <v/>
      </c>
      <c r="BP299" s="94">
        <f>BP297</f>
        <v>0</v>
      </c>
      <c r="BQ299" s="94">
        <f>BQ297</f>
        <v>0.22500000000000001</v>
      </c>
      <c r="BR299" s="90" t="str">
        <f t="shared" si="167"/>
        <v/>
      </c>
      <c r="BU299" s="94">
        <f>BU297</f>
        <v>0</v>
      </c>
      <c r="BV299" s="94">
        <f>BV297</f>
        <v>0.17499999999999999</v>
      </c>
      <c r="BW299" s="90" t="str">
        <f t="shared" si="168"/>
        <v/>
      </c>
      <c r="BZ299" s="94">
        <f>BZ297</f>
        <v>0</v>
      </c>
      <c r="CA299" s="94">
        <f>CA297</f>
        <v>0.15</v>
      </c>
      <c r="CB299" s="90" t="str">
        <f t="shared" si="169"/>
        <v/>
      </c>
      <c r="CE299" s="95"/>
      <c r="CF299" s="96"/>
      <c r="CG299" s="97" t="s">
        <v>103</v>
      </c>
      <c r="CH299" s="134">
        <f>IFERROR(CH297*CH298,0)</f>
        <v>0</v>
      </c>
      <c r="CI299" s="98"/>
      <c r="CK299" s="99">
        <f>IFERROR(IF(F299='[1]Paramètres Généraux'!$K$12,ROUNDUP((REGENERANTS!H299*REGENERANTS!$CF$275)*'[1]Paramètres Généraux'!$M$12,-1),REGENERANTS!H299*REGENERANTS!$CF$275),"nd")</f>
        <v>0</v>
      </c>
      <c r="CN299" s="146"/>
      <c r="CO299" s="147"/>
      <c r="CP299" s="147"/>
      <c r="CQ299" s="147"/>
      <c r="CR299" s="147"/>
      <c r="CS299" s="173"/>
      <c r="CT299" s="174"/>
      <c r="CU299" s="147"/>
      <c r="CV299" s="173"/>
      <c r="CW299" s="150"/>
      <c r="CX299" s="149"/>
      <c r="CY299" s="150"/>
      <c r="CZ299" s="136"/>
      <c r="DA299" s="149"/>
      <c r="DB299" s="150"/>
      <c r="DC299" s="136"/>
      <c r="DD299" s="149"/>
      <c r="DE299" s="150"/>
      <c r="DF299" s="136"/>
      <c r="DG299" s="136"/>
      <c r="DH299" s="136"/>
      <c r="DI299" s="136"/>
      <c r="DJ299" s="136"/>
      <c r="DK299" s="136"/>
      <c r="DL299" s="136"/>
      <c r="DM299" s="136"/>
      <c r="DN299" s="136"/>
      <c r="DO299" s="149"/>
      <c r="DP299" s="150"/>
      <c r="DQ299" s="20">
        <f t="shared" si="155"/>
        <v>0</v>
      </c>
      <c r="DR299" s="20">
        <f t="shared" si="156"/>
        <v>0</v>
      </c>
      <c r="DS299" s="20">
        <f>IFERROR((IF(AND($F299="Produit Vente",CO299&gt;0),VLOOKUP($C299,'[1]Paramètres Articles'!$B:$H,7,FALSE)*$CO299)*(1-20%)),0)</f>
        <v>0</v>
      </c>
      <c r="DT299" s="20">
        <f>IFERROR((IF(AND($F299="Produit Vente",DR299&gt;0),VLOOKUP($C299,'[1]Paramètres Articles'!$B:$H,6,FALSE)*$DR299)*(1-15%)),0)</f>
        <v>0</v>
      </c>
    </row>
    <row r="300" spans="2:124" ht="12.95" hidden="1" customHeight="1" outlineLevel="1">
      <c r="B300" s="1">
        <f>IF(C300="",0,COUNTIFS($B$22:B299,"&gt;"&amp;0)+1)</f>
        <v>0</v>
      </c>
      <c r="C300" s="85"/>
      <c r="D300" s="86" t="str">
        <f>IFERROR(IF($C300="","",VLOOKUP($C300,'[1]Paramètres Articles'!$B:$G,2,FALSE)),"Non Trouvé")</f>
        <v/>
      </c>
      <c r="E300" s="87" t="str">
        <f>IFERROR(IF($C300="","",_xlfn.XLOOKUP(REGENERANTS!$C300,'[1]New Base PA'!$F:$F,'[1]New Base PA'!$D:$D,"Not Found",0)),"Non Trouvé")</f>
        <v/>
      </c>
      <c r="F300" s="88"/>
      <c r="H300" s="101"/>
      <c r="J300" s="90" t="str">
        <f>IFERROR(IF($C300="","",VLOOKUP($C300,'[1]New Base PA'!$F:$J,5,FALSE)),"Non Trouvé")</f>
        <v/>
      </c>
      <c r="K300" s="131" t="str">
        <f t="shared" si="170"/>
        <v/>
      </c>
      <c r="L300" s="132"/>
      <c r="M300" s="131">
        <f>IFERROR(IF(AND($F300="Produit Vente",H300&gt;0),VLOOKUP($C300,'[1]Paramètres Articles'!$B:$G,6,FALSE),0),"Non Trouvé")</f>
        <v>0</v>
      </c>
      <c r="N300" s="131" t="str">
        <f t="shared" si="171"/>
        <v/>
      </c>
      <c r="P300" s="92"/>
      <c r="R300" s="90" t="str">
        <f t="shared" si="153"/>
        <v/>
      </c>
      <c r="S300" s="91"/>
      <c r="T300" s="90" t="str">
        <f>IFERROR(IF($C300="","",VLOOKUP($C300,'[1]Paramètres Articles'!$B:$H,7,FALSE)),"Non Trouvé")</f>
        <v/>
      </c>
      <c r="U300" s="93"/>
      <c r="V300" s="90" t="str">
        <f t="shared" si="157"/>
        <v/>
      </c>
      <c r="W300" s="91"/>
      <c r="X300" s="90" t="str">
        <f t="shared" si="158"/>
        <v/>
      </c>
      <c r="Y300" s="91"/>
      <c r="Z300" s="90">
        <f t="shared" si="154"/>
        <v>0</v>
      </c>
      <c r="AB300" s="94">
        <f>AB299</f>
        <v>0</v>
      </c>
      <c r="AC300" s="94">
        <f>AC299</f>
        <v>0.17</v>
      </c>
      <c r="AD300" s="90" t="str">
        <f t="shared" si="159"/>
        <v/>
      </c>
      <c r="AG300" s="94">
        <f>AG299</f>
        <v>0</v>
      </c>
      <c r="AH300" s="94">
        <f>AH299</f>
        <v>0.13</v>
      </c>
      <c r="AI300" s="90" t="str">
        <f t="shared" si="160"/>
        <v/>
      </c>
      <c r="AL300" s="94">
        <f>AL299</f>
        <v>0</v>
      </c>
      <c r="AM300" s="94">
        <f>AM299</f>
        <v>0.08</v>
      </c>
      <c r="AN300" s="90" t="str">
        <f t="shared" si="161"/>
        <v/>
      </c>
      <c r="AQ300" s="94">
        <f>AQ299</f>
        <v>0</v>
      </c>
      <c r="AR300" s="94">
        <f>AR299</f>
        <v>0.05</v>
      </c>
      <c r="AS300" s="90" t="str">
        <f t="shared" si="162"/>
        <v/>
      </c>
      <c r="AV300" s="94">
        <f>AV299</f>
        <v>0</v>
      </c>
      <c r="AW300" s="94">
        <f>AW299</f>
        <v>0.32500000000000001</v>
      </c>
      <c r="AX300" s="90" t="str">
        <f t="shared" si="163"/>
        <v/>
      </c>
      <c r="BA300" s="94">
        <f>BA299</f>
        <v>0</v>
      </c>
      <c r="BB300" s="94">
        <f>BB299</f>
        <v>0.29499999999999998</v>
      </c>
      <c r="BC300" s="90" t="str">
        <f t="shared" si="164"/>
        <v/>
      </c>
      <c r="BF300" s="94">
        <f>BF299</f>
        <v>0</v>
      </c>
      <c r="BG300" s="94">
        <f>BG299</f>
        <v>0.27500000000000002</v>
      </c>
      <c r="BH300" s="90" t="str">
        <f t="shared" si="165"/>
        <v/>
      </c>
      <c r="BK300" s="94">
        <f>BK299</f>
        <v>0</v>
      </c>
      <c r="BL300" s="94">
        <f>BL299</f>
        <v>0.245</v>
      </c>
      <c r="BM300" s="90" t="str">
        <f t="shared" si="166"/>
        <v/>
      </c>
      <c r="BP300" s="94">
        <f>BP299</f>
        <v>0</v>
      </c>
      <c r="BQ300" s="94">
        <f>BQ299</f>
        <v>0.22500000000000001</v>
      </c>
      <c r="BR300" s="90" t="str">
        <f t="shared" si="167"/>
        <v/>
      </c>
      <c r="BU300" s="94">
        <f>BU299</f>
        <v>0</v>
      </c>
      <c r="BV300" s="94">
        <f>BV299</f>
        <v>0.17499999999999999</v>
      </c>
      <c r="BW300" s="90" t="str">
        <f t="shared" si="168"/>
        <v/>
      </c>
      <c r="BZ300" s="94">
        <f>BZ299</f>
        <v>0</v>
      </c>
      <c r="CA300" s="94">
        <f>CA299</f>
        <v>0.15</v>
      </c>
      <c r="CB300" s="90" t="str">
        <f t="shared" si="169"/>
        <v/>
      </c>
      <c r="CE300" s="95"/>
      <c r="CF300" s="96"/>
      <c r="CG300" s="97"/>
      <c r="CH300" s="97"/>
      <c r="CI300" s="98"/>
      <c r="CK300" s="99">
        <f>IFERROR(IF(F300='[1]Paramètres Généraux'!$K$12,ROUNDUP((REGENERANTS!H300*REGENERANTS!$CF$275)*'[1]Paramètres Généraux'!$M$12,-1),REGENERANTS!H300*REGENERANTS!$CF$275),"nd")</f>
        <v>0</v>
      </c>
      <c r="CN300" s="146"/>
      <c r="CO300" s="147"/>
      <c r="CP300" s="147"/>
      <c r="CQ300" s="147"/>
      <c r="CR300" s="147"/>
      <c r="CS300" s="173"/>
      <c r="CT300" s="174"/>
      <c r="CU300" s="147"/>
      <c r="CV300" s="173"/>
      <c r="CW300" s="150"/>
      <c r="CX300" s="149"/>
      <c r="CY300" s="150"/>
      <c r="CZ300" s="136"/>
      <c r="DA300" s="149"/>
      <c r="DB300" s="150"/>
      <c r="DC300" s="136"/>
      <c r="DD300" s="149"/>
      <c r="DE300" s="150"/>
      <c r="DF300" s="136"/>
      <c r="DG300" s="136"/>
      <c r="DH300" s="136"/>
      <c r="DI300" s="136"/>
      <c r="DJ300" s="136"/>
      <c r="DK300" s="136"/>
      <c r="DL300" s="136"/>
      <c r="DM300" s="136"/>
      <c r="DN300" s="136"/>
      <c r="DO300" s="149"/>
      <c r="DP300" s="150"/>
      <c r="DQ300" s="20">
        <f t="shared" si="155"/>
        <v>0</v>
      </c>
      <c r="DR300" s="20">
        <f t="shared" si="156"/>
        <v>0</v>
      </c>
      <c r="DS300" s="20">
        <f>IFERROR((IF(AND($F300="Produit Vente",CO300&gt;0),VLOOKUP($C300,'[1]Paramètres Articles'!$B:$H,7,FALSE)*$CO300)*(1-20%)),0)</f>
        <v>0</v>
      </c>
      <c r="DT300" s="20">
        <f>IFERROR((IF(AND($F300="Produit Vente",DR300&gt;0),VLOOKUP($C300,'[1]Paramètres Articles'!$B:$H,6,FALSE)*$DR300)*(1-15%)),0)</f>
        <v>0</v>
      </c>
    </row>
    <row r="301" spans="2:124" ht="12.95" hidden="1" customHeight="1" outlineLevel="1">
      <c r="B301" s="1">
        <f>IF(C301="",0,COUNTIFS($B$22:B300,"&gt;"&amp;0)+1)</f>
        <v>0</v>
      </c>
      <c r="C301" s="85"/>
      <c r="D301" s="86" t="str">
        <f>IFERROR(IF($C301="","",VLOOKUP($C301,'[1]Paramètres Articles'!$B:$G,2,FALSE)),"Non Trouvé")</f>
        <v/>
      </c>
      <c r="E301" s="87" t="str">
        <f>IFERROR(IF($C301="","",_xlfn.XLOOKUP(REGENERANTS!$C301,'[1]New Base PA'!$F:$F,'[1]New Base PA'!$D:$D,"Not Found",0)),"Non Trouvé")</f>
        <v/>
      </c>
      <c r="F301" s="88"/>
      <c r="H301" s="101"/>
      <c r="J301" s="90" t="str">
        <f>IFERROR(IF($C301="","",VLOOKUP($C301,'[1]New Base PA'!$F:$J,5,FALSE)),"Non Trouvé")</f>
        <v/>
      </c>
      <c r="K301" s="131" t="str">
        <f t="shared" si="170"/>
        <v/>
      </c>
      <c r="L301" s="132"/>
      <c r="M301" s="131">
        <f>IFERROR(IF(AND($F301="Produit Vente",H301&gt;0),VLOOKUP($C301,'[1]Paramètres Articles'!$B:$G,6,FALSE),0),"Non Trouvé")</f>
        <v>0</v>
      </c>
      <c r="N301" s="131" t="str">
        <f t="shared" si="171"/>
        <v/>
      </c>
      <c r="P301" s="92"/>
      <c r="R301" s="90" t="str">
        <f t="shared" si="153"/>
        <v/>
      </c>
      <c r="S301" s="91"/>
      <c r="T301" s="90" t="str">
        <f>IFERROR(IF($C301="","",VLOOKUP($C301,'[1]Paramètres Articles'!$B:$H,7,FALSE)),"Non Trouvé")</f>
        <v/>
      </c>
      <c r="U301" s="93"/>
      <c r="V301" s="90" t="str">
        <f t="shared" si="157"/>
        <v/>
      </c>
      <c r="W301" s="91"/>
      <c r="X301" s="90" t="str">
        <f t="shared" si="158"/>
        <v/>
      </c>
      <c r="Y301" s="91"/>
      <c r="Z301" s="90">
        <f t="shared" si="154"/>
        <v>0</v>
      </c>
      <c r="AB301" s="94">
        <f>AB299</f>
        <v>0</v>
      </c>
      <c r="AC301" s="94">
        <f>AC299</f>
        <v>0.17</v>
      </c>
      <c r="AD301" s="90" t="str">
        <f t="shared" si="159"/>
        <v/>
      </c>
      <c r="AG301" s="94">
        <f>AG299</f>
        <v>0</v>
      </c>
      <c r="AH301" s="94">
        <f>AH299</f>
        <v>0.13</v>
      </c>
      <c r="AI301" s="90" t="str">
        <f t="shared" si="160"/>
        <v/>
      </c>
      <c r="AL301" s="94">
        <f>AL299</f>
        <v>0</v>
      </c>
      <c r="AM301" s="94">
        <f>AM299</f>
        <v>0.08</v>
      </c>
      <c r="AN301" s="90" t="str">
        <f t="shared" si="161"/>
        <v/>
      </c>
      <c r="AQ301" s="94">
        <f>AQ299</f>
        <v>0</v>
      </c>
      <c r="AR301" s="94">
        <f>AR299</f>
        <v>0.05</v>
      </c>
      <c r="AS301" s="90" t="str">
        <f t="shared" si="162"/>
        <v/>
      </c>
      <c r="AV301" s="94">
        <f>AV299</f>
        <v>0</v>
      </c>
      <c r="AW301" s="94">
        <f>AW299</f>
        <v>0.32500000000000001</v>
      </c>
      <c r="AX301" s="90" t="str">
        <f t="shared" si="163"/>
        <v/>
      </c>
      <c r="BA301" s="94">
        <f>BA299</f>
        <v>0</v>
      </c>
      <c r="BB301" s="94">
        <f>BB299</f>
        <v>0.29499999999999998</v>
      </c>
      <c r="BC301" s="90" t="str">
        <f t="shared" si="164"/>
        <v/>
      </c>
      <c r="BF301" s="94">
        <f>BF299</f>
        <v>0</v>
      </c>
      <c r="BG301" s="94">
        <f>BG299</f>
        <v>0.27500000000000002</v>
      </c>
      <c r="BH301" s="90" t="str">
        <f t="shared" si="165"/>
        <v/>
      </c>
      <c r="BK301" s="94">
        <f>BK299</f>
        <v>0</v>
      </c>
      <c r="BL301" s="94">
        <f>BL299</f>
        <v>0.245</v>
      </c>
      <c r="BM301" s="90" t="str">
        <f t="shared" si="166"/>
        <v/>
      </c>
      <c r="BP301" s="94">
        <f>BP299</f>
        <v>0</v>
      </c>
      <c r="BQ301" s="94">
        <f>BQ299</f>
        <v>0.22500000000000001</v>
      </c>
      <c r="BR301" s="90" t="str">
        <f t="shared" si="167"/>
        <v/>
      </c>
      <c r="BU301" s="94">
        <f>BU299</f>
        <v>0</v>
      </c>
      <c r="BV301" s="94">
        <f>BV299</f>
        <v>0.17499999999999999</v>
      </c>
      <c r="BW301" s="90" t="str">
        <f t="shared" si="168"/>
        <v/>
      </c>
      <c r="BZ301" s="94">
        <f>BZ299</f>
        <v>0</v>
      </c>
      <c r="CA301" s="94">
        <f>CA299</f>
        <v>0.15</v>
      </c>
      <c r="CB301" s="90" t="str">
        <f t="shared" si="169"/>
        <v/>
      </c>
      <c r="CE301" s="95"/>
      <c r="CF301" s="96"/>
      <c r="CG301" s="97"/>
      <c r="CH301" s="97"/>
      <c r="CI301" s="98"/>
      <c r="CK301" s="99">
        <f>IFERROR(IF(F301='[1]Paramètres Généraux'!$K$12,ROUNDUP((REGENERANTS!H301*REGENERANTS!$CF$275)*'[1]Paramètres Généraux'!$M$12,-1),REGENERANTS!H301*REGENERANTS!$CF$275),"nd")</f>
        <v>0</v>
      </c>
      <c r="CN301" s="146"/>
      <c r="CO301" s="147"/>
      <c r="CP301" s="147"/>
      <c r="CQ301" s="147"/>
      <c r="CR301" s="147"/>
      <c r="CS301" s="173"/>
      <c r="CT301" s="174"/>
      <c r="CU301" s="147"/>
      <c r="CV301" s="173"/>
      <c r="CW301" s="150"/>
      <c r="CX301" s="149"/>
      <c r="CY301" s="150"/>
      <c r="CZ301" s="136"/>
      <c r="DA301" s="149"/>
      <c r="DB301" s="150"/>
      <c r="DC301" s="136"/>
      <c r="DD301" s="149"/>
      <c r="DE301" s="150"/>
      <c r="DF301" s="136"/>
      <c r="DG301" s="136"/>
      <c r="DH301" s="136"/>
      <c r="DI301" s="136"/>
      <c r="DJ301" s="136"/>
      <c r="DK301" s="136"/>
      <c r="DL301" s="136"/>
      <c r="DM301" s="136"/>
      <c r="DN301" s="136"/>
      <c r="DO301" s="149"/>
      <c r="DP301" s="150"/>
      <c r="DQ301" s="20">
        <f t="shared" si="155"/>
        <v>0</v>
      </c>
      <c r="DR301" s="20">
        <f t="shared" si="156"/>
        <v>0</v>
      </c>
      <c r="DS301" s="20">
        <f>IFERROR((IF(AND($F301="Produit Vente",CO301&gt;0),VLOOKUP($C301,'[1]Paramètres Articles'!$B:$H,7,FALSE)*$CO301)*(1-20%)),0)</f>
        <v>0</v>
      </c>
      <c r="DT301" s="20">
        <f>IFERROR((IF(AND($F301="Produit Vente",DR301&gt;0),VLOOKUP($C301,'[1]Paramètres Articles'!$B:$H,6,FALSE)*$DR301)*(1-15%)),0)</f>
        <v>0</v>
      </c>
    </row>
    <row r="302" spans="2:124" ht="12.95" hidden="1" customHeight="1" outlineLevel="1">
      <c r="B302" s="1">
        <f>IF(C302="",0,COUNTIFS($B$22:B301,"&gt;"&amp;0)+1)</f>
        <v>0</v>
      </c>
      <c r="C302" s="85"/>
      <c r="D302" s="86" t="str">
        <f>IFERROR(IF($C302="","",VLOOKUP($C302,'[1]Paramètres Articles'!$B:$G,2,FALSE)),"Non Trouvé")</f>
        <v/>
      </c>
      <c r="E302" s="87" t="str">
        <f>IFERROR(IF($C302="","",_xlfn.XLOOKUP(REGENERANTS!$C302,'[1]New Base PA'!$F:$F,'[1]New Base PA'!$D:$D,"Not Found",0)),"Non Trouvé")</f>
        <v/>
      </c>
      <c r="F302" s="88"/>
      <c r="H302" s="101"/>
      <c r="J302" s="90" t="str">
        <f>IFERROR(IF($C302="","",VLOOKUP($C302,'[1]New Base PA'!$F:$J,5,FALSE)),"Non Trouvé")</f>
        <v/>
      </c>
      <c r="K302" s="131" t="str">
        <f t="shared" si="170"/>
        <v/>
      </c>
      <c r="L302" s="132"/>
      <c r="M302" s="131">
        <f>IFERROR(IF(AND($F302="Produit Vente",H302&gt;0),VLOOKUP($C302,'[1]Paramètres Articles'!$B:$G,6,FALSE),0),"Non Trouvé")</f>
        <v>0</v>
      </c>
      <c r="N302" s="131" t="str">
        <f t="shared" si="171"/>
        <v/>
      </c>
      <c r="P302" s="92"/>
      <c r="R302" s="90" t="str">
        <f t="shared" si="153"/>
        <v/>
      </c>
      <c r="S302" s="91"/>
      <c r="T302" s="90" t="str">
        <f>IFERROR(IF($C302="","",VLOOKUP($C302,'[1]Paramètres Articles'!$B:$H,7,FALSE)),"Non Trouvé")</f>
        <v/>
      </c>
      <c r="U302" s="93"/>
      <c r="V302" s="90" t="str">
        <f t="shared" si="157"/>
        <v/>
      </c>
      <c r="W302" s="91"/>
      <c r="X302" s="90" t="str">
        <f t="shared" si="158"/>
        <v/>
      </c>
      <c r="Y302" s="91"/>
      <c r="Z302" s="90">
        <f t="shared" si="154"/>
        <v>0</v>
      </c>
      <c r="AB302" s="94">
        <f>AB301</f>
        <v>0</v>
      </c>
      <c r="AC302" s="94">
        <f>AC301</f>
        <v>0.17</v>
      </c>
      <c r="AD302" s="90" t="str">
        <f t="shared" si="159"/>
        <v/>
      </c>
      <c r="AG302" s="94">
        <f>AG301</f>
        <v>0</v>
      </c>
      <c r="AH302" s="94">
        <f>AH301</f>
        <v>0.13</v>
      </c>
      <c r="AI302" s="90" t="str">
        <f t="shared" si="160"/>
        <v/>
      </c>
      <c r="AL302" s="94">
        <f>AL301</f>
        <v>0</v>
      </c>
      <c r="AM302" s="94">
        <f>AM301</f>
        <v>0.08</v>
      </c>
      <c r="AN302" s="90" t="str">
        <f t="shared" si="161"/>
        <v/>
      </c>
      <c r="AQ302" s="94">
        <f>AQ301</f>
        <v>0</v>
      </c>
      <c r="AR302" s="94">
        <f>AR301</f>
        <v>0.05</v>
      </c>
      <c r="AS302" s="90" t="str">
        <f t="shared" si="162"/>
        <v/>
      </c>
      <c r="AV302" s="94">
        <f>AV301</f>
        <v>0</v>
      </c>
      <c r="AW302" s="94">
        <f>AW301</f>
        <v>0.32500000000000001</v>
      </c>
      <c r="AX302" s="90" t="str">
        <f t="shared" si="163"/>
        <v/>
      </c>
      <c r="BA302" s="94">
        <f>BA301</f>
        <v>0</v>
      </c>
      <c r="BB302" s="94">
        <f>BB301</f>
        <v>0.29499999999999998</v>
      </c>
      <c r="BC302" s="90" t="str">
        <f t="shared" si="164"/>
        <v/>
      </c>
      <c r="BF302" s="94">
        <f>BF301</f>
        <v>0</v>
      </c>
      <c r="BG302" s="94">
        <f>BG301</f>
        <v>0.27500000000000002</v>
      </c>
      <c r="BH302" s="90" t="str">
        <f t="shared" si="165"/>
        <v/>
      </c>
      <c r="BK302" s="94">
        <f>BK301</f>
        <v>0</v>
      </c>
      <c r="BL302" s="94">
        <f>BL301</f>
        <v>0.245</v>
      </c>
      <c r="BM302" s="90" t="str">
        <f t="shared" si="166"/>
        <v/>
      </c>
      <c r="BP302" s="94">
        <f>BP301</f>
        <v>0</v>
      </c>
      <c r="BQ302" s="94">
        <f>BQ301</f>
        <v>0.22500000000000001</v>
      </c>
      <c r="BR302" s="90" t="str">
        <f t="shared" si="167"/>
        <v/>
      </c>
      <c r="BU302" s="94">
        <f>BU301</f>
        <v>0</v>
      </c>
      <c r="BV302" s="94">
        <f>BV301</f>
        <v>0.17499999999999999</v>
      </c>
      <c r="BW302" s="90" t="str">
        <f t="shared" si="168"/>
        <v/>
      </c>
      <c r="BZ302" s="94">
        <f>BZ301</f>
        <v>0</v>
      </c>
      <c r="CA302" s="94">
        <f>CA301</f>
        <v>0.15</v>
      </c>
      <c r="CB302" s="90" t="str">
        <f t="shared" si="169"/>
        <v/>
      </c>
      <c r="CE302" s="95"/>
      <c r="CF302" s="96"/>
      <c r="CG302" s="97"/>
      <c r="CH302" s="97"/>
      <c r="CI302" s="98"/>
      <c r="CK302" s="99">
        <f>IFERROR(IF(F302='[1]Paramètres Généraux'!$K$12,ROUNDUP((REGENERANTS!H302*REGENERANTS!$CF$275)*'[1]Paramètres Généraux'!$M$12,-1),REGENERANTS!H302*REGENERANTS!$CF$275),"nd")</f>
        <v>0</v>
      </c>
      <c r="CN302" s="146"/>
      <c r="CO302" s="147"/>
      <c r="CP302" s="147"/>
      <c r="CQ302" s="147"/>
      <c r="CR302" s="147"/>
      <c r="CS302" s="173"/>
      <c r="CT302" s="174"/>
      <c r="CU302" s="147"/>
      <c r="CV302" s="173"/>
      <c r="CW302" s="150"/>
      <c r="CX302" s="149"/>
      <c r="CY302" s="150"/>
      <c r="CZ302" s="136"/>
      <c r="DA302" s="149"/>
      <c r="DB302" s="150"/>
      <c r="DC302" s="136"/>
      <c r="DD302" s="149"/>
      <c r="DE302" s="150"/>
      <c r="DF302" s="136"/>
      <c r="DG302" s="136"/>
      <c r="DH302" s="136"/>
      <c r="DI302" s="136"/>
      <c r="DJ302" s="136"/>
      <c r="DK302" s="136"/>
      <c r="DL302" s="136"/>
      <c r="DM302" s="136"/>
      <c r="DN302" s="136"/>
      <c r="DO302" s="149"/>
      <c r="DP302" s="150"/>
      <c r="DQ302" s="20">
        <f t="shared" si="155"/>
        <v>0</v>
      </c>
      <c r="DR302" s="20">
        <f t="shared" si="156"/>
        <v>0</v>
      </c>
      <c r="DS302" s="20">
        <f>IFERROR((IF(AND($F302="Produit Vente",CO302&gt;0),VLOOKUP($C302,'[1]Paramètres Articles'!$B:$H,7,FALSE)*$CO302)*(1-20%)),0)</f>
        <v>0</v>
      </c>
      <c r="DT302" s="20">
        <f>IFERROR((IF(AND($F302="Produit Vente",DR302&gt;0),VLOOKUP($C302,'[1]Paramètres Articles'!$B:$H,6,FALSE)*$DR302)*(1-15%)),0)</f>
        <v>0</v>
      </c>
    </row>
    <row r="303" spans="2:124" ht="12.95" hidden="1" customHeight="1" outlineLevel="1">
      <c r="B303" s="1">
        <f>IF(C303="",0,COUNTIFS($B$22:B302,"&gt;"&amp;0)+1)</f>
        <v>0</v>
      </c>
      <c r="C303" s="85"/>
      <c r="D303" s="86" t="str">
        <f>IFERROR(IF($C303="","",VLOOKUP($C303,'[1]Paramètres Articles'!$B:$G,2,FALSE)),"Non Trouvé")</f>
        <v/>
      </c>
      <c r="E303" s="87" t="str">
        <f>IFERROR(IF($C303="","",_xlfn.XLOOKUP(REGENERANTS!$C303,'[1]New Base PA'!$F:$F,'[1]New Base PA'!$D:$D,"Not Found",0)),"Non Trouvé")</f>
        <v/>
      </c>
      <c r="F303" s="88"/>
      <c r="H303" s="101"/>
      <c r="J303" s="90" t="str">
        <f>IFERROR(IF($C303="","",VLOOKUP($C303,'[1]New Base PA'!$F:$J,5,FALSE)),"Non Trouvé")</f>
        <v/>
      </c>
      <c r="K303" s="131" t="str">
        <f t="shared" si="170"/>
        <v/>
      </c>
      <c r="L303" s="132"/>
      <c r="M303" s="131">
        <f>IFERROR(IF(AND($F303="Produit Vente",H303&gt;0),VLOOKUP($C303,'[1]Paramètres Articles'!$B:$G,6,FALSE),0),"Non Trouvé")</f>
        <v>0</v>
      </c>
      <c r="N303" s="131" t="str">
        <f t="shared" si="171"/>
        <v/>
      </c>
      <c r="P303" s="92"/>
      <c r="R303" s="90" t="str">
        <f t="shared" si="153"/>
        <v/>
      </c>
      <c r="S303" s="91"/>
      <c r="T303" s="90" t="str">
        <f>IFERROR(IF($C303="","",VLOOKUP($C303,'[1]Paramètres Articles'!$B:$H,7,FALSE)),"Non Trouvé")</f>
        <v/>
      </c>
      <c r="U303" s="93"/>
      <c r="V303" s="90" t="str">
        <f t="shared" si="157"/>
        <v/>
      </c>
      <c r="W303" s="91"/>
      <c r="X303" s="90" t="str">
        <f t="shared" si="158"/>
        <v/>
      </c>
      <c r="Y303" s="91"/>
      <c r="Z303" s="90">
        <f t="shared" si="154"/>
        <v>0</v>
      </c>
      <c r="AB303" s="94">
        <f>AB301</f>
        <v>0</v>
      </c>
      <c r="AC303" s="94">
        <f>AC301</f>
        <v>0.17</v>
      </c>
      <c r="AD303" s="90" t="str">
        <f t="shared" si="159"/>
        <v/>
      </c>
      <c r="AG303" s="94">
        <f>AG301</f>
        <v>0</v>
      </c>
      <c r="AH303" s="94">
        <f>AH301</f>
        <v>0.13</v>
      </c>
      <c r="AI303" s="90" t="str">
        <f t="shared" si="160"/>
        <v/>
      </c>
      <c r="AL303" s="94">
        <f>AL301</f>
        <v>0</v>
      </c>
      <c r="AM303" s="94">
        <f>AM301</f>
        <v>0.08</v>
      </c>
      <c r="AN303" s="90" t="str">
        <f t="shared" si="161"/>
        <v/>
      </c>
      <c r="AQ303" s="94">
        <f>AQ301</f>
        <v>0</v>
      </c>
      <c r="AR303" s="94">
        <f>AR301</f>
        <v>0.05</v>
      </c>
      <c r="AS303" s="90" t="str">
        <f t="shared" si="162"/>
        <v/>
      </c>
      <c r="AV303" s="94">
        <f>AV301</f>
        <v>0</v>
      </c>
      <c r="AW303" s="94">
        <f>AW301</f>
        <v>0.32500000000000001</v>
      </c>
      <c r="AX303" s="90" t="str">
        <f t="shared" si="163"/>
        <v/>
      </c>
      <c r="BA303" s="94">
        <f>BA301</f>
        <v>0</v>
      </c>
      <c r="BB303" s="94">
        <f>BB301</f>
        <v>0.29499999999999998</v>
      </c>
      <c r="BC303" s="90" t="str">
        <f t="shared" si="164"/>
        <v/>
      </c>
      <c r="BF303" s="94">
        <f>BF301</f>
        <v>0</v>
      </c>
      <c r="BG303" s="94">
        <f>BG301</f>
        <v>0.27500000000000002</v>
      </c>
      <c r="BH303" s="90" t="str">
        <f t="shared" si="165"/>
        <v/>
      </c>
      <c r="BK303" s="94">
        <f>BK301</f>
        <v>0</v>
      </c>
      <c r="BL303" s="94">
        <f>BL301</f>
        <v>0.245</v>
      </c>
      <c r="BM303" s="90" t="str">
        <f t="shared" si="166"/>
        <v/>
      </c>
      <c r="BP303" s="94">
        <f>BP301</f>
        <v>0</v>
      </c>
      <c r="BQ303" s="94">
        <f>BQ301</f>
        <v>0.22500000000000001</v>
      </c>
      <c r="BR303" s="90" t="str">
        <f t="shared" si="167"/>
        <v/>
      </c>
      <c r="BU303" s="94">
        <f>BU301</f>
        <v>0</v>
      </c>
      <c r="BV303" s="94">
        <f>BV301</f>
        <v>0.17499999999999999</v>
      </c>
      <c r="BW303" s="90" t="str">
        <f t="shared" si="168"/>
        <v/>
      </c>
      <c r="BZ303" s="94">
        <f>BZ301</f>
        <v>0</v>
      </c>
      <c r="CA303" s="94">
        <f>CA301</f>
        <v>0.15</v>
      </c>
      <c r="CB303" s="90" t="str">
        <f t="shared" si="169"/>
        <v/>
      </c>
      <c r="CE303" s="95"/>
      <c r="CF303" s="96"/>
      <c r="CG303" s="97"/>
      <c r="CH303" s="97"/>
      <c r="CI303" s="98"/>
      <c r="CK303" s="99">
        <f>IFERROR(IF(F303='[1]Paramètres Généraux'!$K$12,ROUNDUP((REGENERANTS!H303*REGENERANTS!$CF$275)*'[1]Paramètres Généraux'!$M$12,-1),REGENERANTS!H303*REGENERANTS!$CF$275),"nd")</f>
        <v>0</v>
      </c>
      <c r="CN303" s="146"/>
      <c r="CO303" s="147"/>
      <c r="CP303" s="147"/>
      <c r="CQ303" s="147"/>
      <c r="CR303" s="147"/>
      <c r="CS303" s="173"/>
      <c r="CT303" s="174"/>
      <c r="CU303" s="147"/>
      <c r="CV303" s="173"/>
      <c r="CW303" s="150"/>
      <c r="CX303" s="149"/>
      <c r="CY303" s="150"/>
      <c r="CZ303" s="136"/>
      <c r="DA303" s="149"/>
      <c r="DB303" s="150"/>
      <c r="DC303" s="136"/>
      <c r="DD303" s="149"/>
      <c r="DE303" s="150"/>
      <c r="DF303" s="136"/>
      <c r="DG303" s="136"/>
      <c r="DH303" s="136"/>
      <c r="DI303" s="136"/>
      <c r="DJ303" s="136"/>
      <c r="DK303" s="136"/>
      <c r="DL303" s="136"/>
      <c r="DM303" s="136"/>
      <c r="DN303" s="136"/>
      <c r="DO303" s="149"/>
      <c r="DP303" s="150"/>
      <c r="DQ303" s="20">
        <f t="shared" si="155"/>
        <v>0</v>
      </c>
      <c r="DR303" s="20">
        <f t="shared" si="156"/>
        <v>0</v>
      </c>
      <c r="DS303" s="20">
        <f>IFERROR((IF(AND($F303="Produit Vente",CO303&gt;0),VLOOKUP($C303,'[1]Paramètres Articles'!$B:$H,7,FALSE)*$CO303)*(1-20%)),0)</f>
        <v>0</v>
      </c>
      <c r="DT303" s="20">
        <f>IFERROR((IF(AND($F303="Produit Vente",DR303&gt;0),VLOOKUP($C303,'[1]Paramètres Articles'!$B:$H,6,FALSE)*$DR303)*(1-15%)),0)</f>
        <v>0</v>
      </c>
    </row>
    <row r="304" spans="2:124" ht="12.95" hidden="1" customHeight="1" outlineLevel="1">
      <c r="B304" s="1">
        <f>IF(C304="",0,COUNTIFS($B$22:B303,"&gt;"&amp;0)+1)</f>
        <v>0</v>
      </c>
      <c r="C304" s="85"/>
      <c r="D304" s="86" t="str">
        <f>IFERROR(IF($C304="","",VLOOKUP($C304,'[1]Paramètres Articles'!$B:$G,2,FALSE)),"Non Trouvé")</f>
        <v/>
      </c>
      <c r="E304" s="87" t="str">
        <f>IFERROR(IF($C304="","",_xlfn.XLOOKUP(REGENERANTS!$C304,'[1]New Base PA'!$F:$F,'[1]New Base PA'!$D:$D,"Not Found",0)),"Non Trouvé")</f>
        <v/>
      </c>
      <c r="F304" s="88"/>
      <c r="H304" s="101"/>
      <c r="J304" s="90" t="str">
        <f>IFERROR(IF($C304="","",VLOOKUP($C304,'[1]New Base PA'!$F:$J,5,FALSE)),"Non Trouvé")</f>
        <v/>
      </c>
      <c r="K304" s="131" t="str">
        <f t="shared" si="170"/>
        <v/>
      </c>
      <c r="L304" s="132"/>
      <c r="M304" s="131">
        <f>IFERROR(IF(AND($F304="Produit Vente",H304&gt;0),VLOOKUP($C304,'[1]Paramètres Articles'!$B:$G,6,FALSE),0),"Non Trouvé")</f>
        <v>0</v>
      </c>
      <c r="N304" s="131" t="str">
        <f t="shared" si="171"/>
        <v/>
      </c>
      <c r="P304" s="92"/>
      <c r="R304" s="90" t="str">
        <f t="shared" si="153"/>
        <v/>
      </c>
      <c r="S304" s="91"/>
      <c r="T304" s="90" t="str">
        <f>IFERROR(IF($C304="","",VLOOKUP($C304,'[1]Paramètres Articles'!$B:$H,7,FALSE)),"Non Trouvé")</f>
        <v/>
      </c>
      <c r="U304" s="93"/>
      <c r="V304" s="90" t="str">
        <f t="shared" si="157"/>
        <v/>
      </c>
      <c r="W304" s="91"/>
      <c r="X304" s="90" t="str">
        <f t="shared" si="158"/>
        <v/>
      </c>
      <c r="Y304" s="91"/>
      <c r="Z304" s="90">
        <f t="shared" si="154"/>
        <v>0</v>
      </c>
      <c r="AB304" s="94">
        <f>AB303</f>
        <v>0</v>
      </c>
      <c r="AC304" s="94">
        <f>AC303</f>
        <v>0.17</v>
      </c>
      <c r="AD304" s="90" t="str">
        <f t="shared" si="159"/>
        <v/>
      </c>
      <c r="AG304" s="94">
        <f>AG303</f>
        <v>0</v>
      </c>
      <c r="AH304" s="94">
        <f>AH303</f>
        <v>0.13</v>
      </c>
      <c r="AI304" s="90" t="str">
        <f t="shared" si="160"/>
        <v/>
      </c>
      <c r="AL304" s="94">
        <f>AL303</f>
        <v>0</v>
      </c>
      <c r="AM304" s="94">
        <f>AM303</f>
        <v>0.08</v>
      </c>
      <c r="AN304" s="90" t="str">
        <f t="shared" si="161"/>
        <v/>
      </c>
      <c r="AQ304" s="94">
        <f>AQ303</f>
        <v>0</v>
      </c>
      <c r="AR304" s="94">
        <f>AR303</f>
        <v>0.05</v>
      </c>
      <c r="AS304" s="90" t="str">
        <f t="shared" si="162"/>
        <v/>
      </c>
      <c r="AV304" s="94">
        <f>AV303</f>
        <v>0</v>
      </c>
      <c r="AW304" s="94">
        <f>AW303</f>
        <v>0.32500000000000001</v>
      </c>
      <c r="AX304" s="90" t="str">
        <f t="shared" si="163"/>
        <v/>
      </c>
      <c r="BA304" s="94">
        <f>BA303</f>
        <v>0</v>
      </c>
      <c r="BB304" s="94">
        <f>BB303</f>
        <v>0.29499999999999998</v>
      </c>
      <c r="BC304" s="90" t="str">
        <f t="shared" si="164"/>
        <v/>
      </c>
      <c r="BF304" s="94">
        <f>BF303</f>
        <v>0</v>
      </c>
      <c r="BG304" s="94">
        <f>BG303</f>
        <v>0.27500000000000002</v>
      </c>
      <c r="BH304" s="90" t="str">
        <f t="shared" si="165"/>
        <v/>
      </c>
      <c r="BK304" s="94">
        <f>BK303</f>
        <v>0</v>
      </c>
      <c r="BL304" s="94">
        <f>BL303</f>
        <v>0.245</v>
      </c>
      <c r="BM304" s="90" t="str">
        <f t="shared" si="166"/>
        <v/>
      </c>
      <c r="BP304" s="94">
        <f>BP303</f>
        <v>0</v>
      </c>
      <c r="BQ304" s="94">
        <f>BQ303</f>
        <v>0.22500000000000001</v>
      </c>
      <c r="BR304" s="90" t="str">
        <f t="shared" si="167"/>
        <v/>
      </c>
      <c r="BU304" s="94">
        <f>BU303</f>
        <v>0</v>
      </c>
      <c r="BV304" s="94">
        <f>BV303</f>
        <v>0.17499999999999999</v>
      </c>
      <c r="BW304" s="90" t="str">
        <f t="shared" si="168"/>
        <v/>
      </c>
      <c r="BZ304" s="94">
        <f>BZ303</f>
        <v>0</v>
      </c>
      <c r="CA304" s="94">
        <f>CA303</f>
        <v>0.15</v>
      </c>
      <c r="CB304" s="90" t="str">
        <f t="shared" si="169"/>
        <v/>
      </c>
      <c r="CE304" s="95"/>
      <c r="CF304" s="96"/>
      <c r="CG304" s="97"/>
      <c r="CH304" s="97"/>
      <c r="CI304" s="98"/>
      <c r="CK304" s="99">
        <f>IFERROR(IF(F304='[1]Paramètres Généraux'!$K$12,ROUNDUP((REGENERANTS!H304*REGENERANTS!$CF$275)*'[1]Paramètres Généraux'!$M$12,-1),REGENERANTS!H304*REGENERANTS!$CF$275),"nd")</f>
        <v>0</v>
      </c>
      <c r="CN304" s="146"/>
      <c r="CO304" s="147"/>
      <c r="CP304" s="147"/>
      <c r="CQ304" s="147"/>
      <c r="CR304" s="147"/>
      <c r="CS304" s="173"/>
      <c r="CT304" s="174"/>
      <c r="CU304" s="147"/>
      <c r="CV304" s="173"/>
      <c r="CW304" s="150"/>
      <c r="CX304" s="149"/>
      <c r="CY304" s="150"/>
      <c r="CZ304" s="136"/>
      <c r="DA304" s="149"/>
      <c r="DB304" s="150"/>
      <c r="DC304" s="136"/>
      <c r="DD304" s="149"/>
      <c r="DE304" s="150"/>
      <c r="DF304" s="136"/>
      <c r="DG304" s="136"/>
      <c r="DH304" s="136"/>
      <c r="DI304" s="136"/>
      <c r="DJ304" s="136"/>
      <c r="DK304" s="136"/>
      <c r="DL304" s="136"/>
      <c r="DM304" s="136"/>
      <c r="DN304" s="136"/>
      <c r="DO304" s="149"/>
      <c r="DP304" s="150"/>
      <c r="DQ304" s="20">
        <f t="shared" si="155"/>
        <v>0</v>
      </c>
      <c r="DR304" s="20">
        <f t="shared" si="156"/>
        <v>0</v>
      </c>
      <c r="DS304" s="20">
        <f>IFERROR((IF(AND($F304="Produit Vente",CO304&gt;0),VLOOKUP($C304,'[1]Paramètres Articles'!$B:$H,7,FALSE)*$CO304)*(1-20%)),0)</f>
        <v>0</v>
      </c>
      <c r="DT304" s="20">
        <f>IFERROR((IF(AND($F304="Produit Vente",DR304&gt;0),VLOOKUP($C304,'[1]Paramètres Articles'!$B:$H,6,FALSE)*$DR304)*(1-15%)),0)</f>
        <v>0</v>
      </c>
    </row>
    <row r="305" spans="2:124" ht="12.95" hidden="1" customHeight="1" outlineLevel="1">
      <c r="B305" s="1">
        <f>IF(C305="",0,COUNTIFS($B$22:B304,"&gt;"&amp;0)+1)</f>
        <v>0</v>
      </c>
      <c r="C305" s="85"/>
      <c r="D305" s="86" t="str">
        <f>IFERROR(IF($C305="","",VLOOKUP($C305,'[1]Paramètres Articles'!$B:$G,2,FALSE)),"Non Trouvé")</f>
        <v/>
      </c>
      <c r="E305" s="87" t="str">
        <f>IFERROR(IF($C305="","",_xlfn.XLOOKUP(REGENERANTS!$C305,'[1]New Base PA'!$F:$F,'[1]New Base PA'!$D:$D,"Not Found",0)),"Non Trouvé")</f>
        <v/>
      </c>
      <c r="F305" s="88"/>
      <c r="H305" s="101"/>
      <c r="J305" s="90" t="str">
        <f>IFERROR(IF($C305="","",VLOOKUP($C305,'[1]New Base PA'!$F:$J,5,FALSE)),"Non Trouvé")</f>
        <v/>
      </c>
      <c r="K305" s="131" t="str">
        <f t="shared" si="170"/>
        <v/>
      </c>
      <c r="L305" s="132"/>
      <c r="M305" s="131">
        <f>IFERROR(IF(AND($F305="Produit Vente",H305&gt;0),VLOOKUP($C305,'[1]Paramètres Articles'!$B:$G,6,FALSE),0),"Non Trouvé")</f>
        <v>0</v>
      </c>
      <c r="N305" s="131" t="str">
        <f t="shared" si="171"/>
        <v/>
      </c>
      <c r="P305" s="92"/>
      <c r="R305" s="90" t="str">
        <f t="shared" si="153"/>
        <v/>
      </c>
      <c r="S305" s="91"/>
      <c r="T305" s="90" t="str">
        <f>IFERROR(IF($C305="","",VLOOKUP($C305,'[1]Paramètres Articles'!$B:$H,7,FALSE)),"Non Trouvé")</f>
        <v/>
      </c>
      <c r="U305" s="93"/>
      <c r="V305" s="90" t="str">
        <f t="shared" si="157"/>
        <v/>
      </c>
      <c r="W305" s="91"/>
      <c r="X305" s="90" t="str">
        <f t="shared" si="158"/>
        <v/>
      </c>
      <c r="Y305" s="91"/>
      <c r="Z305" s="90">
        <f t="shared" si="154"/>
        <v>0</v>
      </c>
      <c r="AB305" s="94">
        <f>AB303</f>
        <v>0</v>
      </c>
      <c r="AC305" s="94">
        <f>AC303</f>
        <v>0.17</v>
      </c>
      <c r="AD305" s="90" t="str">
        <f t="shared" si="159"/>
        <v/>
      </c>
      <c r="AG305" s="94">
        <f>AG303</f>
        <v>0</v>
      </c>
      <c r="AH305" s="94">
        <f>AH303</f>
        <v>0.13</v>
      </c>
      <c r="AI305" s="90" t="str">
        <f t="shared" si="160"/>
        <v/>
      </c>
      <c r="AL305" s="94">
        <f>AL303</f>
        <v>0</v>
      </c>
      <c r="AM305" s="94">
        <f>AM303</f>
        <v>0.08</v>
      </c>
      <c r="AN305" s="90" t="str">
        <f t="shared" si="161"/>
        <v/>
      </c>
      <c r="AQ305" s="94">
        <f>AQ303</f>
        <v>0</v>
      </c>
      <c r="AR305" s="94">
        <f>AR303</f>
        <v>0.05</v>
      </c>
      <c r="AS305" s="90" t="str">
        <f t="shared" si="162"/>
        <v/>
      </c>
      <c r="AV305" s="94">
        <f>AV303</f>
        <v>0</v>
      </c>
      <c r="AW305" s="94">
        <f>AW303</f>
        <v>0.32500000000000001</v>
      </c>
      <c r="AX305" s="90" t="str">
        <f t="shared" si="163"/>
        <v/>
      </c>
      <c r="BA305" s="94">
        <f>BA303</f>
        <v>0</v>
      </c>
      <c r="BB305" s="94">
        <f>BB303</f>
        <v>0.29499999999999998</v>
      </c>
      <c r="BC305" s="90" t="str">
        <f t="shared" si="164"/>
        <v/>
      </c>
      <c r="BF305" s="94">
        <f>BF303</f>
        <v>0</v>
      </c>
      <c r="BG305" s="94">
        <f>BG303</f>
        <v>0.27500000000000002</v>
      </c>
      <c r="BH305" s="90" t="str">
        <f t="shared" si="165"/>
        <v/>
      </c>
      <c r="BK305" s="94">
        <f>BK303</f>
        <v>0</v>
      </c>
      <c r="BL305" s="94">
        <f>BL303</f>
        <v>0.245</v>
      </c>
      <c r="BM305" s="90" t="str">
        <f t="shared" si="166"/>
        <v/>
      </c>
      <c r="BP305" s="94">
        <f>BP303</f>
        <v>0</v>
      </c>
      <c r="BQ305" s="94">
        <f>BQ303</f>
        <v>0.22500000000000001</v>
      </c>
      <c r="BR305" s="90" t="str">
        <f t="shared" si="167"/>
        <v/>
      </c>
      <c r="BU305" s="94">
        <f>BU303</f>
        <v>0</v>
      </c>
      <c r="BV305" s="94">
        <f>BV303</f>
        <v>0.17499999999999999</v>
      </c>
      <c r="BW305" s="90" t="str">
        <f t="shared" si="168"/>
        <v/>
      </c>
      <c r="BZ305" s="94">
        <f>BZ303</f>
        <v>0</v>
      </c>
      <c r="CA305" s="94">
        <f>CA303</f>
        <v>0.15</v>
      </c>
      <c r="CB305" s="90" t="str">
        <f t="shared" si="169"/>
        <v/>
      </c>
      <c r="CE305" s="95"/>
      <c r="CF305" s="96"/>
      <c r="CG305" s="97"/>
      <c r="CH305" s="97"/>
      <c r="CI305" s="98"/>
      <c r="CK305" s="99">
        <f>IFERROR(IF(F305='[1]Paramètres Généraux'!$K$12,ROUNDUP((REGENERANTS!H305*REGENERANTS!$CF$275)*'[1]Paramètres Généraux'!$M$12,-1),REGENERANTS!H305*REGENERANTS!$CF$275),"nd")</f>
        <v>0</v>
      </c>
      <c r="CN305" s="146"/>
      <c r="CO305" s="147"/>
      <c r="CP305" s="147"/>
      <c r="CQ305" s="147"/>
      <c r="CR305" s="147"/>
      <c r="CS305" s="173"/>
      <c r="CT305" s="174"/>
      <c r="CU305" s="147"/>
      <c r="CV305" s="173"/>
      <c r="CW305" s="150"/>
      <c r="CX305" s="149"/>
      <c r="CY305" s="150"/>
      <c r="CZ305" s="136"/>
      <c r="DA305" s="149"/>
      <c r="DB305" s="150"/>
      <c r="DC305" s="136"/>
      <c r="DD305" s="149"/>
      <c r="DE305" s="150"/>
      <c r="DF305" s="136"/>
      <c r="DG305" s="136"/>
      <c r="DH305" s="136"/>
      <c r="DI305" s="136"/>
      <c r="DJ305" s="136"/>
      <c r="DK305" s="136"/>
      <c r="DL305" s="136"/>
      <c r="DM305" s="136"/>
      <c r="DN305" s="136"/>
      <c r="DO305" s="149"/>
      <c r="DP305" s="150"/>
      <c r="DQ305" s="20">
        <f t="shared" si="155"/>
        <v>0</v>
      </c>
      <c r="DR305" s="20">
        <f t="shared" si="156"/>
        <v>0</v>
      </c>
      <c r="DS305" s="20">
        <f>IFERROR((IF(AND($F305="Produit Vente",CO305&gt;0),VLOOKUP($C305,'[1]Paramètres Articles'!$B:$H,7,FALSE)*$CO305)*(1-20%)),0)</f>
        <v>0</v>
      </c>
      <c r="DT305" s="20">
        <f>IFERROR((IF(AND($F305="Produit Vente",DR305&gt;0),VLOOKUP($C305,'[1]Paramètres Articles'!$B:$H,6,FALSE)*$DR305)*(1-15%)),0)</f>
        <v>0</v>
      </c>
    </row>
    <row r="306" spans="2:124" ht="12.95" hidden="1" customHeight="1" outlineLevel="1">
      <c r="B306" s="1">
        <f>IF(C306="",0,COUNTIFS($B$22:B305,"&gt;"&amp;0)+1)</f>
        <v>0</v>
      </c>
      <c r="C306" s="85"/>
      <c r="D306" s="86" t="str">
        <f>IFERROR(IF($C306="","",VLOOKUP($C306,'[1]Paramètres Articles'!$B:$G,2,FALSE)),"Non Trouvé")</f>
        <v/>
      </c>
      <c r="E306" s="87" t="str">
        <f>IFERROR(IF($C306="","",_xlfn.XLOOKUP(REGENERANTS!$C306,'[1]New Base PA'!$F:$F,'[1]New Base PA'!$D:$D,"Not Found",0)),"Non Trouvé")</f>
        <v/>
      </c>
      <c r="F306" s="88"/>
      <c r="H306" s="101"/>
      <c r="J306" s="90" t="str">
        <f>IFERROR(IF($C306="","",VLOOKUP($C306,'[1]New Base PA'!$F:$J,5,FALSE)),"Non Trouvé")</f>
        <v/>
      </c>
      <c r="K306" s="131" t="str">
        <f t="shared" si="170"/>
        <v/>
      </c>
      <c r="L306" s="132"/>
      <c r="M306" s="131">
        <f>IFERROR(IF(AND($F306="Produit Vente",H306&gt;0),VLOOKUP($C306,'[1]Paramètres Articles'!$B:$G,6,FALSE),0),"Non Trouvé")</f>
        <v>0</v>
      </c>
      <c r="N306" s="131" t="str">
        <f t="shared" si="171"/>
        <v/>
      </c>
      <c r="P306" s="92"/>
      <c r="R306" s="90" t="str">
        <f t="shared" si="153"/>
        <v/>
      </c>
      <c r="S306" s="91"/>
      <c r="T306" s="90" t="str">
        <f>IFERROR(IF($C306="","",VLOOKUP($C306,'[1]Paramètres Articles'!$B:$H,7,FALSE)),"Non Trouvé")</f>
        <v/>
      </c>
      <c r="U306" s="93"/>
      <c r="V306" s="90" t="str">
        <f t="shared" si="157"/>
        <v/>
      </c>
      <c r="W306" s="91"/>
      <c r="X306" s="90" t="str">
        <f t="shared" si="158"/>
        <v/>
      </c>
      <c r="Y306" s="91"/>
      <c r="Z306" s="90">
        <f t="shared" si="154"/>
        <v>0</v>
      </c>
      <c r="AB306" s="94">
        <f>AB305</f>
        <v>0</v>
      </c>
      <c r="AC306" s="94">
        <f>AC305</f>
        <v>0.17</v>
      </c>
      <c r="AD306" s="90" t="str">
        <f t="shared" si="159"/>
        <v/>
      </c>
      <c r="AG306" s="94">
        <f>AG305</f>
        <v>0</v>
      </c>
      <c r="AH306" s="94">
        <f>AH305</f>
        <v>0.13</v>
      </c>
      <c r="AI306" s="90" t="str">
        <f t="shared" si="160"/>
        <v/>
      </c>
      <c r="AL306" s="94">
        <f>AL305</f>
        <v>0</v>
      </c>
      <c r="AM306" s="94">
        <f>AM305</f>
        <v>0.08</v>
      </c>
      <c r="AN306" s="90" t="str">
        <f t="shared" si="161"/>
        <v/>
      </c>
      <c r="AQ306" s="94">
        <f>AQ305</f>
        <v>0</v>
      </c>
      <c r="AR306" s="94">
        <f>AR305</f>
        <v>0.05</v>
      </c>
      <c r="AS306" s="90" t="str">
        <f t="shared" si="162"/>
        <v/>
      </c>
      <c r="AV306" s="94">
        <f>AV305</f>
        <v>0</v>
      </c>
      <c r="AW306" s="94">
        <f>AW305</f>
        <v>0.32500000000000001</v>
      </c>
      <c r="AX306" s="90" t="str">
        <f t="shared" si="163"/>
        <v/>
      </c>
      <c r="BA306" s="94">
        <f>BA305</f>
        <v>0</v>
      </c>
      <c r="BB306" s="94">
        <f>BB305</f>
        <v>0.29499999999999998</v>
      </c>
      <c r="BC306" s="90" t="str">
        <f t="shared" si="164"/>
        <v/>
      </c>
      <c r="BF306" s="94">
        <f>BF305</f>
        <v>0</v>
      </c>
      <c r="BG306" s="94">
        <f>BG305</f>
        <v>0.27500000000000002</v>
      </c>
      <c r="BH306" s="90" t="str">
        <f t="shared" si="165"/>
        <v/>
      </c>
      <c r="BK306" s="94">
        <f>BK305</f>
        <v>0</v>
      </c>
      <c r="BL306" s="94">
        <f>BL305</f>
        <v>0.245</v>
      </c>
      <c r="BM306" s="90" t="str">
        <f t="shared" si="166"/>
        <v/>
      </c>
      <c r="BP306" s="94">
        <f>BP305</f>
        <v>0</v>
      </c>
      <c r="BQ306" s="94">
        <f>BQ305</f>
        <v>0.22500000000000001</v>
      </c>
      <c r="BR306" s="90" t="str">
        <f t="shared" si="167"/>
        <v/>
      </c>
      <c r="BU306" s="94">
        <f>BU305</f>
        <v>0</v>
      </c>
      <c r="BV306" s="94">
        <f>BV305</f>
        <v>0.17499999999999999</v>
      </c>
      <c r="BW306" s="90" t="str">
        <f t="shared" si="168"/>
        <v/>
      </c>
      <c r="BZ306" s="94">
        <f>BZ305</f>
        <v>0</v>
      </c>
      <c r="CA306" s="94">
        <f>CA305</f>
        <v>0.15</v>
      </c>
      <c r="CB306" s="90" t="str">
        <f t="shared" si="169"/>
        <v/>
      </c>
      <c r="CE306" s="95"/>
      <c r="CF306" s="96"/>
      <c r="CG306" s="97"/>
      <c r="CH306" s="97"/>
      <c r="CI306" s="98"/>
      <c r="CK306" s="99">
        <f>IFERROR(IF(F306='[1]Paramètres Généraux'!$K$12,ROUNDUP((REGENERANTS!H306*REGENERANTS!$CF$275)*'[1]Paramètres Généraux'!$M$12,-1),REGENERANTS!H306*REGENERANTS!$CF$275),"nd")</f>
        <v>0</v>
      </c>
      <c r="CN306" s="146"/>
      <c r="CO306" s="147"/>
      <c r="CP306" s="147"/>
      <c r="CQ306" s="147"/>
      <c r="CR306" s="147"/>
      <c r="CS306" s="173"/>
      <c r="CT306" s="174"/>
      <c r="CU306" s="147"/>
      <c r="CV306" s="173"/>
      <c r="CW306" s="150"/>
      <c r="CX306" s="149"/>
      <c r="CY306" s="150"/>
      <c r="CZ306" s="136"/>
      <c r="DA306" s="149"/>
      <c r="DB306" s="150"/>
      <c r="DC306" s="136"/>
      <c r="DD306" s="149"/>
      <c r="DE306" s="150"/>
      <c r="DF306" s="136"/>
      <c r="DG306" s="136"/>
      <c r="DH306" s="136"/>
      <c r="DI306" s="136"/>
      <c r="DJ306" s="136"/>
      <c r="DK306" s="136"/>
      <c r="DL306" s="136"/>
      <c r="DM306" s="136"/>
      <c r="DN306" s="136"/>
      <c r="DO306" s="149"/>
      <c r="DP306" s="150"/>
      <c r="DQ306" s="20">
        <f t="shared" si="155"/>
        <v>0</v>
      </c>
      <c r="DR306" s="20">
        <f t="shared" si="156"/>
        <v>0</v>
      </c>
      <c r="DS306" s="20">
        <f>IFERROR((IF(AND($F306="Produit Vente",CO306&gt;0),VLOOKUP($C306,'[1]Paramètres Articles'!$B:$H,7,FALSE)*$CO306)*(1-20%)),0)</f>
        <v>0</v>
      </c>
      <c r="DT306" s="20">
        <f>IFERROR((IF(AND($F306="Produit Vente",DR306&gt;0),VLOOKUP($C306,'[1]Paramètres Articles'!$B:$H,6,FALSE)*$DR306)*(1-15%)),0)</f>
        <v>0</v>
      </c>
    </row>
    <row r="307" spans="2:124" ht="12.95" hidden="1" customHeight="1" outlineLevel="1">
      <c r="B307" s="1">
        <f>IF(C307="",0,COUNTIFS($B$22:B306,"&gt;"&amp;0)+1)</f>
        <v>0</v>
      </c>
      <c r="C307" s="85"/>
      <c r="D307" s="86" t="str">
        <f>IFERROR(IF($C307="","",VLOOKUP($C307,'[1]Paramètres Articles'!$B:$G,2,FALSE)),"Non Trouvé")</f>
        <v/>
      </c>
      <c r="E307" s="87" t="str">
        <f>IFERROR(IF($C307="","",_xlfn.XLOOKUP(REGENERANTS!$C307,'[1]New Base PA'!$F:$F,'[1]New Base PA'!$D:$D,"Not Found",0)),"Non Trouvé")</f>
        <v/>
      </c>
      <c r="F307" s="88"/>
      <c r="H307" s="101"/>
      <c r="J307" s="90" t="str">
        <f>IFERROR(IF($C307="","",VLOOKUP($C307,'[1]New Base PA'!$F:$J,5,FALSE)),"Non Trouvé")</f>
        <v/>
      </c>
      <c r="K307" s="131" t="str">
        <f t="shared" si="170"/>
        <v/>
      </c>
      <c r="L307" s="132"/>
      <c r="M307" s="131">
        <f>IFERROR(IF(AND($F307="Produit Vente",H307&gt;0),VLOOKUP($C307,'[1]Paramètres Articles'!$B:$G,6,FALSE),0),"Non Trouvé")</f>
        <v>0</v>
      </c>
      <c r="N307" s="131" t="str">
        <f t="shared" si="171"/>
        <v/>
      </c>
      <c r="P307" s="92"/>
      <c r="R307" s="90" t="str">
        <f t="shared" si="153"/>
        <v/>
      </c>
      <c r="S307" s="91"/>
      <c r="T307" s="90" t="str">
        <f>IFERROR(IF($C307="","",VLOOKUP($C307,'[1]Paramètres Articles'!$B:$H,7,FALSE)),"Non Trouvé")</f>
        <v/>
      </c>
      <c r="U307" s="93"/>
      <c r="V307" s="90" t="str">
        <f t="shared" si="157"/>
        <v/>
      </c>
      <c r="W307" s="91"/>
      <c r="X307" s="90" t="str">
        <f t="shared" si="158"/>
        <v/>
      </c>
      <c r="Y307" s="91"/>
      <c r="Z307" s="90">
        <f t="shared" si="154"/>
        <v>0</v>
      </c>
      <c r="AB307" s="94">
        <f>AB305</f>
        <v>0</v>
      </c>
      <c r="AC307" s="94">
        <f>AC305</f>
        <v>0.17</v>
      </c>
      <c r="AD307" s="90" t="str">
        <f t="shared" si="159"/>
        <v/>
      </c>
      <c r="AG307" s="94">
        <f>AG305</f>
        <v>0</v>
      </c>
      <c r="AH307" s="94">
        <f>AH305</f>
        <v>0.13</v>
      </c>
      <c r="AI307" s="90" t="str">
        <f t="shared" si="160"/>
        <v/>
      </c>
      <c r="AL307" s="94">
        <f>AL305</f>
        <v>0</v>
      </c>
      <c r="AM307" s="94">
        <f>AM305</f>
        <v>0.08</v>
      </c>
      <c r="AN307" s="90" t="str">
        <f t="shared" si="161"/>
        <v/>
      </c>
      <c r="AQ307" s="94">
        <f>AQ305</f>
        <v>0</v>
      </c>
      <c r="AR307" s="94">
        <f>AR305</f>
        <v>0.05</v>
      </c>
      <c r="AS307" s="90" t="str">
        <f t="shared" si="162"/>
        <v/>
      </c>
      <c r="AV307" s="94">
        <f>AV305</f>
        <v>0</v>
      </c>
      <c r="AW307" s="94">
        <f>AW305</f>
        <v>0.32500000000000001</v>
      </c>
      <c r="AX307" s="90" t="str">
        <f t="shared" si="163"/>
        <v/>
      </c>
      <c r="BA307" s="94">
        <f>BA305</f>
        <v>0</v>
      </c>
      <c r="BB307" s="94">
        <f>BB305</f>
        <v>0.29499999999999998</v>
      </c>
      <c r="BC307" s="90" t="str">
        <f t="shared" si="164"/>
        <v/>
      </c>
      <c r="BF307" s="94">
        <f>BF305</f>
        <v>0</v>
      </c>
      <c r="BG307" s="94">
        <f>BG305</f>
        <v>0.27500000000000002</v>
      </c>
      <c r="BH307" s="90" t="str">
        <f t="shared" si="165"/>
        <v/>
      </c>
      <c r="BK307" s="94">
        <f>BK305</f>
        <v>0</v>
      </c>
      <c r="BL307" s="94">
        <f>BL305</f>
        <v>0.245</v>
      </c>
      <c r="BM307" s="90" t="str">
        <f t="shared" si="166"/>
        <v/>
      </c>
      <c r="BP307" s="94">
        <f>BP305</f>
        <v>0</v>
      </c>
      <c r="BQ307" s="94">
        <f>BQ305</f>
        <v>0.22500000000000001</v>
      </c>
      <c r="BR307" s="90" t="str">
        <f t="shared" si="167"/>
        <v/>
      </c>
      <c r="BU307" s="94">
        <f>BU305</f>
        <v>0</v>
      </c>
      <c r="BV307" s="94">
        <f>BV305</f>
        <v>0.17499999999999999</v>
      </c>
      <c r="BW307" s="90" t="str">
        <f t="shared" si="168"/>
        <v/>
      </c>
      <c r="BZ307" s="94">
        <f>BZ305</f>
        <v>0</v>
      </c>
      <c r="CA307" s="94">
        <f>CA305</f>
        <v>0.15</v>
      </c>
      <c r="CB307" s="90" t="str">
        <f t="shared" si="169"/>
        <v/>
      </c>
      <c r="CE307" s="95"/>
      <c r="CF307" s="96"/>
      <c r="CG307" s="97"/>
      <c r="CH307" s="97"/>
      <c r="CI307" s="98"/>
      <c r="CK307" s="99">
        <f>IFERROR(IF(F307='[1]Paramètres Généraux'!$K$12,ROUNDUP((REGENERANTS!H307*REGENERANTS!$CF$275)*'[1]Paramètres Généraux'!$M$12,-1),REGENERANTS!H307*REGENERANTS!$CF$275),"nd")</f>
        <v>0</v>
      </c>
      <c r="CN307" s="146"/>
      <c r="CO307" s="147"/>
      <c r="CP307" s="147"/>
      <c r="CQ307" s="147"/>
      <c r="CR307" s="147"/>
      <c r="CS307" s="173"/>
      <c r="CT307" s="174"/>
      <c r="CU307" s="147"/>
      <c r="CV307" s="173"/>
      <c r="CW307" s="150"/>
      <c r="CX307" s="149"/>
      <c r="CY307" s="150"/>
      <c r="CZ307" s="136"/>
      <c r="DA307" s="149"/>
      <c r="DB307" s="150"/>
      <c r="DC307" s="136"/>
      <c r="DD307" s="149"/>
      <c r="DE307" s="150"/>
      <c r="DF307" s="136"/>
      <c r="DG307" s="136"/>
      <c r="DH307" s="136"/>
      <c r="DI307" s="136"/>
      <c r="DJ307" s="136"/>
      <c r="DK307" s="136"/>
      <c r="DL307" s="136"/>
      <c r="DM307" s="136"/>
      <c r="DN307" s="136"/>
      <c r="DO307" s="149"/>
      <c r="DP307" s="150"/>
      <c r="DQ307" s="20">
        <f t="shared" si="155"/>
        <v>0</v>
      </c>
      <c r="DR307" s="20">
        <f t="shared" si="156"/>
        <v>0</v>
      </c>
      <c r="DS307" s="20">
        <f>IFERROR((IF(AND($F307="Produit Vente",CO307&gt;0),VLOOKUP($C307,'[1]Paramètres Articles'!$B:$H,7,FALSE)*$CO307)*(1-20%)),0)</f>
        <v>0</v>
      </c>
      <c r="DT307" s="20">
        <f>IFERROR((IF(AND($F307="Produit Vente",DR307&gt;0),VLOOKUP($C307,'[1]Paramètres Articles'!$B:$H,6,FALSE)*$DR307)*(1-15%)),0)</f>
        <v>0</v>
      </c>
    </row>
    <row r="308" spans="2:124" ht="12.95" hidden="1" customHeight="1" outlineLevel="1">
      <c r="B308" s="1">
        <f>IF(C308="",0,COUNTIFS($B$22:B307,"&gt;"&amp;0)+1)</f>
        <v>0</v>
      </c>
      <c r="C308" s="85"/>
      <c r="D308" s="86" t="str">
        <f>IFERROR(IF($C308="","",VLOOKUP($C308,'[1]Paramètres Articles'!$B:$G,2,FALSE)),"Non Trouvé")</f>
        <v/>
      </c>
      <c r="E308" s="87" t="str">
        <f>IFERROR(IF($C308="","",_xlfn.XLOOKUP(REGENERANTS!$C308,'[1]New Base PA'!$F:$F,'[1]New Base PA'!$D:$D,"Not Found",0)),"Non Trouvé")</f>
        <v/>
      </c>
      <c r="F308" s="88"/>
      <c r="H308" s="101"/>
      <c r="J308" s="90" t="str">
        <f>IFERROR(IF($C308="","",VLOOKUP($C308,'[1]New Base PA'!$F:$J,5,FALSE)),"Non Trouvé")</f>
        <v/>
      </c>
      <c r="K308" s="131" t="str">
        <f t="shared" si="170"/>
        <v/>
      </c>
      <c r="L308" s="132"/>
      <c r="M308" s="131">
        <f>IFERROR(IF(AND($F308="Produit Vente",H308&gt;0),VLOOKUP($C308,'[1]Paramètres Articles'!$B:$G,6,FALSE),0),"Non Trouvé")</f>
        <v>0</v>
      </c>
      <c r="N308" s="131" t="str">
        <f t="shared" si="171"/>
        <v/>
      </c>
      <c r="P308" s="92"/>
      <c r="R308" s="90" t="str">
        <f t="shared" si="153"/>
        <v/>
      </c>
      <c r="S308" s="91"/>
      <c r="T308" s="90" t="str">
        <f>IFERROR(IF($C308="","",VLOOKUP($C308,'[1]Paramètres Articles'!$B:$H,7,FALSE)),"Non Trouvé")</f>
        <v/>
      </c>
      <c r="U308" s="93"/>
      <c r="V308" s="90" t="str">
        <f t="shared" si="157"/>
        <v/>
      </c>
      <c r="W308" s="91"/>
      <c r="X308" s="90" t="str">
        <f t="shared" si="158"/>
        <v/>
      </c>
      <c r="Y308" s="91"/>
      <c r="Z308" s="90">
        <f t="shared" si="154"/>
        <v>0</v>
      </c>
      <c r="AB308" s="94">
        <f>AB307</f>
        <v>0</v>
      </c>
      <c r="AC308" s="94">
        <f>AC307</f>
        <v>0.17</v>
      </c>
      <c r="AD308" s="90" t="str">
        <f t="shared" si="159"/>
        <v/>
      </c>
      <c r="AG308" s="94">
        <f>AG307</f>
        <v>0</v>
      </c>
      <c r="AH308" s="94">
        <f>AH307</f>
        <v>0.13</v>
      </c>
      <c r="AI308" s="90" t="str">
        <f t="shared" si="160"/>
        <v/>
      </c>
      <c r="AL308" s="94">
        <f>AL307</f>
        <v>0</v>
      </c>
      <c r="AM308" s="94">
        <f>AM307</f>
        <v>0.08</v>
      </c>
      <c r="AN308" s="90" t="str">
        <f t="shared" si="161"/>
        <v/>
      </c>
      <c r="AQ308" s="94">
        <f>AQ307</f>
        <v>0</v>
      </c>
      <c r="AR308" s="94">
        <f>AR307</f>
        <v>0.05</v>
      </c>
      <c r="AS308" s="90" t="str">
        <f t="shared" si="162"/>
        <v/>
      </c>
      <c r="AV308" s="94">
        <f>AV307</f>
        <v>0</v>
      </c>
      <c r="AW308" s="94">
        <f>AW307</f>
        <v>0.32500000000000001</v>
      </c>
      <c r="AX308" s="90" t="str">
        <f t="shared" si="163"/>
        <v/>
      </c>
      <c r="BA308" s="94">
        <f>BA307</f>
        <v>0</v>
      </c>
      <c r="BB308" s="94">
        <f>BB307</f>
        <v>0.29499999999999998</v>
      </c>
      <c r="BC308" s="90" t="str">
        <f t="shared" si="164"/>
        <v/>
      </c>
      <c r="BF308" s="94">
        <f>BF307</f>
        <v>0</v>
      </c>
      <c r="BG308" s="94">
        <f>BG307</f>
        <v>0.27500000000000002</v>
      </c>
      <c r="BH308" s="90" t="str">
        <f t="shared" si="165"/>
        <v/>
      </c>
      <c r="BK308" s="94">
        <f>BK307</f>
        <v>0</v>
      </c>
      <c r="BL308" s="94">
        <f>BL307</f>
        <v>0.245</v>
      </c>
      <c r="BM308" s="90" t="str">
        <f t="shared" si="166"/>
        <v/>
      </c>
      <c r="BP308" s="94">
        <f>BP307</f>
        <v>0</v>
      </c>
      <c r="BQ308" s="94">
        <f>BQ307</f>
        <v>0.22500000000000001</v>
      </c>
      <c r="BR308" s="90" t="str">
        <f t="shared" si="167"/>
        <v/>
      </c>
      <c r="BU308" s="94">
        <f>BU307</f>
        <v>0</v>
      </c>
      <c r="BV308" s="94">
        <f>BV307</f>
        <v>0.17499999999999999</v>
      </c>
      <c r="BW308" s="90" t="str">
        <f t="shared" si="168"/>
        <v/>
      </c>
      <c r="BZ308" s="94">
        <f>BZ307</f>
        <v>0</v>
      </c>
      <c r="CA308" s="94">
        <f>CA307</f>
        <v>0.15</v>
      </c>
      <c r="CB308" s="90" t="str">
        <f t="shared" si="169"/>
        <v/>
      </c>
      <c r="CE308" s="95"/>
      <c r="CF308" s="96"/>
      <c r="CG308" s="97"/>
      <c r="CH308" s="97"/>
      <c r="CI308" s="98"/>
      <c r="CK308" s="99">
        <f>IFERROR(IF(F308='[1]Paramètres Généraux'!$K$12,ROUNDUP((REGENERANTS!H308*REGENERANTS!$CF$275)*'[1]Paramètres Généraux'!$M$12,-1),REGENERANTS!H308*REGENERANTS!$CF$275),"nd")</f>
        <v>0</v>
      </c>
      <c r="CN308" s="146"/>
      <c r="CO308" s="147"/>
      <c r="CP308" s="147"/>
      <c r="CQ308" s="147"/>
      <c r="CR308" s="147"/>
      <c r="CS308" s="173"/>
      <c r="CT308" s="174"/>
      <c r="CU308" s="147"/>
      <c r="CV308" s="173"/>
      <c r="CW308" s="150"/>
      <c r="CX308" s="149"/>
      <c r="CY308" s="150"/>
      <c r="CZ308" s="136"/>
      <c r="DA308" s="149"/>
      <c r="DB308" s="150"/>
      <c r="DC308" s="136"/>
      <c r="DD308" s="149"/>
      <c r="DE308" s="150"/>
      <c r="DF308" s="136"/>
      <c r="DG308" s="136"/>
      <c r="DH308" s="136"/>
      <c r="DI308" s="136"/>
      <c r="DJ308" s="136"/>
      <c r="DK308" s="136"/>
      <c r="DL308" s="136"/>
      <c r="DM308" s="136"/>
      <c r="DN308" s="136"/>
      <c r="DO308" s="149"/>
      <c r="DP308" s="150"/>
      <c r="DQ308" s="20">
        <f t="shared" si="155"/>
        <v>0</v>
      </c>
      <c r="DR308" s="20">
        <f t="shared" si="156"/>
        <v>0</v>
      </c>
      <c r="DS308" s="20">
        <f>IFERROR((IF(AND($F308="Produit Vente",CO308&gt;0),VLOOKUP($C308,'[1]Paramètres Articles'!$B:$H,7,FALSE)*$CO308)*(1-20%)),0)</f>
        <v>0</v>
      </c>
      <c r="DT308" s="20">
        <f>IFERROR((IF(AND($F308="Produit Vente",DR308&gt;0),VLOOKUP($C308,'[1]Paramètres Articles'!$B:$H,6,FALSE)*$DR308)*(1-15%)),0)</f>
        <v>0</v>
      </c>
    </row>
    <row r="309" spans="2:124" ht="12.95" hidden="1" customHeight="1" outlineLevel="1">
      <c r="B309" s="1">
        <f>IF(C309="",0,COUNTIFS($B$22:B308,"&gt;"&amp;0)+1)</f>
        <v>0</v>
      </c>
      <c r="C309" s="85"/>
      <c r="D309" s="86" t="str">
        <f>IFERROR(IF($C309="","",VLOOKUP($C309,'[1]Paramètres Articles'!$B:$G,2,FALSE)),"Non Trouvé")</f>
        <v/>
      </c>
      <c r="E309" s="87" t="str">
        <f>IFERROR(IF($C309="","",_xlfn.XLOOKUP(REGENERANTS!$C309,'[1]New Base PA'!$F:$F,'[1]New Base PA'!$D:$D,"Not Found",0)),"Non Trouvé")</f>
        <v/>
      </c>
      <c r="F309" s="88"/>
      <c r="H309" s="101"/>
      <c r="J309" s="90" t="str">
        <f>IFERROR(IF($C309="","",VLOOKUP($C309,'[1]New Base PA'!$F:$J,5,FALSE)),"Non Trouvé")</f>
        <v/>
      </c>
      <c r="K309" s="131" t="str">
        <f t="shared" si="170"/>
        <v/>
      </c>
      <c r="L309" s="132"/>
      <c r="M309" s="131">
        <f>IFERROR(IF(AND($F309="Produit Vente",H309&gt;0),VLOOKUP($C309,'[1]Paramètres Articles'!$B:$G,6,FALSE),0),"Non Trouvé")</f>
        <v>0</v>
      </c>
      <c r="N309" s="131" t="str">
        <f t="shared" si="171"/>
        <v/>
      </c>
      <c r="P309" s="92"/>
      <c r="R309" s="90" t="str">
        <f t="shared" si="153"/>
        <v/>
      </c>
      <c r="S309" s="91"/>
      <c r="T309" s="90" t="str">
        <f>IFERROR(IF($C309="","",VLOOKUP($C309,'[1]Paramètres Articles'!$B:$H,7,FALSE)),"Non Trouvé")</f>
        <v/>
      </c>
      <c r="U309" s="93"/>
      <c r="V309" s="90" t="str">
        <f t="shared" si="157"/>
        <v/>
      </c>
      <c r="W309" s="91"/>
      <c r="X309" s="90" t="str">
        <f t="shared" si="158"/>
        <v/>
      </c>
      <c r="Y309" s="91"/>
      <c r="Z309" s="90">
        <f t="shared" si="154"/>
        <v>0</v>
      </c>
      <c r="AB309" s="94">
        <f>AB307</f>
        <v>0</v>
      </c>
      <c r="AC309" s="94">
        <f>AC307</f>
        <v>0.17</v>
      </c>
      <c r="AD309" s="90" t="str">
        <f t="shared" si="159"/>
        <v/>
      </c>
      <c r="AG309" s="94">
        <f>AG307</f>
        <v>0</v>
      </c>
      <c r="AH309" s="94">
        <f>AH307</f>
        <v>0.13</v>
      </c>
      <c r="AI309" s="90" t="str">
        <f t="shared" si="160"/>
        <v/>
      </c>
      <c r="AL309" s="94">
        <f>AL307</f>
        <v>0</v>
      </c>
      <c r="AM309" s="94">
        <f>AM307</f>
        <v>0.08</v>
      </c>
      <c r="AN309" s="90" t="str">
        <f t="shared" si="161"/>
        <v/>
      </c>
      <c r="AQ309" s="94">
        <f>AQ307</f>
        <v>0</v>
      </c>
      <c r="AR309" s="94">
        <f>AR307</f>
        <v>0.05</v>
      </c>
      <c r="AS309" s="90" t="str">
        <f t="shared" si="162"/>
        <v/>
      </c>
      <c r="AV309" s="94">
        <f>AV307</f>
        <v>0</v>
      </c>
      <c r="AW309" s="94">
        <f>AW307</f>
        <v>0.32500000000000001</v>
      </c>
      <c r="AX309" s="90" t="str">
        <f t="shared" si="163"/>
        <v/>
      </c>
      <c r="BA309" s="94">
        <f>BA307</f>
        <v>0</v>
      </c>
      <c r="BB309" s="94">
        <f>BB307</f>
        <v>0.29499999999999998</v>
      </c>
      <c r="BC309" s="90" t="str">
        <f t="shared" si="164"/>
        <v/>
      </c>
      <c r="BF309" s="94">
        <f>BF307</f>
        <v>0</v>
      </c>
      <c r="BG309" s="94">
        <f>BG307</f>
        <v>0.27500000000000002</v>
      </c>
      <c r="BH309" s="90" t="str">
        <f t="shared" si="165"/>
        <v/>
      </c>
      <c r="BK309" s="94">
        <f>BK307</f>
        <v>0</v>
      </c>
      <c r="BL309" s="94">
        <f>BL307</f>
        <v>0.245</v>
      </c>
      <c r="BM309" s="90" t="str">
        <f t="shared" si="166"/>
        <v/>
      </c>
      <c r="BP309" s="94">
        <f>BP307</f>
        <v>0</v>
      </c>
      <c r="BQ309" s="94">
        <f>BQ307</f>
        <v>0.22500000000000001</v>
      </c>
      <c r="BR309" s="90" t="str">
        <f t="shared" si="167"/>
        <v/>
      </c>
      <c r="BU309" s="94">
        <f>BU307</f>
        <v>0</v>
      </c>
      <c r="BV309" s="94">
        <f>BV307</f>
        <v>0.17499999999999999</v>
      </c>
      <c r="BW309" s="90" t="str">
        <f t="shared" si="168"/>
        <v/>
      </c>
      <c r="BZ309" s="94">
        <f>BZ307</f>
        <v>0</v>
      </c>
      <c r="CA309" s="94">
        <f>CA307</f>
        <v>0.15</v>
      </c>
      <c r="CB309" s="90" t="str">
        <f t="shared" si="169"/>
        <v/>
      </c>
      <c r="CE309" s="95"/>
      <c r="CF309" s="96"/>
      <c r="CG309" s="97"/>
      <c r="CH309" s="97"/>
      <c r="CI309" s="98"/>
      <c r="CK309" s="99">
        <f>IFERROR(IF(F309='[1]Paramètres Généraux'!$K$12,ROUNDUP((REGENERANTS!H309*REGENERANTS!$CF$275)*'[1]Paramètres Généraux'!$M$12,-1),REGENERANTS!H309*REGENERANTS!$CF$275),"nd")</f>
        <v>0</v>
      </c>
      <c r="CN309" s="146"/>
      <c r="CO309" s="147"/>
      <c r="CP309" s="147"/>
      <c r="CQ309" s="147"/>
      <c r="CR309" s="147"/>
      <c r="CS309" s="173"/>
      <c r="CT309" s="174"/>
      <c r="CU309" s="147"/>
      <c r="CV309" s="173"/>
      <c r="CW309" s="150"/>
      <c r="CX309" s="149"/>
      <c r="CY309" s="150"/>
      <c r="CZ309" s="136"/>
      <c r="DA309" s="149"/>
      <c r="DB309" s="150"/>
      <c r="DC309" s="136"/>
      <c r="DD309" s="149"/>
      <c r="DE309" s="150"/>
      <c r="DF309" s="136"/>
      <c r="DG309" s="136"/>
      <c r="DH309" s="136"/>
      <c r="DI309" s="136"/>
      <c r="DJ309" s="136"/>
      <c r="DK309" s="136"/>
      <c r="DL309" s="136"/>
      <c r="DM309" s="136"/>
      <c r="DN309" s="136"/>
      <c r="DO309" s="149"/>
      <c r="DP309" s="150"/>
      <c r="DQ309" s="20">
        <f t="shared" si="155"/>
        <v>0</v>
      </c>
      <c r="DR309" s="20">
        <f t="shared" si="156"/>
        <v>0</v>
      </c>
      <c r="DS309" s="20">
        <f>IFERROR((IF(AND($F309="Produit Vente",CO309&gt;0),VLOOKUP($C309,'[1]Paramètres Articles'!$B:$H,7,FALSE)*$CO309)*(1-20%)),0)</f>
        <v>0</v>
      </c>
      <c r="DT309" s="20">
        <f>IFERROR((IF(AND($F309="Produit Vente",DR309&gt;0),VLOOKUP($C309,'[1]Paramètres Articles'!$B:$H,6,FALSE)*$DR309)*(1-15%)),0)</f>
        <v>0</v>
      </c>
    </row>
    <row r="310" spans="2:124" ht="12.95" hidden="1" customHeight="1" outlineLevel="1">
      <c r="B310" s="1">
        <f>IF(C310="",0,COUNTIFS($B$22:B309,"&gt;"&amp;0)+1)</f>
        <v>0</v>
      </c>
      <c r="C310" s="85"/>
      <c r="D310" s="86" t="str">
        <f>IFERROR(IF($C310="","",VLOOKUP($C310,'[1]Paramètres Articles'!$B:$G,2,FALSE)),"Non Trouvé")</f>
        <v/>
      </c>
      <c r="E310" s="87" t="str">
        <f>IFERROR(IF($C310="","",_xlfn.XLOOKUP(REGENERANTS!$C310,'[1]New Base PA'!$F:$F,'[1]New Base PA'!$D:$D,"Not Found",0)),"Non Trouvé")</f>
        <v/>
      </c>
      <c r="F310" s="88"/>
      <c r="H310" s="101"/>
      <c r="J310" s="90" t="str">
        <f>IFERROR(IF($C310="","",VLOOKUP($C310,'[1]New Base PA'!$F:$J,5,FALSE)),"Non Trouvé")</f>
        <v/>
      </c>
      <c r="K310" s="131" t="str">
        <f t="shared" si="170"/>
        <v/>
      </c>
      <c r="L310" s="132"/>
      <c r="M310" s="131">
        <f>IFERROR(IF(AND($F310="Produit Vente",H310&gt;0),VLOOKUP($C310,'[1]Paramètres Articles'!$B:$G,6,FALSE),0),"Non Trouvé")</f>
        <v>0</v>
      </c>
      <c r="N310" s="131" t="str">
        <f t="shared" si="171"/>
        <v/>
      </c>
      <c r="P310" s="92"/>
      <c r="R310" s="90" t="str">
        <f t="shared" si="153"/>
        <v/>
      </c>
      <c r="S310" s="91"/>
      <c r="T310" s="90" t="str">
        <f>IFERROR(IF($C310="","",VLOOKUP($C310,'[1]Paramètres Articles'!$B:$H,7,FALSE)),"Non Trouvé")</f>
        <v/>
      </c>
      <c r="U310" s="93"/>
      <c r="V310" s="90" t="str">
        <f t="shared" si="157"/>
        <v/>
      </c>
      <c r="W310" s="91"/>
      <c r="X310" s="90" t="str">
        <f t="shared" si="158"/>
        <v/>
      </c>
      <c r="Y310" s="91"/>
      <c r="Z310" s="90">
        <f t="shared" si="154"/>
        <v>0</v>
      </c>
      <c r="AB310" s="94">
        <f>AB309</f>
        <v>0</v>
      </c>
      <c r="AC310" s="94">
        <f>AC309</f>
        <v>0.17</v>
      </c>
      <c r="AD310" s="90" t="str">
        <f t="shared" si="159"/>
        <v/>
      </c>
      <c r="AG310" s="94">
        <f>AG309</f>
        <v>0</v>
      </c>
      <c r="AH310" s="94">
        <f>AH309</f>
        <v>0.13</v>
      </c>
      <c r="AI310" s="90" t="str">
        <f t="shared" si="160"/>
        <v/>
      </c>
      <c r="AL310" s="94">
        <f>AL309</f>
        <v>0</v>
      </c>
      <c r="AM310" s="94">
        <f>AM309</f>
        <v>0.08</v>
      </c>
      <c r="AN310" s="90" t="str">
        <f t="shared" si="161"/>
        <v/>
      </c>
      <c r="AQ310" s="94">
        <f>AQ309</f>
        <v>0</v>
      </c>
      <c r="AR310" s="94">
        <f>AR309</f>
        <v>0.05</v>
      </c>
      <c r="AS310" s="90" t="str">
        <f t="shared" si="162"/>
        <v/>
      </c>
      <c r="AV310" s="94">
        <f>AV309</f>
        <v>0</v>
      </c>
      <c r="AW310" s="94">
        <f>AW309</f>
        <v>0.32500000000000001</v>
      </c>
      <c r="AX310" s="90" t="str">
        <f t="shared" si="163"/>
        <v/>
      </c>
      <c r="BA310" s="94">
        <f>BA309</f>
        <v>0</v>
      </c>
      <c r="BB310" s="94">
        <f>BB309</f>
        <v>0.29499999999999998</v>
      </c>
      <c r="BC310" s="90" t="str">
        <f t="shared" si="164"/>
        <v/>
      </c>
      <c r="BF310" s="94">
        <f>BF309</f>
        <v>0</v>
      </c>
      <c r="BG310" s="94">
        <f>BG309</f>
        <v>0.27500000000000002</v>
      </c>
      <c r="BH310" s="90" t="str">
        <f t="shared" si="165"/>
        <v/>
      </c>
      <c r="BK310" s="94">
        <f>BK309</f>
        <v>0</v>
      </c>
      <c r="BL310" s="94">
        <f>BL309</f>
        <v>0.245</v>
      </c>
      <c r="BM310" s="90" t="str">
        <f t="shared" si="166"/>
        <v/>
      </c>
      <c r="BP310" s="94">
        <f>BP309</f>
        <v>0</v>
      </c>
      <c r="BQ310" s="94">
        <f>BQ309</f>
        <v>0.22500000000000001</v>
      </c>
      <c r="BR310" s="90" t="str">
        <f t="shared" si="167"/>
        <v/>
      </c>
      <c r="BU310" s="94">
        <f>BU309</f>
        <v>0</v>
      </c>
      <c r="BV310" s="94">
        <f>BV309</f>
        <v>0.17499999999999999</v>
      </c>
      <c r="BW310" s="90" t="str">
        <f t="shared" si="168"/>
        <v/>
      </c>
      <c r="BZ310" s="94">
        <f>BZ309</f>
        <v>0</v>
      </c>
      <c r="CA310" s="94">
        <f>CA309</f>
        <v>0.15</v>
      </c>
      <c r="CB310" s="90" t="str">
        <f t="shared" si="169"/>
        <v/>
      </c>
      <c r="CE310" s="95"/>
      <c r="CF310" s="96"/>
      <c r="CG310" s="97"/>
      <c r="CH310" s="97"/>
      <c r="CI310" s="98"/>
      <c r="CK310" s="99">
        <f>IFERROR(IF(F310='[1]Paramètres Généraux'!$K$12,ROUNDUP((REGENERANTS!H310*REGENERANTS!$CF$275)*'[1]Paramètres Généraux'!$M$12,-1),REGENERANTS!H310*REGENERANTS!$CF$275),"nd")</f>
        <v>0</v>
      </c>
      <c r="CN310" s="146"/>
      <c r="CO310" s="147"/>
      <c r="CP310" s="147"/>
      <c r="CQ310" s="147"/>
      <c r="CR310" s="147"/>
      <c r="CS310" s="173"/>
      <c r="CT310" s="174"/>
      <c r="CU310" s="147"/>
      <c r="CV310" s="173"/>
      <c r="CW310" s="150"/>
      <c r="CX310" s="149"/>
      <c r="CY310" s="150"/>
      <c r="CZ310" s="136"/>
      <c r="DA310" s="149"/>
      <c r="DB310" s="150"/>
      <c r="DC310" s="136"/>
      <c r="DD310" s="149"/>
      <c r="DE310" s="150"/>
      <c r="DF310" s="136"/>
      <c r="DG310" s="136"/>
      <c r="DH310" s="136"/>
      <c r="DI310" s="136"/>
      <c r="DJ310" s="136"/>
      <c r="DK310" s="136"/>
      <c r="DL310" s="136"/>
      <c r="DM310" s="136"/>
      <c r="DN310" s="136"/>
      <c r="DO310" s="149"/>
      <c r="DP310" s="150"/>
      <c r="DQ310" s="20">
        <f t="shared" si="155"/>
        <v>0</v>
      </c>
      <c r="DR310" s="20">
        <f t="shared" si="156"/>
        <v>0</v>
      </c>
      <c r="DS310" s="20">
        <f>IFERROR((IF(AND($F310="Produit Vente",CO310&gt;0),VLOOKUP($C310,'[1]Paramètres Articles'!$B:$H,7,FALSE)*$CO310)*(1-20%)),0)</f>
        <v>0</v>
      </c>
      <c r="DT310" s="20">
        <f>IFERROR((IF(AND($F310="Produit Vente",DR310&gt;0),VLOOKUP($C310,'[1]Paramètres Articles'!$B:$H,6,FALSE)*$DR310)*(1-15%)),0)</f>
        <v>0</v>
      </c>
    </row>
    <row r="311" spans="2:124" ht="12.95" hidden="1" customHeight="1" outlineLevel="1">
      <c r="B311" s="1">
        <f>IF(C311="",0,COUNTIFS($B$22:B310,"&gt;"&amp;0)+1)</f>
        <v>0</v>
      </c>
      <c r="C311" s="85"/>
      <c r="D311" s="86" t="str">
        <f>IFERROR(IF($C311="","",VLOOKUP($C311,'[1]Paramètres Articles'!$B:$G,2,FALSE)),"Non Trouvé")</f>
        <v/>
      </c>
      <c r="E311" s="87" t="str">
        <f>IFERROR(IF($C311="","",_xlfn.XLOOKUP(REGENERANTS!$C311,'[1]New Base PA'!$F:$F,'[1]New Base PA'!$D:$D,"Not Found",0)),"Non Trouvé")</f>
        <v/>
      </c>
      <c r="F311" s="88"/>
      <c r="H311" s="101"/>
      <c r="J311" s="90" t="str">
        <f>IFERROR(IF($C311="","",VLOOKUP($C311,'[1]New Base PA'!$F:$J,5,FALSE)),"Non Trouvé")</f>
        <v/>
      </c>
      <c r="K311" s="131" t="str">
        <f t="shared" si="170"/>
        <v/>
      </c>
      <c r="L311" s="132"/>
      <c r="M311" s="131">
        <f>IFERROR(IF(AND($F311="Produit Vente",H311&gt;0),VLOOKUP($C311,'[1]Paramètres Articles'!$B:$G,6,FALSE),0),"Non Trouvé")</f>
        <v>0</v>
      </c>
      <c r="N311" s="131" t="str">
        <f t="shared" si="171"/>
        <v/>
      </c>
      <c r="P311" s="92"/>
      <c r="R311" s="90" t="str">
        <f t="shared" si="153"/>
        <v/>
      </c>
      <c r="S311" s="91"/>
      <c r="T311" s="90" t="str">
        <f>IFERROR(IF($C311="","",VLOOKUP($C311,'[1]Paramètres Articles'!$B:$H,7,FALSE)),"Non Trouvé")</f>
        <v/>
      </c>
      <c r="U311" s="93"/>
      <c r="V311" s="90" t="str">
        <f t="shared" si="157"/>
        <v/>
      </c>
      <c r="W311" s="91"/>
      <c r="X311" s="90" t="str">
        <f t="shared" si="158"/>
        <v/>
      </c>
      <c r="Y311" s="91"/>
      <c r="Z311" s="90">
        <f t="shared" si="154"/>
        <v>0</v>
      </c>
      <c r="AB311" s="94">
        <f>AB309</f>
        <v>0</v>
      </c>
      <c r="AC311" s="94">
        <f>AC309</f>
        <v>0.17</v>
      </c>
      <c r="AD311" s="90" t="str">
        <f t="shared" si="159"/>
        <v/>
      </c>
      <c r="AG311" s="94">
        <f>AG309</f>
        <v>0</v>
      </c>
      <c r="AH311" s="94">
        <f>AH309</f>
        <v>0.13</v>
      </c>
      <c r="AI311" s="90" t="str">
        <f t="shared" si="160"/>
        <v/>
      </c>
      <c r="AL311" s="94">
        <f>AL309</f>
        <v>0</v>
      </c>
      <c r="AM311" s="94">
        <f>AM309</f>
        <v>0.08</v>
      </c>
      <c r="AN311" s="90" t="str">
        <f t="shared" si="161"/>
        <v/>
      </c>
      <c r="AQ311" s="94">
        <f>AQ309</f>
        <v>0</v>
      </c>
      <c r="AR311" s="94">
        <f>AR309</f>
        <v>0.05</v>
      </c>
      <c r="AS311" s="90" t="str">
        <f t="shared" si="162"/>
        <v/>
      </c>
      <c r="AV311" s="94">
        <f>AV309</f>
        <v>0</v>
      </c>
      <c r="AW311" s="94">
        <f>AW309</f>
        <v>0.32500000000000001</v>
      </c>
      <c r="AX311" s="90" t="str">
        <f t="shared" si="163"/>
        <v/>
      </c>
      <c r="BA311" s="94">
        <f>BA309</f>
        <v>0</v>
      </c>
      <c r="BB311" s="94">
        <f>BB309</f>
        <v>0.29499999999999998</v>
      </c>
      <c r="BC311" s="90" t="str">
        <f t="shared" si="164"/>
        <v/>
      </c>
      <c r="BF311" s="94">
        <f>BF309</f>
        <v>0</v>
      </c>
      <c r="BG311" s="94">
        <f>BG309</f>
        <v>0.27500000000000002</v>
      </c>
      <c r="BH311" s="90" t="str">
        <f t="shared" si="165"/>
        <v/>
      </c>
      <c r="BK311" s="94">
        <f>BK309</f>
        <v>0</v>
      </c>
      <c r="BL311" s="94">
        <f>BL309</f>
        <v>0.245</v>
      </c>
      <c r="BM311" s="90" t="str">
        <f t="shared" si="166"/>
        <v/>
      </c>
      <c r="BP311" s="94">
        <f>BP309</f>
        <v>0</v>
      </c>
      <c r="BQ311" s="94">
        <f>BQ309</f>
        <v>0.22500000000000001</v>
      </c>
      <c r="BR311" s="90" t="str">
        <f t="shared" si="167"/>
        <v/>
      </c>
      <c r="BU311" s="94">
        <f>BU309</f>
        <v>0</v>
      </c>
      <c r="BV311" s="94">
        <f>BV309</f>
        <v>0.17499999999999999</v>
      </c>
      <c r="BW311" s="90" t="str">
        <f t="shared" si="168"/>
        <v/>
      </c>
      <c r="BZ311" s="94">
        <f>BZ309</f>
        <v>0</v>
      </c>
      <c r="CA311" s="94">
        <f>CA309</f>
        <v>0.15</v>
      </c>
      <c r="CB311" s="90" t="str">
        <f t="shared" si="169"/>
        <v/>
      </c>
      <c r="CE311" s="95"/>
      <c r="CF311" s="96"/>
      <c r="CG311" s="97"/>
      <c r="CH311" s="97"/>
      <c r="CI311" s="98"/>
      <c r="CK311" s="99">
        <f>IFERROR(IF(F311='[1]Paramètres Généraux'!$K$12,ROUNDUP((REGENERANTS!H311*REGENERANTS!$CF$275)*'[1]Paramètres Généraux'!$M$12,-1),REGENERANTS!H311*REGENERANTS!$CF$275),"nd")</f>
        <v>0</v>
      </c>
      <c r="CN311" s="146"/>
      <c r="CO311" s="147"/>
      <c r="CP311" s="147"/>
      <c r="CQ311" s="147"/>
      <c r="CR311" s="147"/>
      <c r="CS311" s="173"/>
      <c r="CT311" s="174"/>
      <c r="CU311" s="147"/>
      <c r="CV311" s="173"/>
      <c r="CW311" s="150"/>
      <c r="CX311" s="149"/>
      <c r="CY311" s="150"/>
      <c r="CZ311" s="136"/>
      <c r="DA311" s="149"/>
      <c r="DB311" s="150"/>
      <c r="DC311" s="136"/>
      <c r="DD311" s="149"/>
      <c r="DE311" s="150"/>
      <c r="DF311" s="136"/>
      <c r="DG311" s="136"/>
      <c r="DH311" s="136"/>
      <c r="DI311" s="136"/>
      <c r="DJ311" s="136"/>
      <c r="DK311" s="136"/>
      <c r="DL311" s="136"/>
      <c r="DM311" s="136"/>
      <c r="DN311" s="136"/>
      <c r="DO311" s="149"/>
      <c r="DP311" s="150"/>
      <c r="DQ311" s="20">
        <f t="shared" si="155"/>
        <v>0</v>
      </c>
      <c r="DR311" s="20">
        <f t="shared" si="156"/>
        <v>0</v>
      </c>
      <c r="DS311" s="20">
        <f>IFERROR((IF(AND($F311="Produit Vente",CO311&gt;0),VLOOKUP($C311,'[1]Paramètres Articles'!$B:$H,7,FALSE)*$CO311)*(1-20%)),0)</f>
        <v>0</v>
      </c>
      <c r="DT311" s="20">
        <f>IFERROR((IF(AND($F311="Produit Vente",DR311&gt;0),VLOOKUP($C311,'[1]Paramètres Articles'!$B:$H,6,FALSE)*$DR311)*(1-15%)),0)</f>
        <v>0</v>
      </c>
    </row>
    <row r="312" spans="2:124" ht="12.95" hidden="1" customHeight="1" outlineLevel="1">
      <c r="B312" s="1">
        <f>IF(C312="",0,COUNTIFS($B$22:B311,"&gt;"&amp;0)+1)</f>
        <v>0</v>
      </c>
      <c r="C312" s="85"/>
      <c r="D312" s="86" t="str">
        <f>IFERROR(IF($C312="","",VLOOKUP($C312,'[1]Paramètres Articles'!$B:$G,2,FALSE)),"Non Trouvé")</f>
        <v/>
      </c>
      <c r="E312" s="87" t="str">
        <f>IFERROR(IF($C312="","",_xlfn.XLOOKUP(REGENERANTS!$C312,'[1]New Base PA'!$F:$F,'[1]New Base PA'!$D:$D,"Not Found",0)),"Non Trouvé")</f>
        <v/>
      </c>
      <c r="F312" s="88"/>
      <c r="H312" s="101"/>
      <c r="J312" s="90" t="str">
        <f>IFERROR(IF($C312="","",VLOOKUP($C312,'[1]New Base PA'!$F:$J,5,FALSE)),"Non Trouvé")</f>
        <v/>
      </c>
      <c r="K312" s="131" t="str">
        <f t="shared" si="170"/>
        <v/>
      </c>
      <c r="L312" s="132"/>
      <c r="M312" s="131">
        <f>IFERROR(IF(AND($F312="Produit Vente",H312&gt;0),VLOOKUP($C312,'[1]Paramètres Articles'!$B:$G,6,FALSE),0),"Non Trouvé")</f>
        <v>0</v>
      </c>
      <c r="N312" s="131" t="str">
        <f t="shared" si="171"/>
        <v/>
      </c>
      <c r="P312" s="92"/>
      <c r="R312" s="90" t="str">
        <f t="shared" si="153"/>
        <v/>
      </c>
      <c r="S312" s="91"/>
      <c r="T312" s="90" t="str">
        <f>IFERROR(IF($C312="","",VLOOKUP($C312,'[1]Paramètres Articles'!$B:$H,7,FALSE)),"Non Trouvé")</f>
        <v/>
      </c>
      <c r="U312" s="93"/>
      <c r="V312" s="90" t="str">
        <f t="shared" si="157"/>
        <v/>
      </c>
      <c r="W312" s="91"/>
      <c r="X312" s="90" t="str">
        <f t="shared" si="158"/>
        <v/>
      </c>
      <c r="Y312" s="91"/>
      <c r="Z312" s="90">
        <f t="shared" si="154"/>
        <v>0</v>
      </c>
      <c r="AB312" s="94">
        <f>AB311</f>
        <v>0</v>
      </c>
      <c r="AC312" s="94">
        <f>AC311</f>
        <v>0.17</v>
      </c>
      <c r="AD312" s="90" t="str">
        <f t="shared" si="159"/>
        <v/>
      </c>
      <c r="AG312" s="94">
        <f>AG311</f>
        <v>0</v>
      </c>
      <c r="AH312" s="94">
        <f>AH311</f>
        <v>0.13</v>
      </c>
      <c r="AI312" s="90" t="str">
        <f t="shared" si="160"/>
        <v/>
      </c>
      <c r="AL312" s="94">
        <f>AL311</f>
        <v>0</v>
      </c>
      <c r="AM312" s="94">
        <f>AM311</f>
        <v>0.08</v>
      </c>
      <c r="AN312" s="90" t="str">
        <f t="shared" si="161"/>
        <v/>
      </c>
      <c r="AQ312" s="94">
        <f>AQ311</f>
        <v>0</v>
      </c>
      <c r="AR312" s="94">
        <f>AR311</f>
        <v>0.05</v>
      </c>
      <c r="AS312" s="90" t="str">
        <f t="shared" si="162"/>
        <v/>
      </c>
      <c r="AV312" s="94">
        <f>AV311</f>
        <v>0</v>
      </c>
      <c r="AW312" s="94">
        <f>AW311</f>
        <v>0.32500000000000001</v>
      </c>
      <c r="AX312" s="90" t="str">
        <f t="shared" si="163"/>
        <v/>
      </c>
      <c r="BA312" s="94">
        <f>BA311</f>
        <v>0</v>
      </c>
      <c r="BB312" s="94">
        <f>BB311</f>
        <v>0.29499999999999998</v>
      </c>
      <c r="BC312" s="90" t="str">
        <f t="shared" si="164"/>
        <v/>
      </c>
      <c r="BF312" s="94">
        <f>BF311</f>
        <v>0</v>
      </c>
      <c r="BG312" s="94">
        <f>BG311</f>
        <v>0.27500000000000002</v>
      </c>
      <c r="BH312" s="90" t="str">
        <f t="shared" si="165"/>
        <v/>
      </c>
      <c r="BK312" s="94">
        <f>BK311</f>
        <v>0</v>
      </c>
      <c r="BL312" s="94">
        <f>BL311</f>
        <v>0.245</v>
      </c>
      <c r="BM312" s="90" t="str">
        <f t="shared" si="166"/>
        <v/>
      </c>
      <c r="BP312" s="94">
        <f>BP311</f>
        <v>0</v>
      </c>
      <c r="BQ312" s="94">
        <f>BQ311</f>
        <v>0.22500000000000001</v>
      </c>
      <c r="BR312" s="90" t="str">
        <f t="shared" si="167"/>
        <v/>
      </c>
      <c r="BU312" s="94">
        <f>BU311</f>
        <v>0</v>
      </c>
      <c r="BV312" s="94">
        <f>BV311</f>
        <v>0.17499999999999999</v>
      </c>
      <c r="BW312" s="90" t="str">
        <f t="shared" si="168"/>
        <v/>
      </c>
      <c r="BZ312" s="94">
        <f>BZ311</f>
        <v>0</v>
      </c>
      <c r="CA312" s="94">
        <f>CA311</f>
        <v>0.15</v>
      </c>
      <c r="CB312" s="90" t="str">
        <f t="shared" si="169"/>
        <v/>
      </c>
      <c r="CE312" s="95"/>
      <c r="CF312" s="96"/>
      <c r="CG312" s="97"/>
      <c r="CH312" s="97"/>
      <c r="CI312" s="98"/>
      <c r="CK312" s="99">
        <f>IFERROR(IF(F312='[1]Paramètres Généraux'!$K$12,ROUNDUP((REGENERANTS!H312*REGENERANTS!$CF$275)*'[1]Paramètres Généraux'!$M$12,-1),REGENERANTS!H312*REGENERANTS!$CF$275),"nd")</f>
        <v>0</v>
      </c>
      <c r="CN312" s="146"/>
      <c r="CO312" s="147"/>
      <c r="CP312" s="147"/>
      <c r="CQ312" s="147"/>
      <c r="CR312" s="147"/>
      <c r="CS312" s="173"/>
      <c r="CT312" s="174"/>
      <c r="CU312" s="147"/>
      <c r="CV312" s="173"/>
      <c r="CW312" s="150"/>
      <c r="CX312" s="149"/>
      <c r="CY312" s="150"/>
      <c r="CZ312" s="136"/>
      <c r="DA312" s="149"/>
      <c r="DB312" s="150"/>
      <c r="DC312" s="136"/>
      <c r="DD312" s="149"/>
      <c r="DE312" s="150"/>
      <c r="DF312" s="136"/>
      <c r="DG312" s="136"/>
      <c r="DH312" s="136"/>
      <c r="DI312" s="136"/>
      <c r="DJ312" s="136"/>
      <c r="DK312" s="136"/>
      <c r="DL312" s="136"/>
      <c r="DM312" s="136"/>
      <c r="DN312" s="136"/>
      <c r="DO312" s="149"/>
      <c r="DP312" s="150"/>
      <c r="DQ312" s="20">
        <f t="shared" si="155"/>
        <v>0</v>
      </c>
      <c r="DR312" s="20">
        <f t="shared" si="156"/>
        <v>0</v>
      </c>
      <c r="DS312" s="20">
        <f>IFERROR((IF(AND($F312="Produit Vente",CO312&gt;0),VLOOKUP($C312,'[1]Paramètres Articles'!$B:$H,7,FALSE)*$CO312)*(1-20%)),0)</f>
        <v>0</v>
      </c>
      <c r="DT312" s="20">
        <f>IFERROR((IF(AND($F312="Produit Vente",DR312&gt;0),VLOOKUP($C312,'[1]Paramètres Articles'!$B:$H,6,FALSE)*$DR312)*(1-15%)),0)</f>
        <v>0</v>
      </c>
    </row>
    <row r="313" spans="2:124" ht="12.95" hidden="1" customHeight="1" outlineLevel="1">
      <c r="B313" s="1">
        <f>IF(C313="",0,COUNTIFS($B$22:B312,"&gt;"&amp;0)+1)</f>
        <v>0</v>
      </c>
      <c r="C313" s="85"/>
      <c r="D313" s="86" t="str">
        <f>IFERROR(IF($C313="","",VLOOKUP($C313,'[1]Paramètres Articles'!$B:$G,2,FALSE)),"Non Trouvé")</f>
        <v/>
      </c>
      <c r="E313" s="87" t="str">
        <f>IFERROR(IF($C313="","",_xlfn.XLOOKUP(REGENERANTS!$C313,'[1]New Base PA'!$F:$F,'[1]New Base PA'!$D:$D,"Not Found",0)),"Non Trouvé")</f>
        <v/>
      </c>
      <c r="F313" s="88"/>
      <c r="H313" s="101"/>
      <c r="J313" s="90" t="str">
        <f>IFERROR(IF($C313="","",VLOOKUP($C313,'[1]New Base PA'!$F:$J,5,FALSE)),"Non Trouvé")</f>
        <v/>
      </c>
      <c r="K313" s="131" t="str">
        <f t="shared" si="170"/>
        <v/>
      </c>
      <c r="L313" s="132"/>
      <c r="M313" s="131">
        <f>IFERROR(IF(AND($F313="Produit Vente",H313&gt;0),VLOOKUP($C313,'[1]Paramètres Articles'!$B:$G,6,FALSE),0),"Non Trouvé")</f>
        <v>0</v>
      </c>
      <c r="N313" s="131" t="str">
        <f t="shared" si="171"/>
        <v/>
      </c>
      <c r="P313" s="92"/>
      <c r="R313" s="90" t="str">
        <f t="shared" si="153"/>
        <v/>
      </c>
      <c r="S313" s="91"/>
      <c r="T313" s="90" t="str">
        <f>IFERROR(IF($C313="","",VLOOKUP($C313,'[1]Paramètres Articles'!$B:$H,7,FALSE)),"Non Trouvé")</f>
        <v/>
      </c>
      <c r="U313" s="93"/>
      <c r="V313" s="90" t="str">
        <f t="shared" si="157"/>
        <v/>
      </c>
      <c r="W313" s="91"/>
      <c r="X313" s="90" t="str">
        <f t="shared" si="158"/>
        <v/>
      </c>
      <c r="Y313" s="91"/>
      <c r="Z313" s="90">
        <f t="shared" si="154"/>
        <v>0</v>
      </c>
      <c r="AB313" s="94">
        <f>AB311</f>
        <v>0</v>
      </c>
      <c r="AC313" s="94">
        <f>AC311</f>
        <v>0.17</v>
      </c>
      <c r="AD313" s="90" t="str">
        <f t="shared" si="159"/>
        <v/>
      </c>
      <c r="AG313" s="94">
        <f>AG311</f>
        <v>0</v>
      </c>
      <c r="AH313" s="94">
        <f>AH311</f>
        <v>0.13</v>
      </c>
      <c r="AI313" s="90" t="str">
        <f t="shared" si="160"/>
        <v/>
      </c>
      <c r="AL313" s="94">
        <f>AL311</f>
        <v>0</v>
      </c>
      <c r="AM313" s="94">
        <f>AM311</f>
        <v>0.08</v>
      </c>
      <c r="AN313" s="90" t="str">
        <f t="shared" si="161"/>
        <v/>
      </c>
      <c r="AQ313" s="94">
        <f>AQ311</f>
        <v>0</v>
      </c>
      <c r="AR313" s="94">
        <f>AR311</f>
        <v>0.05</v>
      </c>
      <c r="AS313" s="90" t="str">
        <f t="shared" si="162"/>
        <v/>
      </c>
      <c r="AV313" s="94">
        <f>AV311</f>
        <v>0</v>
      </c>
      <c r="AW313" s="94">
        <f>AW311</f>
        <v>0.32500000000000001</v>
      </c>
      <c r="AX313" s="90" t="str">
        <f t="shared" si="163"/>
        <v/>
      </c>
      <c r="BA313" s="94">
        <f>BA311</f>
        <v>0</v>
      </c>
      <c r="BB313" s="94">
        <f>BB311</f>
        <v>0.29499999999999998</v>
      </c>
      <c r="BC313" s="90" t="str">
        <f t="shared" si="164"/>
        <v/>
      </c>
      <c r="BF313" s="94">
        <f>BF311</f>
        <v>0</v>
      </c>
      <c r="BG313" s="94">
        <f>BG311</f>
        <v>0.27500000000000002</v>
      </c>
      <c r="BH313" s="90" t="str">
        <f t="shared" si="165"/>
        <v/>
      </c>
      <c r="BK313" s="94">
        <f>BK311</f>
        <v>0</v>
      </c>
      <c r="BL313" s="94">
        <f>BL311</f>
        <v>0.245</v>
      </c>
      <c r="BM313" s="90" t="str">
        <f t="shared" si="166"/>
        <v/>
      </c>
      <c r="BP313" s="94">
        <f>BP311</f>
        <v>0</v>
      </c>
      <c r="BQ313" s="94">
        <f>BQ311</f>
        <v>0.22500000000000001</v>
      </c>
      <c r="BR313" s="90" t="str">
        <f t="shared" si="167"/>
        <v/>
      </c>
      <c r="BU313" s="94">
        <f>BU311</f>
        <v>0</v>
      </c>
      <c r="BV313" s="94">
        <f>BV311</f>
        <v>0.17499999999999999</v>
      </c>
      <c r="BW313" s="90" t="str">
        <f t="shared" si="168"/>
        <v/>
      </c>
      <c r="BZ313" s="94">
        <f>BZ311</f>
        <v>0</v>
      </c>
      <c r="CA313" s="94">
        <f>CA311</f>
        <v>0.15</v>
      </c>
      <c r="CB313" s="90" t="str">
        <f t="shared" si="169"/>
        <v/>
      </c>
      <c r="CE313" s="95"/>
      <c r="CF313" s="96"/>
      <c r="CG313" s="97"/>
      <c r="CH313" s="97"/>
      <c r="CI313" s="98"/>
      <c r="CK313" s="99">
        <f>IFERROR(IF(F313='[1]Paramètres Généraux'!$K$12,ROUNDUP((REGENERANTS!H313*REGENERANTS!$CF$275)*'[1]Paramètres Généraux'!$M$12,-1),REGENERANTS!H313*REGENERANTS!$CF$275),"nd")</f>
        <v>0</v>
      </c>
      <c r="CN313" s="146"/>
      <c r="CO313" s="147"/>
      <c r="CP313" s="147"/>
      <c r="CQ313" s="147"/>
      <c r="CR313" s="147"/>
      <c r="CS313" s="173"/>
      <c r="CT313" s="174"/>
      <c r="CU313" s="147"/>
      <c r="CV313" s="173"/>
      <c r="CW313" s="150"/>
      <c r="CX313" s="149"/>
      <c r="CY313" s="150"/>
      <c r="CZ313" s="136"/>
      <c r="DA313" s="149"/>
      <c r="DB313" s="150"/>
      <c r="DC313" s="136"/>
      <c r="DD313" s="149"/>
      <c r="DE313" s="150"/>
      <c r="DF313" s="136"/>
      <c r="DG313" s="136"/>
      <c r="DH313" s="136"/>
      <c r="DI313" s="136"/>
      <c r="DJ313" s="136"/>
      <c r="DK313" s="136"/>
      <c r="DL313" s="136"/>
      <c r="DM313" s="136"/>
      <c r="DN313" s="136"/>
      <c r="DO313" s="149"/>
      <c r="DP313" s="150"/>
      <c r="DQ313" s="20">
        <f t="shared" si="155"/>
        <v>0</v>
      </c>
      <c r="DR313" s="20">
        <f t="shared" si="156"/>
        <v>0</v>
      </c>
      <c r="DS313" s="20">
        <f>IFERROR((IF(AND($F313="Produit Vente",CO313&gt;0),VLOOKUP($C313,'[1]Paramètres Articles'!$B:$H,7,FALSE)*$CO313)*(1-20%)),0)</f>
        <v>0</v>
      </c>
      <c r="DT313" s="20">
        <f>IFERROR((IF(AND($F313="Produit Vente",DR313&gt;0),VLOOKUP($C313,'[1]Paramètres Articles'!$B:$H,6,FALSE)*$DR313)*(1-15%)),0)</f>
        <v>0</v>
      </c>
    </row>
    <row r="314" spans="2:124" ht="12.95" hidden="1" customHeight="1" outlineLevel="1">
      <c r="B314" s="1">
        <f>IF(C314="",0,COUNTIFS($B$22:B313,"&gt;"&amp;0)+1)</f>
        <v>0</v>
      </c>
      <c r="C314" s="85"/>
      <c r="D314" s="86" t="str">
        <f>IFERROR(IF($C314="","",VLOOKUP($C314,'[1]Paramètres Articles'!$B:$G,2,FALSE)),"Non Trouvé")</f>
        <v/>
      </c>
      <c r="E314" s="87" t="str">
        <f>IFERROR(IF($C314="","",_xlfn.XLOOKUP(REGENERANTS!$C314,'[1]New Base PA'!$F:$F,'[1]New Base PA'!$D:$D,"Not Found",0)),"Non Trouvé")</f>
        <v/>
      </c>
      <c r="F314" s="88"/>
      <c r="H314" s="101"/>
      <c r="J314" s="90" t="str">
        <f>IFERROR(IF($C314="","",VLOOKUP($C314,'[1]New Base PA'!$F:$J,5,FALSE)),"Non Trouvé")</f>
        <v/>
      </c>
      <c r="K314" s="131" t="str">
        <f t="shared" si="170"/>
        <v/>
      </c>
      <c r="L314" s="132"/>
      <c r="M314" s="131">
        <f>IFERROR(IF(AND($F314="Produit Vente",H314&gt;0),VLOOKUP($C314,'[1]Paramètres Articles'!$B:$G,6,FALSE),0),"Non Trouvé")</f>
        <v>0</v>
      </c>
      <c r="N314" s="131" t="str">
        <f t="shared" si="171"/>
        <v/>
      </c>
      <c r="P314" s="92"/>
      <c r="R314" s="90" t="str">
        <f t="shared" si="153"/>
        <v/>
      </c>
      <c r="S314" s="91"/>
      <c r="T314" s="90" t="str">
        <f>IFERROR(IF($C314="","",VLOOKUP($C314,'[1]Paramètres Articles'!$B:$H,7,FALSE)),"Non Trouvé")</f>
        <v/>
      </c>
      <c r="U314" s="93"/>
      <c r="V314" s="90" t="str">
        <f t="shared" si="157"/>
        <v/>
      </c>
      <c r="W314" s="91"/>
      <c r="X314" s="90" t="str">
        <f t="shared" si="158"/>
        <v/>
      </c>
      <c r="Y314" s="91"/>
      <c r="Z314" s="90">
        <f t="shared" si="154"/>
        <v>0</v>
      </c>
      <c r="AB314" s="94">
        <f>AB313</f>
        <v>0</v>
      </c>
      <c r="AC314" s="94">
        <f>AC313</f>
        <v>0.17</v>
      </c>
      <c r="AD314" s="90" t="str">
        <f t="shared" si="159"/>
        <v/>
      </c>
      <c r="AG314" s="94">
        <f>AG313</f>
        <v>0</v>
      </c>
      <c r="AH314" s="94">
        <f>AH313</f>
        <v>0.13</v>
      </c>
      <c r="AI314" s="90" t="str">
        <f t="shared" si="160"/>
        <v/>
      </c>
      <c r="AL314" s="94">
        <f>AL313</f>
        <v>0</v>
      </c>
      <c r="AM314" s="94">
        <f>AM313</f>
        <v>0.08</v>
      </c>
      <c r="AN314" s="90" t="str">
        <f t="shared" si="161"/>
        <v/>
      </c>
      <c r="AQ314" s="94">
        <f>AQ313</f>
        <v>0</v>
      </c>
      <c r="AR314" s="94">
        <f>AR313</f>
        <v>0.05</v>
      </c>
      <c r="AS314" s="90" t="str">
        <f t="shared" si="162"/>
        <v/>
      </c>
      <c r="AV314" s="94">
        <f>AV313</f>
        <v>0</v>
      </c>
      <c r="AW314" s="94">
        <f>AW313</f>
        <v>0.32500000000000001</v>
      </c>
      <c r="AX314" s="90" t="str">
        <f t="shared" si="163"/>
        <v/>
      </c>
      <c r="BA314" s="94">
        <f>BA313</f>
        <v>0</v>
      </c>
      <c r="BB314" s="94">
        <f>BB313</f>
        <v>0.29499999999999998</v>
      </c>
      <c r="BC314" s="90" t="str">
        <f t="shared" si="164"/>
        <v/>
      </c>
      <c r="BF314" s="94">
        <f>BF313</f>
        <v>0</v>
      </c>
      <c r="BG314" s="94">
        <f>BG313</f>
        <v>0.27500000000000002</v>
      </c>
      <c r="BH314" s="90" t="str">
        <f t="shared" si="165"/>
        <v/>
      </c>
      <c r="BK314" s="94">
        <f>BK313</f>
        <v>0</v>
      </c>
      <c r="BL314" s="94">
        <f>BL313</f>
        <v>0.245</v>
      </c>
      <c r="BM314" s="90" t="str">
        <f t="shared" si="166"/>
        <v/>
      </c>
      <c r="BP314" s="94">
        <f>BP313</f>
        <v>0</v>
      </c>
      <c r="BQ314" s="94">
        <f>BQ313</f>
        <v>0.22500000000000001</v>
      </c>
      <c r="BR314" s="90" t="str">
        <f t="shared" si="167"/>
        <v/>
      </c>
      <c r="BU314" s="94">
        <f>BU313</f>
        <v>0</v>
      </c>
      <c r="BV314" s="94">
        <f>BV313</f>
        <v>0.17499999999999999</v>
      </c>
      <c r="BW314" s="90" t="str">
        <f t="shared" si="168"/>
        <v/>
      </c>
      <c r="BZ314" s="94">
        <f>BZ313</f>
        <v>0</v>
      </c>
      <c r="CA314" s="94">
        <f>CA313</f>
        <v>0.15</v>
      </c>
      <c r="CB314" s="90" t="str">
        <f t="shared" si="169"/>
        <v/>
      </c>
      <c r="CE314" s="95"/>
      <c r="CF314" s="96"/>
      <c r="CG314" s="97"/>
      <c r="CH314" s="97"/>
      <c r="CI314" s="98"/>
      <c r="CK314" s="99">
        <f>IFERROR(IF(F314='[1]Paramètres Généraux'!$K$12,ROUNDUP((REGENERANTS!H314*REGENERANTS!$CF$275)*'[1]Paramètres Généraux'!$M$12,-1),REGENERANTS!H314*REGENERANTS!$CF$275),"nd")</f>
        <v>0</v>
      </c>
      <c r="CN314" s="146"/>
      <c r="CO314" s="147"/>
      <c r="CP314" s="147"/>
      <c r="CQ314" s="147"/>
      <c r="CR314" s="147"/>
      <c r="CS314" s="173"/>
      <c r="CT314" s="174"/>
      <c r="CU314" s="147"/>
      <c r="CV314" s="173"/>
      <c r="CW314" s="150"/>
      <c r="CX314" s="149"/>
      <c r="CY314" s="150"/>
      <c r="CZ314" s="136"/>
      <c r="DA314" s="149"/>
      <c r="DB314" s="150"/>
      <c r="DC314" s="136"/>
      <c r="DD314" s="149"/>
      <c r="DE314" s="150"/>
      <c r="DF314" s="136"/>
      <c r="DG314" s="136"/>
      <c r="DH314" s="136"/>
      <c r="DI314" s="136"/>
      <c r="DJ314" s="136"/>
      <c r="DK314" s="136"/>
      <c r="DL314" s="136"/>
      <c r="DM314" s="136"/>
      <c r="DN314" s="136"/>
      <c r="DO314" s="149"/>
      <c r="DP314" s="150"/>
      <c r="DQ314" s="20">
        <f t="shared" si="155"/>
        <v>0</v>
      </c>
      <c r="DR314" s="20">
        <f t="shared" si="156"/>
        <v>0</v>
      </c>
      <c r="DS314" s="20">
        <f>IFERROR((IF(AND($F314="Produit Vente",CO314&gt;0),VLOOKUP($C314,'[1]Paramètres Articles'!$B:$H,7,FALSE)*$CO314)*(1-20%)),0)</f>
        <v>0</v>
      </c>
      <c r="DT314" s="20">
        <f>IFERROR((IF(AND($F314="Produit Vente",DR314&gt;0),VLOOKUP($C314,'[1]Paramètres Articles'!$B:$H,6,FALSE)*$DR314)*(1-15%)),0)</f>
        <v>0</v>
      </c>
    </row>
    <row r="315" spans="2:124" ht="12.95" hidden="1" customHeight="1" outlineLevel="1">
      <c r="B315" s="1">
        <f>IF(C315="",0,COUNTIFS($B$22:B314,"&gt;"&amp;0)+1)</f>
        <v>0</v>
      </c>
      <c r="C315" s="85"/>
      <c r="D315" s="86" t="str">
        <f>IFERROR(IF($C315="","",VLOOKUP($C315,'[1]Paramètres Articles'!$B:$G,2,FALSE)),"Non Trouvé")</f>
        <v/>
      </c>
      <c r="E315" s="87" t="str">
        <f>IFERROR(IF($C315="","",_xlfn.XLOOKUP(REGENERANTS!$C315,'[1]New Base PA'!$F:$F,'[1]New Base PA'!$D:$D,"Not Found",0)),"Non Trouvé")</f>
        <v/>
      </c>
      <c r="F315" s="88"/>
      <c r="H315" s="101"/>
      <c r="J315" s="90" t="str">
        <f>IFERROR(IF($C315="","",VLOOKUP($C315,'[1]New Base PA'!$F:$J,5,FALSE)),"Non Trouvé")</f>
        <v/>
      </c>
      <c r="K315" s="131" t="str">
        <f t="shared" si="170"/>
        <v/>
      </c>
      <c r="L315" s="132"/>
      <c r="M315" s="131">
        <f>IFERROR(IF(AND($F315="Produit Vente",H315&gt;0),VLOOKUP($C315,'[1]Paramètres Articles'!$B:$G,6,FALSE),0),"Non Trouvé")</f>
        <v>0</v>
      </c>
      <c r="N315" s="131" t="str">
        <f t="shared" si="171"/>
        <v/>
      </c>
      <c r="P315" s="92"/>
      <c r="R315" s="90" t="str">
        <f t="shared" si="153"/>
        <v/>
      </c>
      <c r="S315" s="91"/>
      <c r="T315" s="90" t="str">
        <f>IFERROR(IF($C315="","",VLOOKUP($C315,'[1]Paramètres Articles'!$B:$H,7,FALSE)),"Non Trouvé")</f>
        <v/>
      </c>
      <c r="U315" s="93"/>
      <c r="V315" s="90" t="str">
        <f t="shared" si="157"/>
        <v/>
      </c>
      <c r="W315" s="91"/>
      <c r="X315" s="90" t="str">
        <f t="shared" si="158"/>
        <v/>
      </c>
      <c r="Y315" s="91"/>
      <c r="Z315" s="90">
        <f t="shared" si="154"/>
        <v>0</v>
      </c>
      <c r="AB315" s="94">
        <f>AB313</f>
        <v>0</v>
      </c>
      <c r="AC315" s="94">
        <f>AC313</f>
        <v>0.17</v>
      </c>
      <c r="AD315" s="90" t="str">
        <f t="shared" si="159"/>
        <v/>
      </c>
      <c r="AG315" s="94">
        <f>AG313</f>
        <v>0</v>
      </c>
      <c r="AH315" s="94">
        <f>AH313</f>
        <v>0.13</v>
      </c>
      <c r="AI315" s="90" t="str">
        <f t="shared" si="160"/>
        <v/>
      </c>
      <c r="AL315" s="94">
        <f>AL313</f>
        <v>0</v>
      </c>
      <c r="AM315" s="94">
        <f>AM313</f>
        <v>0.08</v>
      </c>
      <c r="AN315" s="90" t="str">
        <f t="shared" si="161"/>
        <v/>
      </c>
      <c r="AQ315" s="94">
        <f>AQ313</f>
        <v>0</v>
      </c>
      <c r="AR315" s="94">
        <f>AR313</f>
        <v>0.05</v>
      </c>
      <c r="AS315" s="90" t="str">
        <f t="shared" si="162"/>
        <v/>
      </c>
      <c r="AV315" s="94">
        <f>AV313</f>
        <v>0</v>
      </c>
      <c r="AW315" s="94">
        <f>AW313</f>
        <v>0.32500000000000001</v>
      </c>
      <c r="AX315" s="90" t="str">
        <f t="shared" si="163"/>
        <v/>
      </c>
      <c r="BA315" s="94">
        <f>BA313</f>
        <v>0</v>
      </c>
      <c r="BB315" s="94">
        <f>BB313</f>
        <v>0.29499999999999998</v>
      </c>
      <c r="BC315" s="90" t="str">
        <f t="shared" si="164"/>
        <v/>
      </c>
      <c r="BF315" s="94">
        <f>BF313</f>
        <v>0</v>
      </c>
      <c r="BG315" s="94">
        <f>BG313</f>
        <v>0.27500000000000002</v>
      </c>
      <c r="BH315" s="90" t="str">
        <f t="shared" si="165"/>
        <v/>
      </c>
      <c r="BK315" s="94">
        <f>BK313</f>
        <v>0</v>
      </c>
      <c r="BL315" s="94">
        <f>BL313</f>
        <v>0.245</v>
      </c>
      <c r="BM315" s="90" t="str">
        <f t="shared" si="166"/>
        <v/>
      </c>
      <c r="BP315" s="94">
        <f>BP313</f>
        <v>0</v>
      </c>
      <c r="BQ315" s="94">
        <f>BQ313</f>
        <v>0.22500000000000001</v>
      </c>
      <c r="BR315" s="90" t="str">
        <f t="shared" si="167"/>
        <v/>
      </c>
      <c r="BU315" s="94">
        <f>BU313</f>
        <v>0</v>
      </c>
      <c r="BV315" s="94">
        <f>BV313</f>
        <v>0.17499999999999999</v>
      </c>
      <c r="BW315" s="90" t="str">
        <f t="shared" si="168"/>
        <v/>
      </c>
      <c r="BZ315" s="94">
        <f>BZ313</f>
        <v>0</v>
      </c>
      <c r="CA315" s="94">
        <f>CA313</f>
        <v>0.15</v>
      </c>
      <c r="CB315" s="90" t="str">
        <f t="shared" si="169"/>
        <v/>
      </c>
      <c r="CE315" s="95"/>
      <c r="CF315" s="96"/>
      <c r="CG315" s="97"/>
      <c r="CH315" s="97"/>
      <c r="CI315" s="98"/>
      <c r="CK315" s="99">
        <f>IFERROR(IF(F315='[1]Paramètres Généraux'!$K$12,ROUNDUP((REGENERANTS!H315*REGENERANTS!$CF$275)*'[1]Paramètres Généraux'!$M$12,-1),REGENERANTS!H315*REGENERANTS!$CF$275),"nd")</f>
        <v>0</v>
      </c>
      <c r="CN315" s="146"/>
      <c r="CO315" s="147"/>
      <c r="CP315" s="147"/>
      <c r="CQ315" s="147"/>
      <c r="CR315" s="147"/>
      <c r="CS315" s="173"/>
      <c r="CT315" s="174"/>
      <c r="CU315" s="147"/>
      <c r="CV315" s="173"/>
      <c r="CW315" s="150"/>
      <c r="CX315" s="149"/>
      <c r="CY315" s="150"/>
      <c r="CZ315" s="136"/>
      <c r="DA315" s="149"/>
      <c r="DB315" s="150"/>
      <c r="DC315" s="136"/>
      <c r="DD315" s="149"/>
      <c r="DE315" s="150"/>
      <c r="DF315" s="136"/>
      <c r="DG315" s="136"/>
      <c r="DH315" s="136"/>
      <c r="DI315" s="136"/>
      <c r="DJ315" s="136"/>
      <c r="DK315" s="136"/>
      <c r="DL315" s="136"/>
      <c r="DM315" s="136"/>
      <c r="DN315" s="136"/>
      <c r="DO315" s="149"/>
      <c r="DP315" s="150"/>
      <c r="DQ315" s="20">
        <f t="shared" si="155"/>
        <v>0</v>
      </c>
      <c r="DR315" s="20">
        <f t="shared" si="156"/>
        <v>0</v>
      </c>
      <c r="DS315" s="20">
        <f>IFERROR((IF(AND($F315="Produit Vente",CO315&gt;0),VLOOKUP($C315,'[1]Paramètres Articles'!$B:$H,7,FALSE)*$CO315)*(1-20%)),0)</f>
        <v>0</v>
      </c>
      <c r="DT315" s="20">
        <f>IFERROR((IF(AND($F315="Produit Vente",DR315&gt;0),VLOOKUP($C315,'[1]Paramètres Articles'!$B:$H,6,FALSE)*$DR315)*(1-15%)),0)</f>
        <v>0</v>
      </c>
    </row>
    <row r="316" spans="2:124" ht="12.95" hidden="1" customHeight="1" outlineLevel="1">
      <c r="B316" s="1">
        <f>IF(C316="",0,COUNTIFS($B$22:B315,"&gt;"&amp;0)+1)</f>
        <v>0</v>
      </c>
      <c r="C316" s="85"/>
      <c r="D316" s="86" t="str">
        <f>IFERROR(IF($C316="","",VLOOKUP($C316,'[1]Paramètres Articles'!$B:$G,2,FALSE)),"Non Trouvé")</f>
        <v/>
      </c>
      <c r="E316" s="87" t="str">
        <f>IFERROR(IF($C316="","",_xlfn.XLOOKUP(REGENERANTS!$C316,'[1]New Base PA'!$F:$F,'[1]New Base PA'!$D:$D,"Not Found",0)),"Non Trouvé")</f>
        <v/>
      </c>
      <c r="F316" s="88"/>
      <c r="H316" s="101"/>
      <c r="J316" s="90" t="str">
        <f>IFERROR(IF($C316="","",VLOOKUP($C316,'[1]New Base PA'!$F:$J,5,FALSE)),"Non Trouvé")</f>
        <v/>
      </c>
      <c r="K316" s="131" t="str">
        <f t="shared" si="170"/>
        <v/>
      </c>
      <c r="L316" s="132"/>
      <c r="M316" s="131">
        <f>IFERROR(IF(AND($F316="Produit Vente",H316&gt;0),VLOOKUP($C316,'[1]Paramètres Articles'!$B:$G,6,FALSE),0),"Non Trouvé")</f>
        <v>0</v>
      </c>
      <c r="N316" s="131" t="str">
        <f t="shared" si="171"/>
        <v/>
      </c>
      <c r="P316" s="92"/>
      <c r="R316" s="90" t="str">
        <f t="shared" si="153"/>
        <v/>
      </c>
      <c r="S316" s="91"/>
      <c r="T316" s="90" t="str">
        <f>IFERROR(IF($C316="","",VLOOKUP($C316,'[1]Paramètres Articles'!$B:$H,7,FALSE)),"Non Trouvé")</f>
        <v/>
      </c>
      <c r="U316" s="93"/>
      <c r="V316" s="90" t="str">
        <f t="shared" si="157"/>
        <v/>
      </c>
      <c r="W316" s="91"/>
      <c r="X316" s="90" t="str">
        <f t="shared" si="158"/>
        <v/>
      </c>
      <c r="Y316" s="91"/>
      <c r="Z316" s="90">
        <f t="shared" si="154"/>
        <v>0</v>
      </c>
      <c r="AB316" s="94">
        <f>AB315</f>
        <v>0</v>
      </c>
      <c r="AC316" s="94">
        <f>AC315</f>
        <v>0.17</v>
      </c>
      <c r="AD316" s="90" t="str">
        <f t="shared" si="159"/>
        <v/>
      </c>
      <c r="AG316" s="94">
        <f>AG315</f>
        <v>0</v>
      </c>
      <c r="AH316" s="94">
        <f>AH315</f>
        <v>0.13</v>
      </c>
      <c r="AI316" s="90" t="str">
        <f t="shared" si="160"/>
        <v/>
      </c>
      <c r="AL316" s="94">
        <f>AL315</f>
        <v>0</v>
      </c>
      <c r="AM316" s="94">
        <f>AM315</f>
        <v>0.08</v>
      </c>
      <c r="AN316" s="90" t="str">
        <f t="shared" si="161"/>
        <v/>
      </c>
      <c r="AQ316" s="94">
        <f>AQ315</f>
        <v>0</v>
      </c>
      <c r="AR316" s="94">
        <f>AR315</f>
        <v>0.05</v>
      </c>
      <c r="AS316" s="90" t="str">
        <f t="shared" si="162"/>
        <v/>
      </c>
      <c r="AV316" s="94">
        <f>AV315</f>
        <v>0</v>
      </c>
      <c r="AW316" s="94">
        <f>AW315</f>
        <v>0.32500000000000001</v>
      </c>
      <c r="AX316" s="90" t="str">
        <f t="shared" si="163"/>
        <v/>
      </c>
      <c r="BA316" s="94">
        <f>BA315</f>
        <v>0</v>
      </c>
      <c r="BB316" s="94">
        <f>BB315</f>
        <v>0.29499999999999998</v>
      </c>
      <c r="BC316" s="90" t="str">
        <f t="shared" si="164"/>
        <v/>
      </c>
      <c r="BF316" s="94">
        <f>BF315</f>
        <v>0</v>
      </c>
      <c r="BG316" s="94">
        <f>BG315</f>
        <v>0.27500000000000002</v>
      </c>
      <c r="BH316" s="90" t="str">
        <f t="shared" si="165"/>
        <v/>
      </c>
      <c r="BK316" s="94">
        <f>BK315</f>
        <v>0</v>
      </c>
      <c r="BL316" s="94">
        <f>BL315</f>
        <v>0.245</v>
      </c>
      <c r="BM316" s="90" t="str">
        <f t="shared" si="166"/>
        <v/>
      </c>
      <c r="BP316" s="94">
        <f>BP315</f>
        <v>0</v>
      </c>
      <c r="BQ316" s="94">
        <f>BQ315</f>
        <v>0.22500000000000001</v>
      </c>
      <c r="BR316" s="90" t="str">
        <f t="shared" si="167"/>
        <v/>
      </c>
      <c r="BU316" s="94">
        <f>BU315</f>
        <v>0</v>
      </c>
      <c r="BV316" s="94">
        <f>BV315</f>
        <v>0.17499999999999999</v>
      </c>
      <c r="BW316" s="90" t="str">
        <f t="shared" si="168"/>
        <v/>
      </c>
      <c r="BZ316" s="94">
        <f>BZ315</f>
        <v>0</v>
      </c>
      <c r="CA316" s="94">
        <f>CA315</f>
        <v>0.15</v>
      </c>
      <c r="CB316" s="90" t="str">
        <f t="shared" si="169"/>
        <v/>
      </c>
      <c r="CE316" s="95"/>
      <c r="CF316" s="96"/>
      <c r="CG316" s="97"/>
      <c r="CH316" s="97"/>
      <c r="CI316" s="98"/>
      <c r="CK316" s="99">
        <f>IFERROR(IF(F316='[1]Paramètres Généraux'!$K$12,ROUNDUP((REGENERANTS!H316*REGENERANTS!$CF$275)*'[1]Paramètres Généraux'!$M$12,-1),REGENERANTS!H316*REGENERANTS!$CF$275),"nd")</f>
        <v>0</v>
      </c>
      <c r="CN316" s="146"/>
      <c r="CO316" s="147"/>
      <c r="CP316" s="147"/>
      <c r="CQ316" s="147"/>
      <c r="CR316" s="147"/>
      <c r="CS316" s="173"/>
      <c r="CT316" s="174"/>
      <c r="CU316" s="147"/>
      <c r="CV316" s="173"/>
      <c r="CW316" s="150"/>
      <c r="CX316" s="149"/>
      <c r="CY316" s="150"/>
      <c r="CZ316" s="136"/>
      <c r="DA316" s="149"/>
      <c r="DB316" s="150"/>
      <c r="DC316" s="136"/>
      <c r="DD316" s="149"/>
      <c r="DE316" s="150"/>
      <c r="DF316" s="136"/>
      <c r="DG316" s="136"/>
      <c r="DH316" s="136"/>
      <c r="DI316" s="136"/>
      <c r="DJ316" s="136"/>
      <c r="DK316" s="136"/>
      <c r="DL316" s="136"/>
      <c r="DM316" s="136"/>
      <c r="DN316" s="136"/>
      <c r="DO316" s="149"/>
      <c r="DP316" s="150"/>
      <c r="DQ316" s="20">
        <f t="shared" si="155"/>
        <v>0</v>
      </c>
      <c r="DR316" s="20">
        <f t="shared" si="156"/>
        <v>0</v>
      </c>
      <c r="DS316" s="20">
        <f>IFERROR((IF(AND($F316="Produit Vente",CO316&gt;0),VLOOKUP($C316,'[1]Paramètres Articles'!$B:$H,7,FALSE)*$CO316)*(1-20%)),0)</f>
        <v>0</v>
      </c>
      <c r="DT316" s="20">
        <f>IFERROR((IF(AND($F316="Produit Vente",DR316&gt;0),VLOOKUP($C316,'[1]Paramètres Articles'!$B:$H,6,FALSE)*$DR316)*(1-15%)),0)</f>
        <v>0</v>
      </c>
    </row>
    <row r="317" spans="2:124" hidden="1" collapsed="1">
      <c r="CE317" s="155"/>
      <c r="CF317" s="156"/>
      <c r="CG317" s="156"/>
      <c r="CH317" s="156"/>
      <c r="CI317" s="157"/>
      <c r="CK317" s="99">
        <f>IFERROR(IF(F317='[1]Paramètres Généraux'!$K$12,ROUNDUP((REGENERANTS!H317*REGENERANTS!$CF$275)*'[1]Paramètres Généraux'!$M$12,-1),REGENERANTS!H317*REGENERANTS!$CF$275),"nd")</f>
        <v>0</v>
      </c>
      <c r="CN317" s="146"/>
      <c r="CO317" s="147"/>
      <c r="CP317" s="147"/>
      <c r="CQ317" s="147"/>
      <c r="CR317" s="147"/>
      <c r="CS317" s="173"/>
      <c r="CT317" s="174"/>
      <c r="CU317" s="147"/>
      <c r="CV317" s="173"/>
      <c r="CW317" s="150"/>
      <c r="CX317" s="149"/>
      <c r="CY317" s="150"/>
      <c r="CZ317" s="136"/>
      <c r="DA317" s="149"/>
      <c r="DB317" s="150"/>
      <c r="DC317" s="136"/>
      <c r="DD317" s="149"/>
      <c r="DE317" s="150"/>
      <c r="DF317" s="136"/>
      <c r="DG317" s="136"/>
      <c r="DH317" s="136"/>
      <c r="DI317" s="136"/>
      <c r="DJ317" s="136"/>
      <c r="DK317" s="136"/>
      <c r="DL317" s="136"/>
      <c r="DM317" s="136"/>
      <c r="DN317" s="136"/>
      <c r="DO317" s="149"/>
      <c r="DP317" s="150"/>
      <c r="DQ317" s="20">
        <f t="shared" si="155"/>
        <v>0</v>
      </c>
      <c r="DR317" s="20">
        <f t="shared" si="156"/>
        <v>0</v>
      </c>
      <c r="DS317" s="20">
        <f>IFERROR((IF(AND($F317="Produit Vente",CO317&gt;0),VLOOKUP($C317,'[1]Paramètres Articles'!$B:$H,7,FALSE)*$CO317)*(1-20%)),0)</f>
        <v>0</v>
      </c>
      <c r="DT317" s="20">
        <f>IFERROR((IF(AND($F317="Produit Vente",DR317&gt;0),VLOOKUP($C317,'[1]Paramètres Articles'!$B:$H,6,FALSE)*$DR317)*(1-15%)),0)</f>
        <v>0</v>
      </c>
    </row>
    <row r="318" spans="2:124">
      <c r="AB318" s="1">
        <v>35</v>
      </c>
    </row>
    <row r="319" spans="2:124">
      <c r="C319" s="22" t="s">
        <v>115</v>
      </c>
      <c r="D319" s="23"/>
      <c r="E319" s="24"/>
      <c r="F319" s="25" t="s">
        <v>116</v>
      </c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K319" s="99"/>
    </row>
    <row r="320" spans="2:124" ht="8.25" customHeight="1">
      <c r="CK320" s="99"/>
    </row>
    <row r="321" spans="2:125" ht="12.95" customHeight="1">
      <c r="AB321" s="26">
        <v>0.8</v>
      </c>
      <c r="AC321" s="26"/>
      <c r="AD321" s="26"/>
      <c r="AE321" s="26"/>
      <c r="AF321" s="26"/>
      <c r="AG321" s="26">
        <v>0.2</v>
      </c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E321" s="27"/>
      <c r="CF321" s="28"/>
      <c r="CG321" s="28"/>
      <c r="CH321" s="28"/>
      <c r="CI321" s="29"/>
      <c r="CK321" s="99"/>
    </row>
    <row r="322" spans="2:125">
      <c r="AB322" s="30" t="s">
        <v>8</v>
      </c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V322" s="31" t="s">
        <v>9</v>
      </c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Z322" s="32" t="s">
        <v>10</v>
      </c>
      <c r="CA322" s="32"/>
      <c r="CB322" s="32"/>
      <c r="CC322" s="32"/>
      <c r="CE322" s="33"/>
      <c r="CF322" s="34" t="s">
        <v>11</v>
      </c>
      <c r="CG322" s="34"/>
      <c r="CH322" s="34"/>
      <c r="CI322" s="35"/>
      <c r="CK322" s="99"/>
    </row>
    <row r="323" spans="2:125" ht="5.25" customHeight="1">
      <c r="CE323" s="33"/>
      <c r="CF323" s="39"/>
      <c r="CG323" s="39"/>
      <c r="CH323" s="39"/>
      <c r="CI323" s="35"/>
      <c r="CK323" s="99"/>
    </row>
    <row r="324" spans="2:125">
      <c r="P324" s="1" t="s">
        <v>12</v>
      </c>
      <c r="AB324" s="42" t="s">
        <v>13</v>
      </c>
      <c r="AC324" s="42"/>
      <c r="AD324" s="42"/>
      <c r="AE324" s="42"/>
      <c r="AG324" s="42" t="s">
        <v>14</v>
      </c>
      <c r="AH324" s="42"/>
      <c r="AI324" s="42"/>
      <c r="AJ324" s="42"/>
      <c r="AL324" s="42" t="s">
        <v>15</v>
      </c>
      <c r="AM324" s="42"/>
      <c r="AN324" s="42"/>
      <c r="AO324" s="42"/>
      <c r="AQ324" s="42" t="s">
        <v>16</v>
      </c>
      <c r="AR324" s="42"/>
      <c r="AS324" s="42"/>
      <c r="AT324" s="42"/>
      <c r="AV324" s="43" t="s">
        <v>17</v>
      </c>
      <c r="AW324" s="43"/>
      <c r="AX324" s="43"/>
      <c r="AY324" s="43"/>
      <c r="BA324" s="43" t="s">
        <v>18</v>
      </c>
      <c r="BB324" s="43"/>
      <c r="BC324" s="43"/>
      <c r="BD324" s="43"/>
      <c r="BF324" s="43" t="s">
        <v>19</v>
      </c>
      <c r="BG324" s="43"/>
      <c r="BH324" s="43"/>
      <c r="BI324" s="43"/>
      <c r="BK324" s="43" t="s">
        <v>20</v>
      </c>
      <c r="BL324" s="43"/>
      <c r="BM324" s="43"/>
      <c r="BN324" s="43"/>
      <c r="BP324" s="43" t="s">
        <v>21</v>
      </c>
      <c r="BQ324" s="43"/>
      <c r="BR324" s="43"/>
      <c r="BS324" s="43"/>
      <c r="BU324" s="43" t="s">
        <v>22</v>
      </c>
      <c r="BV324" s="43"/>
      <c r="BW324" s="43"/>
      <c r="BX324" s="43"/>
      <c r="BZ324" s="44" t="s">
        <v>10</v>
      </c>
      <c r="CA324" s="44"/>
      <c r="CB324" s="44"/>
      <c r="CC324" s="44"/>
      <c r="CE324" s="33"/>
      <c r="CF324" s="45" t="s">
        <v>23</v>
      </c>
      <c r="CG324" s="45"/>
      <c r="CH324" s="45"/>
      <c r="CI324" s="35"/>
      <c r="CK324" s="99"/>
    </row>
    <row r="325" spans="2:125" ht="5.25" customHeight="1">
      <c r="CE325" s="33"/>
      <c r="CF325" s="39"/>
      <c r="CG325" s="39"/>
      <c r="CH325" s="39"/>
      <c r="CI325" s="35"/>
      <c r="CK325" s="99"/>
    </row>
    <row r="326" spans="2:125" s="46" customFormat="1" ht="38.25">
      <c r="E326" s="47"/>
      <c r="H326" s="48" t="s">
        <v>24</v>
      </c>
      <c r="J326" s="48" t="s">
        <v>25</v>
      </c>
      <c r="K326" s="48" t="s">
        <v>26</v>
      </c>
      <c r="M326" s="48" t="s">
        <v>27</v>
      </c>
      <c r="N326" s="48" t="s">
        <v>28</v>
      </c>
      <c r="P326" s="48" t="s">
        <v>29</v>
      </c>
      <c r="R326" s="48" t="s">
        <v>30</v>
      </c>
      <c r="T326" s="48" t="s">
        <v>31</v>
      </c>
      <c r="U326" s="48"/>
      <c r="V326" s="48" t="s">
        <v>32</v>
      </c>
      <c r="X326" s="48" t="s">
        <v>33</v>
      </c>
      <c r="Z326" s="48" t="s">
        <v>34</v>
      </c>
      <c r="AB326" s="48" t="s">
        <v>0</v>
      </c>
      <c r="AC326" s="48" t="s">
        <v>35</v>
      </c>
      <c r="AD326" s="48" t="s">
        <v>1</v>
      </c>
      <c r="AE326" s="48" t="s">
        <v>2</v>
      </c>
      <c r="AG326" s="48" t="s">
        <v>0</v>
      </c>
      <c r="AH326" s="48" t="s">
        <v>35</v>
      </c>
      <c r="AI326" s="48" t="s">
        <v>1</v>
      </c>
      <c r="AJ326" s="48" t="s">
        <v>2</v>
      </c>
      <c r="AL326" s="48" t="s">
        <v>0</v>
      </c>
      <c r="AM326" s="48" t="s">
        <v>35</v>
      </c>
      <c r="AN326" s="48" t="s">
        <v>1</v>
      </c>
      <c r="AO326" s="48" t="s">
        <v>2</v>
      </c>
      <c r="AQ326" s="48" t="s">
        <v>0</v>
      </c>
      <c r="AR326" s="48" t="s">
        <v>35</v>
      </c>
      <c r="AS326" s="48" t="s">
        <v>1</v>
      </c>
      <c r="AT326" s="48" t="s">
        <v>2</v>
      </c>
      <c r="AV326" s="48" t="s">
        <v>0</v>
      </c>
      <c r="AW326" s="48" t="s">
        <v>35</v>
      </c>
      <c r="AX326" s="48" t="s">
        <v>1</v>
      </c>
      <c r="AY326" s="48" t="s">
        <v>2</v>
      </c>
      <c r="BA326" s="48" t="s">
        <v>0</v>
      </c>
      <c r="BB326" s="48" t="s">
        <v>35</v>
      </c>
      <c r="BC326" s="48" t="s">
        <v>1</v>
      </c>
      <c r="BD326" s="48" t="s">
        <v>2</v>
      </c>
      <c r="BF326" s="48" t="s">
        <v>0</v>
      </c>
      <c r="BG326" s="48" t="s">
        <v>35</v>
      </c>
      <c r="BH326" s="48" t="s">
        <v>1</v>
      </c>
      <c r="BI326" s="48" t="s">
        <v>2</v>
      </c>
      <c r="BK326" s="48" t="s">
        <v>0</v>
      </c>
      <c r="BL326" s="48" t="s">
        <v>35</v>
      </c>
      <c r="BM326" s="48" t="s">
        <v>1</v>
      </c>
      <c r="BN326" s="48" t="s">
        <v>2</v>
      </c>
      <c r="BP326" s="48" t="s">
        <v>0</v>
      </c>
      <c r="BQ326" s="48" t="s">
        <v>35</v>
      </c>
      <c r="BR326" s="48" t="s">
        <v>1</v>
      </c>
      <c r="BS326" s="48" t="s">
        <v>2</v>
      </c>
      <c r="BU326" s="48" t="s">
        <v>0</v>
      </c>
      <c r="BV326" s="48" t="s">
        <v>35</v>
      </c>
      <c r="BW326" s="48" t="s">
        <v>1</v>
      </c>
      <c r="BX326" s="48" t="s">
        <v>2</v>
      </c>
      <c r="BZ326" s="48" t="s">
        <v>0</v>
      </c>
      <c r="CA326" s="48" t="s">
        <v>35</v>
      </c>
      <c r="CB326" s="48" t="s">
        <v>1</v>
      </c>
      <c r="CC326" s="48" t="s">
        <v>2</v>
      </c>
      <c r="CE326" s="49"/>
      <c r="CF326" s="50" t="s">
        <v>0</v>
      </c>
      <c r="CG326" s="50" t="s">
        <v>1</v>
      </c>
      <c r="CH326" s="50" t="s">
        <v>2</v>
      </c>
      <c r="CI326" s="51"/>
      <c r="CK326" s="160"/>
      <c r="CW326" s="176"/>
      <c r="CX326" s="176"/>
      <c r="CY326" s="176"/>
      <c r="CZ326" s="176"/>
      <c r="DA326" s="176"/>
      <c r="DB326" s="176"/>
      <c r="DC326" s="176"/>
      <c r="DD326" s="176"/>
      <c r="DE326" s="176"/>
      <c r="DF326" s="176"/>
      <c r="DG326" s="176"/>
      <c r="DH326" s="176"/>
      <c r="DI326" s="176"/>
      <c r="DJ326" s="176"/>
      <c r="DK326" s="176"/>
      <c r="DL326" s="176"/>
      <c r="DM326" s="176"/>
      <c r="DN326" s="176"/>
      <c r="DO326" s="176"/>
      <c r="DP326" s="176"/>
    </row>
    <row r="327" spans="2:125" ht="26.25" thickBot="1">
      <c r="C327" s="60" t="s">
        <v>49</v>
      </c>
      <c r="D327" s="60" t="s">
        <v>50</v>
      </c>
      <c r="E327" s="161" t="s">
        <v>51</v>
      </c>
      <c r="F327" s="60" t="s">
        <v>52</v>
      </c>
      <c r="H327" s="61" t="s">
        <v>53</v>
      </c>
      <c r="J327" s="61" t="s">
        <v>54</v>
      </c>
      <c r="K327" s="61" t="s">
        <v>54</v>
      </c>
      <c r="M327" s="61" t="s">
        <v>54</v>
      </c>
      <c r="N327" s="61" t="s">
        <v>54</v>
      </c>
      <c r="P327" s="61" t="s">
        <v>54</v>
      </c>
      <c r="R327" s="61" t="s">
        <v>54</v>
      </c>
      <c r="T327" s="61" t="s">
        <v>54</v>
      </c>
      <c r="U327" s="62"/>
      <c r="V327" s="61" t="s">
        <v>54</v>
      </c>
      <c r="X327" s="61" t="s">
        <v>54</v>
      </c>
      <c r="Z327" s="61" t="s">
        <v>54</v>
      </c>
      <c r="AB327" s="61" t="s">
        <v>53</v>
      </c>
      <c r="AC327" s="61" t="s">
        <v>54</v>
      </c>
      <c r="AD327" s="61" t="s">
        <v>54</v>
      </c>
      <c r="AE327" s="61" t="s">
        <v>54</v>
      </c>
      <c r="AG327" s="61" t="s">
        <v>53</v>
      </c>
      <c r="AH327" s="61" t="s">
        <v>54</v>
      </c>
      <c r="AI327" s="61" t="s">
        <v>54</v>
      </c>
      <c r="AJ327" s="61" t="s">
        <v>54</v>
      </c>
      <c r="AL327" s="61" t="s">
        <v>53</v>
      </c>
      <c r="AM327" s="61" t="s">
        <v>54</v>
      </c>
      <c r="AN327" s="61" t="s">
        <v>54</v>
      </c>
      <c r="AO327" s="61" t="s">
        <v>54</v>
      </c>
      <c r="AQ327" s="61" t="s">
        <v>53</v>
      </c>
      <c r="AR327" s="61" t="s">
        <v>54</v>
      </c>
      <c r="AS327" s="61" t="s">
        <v>54</v>
      </c>
      <c r="AT327" s="61" t="s">
        <v>54</v>
      </c>
      <c r="AV327" s="61" t="s">
        <v>53</v>
      </c>
      <c r="AW327" s="61" t="s">
        <v>54</v>
      </c>
      <c r="AX327" s="61" t="s">
        <v>54</v>
      </c>
      <c r="AY327" s="61" t="s">
        <v>54</v>
      </c>
      <c r="BA327" s="61" t="s">
        <v>53</v>
      </c>
      <c r="BB327" s="61" t="s">
        <v>54</v>
      </c>
      <c r="BC327" s="61" t="s">
        <v>54</v>
      </c>
      <c r="BD327" s="61" t="s">
        <v>54</v>
      </c>
      <c r="BF327" s="61" t="s">
        <v>53</v>
      </c>
      <c r="BG327" s="61" t="s">
        <v>54</v>
      </c>
      <c r="BH327" s="61" t="s">
        <v>54</v>
      </c>
      <c r="BI327" s="61" t="s">
        <v>54</v>
      </c>
      <c r="BK327" s="61" t="s">
        <v>53</v>
      </c>
      <c r="BL327" s="61" t="s">
        <v>54</v>
      </c>
      <c r="BM327" s="61" t="s">
        <v>54</v>
      </c>
      <c r="BN327" s="61" t="s">
        <v>54</v>
      </c>
      <c r="BP327" s="61" t="s">
        <v>53</v>
      </c>
      <c r="BQ327" s="61" t="s">
        <v>54</v>
      </c>
      <c r="BR327" s="61" t="s">
        <v>54</v>
      </c>
      <c r="BS327" s="61" t="s">
        <v>54</v>
      </c>
      <c r="BU327" s="61" t="s">
        <v>53</v>
      </c>
      <c r="BV327" s="61" t="s">
        <v>54</v>
      </c>
      <c r="BW327" s="61" t="s">
        <v>54</v>
      </c>
      <c r="BX327" s="61" t="s">
        <v>54</v>
      </c>
      <c r="BZ327" s="61" t="s">
        <v>53</v>
      </c>
      <c r="CA327" s="61" t="s">
        <v>54</v>
      </c>
      <c r="CB327" s="61" t="s">
        <v>54</v>
      </c>
      <c r="CC327" s="61" t="s">
        <v>54</v>
      </c>
      <c r="CE327" s="33"/>
      <c r="CF327" s="63" t="s">
        <v>53</v>
      </c>
      <c r="CG327" s="63" t="s">
        <v>54</v>
      </c>
      <c r="CH327" s="63" t="s">
        <v>54</v>
      </c>
      <c r="CI327" s="35"/>
      <c r="CJ327" s="64">
        <f>ROUNDUP(CF329*40%,-1)</f>
        <v>20</v>
      </c>
      <c r="CK327" s="99"/>
    </row>
    <row r="328" spans="2:125" ht="5.25" customHeight="1">
      <c r="V328"/>
      <c r="X328"/>
      <c r="CE328" s="33"/>
      <c r="CF328" s="39"/>
      <c r="CG328" s="39"/>
      <c r="CH328" s="39"/>
      <c r="CI328" s="35"/>
      <c r="CK328" s="99"/>
    </row>
    <row r="329" spans="2:125" s="64" customFormat="1" ht="12.95" customHeight="1">
      <c r="B329" s="64" t="str">
        <f>C319</f>
        <v>REGENERANTS 1 - TG VIP Retail</v>
      </c>
      <c r="C329" s="65" t="s">
        <v>56</v>
      </c>
      <c r="D329" s="65"/>
      <c r="E329" s="66"/>
      <c r="F329" s="65"/>
      <c r="H329" s="67">
        <f>IFERROR(SUMIFS(H331:H370,F331:F370,"Produit Vente"),"Non trouvé")</f>
        <v>90</v>
      </c>
      <c r="J329" s="68">
        <f>IFERROR($K329/$H329,"Non Trouvé")</f>
        <v>18.491088888888889</v>
      </c>
      <c r="K329" s="68">
        <f>IFERROR(SUM(K331:K370),"Non Trouvé")</f>
        <v>1664.1979999999999</v>
      </c>
      <c r="M329" s="68">
        <f>IFERROR($N329/$H329,"Non Trouvé")</f>
        <v>40.267428858775745</v>
      </c>
      <c r="N329" s="68">
        <f>IFERROR(SUM(N331:N370),"Non Trouvé")</f>
        <v>3624.0685972898173</v>
      </c>
      <c r="P329" s="69">
        <f>IFERROR(-(R329-N329)/N329,"Non Trouvé")</f>
        <v>0.15000000000000005</v>
      </c>
      <c r="R329" s="68">
        <f>IFERROR(SUM(R331:R370),"Non Trouvé")</f>
        <v>3080.4583076963445</v>
      </c>
      <c r="T329" s="68">
        <f>IFERROR(SUM(T331:T370),"Non Trouvé")</f>
        <v>863.39614304461031</v>
      </c>
      <c r="U329" s="70"/>
      <c r="V329" s="68">
        <f>IFERROR(SUM(V331:V371),"Non Trouvé")</f>
        <v>733.88672158791871</v>
      </c>
      <c r="X329" s="68">
        <f>IFERROR(SUM(X331:X371),"Non Trouvé")</f>
        <v>129.50942145669154</v>
      </c>
      <c r="Z329" s="68">
        <f>IFERROR(SUM(Z331:Z370),"Non Trouvé")</f>
        <v>6160.8</v>
      </c>
      <c r="AB329" s="71">
        <f>ROUND($AB$318*AB321,0)</f>
        <v>28</v>
      </c>
      <c r="AC329" s="72">
        <f>IFERROR(VLOOKUP(AB324,'[1]Paramètres Généraux'!$O:$P,2,FALSE),"Non Trouvé")</f>
        <v>0.17</v>
      </c>
      <c r="AD329" s="68">
        <f>IFERROR(SUM(AD331:AD371),"Non Trouvé")</f>
        <v>69002.266092398117</v>
      </c>
      <c r="AE329" s="69">
        <f>IFERROR((AD329-$K329*AB329)/AD329,"Non Trouvé")</f>
        <v>0.32469545365940405</v>
      </c>
      <c r="AG329" s="71">
        <f>ROUND($AB$318*AG321,0)</f>
        <v>7</v>
      </c>
      <c r="AH329" s="72">
        <f>IFERROR(VLOOKUP(AG324,'[1]Paramètres Généraux'!$O:$P,2,FALSE),"Non Trouvé")</f>
        <v>0.13</v>
      </c>
      <c r="AI329" s="68">
        <f>IFERROR(SUM(AI331:AI371),"Non Trouvé")</f>
        <v>18265.305730340675</v>
      </c>
      <c r="AJ329" s="69">
        <f>IFERROR((AI329-$K329*AG329)/AI329,"Non Trouvé")</f>
        <v>0.3622123729005482</v>
      </c>
      <c r="AL329" s="71">
        <f>ROUND($AB$318*AL321,0)</f>
        <v>0</v>
      </c>
      <c r="AM329" s="72">
        <f>IFERROR(VLOOKUP(AL324,'[1]Paramètres Généraux'!$O:$P,2,FALSE),"Non Trouvé")</f>
        <v>0.08</v>
      </c>
      <c r="AN329" s="68">
        <f>IFERROR(SUM(AN331:AN371),"Non Trouvé")</f>
        <v>0</v>
      </c>
      <c r="AO329" s="69" t="str">
        <f>IFERROR((AN329-$K329*AL329)/AN329,"Non Trouvé")</f>
        <v>Non Trouvé</v>
      </c>
      <c r="AQ329" s="71">
        <f>ROUND($AB$318*AQ321,0)</f>
        <v>0</v>
      </c>
      <c r="AR329" s="72">
        <f>IFERROR(VLOOKUP(AQ324,'[1]Paramètres Généraux'!$O:$P,2,FALSE),"Non Trouvé")</f>
        <v>0.05</v>
      </c>
      <c r="AS329" s="68">
        <f>IFERROR(SUM(AS331:AS371),"Non Trouvé")</f>
        <v>0</v>
      </c>
      <c r="AT329" s="69" t="str">
        <f>IFERROR((AS329-$K329*AQ329)/AS329,"Non Trouvé")</f>
        <v>Non Trouvé</v>
      </c>
      <c r="AV329" s="71">
        <f>ROUND($AB$318*AV321,0)</f>
        <v>0</v>
      </c>
      <c r="AW329" s="72">
        <f>IFERROR(VLOOKUP(AV324,'[1]Paramètres Généraux'!$O:$P,2,FALSE),"Non Trouvé")</f>
        <v>0.32500000000000001</v>
      </c>
      <c r="AX329" s="68">
        <f>IFERROR(SUM(AX331:AX371),"Non Trouvé")</f>
        <v>0</v>
      </c>
      <c r="AY329" s="69" t="str">
        <f>IFERROR((AX329-$K329*AV329)/AX329,"Non Trouvé")</f>
        <v>Non Trouvé</v>
      </c>
      <c r="BA329" s="71">
        <f>ROUND($AB$318*BA321,0)</f>
        <v>0</v>
      </c>
      <c r="BB329" s="72">
        <f>IFERROR(VLOOKUP(BA324,'[1]Paramètres Généraux'!$O:$P,2,FALSE),"Non Trouvé")</f>
        <v>0.29499999999999998</v>
      </c>
      <c r="BC329" s="68">
        <f>IFERROR(SUM(BC331:BC371),"Non Trouvé")</f>
        <v>0</v>
      </c>
      <c r="BD329" s="69" t="str">
        <f>IFERROR((BC329-$K329*BA329)/BC329,"Non Trouvé")</f>
        <v>Non Trouvé</v>
      </c>
      <c r="BF329" s="71">
        <f>ROUND($AB$318*BF321,0)</f>
        <v>0</v>
      </c>
      <c r="BG329" s="72">
        <f>IFERROR(VLOOKUP(BF324,'[1]Paramètres Généraux'!$O:$P,2,FALSE),"Non Trouvé")</f>
        <v>0.27500000000000002</v>
      </c>
      <c r="BH329" s="68">
        <f>IFERROR(SUM(BH331:BH371),"Non Trouvé")</f>
        <v>0</v>
      </c>
      <c r="BI329" s="69" t="str">
        <f>IFERROR((BH329-$K329*BF329)/BH329,"Non Trouvé")</f>
        <v>Non Trouvé</v>
      </c>
      <c r="BK329" s="71">
        <f>ROUND($AB$318*BK321,0)</f>
        <v>0</v>
      </c>
      <c r="BL329" s="72">
        <f>IFERROR(VLOOKUP(BK324,'[1]Paramètres Généraux'!$O:$P,2,FALSE),"Non Trouvé")</f>
        <v>0.245</v>
      </c>
      <c r="BM329" s="68">
        <f>IFERROR(SUM(BM331:BM371),"Non Trouvé")</f>
        <v>0</v>
      </c>
      <c r="BN329" s="69" t="str">
        <f>IFERROR((BM329-$K329*BK329)/BM329,"Non Trouvé")</f>
        <v>Non Trouvé</v>
      </c>
      <c r="BP329" s="71">
        <f>ROUND($AB$318*BP321,0)</f>
        <v>0</v>
      </c>
      <c r="BQ329" s="72">
        <f>IFERROR(VLOOKUP(BP324,'[1]Paramètres Généraux'!$O:$P,2,FALSE),"Non Trouvé")</f>
        <v>0.22500000000000001</v>
      </c>
      <c r="BR329" s="68">
        <f>IFERROR(SUM(BR331:BR371),"Non Trouvé")</f>
        <v>0</v>
      </c>
      <c r="BS329" s="69" t="str">
        <f>IFERROR((BR329-$K329*BP329)/BR329,"Non Trouvé")</f>
        <v>Non Trouvé</v>
      </c>
      <c r="BU329" s="71">
        <f>ROUND($AB$318*BU321,0)</f>
        <v>0</v>
      </c>
      <c r="BV329" s="72">
        <f>IFERROR(VLOOKUP(BU324,'[1]Paramètres Généraux'!$O:$P,2,FALSE),"Non Trouvé")</f>
        <v>0.17499999999999999</v>
      </c>
      <c r="BW329" s="68">
        <f>IFERROR(SUM(BW331:BW371),"Non Trouvé")</f>
        <v>0</v>
      </c>
      <c r="BX329" s="69" t="str">
        <f>IFERROR((BW329-$K329*BU329)/BW329,"Non Trouvé")</f>
        <v>Non Trouvé</v>
      </c>
      <c r="BZ329" s="71">
        <f>ROUND($AB$318*BZ321,0)</f>
        <v>0</v>
      </c>
      <c r="CA329" s="72">
        <f>IFERROR(VLOOKUP(BZ324,'[1]Paramètres Généraux'!$O:$P,2,FALSE),"Non Trouvé")</f>
        <v>0.15</v>
      </c>
      <c r="CB329" s="68">
        <f>IFERROR(SUM(CB331:CB371),"Non Trouvé")</f>
        <v>0</v>
      </c>
      <c r="CC329" s="69" t="str">
        <f>IFERROR((CB329-$K329*BZ329)/CB329,"Non Trouvé")</f>
        <v>Non Trouvé</v>
      </c>
      <c r="CE329" s="73"/>
      <c r="CF329" s="67">
        <f>SUMIFS($AB329:$CC329,$AB326:$CC326,CF326)</f>
        <v>35</v>
      </c>
      <c r="CG329" s="67">
        <f>SUMIFS($AB329:$CC329,$AB326:$CC326,CG326)</f>
        <v>87267.571822738799</v>
      </c>
      <c r="CH329" s="74">
        <f>IFERROR((CG329-$K329*CF329)/CG329,"Non Trouvé")</f>
        <v>0.33254783210522498</v>
      </c>
      <c r="CI329" s="75"/>
      <c r="CJ329" s="64">
        <f>ROUNDUP(CF329*70%,-1)</f>
        <v>30</v>
      </c>
      <c r="CK329" s="162"/>
      <c r="CW329" s="177"/>
      <c r="CX329" s="177"/>
      <c r="CY329" s="177"/>
      <c r="CZ329" s="177"/>
      <c r="DA329" s="177"/>
      <c r="DB329" s="177"/>
      <c r="DC329" s="177"/>
      <c r="DD329" s="177"/>
      <c r="DE329" s="177"/>
      <c r="DF329" s="177"/>
      <c r="DG329" s="177"/>
      <c r="DH329" s="177"/>
      <c r="DI329" s="177"/>
      <c r="DJ329" s="177"/>
      <c r="DK329" s="177"/>
      <c r="DL329" s="177"/>
      <c r="DM329" s="177"/>
      <c r="DN329" s="177"/>
      <c r="DO329" s="177"/>
      <c r="DP329" s="177"/>
    </row>
    <row r="330" spans="2:125" ht="5.25" customHeight="1">
      <c r="V330"/>
      <c r="X330"/>
      <c r="CE330" s="33"/>
      <c r="CF330" s="39"/>
      <c r="CG330" s="39"/>
      <c r="CH330" s="39"/>
      <c r="CI330" s="35"/>
      <c r="CK330" s="99"/>
    </row>
    <row r="331" spans="2:125" ht="12.95" customHeight="1" thickBot="1">
      <c r="B331" s="1">
        <f>IF(C331="",0,COUNTIFS($B$22:B330,"&gt;"&amp;0)+1)</f>
        <v>124</v>
      </c>
      <c r="C331" s="85">
        <v>1020202</v>
      </c>
      <c r="D331" s="86" t="str">
        <f>IFERROR(IF($C331="","",VLOOKUP($C331,'[1]Paramètres Articles'!$B:$G,2,FALSE)),"Non Trouvé")</f>
        <v>Sérum Jour/Nuit - Régénérant - 30 ml</v>
      </c>
      <c r="E331" s="87">
        <f>IFERROR(IF($C331="","",_xlfn.XLOOKUP(REGENERANTS!$C331,'[1]New Base PA'!$F:$F,'[1]New Base PA'!$D:$D,"Not Found",0)),"Non Trouvé")</f>
        <v>4020829103115</v>
      </c>
      <c r="F331" s="88" t="s">
        <v>90</v>
      </c>
      <c r="H331" s="89">
        <v>13</v>
      </c>
      <c r="J331" s="90">
        <f>IFERROR(IF($C331="","",VLOOKUP($C331,'[1]New Base PA'!$F:$J,5,FALSE)),"Non Trouvé")</f>
        <v>15.839799999999999</v>
      </c>
      <c r="K331" s="131">
        <f t="shared" ref="K331:K370" si="172">IFERROR(IF($C331="","",$J331*$H331),"Non Trouvé")</f>
        <v>205.91739999999999</v>
      </c>
      <c r="L331" s="132"/>
      <c r="M331" s="131">
        <f>IFERROR(IF(AND($F331="Produit Vente",H331&gt;0),VLOOKUP($C331,'[1]Paramètres Articles'!$B:$G,6,FALSE),0),"Non Trouvé")</f>
        <v>41.117049418604651</v>
      </c>
      <c r="N331" s="131">
        <f t="shared" ref="N331:N370" si="173">IFERROR(IF($C331="","",$M331*$H331),"Non Trouvé")</f>
        <v>534.52164244186042</v>
      </c>
      <c r="P331" s="92">
        <v>0.15</v>
      </c>
      <c r="R331" s="90">
        <f t="shared" ref="R331:R370" si="174">IFERROR(IF($C331="","",$N331*(1-$P331)),"Non Trouvé")</f>
        <v>454.34339607558132</v>
      </c>
      <c r="S331" s="91"/>
      <c r="T331" s="90">
        <f>IFERROR(IF($C331="","",VLOOKUP($C331,'[1]Paramètres Articles'!$B:$H,7,FALSE)),"Non Trouvé")</f>
        <v>69.900000000000006</v>
      </c>
      <c r="U331" s="93"/>
      <c r="V331" s="90">
        <f>IFERROR(IF($C331="","",IF($P331="","",$T331*(1-$P331))),"Non Trouvé")</f>
        <v>59.415000000000006</v>
      </c>
      <c r="W331" s="91"/>
      <c r="X331" s="90">
        <f>IFERROR(T331-V331,"")</f>
        <v>10.484999999999999</v>
      </c>
      <c r="Y331" s="91"/>
      <c r="Z331" s="90">
        <f t="shared" ref="Z331:Z370" si="175">IFERROR(IF(OR(T331=0,T331=""),0,T331*H331),"Non Trouvé")</f>
        <v>908.7</v>
      </c>
      <c r="AB331" s="94">
        <f>AB329</f>
        <v>28</v>
      </c>
      <c r="AC331" s="94">
        <f>AC329</f>
        <v>0.17</v>
      </c>
      <c r="AD331" s="90">
        <f>IFERROR(IF($C331="","",IF($P$15="Cascade",$R331*(1-AC331)*AB331,IF($P$15="Additionnelle",($N331-($N331*($P331+AC331)))*AB331))),"Non Trouvé")</f>
        <v>10177.292072093023</v>
      </c>
      <c r="AG331" s="94">
        <f>AG329</f>
        <v>7</v>
      </c>
      <c r="AH331" s="94">
        <f>AH329</f>
        <v>0.13</v>
      </c>
      <c r="AI331" s="90">
        <f>IFERROR(IF($C331="","",IF($P$15="Cascade",$R331*(1-AH331)*AG331,IF($P$15="Additionnelle",($N331-($N331*($P331+AH331)))*AG331))),"Non Trouvé")</f>
        <v>2693.9890779069765</v>
      </c>
      <c r="AL331" s="94">
        <f>AL329</f>
        <v>0</v>
      </c>
      <c r="AM331" s="94">
        <f>AM329</f>
        <v>0.08</v>
      </c>
      <c r="AN331" s="90">
        <f>IFERROR(IF($C331="","",IF($P$15="Cascade",$R331*(1-AM331)*AL331,IF($P$15="Additionnelle",($N331-($N331*($P331+AM331)))*AL331))),"Non Trouvé")</f>
        <v>0</v>
      </c>
      <c r="AQ331" s="94">
        <f>AQ329</f>
        <v>0</v>
      </c>
      <c r="AR331" s="94">
        <f>AR329</f>
        <v>0.05</v>
      </c>
      <c r="AS331" s="90">
        <f>IFERROR(IF($C331="","",IF($P$15="Cascade",$R331*(1-AR331)*AQ331,IF($P$15="Additionnelle",($N331-($N331*($P331+AR331)))*AQ331))),"Non Trouvé")</f>
        <v>0</v>
      </c>
      <c r="AV331" s="94">
        <f>AV329</f>
        <v>0</v>
      </c>
      <c r="AW331" s="94">
        <f>AW329</f>
        <v>0.32500000000000001</v>
      </c>
      <c r="AX331" s="90">
        <f>IFERROR(IF($C331="","",IF($P$15="Cascade",$R331*(1-AW331)*AV331,IF($P$15="Additionnelle",($N331-($N331*($P331+AW331)))*AV331))),"Non Trouvé")</f>
        <v>0</v>
      </c>
      <c r="BA331" s="94">
        <f>BA329</f>
        <v>0</v>
      </c>
      <c r="BB331" s="94">
        <f>BB329</f>
        <v>0.29499999999999998</v>
      </c>
      <c r="BC331" s="90">
        <f>IFERROR(IF($C331="","",IF($P$15="Cascade",$R331*(1-BB331)*BA331,IF($P$15="Additionnelle",($N331-($N331*($P331+BB331)))*BA331))),"Non Trouvé")</f>
        <v>0</v>
      </c>
      <c r="BF331" s="94">
        <f>BF329</f>
        <v>0</v>
      </c>
      <c r="BG331" s="94">
        <f>BG329</f>
        <v>0.27500000000000002</v>
      </c>
      <c r="BH331" s="90">
        <f>IFERROR(IF($C331="","",IF($P$15="Cascade",$R331*(1-BG331)*BF331,IF($P$15="Additionnelle",($N331-($N331*($P331+BG331)))*BF331))),"Non Trouvé")</f>
        <v>0</v>
      </c>
      <c r="BK331" s="94">
        <f>BK329</f>
        <v>0</v>
      </c>
      <c r="BL331" s="94">
        <f>BL329</f>
        <v>0.245</v>
      </c>
      <c r="BM331" s="90">
        <f>IFERROR(IF($C331="","",IF($P$15="Cascade",$R331*(1-BL331)*BK331,IF($P$15="Additionnelle",($N331-($N331*($P331+BL331)))*BK331))),"Non Trouvé")</f>
        <v>0</v>
      </c>
      <c r="BP331" s="94">
        <f>BP329</f>
        <v>0</v>
      </c>
      <c r="BQ331" s="94">
        <f>BQ329</f>
        <v>0.22500000000000001</v>
      </c>
      <c r="BR331" s="90">
        <f>IFERROR(IF($C331="","",IF($P$15="Cascade",$R331*(1-BQ331)*BP331,IF($P$15="Additionnelle",($N331-($N331*($P331+BQ331)))*BP331))),"Non Trouvé")</f>
        <v>0</v>
      </c>
      <c r="BU331" s="94">
        <f>BU329</f>
        <v>0</v>
      </c>
      <c r="BV331" s="94">
        <f>BV329</f>
        <v>0.17499999999999999</v>
      </c>
      <c r="BW331" s="90">
        <f>IFERROR(IF($C331="","",IF($P$15="Cascade",$R331*(1-BV331)*BU331,IF($P$15="Additionnelle",($N331-($N331*($P331+BV331)))*BU331))),"Non Trouvé")</f>
        <v>0</v>
      </c>
      <c r="BZ331" s="94">
        <f>BZ329</f>
        <v>0</v>
      </c>
      <c r="CA331" s="94">
        <f>CA329</f>
        <v>0.15</v>
      </c>
      <c r="CB331" s="90">
        <f>IFERROR(IF($C331="","",IF($P$15="Cascade",$R331*(1-CA331)*BZ331,IF($P$15="Additionnelle",($N331-($N331*($P331+CA331)))*BZ331))),"Non Trouvé")</f>
        <v>0</v>
      </c>
      <c r="CE331" s="95"/>
      <c r="CF331" s="96"/>
      <c r="CG331" s="97"/>
      <c r="CH331" s="97"/>
      <c r="CI331" s="98"/>
      <c r="CK331" s="99">
        <f>IFERROR(IF(F331='[1]Paramètres Généraux'!$K$12,ROUNDUP((REGENERANTS!H331*REGENERANTS!$CF$329)*'[1]Paramètres Généraux'!$M$12,-1),IF(F331='[1]Paramètres Généraux'!$K$15,ROUNDUP((REGENERANTS!H331*REGENERANTS!$CF$329)*'[1]Paramètres Généraux'!$M$15,-1),REGENERANTS!H331*REGENERANTS!$CF$329)),"nd")</f>
        <v>455</v>
      </c>
      <c r="CN331" s="164"/>
      <c r="CO331" s="165"/>
      <c r="CP331" s="165"/>
      <c r="CQ331" s="165"/>
      <c r="CR331" s="165"/>
      <c r="CS331" s="166"/>
      <c r="CT331" s="167"/>
      <c r="CU331" s="165"/>
      <c r="CV331" s="166"/>
      <c r="CW331" s="168"/>
      <c r="CX331" s="169"/>
      <c r="CY331" s="168"/>
      <c r="CZ331" s="170"/>
      <c r="DA331" s="169"/>
      <c r="DB331" s="168"/>
      <c r="DC331" s="170"/>
      <c r="DD331" s="169"/>
      <c r="DE331" s="168"/>
      <c r="DF331" s="170"/>
      <c r="DG331" s="170"/>
      <c r="DH331" s="170"/>
      <c r="DI331" s="170"/>
      <c r="DJ331" s="170"/>
      <c r="DK331" s="170"/>
      <c r="DL331" s="170"/>
      <c r="DM331" s="170"/>
      <c r="DN331" s="170"/>
      <c r="DO331" s="169"/>
      <c r="DP331" s="168"/>
      <c r="DQ331" s="20">
        <f t="shared" ref="DQ331:DQ370" si="176">SUM(CN331:DP331)</f>
        <v>0</v>
      </c>
      <c r="DR331" s="20">
        <f t="shared" ref="DR331:DR370" si="177">SUM(CV331:DP331)</f>
        <v>0</v>
      </c>
      <c r="DS331" s="20">
        <f>IFERROR((IF(AND($F331="Produit Vente",CO331&gt;0),VLOOKUP($C331,'[1]Paramètres Articles'!$B:$H,7,FALSE)*$CO331)*(1-20%)),0)</f>
        <v>0</v>
      </c>
      <c r="DT331" s="20">
        <f>IFERROR((IF(AND($F331="Produit Vente",DR331&gt;0),VLOOKUP($C331,'[1]Paramètres Articles'!$B:$H,6,FALSE)*$DR331)*(1-15%)),0)</f>
        <v>0</v>
      </c>
      <c r="DU331" s="20">
        <f t="shared" ref="DU331:DU370" si="178">IFERROR(DQ331*J331,0)</f>
        <v>0</v>
      </c>
    </row>
    <row r="332" spans="2:125" ht="12.95" customHeight="1" thickBot="1">
      <c r="B332" s="1">
        <f>IF(C332="",0,COUNTIFS($B$22:B331,"&gt;"&amp;0)+1)</f>
        <v>125</v>
      </c>
      <c r="C332" s="85">
        <v>1020310</v>
      </c>
      <c r="D332" s="86" t="str">
        <f>IFERROR(IF($C332="","",VLOOKUP($C332,'[1]Paramètres Articles'!$B:$G,2,FALSE)),"Non Trouvé")</f>
        <v>Crème de Jour Eclat du Teint - Régénérant - 40 ml</v>
      </c>
      <c r="E332" s="87">
        <f>IFERROR(IF($C332="","",_xlfn.XLOOKUP(REGENERANTS!$C332,'[1]New Base PA'!$F:$F,'[1]New Base PA'!$D:$D,"Not Found",0)),"Non Trouvé")</f>
        <v>4020829060999</v>
      </c>
      <c r="F332" s="88" t="s">
        <v>90</v>
      </c>
      <c r="H332" s="89">
        <v>6</v>
      </c>
      <c r="J332" s="90">
        <f>IFERROR(IF($C332="","",VLOOKUP($C332,'[1]New Base PA'!$F:$J,5,FALSE)),"Non Trouvé")</f>
        <v>16.2226</v>
      </c>
      <c r="K332" s="131">
        <f t="shared" si="172"/>
        <v>97.335599999999999</v>
      </c>
      <c r="L332" s="132"/>
      <c r="M332" s="131">
        <f>IFERROR(IF(AND($F332="Produit Vente",H332&gt;0),VLOOKUP($C332,'[1]Paramètres Articles'!$B:$G,6,FALSE),0),"Non Trouvé")</f>
        <v>41.12</v>
      </c>
      <c r="N332" s="131">
        <f t="shared" si="173"/>
        <v>246.71999999999997</v>
      </c>
      <c r="P332" s="92">
        <v>0.15</v>
      </c>
      <c r="R332" s="90">
        <f t="shared" si="174"/>
        <v>209.71199999999996</v>
      </c>
      <c r="S332" s="91"/>
      <c r="T332" s="90">
        <f>IFERROR(IF($C332="","",VLOOKUP($C332,'[1]Paramètres Articles'!$B:$H,7,FALSE)),"Non Trouvé")</f>
        <v>69.900000000000006</v>
      </c>
      <c r="U332" s="93"/>
      <c r="V332" s="90">
        <f t="shared" ref="V332:V370" si="179">IFERROR(IF($C332="","",IF($P332="","",$T332*(1-$P332))),"Non Trouvé")</f>
        <v>59.415000000000006</v>
      </c>
      <c r="W332" s="91"/>
      <c r="X332" s="90">
        <f>IFERROR(T332-V332,"")</f>
        <v>10.484999999999999</v>
      </c>
      <c r="Y332" s="91"/>
      <c r="Z332" s="90">
        <f t="shared" si="175"/>
        <v>419.40000000000003</v>
      </c>
      <c r="AB332" s="94">
        <f>AB331</f>
        <v>28</v>
      </c>
      <c r="AC332" s="94">
        <f>AC331</f>
        <v>0.17</v>
      </c>
      <c r="AD332" s="90">
        <f>IFERROR(IF($C332="","",IF($P$15="Cascade",$R332*(1-AC332)*AB332,IF($P$15="Additionnelle",($N332-($N332*($P332+AC332)))*AB332))),"Non Trouvé")</f>
        <v>4697.5487999999987</v>
      </c>
      <c r="AG332" s="94">
        <f>AG331</f>
        <v>7</v>
      </c>
      <c r="AH332" s="94">
        <f>AH331</f>
        <v>0.13</v>
      </c>
      <c r="AI332" s="90">
        <f>IFERROR(IF($C332="","",IF($P$15="Cascade",$R332*(1-AH332)*AG332,IF($P$15="Additionnelle",($N332-($N332*($P332+AH332)))*AG332))),"Non Trouvé")</f>
        <v>1243.4687999999999</v>
      </c>
      <c r="AL332" s="94">
        <f>AL331</f>
        <v>0</v>
      </c>
      <c r="AM332" s="94">
        <f>AM331</f>
        <v>0.08</v>
      </c>
      <c r="AN332" s="90">
        <f>IFERROR(IF($C332="","",IF($P$15="Cascade",$R332*(1-AM332)*AL332,IF($P$15="Additionnelle",($N332-($N332*($P332+AM332)))*AL332))),"Non Trouvé")</f>
        <v>0</v>
      </c>
      <c r="AQ332" s="94">
        <f>AQ331</f>
        <v>0</v>
      </c>
      <c r="AR332" s="94">
        <f>AR331</f>
        <v>0.05</v>
      </c>
      <c r="AS332" s="90">
        <f>IFERROR(IF($C332="","",IF($P$15="Cascade",$R332*(1-AR332)*AQ332,IF($P$15="Additionnelle",($N332-($N332*($P332+AR332)))*AQ332))),"Non Trouvé")</f>
        <v>0</v>
      </c>
      <c r="AV332" s="94">
        <f>AV331</f>
        <v>0</v>
      </c>
      <c r="AW332" s="94">
        <f>AW331</f>
        <v>0.32500000000000001</v>
      </c>
      <c r="AX332" s="90">
        <f>IFERROR(IF($C332="","",IF($P$15="Cascade",$R332*(1-AW332)*AV332,IF($P$15="Additionnelle",($N332-($N332*($P332+AW332)))*AV332))),"Non Trouvé")</f>
        <v>0</v>
      </c>
      <c r="BA332" s="94">
        <f>BA331</f>
        <v>0</v>
      </c>
      <c r="BB332" s="94">
        <f>BB331</f>
        <v>0.29499999999999998</v>
      </c>
      <c r="BC332" s="90">
        <f>IFERROR(IF($C332="","",IF($P$15="Cascade",$R332*(1-BB332)*BA332,IF($P$15="Additionnelle",($N332-($N332*($P332+BB332)))*BA332))),"Non Trouvé")</f>
        <v>0</v>
      </c>
      <c r="BF332" s="94">
        <f>BF331</f>
        <v>0</v>
      </c>
      <c r="BG332" s="94">
        <f>BG331</f>
        <v>0.27500000000000002</v>
      </c>
      <c r="BH332" s="90">
        <f>IFERROR(IF($C332="","",IF($P$15="Cascade",$R332*(1-BG332)*BF332,IF($P$15="Additionnelle",($N332-($N332*($P332+BG332)))*BF332))),"Non Trouvé")</f>
        <v>0</v>
      </c>
      <c r="BK332" s="94">
        <f>BK331</f>
        <v>0</v>
      </c>
      <c r="BL332" s="94">
        <f>BL331</f>
        <v>0.245</v>
      </c>
      <c r="BM332" s="90">
        <f>IFERROR(IF($C332="","",IF($P$15="Cascade",$R332*(1-BL332)*BK332,IF($P$15="Additionnelle",($N332-($N332*($P332+BL332)))*BK332))),"Non Trouvé")</f>
        <v>0</v>
      </c>
      <c r="BP332" s="94">
        <f>BP331</f>
        <v>0</v>
      </c>
      <c r="BQ332" s="94">
        <f>BQ331</f>
        <v>0.22500000000000001</v>
      </c>
      <c r="BR332" s="90">
        <f>IFERROR(IF($C332="","",IF($P$15="Cascade",$R332*(1-BQ332)*BP332,IF($P$15="Additionnelle",($N332-($N332*($P332+BQ332)))*BP332))),"Non Trouvé")</f>
        <v>0</v>
      </c>
      <c r="BU332" s="94">
        <f>BU331</f>
        <v>0</v>
      </c>
      <c r="BV332" s="94">
        <f>BV331</f>
        <v>0.17499999999999999</v>
      </c>
      <c r="BW332" s="90">
        <f>IFERROR(IF($C332="","",IF($P$15="Cascade",$R332*(1-BV332)*BU332,IF($P$15="Additionnelle",($N332-($N332*($P332+BV332)))*BU332))),"Non Trouvé")</f>
        <v>0</v>
      </c>
      <c r="BZ332" s="94">
        <f>BZ331</f>
        <v>0</v>
      </c>
      <c r="CA332" s="94">
        <f>CA331</f>
        <v>0.15</v>
      </c>
      <c r="CB332" s="90">
        <f>IFERROR(IF($C332="","",IF($P$15="Cascade",$R332*(1-CA332)*BZ332,IF($P$15="Additionnelle",($N332-($N332*($P332+CA332)))*BZ332))),"Non Trouvé")</f>
        <v>0</v>
      </c>
      <c r="CE332" s="95"/>
      <c r="CF332" s="114"/>
      <c r="CG332" s="115" t="s">
        <v>91</v>
      </c>
      <c r="CH332" s="116">
        <f>CG329/CF329</f>
        <v>2493.359194935394</v>
      </c>
      <c r="CI332" s="98"/>
      <c r="CK332" s="99">
        <f>IFERROR(IF(F332='[1]Paramètres Généraux'!$K$12,ROUNDUP((REGENERANTS!H332*REGENERANTS!$CF$329)*'[1]Paramètres Généraux'!$M$12,-1),IF(F332='[1]Paramètres Généraux'!$K$15,ROUNDUP((REGENERANTS!H332*REGENERANTS!$CF$329)*'[1]Paramètres Généraux'!$M$15,-1),REGENERANTS!H332*REGENERANTS!$CF$329)),"nd")</f>
        <v>210</v>
      </c>
      <c r="CN332" s="100"/>
      <c r="CO332" s="101"/>
      <c r="CP332" s="101"/>
      <c r="CQ332" s="101"/>
      <c r="CR332" s="101"/>
      <c r="CS332" s="171"/>
      <c r="CT332" s="172"/>
      <c r="CU332" s="101"/>
      <c r="CV332" s="171"/>
      <c r="CW332" s="106"/>
      <c r="CX332" s="107"/>
      <c r="CY332" s="106"/>
      <c r="CZ332" s="104"/>
      <c r="DA332" s="107"/>
      <c r="DB332" s="106"/>
      <c r="DC332" s="104"/>
      <c r="DD332" s="107"/>
      <c r="DE332" s="106"/>
      <c r="DF332" s="104"/>
      <c r="DG332" s="104"/>
      <c r="DH332" s="104"/>
      <c r="DI332" s="104"/>
      <c r="DJ332" s="104"/>
      <c r="DK332" s="104"/>
      <c r="DL332" s="104"/>
      <c r="DM332" s="104"/>
      <c r="DN332" s="104"/>
      <c r="DO332" s="107"/>
      <c r="DP332" s="106"/>
      <c r="DQ332" s="20">
        <f t="shared" si="176"/>
        <v>0</v>
      </c>
      <c r="DR332" s="20">
        <f t="shared" si="177"/>
        <v>0</v>
      </c>
      <c r="DS332" s="20">
        <f>IFERROR((IF(AND($F332="Produit Vente",CO332&gt;0),VLOOKUP($C332,'[1]Paramètres Articles'!$B:$H,7,FALSE)*$CO332)*(1-20%)),0)</f>
        <v>0</v>
      </c>
      <c r="DT332" s="20">
        <f>IFERROR((IF(AND($F332="Produit Vente",DR332&gt;0),VLOOKUP($C332,'[1]Paramètres Articles'!$B:$H,6,FALSE)*$DR332)*(1-15%)),0)</f>
        <v>0</v>
      </c>
      <c r="DU332" s="20">
        <f t="shared" si="178"/>
        <v>0</v>
      </c>
    </row>
    <row r="333" spans="2:125" ht="12.95" customHeight="1" thickBot="1">
      <c r="B333" s="1">
        <f>IF(C333="",0,COUNTIFS($B$22:B332,"&gt;"&amp;0)+1)</f>
        <v>126</v>
      </c>
      <c r="C333" s="85">
        <v>1020401</v>
      </c>
      <c r="D333" s="86" t="str">
        <f>IFERROR(IF($C333="","",VLOOKUP($C333,'[1]Paramètres Articles'!$B:$G,2,FALSE)),"Non Trouvé")</f>
        <v>Crème Contour des Yeux - Régénérant - 15 ml</v>
      </c>
      <c r="E333" s="87">
        <f>IFERROR(IF($C333="","",_xlfn.XLOOKUP(REGENERANTS!$C333,'[1]New Base PA'!$F:$F,'[1]New Base PA'!$D:$D,"Not Found",0)),"Non Trouvé")</f>
        <v>4020829013919</v>
      </c>
      <c r="F333" s="88" t="s">
        <v>90</v>
      </c>
      <c r="H333" s="89">
        <v>8</v>
      </c>
      <c r="J333" s="90">
        <f>IFERROR(IF($C333="","",VLOOKUP($C333,'[1]New Base PA'!$F:$J,5,FALSE)),"Non Trouvé")</f>
        <v>15.4918</v>
      </c>
      <c r="K333" s="131">
        <f t="shared" si="172"/>
        <v>123.9344</v>
      </c>
      <c r="L333" s="132"/>
      <c r="M333" s="131">
        <f>IFERROR(IF(AND($F333="Produit Vente",H333&gt;0),VLOOKUP($C333,'[1]Paramètres Articles'!$B:$G,6,FALSE),0),"Non Trouvé")</f>
        <v>39.71</v>
      </c>
      <c r="N333" s="131">
        <f t="shared" si="173"/>
        <v>317.68</v>
      </c>
      <c r="P333" s="92">
        <v>0.15</v>
      </c>
      <c r="R333" s="90">
        <f t="shared" si="174"/>
        <v>270.02800000000002</v>
      </c>
      <c r="S333" s="91"/>
      <c r="T333" s="90">
        <f>IFERROR(IF($C333="","",VLOOKUP($C333,'[1]Paramètres Articles'!$B:$H,7,FALSE)),"Non Trouvé")</f>
        <v>67.5</v>
      </c>
      <c r="U333" s="93"/>
      <c r="V333" s="90">
        <f t="shared" si="179"/>
        <v>57.375</v>
      </c>
      <c r="W333" s="91"/>
      <c r="X333" s="90">
        <f t="shared" ref="X333:X370" si="180">IFERROR(T333-V333,"")</f>
        <v>10.125</v>
      </c>
      <c r="Y333" s="91"/>
      <c r="Z333" s="90">
        <f t="shared" si="175"/>
        <v>540</v>
      </c>
      <c r="AB333" s="94">
        <f>AB331</f>
        <v>28</v>
      </c>
      <c r="AC333" s="94">
        <f>AC331</f>
        <v>0.17</v>
      </c>
      <c r="AD333" s="90">
        <f>IFERROR(IF($C333="","",IF($P$15="Cascade",$R333*(1-AC333)*AB333,IF($P$15="Additionnelle",($N333-($N333*($P333+AC333)))*AB333))),"Non Trouvé")</f>
        <v>6048.6271999999999</v>
      </c>
      <c r="AG333" s="94">
        <f>AG331</f>
        <v>7</v>
      </c>
      <c r="AH333" s="94">
        <f>AH331</f>
        <v>0.13</v>
      </c>
      <c r="AI333" s="90">
        <f>IFERROR(IF($C333="","",IF($P$15="Cascade",$R333*(1-AH333)*AG333,IF($P$15="Additionnelle",($N333-($N333*($P333+AH333)))*AG333))),"Non Trouvé")</f>
        <v>1601.1071999999999</v>
      </c>
      <c r="AL333" s="94">
        <f>AL331</f>
        <v>0</v>
      </c>
      <c r="AM333" s="94">
        <f>AM331</f>
        <v>0.08</v>
      </c>
      <c r="AN333" s="90">
        <f>IFERROR(IF($C333="","",IF($P$15="Cascade",$R333*(1-AM333)*AL333,IF($P$15="Additionnelle",($N333-($N333*($P333+AM333)))*AL333))),"Non Trouvé")</f>
        <v>0</v>
      </c>
      <c r="AQ333" s="94">
        <f>AQ331</f>
        <v>0</v>
      </c>
      <c r="AR333" s="94">
        <f>AR331</f>
        <v>0.05</v>
      </c>
      <c r="AS333" s="90">
        <f>IFERROR(IF($C333="","",IF($P$15="Cascade",$R333*(1-AR333)*AQ333,IF($P$15="Additionnelle",($N333-($N333*($P333+AR333)))*AQ333))),"Non Trouvé")</f>
        <v>0</v>
      </c>
      <c r="AV333" s="94">
        <f>AV331</f>
        <v>0</v>
      </c>
      <c r="AW333" s="94">
        <f>AW331</f>
        <v>0.32500000000000001</v>
      </c>
      <c r="AX333" s="90">
        <f>IFERROR(IF($C333="","",IF($P$15="Cascade",$R333*(1-AW333)*AV333,IF($P$15="Additionnelle",($N333-($N333*($P333+AW333)))*AV333))),"Non Trouvé")</f>
        <v>0</v>
      </c>
      <c r="BA333" s="94">
        <f>BA331</f>
        <v>0</v>
      </c>
      <c r="BB333" s="94">
        <f>BB331</f>
        <v>0.29499999999999998</v>
      </c>
      <c r="BC333" s="90">
        <f>IFERROR(IF($C333="","",IF($P$15="Cascade",$R333*(1-BB333)*BA333,IF($P$15="Additionnelle",($N333-($N333*($P333+BB333)))*BA333))),"Non Trouvé")</f>
        <v>0</v>
      </c>
      <c r="BF333" s="94">
        <f>BF331</f>
        <v>0</v>
      </c>
      <c r="BG333" s="94">
        <f>BG331</f>
        <v>0.27500000000000002</v>
      </c>
      <c r="BH333" s="90">
        <f>IFERROR(IF($C333="","",IF($P$15="Cascade",$R333*(1-BG333)*BF333,IF($P$15="Additionnelle",($N333-($N333*($P333+BG333)))*BF333))),"Non Trouvé")</f>
        <v>0</v>
      </c>
      <c r="BK333" s="94">
        <f>BK331</f>
        <v>0</v>
      </c>
      <c r="BL333" s="94">
        <f>BL331</f>
        <v>0.245</v>
      </c>
      <c r="BM333" s="90">
        <f>IFERROR(IF($C333="","",IF($P$15="Cascade",$R333*(1-BL333)*BK333,IF($P$15="Additionnelle",($N333-($N333*($P333+BL333)))*BK333))),"Non Trouvé")</f>
        <v>0</v>
      </c>
      <c r="BP333" s="94">
        <f>BP331</f>
        <v>0</v>
      </c>
      <c r="BQ333" s="94">
        <f>BQ331</f>
        <v>0.22500000000000001</v>
      </c>
      <c r="BR333" s="90">
        <f>IFERROR(IF($C333="","",IF($P$15="Cascade",$R333*(1-BQ333)*BP333,IF($P$15="Additionnelle",($N333-($N333*($P333+BQ333)))*BP333))),"Non Trouvé")</f>
        <v>0</v>
      </c>
      <c r="BU333" s="94">
        <f>BU331</f>
        <v>0</v>
      </c>
      <c r="BV333" s="94">
        <f>BV331</f>
        <v>0.17499999999999999</v>
      </c>
      <c r="BW333" s="90">
        <f>IFERROR(IF($C333="","",IF($P$15="Cascade",$R333*(1-BV333)*BU333,IF($P$15="Additionnelle",($N333-($N333*($P333+BV333)))*BU333))),"Non Trouvé")</f>
        <v>0</v>
      </c>
      <c r="BZ333" s="94">
        <f>BZ331</f>
        <v>0</v>
      </c>
      <c r="CA333" s="94">
        <f>CA331</f>
        <v>0.15</v>
      </c>
      <c r="CB333" s="90">
        <f>IFERROR(IF($C333="","",IF($P$15="Cascade",$R333*(1-CA333)*BZ333,IF($P$15="Additionnelle",($N333-($N333*($P333+CA333)))*BZ333))),"Non Trouvé")</f>
        <v>0</v>
      </c>
      <c r="CE333" s="95"/>
      <c r="CF333" s="114"/>
      <c r="CG333" s="115" t="s">
        <v>92</v>
      </c>
      <c r="CH333" s="118">
        <f>SUM(CH335:CH338)</f>
        <v>0.15376776080730781</v>
      </c>
      <c r="CI333" s="98"/>
      <c r="CK333" s="99">
        <f>IFERROR(IF(F333='[1]Paramètres Généraux'!$K$12,ROUNDUP((REGENERANTS!H333*REGENERANTS!$CF$329)*'[1]Paramètres Généraux'!$M$12,-1),IF(F333='[1]Paramètres Généraux'!$K$15,ROUNDUP((REGENERANTS!H333*REGENERANTS!$CF$329)*'[1]Paramètres Généraux'!$M$15,-1),REGENERANTS!H333*REGENERANTS!$CF$329)),"nd")</f>
        <v>280</v>
      </c>
      <c r="CN333" s="100"/>
      <c r="CO333" s="101"/>
      <c r="CP333" s="101"/>
      <c r="CQ333" s="101"/>
      <c r="CR333" s="101"/>
      <c r="CS333" s="171"/>
      <c r="CT333" s="172"/>
      <c r="CU333" s="101"/>
      <c r="CV333" s="171"/>
      <c r="CW333" s="106"/>
      <c r="CX333" s="107"/>
      <c r="CY333" s="106"/>
      <c r="CZ333" s="104"/>
      <c r="DA333" s="107"/>
      <c r="DB333" s="106"/>
      <c r="DC333" s="104"/>
      <c r="DD333" s="107"/>
      <c r="DE333" s="106"/>
      <c r="DF333" s="104"/>
      <c r="DG333" s="104"/>
      <c r="DH333" s="104"/>
      <c r="DI333" s="104"/>
      <c r="DJ333" s="104"/>
      <c r="DK333" s="104"/>
      <c r="DL333" s="104"/>
      <c r="DM333" s="104"/>
      <c r="DN333" s="104"/>
      <c r="DO333" s="107"/>
      <c r="DP333" s="106"/>
      <c r="DQ333" s="20">
        <f t="shared" si="176"/>
        <v>0</v>
      </c>
      <c r="DR333" s="20">
        <f t="shared" si="177"/>
        <v>0</v>
      </c>
      <c r="DS333" s="20">
        <f>IFERROR((IF(AND($F333="Produit Vente",CO333&gt;0),VLOOKUP($C333,'[1]Paramètres Articles'!$B:$H,7,FALSE)*$CO333)*(1-20%)),0)</f>
        <v>0</v>
      </c>
      <c r="DT333" s="20">
        <f>IFERROR((IF(AND($F333="Produit Vente",DR333&gt;0),VLOOKUP($C333,'[1]Paramètres Articles'!$B:$H,6,FALSE)*$DR333)*(1-15%)),0)</f>
        <v>0</v>
      </c>
      <c r="DU333" s="20">
        <f t="shared" si="178"/>
        <v>0</v>
      </c>
    </row>
    <row r="334" spans="2:125" ht="12.95" customHeight="1" outlineLevel="1">
      <c r="B334" s="1">
        <f>IF(C334="",0,COUNTIFS($B$22:B333,"&gt;"&amp;0)+1)</f>
        <v>127</v>
      </c>
      <c r="C334" s="85">
        <v>1020302</v>
      </c>
      <c r="D334" s="86" t="str">
        <f>IFERROR(IF($C334="","",VLOOKUP($C334,'[1]Paramètres Articles'!$B:$G,2,FALSE)),"Non Trouvé")</f>
        <v>Crème Cou et Décolleté - Régénérant - 40 ml</v>
      </c>
      <c r="E334" s="87">
        <f>IFERROR(IF($C334="","",_xlfn.XLOOKUP(REGENERANTS!$C334,'[1]New Base PA'!$F:$F,'[1]New Base PA'!$D:$D,"Not Found",0)),"Non Trouvé")</f>
        <v>4020829008366</v>
      </c>
      <c r="F334" s="88" t="s">
        <v>90</v>
      </c>
      <c r="H334" s="89">
        <v>4</v>
      </c>
      <c r="J334" s="90">
        <f>IFERROR(IF($C334="","",VLOOKUP($C334,'[1]New Base PA'!$F:$J,5,FALSE)),"Non Trouvé")</f>
        <v>13.774999999999999</v>
      </c>
      <c r="K334" s="131">
        <f t="shared" si="172"/>
        <v>55.099999999999994</v>
      </c>
      <c r="L334" s="132"/>
      <c r="M334" s="131">
        <f>IFERROR(IF(AND($F334="Produit Vente",H334&gt;0),VLOOKUP($C334,'[1]Paramètres Articles'!$B:$G,6,FALSE),0),"Non Trouvé")</f>
        <v>35.878166666666665</v>
      </c>
      <c r="N334" s="131">
        <f t="shared" si="173"/>
        <v>143.51266666666666</v>
      </c>
      <c r="P334" s="92">
        <v>0.15</v>
      </c>
      <c r="R334" s="90">
        <f t="shared" si="174"/>
        <v>121.98576666666666</v>
      </c>
      <c r="S334" s="91"/>
      <c r="T334" s="90">
        <f>IFERROR(IF($C334="","",VLOOKUP($C334,'[1]Paramètres Articles'!$B:$H,7,FALSE)),"Non Trouvé")</f>
        <v>61</v>
      </c>
      <c r="U334" s="93"/>
      <c r="V334" s="90">
        <f t="shared" si="179"/>
        <v>51.85</v>
      </c>
      <c r="W334" s="91"/>
      <c r="X334" s="90">
        <f t="shared" si="180"/>
        <v>9.1499999999999986</v>
      </c>
      <c r="Y334" s="91"/>
      <c r="Z334" s="90">
        <f t="shared" si="175"/>
        <v>244</v>
      </c>
      <c r="AB334" s="94">
        <f>AB333</f>
        <v>28</v>
      </c>
      <c r="AC334" s="94">
        <f>AC333</f>
        <v>0.17</v>
      </c>
      <c r="AD334" s="90">
        <f t="shared" ref="AD334:AD370" si="181">IFERROR(IF($C334="","",IF($P$15="Cascade",$R334*(1-AC334)*AB334,IF($P$15="Additionnelle",($N334-($N334*($P334+AC334)))*AB334))),"Non Trouvé")</f>
        <v>2732.4811733333331</v>
      </c>
      <c r="AG334" s="94">
        <f>AG333</f>
        <v>7</v>
      </c>
      <c r="AH334" s="94">
        <f>AH333</f>
        <v>0.13</v>
      </c>
      <c r="AI334" s="90">
        <f t="shared" ref="AI334:AI370" si="182">IFERROR(IF($C334="","",IF($P$15="Cascade",$R334*(1-AH334)*AG334,IF($P$15="Additionnelle",($N334-($N334*($P334+AH334)))*AG334))),"Non Trouvé")</f>
        <v>723.30383999999992</v>
      </c>
      <c r="AL334" s="94">
        <f>AL333</f>
        <v>0</v>
      </c>
      <c r="AM334" s="94">
        <f>AM333</f>
        <v>0.08</v>
      </c>
      <c r="AN334" s="90">
        <f t="shared" ref="AN334:AN370" si="183">IFERROR(IF($C334="","",IF($P$15="Cascade",$R334*(1-AM334)*AL334,IF($P$15="Additionnelle",($N334-($N334*($P334+AM334)))*AL334))),"Non Trouvé")</f>
        <v>0</v>
      </c>
      <c r="AQ334" s="94">
        <f>AQ333</f>
        <v>0</v>
      </c>
      <c r="AR334" s="94">
        <f>AR333</f>
        <v>0.05</v>
      </c>
      <c r="AS334" s="90">
        <f t="shared" ref="AS334:AS370" si="184">IFERROR(IF($C334="","",IF($P$15="Cascade",$R334*(1-AR334)*AQ334,IF($P$15="Additionnelle",($N334-($N334*($P334+AR334)))*AQ334))),"Non Trouvé")</f>
        <v>0</v>
      </c>
      <c r="AV334" s="94">
        <f>AV333</f>
        <v>0</v>
      </c>
      <c r="AW334" s="94">
        <f>AW333</f>
        <v>0.32500000000000001</v>
      </c>
      <c r="AX334" s="90">
        <f t="shared" ref="AX334:AX370" si="185">IFERROR(IF($C334="","",IF($P$15="Cascade",$R334*(1-AW334)*AV334,IF($P$15="Additionnelle",($N334-($N334*($P334+AW334)))*AV334))),"Non Trouvé")</f>
        <v>0</v>
      </c>
      <c r="BA334" s="94">
        <f>BA333</f>
        <v>0</v>
      </c>
      <c r="BB334" s="94">
        <f>BB333</f>
        <v>0.29499999999999998</v>
      </c>
      <c r="BC334" s="90">
        <f t="shared" ref="BC334:BC370" si="186">IFERROR(IF($C334="","",IF($P$15="Cascade",$R334*(1-BB334)*BA334,IF($P$15="Additionnelle",($N334-($N334*($P334+BB334)))*BA334))),"Non Trouvé")</f>
        <v>0</v>
      </c>
      <c r="BF334" s="94">
        <f>BF333</f>
        <v>0</v>
      </c>
      <c r="BG334" s="94">
        <f>BG333</f>
        <v>0.27500000000000002</v>
      </c>
      <c r="BH334" s="90">
        <f t="shared" ref="BH334:BH370" si="187">IFERROR(IF($C334="","",IF($P$15="Cascade",$R334*(1-BG334)*BF334,IF($P$15="Additionnelle",($N334-($N334*($P334+BG334)))*BF334))),"Non Trouvé")</f>
        <v>0</v>
      </c>
      <c r="BK334" s="94">
        <f>BK333</f>
        <v>0</v>
      </c>
      <c r="BL334" s="94">
        <f>BL333</f>
        <v>0.245</v>
      </c>
      <c r="BM334" s="90">
        <f t="shared" ref="BM334:BM370" si="188">IFERROR(IF($C334="","",IF($P$15="Cascade",$R334*(1-BL334)*BK334,IF($P$15="Additionnelle",($N334-($N334*($P334+BL334)))*BK334))),"Non Trouvé")</f>
        <v>0</v>
      </c>
      <c r="BP334" s="94">
        <f>BP333</f>
        <v>0</v>
      </c>
      <c r="BQ334" s="94">
        <f>BQ333</f>
        <v>0.22500000000000001</v>
      </c>
      <c r="BR334" s="90">
        <f t="shared" ref="BR334:BR370" si="189">IFERROR(IF($C334="","",IF($P$15="Cascade",$R334*(1-BQ334)*BP334,IF($P$15="Additionnelle",($N334-($N334*($P334+BQ334)))*BP334))),"Non Trouvé")</f>
        <v>0</v>
      </c>
      <c r="BU334" s="94">
        <f>BU333</f>
        <v>0</v>
      </c>
      <c r="BV334" s="94">
        <f>BV333</f>
        <v>0.17499999999999999</v>
      </c>
      <c r="BW334" s="90">
        <f t="shared" ref="BW334:BW370" si="190">IFERROR(IF($C334="","",IF($P$15="Cascade",$R334*(1-BV334)*BU334,IF($P$15="Additionnelle",($N334-($N334*($P334+BV334)))*BU334))),"Non Trouvé")</f>
        <v>0</v>
      </c>
      <c r="BZ334" s="94">
        <f>BZ333</f>
        <v>0</v>
      </c>
      <c r="CA334" s="94">
        <f>CA333</f>
        <v>0.15</v>
      </c>
      <c r="CB334" s="90">
        <f t="shared" ref="CB334:CB370" si="191">IFERROR(IF($C334="","",IF($P$15="Cascade",$R334*(1-CA334)*BZ334,IF($P$15="Additionnelle",($N334-($N334*($P334+CA334)))*BZ334))),"Non Trouvé")</f>
        <v>0</v>
      </c>
      <c r="CE334" s="95"/>
      <c r="CF334" s="96"/>
      <c r="CG334" s="97"/>
      <c r="CH334" s="97"/>
      <c r="CI334" s="98"/>
      <c r="CK334" s="99">
        <f>IFERROR(IF(F334='[1]Paramètres Généraux'!$K$12,ROUNDUP((REGENERANTS!H334*REGENERANTS!$CF$329)*'[1]Paramètres Généraux'!$M$12,-1),IF(F334='[1]Paramètres Généraux'!$K$15,ROUNDUP((REGENERANTS!H334*REGENERANTS!$CF$329)*'[1]Paramètres Généraux'!$M$15,-1),REGENERANTS!H334*REGENERANTS!$CF$329)),"nd")</f>
        <v>140</v>
      </c>
      <c r="CN334" s="100"/>
      <c r="CO334" s="101"/>
      <c r="CP334" s="101"/>
      <c r="CQ334" s="101"/>
      <c r="CR334" s="101"/>
      <c r="CS334" s="171"/>
      <c r="CT334" s="172"/>
      <c r="CU334" s="101"/>
      <c r="CV334" s="171"/>
      <c r="CW334" s="106"/>
      <c r="CX334" s="107"/>
      <c r="CY334" s="106"/>
      <c r="CZ334" s="104"/>
      <c r="DA334" s="107"/>
      <c r="DB334" s="106"/>
      <c r="DC334" s="104"/>
      <c r="DD334" s="107"/>
      <c r="DE334" s="106"/>
      <c r="DF334" s="104"/>
      <c r="DG334" s="104"/>
      <c r="DH334" s="104"/>
      <c r="DI334" s="104"/>
      <c r="DJ334" s="104"/>
      <c r="DK334" s="104"/>
      <c r="DL334" s="104"/>
      <c r="DM334" s="104"/>
      <c r="DN334" s="104"/>
      <c r="DO334" s="107"/>
      <c r="DP334" s="106"/>
      <c r="DQ334" s="20">
        <f t="shared" si="176"/>
        <v>0</v>
      </c>
      <c r="DR334" s="20">
        <f t="shared" si="177"/>
        <v>0</v>
      </c>
      <c r="DS334" s="20">
        <f>IFERROR((IF(AND($F334="Produit Vente",CO334&gt;0),VLOOKUP($C334,'[1]Paramètres Articles'!$B:$H,7,FALSE)*$CO334)*(1-20%)),0)</f>
        <v>0</v>
      </c>
      <c r="DT334" s="20">
        <f>IFERROR((IF(AND($F334="Produit Vente",DR334&gt;0),VLOOKUP($C334,'[1]Paramètres Articles'!$B:$H,6,FALSE)*$DR334)*(1-15%)),0)</f>
        <v>0</v>
      </c>
      <c r="DU334" s="20">
        <f t="shared" si="178"/>
        <v>0</v>
      </c>
    </row>
    <row r="335" spans="2:125" ht="12.95" customHeight="1" outlineLevel="1">
      <c r="B335" s="1">
        <f>IF(C335="",0,COUNTIFS($B$22:B334,"&gt;"&amp;0)+1)</f>
        <v>128</v>
      </c>
      <c r="C335" s="85">
        <v>1020721</v>
      </c>
      <c r="D335" s="86" t="str">
        <f>IFERROR(IF($C335="","",VLOOKUP($C335,'[1]Paramètres Articles'!$B:$G,2,FALSE)),"Non Trouvé")</f>
        <v>Cure Intensive Fortifiante - Régénérant - 40ml</v>
      </c>
      <c r="E335" s="87">
        <f>IFERROR(IF($C335="","",_xlfn.XLOOKUP(REGENERANTS!$C335,'[1]New Base PA'!$F:$F,'[1]New Base PA'!$D:$D,"Not Found",0)),"Non Trouvé")</f>
        <v>4020829102941</v>
      </c>
      <c r="F335" s="88" t="s">
        <v>90</v>
      </c>
      <c r="H335" s="89">
        <v>0</v>
      </c>
      <c r="J335" s="90">
        <f>IFERROR(IF($C335="","",VLOOKUP($C335,'[1]New Base PA'!$F:$J,5,FALSE)),"Non Trouvé")</f>
        <v>16.878</v>
      </c>
      <c r="K335" s="131">
        <f t="shared" si="172"/>
        <v>0</v>
      </c>
      <c r="L335" s="132"/>
      <c r="M335" s="131">
        <f>IFERROR(IF(AND($F335="Produit Vente",H335&gt;0),VLOOKUP($C335,'[1]Paramètres Articles'!$B:$G,6,FALSE),0),"Non Trouvé")</f>
        <v>0</v>
      </c>
      <c r="N335" s="131">
        <f t="shared" si="173"/>
        <v>0</v>
      </c>
      <c r="P335" s="92">
        <v>0.15</v>
      </c>
      <c r="R335" s="90">
        <f t="shared" si="174"/>
        <v>0</v>
      </c>
      <c r="S335" s="91"/>
      <c r="T335" s="90">
        <f>IFERROR(IF($C335="","",VLOOKUP($C335,'[1]Paramètres Articles'!$B:$H,7,FALSE)),"Non Trouvé")</f>
        <v>72.898071522305145</v>
      </c>
      <c r="U335" s="93"/>
      <c r="V335" s="90">
        <f t="shared" si="179"/>
        <v>61.963360793959374</v>
      </c>
      <c r="W335" s="91"/>
      <c r="X335" s="90">
        <f t="shared" si="180"/>
        <v>10.93471072834577</v>
      </c>
      <c r="Y335" s="91"/>
      <c r="Z335" s="90">
        <f t="shared" si="175"/>
        <v>0</v>
      </c>
      <c r="AB335" s="94">
        <f>AB333</f>
        <v>28</v>
      </c>
      <c r="AC335" s="94">
        <f>AC333</f>
        <v>0.17</v>
      </c>
      <c r="AD335" s="90">
        <f t="shared" si="181"/>
        <v>0</v>
      </c>
      <c r="AG335" s="94">
        <f>AG333</f>
        <v>7</v>
      </c>
      <c r="AH335" s="94">
        <f>AH333</f>
        <v>0.13</v>
      </c>
      <c r="AI335" s="90">
        <f t="shared" si="182"/>
        <v>0</v>
      </c>
      <c r="AL335" s="94">
        <f>AL333</f>
        <v>0</v>
      </c>
      <c r="AM335" s="94">
        <f>AM333</f>
        <v>0.08</v>
      </c>
      <c r="AN335" s="90">
        <f t="shared" si="183"/>
        <v>0</v>
      </c>
      <c r="AQ335" s="94">
        <f>AQ333</f>
        <v>0</v>
      </c>
      <c r="AR335" s="94">
        <f>AR333</f>
        <v>0.05</v>
      </c>
      <c r="AS335" s="90">
        <f t="shared" si="184"/>
        <v>0</v>
      </c>
      <c r="AV335" s="94">
        <f>AV333</f>
        <v>0</v>
      </c>
      <c r="AW335" s="94">
        <f>AW333</f>
        <v>0.32500000000000001</v>
      </c>
      <c r="AX335" s="90">
        <f t="shared" si="185"/>
        <v>0</v>
      </c>
      <c r="BA335" s="94">
        <f>BA333</f>
        <v>0</v>
      </c>
      <c r="BB335" s="94">
        <f>BB333</f>
        <v>0.29499999999999998</v>
      </c>
      <c r="BC335" s="90">
        <f t="shared" si="186"/>
        <v>0</v>
      </c>
      <c r="BF335" s="94">
        <f>BF333</f>
        <v>0</v>
      </c>
      <c r="BG335" s="94">
        <f>BG333</f>
        <v>0.27500000000000002</v>
      </c>
      <c r="BH335" s="90">
        <f t="shared" si="187"/>
        <v>0</v>
      </c>
      <c r="BK335" s="94">
        <f>BK333</f>
        <v>0</v>
      </c>
      <c r="BL335" s="94">
        <f>BL333</f>
        <v>0.245</v>
      </c>
      <c r="BM335" s="90">
        <f t="shared" si="188"/>
        <v>0</v>
      </c>
      <c r="BP335" s="94">
        <f>BP333</f>
        <v>0</v>
      </c>
      <c r="BQ335" s="94">
        <f>BQ333</f>
        <v>0.22500000000000001</v>
      </c>
      <c r="BR335" s="90">
        <f t="shared" si="189"/>
        <v>0</v>
      </c>
      <c r="BU335" s="94">
        <f>BU333</f>
        <v>0</v>
      </c>
      <c r="BV335" s="94">
        <f>BV333</f>
        <v>0.17499999999999999</v>
      </c>
      <c r="BW335" s="90">
        <f t="shared" si="190"/>
        <v>0</v>
      </c>
      <c r="BZ335" s="94">
        <f>BZ333</f>
        <v>0</v>
      </c>
      <c r="CA335" s="94">
        <f>CA333</f>
        <v>0.15</v>
      </c>
      <c r="CB335" s="90">
        <f t="shared" si="191"/>
        <v>0</v>
      </c>
      <c r="CE335" s="95"/>
      <c r="CF335" s="96"/>
      <c r="CG335" s="88" t="s">
        <v>93</v>
      </c>
      <c r="CH335" s="120">
        <f>SUMIFS(K331:K370,F331:F370,CG335)/SUMIFS(K331:K370,F331:F370,"Produit Vente")</f>
        <v>0</v>
      </c>
      <c r="CI335" s="98"/>
      <c r="CK335" s="99">
        <f>IFERROR(IF(F335='[1]Paramètres Généraux'!$K$12,ROUNDUP((REGENERANTS!H335*REGENERANTS!$CF$329)*'[1]Paramètres Généraux'!$M$12,-1),IF(F335='[1]Paramètres Généraux'!$K$15,ROUNDUP((REGENERANTS!H335*REGENERANTS!$CF$329)*'[1]Paramètres Généraux'!$M$15,-1),REGENERANTS!H335*REGENERANTS!$CF$329)),"nd")</f>
        <v>0</v>
      </c>
      <c r="CN335" s="100"/>
      <c r="CO335" s="101"/>
      <c r="CP335" s="101"/>
      <c r="CQ335" s="101"/>
      <c r="CR335" s="101"/>
      <c r="CS335" s="171"/>
      <c r="CT335" s="172"/>
      <c r="CU335" s="101"/>
      <c r="CV335" s="171"/>
      <c r="CW335" s="106"/>
      <c r="CX335" s="107"/>
      <c r="CY335" s="106"/>
      <c r="CZ335" s="104"/>
      <c r="DA335" s="107"/>
      <c r="DB335" s="106"/>
      <c r="DC335" s="104"/>
      <c r="DD335" s="107"/>
      <c r="DE335" s="106"/>
      <c r="DF335" s="104"/>
      <c r="DG335" s="104"/>
      <c r="DH335" s="104"/>
      <c r="DI335" s="104"/>
      <c r="DJ335" s="104"/>
      <c r="DK335" s="104"/>
      <c r="DL335" s="104"/>
      <c r="DM335" s="104"/>
      <c r="DN335" s="104"/>
      <c r="DO335" s="107"/>
      <c r="DP335" s="106"/>
      <c r="DQ335" s="20">
        <f t="shared" si="176"/>
        <v>0</v>
      </c>
      <c r="DR335" s="20">
        <f t="shared" si="177"/>
        <v>0</v>
      </c>
      <c r="DS335" s="20">
        <f>IFERROR((IF(AND($F335="Produit Vente",CO335&gt;0),VLOOKUP($C335,'[1]Paramètres Articles'!$B:$H,7,FALSE)*$CO335)*(1-20%)),0)</f>
        <v>0</v>
      </c>
      <c r="DT335" s="20">
        <f>IFERROR((IF(AND($F335="Produit Vente",DR335&gt;0),VLOOKUP($C335,'[1]Paramètres Articles'!$B:$H,6,FALSE)*$DR335)*(1-15%)),0)</f>
        <v>0</v>
      </c>
      <c r="DU335" s="20">
        <f t="shared" si="178"/>
        <v>0</v>
      </c>
    </row>
    <row r="336" spans="2:125" ht="12.95" customHeight="1" outlineLevel="1">
      <c r="B336" s="1">
        <f>IF(C336="",0,COUNTIFS($B$22:B335,"&gt;"&amp;0)+1)</f>
        <v>129</v>
      </c>
      <c r="C336" s="85">
        <v>1020107</v>
      </c>
      <c r="D336" s="86" t="str">
        <f>IFERROR(IF($C336="","",VLOOKUP($C336,'[1]Paramètres Articles'!$B:$G,2,FALSE)),"Non Trouvé")</f>
        <v>Lait pour le Corps - Régénérant - 150 ml</v>
      </c>
      <c r="E336" s="87">
        <f>IFERROR(IF($C336="","",_xlfn.XLOOKUP(REGENERANTS!$C336,'[1]New Base PA'!$F:$F,'[1]New Base PA'!$D:$D,"Not Found",0)),"Non Trouvé")</f>
        <v>4020829103160</v>
      </c>
      <c r="F336" s="88" t="s">
        <v>90</v>
      </c>
      <c r="H336" s="89">
        <v>3</v>
      </c>
      <c r="J336" s="90">
        <f>IFERROR(IF($C336="","",VLOOKUP($C336,'[1]New Base PA'!$F:$J,5,FALSE)),"Non Trouvé")</f>
        <v>10.335599999999999</v>
      </c>
      <c r="K336" s="131">
        <f t="shared" si="172"/>
        <v>31.006799999999998</v>
      </c>
      <c r="L336" s="132"/>
      <c r="M336" s="131">
        <f>IFERROR(IF(AND($F336="Produit Vente",H336&gt;0),VLOOKUP($C336,'[1]Paramètres Articles'!$B:$G,6,FALSE),0),"Non Trouvé")</f>
        <v>26.119999999999997</v>
      </c>
      <c r="N336" s="131">
        <f t="shared" si="173"/>
        <v>78.359999999999985</v>
      </c>
      <c r="P336" s="92">
        <v>0.15</v>
      </c>
      <c r="R336" s="90">
        <f t="shared" si="174"/>
        <v>66.60599999999998</v>
      </c>
      <c r="S336" s="91"/>
      <c r="T336" s="90">
        <f>IFERROR(IF($C336="","",VLOOKUP($C336,'[1]Paramètres Articles'!$B:$H,7,FALSE)),"Non Trouvé")</f>
        <v>44.4</v>
      </c>
      <c r="U336" s="93"/>
      <c r="V336" s="90">
        <f t="shared" si="179"/>
        <v>37.739999999999995</v>
      </c>
      <c r="W336" s="91"/>
      <c r="X336" s="90">
        <f t="shared" si="180"/>
        <v>6.6600000000000037</v>
      </c>
      <c r="Y336" s="91"/>
      <c r="Z336" s="90">
        <f t="shared" si="175"/>
        <v>133.19999999999999</v>
      </c>
      <c r="AB336" s="94">
        <f>AB335</f>
        <v>28</v>
      </c>
      <c r="AC336" s="94">
        <f>AC335</f>
        <v>0.17</v>
      </c>
      <c r="AD336" s="90">
        <f t="shared" si="181"/>
        <v>1491.9743999999996</v>
      </c>
      <c r="AG336" s="94">
        <f>AG335</f>
        <v>7</v>
      </c>
      <c r="AH336" s="94">
        <f>AH335</f>
        <v>0.13</v>
      </c>
      <c r="AI336" s="90">
        <f t="shared" si="182"/>
        <v>394.93439999999993</v>
      </c>
      <c r="AL336" s="94">
        <f>AL335</f>
        <v>0</v>
      </c>
      <c r="AM336" s="94">
        <f>AM335</f>
        <v>0.08</v>
      </c>
      <c r="AN336" s="90">
        <f t="shared" si="183"/>
        <v>0</v>
      </c>
      <c r="AQ336" s="94">
        <f>AQ335</f>
        <v>0</v>
      </c>
      <c r="AR336" s="94">
        <f>AR335</f>
        <v>0.05</v>
      </c>
      <c r="AS336" s="90">
        <f t="shared" si="184"/>
        <v>0</v>
      </c>
      <c r="AV336" s="94">
        <f>AV335</f>
        <v>0</v>
      </c>
      <c r="AW336" s="94">
        <f>AW335</f>
        <v>0.32500000000000001</v>
      </c>
      <c r="AX336" s="90">
        <f t="shared" si="185"/>
        <v>0</v>
      </c>
      <c r="BA336" s="94">
        <f>BA335</f>
        <v>0</v>
      </c>
      <c r="BB336" s="94">
        <f>BB335</f>
        <v>0.29499999999999998</v>
      </c>
      <c r="BC336" s="90">
        <f t="shared" si="186"/>
        <v>0</v>
      </c>
      <c r="BF336" s="94">
        <f>BF335</f>
        <v>0</v>
      </c>
      <c r="BG336" s="94">
        <f>BG335</f>
        <v>0.27500000000000002</v>
      </c>
      <c r="BH336" s="90">
        <f t="shared" si="187"/>
        <v>0</v>
      </c>
      <c r="BK336" s="94">
        <f>BK335</f>
        <v>0</v>
      </c>
      <c r="BL336" s="94">
        <f>BL335</f>
        <v>0.245</v>
      </c>
      <c r="BM336" s="90">
        <f t="shared" si="188"/>
        <v>0</v>
      </c>
      <c r="BP336" s="94">
        <f>BP335</f>
        <v>0</v>
      </c>
      <c r="BQ336" s="94">
        <f>BQ335</f>
        <v>0.22500000000000001</v>
      </c>
      <c r="BR336" s="90">
        <f t="shared" si="189"/>
        <v>0</v>
      </c>
      <c r="BU336" s="94">
        <f>BU335</f>
        <v>0</v>
      </c>
      <c r="BV336" s="94">
        <f>BV335</f>
        <v>0.17499999999999999</v>
      </c>
      <c r="BW336" s="90">
        <f t="shared" si="190"/>
        <v>0</v>
      </c>
      <c r="BZ336" s="94">
        <f>BZ335</f>
        <v>0</v>
      </c>
      <c r="CA336" s="94">
        <f>CA335</f>
        <v>0.15</v>
      </c>
      <c r="CB336" s="90">
        <f t="shared" si="191"/>
        <v>0</v>
      </c>
      <c r="CE336" s="95"/>
      <c r="CF336" s="96"/>
      <c r="CG336" s="88" t="s">
        <v>94</v>
      </c>
      <c r="CH336" s="120">
        <f>(SUMIFS(K331:K370,F331:F370,"PLV (PDC ou autre)")+SUMIFS(K331:K370,F331:F370,"PLV (vitrine)"))/K329</f>
        <v>9.554151609363791E-2</v>
      </c>
      <c r="CI336" s="98"/>
      <c r="CK336" s="99">
        <f>IFERROR(IF(F336='[1]Paramètres Généraux'!$K$12,ROUNDUP((REGENERANTS!H336*REGENERANTS!$CF$329)*'[1]Paramètres Généraux'!$M$12,-1),IF(F336='[1]Paramètres Généraux'!$K$15,ROUNDUP((REGENERANTS!H336*REGENERANTS!$CF$329)*'[1]Paramètres Généraux'!$M$15,-1),REGENERANTS!H336*REGENERANTS!$CF$329)),"nd")</f>
        <v>105</v>
      </c>
      <c r="CN336" s="100"/>
      <c r="CO336" s="101"/>
      <c r="CP336" s="101"/>
      <c r="CQ336" s="101"/>
      <c r="CR336" s="101"/>
      <c r="CS336" s="171"/>
      <c r="CT336" s="172"/>
      <c r="CU336" s="101"/>
      <c r="CV336" s="171"/>
      <c r="CW336" s="106"/>
      <c r="CX336" s="107"/>
      <c r="CY336" s="106"/>
      <c r="CZ336" s="104"/>
      <c r="DA336" s="107"/>
      <c r="DB336" s="106"/>
      <c r="DC336" s="104"/>
      <c r="DD336" s="107"/>
      <c r="DE336" s="106"/>
      <c r="DF336" s="104"/>
      <c r="DG336" s="104"/>
      <c r="DH336" s="104"/>
      <c r="DI336" s="104"/>
      <c r="DJ336" s="104"/>
      <c r="DK336" s="104"/>
      <c r="DL336" s="104"/>
      <c r="DM336" s="104"/>
      <c r="DN336" s="104"/>
      <c r="DO336" s="107"/>
      <c r="DP336" s="106"/>
      <c r="DQ336" s="20">
        <f t="shared" si="176"/>
        <v>0</v>
      </c>
      <c r="DR336" s="20">
        <f t="shared" si="177"/>
        <v>0</v>
      </c>
      <c r="DS336" s="20">
        <f>IFERROR((IF(AND($F336="Produit Vente",CO336&gt;0),VLOOKUP($C336,'[1]Paramètres Articles'!$B:$H,7,FALSE)*$CO336)*(1-20%)),0)</f>
        <v>0</v>
      </c>
      <c r="DT336" s="20">
        <f>IFERROR((IF(AND($F336="Produit Vente",DR336&gt;0),VLOOKUP($C336,'[1]Paramètres Articles'!$B:$H,6,FALSE)*$DR336)*(1-15%)),0)</f>
        <v>0</v>
      </c>
      <c r="DU336" s="20">
        <f t="shared" si="178"/>
        <v>0</v>
      </c>
    </row>
    <row r="337" spans="2:125" ht="12.95" customHeight="1" outlineLevel="1">
      <c r="B337" s="1">
        <f>IF(C337="",0,COUNTIFS($B$22:B336,"&gt;"&amp;0)+1)</f>
        <v>130</v>
      </c>
      <c r="C337" s="85">
        <v>1020102</v>
      </c>
      <c r="D337" s="86" t="str">
        <f>IFERROR(IF($C337="","",VLOOKUP($C337,'[1]Paramètres Articles'!$B:$G,2,FALSE)),"Non Trouvé")</f>
        <v>Crème pour les Mains - Régénérant - 50 ml</v>
      </c>
      <c r="E337" s="87">
        <f>IFERROR(IF($C337="","",_xlfn.XLOOKUP(REGENERANTS!$C337,'[1]New Base PA'!$F:$F,'[1]New Base PA'!$D:$D,"Not Found",0)),"Non Trouvé")</f>
        <v>4020829049666</v>
      </c>
      <c r="F337" s="88" t="s">
        <v>90</v>
      </c>
      <c r="H337" s="89">
        <v>5</v>
      </c>
      <c r="J337" s="90">
        <f>IFERROR(IF($C337="","",VLOOKUP($C337,'[1]New Base PA'!$F:$J,5,FALSE)),"Non Trouvé")</f>
        <v>6.5481999999999987</v>
      </c>
      <c r="K337" s="131">
        <f t="shared" si="172"/>
        <v>32.740999999999993</v>
      </c>
      <c r="L337" s="132"/>
      <c r="M337" s="131">
        <f>IFERROR(IF(AND($F337="Produit Vente",H337&gt;0),VLOOKUP($C337,'[1]Paramètres Articles'!$B:$G,6,FALSE),0),"Non Trouvé")</f>
        <v>17.352941176470591</v>
      </c>
      <c r="N337" s="131">
        <f t="shared" si="173"/>
        <v>86.764705882352956</v>
      </c>
      <c r="P337" s="92">
        <v>0.15</v>
      </c>
      <c r="R337" s="90">
        <f t="shared" si="174"/>
        <v>73.750000000000014</v>
      </c>
      <c r="S337" s="91"/>
      <c r="T337" s="90">
        <f>IFERROR(IF($C337="","",VLOOKUP($C337,'[1]Paramètres Articles'!$B:$H,7,FALSE)),"Non Trouvé")</f>
        <v>29.5</v>
      </c>
      <c r="U337" s="93"/>
      <c r="V337" s="90">
        <f t="shared" si="179"/>
        <v>25.074999999999999</v>
      </c>
      <c r="W337" s="91"/>
      <c r="X337" s="90">
        <f t="shared" si="180"/>
        <v>4.4250000000000007</v>
      </c>
      <c r="Y337" s="91"/>
      <c r="Z337" s="90">
        <f t="shared" si="175"/>
        <v>147.5</v>
      </c>
      <c r="AB337" s="94">
        <f>AB335</f>
        <v>28</v>
      </c>
      <c r="AC337" s="94">
        <f>AC335</f>
        <v>0.17</v>
      </c>
      <c r="AD337" s="90">
        <f t="shared" si="181"/>
        <v>1652.0000000000005</v>
      </c>
      <c r="AG337" s="94">
        <f>AG335</f>
        <v>7</v>
      </c>
      <c r="AH337" s="94">
        <f>AH335</f>
        <v>0.13</v>
      </c>
      <c r="AI337" s="90">
        <f t="shared" si="182"/>
        <v>437.2941176470589</v>
      </c>
      <c r="AL337" s="94">
        <f>AL335</f>
        <v>0</v>
      </c>
      <c r="AM337" s="94">
        <f>AM335</f>
        <v>0.08</v>
      </c>
      <c r="AN337" s="90">
        <f t="shared" si="183"/>
        <v>0</v>
      </c>
      <c r="AQ337" s="94">
        <f>AQ335</f>
        <v>0</v>
      </c>
      <c r="AR337" s="94">
        <f>AR335</f>
        <v>0.05</v>
      </c>
      <c r="AS337" s="90">
        <f t="shared" si="184"/>
        <v>0</v>
      </c>
      <c r="AV337" s="94">
        <f>AV335</f>
        <v>0</v>
      </c>
      <c r="AW337" s="94">
        <f>AW335</f>
        <v>0.32500000000000001</v>
      </c>
      <c r="AX337" s="90">
        <f t="shared" si="185"/>
        <v>0</v>
      </c>
      <c r="BA337" s="94">
        <f>BA335</f>
        <v>0</v>
      </c>
      <c r="BB337" s="94">
        <f>BB335</f>
        <v>0.29499999999999998</v>
      </c>
      <c r="BC337" s="90">
        <f t="shared" si="186"/>
        <v>0</v>
      </c>
      <c r="BF337" s="94">
        <f>BF335</f>
        <v>0</v>
      </c>
      <c r="BG337" s="94">
        <f>BG335</f>
        <v>0.27500000000000002</v>
      </c>
      <c r="BH337" s="90">
        <f t="shared" si="187"/>
        <v>0</v>
      </c>
      <c r="BK337" s="94">
        <f>BK335</f>
        <v>0</v>
      </c>
      <c r="BL337" s="94">
        <f>BL335</f>
        <v>0.245</v>
      </c>
      <c r="BM337" s="90">
        <f t="shared" si="188"/>
        <v>0</v>
      </c>
      <c r="BP337" s="94">
        <f>BP335</f>
        <v>0</v>
      </c>
      <c r="BQ337" s="94">
        <f>BQ335</f>
        <v>0.22500000000000001</v>
      </c>
      <c r="BR337" s="90">
        <f t="shared" si="189"/>
        <v>0</v>
      </c>
      <c r="BU337" s="94">
        <f>BU335</f>
        <v>0</v>
      </c>
      <c r="BV337" s="94">
        <f>BV335</f>
        <v>0.17499999999999999</v>
      </c>
      <c r="BW337" s="90">
        <f t="shared" si="190"/>
        <v>0</v>
      </c>
      <c r="BZ337" s="94">
        <f>BZ335</f>
        <v>0</v>
      </c>
      <c r="CA337" s="94">
        <f>CA335</f>
        <v>0.15</v>
      </c>
      <c r="CB337" s="90">
        <f t="shared" si="191"/>
        <v>0</v>
      </c>
      <c r="CE337" s="95"/>
      <c r="CF337" s="96"/>
      <c r="CG337" s="88" t="s">
        <v>95</v>
      </c>
      <c r="CH337" s="120">
        <f>SUMIFS(K331:K371,F331:F371,CG337)/K329</f>
        <v>0</v>
      </c>
      <c r="CI337" s="98"/>
      <c r="CK337" s="99">
        <f>IFERROR(IF(F337='[1]Paramètres Généraux'!$K$12,ROUNDUP((REGENERANTS!H337*REGENERANTS!$CF$329)*'[1]Paramètres Généraux'!$M$12,-1),IF(F337='[1]Paramètres Généraux'!$K$15,ROUNDUP((REGENERANTS!H337*REGENERANTS!$CF$329)*'[1]Paramètres Généraux'!$M$15,-1),REGENERANTS!H337*REGENERANTS!$CF$329)),"nd")</f>
        <v>175</v>
      </c>
      <c r="CN337" s="100"/>
      <c r="CO337" s="101"/>
      <c r="CP337" s="101"/>
      <c r="CQ337" s="101"/>
      <c r="CR337" s="101"/>
      <c r="CS337" s="171"/>
      <c r="CT337" s="172"/>
      <c r="CU337" s="101"/>
      <c r="CV337" s="171"/>
      <c r="CW337" s="106"/>
      <c r="CX337" s="107"/>
      <c r="CY337" s="106"/>
      <c r="CZ337" s="104"/>
      <c r="DA337" s="107"/>
      <c r="DB337" s="106"/>
      <c r="DC337" s="104"/>
      <c r="DD337" s="107"/>
      <c r="DE337" s="106"/>
      <c r="DF337" s="104"/>
      <c r="DG337" s="104"/>
      <c r="DH337" s="104"/>
      <c r="DI337" s="104"/>
      <c r="DJ337" s="104"/>
      <c r="DK337" s="104"/>
      <c r="DL337" s="104"/>
      <c r="DM337" s="104"/>
      <c r="DN337" s="104"/>
      <c r="DO337" s="107"/>
      <c r="DP337" s="106"/>
      <c r="DQ337" s="20">
        <f t="shared" si="176"/>
        <v>0</v>
      </c>
      <c r="DR337" s="20">
        <f t="shared" si="177"/>
        <v>0</v>
      </c>
      <c r="DS337" s="20">
        <f>IFERROR((IF(AND($F337="Produit Vente",CO337&gt;0),VLOOKUP($C337,'[1]Paramètres Articles'!$B:$H,7,FALSE)*$CO337)*(1-20%)),0)</f>
        <v>0</v>
      </c>
      <c r="DT337" s="20">
        <f>IFERROR((IF(AND($F337="Produit Vente",DR337&gt;0),VLOOKUP($C337,'[1]Paramètres Articles'!$B:$H,6,FALSE)*$DR337)*(1-15%)),0)</f>
        <v>0</v>
      </c>
      <c r="DU337" s="20">
        <f t="shared" si="178"/>
        <v>0</v>
      </c>
    </row>
    <row r="338" spans="2:125" ht="12.95" customHeight="1" outlineLevel="1">
      <c r="B338" s="1">
        <f>IF(C338="",0,COUNTIFS($B$22:B337,"&gt;"&amp;0)+1)</f>
        <v>131</v>
      </c>
      <c r="C338" s="85">
        <v>1020722</v>
      </c>
      <c r="D338" s="86" t="str">
        <f>IFERROR(IF($C338="","",VLOOKUP($C338,'[1]Paramètres Articles'!$B:$G,2,FALSE)),"Non Trouvé")</f>
        <v>Cure Intensive Rééquilibrante - Régénérant Intensif - 40ml</v>
      </c>
      <c r="E338" s="87">
        <f>IFERROR(IF($C338="","",_xlfn.XLOOKUP(REGENERANTS!$C338,'[1]New Base PA'!$F:$F,'[1]New Base PA'!$D:$D,"Not Found",0)),"Non Trouvé")</f>
        <v>4020829102934</v>
      </c>
      <c r="F338" s="88" t="s">
        <v>90</v>
      </c>
      <c r="H338" s="89">
        <v>0</v>
      </c>
      <c r="J338" s="90">
        <f>IFERROR(IF($C338="","",VLOOKUP($C338,'[1]New Base PA'!$F:$J,5,FALSE)),"Non Trouvé")</f>
        <v>16.878</v>
      </c>
      <c r="K338" s="131">
        <f t="shared" si="172"/>
        <v>0</v>
      </c>
      <c r="L338" s="132"/>
      <c r="M338" s="131">
        <f>IFERROR(IF(AND($F338="Produit Vente",H338&gt;0),VLOOKUP($C338,'[1]Paramètres Articles'!$B:$G,6,FALSE),0),"Non Trouvé")</f>
        <v>0</v>
      </c>
      <c r="N338" s="131">
        <f t="shared" si="173"/>
        <v>0</v>
      </c>
      <c r="P338" s="92">
        <v>0.15</v>
      </c>
      <c r="R338" s="90">
        <f t="shared" si="174"/>
        <v>0</v>
      </c>
      <c r="S338" s="91"/>
      <c r="T338" s="90">
        <f>IFERROR(IF($C338="","",VLOOKUP($C338,'[1]Paramètres Articles'!$B:$H,7,FALSE)),"Non Trouvé")</f>
        <v>72.898071522305145</v>
      </c>
      <c r="U338" s="93"/>
      <c r="V338" s="90">
        <f t="shared" si="179"/>
        <v>61.963360793959374</v>
      </c>
      <c r="W338" s="91"/>
      <c r="X338" s="90">
        <f t="shared" si="180"/>
        <v>10.93471072834577</v>
      </c>
      <c r="Y338" s="91"/>
      <c r="Z338" s="90">
        <f t="shared" si="175"/>
        <v>0</v>
      </c>
      <c r="AB338" s="94">
        <f>AB337</f>
        <v>28</v>
      </c>
      <c r="AC338" s="94">
        <f>AC337</f>
        <v>0.17</v>
      </c>
      <c r="AD338" s="90">
        <f t="shared" si="181"/>
        <v>0</v>
      </c>
      <c r="AG338" s="94">
        <f>AG337</f>
        <v>7</v>
      </c>
      <c r="AH338" s="94">
        <f>AH337</f>
        <v>0.13</v>
      </c>
      <c r="AI338" s="90">
        <f t="shared" si="182"/>
        <v>0</v>
      </c>
      <c r="AL338" s="94">
        <f>AL337</f>
        <v>0</v>
      </c>
      <c r="AM338" s="94">
        <f>AM337</f>
        <v>0.08</v>
      </c>
      <c r="AN338" s="90">
        <f t="shared" si="183"/>
        <v>0</v>
      </c>
      <c r="AQ338" s="94">
        <f>AQ337</f>
        <v>0</v>
      </c>
      <c r="AR338" s="94">
        <f>AR337</f>
        <v>0.05</v>
      </c>
      <c r="AS338" s="90">
        <f t="shared" si="184"/>
        <v>0</v>
      </c>
      <c r="AV338" s="94">
        <f>AV337</f>
        <v>0</v>
      </c>
      <c r="AW338" s="94">
        <f>AW337</f>
        <v>0.32500000000000001</v>
      </c>
      <c r="AX338" s="90">
        <f t="shared" si="185"/>
        <v>0</v>
      </c>
      <c r="BA338" s="94">
        <f>BA337</f>
        <v>0</v>
      </c>
      <c r="BB338" s="94">
        <f>BB337</f>
        <v>0.29499999999999998</v>
      </c>
      <c r="BC338" s="90">
        <f t="shared" si="186"/>
        <v>0</v>
      </c>
      <c r="BF338" s="94">
        <f>BF337</f>
        <v>0</v>
      </c>
      <c r="BG338" s="94">
        <f>BG337</f>
        <v>0.27500000000000002</v>
      </c>
      <c r="BH338" s="90">
        <f t="shared" si="187"/>
        <v>0</v>
      </c>
      <c r="BK338" s="94">
        <f>BK337</f>
        <v>0</v>
      </c>
      <c r="BL338" s="94">
        <f>BL337</f>
        <v>0.245</v>
      </c>
      <c r="BM338" s="90">
        <f t="shared" si="188"/>
        <v>0</v>
      </c>
      <c r="BP338" s="94">
        <f>BP337</f>
        <v>0</v>
      </c>
      <c r="BQ338" s="94">
        <f>BQ337</f>
        <v>0.22500000000000001</v>
      </c>
      <c r="BR338" s="90">
        <f t="shared" si="189"/>
        <v>0</v>
      </c>
      <c r="BU338" s="94">
        <f>BU337</f>
        <v>0</v>
      </c>
      <c r="BV338" s="94">
        <f>BV337</f>
        <v>0.17499999999999999</v>
      </c>
      <c r="BW338" s="90">
        <f t="shared" si="190"/>
        <v>0</v>
      </c>
      <c r="BZ338" s="94">
        <f>BZ337</f>
        <v>0</v>
      </c>
      <c r="CA338" s="94">
        <f>CA337</f>
        <v>0.15</v>
      </c>
      <c r="CB338" s="90">
        <f t="shared" si="191"/>
        <v>0</v>
      </c>
      <c r="CE338" s="95"/>
      <c r="CF338" s="96"/>
      <c r="CG338" s="88" t="s">
        <v>96</v>
      </c>
      <c r="CH338" s="120">
        <f>SUMIFS(K331:K371,F331:F371,CG338)/K329</f>
        <v>5.8226244713669897E-2</v>
      </c>
      <c r="CI338" s="98"/>
      <c r="CK338" s="99">
        <f>IFERROR(IF(F338='[1]Paramètres Généraux'!$K$12,ROUNDUP((REGENERANTS!H338*REGENERANTS!$CF$329)*'[1]Paramètres Généraux'!$M$12,-1),IF(F338='[1]Paramètres Généraux'!$K$15,ROUNDUP((REGENERANTS!H338*REGENERANTS!$CF$329)*'[1]Paramètres Généraux'!$M$15,-1),REGENERANTS!H338*REGENERANTS!$CF$329)),"nd")</f>
        <v>0</v>
      </c>
      <c r="CN338" s="100"/>
      <c r="CO338" s="101"/>
      <c r="CP338" s="101"/>
      <c r="CQ338" s="101"/>
      <c r="CR338" s="101"/>
      <c r="CS338" s="171"/>
      <c r="CT338" s="172"/>
      <c r="CU338" s="101"/>
      <c r="CV338" s="171"/>
      <c r="CW338" s="106"/>
      <c r="CX338" s="107"/>
      <c r="CY338" s="106"/>
      <c r="CZ338" s="104"/>
      <c r="DA338" s="107"/>
      <c r="DB338" s="106"/>
      <c r="DC338" s="104"/>
      <c r="DD338" s="107"/>
      <c r="DE338" s="106"/>
      <c r="DF338" s="104"/>
      <c r="DG338" s="104"/>
      <c r="DH338" s="104"/>
      <c r="DI338" s="104"/>
      <c r="DJ338" s="104"/>
      <c r="DK338" s="104"/>
      <c r="DL338" s="104"/>
      <c r="DM338" s="104"/>
      <c r="DN338" s="104"/>
      <c r="DO338" s="107"/>
      <c r="DP338" s="106"/>
      <c r="DQ338" s="20">
        <f t="shared" si="176"/>
        <v>0</v>
      </c>
      <c r="DR338" s="20">
        <f t="shared" si="177"/>
        <v>0</v>
      </c>
      <c r="DS338" s="20">
        <f>IFERROR((IF(AND($F338="Produit Vente",CO338&gt;0),VLOOKUP($C338,'[1]Paramètres Articles'!$B:$H,7,FALSE)*$CO338)*(1-20%)),0)</f>
        <v>0</v>
      </c>
      <c r="DT338" s="20">
        <f>IFERROR((IF(AND($F338="Produit Vente",DR338&gt;0),VLOOKUP($C338,'[1]Paramètres Articles'!$B:$H,6,FALSE)*$DR338)*(1-15%)),0)</f>
        <v>0</v>
      </c>
      <c r="DU338" s="20">
        <f t="shared" si="178"/>
        <v>0</v>
      </c>
    </row>
    <row r="339" spans="2:125" ht="12.95" customHeight="1" outlineLevel="1">
      <c r="B339" s="1">
        <f>IF(C339="",0,COUNTIFS($B$22:B338,"&gt;"&amp;0)+1)</f>
        <v>132</v>
      </c>
      <c r="C339" s="85">
        <v>1020719</v>
      </c>
      <c r="D339" s="86" t="str">
        <f>IFERROR(IF($C339="","",VLOOKUP($C339,'[1]Paramètres Articles'!$B:$G,2,FALSE)),"Non Trouvé")</f>
        <v>Huile Fortifiante - Régénérant Intensif - 20ml</v>
      </c>
      <c r="E339" s="87">
        <f>IFERROR(IF($C339="","",_xlfn.XLOOKUP(REGENERANTS!$C339,'[1]New Base PA'!$F:$F,'[1]New Base PA'!$D:$D,"Not Found",0)),"Non Trouvé")</f>
        <v>4020829103030</v>
      </c>
      <c r="F339" s="88" t="s">
        <v>90</v>
      </c>
      <c r="H339" s="89">
        <v>6</v>
      </c>
      <c r="J339" s="90">
        <f>IFERROR(IF($C339="","",VLOOKUP($C339,'[1]New Base PA'!$F:$J,5,FALSE)),"Non Trouvé")</f>
        <v>18.4208</v>
      </c>
      <c r="K339" s="131">
        <f t="shared" si="172"/>
        <v>110.5248</v>
      </c>
      <c r="L339" s="132"/>
      <c r="M339" s="131">
        <f>IFERROR(IF(AND($F339="Produit Vente",H339&gt;0),VLOOKUP($C339,'[1]Paramètres Articles'!$B:$G,6,FALSE),0),"Non Trouvé")</f>
        <v>46.768280254777068</v>
      </c>
      <c r="N339" s="131">
        <f t="shared" si="173"/>
        <v>280.60968152866241</v>
      </c>
      <c r="P339" s="92">
        <v>0.15</v>
      </c>
      <c r="R339" s="90">
        <f t="shared" si="174"/>
        <v>238.51822929936304</v>
      </c>
      <c r="S339" s="91"/>
      <c r="T339" s="90">
        <f>IFERROR(IF($C339="","",VLOOKUP($C339,'[1]Paramètres Articles'!$B:$H,7,FALSE)),"Non Trouvé")</f>
        <v>79.5</v>
      </c>
      <c r="U339" s="93"/>
      <c r="V339" s="90">
        <f t="shared" si="179"/>
        <v>67.575000000000003</v>
      </c>
      <c r="W339" s="91"/>
      <c r="X339" s="90">
        <f t="shared" si="180"/>
        <v>11.924999999999997</v>
      </c>
      <c r="Y339" s="91"/>
      <c r="Z339" s="90">
        <f t="shared" si="175"/>
        <v>477</v>
      </c>
      <c r="AB339" s="94">
        <f>AB337</f>
        <v>28</v>
      </c>
      <c r="AC339" s="94">
        <f>AC337</f>
        <v>0.17</v>
      </c>
      <c r="AD339" s="90">
        <f t="shared" si="181"/>
        <v>5342.8083363057322</v>
      </c>
      <c r="AG339" s="94">
        <f>AG337</f>
        <v>7</v>
      </c>
      <c r="AH339" s="94">
        <f>AH337</f>
        <v>0.13</v>
      </c>
      <c r="AI339" s="90">
        <f t="shared" si="182"/>
        <v>1414.2727949044584</v>
      </c>
      <c r="AL339" s="94">
        <f>AL337</f>
        <v>0</v>
      </c>
      <c r="AM339" s="94">
        <f>AM337</f>
        <v>0.08</v>
      </c>
      <c r="AN339" s="90">
        <f t="shared" si="183"/>
        <v>0</v>
      </c>
      <c r="AQ339" s="94">
        <f>AQ337</f>
        <v>0</v>
      </c>
      <c r="AR339" s="94">
        <f>AR337</f>
        <v>0.05</v>
      </c>
      <c r="AS339" s="90">
        <f t="shared" si="184"/>
        <v>0</v>
      </c>
      <c r="AV339" s="94">
        <f>AV337</f>
        <v>0</v>
      </c>
      <c r="AW339" s="94">
        <f>AW337</f>
        <v>0.32500000000000001</v>
      </c>
      <c r="AX339" s="90">
        <f t="shared" si="185"/>
        <v>0</v>
      </c>
      <c r="BA339" s="94">
        <f>BA337</f>
        <v>0</v>
      </c>
      <c r="BB339" s="94">
        <f>BB337</f>
        <v>0.29499999999999998</v>
      </c>
      <c r="BC339" s="90">
        <f t="shared" si="186"/>
        <v>0</v>
      </c>
      <c r="BF339" s="94">
        <f>BF337</f>
        <v>0</v>
      </c>
      <c r="BG339" s="94">
        <f>BG337</f>
        <v>0.27500000000000002</v>
      </c>
      <c r="BH339" s="90">
        <f t="shared" si="187"/>
        <v>0</v>
      </c>
      <c r="BK339" s="94">
        <f>BK337</f>
        <v>0</v>
      </c>
      <c r="BL339" s="94">
        <f>BL337</f>
        <v>0.245</v>
      </c>
      <c r="BM339" s="90">
        <f t="shared" si="188"/>
        <v>0</v>
      </c>
      <c r="BP339" s="94">
        <f>BP337</f>
        <v>0</v>
      </c>
      <c r="BQ339" s="94">
        <f>BQ337</f>
        <v>0.22500000000000001</v>
      </c>
      <c r="BR339" s="90">
        <f t="shared" si="189"/>
        <v>0</v>
      </c>
      <c r="BU339" s="94">
        <f>BU337</f>
        <v>0</v>
      </c>
      <c r="BV339" s="94">
        <f>BV337</f>
        <v>0.17499999999999999</v>
      </c>
      <c r="BW339" s="90">
        <f t="shared" si="190"/>
        <v>0</v>
      </c>
      <c r="BZ339" s="94">
        <f>BZ337</f>
        <v>0</v>
      </c>
      <c r="CA339" s="94">
        <f>CA337</f>
        <v>0.15</v>
      </c>
      <c r="CB339" s="90">
        <f t="shared" si="191"/>
        <v>0</v>
      </c>
      <c r="CE339" s="95"/>
      <c r="CF339" s="96"/>
      <c r="CG339" s="97"/>
      <c r="CH339" s="97"/>
      <c r="CI339" s="98"/>
      <c r="CK339" s="99">
        <f>IFERROR(IF(F339='[1]Paramètres Généraux'!$K$12,ROUNDUP((REGENERANTS!H339*REGENERANTS!$CF$329)*'[1]Paramètres Généraux'!$M$12,-1),IF(F339='[1]Paramètres Généraux'!$K$15,ROUNDUP((REGENERANTS!H339*REGENERANTS!$CF$329)*'[1]Paramètres Généraux'!$M$15,-1),REGENERANTS!H339*REGENERANTS!$CF$329)),"nd")</f>
        <v>210</v>
      </c>
      <c r="CN339" s="100"/>
      <c r="CO339" s="101"/>
      <c r="CP339" s="101"/>
      <c r="CQ339" s="101"/>
      <c r="CR339" s="101"/>
      <c r="CS339" s="171"/>
      <c r="CT339" s="172"/>
      <c r="CU339" s="101"/>
      <c r="CV339" s="171"/>
      <c r="CW339" s="106"/>
      <c r="CX339" s="107"/>
      <c r="CY339" s="106"/>
      <c r="CZ339" s="104"/>
      <c r="DA339" s="107"/>
      <c r="DB339" s="106"/>
      <c r="DC339" s="104"/>
      <c r="DD339" s="107"/>
      <c r="DE339" s="106"/>
      <c r="DF339" s="104"/>
      <c r="DG339" s="104"/>
      <c r="DH339" s="104"/>
      <c r="DI339" s="104"/>
      <c r="DJ339" s="104"/>
      <c r="DK339" s="104"/>
      <c r="DL339" s="104"/>
      <c r="DM339" s="104"/>
      <c r="DN339" s="104"/>
      <c r="DO339" s="107"/>
      <c r="DP339" s="106"/>
      <c r="DQ339" s="20">
        <f t="shared" si="176"/>
        <v>0</v>
      </c>
      <c r="DR339" s="20">
        <f t="shared" si="177"/>
        <v>0</v>
      </c>
      <c r="DS339" s="20">
        <f>IFERROR((IF(AND($F339="Produit Vente",CO339&gt;0),VLOOKUP($C339,'[1]Paramètres Articles'!$B:$H,7,FALSE)*$CO339)*(1-20%)),0)</f>
        <v>0</v>
      </c>
      <c r="DT339" s="20">
        <f>IFERROR((IF(AND($F339="Produit Vente",DR339&gt;0),VLOOKUP($C339,'[1]Paramètres Articles'!$B:$H,6,FALSE)*$DR339)*(1-15%)),0)</f>
        <v>0</v>
      </c>
      <c r="DU339" s="20">
        <f t="shared" si="178"/>
        <v>0</v>
      </c>
    </row>
    <row r="340" spans="2:125" ht="12.95" customHeight="1" outlineLevel="1">
      <c r="B340" s="1">
        <f>IF(C340="",0,COUNTIFS($B$22:B339,"&gt;"&amp;0)+1)</f>
        <v>133</v>
      </c>
      <c r="C340" s="85">
        <v>1020717</v>
      </c>
      <c r="D340" s="86" t="str">
        <f>IFERROR(IF($C340="","",VLOOKUP($C340,'[1]Paramètres Articles'!$B:$G,2,FALSE)),"Non Trouvé")</f>
        <v>Sérum Contour des Yeux - Régénérant Intensif -15 ml</v>
      </c>
      <c r="E340" s="87">
        <f>IFERROR(IF($C340="","",_xlfn.XLOOKUP(REGENERANTS!$C340,'[1]New Base PA'!$F:$F,'[1]New Base PA'!$D:$D,"Not Found",0)),"Non Trouvé")</f>
        <v>4020829101067</v>
      </c>
      <c r="F340" s="88" t="s">
        <v>90</v>
      </c>
      <c r="H340" s="89">
        <v>5</v>
      </c>
      <c r="J340" s="90">
        <f>IFERROR(IF($C340="","",VLOOKUP($C340,'[1]New Base PA'!$F:$J,5,FALSE)),"Non Trouvé")</f>
        <v>17.817599999999999</v>
      </c>
      <c r="K340" s="131">
        <f t="shared" si="172"/>
        <v>89.087999999999994</v>
      </c>
      <c r="L340" s="132"/>
      <c r="M340" s="131">
        <f>IFERROR(IF(AND($F340="Produit Vente",H340&gt;0),VLOOKUP($C340,'[1]Paramètres Articles'!$B:$G,6,FALSE),0),"Non Trouvé")</f>
        <v>44.12</v>
      </c>
      <c r="N340" s="131">
        <f t="shared" si="173"/>
        <v>220.6</v>
      </c>
      <c r="P340" s="92">
        <v>0.15</v>
      </c>
      <c r="R340" s="90">
        <f t="shared" si="174"/>
        <v>187.51</v>
      </c>
      <c r="S340" s="91"/>
      <c r="T340" s="90">
        <f>IFERROR(IF($C340="","",VLOOKUP($C340,'[1]Paramètres Articles'!$B:$H,7,FALSE)),"Non Trouvé")</f>
        <v>75</v>
      </c>
      <c r="U340" s="93"/>
      <c r="V340" s="90">
        <f t="shared" si="179"/>
        <v>63.75</v>
      </c>
      <c r="W340" s="91"/>
      <c r="X340" s="90">
        <f t="shared" si="180"/>
        <v>11.25</v>
      </c>
      <c r="Y340" s="91"/>
      <c r="Z340" s="90">
        <f t="shared" si="175"/>
        <v>375</v>
      </c>
      <c r="AB340" s="94">
        <f>AB339</f>
        <v>28</v>
      </c>
      <c r="AC340" s="94">
        <f>AC339</f>
        <v>0.17</v>
      </c>
      <c r="AD340" s="90">
        <f t="shared" si="181"/>
        <v>4200.2239999999993</v>
      </c>
      <c r="AG340" s="94">
        <f>AG339</f>
        <v>7</v>
      </c>
      <c r="AH340" s="94">
        <f>AH339</f>
        <v>0.13</v>
      </c>
      <c r="AI340" s="90">
        <f t="shared" si="182"/>
        <v>1111.8240000000001</v>
      </c>
      <c r="AL340" s="94">
        <f>AL339</f>
        <v>0</v>
      </c>
      <c r="AM340" s="94">
        <f>AM339</f>
        <v>0.08</v>
      </c>
      <c r="AN340" s="90">
        <f t="shared" si="183"/>
        <v>0</v>
      </c>
      <c r="AQ340" s="94">
        <f>AQ339</f>
        <v>0</v>
      </c>
      <c r="AR340" s="94">
        <f>AR339</f>
        <v>0.05</v>
      </c>
      <c r="AS340" s="90">
        <f t="shared" si="184"/>
        <v>0</v>
      </c>
      <c r="AV340" s="94">
        <f>AV339</f>
        <v>0</v>
      </c>
      <c r="AW340" s="94">
        <f>AW339</f>
        <v>0.32500000000000001</v>
      </c>
      <c r="AX340" s="90">
        <f t="shared" si="185"/>
        <v>0</v>
      </c>
      <c r="BA340" s="94">
        <f>BA339</f>
        <v>0</v>
      </c>
      <c r="BB340" s="94">
        <f>BB339</f>
        <v>0.29499999999999998</v>
      </c>
      <c r="BC340" s="90">
        <f t="shared" si="186"/>
        <v>0</v>
      </c>
      <c r="BF340" s="94">
        <f>BF339</f>
        <v>0</v>
      </c>
      <c r="BG340" s="94">
        <f>BG339</f>
        <v>0.27500000000000002</v>
      </c>
      <c r="BH340" s="90">
        <f t="shared" si="187"/>
        <v>0</v>
      </c>
      <c r="BK340" s="94">
        <f>BK339</f>
        <v>0</v>
      </c>
      <c r="BL340" s="94">
        <f>BL339</f>
        <v>0.245</v>
      </c>
      <c r="BM340" s="90">
        <f t="shared" si="188"/>
        <v>0</v>
      </c>
      <c r="BP340" s="94">
        <f>BP339</f>
        <v>0</v>
      </c>
      <c r="BQ340" s="94">
        <f>BQ339</f>
        <v>0.22500000000000001</v>
      </c>
      <c r="BR340" s="90">
        <f t="shared" si="189"/>
        <v>0</v>
      </c>
      <c r="BU340" s="94">
        <f>BU339</f>
        <v>0</v>
      </c>
      <c r="BV340" s="94">
        <f>BV339</f>
        <v>0.17499999999999999</v>
      </c>
      <c r="BW340" s="90">
        <f t="shared" si="190"/>
        <v>0</v>
      </c>
      <c r="BZ340" s="94">
        <f>BZ339</f>
        <v>0</v>
      </c>
      <c r="CA340" s="94">
        <f>CA339</f>
        <v>0.15</v>
      </c>
      <c r="CB340" s="90">
        <f t="shared" si="191"/>
        <v>0</v>
      </c>
      <c r="CE340" s="95"/>
      <c r="CF340" s="96"/>
      <c r="CG340" s="97"/>
      <c r="CH340" s="97"/>
      <c r="CI340" s="98"/>
      <c r="CK340" s="99">
        <f>IFERROR(IF(F340='[1]Paramètres Généraux'!$K$12,ROUNDUP((REGENERANTS!H340*REGENERANTS!$CF$329)*'[1]Paramètres Généraux'!$M$12,-1),IF(F340='[1]Paramètres Généraux'!$K$15,ROUNDUP((REGENERANTS!H340*REGENERANTS!$CF$329)*'[1]Paramètres Généraux'!$M$15,-1),REGENERANTS!H340*REGENERANTS!$CF$329)),"nd")</f>
        <v>175</v>
      </c>
      <c r="CN340" s="100"/>
      <c r="CO340" s="101"/>
      <c r="CP340" s="101"/>
      <c r="CQ340" s="101"/>
      <c r="CR340" s="101"/>
      <c r="CS340" s="171"/>
      <c r="CT340" s="172"/>
      <c r="CU340" s="101"/>
      <c r="CV340" s="171"/>
      <c r="CW340" s="106"/>
      <c r="CX340" s="107"/>
      <c r="CY340" s="106"/>
      <c r="CZ340" s="104"/>
      <c r="DA340" s="107"/>
      <c r="DB340" s="106"/>
      <c r="DC340" s="104"/>
      <c r="DD340" s="107"/>
      <c r="DE340" s="106"/>
      <c r="DF340" s="104"/>
      <c r="DG340" s="104"/>
      <c r="DH340" s="104"/>
      <c r="DI340" s="104"/>
      <c r="DJ340" s="104"/>
      <c r="DK340" s="104"/>
      <c r="DL340" s="104"/>
      <c r="DM340" s="104"/>
      <c r="DN340" s="104"/>
      <c r="DO340" s="107"/>
      <c r="DP340" s="106"/>
      <c r="DQ340" s="20">
        <f t="shared" si="176"/>
        <v>0</v>
      </c>
      <c r="DR340" s="20">
        <f t="shared" si="177"/>
        <v>0</v>
      </c>
      <c r="DS340" s="20">
        <f>IFERROR((IF(AND($F340="Produit Vente",CO340&gt;0),VLOOKUP($C340,'[1]Paramètres Articles'!$B:$H,7,FALSE)*$CO340)*(1-20%)),0)</f>
        <v>0</v>
      </c>
      <c r="DT340" s="20">
        <f>IFERROR((IF(AND($F340="Produit Vente",DR340&gt;0),VLOOKUP($C340,'[1]Paramètres Articles'!$B:$H,6,FALSE)*$DR340)*(1-15%)),0)</f>
        <v>0</v>
      </c>
      <c r="DU340" s="20">
        <f t="shared" si="178"/>
        <v>0</v>
      </c>
    </row>
    <row r="341" spans="2:125" ht="12.95" customHeight="1" outlineLevel="1">
      <c r="B341" s="1">
        <f>IF(C341="",0,COUNTIFS($B$22:B340,"&gt;"&amp;0)+1)</f>
        <v>134</v>
      </c>
      <c r="C341" s="85">
        <v>1020718</v>
      </c>
      <c r="D341" s="86" t="str">
        <f>IFERROR(IF($C341="","",VLOOKUP($C341,'[1]Paramètres Articles'!$B:$G,2,FALSE)),"Non Trouvé")</f>
        <v>Sérum de Nuit - Régénérant Intensif - 30 ml</v>
      </c>
      <c r="E341" s="87">
        <f>IFERROR(IF($C341="","",_xlfn.XLOOKUP(REGENERANTS!$C341,'[1]New Base PA'!$F:$F,'[1]New Base PA'!$D:$D,"Not Found",0)),"Non Trouvé")</f>
        <v>4020829101111</v>
      </c>
      <c r="F341" s="88" t="s">
        <v>90</v>
      </c>
      <c r="H341" s="89">
        <v>10</v>
      </c>
      <c r="J341" s="90">
        <f>IFERROR(IF($C341="","",VLOOKUP($C341,'[1]New Base PA'!$F:$J,5,FALSE)),"Non Trouvé")</f>
        <v>18.2758</v>
      </c>
      <c r="K341" s="131">
        <f t="shared" si="172"/>
        <v>182.75800000000001</v>
      </c>
      <c r="L341" s="132"/>
      <c r="M341" s="131">
        <f>IFERROR(IF(AND($F341="Produit Vente",H341&gt;0),VLOOKUP($C341,'[1]Paramètres Articles'!$B:$G,6,FALSE),0),"Non Trouvé")</f>
        <v>46.758152866242035</v>
      </c>
      <c r="N341" s="131">
        <f t="shared" si="173"/>
        <v>467.58152866242034</v>
      </c>
      <c r="P341" s="92">
        <v>0.15</v>
      </c>
      <c r="R341" s="90">
        <f t="shared" si="174"/>
        <v>397.44429936305727</v>
      </c>
      <c r="S341" s="91"/>
      <c r="T341" s="90">
        <f>IFERROR(IF($C341="","",VLOOKUP($C341,'[1]Paramètres Articles'!$B:$H,7,FALSE)),"Non Trouvé")</f>
        <v>79.5</v>
      </c>
      <c r="U341" s="93"/>
      <c r="V341" s="90">
        <f t="shared" si="179"/>
        <v>67.575000000000003</v>
      </c>
      <c r="W341" s="91"/>
      <c r="X341" s="90">
        <f t="shared" si="180"/>
        <v>11.924999999999997</v>
      </c>
      <c r="Y341" s="91"/>
      <c r="Z341" s="90">
        <f t="shared" si="175"/>
        <v>795</v>
      </c>
      <c r="AB341" s="94">
        <f>AB339</f>
        <v>28</v>
      </c>
      <c r="AC341" s="94">
        <f>AC339</f>
        <v>0.17</v>
      </c>
      <c r="AD341" s="90">
        <f t="shared" si="181"/>
        <v>8902.7523057324834</v>
      </c>
      <c r="AG341" s="94">
        <f>AG339</f>
        <v>7</v>
      </c>
      <c r="AH341" s="94">
        <f>AH339</f>
        <v>0.13</v>
      </c>
      <c r="AI341" s="90">
        <f t="shared" si="182"/>
        <v>2356.6109044585983</v>
      </c>
      <c r="AL341" s="94">
        <f>AL339</f>
        <v>0</v>
      </c>
      <c r="AM341" s="94">
        <f>AM339</f>
        <v>0.08</v>
      </c>
      <c r="AN341" s="90">
        <f t="shared" si="183"/>
        <v>0</v>
      </c>
      <c r="AQ341" s="94">
        <f>AQ339</f>
        <v>0</v>
      </c>
      <c r="AR341" s="94">
        <f>AR339</f>
        <v>0.05</v>
      </c>
      <c r="AS341" s="90">
        <f t="shared" si="184"/>
        <v>0</v>
      </c>
      <c r="AV341" s="94">
        <f>AV339</f>
        <v>0</v>
      </c>
      <c r="AW341" s="94">
        <f>AW339</f>
        <v>0.32500000000000001</v>
      </c>
      <c r="AX341" s="90">
        <f t="shared" si="185"/>
        <v>0</v>
      </c>
      <c r="BA341" s="94">
        <f>BA339</f>
        <v>0</v>
      </c>
      <c r="BB341" s="94">
        <f>BB339</f>
        <v>0.29499999999999998</v>
      </c>
      <c r="BC341" s="90">
        <f t="shared" si="186"/>
        <v>0</v>
      </c>
      <c r="BF341" s="94">
        <f>BF339</f>
        <v>0</v>
      </c>
      <c r="BG341" s="94">
        <f>BG339</f>
        <v>0.27500000000000002</v>
      </c>
      <c r="BH341" s="90">
        <f t="shared" si="187"/>
        <v>0</v>
      </c>
      <c r="BK341" s="94">
        <f>BK339</f>
        <v>0</v>
      </c>
      <c r="BL341" s="94">
        <f>BL339</f>
        <v>0.245</v>
      </c>
      <c r="BM341" s="90">
        <f t="shared" si="188"/>
        <v>0</v>
      </c>
      <c r="BP341" s="94">
        <f>BP339</f>
        <v>0</v>
      </c>
      <c r="BQ341" s="94">
        <f>BQ339</f>
        <v>0.22500000000000001</v>
      </c>
      <c r="BR341" s="90">
        <f t="shared" si="189"/>
        <v>0</v>
      </c>
      <c r="BU341" s="94">
        <f>BU339</f>
        <v>0</v>
      </c>
      <c r="BV341" s="94">
        <f>BV339</f>
        <v>0.17499999999999999</v>
      </c>
      <c r="BW341" s="90">
        <f t="shared" si="190"/>
        <v>0</v>
      </c>
      <c r="BZ341" s="94">
        <f>BZ339</f>
        <v>0</v>
      </c>
      <c r="CA341" s="94">
        <f>CA339</f>
        <v>0.15</v>
      </c>
      <c r="CB341" s="90">
        <f t="shared" si="191"/>
        <v>0</v>
      </c>
      <c r="CE341" s="95"/>
      <c r="CF341" s="96"/>
      <c r="CG341" s="97"/>
      <c r="CH341" s="97"/>
      <c r="CI341" s="98"/>
      <c r="CK341" s="99">
        <f>IFERROR(IF(F341='[1]Paramètres Généraux'!$K$12,ROUNDUP((REGENERANTS!H341*REGENERANTS!$CF$329)*'[1]Paramètres Généraux'!$M$12,-1),IF(F341='[1]Paramètres Généraux'!$K$15,ROUNDUP((REGENERANTS!H341*REGENERANTS!$CF$329)*'[1]Paramètres Généraux'!$M$15,-1),REGENERANTS!H341*REGENERANTS!$CF$329)),"nd")</f>
        <v>350</v>
      </c>
      <c r="CN341" s="100"/>
      <c r="CO341" s="101"/>
      <c r="CP341" s="101"/>
      <c r="CQ341" s="101"/>
      <c r="CR341" s="101"/>
      <c r="CS341" s="171"/>
      <c r="CT341" s="172"/>
      <c r="CU341" s="101"/>
      <c r="CV341" s="171"/>
      <c r="CW341" s="106"/>
      <c r="CX341" s="107"/>
      <c r="CY341" s="106"/>
      <c r="CZ341" s="104"/>
      <c r="DA341" s="107"/>
      <c r="DB341" s="106"/>
      <c r="DC341" s="104"/>
      <c r="DD341" s="107"/>
      <c r="DE341" s="106"/>
      <c r="DF341" s="104"/>
      <c r="DG341" s="104"/>
      <c r="DH341" s="104"/>
      <c r="DI341" s="104"/>
      <c r="DJ341" s="104"/>
      <c r="DK341" s="104"/>
      <c r="DL341" s="104"/>
      <c r="DM341" s="104"/>
      <c r="DN341" s="104"/>
      <c r="DO341" s="107"/>
      <c r="DP341" s="106"/>
      <c r="DQ341" s="20">
        <f t="shared" si="176"/>
        <v>0</v>
      </c>
      <c r="DR341" s="20">
        <f t="shared" si="177"/>
        <v>0</v>
      </c>
      <c r="DS341" s="20">
        <f>IFERROR((IF(AND($F341="Produit Vente",CO341&gt;0),VLOOKUP($C341,'[1]Paramètres Articles'!$B:$H,7,FALSE)*$CO341)*(1-20%)),0)</f>
        <v>0</v>
      </c>
      <c r="DT341" s="20">
        <f>IFERROR((IF(AND($F341="Produit Vente",DR341&gt;0),VLOOKUP($C341,'[1]Paramètres Articles'!$B:$H,6,FALSE)*$DR341)*(1-15%)),0)</f>
        <v>0</v>
      </c>
      <c r="DU341" s="20">
        <f t="shared" si="178"/>
        <v>0</v>
      </c>
    </row>
    <row r="342" spans="2:125" ht="12.95" customHeight="1" outlineLevel="1">
      <c r="B342" s="1">
        <f>IF(C342="",0,COUNTIFS($B$22:B341,"&gt;"&amp;0)+1)</f>
        <v>135</v>
      </c>
      <c r="C342" s="85">
        <v>1020301</v>
      </c>
      <c r="D342" s="86" t="str">
        <f>IFERROR(IF($C342="","",VLOOKUP($C342,'[1]Paramètres Articles'!$B:$G,2,FALSE)),"Non Trouvé")</f>
        <v>Crème de Jour - Régénérant - 40 ml</v>
      </c>
      <c r="E342" s="87">
        <f>IFERROR(IF($C342="","",_xlfn.XLOOKUP(REGENERANTS!$C342,'[1]New Base PA'!$F:$F,'[1]New Base PA'!$D:$D,"Not Found",0)),"Non Trouvé")</f>
        <v>4020829007383</v>
      </c>
      <c r="F342" s="88" t="s">
        <v>90</v>
      </c>
      <c r="H342" s="89">
        <v>15</v>
      </c>
      <c r="J342" s="90">
        <f>IFERROR(IF($C342="","",VLOOKUP($C342,'[1]New Base PA'!$F:$J,5,FALSE)),"Non Trouvé")</f>
        <v>14.801599999999999</v>
      </c>
      <c r="K342" s="131">
        <f t="shared" si="172"/>
        <v>222.02399999999997</v>
      </c>
      <c r="L342" s="132"/>
      <c r="M342" s="131">
        <f>IFERROR(IF(AND($F342="Produit Vente",H342&gt;0),VLOOKUP($C342,'[1]Paramètres Articles'!$B:$G,6,FALSE),0),"Non Trouvé")</f>
        <v>38.532973805855164</v>
      </c>
      <c r="N342" s="131">
        <f t="shared" si="173"/>
        <v>577.99460708782749</v>
      </c>
      <c r="P342" s="92">
        <v>0.15</v>
      </c>
      <c r="R342" s="90">
        <f t="shared" si="174"/>
        <v>491.29541602465338</v>
      </c>
      <c r="S342" s="91"/>
      <c r="T342" s="90">
        <f>IFERROR(IF($C342="","",VLOOKUP($C342,'[1]Paramètres Articles'!$B:$H,7,FALSE)),"Non Trouvé")</f>
        <v>65.5</v>
      </c>
      <c r="U342" s="93"/>
      <c r="V342" s="90">
        <f t="shared" si="179"/>
        <v>55.674999999999997</v>
      </c>
      <c r="W342" s="91"/>
      <c r="X342" s="90">
        <f t="shared" si="180"/>
        <v>9.8250000000000028</v>
      </c>
      <c r="Y342" s="91"/>
      <c r="Z342" s="90">
        <f t="shared" si="175"/>
        <v>982.5</v>
      </c>
      <c r="AB342" s="94">
        <f>AB341</f>
        <v>28</v>
      </c>
      <c r="AC342" s="94">
        <f>AC341</f>
        <v>0.17</v>
      </c>
      <c r="AD342" s="90">
        <f t="shared" si="181"/>
        <v>11005.017318952236</v>
      </c>
      <c r="AG342" s="94">
        <f>AG341</f>
        <v>7</v>
      </c>
      <c r="AH342" s="94">
        <f>AH341</f>
        <v>0.13</v>
      </c>
      <c r="AI342" s="90">
        <f t="shared" si="182"/>
        <v>2913.0928197226503</v>
      </c>
      <c r="AL342" s="94">
        <f>AL341</f>
        <v>0</v>
      </c>
      <c r="AM342" s="94">
        <f>AM341</f>
        <v>0.08</v>
      </c>
      <c r="AN342" s="90">
        <f t="shared" si="183"/>
        <v>0</v>
      </c>
      <c r="AQ342" s="94">
        <f>AQ341</f>
        <v>0</v>
      </c>
      <c r="AR342" s="94">
        <f>AR341</f>
        <v>0.05</v>
      </c>
      <c r="AS342" s="90">
        <f t="shared" si="184"/>
        <v>0</v>
      </c>
      <c r="AV342" s="94">
        <f>AV341</f>
        <v>0</v>
      </c>
      <c r="AW342" s="94">
        <f>AW341</f>
        <v>0.32500000000000001</v>
      </c>
      <c r="AX342" s="90">
        <f t="shared" si="185"/>
        <v>0</v>
      </c>
      <c r="BA342" s="94">
        <f>BA341</f>
        <v>0</v>
      </c>
      <c r="BB342" s="94">
        <f>BB341</f>
        <v>0.29499999999999998</v>
      </c>
      <c r="BC342" s="90">
        <f t="shared" si="186"/>
        <v>0</v>
      </c>
      <c r="BF342" s="94">
        <f>BF341</f>
        <v>0</v>
      </c>
      <c r="BG342" s="94">
        <f>BG341</f>
        <v>0.27500000000000002</v>
      </c>
      <c r="BH342" s="90">
        <f t="shared" si="187"/>
        <v>0</v>
      </c>
      <c r="BK342" s="94">
        <f>BK341</f>
        <v>0</v>
      </c>
      <c r="BL342" s="94">
        <f>BL341</f>
        <v>0.245</v>
      </c>
      <c r="BM342" s="90">
        <f t="shared" si="188"/>
        <v>0</v>
      </c>
      <c r="BP342" s="94">
        <f>BP341</f>
        <v>0</v>
      </c>
      <c r="BQ342" s="94">
        <f>BQ341</f>
        <v>0.22500000000000001</v>
      </c>
      <c r="BR342" s="90">
        <f t="shared" si="189"/>
        <v>0</v>
      </c>
      <c r="BU342" s="94">
        <f>BU341</f>
        <v>0</v>
      </c>
      <c r="BV342" s="94">
        <f>BV341</f>
        <v>0.17499999999999999</v>
      </c>
      <c r="BW342" s="90">
        <f t="shared" si="190"/>
        <v>0</v>
      </c>
      <c r="BZ342" s="94">
        <f>BZ341</f>
        <v>0</v>
      </c>
      <c r="CA342" s="94">
        <f>CA341</f>
        <v>0.15</v>
      </c>
      <c r="CB342" s="90">
        <f t="shared" si="191"/>
        <v>0</v>
      </c>
      <c r="CE342" s="95"/>
      <c r="CF342" s="128"/>
      <c r="CG342" s="97"/>
      <c r="CH342" s="97"/>
      <c r="CI342" s="98"/>
      <c r="CK342" s="99">
        <f>IFERROR(IF(F342='[1]Paramètres Généraux'!$K$12,ROUNDUP((REGENERANTS!H342*REGENERANTS!$CF$329)*'[1]Paramètres Généraux'!$M$12,-1),IF(F342='[1]Paramètres Généraux'!$K$15,ROUNDUP((REGENERANTS!H342*REGENERANTS!$CF$329)*'[1]Paramètres Généraux'!$M$15,-1),REGENERANTS!H342*REGENERANTS!$CF$329)),"nd")</f>
        <v>525</v>
      </c>
      <c r="CN342" s="100"/>
      <c r="CO342" s="101"/>
      <c r="CP342" s="101"/>
      <c r="CQ342" s="101"/>
      <c r="CR342" s="101"/>
      <c r="CS342" s="171"/>
      <c r="CT342" s="172"/>
      <c r="CU342" s="101"/>
      <c r="CV342" s="171"/>
      <c r="CW342" s="106"/>
      <c r="CX342" s="107"/>
      <c r="CY342" s="106"/>
      <c r="CZ342" s="104"/>
      <c r="DA342" s="107"/>
      <c r="DB342" s="106"/>
      <c r="DC342" s="104"/>
      <c r="DD342" s="107"/>
      <c r="DE342" s="106"/>
      <c r="DF342" s="104"/>
      <c r="DG342" s="104"/>
      <c r="DH342" s="104"/>
      <c r="DI342" s="104"/>
      <c r="DJ342" s="104"/>
      <c r="DK342" s="104"/>
      <c r="DL342" s="104"/>
      <c r="DM342" s="104"/>
      <c r="DN342" s="104"/>
      <c r="DO342" s="107"/>
      <c r="DP342" s="106"/>
      <c r="DQ342" s="20">
        <f t="shared" si="176"/>
        <v>0</v>
      </c>
      <c r="DR342" s="20">
        <f t="shared" si="177"/>
        <v>0</v>
      </c>
      <c r="DS342" s="20">
        <f>IFERROR((IF(AND($F342="Produit Vente",CO342&gt;0),VLOOKUP($C342,'[1]Paramètres Articles'!$B:$H,7,FALSE)*$CO342)*(1-20%)),0)</f>
        <v>0</v>
      </c>
      <c r="DT342" s="20">
        <f>IFERROR((IF(AND($F342="Produit Vente",DR342&gt;0),VLOOKUP($C342,'[1]Paramètres Articles'!$B:$H,6,FALSE)*$DR342)*(1-15%)),0)</f>
        <v>0</v>
      </c>
      <c r="DU342" s="20">
        <f t="shared" si="178"/>
        <v>0</v>
      </c>
    </row>
    <row r="343" spans="2:125" ht="12.95" customHeight="1" outlineLevel="1">
      <c r="B343" s="1">
        <f>IF(C343="",0,COUNTIFS($B$22:B342,"&gt;"&amp;0)+1)</f>
        <v>136</v>
      </c>
      <c r="C343" s="85">
        <v>1020720</v>
      </c>
      <c r="D343" s="86" t="str">
        <f>IFERROR(IF($C343="","",VLOOKUP($C343,'[1]Paramètres Articles'!$B:$G,2,FALSE)),"Non Trouvé")</f>
        <v>Crème de Jour - Régénérant Intensif - 40ml</v>
      </c>
      <c r="E343" s="87">
        <f>IFERROR(IF($C343="","",_xlfn.XLOOKUP(REGENERANTS!$C343,'[1]New Base PA'!$F:$F,'[1]New Base PA'!$D:$D,"Not Found",0)),"Non Trouvé")</f>
        <v>4020829102972</v>
      </c>
      <c r="F343" s="88" t="s">
        <v>90</v>
      </c>
      <c r="H343" s="89">
        <v>15</v>
      </c>
      <c r="J343" s="90">
        <f>IFERROR(IF($C343="","",VLOOKUP($C343,'[1]New Base PA'!$F:$J,5,FALSE)),"Non Trouvé")</f>
        <v>17.191199999999998</v>
      </c>
      <c r="K343" s="131">
        <f t="shared" si="172"/>
        <v>257.86799999999999</v>
      </c>
      <c r="L343" s="132"/>
      <c r="M343" s="131">
        <f>IFERROR(IF(AND($F343="Produit Vente",H343&gt;0),VLOOKUP($C343,'[1]Paramètres Articles'!$B:$G,6,FALSE),0),"Non Trouvé")</f>
        <v>44.648251001335112</v>
      </c>
      <c r="N343" s="131">
        <f t="shared" si="173"/>
        <v>669.72376502002669</v>
      </c>
      <c r="P343" s="92">
        <v>0.15</v>
      </c>
      <c r="R343" s="90">
        <f t="shared" si="174"/>
        <v>569.26520026702269</v>
      </c>
      <c r="S343" s="91"/>
      <c r="T343" s="90">
        <f>IFERROR(IF($C343="","",VLOOKUP($C343,'[1]Paramètres Articles'!$B:$H,7,FALSE)),"Non Trouvé")</f>
        <v>75.900000000000006</v>
      </c>
      <c r="U343" s="93"/>
      <c r="V343" s="90">
        <f t="shared" si="179"/>
        <v>64.515000000000001</v>
      </c>
      <c r="W343" s="91"/>
      <c r="X343" s="90">
        <f t="shared" si="180"/>
        <v>11.385000000000005</v>
      </c>
      <c r="Y343" s="91"/>
      <c r="Z343" s="90">
        <f t="shared" si="175"/>
        <v>1138.5</v>
      </c>
      <c r="AB343" s="94">
        <f>AB341</f>
        <v>28</v>
      </c>
      <c r="AC343" s="94">
        <f>AC341</f>
        <v>0.17</v>
      </c>
      <c r="AD343" s="90">
        <f t="shared" si="181"/>
        <v>12751.540485981306</v>
      </c>
      <c r="AG343" s="94">
        <f>AG341</f>
        <v>7</v>
      </c>
      <c r="AH343" s="94">
        <f>AH341</f>
        <v>0.13</v>
      </c>
      <c r="AI343" s="90">
        <f t="shared" si="182"/>
        <v>3375.4077757009341</v>
      </c>
      <c r="AL343" s="94">
        <f>AL341</f>
        <v>0</v>
      </c>
      <c r="AM343" s="94">
        <f>AM341</f>
        <v>0.08</v>
      </c>
      <c r="AN343" s="90">
        <f t="shared" si="183"/>
        <v>0</v>
      </c>
      <c r="AQ343" s="94">
        <f>AQ341</f>
        <v>0</v>
      </c>
      <c r="AR343" s="94">
        <f>AR341</f>
        <v>0.05</v>
      </c>
      <c r="AS343" s="90">
        <f t="shared" si="184"/>
        <v>0</v>
      </c>
      <c r="AV343" s="94">
        <f>AV341</f>
        <v>0</v>
      </c>
      <c r="AW343" s="94">
        <f>AW341</f>
        <v>0.32500000000000001</v>
      </c>
      <c r="AX343" s="90">
        <f t="shared" si="185"/>
        <v>0</v>
      </c>
      <c r="BA343" s="94">
        <f>BA341</f>
        <v>0</v>
      </c>
      <c r="BB343" s="94">
        <f>BB341</f>
        <v>0.29499999999999998</v>
      </c>
      <c r="BC343" s="90">
        <f t="shared" si="186"/>
        <v>0</v>
      </c>
      <c r="BF343" s="94">
        <f>BF341</f>
        <v>0</v>
      </c>
      <c r="BG343" s="94">
        <f>BG341</f>
        <v>0.27500000000000002</v>
      </c>
      <c r="BH343" s="90">
        <f t="shared" si="187"/>
        <v>0</v>
      </c>
      <c r="BK343" s="94">
        <f>BK341</f>
        <v>0</v>
      </c>
      <c r="BL343" s="94">
        <f>BL341</f>
        <v>0.245</v>
      </c>
      <c r="BM343" s="90">
        <f t="shared" si="188"/>
        <v>0</v>
      </c>
      <c r="BP343" s="94">
        <f>BP341</f>
        <v>0</v>
      </c>
      <c r="BQ343" s="94">
        <f>BQ341</f>
        <v>0.22500000000000001</v>
      </c>
      <c r="BR343" s="90">
        <f t="shared" si="189"/>
        <v>0</v>
      </c>
      <c r="BU343" s="94">
        <f>BU341</f>
        <v>0</v>
      </c>
      <c r="BV343" s="94">
        <f>BV341</f>
        <v>0.17499999999999999</v>
      </c>
      <c r="BW343" s="90">
        <f t="shared" si="190"/>
        <v>0</v>
      </c>
      <c r="BZ343" s="94">
        <f>BZ341</f>
        <v>0</v>
      </c>
      <c r="CA343" s="94">
        <f>CA341</f>
        <v>0.15</v>
      </c>
      <c r="CB343" s="90">
        <f t="shared" si="191"/>
        <v>0</v>
      </c>
      <c r="CE343" s="95"/>
      <c r="CF343" s="97"/>
      <c r="CG343" s="128" t="s">
        <v>4</v>
      </c>
      <c r="CH343" s="97"/>
      <c r="CI343" s="98"/>
      <c r="CK343" s="99">
        <f>IFERROR(IF(F343='[1]Paramètres Généraux'!$K$12,ROUNDUP((REGENERANTS!H343*REGENERANTS!$CF$329)*'[1]Paramètres Généraux'!$M$12,-1),IF(F343='[1]Paramètres Généraux'!$K$15,ROUNDUP((REGENERANTS!H343*REGENERANTS!$CF$329)*'[1]Paramètres Généraux'!$M$15,-1),REGENERANTS!H343*REGENERANTS!$CF$329)),"nd")</f>
        <v>525</v>
      </c>
      <c r="CN343" s="100"/>
      <c r="CO343" s="101"/>
      <c r="CP343" s="101"/>
      <c r="CQ343" s="101"/>
      <c r="CR343" s="101"/>
      <c r="CS343" s="171"/>
      <c r="CT343" s="172"/>
      <c r="CU343" s="101"/>
      <c r="CV343" s="171"/>
      <c r="CW343" s="106"/>
      <c r="CX343" s="107"/>
      <c r="CY343" s="106"/>
      <c r="CZ343" s="104"/>
      <c r="DA343" s="107"/>
      <c r="DB343" s="106"/>
      <c r="DC343" s="104"/>
      <c r="DD343" s="107"/>
      <c r="DE343" s="106"/>
      <c r="DF343" s="104"/>
      <c r="DG343" s="104"/>
      <c r="DH343" s="104"/>
      <c r="DI343" s="104"/>
      <c r="DJ343" s="104"/>
      <c r="DK343" s="104"/>
      <c r="DL343" s="104"/>
      <c r="DM343" s="104"/>
      <c r="DN343" s="104"/>
      <c r="DO343" s="107"/>
      <c r="DP343" s="106"/>
      <c r="DQ343" s="20">
        <f t="shared" si="176"/>
        <v>0</v>
      </c>
      <c r="DR343" s="20">
        <f t="shared" si="177"/>
        <v>0</v>
      </c>
      <c r="DS343" s="20">
        <f>IFERROR((IF(AND($F343="Produit Vente",CO343&gt;0),VLOOKUP($C343,'[1]Paramètres Articles'!$B:$H,7,FALSE)*$CO343)*(1-20%)),0)</f>
        <v>0</v>
      </c>
      <c r="DT343" s="20">
        <f>IFERROR((IF(AND($F343="Produit Vente",DR343&gt;0),VLOOKUP($C343,'[1]Paramètres Articles'!$B:$H,6,FALSE)*$DR343)*(1-15%)),0)</f>
        <v>0</v>
      </c>
      <c r="DU343" s="20">
        <f t="shared" si="178"/>
        <v>0</v>
      </c>
    </row>
    <row r="344" spans="2:125" ht="12.95" customHeight="1" outlineLevel="1">
      <c r="B344" s="1">
        <f>IF(C344="",0,COUNTIFS($B$22:B343,"&gt;"&amp;0)+1)</f>
        <v>137</v>
      </c>
      <c r="C344" s="85" t="s">
        <v>97</v>
      </c>
      <c r="D344" s="86" t="str">
        <f>IFERROR(IF($C344="","",VLOOKUP($C344,'[1]Paramètres Articles'!$B:$G,2,FALSE)),"Non Trouvé")</f>
        <v>Panneau vitrine Régénérants 2026</v>
      </c>
      <c r="E344" s="87">
        <f>IFERROR(IF($C344="","",_xlfn.XLOOKUP(REGENERANTS!$C344,'[1]New Base PA'!$F:$F,'[1]New Base PA'!$D:$D,"Not Found",0)),"Non Trouvé")</f>
        <v>0</v>
      </c>
      <c r="F344" s="88" t="s">
        <v>98</v>
      </c>
      <c r="H344" s="89">
        <v>1</v>
      </c>
      <c r="J344" s="90">
        <f>IFERROR(IF($C344="","",VLOOKUP($C344,'[1]New Base PA'!$F:$J,5,FALSE)),"Non Trouvé")</f>
        <v>20.079999999999998</v>
      </c>
      <c r="K344" s="131">
        <f t="shared" si="172"/>
        <v>20.079999999999998</v>
      </c>
      <c r="L344" s="132"/>
      <c r="M344" s="131">
        <f>IFERROR(IF(AND($F344="Produit Vente",H344&gt;0),VLOOKUP($C344,'[1]Paramètres Articles'!$B:$G,6,FALSE),0),"Non Trouvé")</f>
        <v>0</v>
      </c>
      <c r="N344" s="131">
        <f t="shared" si="173"/>
        <v>0</v>
      </c>
      <c r="P344" s="92"/>
      <c r="R344" s="90">
        <f t="shared" si="174"/>
        <v>0</v>
      </c>
      <c r="S344" s="91"/>
      <c r="T344" s="90">
        <f>IFERROR(IF($C344="","",VLOOKUP($C344,'[1]Paramètres Articles'!$B:$H,7,FALSE)),"Non Trouvé")</f>
        <v>0</v>
      </c>
      <c r="U344" s="93"/>
      <c r="V344" s="90" t="str">
        <f t="shared" si="179"/>
        <v/>
      </c>
      <c r="W344" s="91"/>
      <c r="X344" s="90" t="str">
        <f t="shared" si="180"/>
        <v/>
      </c>
      <c r="Y344" s="91"/>
      <c r="Z344" s="90">
        <f t="shared" si="175"/>
        <v>0</v>
      </c>
      <c r="AB344" s="94">
        <f>AB343</f>
        <v>28</v>
      </c>
      <c r="AC344" s="94">
        <f>AC343</f>
        <v>0.17</v>
      </c>
      <c r="AD344" s="90">
        <f t="shared" si="181"/>
        <v>0</v>
      </c>
      <c r="AG344" s="94">
        <f>AG343</f>
        <v>7</v>
      </c>
      <c r="AH344" s="94">
        <f>AH343</f>
        <v>0.13</v>
      </c>
      <c r="AI344" s="90">
        <f t="shared" si="182"/>
        <v>0</v>
      </c>
      <c r="AL344" s="94">
        <f>AL343</f>
        <v>0</v>
      </c>
      <c r="AM344" s="94">
        <f>AM343</f>
        <v>0.08</v>
      </c>
      <c r="AN344" s="90">
        <f t="shared" si="183"/>
        <v>0</v>
      </c>
      <c r="AQ344" s="94">
        <f>AQ343</f>
        <v>0</v>
      </c>
      <c r="AR344" s="94">
        <f>AR343</f>
        <v>0.05</v>
      </c>
      <c r="AS344" s="90">
        <f t="shared" si="184"/>
        <v>0</v>
      </c>
      <c r="AV344" s="94">
        <f>AV343</f>
        <v>0</v>
      </c>
      <c r="AW344" s="94">
        <f>AW343</f>
        <v>0.32500000000000001</v>
      </c>
      <c r="AX344" s="90">
        <f t="shared" si="185"/>
        <v>0</v>
      </c>
      <c r="BA344" s="94">
        <f>BA343</f>
        <v>0</v>
      </c>
      <c r="BB344" s="94">
        <f>BB343</f>
        <v>0.29499999999999998</v>
      </c>
      <c r="BC344" s="90">
        <f t="shared" si="186"/>
        <v>0</v>
      </c>
      <c r="BF344" s="94">
        <f>BF343</f>
        <v>0</v>
      </c>
      <c r="BG344" s="94">
        <f>BG343</f>
        <v>0.27500000000000002</v>
      </c>
      <c r="BH344" s="90">
        <f t="shared" si="187"/>
        <v>0</v>
      </c>
      <c r="BK344" s="94">
        <f>BK343</f>
        <v>0</v>
      </c>
      <c r="BL344" s="94">
        <f>BL343</f>
        <v>0.245</v>
      </c>
      <c r="BM344" s="90">
        <f t="shared" si="188"/>
        <v>0</v>
      </c>
      <c r="BP344" s="94">
        <f>BP343</f>
        <v>0</v>
      </c>
      <c r="BQ344" s="94">
        <f>BQ343</f>
        <v>0.22500000000000001</v>
      </c>
      <c r="BR344" s="90">
        <f t="shared" si="189"/>
        <v>0</v>
      </c>
      <c r="BU344" s="94">
        <f>BU343</f>
        <v>0</v>
      </c>
      <c r="BV344" s="94">
        <f>BV343</f>
        <v>0.17499999999999999</v>
      </c>
      <c r="BW344" s="90">
        <f t="shared" si="190"/>
        <v>0</v>
      </c>
      <c r="BZ344" s="94">
        <f>BZ343</f>
        <v>0</v>
      </c>
      <c r="CA344" s="94">
        <f>CA343</f>
        <v>0.15</v>
      </c>
      <c r="CB344" s="90">
        <f t="shared" si="191"/>
        <v>0</v>
      </c>
      <c r="CE344" s="95"/>
      <c r="CF344" s="133"/>
      <c r="CG344" s="97" t="s">
        <v>0</v>
      </c>
      <c r="CH344" s="133">
        <f>SUMIFS($AB329:$AT329,$AB326:$AT326,CG344)+SUMIFS($BZ329:$CC329,$BZ326:$CC326,CG344)</f>
        <v>35</v>
      </c>
      <c r="CI344" s="98"/>
      <c r="CK344" s="99">
        <f>IFERROR(IF(F344='[1]Paramètres Généraux'!$K$12,ROUNDUP((REGENERANTS!H344*REGENERANTS!$CF$329)*'[1]Paramètres Généraux'!$M$12,-1),IF(F344='[1]Paramètres Généraux'!$K$15,ROUNDUP((REGENERANTS!H344*REGENERANTS!$CF$329)*'[1]Paramètres Généraux'!$M$15,-1),REGENERANTS!H344*REGENERANTS!$CF$329)),"nd")</f>
        <v>20</v>
      </c>
      <c r="CN344" s="100"/>
      <c r="CO344" s="101"/>
      <c r="CP344" s="101"/>
      <c r="CQ344" s="101"/>
      <c r="CR344" s="101"/>
      <c r="CS344" s="171"/>
      <c r="CT344" s="172"/>
      <c r="CU344" s="101"/>
      <c r="CV344" s="171"/>
      <c r="CW344" s="106"/>
      <c r="CX344" s="107"/>
      <c r="CY344" s="106"/>
      <c r="CZ344" s="104"/>
      <c r="DA344" s="107"/>
      <c r="DB344" s="106"/>
      <c r="DC344" s="104"/>
      <c r="DD344" s="107"/>
      <c r="DE344" s="106"/>
      <c r="DF344" s="104"/>
      <c r="DG344" s="104"/>
      <c r="DH344" s="104"/>
      <c r="DI344" s="104"/>
      <c r="DJ344" s="104"/>
      <c r="DK344" s="104"/>
      <c r="DL344" s="104"/>
      <c r="DM344" s="104"/>
      <c r="DN344" s="104"/>
      <c r="DO344" s="107"/>
      <c r="DP344" s="106"/>
      <c r="DQ344" s="20">
        <f t="shared" si="176"/>
        <v>0</v>
      </c>
      <c r="DR344" s="20">
        <f t="shared" si="177"/>
        <v>0</v>
      </c>
      <c r="DS344" s="20">
        <f>IFERROR((IF(AND($F344="Produit Vente",CO344&gt;0),VLOOKUP($C344,'[1]Paramètres Articles'!$B:$H,7,FALSE)*$CO344)*(1-20%)),0)</f>
        <v>0</v>
      </c>
      <c r="DT344" s="20">
        <f>IFERROR((IF(AND($F344="Produit Vente",DR344&gt;0),VLOOKUP($C344,'[1]Paramètres Articles'!$B:$H,6,FALSE)*$DR344)*(1-15%)),0)</f>
        <v>0</v>
      </c>
      <c r="DU344" s="20">
        <f t="shared" si="178"/>
        <v>0</v>
      </c>
    </row>
    <row r="345" spans="2:125" ht="12.95" customHeight="1" outlineLevel="1">
      <c r="B345" s="1">
        <f>IF(C345="",0,COUNTIFS($B$22:B344,"&gt;"&amp;0)+1)</f>
        <v>138</v>
      </c>
      <c r="C345" s="85" t="s">
        <v>99</v>
      </c>
      <c r="D345" s="86" t="str">
        <f>IFERROR(IF($C345="","",VLOOKUP($C345,'[1]Paramètres Articles'!$B:$G,2,FALSE)),"Non Trouvé")</f>
        <v>Présentoir Régénérants 2026</v>
      </c>
      <c r="E345" s="87">
        <f>IFERROR(IF($C345="","",_xlfn.XLOOKUP(REGENERANTS!$C345,'[1]New Base PA'!$F:$F,'[1]New Base PA'!$D:$D,"Not Found",0)),"Non Trouvé")</f>
        <v>0</v>
      </c>
      <c r="F345" s="88" t="s">
        <v>100</v>
      </c>
      <c r="H345" s="89">
        <v>1</v>
      </c>
      <c r="J345" s="90">
        <f>IFERROR(IF($C345="","",VLOOKUP($C345,'[1]New Base PA'!$F:$J,5,FALSE)),"Non Trouvé")</f>
        <v>13.92</v>
      </c>
      <c r="K345" s="131">
        <f t="shared" si="172"/>
        <v>13.92</v>
      </c>
      <c r="L345" s="132"/>
      <c r="M345" s="131">
        <f>IFERROR(IF(AND($F345="Produit Vente",H345&gt;0),VLOOKUP($C345,'[1]Paramètres Articles'!$B:$G,6,FALSE),0),"Non Trouvé")</f>
        <v>0</v>
      </c>
      <c r="N345" s="131">
        <f t="shared" si="173"/>
        <v>0</v>
      </c>
      <c r="P345" s="92"/>
      <c r="R345" s="90">
        <f t="shared" si="174"/>
        <v>0</v>
      </c>
      <c r="S345" s="91"/>
      <c r="T345" s="90">
        <f>IFERROR(IF($C345="","",VLOOKUP($C345,'[1]Paramètres Articles'!$B:$H,7,FALSE)),"Non Trouvé")</f>
        <v>0</v>
      </c>
      <c r="U345" s="93"/>
      <c r="V345" s="90" t="str">
        <f t="shared" si="179"/>
        <v/>
      </c>
      <c r="W345" s="91"/>
      <c r="X345" s="90" t="str">
        <f t="shared" si="180"/>
        <v/>
      </c>
      <c r="Y345" s="91"/>
      <c r="Z345" s="90">
        <f t="shared" si="175"/>
        <v>0</v>
      </c>
      <c r="AB345" s="94">
        <f>AB343</f>
        <v>28</v>
      </c>
      <c r="AC345" s="94">
        <f>AC343</f>
        <v>0.17</v>
      </c>
      <c r="AD345" s="90">
        <f t="shared" si="181"/>
        <v>0</v>
      </c>
      <c r="AG345" s="94">
        <f>AG343</f>
        <v>7</v>
      </c>
      <c r="AH345" s="94">
        <f>AH343</f>
        <v>0.13</v>
      </c>
      <c r="AI345" s="90">
        <f t="shared" si="182"/>
        <v>0</v>
      </c>
      <c r="AL345" s="94">
        <f>AL343</f>
        <v>0</v>
      </c>
      <c r="AM345" s="94">
        <f>AM343</f>
        <v>0.08</v>
      </c>
      <c r="AN345" s="90">
        <f t="shared" si="183"/>
        <v>0</v>
      </c>
      <c r="AQ345" s="94">
        <f>AQ343</f>
        <v>0</v>
      </c>
      <c r="AR345" s="94">
        <f>AR343</f>
        <v>0.05</v>
      </c>
      <c r="AS345" s="90">
        <f t="shared" si="184"/>
        <v>0</v>
      </c>
      <c r="AV345" s="94">
        <f>AV343</f>
        <v>0</v>
      </c>
      <c r="AW345" s="94">
        <f>AW343</f>
        <v>0.32500000000000001</v>
      </c>
      <c r="AX345" s="90">
        <f t="shared" si="185"/>
        <v>0</v>
      </c>
      <c r="BA345" s="94">
        <f>BA343</f>
        <v>0</v>
      </c>
      <c r="BB345" s="94">
        <f>BB343</f>
        <v>0.29499999999999998</v>
      </c>
      <c r="BC345" s="90">
        <f t="shared" si="186"/>
        <v>0</v>
      </c>
      <c r="BF345" s="94">
        <f>BF343</f>
        <v>0</v>
      </c>
      <c r="BG345" s="94">
        <f>BG343</f>
        <v>0.27500000000000002</v>
      </c>
      <c r="BH345" s="90">
        <f t="shared" si="187"/>
        <v>0</v>
      </c>
      <c r="BK345" s="94">
        <f>BK343</f>
        <v>0</v>
      </c>
      <c r="BL345" s="94">
        <f>BL343</f>
        <v>0.245</v>
      </c>
      <c r="BM345" s="90">
        <f t="shared" si="188"/>
        <v>0</v>
      </c>
      <c r="BP345" s="94">
        <f>BP343</f>
        <v>0</v>
      </c>
      <c r="BQ345" s="94">
        <f>BQ343</f>
        <v>0.22500000000000001</v>
      </c>
      <c r="BR345" s="90">
        <f t="shared" si="189"/>
        <v>0</v>
      </c>
      <c r="BU345" s="94">
        <f>BU343</f>
        <v>0</v>
      </c>
      <c r="BV345" s="94">
        <f>BV343</f>
        <v>0.17499999999999999</v>
      </c>
      <c r="BW345" s="90">
        <f t="shared" si="190"/>
        <v>0</v>
      </c>
      <c r="BZ345" s="94">
        <f>BZ343</f>
        <v>0</v>
      </c>
      <c r="CA345" s="94">
        <f>CA343</f>
        <v>0.15</v>
      </c>
      <c r="CB345" s="90">
        <f t="shared" si="191"/>
        <v>0</v>
      </c>
      <c r="CE345" s="95"/>
      <c r="CF345" s="96"/>
      <c r="CG345" s="97" t="s">
        <v>1</v>
      </c>
      <c r="CH345" s="134">
        <f>SUMIFS($AB329:$AT329,$AB326:$AT326,CG345)+SUMIFS($BZ329:$CC329,$BZ326:$CC326,CG345)</f>
        <v>87267.571822738799</v>
      </c>
      <c r="CI345" s="98"/>
      <c r="CK345" s="99">
        <f>IFERROR(IF(F345='[1]Paramètres Généraux'!$K$12,ROUNDUP((REGENERANTS!H345*REGENERANTS!$CF$329)*'[1]Paramètres Généraux'!$M$12,-1),IF(F345='[1]Paramètres Généraux'!$K$15,ROUNDUP((REGENERANTS!H345*REGENERANTS!$CF$329)*'[1]Paramètres Généraux'!$M$15,-1),REGENERANTS!H345*REGENERANTS!$CF$329)),"nd")</f>
        <v>30</v>
      </c>
      <c r="CN345" s="100"/>
      <c r="CO345" s="101"/>
      <c r="CP345" s="101"/>
      <c r="CQ345" s="101"/>
      <c r="CR345" s="101"/>
      <c r="CS345" s="171"/>
      <c r="CT345" s="172"/>
      <c r="CU345" s="101"/>
      <c r="CV345" s="171"/>
      <c r="CW345" s="106"/>
      <c r="CX345" s="107"/>
      <c r="CY345" s="106"/>
      <c r="CZ345" s="104"/>
      <c r="DA345" s="107"/>
      <c r="DB345" s="106"/>
      <c r="DC345" s="104"/>
      <c r="DD345" s="107"/>
      <c r="DE345" s="106"/>
      <c r="DF345" s="104"/>
      <c r="DG345" s="104"/>
      <c r="DH345" s="104"/>
      <c r="DI345" s="104"/>
      <c r="DJ345" s="104"/>
      <c r="DK345" s="104"/>
      <c r="DL345" s="104"/>
      <c r="DM345" s="104"/>
      <c r="DN345" s="104"/>
      <c r="DO345" s="107"/>
      <c r="DP345" s="106"/>
      <c r="DQ345" s="20">
        <f t="shared" si="176"/>
        <v>0</v>
      </c>
      <c r="DR345" s="20">
        <f t="shared" si="177"/>
        <v>0</v>
      </c>
      <c r="DS345" s="20">
        <f>IFERROR((IF(AND($F345="Produit Vente",CO345&gt;0),VLOOKUP($C345,'[1]Paramètres Articles'!$B:$H,7,FALSE)*$CO345)*(1-20%)),0)</f>
        <v>0</v>
      </c>
      <c r="DT345" s="20">
        <f>IFERROR((IF(AND($F345="Produit Vente",DR345&gt;0),VLOOKUP($C345,'[1]Paramètres Articles'!$B:$H,6,FALSE)*$DR345)*(1-15%)),0)</f>
        <v>0</v>
      </c>
      <c r="DU345" s="20">
        <f t="shared" si="178"/>
        <v>0</v>
      </c>
    </row>
    <row r="346" spans="2:125" ht="12.95" customHeight="1" outlineLevel="1">
      <c r="B346" s="1">
        <f>IF(C346="",0,COUNTIFS($B$22:B345,"&gt;"&amp;0)+1)</f>
        <v>139</v>
      </c>
      <c r="C346" s="85">
        <v>3020202</v>
      </c>
      <c r="D346" s="86" t="str">
        <f>IFERROR(IF($C346="","",VLOOKUP($C346,'[1]Paramètres Articles'!$B:$G,2,FALSE)),"Non Trouvé")</f>
        <v>Testeur - Sérum Jour / Nuit - Régénérant 30ml - 15% comprise</v>
      </c>
      <c r="E346" s="87">
        <f>IFERROR(IF($C346="","",_xlfn.XLOOKUP(REGENERANTS!$C346,'[1]New Base PA'!$F:$F,'[1]New Base PA'!$D:$D,"Not Found",0)),"Non Trouvé")</f>
        <v>4020829103146</v>
      </c>
      <c r="F346" s="88" t="s">
        <v>96</v>
      </c>
      <c r="H346" s="89">
        <v>2</v>
      </c>
      <c r="J346" s="90">
        <f>IFERROR(IF($C346="","",VLOOKUP($C346,'[1]New Base PA'!$F:$J,5,FALSE)),"Non Trouvé")</f>
        <v>11.62</v>
      </c>
      <c r="K346" s="131">
        <f t="shared" si="172"/>
        <v>23.24</v>
      </c>
      <c r="L346" s="132"/>
      <c r="M346" s="131">
        <f>IFERROR(IF(AND($F346="Produit Vente",H346&gt;0),VLOOKUP($C346,'[1]Paramètres Articles'!$B:$G,6,FALSE),0),"Non Trouvé")</f>
        <v>0</v>
      </c>
      <c r="N346" s="131">
        <f t="shared" si="173"/>
        <v>0</v>
      </c>
      <c r="P346" s="92"/>
      <c r="R346" s="90">
        <f t="shared" si="174"/>
        <v>0</v>
      </c>
      <c r="S346" s="91"/>
      <c r="T346" s="90" t="str">
        <f>IFERROR(IF($C346="","",VLOOKUP($C346,'[1]Paramètres Articles'!$B:$H,7,FALSE)),"Non Trouvé")</f>
        <v>Non Trouvé</v>
      </c>
      <c r="U346" s="93"/>
      <c r="V346" s="90" t="str">
        <f t="shared" si="179"/>
        <v/>
      </c>
      <c r="W346" s="91"/>
      <c r="X346" s="90" t="str">
        <f t="shared" si="180"/>
        <v/>
      </c>
      <c r="Y346" s="91"/>
      <c r="Z346" s="90" t="str">
        <f t="shared" si="175"/>
        <v>Non Trouvé</v>
      </c>
      <c r="AB346" s="94">
        <f>AB345</f>
        <v>28</v>
      </c>
      <c r="AC346" s="94">
        <f>AC345</f>
        <v>0.17</v>
      </c>
      <c r="AD346" s="90">
        <f t="shared" si="181"/>
        <v>0</v>
      </c>
      <c r="AG346" s="94">
        <f>AG345</f>
        <v>7</v>
      </c>
      <c r="AH346" s="94">
        <f>AH345</f>
        <v>0.13</v>
      </c>
      <c r="AI346" s="90">
        <f t="shared" si="182"/>
        <v>0</v>
      </c>
      <c r="AL346" s="94">
        <f>AL345</f>
        <v>0</v>
      </c>
      <c r="AM346" s="94">
        <f>AM345</f>
        <v>0.08</v>
      </c>
      <c r="AN346" s="90">
        <f t="shared" si="183"/>
        <v>0</v>
      </c>
      <c r="AQ346" s="94">
        <f>AQ345</f>
        <v>0</v>
      </c>
      <c r="AR346" s="94">
        <f>AR345</f>
        <v>0.05</v>
      </c>
      <c r="AS346" s="90">
        <f t="shared" si="184"/>
        <v>0</v>
      </c>
      <c r="AV346" s="94">
        <f>AV345</f>
        <v>0</v>
      </c>
      <c r="AW346" s="94">
        <f>AW345</f>
        <v>0.32500000000000001</v>
      </c>
      <c r="AX346" s="90">
        <f t="shared" si="185"/>
        <v>0</v>
      </c>
      <c r="BA346" s="94">
        <f>BA345</f>
        <v>0</v>
      </c>
      <c r="BB346" s="94">
        <f>BB345</f>
        <v>0.29499999999999998</v>
      </c>
      <c r="BC346" s="90">
        <f t="shared" si="186"/>
        <v>0</v>
      </c>
      <c r="BF346" s="94">
        <f>BF345</f>
        <v>0</v>
      </c>
      <c r="BG346" s="94">
        <f>BG345</f>
        <v>0.27500000000000002</v>
      </c>
      <c r="BH346" s="90">
        <f t="shared" si="187"/>
        <v>0</v>
      </c>
      <c r="BK346" s="94">
        <f>BK345</f>
        <v>0</v>
      </c>
      <c r="BL346" s="94">
        <f>BL345</f>
        <v>0.245</v>
      </c>
      <c r="BM346" s="90">
        <f t="shared" si="188"/>
        <v>0</v>
      </c>
      <c r="BP346" s="94">
        <f>BP345</f>
        <v>0</v>
      </c>
      <c r="BQ346" s="94">
        <f>BQ345</f>
        <v>0.22500000000000001</v>
      </c>
      <c r="BR346" s="90">
        <f t="shared" si="189"/>
        <v>0</v>
      </c>
      <c r="BU346" s="94">
        <f>BU345</f>
        <v>0</v>
      </c>
      <c r="BV346" s="94">
        <f>BV345</f>
        <v>0.17499999999999999</v>
      </c>
      <c r="BW346" s="90">
        <f t="shared" si="190"/>
        <v>0</v>
      </c>
      <c r="BZ346" s="94">
        <f>BZ345</f>
        <v>0</v>
      </c>
      <c r="CA346" s="94">
        <f>CA345</f>
        <v>0.15</v>
      </c>
      <c r="CB346" s="90">
        <f t="shared" si="191"/>
        <v>0</v>
      </c>
      <c r="CE346" s="95"/>
      <c r="CF346" s="128"/>
      <c r="CG346" s="97" t="s">
        <v>2</v>
      </c>
      <c r="CH346" s="135">
        <f>IFERROR((CH345-$K329*CH344)/CH345,"Non Trouvé")</f>
        <v>0.33254783210522498</v>
      </c>
      <c r="CI346" s="98"/>
      <c r="CK346" s="99">
        <f>IFERROR(IF(F346='[1]Paramètres Généraux'!$K$12,ROUNDUP((REGENERANTS!H346*REGENERANTS!$CF$329)*'[1]Paramètres Généraux'!$M$12,-1),IF(F346='[1]Paramètres Généraux'!$K$15,ROUNDUP((REGENERANTS!H346*REGENERANTS!$CF$329)*'[1]Paramètres Généraux'!$M$15,-1),REGENERANTS!H346*REGENERANTS!$CF$329)),"nd")</f>
        <v>70</v>
      </c>
      <c r="CN346" s="100"/>
      <c r="CO346" s="101"/>
      <c r="CP346" s="101"/>
      <c r="CQ346" s="101"/>
      <c r="CR346" s="101"/>
      <c r="CS346" s="171"/>
      <c r="CT346" s="172"/>
      <c r="CU346" s="101"/>
      <c r="CV346" s="171"/>
      <c r="CW346" s="106"/>
      <c r="CX346" s="107"/>
      <c r="CY346" s="106"/>
      <c r="CZ346" s="104"/>
      <c r="DA346" s="107"/>
      <c r="DB346" s="106"/>
      <c r="DC346" s="104"/>
      <c r="DD346" s="107"/>
      <c r="DE346" s="106"/>
      <c r="DF346" s="104"/>
      <c r="DG346" s="104"/>
      <c r="DH346" s="104"/>
      <c r="DI346" s="104"/>
      <c r="DJ346" s="104"/>
      <c r="DK346" s="104"/>
      <c r="DL346" s="104"/>
      <c r="DM346" s="104"/>
      <c r="DN346" s="104"/>
      <c r="DO346" s="107"/>
      <c r="DP346" s="106"/>
      <c r="DQ346" s="20">
        <f t="shared" si="176"/>
        <v>0</v>
      </c>
      <c r="DR346" s="20">
        <f t="shared" si="177"/>
        <v>0</v>
      </c>
      <c r="DS346" s="20">
        <f>IFERROR((IF(AND($F346="Produit Vente",CO346&gt;0),VLOOKUP($C346,'[1]Paramètres Articles'!$B:$H,7,FALSE)*$CO346)*(1-20%)),0)</f>
        <v>0</v>
      </c>
      <c r="DT346" s="20">
        <f>IFERROR((IF(AND($F346="Produit Vente",DR346&gt;0),VLOOKUP($C346,'[1]Paramètres Articles'!$B:$H,6,FALSE)*$DR346)*(1-15%)),0)</f>
        <v>0</v>
      </c>
      <c r="DU346" s="20">
        <f t="shared" si="178"/>
        <v>0</v>
      </c>
    </row>
    <row r="347" spans="2:125" ht="12.95" customHeight="1" outlineLevel="1">
      <c r="B347" s="1">
        <f>IF(C347="",0,COUNTIFS($B$22:B346,"&gt;"&amp;0)+1)</f>
        <v>140</v>
      </c>
      <c r="C347" s="85">
        <v>3020301</v>
      </c>
      <c r="D347" s="86" t="str">
        <f>IFERROR(IF($C347="","",VLOOKUP($C347,'[1]Paramètres Articles'!$B:$G,2,FALSE)),"Non Trouvé")</f>
        <v>Testeur - Crème de Jour Régénérante 40 ml - 15% comprise</v>
      </c>
      <c r="E347" s="87">
        <f>IFERROR(IF($C347="","",_xlfn.XLOOKUP(REGENERANTS!$C347,'[1]New Base PA'!$F:$F,'[1]New Base PA'!$D:$D,"Not Found",0)),"Non Trouvé")</f>
        <v>4020829007123</v>
      </c>
      <c r="F347" s="88" t="s">
        <v>96</v>
      </c>
      <c r="H347" s="89">
        <v>2</v>
      </c>
      <c r="J347" s="90">
        <f>IFERROR(IF($C347="","",VLOOKUP($C347,'[1]New Base PA'!$F:$J,5,FALSE)),"Non Trouvé")</f>
        <v>10.85</v>
      </c>
      <c r="K347" s="131">
        <f t="shared" si="172"/>
        <v>21.7</v>
      </c>
      <c r="L347" s="132"/>
      <c r="M347" s="131">
        <f>IFERROR(IF(AND($F347="Produit Vente",H347&gt;0),VLOOKUP($C347,'[1]Paramètres Articles'!$B:$G,6,FALSE),0),"Non Trouvé")</f>
        <v>0</v>
      </c>
      <c r="N347" s="131">
        <f t="shared" si="173"/>
        <v>0</v>
      </c>
      <c r="P347" s="92"/>
      <c r="R347" s="90">
        <f t="shared" si="174"/>
        <v>0</v>
      </c>
      <c r="S347" s="91"/>
      <c r="T347" s="90" t="str">
        <f>IFERROR(IF($C347="","",VLOOKUP($C347,'[1]Paramètres Articles'!$B:$H,7,FALSE)),"Non Trouvé")</f>
        <v>Non Trouvé</v>
      </c>
      <c r="U347" s="93"/>
      <c r="V347" s="90" t="str">
        <f t="shared" si="179"/>
        <v/>
      </c>
      <c r="W347" s="91"/>
      <c r="X347" s="90" t="str">
        <f t="shared" si="180"/>
        <v/>
      </c>
      <c r="Y347" s="91"/>
      <c r="Z347" s="90" t="str">
        <f t="shared" si="175"/>
        <v>Non Trouvé</v>
      </c>
      <c r="AB347" s="94">
        <f>AB345</f>
        <v>28</v>
      </c>
      <c r="AC347" s="94">
        <f>AC345</f>
        <v>0.17</v>
      </c>
      <c r="AD347" s="90">
        <f t="shared" si="181"/>
        <v>0</v>
      </c>
      <c r="AG347" s="94">
        <f>AG345</f>
        <v>7</v>
      </c>
      <c r="AH347" s="94">
        <f>AH345</f>
        <v>0.13</v>
      </c>
      <c r="AI347" s="90">
        <f t="shared" si="182"/>
        <v>0</v>
      </c>
      <c r="AL347" s="94">
        <f>AL345</f>
        <v>0</v>
      </c>
      <c r="AM347" s="94">
        <f>AM345</f>
        <v>0.08</v>
      </c>
      <c r="AN347" s="90">
        <f t="shared" si="183"/>
        <v>0</v>
      </c>
      <c r="AQ347" s="94">
        <f>AQ345</f>
        <v>0</v>
      </c>
      <c r="AR347" s="94">
        <f>AR345</f>
        <v>0.05</v>
      </c>
      <c r="AS347" s="90">
        <f t="shared" si="184"/>
        <v>0</v>
      </c>
      <c r="AV347" s="94">
        <f>AV345</f>
        <v>0</v>
      </c>
      <c r="AW347" s="94">
        <f>AW345</f>
        <v>0.32500000000000001</v>
      </c>
      <c r="AX347" s="90">
        <f t="shared" si="185"/>
        <v>0</v>
      </c>
      <c r="BA347" s="94">
        <f>BA345</f>
        <v>0</v>
      </c>
      <c r="BB347" s="94">
        <f>BB345</f>
        <v>0.29499999999999998</v>
      </c>
      <c r="BC347" s="90">
        <f t="shared" si="186"/>
        <v>0</v>
      </c>
      <c r="BF347" s="94">
        <f>BF345</f>
        <v>0</v>
      </c>
      <c r="BG347" s="94">
        <f>BG345</f>
        <v>0.27500000000000002</v>
      </c>
      <c r="BH347" s="90">
        <f t="shared" si="187"/>
        <v>0</v>
      </c>
      <c r="BK347" s="94">
        <f>BK345</f>
        <v>0</v>
      </c>
      <c r="BL347" s="94">
        <f>BL345</f>
        <v>0.245</v>
      </c>
      <c r="BM347" s="90">
        <f t="shared" si="188"/>
        <v>0</v>
      </c>
      <c r="BP347" s="94">
        <f>BP345</f>
        <v>0</v>
      </c>
      <c r="BQ347" s="94">
        <f>BQ345</f>
        <v>0.22500000000000001</v>
      </c>
      <c r="BR347" s="90">
        <f t="shared" si="189"/>
        <v>0</v>
      </c>
      <c r="BU347" s="94">
        <f>BU345</f>
        <v>0</v>
      </c>
      <c r="BV347" s="94">
        <f>BV345</f>
        <v>0.17499999999999999</v>
      </c>
      <c r="BW347" s="90">
        <f t="shared" si="190"/>
        <v>0</v>
      </c>
      <c r="BZ347" s="94">
        <f>BZ345</f>
        <v>0</v>
      </c>
      <c r="CA347" s="94">
        <f>CA345</f>
        <v>0.15</v>
      </c>
      <c r="CB347" s="90">
        <f t="shared" si="191"/>
        <v>0</v>
      </c>
      <c r="CE347" s="95"/>
      <c r="CF347" s="97"/>
      <c r="CG347" s="97" t="s">
        <v>103</v>
      </c>
      <c r="CH347" s="134">
        <f>IFERROR(CH345*CH346,0)</f>
        <v>29020.641822738806</v>
      </c>
      <c r="CI347" s="98"/>
      <c r="CK347" s="99">
        <f>IFERROR(IF(F347='[1]Paramètres Généraux'!$K$12,ROUNDUP((REGENERANTS!H347*REGENERANTS!$CF$329)*'[1]Paramètres Généraux'!$M$12,-1),IF(F347='[1]Paramètres Généraux'!$K$15,ROUNDUP((REGENERANTS!H347*REGENERANTS!$CF$329)*'[1]Paramètres Généraux'!$M$15,-1),REGENERANTS!H347*REGENERANTS!$CF$329)),"nd")</f>
        <v>70</v>
      </c>
      <c r="CN347" s="100"/>
      <c r="CO347" s="101"/>
      <c r="CP347" s="101"/>
      <c r="CQ347" s="101"/>
      <c r="CR347" s="101"/>
      <c r="CS347" s="171"/>
      <c r="CT347" s="172"/>
      <c r="CU347" s="101"/>
      <c r="CV347" s="171"/>
      <c r="CW347" s="106"/>
      <c r="CX347" s="107"/>
      <c r="CY347" s="106"/>
      <c r="CZ347" s="104"/>
      <c r="DA347" s="107"/>
      <c r="DB347" s="106"/>
      <c r="DC347" s="104"/>
      <c r="DD347" s="107"/>
      <c r="DE347" s="106"/>
      <c r="DF347" s="104"/>
      <c r="DG347" s="104"/>
      <c r="DH347" s="104"/>
      <c r="DI347" s="104"/>
      <c r="DJ347" s="104"/>
      <c r="DK347" s="104"/>
      <c r="DL347" s="104"/>
      <c r="DM347" s="104"/>
      <c r="DN347" s="104"/>
      <c r="DO347" s="107"/>
      <c r="DP347" s="106"/>
      <c r="DQ347" s="20">
        <f t="shared" si="176"/>
        <v>0</v>
      </c>
      <c r="DR347" s="20">
        <f t="shared" si="177"/>
        <v>0</v>
      </c>
      <c r="DS347" s="20">
        <f>IFERROR((IF(AND($F347="Produit Vente",CO347&gt;0),VLOOKUP($C347,'[1]Paramètres Articles'!$B:$H,7,FALSE)*$CO347)*(1-20%)),0)</f>
        <v>0</v>
      </c>
      <c r="DT347" s="20">
        <f>IFERROR((IF(AND($F347="Produit Vente",DR347&gt;0),VLOOKUP($C347,'[1]Paramètres Articles'!$B:$H,6,FALSE)*$DR347)*(1-15%)),0)</f>
        <v>0</v>
      </c>
      <c r="DU347" s="20">
        <f t="shared" si="178"/>
        <v>0</v>
      </c>
    </row>
    <row r="348" spans="2:125" ht="12.95" customHeight="1" outlineLevel="1">
      <c r="B348" s="1">
        <f>IF(C348="",0,COUNTIFS($B$22:B347,"&gt;"&amp;0)+1)</f>
        <v>141</v>
      </c>
      <c r="C348" s="85">
        <v>3020720</v>
      </c>
      <c r="D348" s="86" t="str">
        <f>IFERROR(IF($C348="","",VLOOKUP($C348,'[1]Paramètres Articles'!$B:$G,2,FALSE)),"Non Trouvé")</f>
        <v>Testeur - Crème de Jour - Régénérant Intensif - 40ml - 15 % comprise</v>
      </c>
      <c r="E348" s="87">
        <f>IFERROR(IF($C348="","",_xlfn.XLOOKUP(REGENERANTS!$C348,'[1]New Base PA'!$F:$F,'[1]New Base PA'!$D:$D,"Not Found",0)),"Non Trouvé")</f>
        <v>4020829103207</v>
      </c>
      <c r="F348" s="88" t="s">
        <v>96</v>
      </c>
      <c r="H348" s="89">
        <v>2</v>
      </c>
      <c r="J348" s="90">
        <f>IFERROR(IF($C348="","",VLOOKUP($C348,'[1]New Base PA'!$F:$J,5,FALSE)),"Non Trouvé")</f>
        <v>12.59</v>
      </c>
      <c r="K348" s="131">
        <f t="shared" si="172"/>
        <v>25.18</v>
      </c>
      <c r="L348" s="132"/>
      <c r="M348" s="131">
        <f>IFERROR(IF(AND($F348="Produit Vente",H348&gt;0),VLOOKUP($C348,'[1]Paramètres Articles'!$B:$G,6,FALSE),0),"Non Trouvé")</f>
        <v>0</v>
      </c>
      <c r="N348" s="131">
        <f t="shared" si="173"/>
        <v>0</v>
      </c>
      <c r="P348" s="92"/>
      <c r="R348" s="90">
        <f t="shared" si="174"/>
        <v>0</v>
      </c>
      <c r="S348" s="91"/>
      <c r="T348" s="90" t="str">
        <f>IFERROR(IF($C348="","",VLOOKUP($C348,'[1]Paramètres Articles'!$B:$H,7,FALSE)),"Non Trouvé")</f>
        <v>Non Trouvé</v>
      </c>
      <c r="U348" s="93"/>
      <c r="V348" s="90" t="str">
        <f t="shared" si="179"/>
        <v/>
      </c>
      <c r="W348" s="91"/>
      <c r="X348" s="90" t="str">
        <f t="shared" si="180"/>
        <v/>
      </c>
      <c r="Y348" s="91"/>
      <c r="Z348" s="90" t="str">
        <f t="shared" si="175"/>
        <v>Non Trouvé</v>
      </c>
      <c r="AB348" s="94">
        <f>AB347</f>
        <v>28</v>
      </c>
      <c r="AC348" s="94">
        <f>AC347</f>
        <v>0.17</v>
      </c>
      <c r="AD348" s="90">
        <f t="shared" si="181"/>
        <v>0</v>
      </c>
      <c r="AG348" s="94">
        <f>AG347</f>
        <v>7</v>
      </c>
      <c r="AH348" s="94">
        <f>AH347</f>
        <v>0.13</v>
      </c>
      <c r="AI348" s="90">
        <f t="shared" si="182"/>
        <v>0</v>
      </c>
      <c r="AL348" s="94">
        <f>AL347</f>
        <v>0</v>
      </c>
      <c r="AM348" s="94">
        <f>AM347</f>
        <v>0.08</v>
      </c>
      <c r="AN348" s="90">
        <f t="shared" si="183"/>
        <v>0</v>
      </c>
      <c r="AQ348" s="94">
        <f>AQ347</f>
        <v>0</v>
      </c>
      <c r="AR348" s="94">
        <f>AR347</f>
        <v>0.05</v>
      </c>
      <c r="AS348" s="90">
        <f t="shared" si="184"/>
        <v>0</v>
      </c>
      <c r="AV348" s="94">
        <f>AV347</f>
        <v>0</v>
      </c>
      <c r="AW348" s="94">
        <f>AW347</f>
        <v>0.32500000000000001</v>
      </c>
      <c r="AX348" s="90">
        <f t="shared" si="185"/>
        <v>0</v>
      </c>
      <c r="BA348" s="94">
        <f>BA347</f>
        <v>0</v>
      </c>
      <c r="BB348" s="94">
        <f>BB347</f>
        <v>0.29499999999999998</v>
      </c>
      <c r="BC348" s="90">
        <f t="shared" si="186"/>
        <v>0</v>
      </c>
      <c r="BF348" s="94">
        <f>BF347</f>
        <v>0</v>
      </c>
      <c r="BG348" s="94">
        <f>BG347</f>
        <v>0.27500000000000002</v>
      </c>
      <c r="BH348" s="90">
        <f t="shared" si="187"/>
        <v>0</v>
      </c>
      <c r="BK348" s="94">
        <f>BK347</f>
        <v>0</v>
      </c>
      <c r="BL348" s="94">
        <f>BL347</f>
        <v>0.245</v>
      </c>
      <c r="BM348" s="90">
        <f t="shared" si="188"/>
        <v>0</v>
      </c>
      <c r="BP348" s="94">
        <f>BP347</f>
        <v>0</v>
      </c>
      <c r="BQ348" s="94">
        <f>BQ347</f>
        <v>0.22500000000000001</v>
      </c>
      <c r="BR348" s="90">
        <f t="shared" si="189"/>
        <v>0</v>
      </c>
      <c r="BU348" s="94">
        <f>BU347</f>
        <v>0</v>
      </c>
      <c r="BV348" s="94">
        <f>BV347</f>
        <v>0.17499999999999999</v>
      </c>
      <c r="BW348" s="90">
        <f t="shared" si="190"/>
        <v>0</v>
      </c>
      <c r="BZ348" s="94">
        <f>BZ347</f>
        <v>0</v>
      </c>
      <c r="CA348" s="94">
        <f>CA347</f>
        <v>0.15</v>
      </c>
      <c r="CB348" s="90">
        <f t="shared" si="191"/>
        <v>0</v>
      </c>
      <c r="CE348" s="95"/>
      <c r="CF348" s="133"/>
      <c r="CG348" s="96"/>
      <c r="CH348" s="96"/>
      <c r="CI348" s="98"/>
      <c r="CK348" s="99">
        <f>IFERROR(IF(F348='[1]Paramètres Généraux'!$K$12,ROUNDUP((REGENERANTS!H348*REGENERANTS!$CF$329)*'[1]Paramètres Généraux'!$M$12,-1),IF(F348='[1]Paramètres Généraux'!$K$15,ROUNDUP((REGENERANTS!H348*REGENERANTS!$CF$329)*'[1]Paramètres Généraux'!$M$15,-1),REGENERANTS!H348*REGENERANTS!$CF$329)),"nd")</f>
        <v>70</v>
      </c>
      <c r="CN348" s="100"/>
      <c r="CO348" s="101"/>
      <c r="CP348" s="101"/>
      <c r="CQ348" s="101"/>
      <c r="CR348" s="101"/>
      <c r="CS348" s="171"/>
      <c r="CT348" s="172"/>
      <c r="CU348" s="101"/>
      <c r="CV348" s="171"/>
      <c r="CW348" s="106"/>
      <c r="CX348" s="107"/>
      <c r="CY348" s="106"/>
      <c r="CZ348" s="104"/>
      <c r="DA348" s="107"/>
      <c r="DB348" s="106"/>
      <c r="DC348" s="104"/>
      <c r="DD348" s="107"/>
      <c r="DE348" s="106"/>
      <c r="DF348" s="104"/>
      <c r="DG348" s="104"/>
      <c r="DH348" s="104"/>
      <c r="DI348" s="104"/>
      <c r="DJ348" s="104"/>
      <c r="DK348" s="104"/>
      <c r="DL348" s="104"/>
      <c r="DM348" s="104"/>
      <c r="DN348" s="104"/>
      <c r="DO348" s="107"/>
      <c r="DP348" s="106"/>
      <c r="DQ348" s="20">
        <f t="shared" si="176"/>
        <v>0</v>
      </c>
      <c r="DR348" s="20">
        <f t="shared" si="177"/>
        <v>0</v>
      </c>
      <c r="DS348" s="20">
        <f>IFERROR((IF(AND($F348="Produit Vente",CO348&gt;0),VLOOKUP($C348,'[1]Paramètres Articles'!$B:$H,7,FALSE)*$CO348)*(1-20%)),0)</f>
        <v>0</v>
      </c>
      <c r="DT348" s="20">
        <f>IFERROR((IF(AND($F348="Produit Vente",DR348&gt;0),VLOOKUP($C348,'[1]Paramètres Articles'!$B:$H,6,FALSE)*$DR348)*(1-15%)),0)</f>
        <v>0</v>
      </c>
      <c r="DU348" s="20">
        <f t="shared" si="178"/>
        <v>0</v>
      </c>
    </row>
    <row r="349" spans="2:125" ht="12.95" customHeight="1" outlineLevel="1">
      <c r="B349" s="1">
        <f>IF(C349="",0,COUNTIFS($B$22:B348,"&gt;"&amp;0)+1)</f>
        <v>142</v>
      </c>
      <c r="C349" s="85">
        <v>3020718</v>
      </c>
      <c r="D349" s="86" t="str">
        <f>IFERROR(IF($C349="","",VLOOKUP($C349,'[1]Paramètres Articles'!$B:$G,2,FALSE)),"Non Trouvé")</f>
        <v>Testeur - Sérum de Nuit - Régénérant Intensif 30ml - 15% comprise</v>
      </c>
      <c r="E349" s="87">
        <f>IFERROR(IF($C349="","",_xlfn.XLOOKUP(REGENERANTS!$C349,'[1]New Base PA'!$F:$F,'[1]New Base PA'!$D:$D,"Not Found",0)),"Non Trouvé")</f>
        <v>4020829101142</v>
      </c>
      <c r="F349" s="88" t="s">
        <v>96</v>
      </c>
      <c r="H349" s="89">
        <v>2</v>
      </c>
      <c r="J349" s="90">
        <f>IFERROR(IF($C349="","",VLOOKUP($C349,'[1]New Base PA'!$F:$J,5,FALSE)),"Non Trouvé")</f>
        <v>13.39</v>
      </c>
      <c r="K349" s="131">
        <f t="shared" si="172"/>
        <v>26.78</v>
      </c>
      <c r="L349" s="132"/>
      <c r="M349" s="131">
        <f>IFERROR(IF(AND($F349="Produit Vente",H349&gt;0),VLOOKUP($C349,'[1]Paramètres Articles'!$B:$G,6,FALSE),0),"Non Trouvé")</f>
        <v>0</v>
      </c>
      <c r="N349" s="131">
        <f t="shared" si="173"/>
        <v>0</v>
      </c>
      <c r="P349" s="92"/>
      <c r="R349" s="90">
        <f t="shared" si="174"/>
        <v>0</v>
      </c>
      <c r="S349" s="91"/>
      <c r="T349" s="90" t="str">
        <f>IFERROR(IF($C349="","",VLOOKUP($C349,'[1]Paramètres Articles'!$B:$H,7,FALSE)),"Non Trouvé")</f>
        <v>Non Trouvé</v>
      </c>
      <c r="U349" s="93"/>
      <c r="V349" s="90" t="str">
        <f t="shared" si="179"/>
        <v/>
      </c>
      <c r="W349" s="91"/>
      <c r="X349" s="90" t="str">
        <f t="shared" si="180"/>
        <v/>
      </c>
      <c r="Y349" s="91"/>
      <c r="Z349" s="90" t="str">
        <f t="shared" si="175"/>
        <v>Non Trouvé</v>
      </c>
      <c r="AB349" s="94">
        <f>AB347</f>
        <v>28</v>
      </c>
      <c r="AC349" s="94">
        <f>AC347</f>
        <v>0.17</v>
      </c>
      <c r="AD349" s="90">
        <f t="shared" si="181"/>
        <v>0</v>
      </c>
      <c r="AG349" s="94">
        <f>AG347</f>
        <v>7</v>
      </c>
      <c r="AH349" s="94">
        <f>AH347</f>
        <v>0.13</v>
      </c>
      <c r="AI349" s="90">
        <f t="shared" si="182"/>
        <v>0</v>
      </c>
      <c r="AL349" s="94">
        <f>AL347</f>
        <v>0</v>
      </c>
      <c r="AM349" s="94">
        <f>AM347</f>
        <v>0.08</v>
      </c>
      <c r="AN349" s="90">
        <f t="shared" si="183"/>
        <v>0</v>
      </c>
      <c r="AQ349" s="94">
        <f>AQ347</f>
        <v>0</v>
      </c>
      <c r="AR349" s="94">
        <f>AR347</f>
        <v>0.05</v>
      </c>
      <c r="AS349" s="90">
        <f t="shared" si="184"/>
        <v>0</v>
      </c>
      <c r="AV349" s="94">
        <f>AV347</f>
        <v>0</v>
      </c>
      <c r="AW349" s="94">
        <f>AW347</f>
        <v>0.32500000000000001</v>
      </c>
      <c r="AX349" s="90">
        <f t="shared" si="185"/>
        <v>0</v>
      </c>
      <c r="BA349" s="94">
        <f>BA347</f>
        <v>0</v>
      </c>
      <c r="BB349" s="94">
        <f>BB347</f>
        <v>0.29499999999999998</v>
      </c>
      <c r="BC349" s="90">
        <f t="shared" si="186"/>
        <v>0</v>
      </c>
      <c r="BF349" s="94">
        <f>BF347</f>
        <v>0</v>
      </c>
      <c r="BG349" s="94">
        <f>BG347</f>
        <v>0.27500000000000002</v>
      </c>
      <c r="BH349" s="90">
        <f t="shared" si="187"/>
        <v>0</v>
      </c>
      <c r="BK349" s="94">
        <f>BK347</f>
        <v>0</v>
      </c>
      <c r="BL349" s="94">
        <f>BL347</f>
        <v>0.245</v>
      </c>
      <c r="BM349" s="90">
        <f t="shared" si="188"/>
        <v>0</v>
      </c>
      <c r="BP349" s="94">
        <f>BP347</f>
        <v>0</v>
      </c>
      <c r="BQ349" s="94">
        <f>BQ347</f>
        <v>0.22500000000000001</v>
      </c>
      <c r="BR349" s="90">
        <f t="shared" si="189"/>
        <v>0</v>
      </c>
      <c r="BU349" s="94">
        <f>BU347</f>
        <v>0</v>
      </c>
      <c r="BV349" s="94">
        <f>BV347</f>
        <v>0.17499999999999999</v>
      </c>
      <c r="BW349" s="90">
        <f t="shared" si="190"/>
        <v>0</v>
      </c>
      <c r="BZ349" s="94">
        <f>BZ347</f>
        <v>0</v>
      </c>
      <c r="CA349" s="94">
        <f>CA347</f>
        <v>0.15</v>
      </c>
      <c r="CB349" s="90">
        <f t="shared" si="191"/>
        <v>0</v>
      </c>
      <c r="CE349" s="95"/>
      <c r="CF349" s="96"/>
      <c r="CG349" s="128" t="s">
        <v>7</v>
      </c>
      <c r="CH349" s="96"/>
      <c r="CI349" s="98"/>
      <c r="CK349" s="99">
        <f>IFERROR(IF(F349='[1]Paramètres Généraux'!$K$12,ROUNDUP((REGENERANTS!H349*REGENERANTS!$CF$329)*'[1]Paramètres Généraux'!$M$12,-1),IF(F349='[1]Paramètres Généraux'!$K$15,ROUNDUP((REGENERANTS!H349*REGENERANTS!$CF$329)*'[1]Paramètres Généraux'!$M$15,-1),REGENERANTS!H349*REGENERANTS!$CF$329)),"nd")</f>
        <v>70</v>
      </c>
      <c r="CN349" s="100"/>
      <c r="CO349" s="101"/>
      <c r="CP349" s="101"/>
      <c r="CQ349" s="101"/>
      <c r="CR349" s="101"/>
      <c r="CS349" s="171"/>
      <c r="CT349" s="172"/>
      <c r="CU349" s="101"/>
      <c r="CV349" s="171"/>
      <c r="CW349" s="106"/>
      <c r="CX349" s="107"/>
      <c r="CY349" s="106"/>
      <c r="CZ349" s="104"/>
      <c r="DA349" s="107"/>
      <c r="DB349" s="106"/>
      <c r="DC349" s="104"/>
      <c r="DD349" s="107"/>
      <c r="DE349" s="106"/>
      <c r="DF349" s="104"/>
      <c r="DG349" s="104"/>
      <c r="DH349" s="104"/>
      <c r="DI349" s="104"/>
      <c r="DJ349" s="104"/>
      <c r="DK349" s="104"/>
      <c r="DL349" s="104"/>
      <c r="DM349" s="104"/>
      <c r="DN349" s="104"/>
      <c r="DO349" s="107"/>
      <c r="DP349" s="106"/>
      <c r="DQ349" s="20">
        <f t="shared" si="176"/>
        <v>0</v>
      </c>
      <c r="DR349" s="20">
        <f t="shared" si="177"/>
        <v>0</v>
      </c>
      <c r="DS349" s="20">
        <f>IFERROR((IF(AND($F349="Produit Vente",CO349&gt;0),VLOOKUP($C349,'[1]Paramètres Articles'!$B:$H,7,FALSE)*$CO349)*(1-20%)),0)</f>
        <v>0</v>
      </c>
      <c r="DT349" s="20">
        <f>IFERROR((IF(AND($F349="Produit Vente",DR349&gt;0),VLOOKUP($C349,'[1]Paramètres Articles'!$B:$H,6,FALSE)*$DR349)*(1-15%)),0)</f>
        <v>0</v>
      </c>
      <c r="DU349" s="20">
        <f t="shared" si="178"/>
        <v>0</v>
      </c>
    </row>
    <row r="350" spans="2:125" ht="12.95" customHeight="1" outlineLevel="1">
      <c r="B350" s="1">
        <f>IF(C350="",0,COUNTIFS($B$22:B349,"&gt;"&amp;0)+1)</f>
        <v>143</v>
      </c>
      <c r="C350" s="85" t="s">
        <v>117</v>
      </c>
      <c r="D350" s="86" t="str">
        <f>IFERROR(IF($C350="","",VLOOKUP($C350,'[1]Paramètres Articles'!$B:$G,2,FALSE)),"Non Trouvé")</f>
        <v>TG 3D 2026</v>
      </c>
      <c r="E350" s="87">
        <f>IFERROR(IF($C350="","",_xlfn.XLOOKUP(REGENERANTS!$C350,'[1]New Base PA'!$F:$F,'[1]New Base PA'!$D:$D,"Not Found",0)),"Non Trouvé")</f>
        <v>0</v>
      </c>
      <c r="F350" s="88" t="s">
        <v>100</v>
      </c>
      <c r="H350" s="89">
        <v>1</v>
      </c>
      <c r="J350" s="90">
        <f>IFERROR(IF($C350="","",VLOOKUP($C350,'[1]New Base PA'!$F:$J,5,FALSE)),"Non Trouvé")</f>
        <v>125</v>
      </c>
      <c r="K350" s="131">
        <f t="shared" si="172"/>
        <v>125</v>
      </c>
      <c r="L350" s="132"/>
      <c r="M350" s="131">
        <f>IFERROR(IF(AND($F350="Produit Vente",H350&gt;0),VLOOKUP($C350,'[1]Paramètres Articles'!$B:$G,6,FALSE),0),"Non Trouvé")</f>
        <v>0</v>
      </c>
      <c r="N350" s="131">
        <f t="shared" si="173"/>
        <v>0</v>
      </c>
      <c r="P350" s="92"/>
      <c r="R350" s="90">
        <f t="shared" si="174"/>
        <v>0</v>
      </c>
      <c r="S350" s="91"/>
      <c r="T350" s="90">
        <f>IFERROR(IF($C350="","",VLOOKUP($C350,'[1]Paramètres Articles'!$B:$H,7,FALSE)),"Non Trouvé")</f>
        <v>0</v>
      </c>
      <c r="U350" s="93"/>
      <c r="V350" s="90" t="str">
        <f t="shared" si="179"/>
        <v/>
      </c>
      <c r="W350" s="91"/>
      <c r="X350" s="90" t="str">
        <f t="shared" si="180"/>
        <v/>
      </c>
      <c r="Y350" s="91"/>
      <c r="Z350" s="90">
        <f t="shared" si="175"/>
        <v>0</v>
      </c>
      <c r="AB350" s="94">
        <f>AB349</f>
        <v>28</v>
      </c>
      <c r="AC350" s="94">
        <f>AC349</f>
        <v>0.17</v>
      </c>
      <c r="AD350" s="90">
        <f t="shared" si="181"/>
        <v>0</v>
      </c>
      <c r="AG350" s="94">
        <f>AG349</f>
        <v>7</v>
      </c>
      <c r="AH350" s="94">
        <f>AH349</f>
        <v>0.13</v>
      </c>
      <c r="AI350" s="90">
        <f t="shared" si="182"/>
        <v>0</v>
      </c>
      <c r="AL350" s="94">
        <f>AL349</f>
        <v>0</v>
      </c>
      <c r="AM350" s="94">
        <f>AM349</f>
        <v>0.08</v>
      </c>
      <c r="AN350" s="90">
        <f t="shared" si="183"/>
        <v>0</v>
      </c>
      <c r="AQ350" s="94">
        <f>AQ349</f>
        <v>0</v>
      </c>
      <c r="AR350" s="94">
        <f>AR349</f>
        <v>0.05</v>
      </c>
      <c r="AS350" s="90">
        <f t="shared" si="184"/>
        <v>0</v>
      </c>
      <c r="AV350" s="94">
        <f>AV349</f>
        <v>0</v>
      </c>
      <c r="AW350" s="94">
        <f>AW349</f>
        <v>0.32500000000000001</v>
      </c>
      <c r="AX350" s="90">
        <f t="shared" si="185"/>
        <v>0</v>
      </c>
      <c r="BA350" s="94">
        <f>BA349</f>
        <v>0</v>
      </c>
      <c r="BB350" s="94">
        <f>BB349</f>
        <v>0.29499999999999998</v>
      </c>
      <c r="BC350" s="90">
        <f t="shared" si="186"/>
        <v>0</v>
      </c>
      <c r="BF350" s="94">
        <f>BF349</f>
        <v>0</v>
      </c>
      <c r="BG350" s="94">
        <f>BG349</f>
        <v>0.27500000000000002</v>
      </c>
      <c r="BH350" s="90">
        <f t="shared" si="187"/>
        <v>0</v>
      </c>
      <c r="BK350" s="94">
        <f>BK349</f>
        <v>0</v>
      </c>
      <c r="BL350" s="94">
        <f>BL349</f>
        <v>0.245</v>
      </c>
      <c r="BM350" s="90">
        <f t="shared" si="188"/>
        <v>0</v>
      </c>
      <c r="BP350" s="94">
        <f>BP349</f>
        <v>0</v>
      </c>
      <c r="BQ350" s="94">
        <f>BQ349</f>
        <v>0.22500000000000001</v>
      </c>
      <c r="BR350" s="90">
        <f t="shared" si="189"/>
        <v>0</v>
      </c>
      <c r="BU350" s="94">
        <f>BU349</f>
        <v>0</v>
      </c>
      <c r="BV350" s="94">
        <f>BV349</f>
        <v>0.17499999999999999</v>
      </c>
      <c r="BW350" s="90">
        <f t="shared" si="190"/>
        <v>0</v>
      </c>
      <c r="BZ350" s="94">
        <f>BZ349</f>
        <v>0</v>
      </c>
      <c r="CA350" s="94">
        <f>CA349</f>
        <v>0.15</v>
      </c>
      <c r="CB350" s="90">
        <f t="shared" si="191"/>
        <v>0</v>
      </c>
      <c r="CE350" s="95"/>
      <c r="CF350" s="96"/>
      <c r="CG350" s="97" t="s">
        <v>0</v>
      </c>
      <c r="CH350" s="133">
        <f>SUMIFS($AV329:$BX329,$AV326:$BX326,CG350)</f>
        <v>0</v>
      </c>
      <c r="CI350" s="98"/>
      <c r="CK350" s="99">
        <f>IFERROR(IF(F350='[1]Paramètres Généraux'!$K$12,ROUNDUP((REGENERANTS!H350*REGENERANTS!$CF$329)*'[1]Paramètres Généraux'!$M$12,-1),IF(F350='[1]Paramètres Généraux'!$K$15,ROUNDUP((REGENERANTS!H350*REGENERANTS!$CF$329)*'[1]Paramètres Généraux'!$M$15,-1),REGENERANTS!H350*REGENERANTS!$CF$329)),"nd")</f>
        <v>30</v>
      </c>
      <c r="CN350" s="146"/>
      <c r="CO350" s="147"/>
      <c r="CP350" s="147"/>
      <c r="CQ350" s="147"/>
      <c r="CR350" s="147"/>
      <c r="CS350" s="173"/>
      <c r="CT350" s="174"/>
      <c r="CU350" s="147"/>
      <c r="CV350" s="173"/>
      <c r="CW350" s="150"/>
      <c r="CX350" s="149"/>
      <c r="CY350" s="150"/>
      <c r="CZ350" s="136"/>
      <c r="DA350" s="149"/>
      <c r="DB350" s="150"/>
      <c r="DC350" s="136"/>
      <c r="DD350" s="149"/>
      <c r="DE350" s="150"/>
      <c r="DF350" s="136"/>
      <c r="DG350" s="136"/>
      <c r="DH350" s="136"/>
      <c r="DI350" s="136"/>
      <c r="DJ350" s="136"/>
      <c r="DK350" s="136"/>
      <c r="DL350" s="136"/>
      <c r="DM350" s="136"/>
      <c r="DN350" s="136"/>
      <c r="DO350" s="149"/>
      <c r="DP350" s="150"/>
      <c r="DQ350" s="20">
        <f t="shared" si="176"/>
        <v>0</v>
      </c>
      <c r="DR350" s="20">
        <f t="shared" si="177"/>
        <v>0</v>
      </c>
      <c r="DS350" s="20">
        <f>IFERROR((IF(AND($F350="Produit Vente",CO350&gt;0),VLOOKUP($C350,'[1]Paramètres Articles'!$B:$H,7,FALSE)*$CO350)*(1-20%)),0)</f>
        <v>0</v>
      </c>
      <c r="DT350" s="20">
        <f>IFERROR((IF(AND($F350="Produit Vente",DR350&gt;0),VLOOKUP($C350,'[1]Paramètres Articles'!$B:$H,6,FALSE)*$DR350)*(1-15%)),0)</f>
        <v>0</v>
      </c>
      <c r="DU350" s="20">
        <f t="shared" si="178"/>
        <v>0</v>
      </c>
    </row>
    <row r="351" spans="2:125" ht="12.95" customHeight="1" outlineLevel="1">
      <c r="B351" s="1">
        <f>IF(C351="",0,COUNTIFS($B$22:B350,"&gt;"&amp;0)+1)</f>
        <v>0</v>
      </c>
      <c r="C351" s="85"/>
      <c r="D351" s="86" t="str">
        <f>IFERROR(IF($C351="","",VLOOKUP($C351,'[1]Paramètres Articles'!$B:$G,2,FALSE)),"Non Trouvé")</f>
        <v/>
      </c>
      <c r="E351" s="87" t="str">
        <f>IFERROR(IF($C351="","",_xlfn.XLOOKUP(REGENERANTS!$C351,'[1]New Base PA'!$F:$F,'[1]New Base PA'!$D:$D,"Not Found",0)),"Non Trouvé")</f>
        <v/>
      </c>
      <c r="F351" s="88"/>
      <c r="H351" s="101"/>
      <c r="J351" s="90" t="str">
        <f>IFERROR(IF($C351="","",VLOOKUP($C351,'[1]New Base PA'!$F:$J,5,FALSE)),"Non Trouvé")</f>
        <v/>
      </c>
      <c r="K351" s="131" t="str">
        <f t="shared" si="172"/>
        <v/>
      </c>
      <c r="L351" s="132"/>
      <c r="M351" s="131">
        <f>IFERROR(IF(AND($F351="Produit Vente",H351&gt;0),VLOOKUP($C351,'[1]Paramètres Articles'!$B:$G,6,FALSE),0),"Non Trouvé")</f>
        <v>0</v>
      </c>
      <c r="N351" s="131" t="str">
        <f t="shared" si="173"/>
        <v/>
      </c>
      <c r="P351" s="92"/>
      <c r="R351" s="90" t="str">
        <f t="shared" si="174"/>
        <v/>
      </c>
      <c r="S351" s="91"/>
      <c r="T351" s="90" t="str">
        <f>IFERROR(IF($C351="","",VLOOKUP($C351,'[1]Paramètres Articles'!$B:$H,7,FALSE)),"Non Trouvé")</f>
        <v/>
      </c>
      <c r="U351" s="93"/>
      <c r="V351" s="90" t="str">
        <f t="shared" si="179"/>
        <v/>
      </c>
      <c r="W351" s="91"/>
      <c r="X351" s="90" t="str">
        <f t="shared" si="180"/>
        <v/>
      </c>
      <c r="Y351" s="91"/>
      <c r="Z351" s="90">
        <f t="shared" si="175"/>
        <v>0</v>
      </c>
      <c r="AB351" s="94">
        <f>AB349</f>
        <v>28</v>
      </c>
      <c r="AC351" s="94">
        <f>AC349</f>
        <v>0.17</v>
      </c>
      <c r="AD351" s="90" t="str">
        <f t="shared" si="181"/>
        <v/>
      </c>
      <c r="AG351" s="94">
        <f>AG349</f>
        <v>7</v>
      </c>
      <c r="AH351" s="94">
        <f>AH349</f>
        <v>0.13</v>
      </c>
      <c r="AI351" s="90" t="str">
        <f t="shared" si="182"/>
        <v/>
      </c>
      <c r="AL351" s="94">
        <f>AL349</f>
        <v>0</v>
      </c>
      <c r="AM351" s="94">
        <f>AM349</f>
        <v>0.08</v>
      </c>
      <c r="AN351" s="90" t="str">
        <f t="shared" si="183"/>
        <v/>
      </c>
      <c r="AQ351" s="94">
        <f>AQ349</f>
        <v>0</v>
      </c>
      <c r="AR351" s="94">
        <f>AR349</f>
        <v>0.05</v>
      </c>
      <c r="AS351" s="90" t="str">
        <f t="shared" si="184"/>
        <v/>
      </c>
      <c r="AV351" s="94">
        <f>AV349</f>
        <v>0</v>
      </c>
      <c r="AW351" s="94">
        <f>AW349</f>
        <v>0.32500000000000001</v>
      </c>
      <c r="AX351" s="90" t="str">
        <f t="shared" si="185"/>
        <v/>
      </c>
      <c r="BA351" s="94">
        <f>BA349</f>
        <v>0</v>
      </c>
      <c r="BB351" s="94">
        <f>BB349</f>
        <v>0.29499999999999998</v>
      </c>
      <c r="BC351" s="90" t="str">
        <f t="shared" si="186"/>
        <v/>
      </c>
      <c r="BF351" s="94">
        <f>BF349</f>
        <v>0</v>
      </c>
      <c r="BG351" s="94">
        <f>BG349</f>
        <v>0.27500000000000002</v>
      </c>
      <c r="BH351" s="90" t="str">
        <f t="shared" si="187"/>
        <v/>
      </c>
      <c r="BK351" s="94">
        <f>BK349</f>
        <v>0</v>
      </c>
      <c r="BL351" s="94">
        <f>BL349</f>
        <v>0.245</v>
      </c>
      <c r="BM351" s="90" t="str">
        <f t="shared" si="188"/>
        <v/>
      </c>
      <c r="BP351" s="94">
        <f>BP349</f>
        <v>0</v>
      </c>
      <c r="BQ351" s="94">
        <f>BQ349</f>
        <v>0.22500000000000001</v>
      </c>
      <c r="BR351" s="90" t="str">
        <f t="shared" si="189"/>
        <v/>
      </c>
      <c r="BU351" s="94">
        <f>BU349</f>
        <v>0</v>
      </c>
      <c r="BV351" s="94">
        <f>BV349</f>
        <v>0.17499999999999999</v>
      </c>
      <c r="BW351" s="90" t="str">
        <f t="shared" si="190"/>
        <v/>
      </c>
      <c r="BZ351" s="94">
        <f>BZ349</f>
        <v>0</v>
      </c>
      <c r="CA351" s="94">
        <f>CA349</f>
        <v>0.15</v>
      </c>
      <c r="CB351" s="90" t="str">
        <f t="shared" si="191"/>
        <v/>
      </c>
      <c r="CE351" s="95"/>
      <c r="CF351" s="96"/>
      <c r="CG351" s="97" t="s">
        <v>1</v>
      </c>
      <c r="CH351" s="134">
        <f>SUMIFS($AV329:$BX329,$AV326:$BX326,CG351)</f>
        <v>0</v>
      </c>
      <c r="CI351" s="98"/>
      <c r="CK351" s="99">
        <f>IFERROR(IF(F351='[1]Paramètres Généraux'!$K$12,ROUNDUP((REGENERANTS!H351*REGENERANTS!$CF$329)*'[1]Paramètres Généraux'!$M$12,-1),IF(F351='[1]Paramètres Généraux'!$K$15,ROUNDUP((REGENERANTS!H351*REGENERANTS!$CF$329)*'[1]Paramètres Généraux'!$M$15,-1),REGENERANTS!H351*REGENERANTS!$CF$329)),"nd")</f>
        <v>0</v>
      </c>
      <c r="CN351" s="146"/>
      <c r="CO351" s="147"/>
      <c r="CP351" s="147"/>
      <c r="CQ351" s="147"/>
      <c r="CR351" s="147"/>
      <c r="CS351" s="173"/>
      <c r="CT351" s="174"/>
      <c r="CU351" s="147"/>
      <c r="CV351" s="173"/>
      <c r="CW351" s="150"/>
      <c r="CX351" s="149"/>
      <c r="CY351" s="150"/>
      <c r="CZ351" s="136"/>
      <c r="DA351" s="149"/>
      <c r="DB351" s="150"/>
      <c r="DC351" s="136"/>
      <c r="DD351" s="149"/>
      <c r="DE351" s="150"/>
      <c r="DF351" s="136"/>
      <c r="DG351" s="136"/>
      <c r="DH351" s="136"/>
      <c r="DI351" s="136"/>
      <c r="DJ351" s="136"/>
      <c r="DK351" s="136"/>
      <c r="DL351" s="136"/>
      <c r="DM351" s="136"/>
      <c r="DN351" s="136"/>
      <c r="DO351" s="149"/>
      <c r="DP351" s="150"/>
      <c r="DQ351" s="20">
        <f t="shared" si="176"/>
        <v>0</v>
      </c>
      <c r="DR351" s="20">
        <f t="shared" si="177"/>
        <v>0</v>
      </c>
      <c r="DS351" s="20">
        <f>IFERROR((IF(AND($F351="Produit Vente",CO351&gt;0),VLOOKUP($C351,'[1]Paramètres Articles'!$B:$H,7,FALSE)*$CO351)*(1-20%)),0)</f>
        <v>0</v>
      </c>
      <c r="DT351" s="20">
        <f>IFERROR((IF(AND($F351="Produit Vente",DR351&gt;0),VLOOKUP($C351,'[1]Paramètres Articles'!$B:$H,6,FALSE)*$DR351)*(1-15%)),0)</f>
        <v>0</v>
      </c>
      <c r="DU351" s="20">
        <f t="shared" si="178"/>
        <v>0</v>
      </c>
    </row>
    <row r="352" spans="2:125" ht="12.95" customHeight="1" outlineLevel="1">
      <c r="B352" s="1">
        <f>IF(C352="",0,COUNTIFS($B$22:B351,"&gt;"&amp;0)+1)</f>
        <v>0</v>
      </c>
      <c r="C352" s="85"/>
      <c r="D352" s="86" t="str">
        <f>IFERROR(IF($C352="","",VLOOKUP($C352,'[1]Paramètres Articles'!$B:$G,2,FALSE)),"Non Trouvé")</f>
        <v/>
      </c>
      <c r="E352" s="87" t="str">
        <f>IFERROR(IF($C352="","",_xlfn.XLOOKUP(REGENERANTS!$C352,'[1]New Base PA'!$F:$F,'[1]New Base PA'!$D:$D,"Not Found",0)),"Non Trouvé")</f>
        <v/>
      </c>
      <c r="F352" s="88"/>
      <c r="H352" s="101"/>
      <c r="J352" s="90" t="str">
        <f>IFERROR(IF($C352="","",VLOOKUP($C352,'[1]New Base PA'!$F:$J,5,FALSE)),"Non Trouvé")</f>
        <v/>
      </c>
      <c r="K352" s="131" t="str">
        <f t="shared" si="172"/>
        <v/>
      </c>
      <c r="L352" s="132"/>
      <c r="M352" s="131">
        <f>IFERROR(IF(AND($F352="Produit Vente",H352&gt;0),VLOOKUP($C352,'[1]Paramètres Articles'!$B:$G,6,FALSE),0),"Non Trouvé")</f>
        <v>0</v>
      </c>
      <c r="N352" s="131" t="str">
        <f t="shared" si="173"/>
        <v/>
      </c>
      <c r="P352" s="92"/>
      <c r="R352" s="90" t="str">
        <f t="shared" si="174"/>
        <v/>
      </c>
      <c r="S352" s="91"/>
      <c r="T352" s="90" t="str">
        <f>IFERROR(IF($C352="","",VLOOKUP($C352,'[1]Paramètres Articles'!$B:$H,7,FALSE)),"Non Trouvé")</f>
        <v/>
      </c>
      <c r="U352" s="93"/>
      <c r="V352" s="90" t="str">
        <f t="shared" si="179"/>
        <v/>
      </c>
      <c r="W352" s="91"/>
      <c r="X352" s="90" t="str">
        <f t="shared" si="180"/>
        <v/>
      </c>
      <c r="Y352" s="91"/>
      <c r="Z352" s="90">
        <f t="shared" si="175"/>
        <v>0</v>
      </c>
      <c r="AB352" s="94">
        <f>AB351</f>
        <v>28</v>
      </c>
      <c r="AC352" s="94">
        <f>AC351</f>
        <v>0.17</v>
      </c>
      <c r="AD352" s="90" t="str">
        <f t="shared" si="181"/>
        <v/>
      </c>
      <c r="AG352" s="94">
        <f>AG351</f>
        <v>7</v>
      </c>
      <c r="AH352" s="94">
        <f>AH351</f>
        <v>0.13</v>
      </c>
      <c r="AI352" s="90" t="str">
        <f t="shared" si="182"/>
        <v/>
      </c>
      <c r="AL352" s="94">
        <f>AL351</f>
        <v>0</v>
      </c>
      <c r="AM352" s="94">
        <f>AM351</f>
        <v>0.08</v>
      </c>
      <c r="AN352" s="90" t="str">
        <f t="shared" si="183"/>
        <v/>
      </c>
      <c r="AQ352" s="94">
        <f>AQ351</f>
        <v>0</v>
      </c>
      <c r="AR352" s="94">
        <f>AR351</f>
        <v>0.05</v>
      </c>
      <c r="AS352" s="90" t="str">
        <f t="shared" si="184"/>
        <v/>
      </c>
      <c r="AV352" s="94">
        <f>AV351</f>
        <v>0</v>
      </c>
      <c r="AW352" s="94">
        <f>AW351</f>
        <v>0.32500000000000001</v>
      </c>
      <c r="AX352" s="90" t="str">
        <f t="shared" si="185"/>
        <v/>
      </c>
      <c r="BA352" s="94">
        <f>BA351</f>
        <v>0</v>
      </c>
      <c r="BB352" s="94">
        <f>BB351</f>
        <v>0.29499999999999998</v>
      </c>
      <c r="BC352" s="90" t="str">
        <f t="shared" si="186"/>
        <v/>
      </c>
      <c r="BF352" s="94">
        <f>BF351</f>
        <v>0</v>
      </c>
      <c r="BG352" s="94">
        <f>BG351</f>
        <v>0.27500000000000002</v>
      </c>
      <c r="BH352" s="90" t="str">
        <f t="shared" si="187"/>
        <v/>
      </c>
      <c r="BK352" s="94">
        <f>BK351</f>
        <v>0</v>
      </c>
      <c r="BL352" s="94">
        <f>BL351</f>
        <v>0.245</v>
      </c>
      <c r="BM352" s="90" t="str">
        <f t="shared" si="188"/>
        <v/>
      </c>
      <c r="BP352" s="94">
        <f>BP351</f>
        <v>0</v>
      </c>
      <c r="BQ352" s="94">
        <f>BQ351</f>
        <v>0.22500000000000001</v>
      </c>
      <c r="BR352" s="90" t="str">
        <f t="shared" si="189"/>
        <v/>
      </c>
      <c r="BU352" s="94">
        <f>BU351</f>
        <v>0</v>
      </c>
      <c r="BV352" s="94">
        <f>BV351</f>
        <v>0.17499999999999999</v>
      </c>
      <c r="BW352" s="90" t="str">
        <f t="shared" si="190"/>
        <v/>
      </c>
      <c r="BZ352" s="94">
        <f>BZ351</f>
        <v>0</v>
      </c>
      <c r="CA352" s="94">
        <f>CA351</f>
        <v>0.15</v>
      </c>
      <c r="CB352" s="90" t="str">
        <f t="shared" si="191"/>
        <v/>
      </c>
      <c r="CE352" s="95"/>
      <c r="CF352" s="96"/>
      <c r="CG352" s="97" t="s">
        <v>2</v>
      </c>
      <c r="CH352" s="135" t="str">
        <f>IFERROR((CH351-$K329*CH350)/CH351,"Non Trouvé")</f>
        <v>Non Trouvé</v>
      </c>
      <c r="CI352" s="98"/>
      <c r="CK352" s="99">
        <f>IFERROR(IF(F352='[1]Paramètres Généraux'!$K$12,ROUNDUP((REGENERANTS!H352*REGENERANTS!$CF$329)*'[1]Paramètres Généraux'!$M$12,-1),IF(F352='[1]Paramètres Généraux'!$K$15,ROUNDUP((REGENERANTS!H352*REGENERANTS!$CF$329)*'[1]Paramètres Généraux'!$M$15,-1),REGENERANTS!H352*REGENERANTS!$CF$329)),"nd")</f>
        <v>0</v>
      </c>
      <c r="CN352" s="146"/>
      <c r="CO352" s="147"/>
      <c r="CP352" s="147"/>
      <c r="CQ352" s="147"/>
      <c r="CR352" s="147"/>
      <c r="CS352" s="173"/>
      <c r="CT352" s="174"/>
      <c r="CU352" s="147"/>
      <c r="CV352" s="173"/>
      <c r="CW352" s="150"/>
      <c r="CX352" s="149"/>
      <c r="CY352" s="150"/>
      <c r="CZ352" s="136"/>
      <c r="DA352" s="149"/>
      <c r="DB352" s="150"/>
      <c r="DC352" s="136"/>
      <c r="DD352" s="149"/>
      <c r="DE352" s="150"/>
      <c r="DF352" s="136"/>
      <c r="DG352" s="136"/>
      <c r="DH352" s="136"/>
      <c r="DI352" s="136"/>
      <c r="DJ352" s="136"/>
      <c r="DK352" s="136"/>
      <c r="DL352" s="136"/>
      <c r="DM352" s="136"/>
      <c r="DN352" s="136"/>
      <c r="DO352" s="149"/>
      <c r="DP352" s="150"/>
      <c r="DQ352" s="20">
        <f t="shared" si="176"/>
        <v>0</v>
      </c>
      <c r="DR352" s="20">
        <f t="shared" si="177"/>
        <v>0</v>
      </c>
      <c r="DS352" s="20">
        <f>IFERROR((IF(AND($F352="Produit Vente",CO352&gt;0),VLOOKUP($C352,'[1]Paramètres Articles'!$B:$H,7,FALSE)*$CO352)*(1-20%)),0)</f>
        <v>0</v>
      </c>
      <c r="DT352" s="20">
        <f>IFERROR((IF(AND($F352="Produit Vente",DR352&gt;0),VLOOKUP($C352,'[1]Paramètres Articles'!$B:$H,6,FALSE)*$DR352)*(1-15%)),0)</f>
        <v>0</v>
      </c>
      <c r="DU352" s="20">
        <f t="shared" si="178"/>
        <v>0</v>
      </c>
    </row>
    <row r="353" spans="2:125" ht="12.95" customHeight="1" outlineLevel="1">
      <c r="B353" s="1">
        <f>IF(C353="",0,COUNTIFS($B$22:B352,"&gt;"&amp;0)+1)</f>
        <v>0</v>
      </c>
      <c r="C353" s="85"/>
      <c r="D353" s="86" t="str">
        <f>IFERROR(IF($C353="","",VLOOKUP($C353,'[1]Paramètres Articles'!$B:$G,2,FALSE)),"Non Trouvé")</f>
        <v/>
      </c>
      <c r="E353" s="87" t="str">
        <f>IFERROR(IF($C353="","",_xlfn.XLOOKUP(REGENERANTS!$C353,'[1]New Base PA'!$F:$F,'[1]New Base PA'!$D:$D,"Not Found",0)),"Non Trouvé")</f>
        <v/>
      </c>
      <c r="F353" s="88"/>
      <c r="H353" s="101"/>
      <c r="J353" s="90" t="str">
        <f>IFERROR(IF($C353="","",VLOOKUP($C353,'[1]New Base PA'!$F:$J,5,FALSE)),"Non Trouvé")</f>
        <v/>
      </c>
      <c r="K353" s="131" t="str">
        <f t="shared" si="172"/>
        <v/>
      </c>
      <c r="L353" s="132"/>
      <c r="M353" s="131">
        <f>IFERROR(IF(AND($F353="Produit Vente",H353&gt;0),VLOOKUP($C353,'[1]Paramètres Articles'!$B:$G,6,FALSE),0),"Non Trouvé")</f>
        <v>0</v>
      </c>
      <c r="N353" s="131" t="str">
        <f t="shared" si="173"/>
        <v/>
      </c>
      <c r="P353" s="92"/>
      <c r="R353" s="90" t="str">
        <f t="shared" si="174"/>
        <v/>
      </c>
      <c r="S353" s="91"/>
      <c r="T353" s="90" t="str">
        <f>IFERROR(IF($C353="","",VLOOKUP($C353,'[1]Paramètres Articles'!$B:$H,7,FALSE)),"Non Trouvé")</f>
        <v/>
      </c>
      <c r="U353" s="93"/>
      <c r="V353" s="90" t="str">
        <f t="shared" si="179"/>
        <v/>
      </c>
      <c r="W353" s="91"/>
      <c r="X353" s="90" t="str">
        <f t="shared" si="180"/>
        <v/>
      </c>
      <c r="Y353" s="91"/>
      <c r="Z353" s="90">
        <f t="shared" si="175"/>
        <v>0</v>
      </c>
      <c r="AB353" s="94">
        <f>AB351</f>
        <v>28</v>
      </c>
      <c r="AC353" s="94">
        <f>AC351</f>
        <v>0.17</v>
      </c>
      <c r="AD353" s="90" t="str">
        <f t="shared" si="181"/>
        <v/>
      </c>
      <c r="AG353" s="94">
        <f>AG351</f>
        <v>7</v>
      </c>
      <c r="AH353" s="94">
        <f>AH351</f>
        <v>0.13</v>
      </c>
      <c r="AI353" s="90" t="str">
        <f t="shared" si="182"/>
        <v/>
      </c>
      <c r="AL353" s="94">
        <f>AL351</f>
        <v>0</v>
      </c>
      <c r="AM353" s="94">
        <f>AM351</f>
        <v>0.08</v>
      </c>
      <c r="AN353" s="90" t="str">
        <f t="shared" si="183"/>
        <v/>
      </c>
      <c r="AQ353" s="94">
        <f>AQ351</f>
        <v>0</v>
      </c>
      <c r="AR353" s="94">
        <f>AR351</f>
        <v>0.05</v>
      </c>
      <c r="AS353" s="90" t="str">
        <f t="shared" si="184"/>
        <v/>
      </c>
      <c r="AV353" s="94">
        <f>AV351</f>
        <v>0</v>
      </c>
      <c r="AW353" s="94">
        <f>AW351</f>
        <v>0.32500000000000001</v>
      </c>
      <c r="AX353" s="90" t="str">
        <f t="shared" si="185"/>
        <v/>
      </c>
      <c r="BA353" s="94">
        <f>BA351</f>
        <v>0</v>
      </c>
      <c r="BB353" s="94">
        <f>BB351</f>
        <v>0.29499999999999998</v>
      </c>
      <c r="BC353" s="90" t="str">
        <f t="shared" si="186"/>
        <v/>
      </c>
      <c r="BF353" s="94">
        <f>BF351</f>
        <v>0</v>
      </c>
      <c r="BG353" s="94">
        <f>BG351</f>
        <v>0.27500000000000002</v>
      </c>
      <c r="BH353" s="90" t="str">
        <f t="shared" si="187"/>
        <v/>
      </c>
      <c r="BK353" s="94">
        <f>BK351</f>
        <v>0</v>
      </c>
      <c r="BL353" s="94">
        <f>BL351</f>
        <v>0.245</v>
      </c>
      <c r="BM353" s="90" t="str">
        <f t="shared" si="188"/>
        <v/>
      </c>
      <c r="BP353" s="94">
        <f>BP351</f>
        <v>0</v>
      </c>
      <c r="BQ353" s="94">
        <f>BQ351</f>
        <v>0.22500000000000001</v>
      </c>
      <c r="BR353" s="90" t="str">
        <f t="shared" si="189"/>
        <v/>
      </c>
      <c r="BU353" s="94">
        <f>BU351</f>
        <v>0</v>
      </c>
      <c r="BV353" s="94">
        <f>BV351</f>
        <v>0.17499999999999999</v>
      </c>
      <c r="BW353" s="90" t="str">
        <f t="shared" si="190"/>
        <v/>
      </c>
      <c r="BZ353" s="94">
        <f>BZ351</f>
        <v>0</v>
      </c>
      <c r="CA353" s="94">
        <f>CA351</f>
        <v>0.15</v>
      </c>
      <c r="CB353" s="90" t="str">
        <f t="shared" si="191"/>
        <v/>
      </c>
      <c r="CE353" s="95"/>
      <c r="CF353" s="96"/>
      <c r="CG353" s="97" t="s">
        <v>103</v>
      </c>
      <c r="CH353" s="134">
        <f>IFERROR(CH351*CH352,0)</f>
        <v>0</v>
      </c>
      <c r="CI353" s="98"/>
      <c r="CK353" s="99">
        <f>IFERROR(IF(F353='[1]Paramètres Généraux'!$K$12,ROUNDUP((REGENERANTS!H353*REGENERANTS!$CF$329)*'[1]Paramètres Généraux'!$M$12,-1),IF(F353='[1]Paramètres Généraux'!$K$15,ROUNDUP((REGENERANTS!H353*REGENERANTS!$CF$329)*'[1]Paramètres Généraux'!$M$15,-1),REGENERANTS!H353*REGENERANTS!$CF$329)),"nd")</f>
        <v>0</v>
      </c>
      <c r="CN353" s="146"/>
      <c r="CO353" s="147"/>
      <c r="CP353" s="147"/>
      <c r="CQ353" s="147"/>
      <c r="CR353" s="147"/>
      <c r="CS353" s="173"/>
      <c r="CT353" s="174"/>
      <c r="CU353" s="147"/>
      <c r="CV353" s="173"/>
      <c r="CW353" s="150"/>
      <c r="CX353" s="149"/>
      <c r="CY353" s="150"/>
      <c r="CZ353" s="136"/>
      <c r="DA353" s="149"/>
      <c r="DB353" s="150"/>
      <c r="DC353" s="136"/>
      <c r="DD353" s="149"/>
      <c r="DE353" s="150"/>
      <c r="DF353" s="136"/>
      <c r="DG353" s="136"/>
      <c r="DH353" s="136"/>
      <c r="DI353" s="136"/>
      <c r="DJ353" s="136"/>
      <c r="DK353" s="136"/>
      <c r="DL353" s="136"/>
      <c r="DM353" s="136"/>
      <c r="DN353" s="136"/>
      <c r="DO353" s="149"/>
      <c r="DP353" s="150"/>
      <c r="DQ353" s="20">
        <f t="shared" si="176"/>
        <v>0</v>
      </c>
      <c r="DR353" s="20">
        <f t="shared" si="177"/>
        <v>0</v>
      </c>
      <c r="DS353" s="20">
        <f>IFERROR((IF(AND($F353="Produit Vente",CO353&gt;0),VLOOKUP($C353,'[1]Paramètres Articles'!$B:$H,7,FALSE)*$CO353)*(1-20%)),0)</f>
        <v>0</v>
      </c>
      <c r="DT353" s="20">
        <f>IFERROR((IF(AND($F353="Produit Vente",DR353&gt;0),VLOOKUP($C353,'[1]Paramètres Articles'!$B:$H,6,FALSE)*$DR353)*(1-15%)),0)</f>
        <v>0</v>
      </c>
      <c r="DU353" s="20">
        <f t="shared" si="178"/>
        <v>0</v>
      </c>
    </row>
    <row r="354" spans="2:125" ht="12.95" customHeight="1" outlineLevel="1">
      <c r="B354" s="1">
        <f>IF(C354="",0,COUNTIFS($B$22:B353,"&gt;"&amp;0)+1)</f>
        <v>0</v>
      </c>
      <c r="C354" s="85"/>
      <c r="D354" s="86" t="str">
        <f>IFERROR(IF($C354="","",VLOOKUP($C354,'[1]Paramètres Articles'!$B:$G,2,FALSE)),"Non Trouvé")</f>
        <v/>
      </c>
      <c r="E354" s="87" t="str">
        <f>IFERROR(IF($C354="","",_xlfn.XLOOKUP(REGENERANTS!$C354,'[1]New Base PA'!$F:$F,'[1]New Base PA'!$D:$D,"Not Found",0)),"Non Trouvé")</f>
        <v/>
      </c>
      <c r="F354" s="88"/>
      <c r="H354" s="101"/>
      <c r="J354" s="90" t="str">
        <f>IFERROR(IF($C354="","",VLOOKUP($C354,'[1]New Base PA'!$F:$J,5,FALSE)),"Non Trouvé")</f>
        <v/>
      </c>
      <c r="K354" s="131" t="str">
        <f t="shared" si="172"/>
        <v/>
      </c>
      <c r="L354" s="132"/>
      <c r="M354" s="131">
        <f>IFERROR(IF(AND($F354="Produit Vente",H354&gt;0),VLOOKUP($C354,'[1]Paramètres Articles'!$B:$G,6,FALSE),0),"Non Trouvé")</f>
        <v>0</v>
      </c>
      <c r="N354" s="131" t="str">
        <f t="shared" si="173"/>
        <v/>
      </c>
      <c r="P354" s="92"/>
      <c r="R354" s="90" t="str">
        <f t="shared" si="174"/>
        <v/>
      </c>
      <c r="S354" s="91"/>
      <c r="T354" s="90" t="str">
        <f>IFERROR(IF($C354="","",VLOOKUP($C354,'[1]Paramètres Articles'!$B:$H,7,FALSE)),"Non Trouvé")</f>
        <v/>
      </c>
      <c r="U354" s="93"/>
      <c r="V354" s="90" t="str">
        <f t="shared" si="179"/>
        <v/>
      </c>
      <c r="W354" s="91"/>
      <c r="X354" s="90" t="str">
        <f t="shared" si="180"/>
        <v/>
      </c>
      <c r="Y354" s="91"/>
      <c r="Z354" s="90">
        <f t="shared" si="175"/>
        <v>0</v>
      </c>
      <c r="AB354" s="94">
        <f>AB353</f>
        <v>28</v>
      </c>
      <c r="AC354" s="94">
        <f>AC353</f>
        <v>0.17</v>
      </c>
      <c r="AD354" s="90" t="str">
        <f t="shared" si="181"/>
        <v/>
      </c>
      <c r="AG354" s="94">
        <f>AG353</f>
        <v>7</v>
      </c>
      <c r="AH354" s="94">
        <f>AH353</f>
        <v>0.13</v>
      </c>
      <c r="AI354" s="90" t="str">
        <f t="shared" si="182"/>
        <v/>
      </c>
      <c r="AL354" s="94">
        <f>AL353</f>
        <v>0</v>
      </c>
      <c r="AM354" s="94">
        <f>AM353</f>
        <v>0.08</v>
      </c>
      <c r="AN354" s="90" t="str">
        <f t="shared" si="183"/>
        <v/>
      </c>
      <c r="AQ354" s="94">
        <f>AQ353</f>
        <v>0</v>
      </c>
      <c r="AR354" s="94">
        <f>AR353</f>
        <v>0.05</v>
      </c>
      <c r="AS354" s="90" t="str">
        <f t="shared" si="184"/>
        <v/>
      </c>
      <c r="AV354" s="94">
        <f>AV353</f>
        <v>0</v>
      </c>
      <c r="AW354" s="94">
        <f>AW353</f>
        <v>0.32500000000000001</v>
      </c>
      <c r="AX354" s="90" t="str">
        <f t="shared" si="185"/>
        <v/>
      </c>
      <c r="BA354" s="94">
        <f>BA353</f>
        <v>0</v>
      </c>
      <c r="BB354" s="94">
        <f>BB353</f>
        <v>0.29499999999999998</v>
      </c>
      <c r="BC354" s="90" t="str">
        <f t="shared" si="186"/>
        <v/>
      </c>
      <c r="BF354" s="94">
        <f>BF353</f>
        <v>0</v>
      </c>
      <c r="BG354" s="94">
        <f>BG353</f>
        <v>0.27500000000000002</v>
      </c>
      <c r="BH354" s="90" t="str">
        <f t="shared" si="187"/>
        <v/>
      </c>
      <c r="BK354" s="94">
        <f>BK353</f>
        <v>0</v>
      </c>
      <c r="BL354" s="94">
        <f>BL353</f>
        <v>0.245</v>
      </c>
      <c r="BM354" s="90" t="str">
        <f t="shared" si="188"/>
        <v/>
      </c>
      <c r="BP354" s="94">
        <f>BP353</f>
        <v>0</v>
      </c>
      <c r="BQ354" s="94">
        <f>BQ353</f>
        <v>0.22500000000000001</v>
      </c>
      <c r="BR354" s="90" t="str">
        <f t="shared" si="189"/>
        <v/>
      </c>
      <c r="BU354" s="94">
        <f>BU353</f>
        <v>0</v>
      </c>
      <c r="BV354" s="94">
        <f>BV353</f>
        <v>0.17499999999999999</v>
      </c>
      <c r="BW354" s="90" t="str">
        <f t="shared" si="190"/>
        <v/>
      </c>
      <c r="BZ354" s="94">
        <f>BZ353</f>
        <v>0</v>
      </c>
      <c r="CA354" s="94">
        <f>CA353</f>
        <v>0.15</v>
      </c>
      <c r="CB354" s="90" t="str">
        <f t="shared" si="191"/>
        <v/>
      </c>
      <c r="CE354" s="95"/>
      <c r="CF354" s="96"/>
      <c r="CG354" s="97"/>
      <c r="CH354" s="97"/>
      <c r="CI354" s="98"/>
      <c r="CK354" s="99">
        <f>IFERROR(IF(F354='[1]Paramètres Généraux'!$K$12,ROUNDUP((REGENERANTS!H354*REGENERANTS!$CF$329)*'[1]Paramètres Généraux'!$M$12,-1),IF(F354='[1]Paramètres Généraux'!$K$15,ROUNDUP((REGENERANTS!H354*REGENERANTS!$CF$329)*'[1]Paramètres Généraux'!$M$15,-1),REGENERANTS!H354*REGENERANTS!$CF$329)),"nd")</f>
        <v>0</v>
      </c>
      <c r="CN354" s="146"/>
      <c r="CO354" s="147"/>
      <c r="CP354" s="147"/>
      <c r="CQ354" s="147"/>
      <c r="CR354" s="147"/>
      <c r="CS354" s="173"/>
      <c r="CT354" s="174"/>
      <c r="CU354" s="147"/>
      <c r="CV354" s="173"/>
      <c r="CW354" s="150"/>
      <c r="CX354" s="149"/>
      <c r="CY354" s="150"/>
      <c r="CZ354" s="136"/>
      <c r="DA354" s="149"/>
      <c r="DB354" s="150"/>
      <c r="DC354" s="136"/>
      <c r="DD354" s="149"/>
      <c r="DE354" s="150"/>
      <c r="DF354" s="136"/>
      <c r="DG354" s="136"/>
      <c r="DH354" s="136"/>
      <c r="DI354" s="136"/>
      <c r="DJ354" s="136"/>
      <c r="DK354" s="136"/>
      <c r="DL354" s="136"/>
      <c r="DM354" s="136"/>
      <c r="DN354" s="136"/>
      <c r="DO354" s="149"/>
      <c r="DP354" s="150"/>
      <c r="DQ354" s="20">
        <f t="shared" si="176"/>
        <v>0</v>
      </c>
      <c r="DR354" s="20">
        <f t="shared" si="177"/>
        <v>0</v>
      </c>
      <c r="DS354" s="20">
        <f>IFERROR((IF(AND($F354="Produit Vente",CO354&gt;0),VLOOKUP($C354,'[1]Paramètres Articles'!$B:$H,7,FALSE)*$CO354)*(1-20%)),0)</f>
        <v>0</v>
      </c>
      <c r="DT354" s="20">
        <f>IFERROR((IF(AND($F354="Produit Vente",DR354&gt;0),VLOOKUP($C354,'[1]Paramètres Articles'!$B:$H,6,FALSE)*$DR354)*(1-15%)),0)</f>
        <v>0</v>
      </c>
      <c r="DU354" s="20">
        <f t="shared" si="178"/>
        <v>0</v>
      </c>
    </row>
    <row r="355" spans="2:125" ht="12.95" customHeight="1" outlineLevel="1">
      <c r="B355" s="1">
        <f>IF(C355="",0,COUNTIFS($B$22:B354,"&gt;"&amp;0)+1)</f>
        <v>0</v>
      </c>
      <c r="C355" s="85"/>
      <c r="D355" s="86" t="str">
        <f>IFERROR(IF($C355="","",VLOOKUP($C355,'[1]Paramètres Articles'!$B:$G,2,FALSE)),"Non Trouvé")</f>
        <v/>
      </c>
      <c r="E355" s="87" t="str">
        <f>IFERROR(IF($C355="","",_xlfn.XLOOKUP(REGENERANTS!$C355,'[1]New Base PA'!$F:$F,'[1]New Base PA'!$D:$D,"Not Found",0)),"Non Trouvé")</f>
        <v/>
      </c>
      <c r="F355" s="88"/>
      <c r="H355" s="101"/>
      <c r="J355" s="90" t="str">
        <f>IFERROR(IF($C355="","",VLOOKUP($C355,'[1]New Base PA'!$F:$J,5,FALSE)),"Non Trouvé")</f>
        <v/>
      </c>
      <c r="K355" s="131" t="str">
        <f t="shared" si="172"/>
        <v/>
      </c>
      <c r="L355" s="132"/>
      <c r="M355" s="131">
        <f>IFERROR(IF(AND($F355="Produit Vente",H355&gt;0),VLOOKUP($C355,'[1]Paramètres Articles'!$B:$G,6,FALSE),0),"Non Trouvé")</f>
        <v>0</v>
      </c>
      <c r="N355" s="131" t="str">
        <f t="shared" si="173"/>
        <v/>
      </c>
      <c r="P355" s="92"/>
      <c r="R355" s="90" t="str">
        <f t="shared" si="174"/>
        <v/>
      </c>
      <c r="S355" s="91"/>
      <c r="T355" s="90" t="str">
        <f>IFERROR(IF($C355="","",VLOOKUP($C355,'[1]Paramètres Articles'!$B:$H,7,FALSE)),"Non Trouvé")</f>
        <v/>
      </c>
      <c r="U355" s="93"/>
      <c r="V355" s="90" t="str">
        <f t="shared" si="179"/>
        <v/>
      </c>
      <c r="W355" s="91"/>
      <c r="X355" s="90" t="str">
        <f t="shared" si="180"/>
        <v/>
      </c>
      <c r="Y355" s="91"/>
      <c r="Z355" s="90">
        <f t="shared" si="175"/>
        <v>0</v>
      </c>
      <c r="AB355" s="94">
        <f>AB353</f>
        <v>28</v>
      </c>
      <c r="AC355" s="94">
        <f>AC353</f>
        <v>0.17</v>
      </c>
      <c r="AD355" s="90" t="str">
        <f t="shared" si="181"/>
        <v/>
      </c>
      <c r="AG355" s="94">
        <f>AG353</f>
        <v>7</v>
      </c>
      <c r="AH355" s="94">
        <f>AH353</f>
        <v>0.13</v>
      </c>
      <c r="AI355" s="90" t="str">
        <f t="shared" si="182"/>
        <v/>
      </c>
      <c r="AL355" s="94">
        <f>AL353</f>
        <v>0</v>
      </c>
      <c r="AM355" s="94">
        <f>AM353</f>
        <v>0.08</v>
      </c>
      <c r="AN355" s="90" t="str">
        <f t="shared" si="183"/>
        <v/>
      </c>
      <c r="AQ355" s="94">
        <f>AQ353</f>
        <v>0</v>
      </c>
      <c r="AR355" s="94">
        <f>AR353</f>
        <v>0.05</v>
      </c>
      <c r="AS355" s="90" t="str">
        <f t="shared" si="184"/>
        <v/>
      </c>
      <c r="AV355" s="94">
        <f>AV353</f>
        <v>0</v>
      </c>
      <c r="AW355" s="94">
        <f>AW353</f>
        <v>0.32500000000000001</v>
      </c>
      <c r="AX355" s="90" t="str">
        <f t="shared" si="185"/>
        <v/>
      </c>
      <c r="BA355" s="94">
        <f>BA353</f>
        <v>0</v>
      </c>
      <c r="BB355" s="94">
        <f>BB353</f>
        <v>0.29499999999999998</v>
      </c>
      <c r="BC355" s="90" t="str">
        <f t="shared" si="186"/>
        <v/>
      </c>
      <c r="BF355" s="94">
        <f>BF353</f>
        <v>0</v>
      </c>
      <c r="BG355" s="94">
        <f>BG353</f>
        <v>0.27500000000000002</v>
      </c>
      <c r="BH355" s="90" t="str">
        <f t="shared" si="187"/>
        <v/>
      </c>
      <c r="BK355" s="94">
        <f>BK353</f>
        <v>0</v>
      </c>
      <c r="BL355" s="94">
        <f>BL353</f>
        <v>0.245</v>
      </c>
      <c r="BM355" s="90" t="str">
        <f t="shared" si="188"/>
        <v/>
      </c>
      <c r="BP355" s="94">
        <f>BP353</f>
        <v>0</v>
      </c>
      <c r="BQ355" s="94">
        <f>BQ353</f>
        <v>0.22500000000000001</v>
      </c>
      <c r="BR355" s="90" t="str">
        <f t="shared" si="189"/>
        <v/>
      </c>
      <c r="BU355" s="94">
        <f>BU353</f>
        <v>0</v>
      </c>
      <c r="BV355" s="94">
        <f>BV353</f>
        <v>0.17499999999999999</v>
      </c>
      <c r="BW355" s="90" t="str">
        <f t="shared" si="190"/>
        <v/>
      </c>
      <c r="BZ355" s="94">
        <f>BZ353</f>
        <v>0</v>
      </c>
      <c r="CA355" s="94">
        <f>CA353</f>
        <v>0.15</v>
      </c>
      <c r="CB355" s="90" t="str">
        <f t="shared" si="191"/>
        <v/>
      </c>
      <c r="CE355" s="95"/>
      <c r="CF355" s="96"/>
      <c r="CG355" s="97"/>
      <c r="CH355" s="97"/>
      <c r="CI355" s="98"/>
      <c r="CK355" s="99">
        <f>IFERROR(IF(F355='[1]Paramètres Généraux'!$K$12,ROUNDUP((REGENERANTS!H355*REGENERANTS!$CF$329)*'[1]Paramètres Généraux'!$M$12,-1),IF(F355='[1]Paramètres Généraux'!$K$15,ROUNDUP((REGENERANTS!H355*REGENERANTS!$CF$329)*'[1]Paramètres Généraux'!$M$15,-1),REGENERANTS!H355*REGENERANTS!$CF$329)),"nd")</f>
        <v>0</v>
      </c>
      <c r="CN355" s="146"/>
      <c r="CO355" s="147"/>
      <c r="CP355" s="147"/>
      <c r="CQ355" s="147"/>
      <c r="CR355" s="147"/>
      <c r="CS355" s="173"/>
      <c r="CT355" s="174"/>
      <c r="CU355" s="147"/>
      <c r="CV355" s="173"/>
      <c r="CW355" s="150"/>
      <c r="CX355" s="149"/>
      <c r="CY355" s="150"/>
      <c r="CZ355" s="136"/>
      <c r="DA355" s="149"/>
      <c r="DB355" s="150"/>
      <c r="DC355" s="136"/>
      <c r="DD355" s="149"/>
      <c r="DE355" s="150"/>
      <c r="DF355" s="136"/>
      <c r="DG355" s="136"/>
      <c r="DH355" s="136"/>
      <c r="DI355" s="136"/>
      <c r="DJ355" s="136"/>
      <c r="DK355" s="136"/>
      <c r="DL355" s="136"/>
      <c r="DM355" s="136"/>
      <c r="DN355" s="136"/>
      <c r="DO355" s="149"/>
      <c r="DP355" s="150"/>
      <c r="DQ355" s="20">
        <f t="shared" si="176"/>
        <v>0</v>
      </c>
      <c r="DR355" s="20">
        <f t="shared" si="177"/>
        <v>0</v>
      </c>
      <c r="DS355" s="20">
        <f>IFERROR((IF(AND($F355="Produit Vente",CO355&gt;0),VLOOKUP($C355,'[1]Paramètres Articles'!$B:$H,7,FALSE)*$CO355)*(1-20%)),0)</f>
        <v>0</v>
      </c>
      <c r="DT355" s="20">
        <f>IFERROR((IF(AND($F355="Produit Vente",DR355&gt;0),VLOOKUP($C355,'[1]Paramètres Articles'!$B:$H,6,FALSE)*$DR355)*(1-15%)),0)</f>
        <v>0</v>
      </c>
      <c r="DU355" s="20">
        <f t="shared" si="178"/>
        <v>0</v>
      </c>
    </row>
    <row r="356" spans="2:125" ht="12.95" customHeight="1" outlineLevel="1">
      <c r="B356" s="1">
        <f>IF(C356="",0,COUNTIFS($B$22:B355,"&gt;"&amp;0)+1)</f>
        <v>0</v>
      </c>
      <c r="C356" s="85"/>
      <c r="D356" s="86" t="str">
        <f>IFERROR(IF($C356="","",VLOOKUP($C356,'[1]Paramètres Articles'!$B:$G,2,FALSE)),"Non Trouvé")</f>
        <v/>
      </c>
      <c r="E356" s="87" t="str">
        <f>IFERROR(IF($C356="","",_xlfn.XLOOKUP(REGENERANTS!$C356,'[1]New Base PA'!$F:$F,'[1]New Base PA'!$D:$D,"Not Found",0)),"Non Trouvé")</f>
        <v/>
      </c>
      <c r="F356" s="88"/>
      <c r="H356" s="101"/>
      <c r="J356" s="90" t="str">
        <f>IFERROR(IF($C356="","",VLOOKUP($C356,'[1]New Base PA'!$F:$J,5,FALSE)),"Non Trouvé")</f>
        <v/>
      </c>
      <c r="K356" s="131" t="str">
        <f t="shared" si="172"/>
        <v/>
      </c>
      <c r="L356" s="132"/>
      <c r="M356" s="131">
        <f>IFERROR(IF(AND($F356="Produit Vente",H356&gt;0),VLOOKUP($C356,'[1]Paramètres Articles'!$B:$G,6,FALSE),0),"Non Trouvé")</f>
        <v>0</v>
      </c>
      <c r="N356" s="131" t="str">
        <f t="shared" si="173"/>
        <v/>
      </c>
      <c r="P356" s="92"/>
      <c r="R356" s="90" t="str">
        <f t="shared" si="174"/>
        <v/>
      </c>
      <c r="S356" s="91"/>
      <c r="T356" s="90" t="str">
        <f>IFERROR(IF($C356="","",VLOOKUP($C356,'[1]Paramètres Articles'!$B:$H,7,FALSE)),"Non Trouvé")</f>
        <v/>
      </c>
      <c r="U356" s="93"/>
      <c r="V356" s="90" t="str">
        <f t="shared" si="179"/>
        <v/>
      </c>
      <c r="W356" s="91"/>
      <c r="X356" s="90" t="str">
        <f t="shared" si="180"/>
        <v/>
      </c>
      <c r="Y356" s="91"/>
      <c r="Z356" s="90">
        <f t="shared" si="175"/>
        <v>0</v>
      </c>
      <c r="AB356" s="94">
        <f>AB355</f>
        <v>28</v>
      </c>
      <c r="AC356" s="94">
        <f>AC355</f>
        <v>0.17</v>
      </c>
      <c r="AD356" s="90" t="str">
        <f t="shared" si="181"/>
        <v/>
      </c>
      <c r="AG356" s="94">
        <f>AG355</f>
        <v>7</v>
      </c>
      <c r="AH356" s="94">
        <f>AH355</f>
        <v>0.13</v>
      </c>
      <c r="AI356" s="90" t="str">
        <f t="shared" si="182"/>
        <v/>
      </c>
      <c r="AL356" s="94">
        <f>AL355</f>
        <v>0</v>
      </c>
      <c r="AM356" s="94">
        <f>AM355</f>
        <v>0.08</v>
      </c>
      <c r="AN356" s="90" t="str">
        <f t="shared" si="183"/>
        <v/>
      </c>
      <c r="AQ356" s="94">
        <f>AQ355</f>
        <v>0</v>
      </c>
      <c r="AR356" s="94">
        <f>AR355</f>
        <v>0.05</v>
      </c>
      <c r="AS356" s="90" t="str">
        <f t="shared" si="184"/>
        <v/>
      </c>
      <c r="AV356" s="94">
        <f>AV355</f>
        <v>0</v>
      </c>
      <c r="AW356" s="94">
        <f>AW355</f>
        <v>0.32500000000000001</v>
      </c>
      <c r="AX356" s="90" t="str">
        <f t="shared" si="185"/>
        <v/>
      </c>
      <c r="BA356" s="94">
        <f>BA355</f>
        <v>0</v>
      </c>
      <c r="BB356" s="94">
        <f>BB355</f>
        <v>0.29499999999999998</v>
      </c>
      <c r="BC356" s="90" t="str">
        <f t="shared" si="186"/>
        <v/>
      </c>
      <c r="BF356" s="94">
        <f>BF355</f>
        <v>0</v>
      </c>
      <c r="BG356" s="94">
        <f>BG355</f>
        <v>0.27500000000000002</v>
      </c>
      <c r="BH356" s="90" t="str">
        <f t="shared" si="187"/>
        <v/>
      </c>
      <c r="BK356" s="94">
        <f>BK355</f>
        <v>0</v>
      </c>
      <c r="BL356" s="94">
        <f>BL355</f>
        <v>0.245</v>
      </c>
      <c r="BM356" s="90" t="str">
        <f t="shared" si="188"/>
        <v/>
      </c>
      <c r="BP356" s="94">
        <f>BP355</f>
        <v>0</v>
      </c>
      <c r="BQ356" s="94">
        <f>BQ355</f>
        <v>0.22500000000000001</v>
      </c>
      <c r="BR356" s="90" t="str">
        <f t="shared" si="189"/>
        <v/>
      </c>
      <c r="BU356" s="94">
        <f>BU355</f>
        <v>0</v>
      </c>
      <c r="BV356" s="94">
        <f>BV355</f>
        <v>0.17499999999999999</v>
      </c>
      <c r="BW356" s="90" t="str">
        <f t="shared" si="190"/>
        <v/>
      </c>
      <c r="BZ356" s="94">
        <f>BZ355</f>
        <v>0</v>
      </c>
      <c r="CA356" s="94">
        <f>CA355</f>
        <v>0.15</v>
      </c>
      <c r="CB356" s="90" t="str">
        <f t="shared" si="191"/>
        <v/>
      </c>
      <c r="CE356" s="95"/>
      <c r="CF356" s="96"/>
      <c r="CG356" s="97"/>
      <c r="CH356" s="97"/>
      <c r="CI356" s="98"/>
      <c r="CK356" s="99">
        <f>IFERROR(IF(F356='[1]Paramètres Généraux'!$K$12,ROUNDUP((REGENERANTS!H356*REGENERANTS!$CF$329)*'[1]Paramètres Généraux'!$M$12,-1),IF(F356='[1]Paramètres Généraux'!$K$15,ROUNDUP((REGENERANTS!H356*REGENERANTS!$CF$329)*'[1]Paramètres Généraux'!$M$15,-1),REGENERANTS!H356*REGENERANTS!$CF$329)),"nd")</f>
        <v>0</v>
      </c>
      <c r="CN356" s="146"/>
      <c r="CO356" s="147"/>
      <c r="CP356" s="147"/>
      <c r="CQ356" s="147"/>
      <c r="CR356" s="147"/>
      <c r="CS356" s="173"/>
      <c r="CT356" s="174"/>
      <c r="CU356" s="147"/>
      <c r="CV356" s="173"/>
      <c r="CW356" s="150"/>
      <c r="CX356" s="149"/>
      <c r="CY356" s="150"/>
      <c r="CZ356" s="136"/>
      <c r="DA356" s="149"/>
      <c r="DB356" s="150"/>
      <c r="DC356" s="136"/>
      <c r="DD356" s="149"/>
      <c r="DE356" s="150"/>
      <c r="DF356" s="136"/>
      <c r="DG356" s="136"/>
      <c r="DH356" s="136"/>
      <c r="DI356" s="136"/>
      <c r="DJ356" s="136"/>
      <c r="DK356" s="136"/>
      <c r="DL356" s="136"/>
      <c r="DM356" s="136"/>
      <c r="DN356" s="136"/>
      <c r="DO356" s="149"/>
      <c r="DP356" s="150"/>
      <c r="DQ356" s="20">
        <f t="shared" si="176"/>
        <v>0</v>
      </c>
      <c r="DR356" s="20">
        <f t="shared" si="177"/>
        <v>0</v>
      </c>
      <c r="DS356" s="20">
        <f>IFERROR((IF(AND($F356="Produit Vente",CO356&gt;0),VLOOKUP($C356,'[1]Paramètres Articles'!$B:$H,7,FALSE)*$CO356)*(1-20%)),0)</f>
        <v>0</v>
      </c>
      <c r="DT356" s="20">
        <f>IFERROR((IF(AND($F356="Produit Vente",DR356&gt;0),VLOOKUP($C356,'[1]Paramètres Articles'!$B:$H,6,FALSE)*$DR356)*(1-15%)),0)</f>
        <v>0</v>
      </c>
      <c r="DU356" s="20">
        <f t="shared" si="178"/>
        <v>0</v>
      </c>
    </row>
    <row r="357" spans="2:125" ht="12.95" customHeight="1" outlineLevel="1">
      <c r="B357" s="1">
        <f>IF(C357="",0,COUNTIFS($B$22:B356,"&gt;"&amp;0)+1)</f>
        <v>0</v>
      </c>
      <c r="C357" s="85"/>
      <c r="D357" s="86" t="str">
        <f>IFERROR(IF($C357="","",VLOOKUP($C357,'[1]Paramètres Articles'!$B:$G,2,FALSE)),"Non Trouvé")</f>
        <v/>
      </c>
      <c r="E357" s="87" t="str">
        <f>IFERROR(IF($C357="","",_xlfn.XLOOKUP(REGENERANTS!$C357,'[1]New Base PA'!$F:$F,'[1]New Base PA'!$D:$D,"Not Found",0)),"Non Trouvé")</f>
        <v/>
      </c>
      <c r="F357" s="88"/>
      <c r="H357" s="101"/>
      <c r="J357" s="90" t="str">
        <f>IFERROR(IF($C357="","",VLOOKUP($C357,'[1]New Base PA'!$F:$J,5,FALSE)),"Non Trouvé")</f>
        <v/>
      </c>
      <c r="K357" s="131" t="str">
        <f t="shared" si="172"/>
        <v/>
      </c>
      <c r="L357" s="132"/>
      <c r="M357" s="131">
        <f>IFERROR(IF(AND($F357="Produit Vente",H357&gt;0),VLOOKUP($C357,'[1]Paramètres Articles'!$B:$G,6,FALSE),0),"Non Trouvé")</f>
        <v>0</v>
      </c>
      <c r="N357" s="131" t="str">
        <f t="shared" si="173"/>
        <v/>
      </c>
      <c r="P357" s="92"/>
      <c r="R357" s="90" t="str">
        <f t="shared" si="174"/>
        <v/>
      </c>
      <c r="S357" s="91"/>
      <c r="T357" s="90" t="str">
        <f>IFERROR(IF($C357="","",VLOOKUP($C357,'[1]Paramètres Articles'!$B:$H,7,FALSE)),"Non Trouvé")</f>
        <v/>
      </c>
      <c r="U357" s="93"/>
      <c r="V357" s="90" t="str">
        <f t="shared" si="179"/>
        <v/>
      </c>
      <c r="W357" s="91"/>
      <c r="X357" s="90" t="str">
        <f t="shared" si="180"/>
        <v/>
      </c>
      <c r="Y357" s="91"/>
      <c r="Z357" s="90">
        <f t="shared" si="175"/>
        <v>0</v>
      </c>
      <c r="AB357" s="94">
        <f>AB355</f>
        <v>28</v>
      </c>
      <c r="AC357" s="94">
        <f>AC355</f>
        <v>0.17</v>
      </c>
      <c r="AD357" s="90" t="str">
        <f t="shared" si="181"/>
        <v/>
      </c>
      <c r="AG357" s="94">
        <f>AG355</f>
        <v>7</v>
      </c>
      <c r="AH357" s="94">
        <f>AH355</f>
        <v>0.13</v>
      </c>
      <c r="AI357" s="90" t="str">
        <f t="shared" si="182"/>
        <v/>
      </c>
      <c r="AL357" s="94">
        <f>AL355</f>
        <v>0</v>
      </c>
      <c r="AM357" s="94">
        <f>AM355</f>
        <v>0.08</v>
      </c>
      <c r="AN357" s="90" t="str">
        <f t="shared" si="183"/>
        <v/>
      </c>
      <c r="AQ357" s="94">
        <f>AQ355</f>
        <v>0</v>
      </c>
      <c r="AR357" s="94">
        <f>AR355</f>
        <v>0.05</v>
      </c>
      <c r="AS357" s="90" t="str">
        <f t="shared" si="184"/>
        <v/>
      </c>
      <c r="AV357" s="94">
        <f>AV355</f>
        <v>0</v>
      </c>
      <c r="AW357" s="94">
        <f>AW355</f>
        <v>0.32500000000000001</v>
      </c>
      <c r="AX357" s="90" t="str">
        <f t="shared" si="185"/>
        <v/>
      </c>
      <c r="BA357" s="94">
        <f>BA355</f>
        <v>0</v>
      </c>
      <c r="BB357" s="94">
        <f>BB355</f>
        <v>0.29499999999999998</v>
      </c>
      <c r="BC357" s="90" t="str">
        <f t="shared" si="186"/>
        <v/>
      </c>
      <c r="BF357" s="94">
        <f>BF355</f>
        <v>0</v>
      </c>
      <c r="BG357" s="94">
        <f>BG355</f>
        <v>0.27500000000000002</v>
      </c>
      <c r="BH357" s="90" t="str">
        <f t="shared" si="187"/>
        <v/>
      </c>
      <c r="BK357" s="94">
        <f>BK355</f>
        <v>0</v>
      </c>
      <c r="BL357" s="94">
        <f>BL355</f>
        <v>0.245</v>
      </c>
      <c r="BM357" s="90" t="str">
        <f t="shared" si="188"/>
        <v/>
      </c>
      <c r="BP357" s="94">
        <f>BP355</f>
        <v>0</v>
      </c>
      <c r="BQ357" s="94">
        <f>BQ355</f>
        <v>0.22500000000000001</v>
      </c>
      <c r="BR357" s="90" t="str">
        <f t="shared" si="189"/>
        <v/>
      </c>
      <c r="BU357" s="94">
        <f>BU355</f>
        <v>0</v>
      </c>
      <c r="BV357" s="94">
        <f>BV355</f>
        <v>0.17499999999999999</v>
      </c>
      <c r="BW357" s="90" t="str">
        <f t="shared" si="190"/>
        <v/>
      </c>
      <c r="BZ357" s="94">
        <f>BZ355</f>
        <v>0</v>
      </c>
      <c r="CA357" s="94">
        <f>CA355</f>
        <v>0.15</v>
      </c>
      <c r="CB357" s="90" t="str">
        <f t="shared" si="191"/>
        <v/>
      </c>
      <c r="CE357" s="95"/>
      <c r="CF357" s="96"/>
      <c r="CG357" s="97"/>
      <c r="CH357" s="97"/>
      <c r="CI357" s="98"/>
      <c r="CK357" s="99">
        <f>IFERROR(IF(F357='[1]Paramètres Généraux'!$K$12,ROUNDUP((REGENERANTS!H357*REGENERANTS!$CF$329)*'[1]Paramètres Généraux'!$M$12,-1),IF(F357='[1]Paramètres Généraux'!$K$15,ROUNDUP((REGENERANTS!H357*REGENERANTS!$CF$329)*'[1]Paramètres Généraux'!$M$15,-1),REGENERANTS!H357*REGENERANTS!$CF$329)),"nd")</f>
        <v>0</v>
      </c>
      <c r="CN357" s="146"/>
      <c r="CO357" s="147"/>
      <c r="CP357" s="147"/>
      <c r="CQ357" s="147"/>
      <c r="CR357" s="147"/>
      <c r="CS357" s="173"/>
      <c r="CT357" s="174"/>
      <c r="CU357" s="147"/>
      <c r="CV357" s="173"/>
      <c r="CW357" s="150"/>
      <c r="CX357" s="149"/>
      <c r="CY357" s="150"/>
      <c r="CZ357" s="136"/>
      <c r="DA357" s="149"/>
      <c r="DB357" s="150"/>
      <c r="DC357" s="136"/>
      <c r="DD357" s="149"/>
      <c r="DE357" s="150"/>
      <c r="DF357" s="136"/>
      <c r="DG357" s="136"/>
      <c r="DH357" s="136"/>
      <c r="DI357" s="136"/>
      <c r="DJ357" s="136"/>
      <c r="DK357" s="136"/>
      <c r="DL357" s="136"/>
      <c r="DM357" s="136"/>
      <c r="DN357" s="136"/>
      <c r="DO357" s="149"/>
      <c r="DP357" s="150"/>
      <c r="DQ357" s="20">
        <f t="shared" si="176"/>
        <v>0</v>
      </c>
      <c r="DR357" s="20">
        <f t="shared" si="177"/>
        <v>0</v>
      </c>
      <c r="DS357" s="20">
        <f>IFERROR((IF(AND($F357="Produit Vente",CO357&gt;0),VLOOKUP($C357,'[1]Paramètres Articles'!$B:$H,7,FALSE)*$CO357)*(1-20%)),0)</f>
        <v>0</v>
      </c>
      <c r="DT357" s="20">
        <f>IFERROR((IF(AND($F357="Produit Vente",DR357&gt;0),VLOOKUP($C357,'[1]Paramètres Articles'!$B:$H,6,FALSE)*$DR357)*(1-15%)),0)</f>
        <v>0</v>
      </c>
      <c r="DU357" s="20">
        <f t="shared" si="178"/>
        <v>0</v>
      </c>
    </row>
    <row r="358" spans="2:125" ht="12.95" customHeight="1" outlineLevel="1">
      <c r="B358" s="1">
        <f>IF(C358="",0,COUNTIFS($B$22:B357,"&gt;"&amp;0)+1)</f>
        <v>0</v>
      </c>
      <c r="C358" s="85"/>
      <c r="D358" s="86" t="str">
        <f>IFERROR(IF($C358="","",VLOOKUP($C358,'[1]Paramètres Articles'!$B:$G,2,FALSE)),"Non Trouvé")</f>
        <v/>
      </c>
      <c r="E358" s="87" t="str">
        <f>IFERROR(IF($C358="","",_xlfn.XLOOKUP(REGENERANTS!$C358,'[1]New Base PA'!$F:$F,'[1]New Base PA'!$D:$D,"Not Found",0)),"Non Trouvé")</f>
        <v/>
      </c>
      <c r="F358" s="88"/>
      <c r="H358" s="101"/>
      <c r="J358" s="90" t="str">
        <f>IFERROR(IF($C358="","",VLOOKUP($C358,'[1]New Base PA'!$F:$J,5,FALSE)),"Non Trouvé")</f>
        <v/>
      </c>
      <c r="K358" s="131" t="str">
        <f t="shared" si="172"/>
        <v/>
      </c>
      <c r="L358" s="132"/>
      <c r="M358" s="131">
        <f>IFERROR(IF(AND($F358="Produit Vente",H358&gt;0),VLOOKUP($C358,'[1]Paramètres Articles'!$B:$G,6,FALSE),0),"Non Trouvé")</f>
        <v>0</v>
      </c>
      <c r="N358" s="131" t="str">
        <f t="shared" si="173"/>
        <v/>
      </c>
      <c r="P358" s="92"/>
      <c r="R358" s="90" t="str">
        <f t="shared" si="174"/>
        <v/>
      </c>
      <c r="S358" s="91"/>
      <c r="T358" s="90" t="str">
        <f>IFERROR(IF($C358="","",VLOOKUP($C358,'[1]Paramètres Articles'!$B:$H,7,FALSE)),"Non Trouvé")</f>
        <v/>
      </c>
      <c r="U358" s="93"/>
      <c r="V358" s="90" t="str">
        <f t="shared" si="179"/>
        <v/>
      </c>
      <c r="W358" s="91"/>
      <c r="X358" s="90" t="str">
        <f t="shared" si="180"/>
        <v/>
      </c>
      <c r="Y358" s="91"/>
      <c r="Z358" s="90">
        <f t="shared" si="175"/>
        <v>0</v>
      </c>
      <c r="AB358" s="94">
        <f>AB357</f>
        <v>28</v>
      </c>
      <c r="AC358" s="94">
        <f>AC357</f>
        <v>0.17</v>
      </c>
      <c r="AD358" s="90" t="str">
        <f t="shared" si="181"/>
        <v/>
      </c>
      <c r="AG358" s="94">
        <f>AG357</f>
        <v>7</v>
      </c>
      <c r="AH358" s="94">
        <f>AH357</f>
        <v>0.13</v>
      </c>
      <c r="AI358" s="90" t="str">
        <f t="shared" si="182"/>
        <v/>
      </c>
      <c r="AL358" s="94">
        <f>AL357</f>
        <v>0</v>
      </c>
      <c r="AM358" s="94">
        <f>AM357</f>
        <v>0.08</v>
      </c>
      <c r="AN358" s="90" t="str">
        <f t="shared" si="183"/>
        <v/>
      </c>
      <c r="AQ358" s="94">
        <f>AQ357</f>
        <v>0</v>
      </c>
      <c r="AR358" s="94">
        <f>AR357</f>
        <v>0.05</v>
      </c>
      <c r="AS358" s="90" t="str">
        <f t="shared" si="184"/>
        <v/>
      </c>
      <c r="AV358" s="94">
        <f>AV357</f>
        <v>0</v>
      </c>
      <c r="AW358" s="94">
        <f>AW357</f>
        <v>0.32500000000000001</v>
      </c>
      <c r="AX358" s="90" t="str">
        <f t="shared" si="185"/>
        <v/>
      </c>
      <c r="BA358" s="94">
        <f>BA357</f>
        <v>0</v>
      </c>
      <c r="BB358" s="94">
        <f>BB357</f>
        <v>0.29499999999999998</v>
      </c>
      <c r="BC358" s="90" t="str">
        <f t="shared" si="186"/>
        <v/>
      </c>
      <c r="BF358" s="94">
        <f>BF357</f>
        <v>0</v>
      </c>
      <c r="BG358" s="94">
        <f>BG357</f>
        <v>0.27500000000000002</v>
      </c>
      <c r="BH358" s="90" t="str">
        <f t="shared" si="187"/>
        <v/>
      </c>
      <c r="BK358" s="94">
        <f>BK357</f>
        <v>0</v>
      </c>
      <c r="BL358" s="94">
        <f>BL357</f>
        <v>0.245</v>
      </c>
      <c r="BM358" s="90" t="str">
        <f t="shared" si="188"/>
        <v/>
      </c>
      <c r="BP358" s="94">
        <f>BP357</f>
        <v>0</v>
      </c>
      <c r="BQ358" s="94">
        <f>BQ357</f>
        <v>0.22500000000000001</v>
      </c>
      <c r="BR358" s="90" t="str">
        <f t="shared" si="189"/>
        <v/>
      </c>
      <c r="BU358" s="94">
        <f>BU357</f>
        <v>0</v>
      </c>
      <c r="BV358" s="94">
        <f>BV357</f>
        <v>0.17499999999999999</v>
      </c>
      <c r="BW358" s="90" t="str">
        <f t="shared" si="190"/>
        <v/>
      </c>
      <c r="BZ358" s="94">
        <f>BZ357</f>
        <v>0</v>
      </c>
      <c r="CA358" s="94">
        <f>CA357</f>
        <v>0.15</v>
      </c>
      <c r="CB358" s="90" t="str">
        <f t="shared" si="191"/>
        <v/>
      </c>
      <c r="CE358" s="95"/>
      <c r="CF358" s="96"/>
      <c r="CG358" s="97"/>
      <c r="CH358" s="97"/>
      <c r="CI358" s="98"/>
      <c r="CK358" s="99">
        <f>IFERROR(IF(F358='[1]Paramètres Généraux'!$K$12,ROUNDUP((REGENERANTS!H358*REGENERANTS!$CF$329)*'[1]Paramètres Généraux'!$M$12,-1),IF(F358='[1]Paramètres Généraux'!$K$15,ROUNDUP((REGENERANTS!H358*REGENERANTS!$CF$329)*'[1]Paramètres Généraux'!$M$15,-1),REGENERANTS!H358*REGENERANTS!$CF$329)),"nd")</f>
        <v>0</v>
      </c>
      <c r="CN358" s="146"/>
      <c r="CO358" s="147"/>
      <c r="CP358" s="147"/>
      <c r="CQ358" s="147"/>
      <c r="CR358" s="147"/>
      <c r="CS358" s="173"/>
      <c r="CT358" s="174"/>
      <c r="CU358" s="147"/>
      <c r="CV358" s="173"/>
      <c r="CW358" s="150"/>
      <c r="CX358" s="149"/>
      <c r="CY358" s="150"/>
      <c r="CZ358" s="136"/>
      <c r="DA358" s="149"/>
      <c r="DB358" s="150"/>
      <c r="DC358" s="136"/>
      <c r="DD358" s="149"/>
      <c r="DE358" s="150"/>
      <c r="DF358" s="136"/>
      <c r="DG358" s="136"/>
      <c r="DH358" s="136"/>
      <c r="DI358" s="136"/>
      <c r="DJ358" s="136"/>
      <c r="DK358" s="136"/>
      <c r="DL358" s="136"/>
      <c r="DM358" s="136"/>
      <c r="DN358" s="136"/>
      <c r="DO358" s="149"/>
      <c r="DP358" s="150"/>
      <c r="DQ358" s="20">
        <f t="shared" si="176"/>
        <v>0</v>
      </c>
      <c r="DR358" s="20">
        <f t="shared" si="177"/>
        <v>0</v>
      </c>
      <c r="DS358" s="20">
        <f>IFERROR((IF(AND($F358="Produit Vente",CO358&gt;0),VLOOKUP($C358,'[1]Paramètres Articles'!$B:$H,7,FALSE)*$CO358)*(1-20%)),0)</f>
        <v>0</v>
      </c>
      <c r="DT358" s="20">
        <f>IFERROR((IF(AND($F358="Produit Vente",DR358&gt;0),VLOOKUP($C358,'[1]Paramètres Articles'!$B:$H,6,FALSE)*$DR358)*(1-15%)),0)</f>
        <v>0</v>
      </c>
      <c r="DU358" s="20">
        <f t="shared" si="178"/>
        <v>0</v>
      </c>
    </row>
    <row r="359" spans="2:125" ht="12.95" customHeight="1" outlineLevel="1">
      <c r="B359" s="1">
        <f>IF(C359="",0,COUNTIFS($B$22:B358,"&gt;"&amp;0)+1)</f>
        <v>0</v>
      </c>
      <c r="C359" s="85"/>
      <c r="D359" s="86" t="str">
        <f>IFERROR(IF($C359="","",VLOOKUP($C359,'[1]Paramètres Articles'!$B:$G,2,FALSE)),"Non Trouvé")</f>
        <v/>
      </c>
      <c r="E359" s="87" t="str">
        <f>IFERROR(IF($C359="","",_xlfn.XLOOKUP(REGENERANTS!$C359,'[1]New Base PA'!$F:$F,'[1]New Base PA'!$D:$D,"Not Found",0)),"Non Trouvé")</f>
        <v/>
      </c>
      <c r="F359" s="88"/>
      <c r="H359" s="101"/>
      <c r="J359" s="90" t="str">
        <f>IFERROR(IF($C359="","",VLOOKUP($C359,'[1]New Base PA'!$F:$J,5,FALSE)),"Non Trouvé")</f>
        <v/>
      </c>
      <c r="K359" s="131" t="str">
        <f t="shared" si="172"/>
        <v/>
      </c>
      <c r="L359" s="132"/>
      <c r="M359" s="131">
        <f>IFERROR(IF(AND($F359="Produit Vente",H359&gt;0),VLOOKUP($C359,'[1]Paramètres Articles'!$B:$G,6,FALSE),0),"Non Trouvé")</f>
        <v>0</v>
      </c>
      <c r="N359" s="131" t="str">
        <f t="shared" si="173"/>
        <v/>
      </c>
      <c r="P359" s="92"/>
      <c r="R359" s="90" t="str">
        <f t="shared" si="174"/>
        <v/>
      </c>
      <c r="S359" s="91"/>
      <c r="T359" s="90" t="str">
        <f>IFERROR(IF($C359="","",VLOOKUP($C359,'[1]Paramètres Articles'!$B:$H,7,FALSE)),"Non Trouvé")</f>
        <v/>
      </c>
      <c r="U359" s="93"/>
      <c r="V359" s="90" t="str">
        <f t="shared" si="179"/>
        <v/>
      </c>
      <c r="W359" s="91"/>
      <c r="X359" s="90" t="str">
        <f t="shared" si="180"/>
        <v/>
      </c>
      <c r="Y359" s="91"/>
      <c r="Z359" s="90">
        <f t="shared" si="175"/>
        <v>0</v>
      </c>
      <c r="AB359" s="94">
        <f>AB357</f>
        <v>28</v>
      </c>
      <c r="AC359" s="94">
        <f>AC357</f>
        <v>0.17</v>
      </c>
      <c r="AD359" s="90" t="str">
        <f t="shared" si="181"/>
        <v/>
      </c>
      <c r="AG359" s="94">
        <f>AG357</f>
        <v>7</v>
      </c>
      <c r="AH359" s="94">
        <f>AH357</f>
        <v>0.13</v>
      </c>
      <c r="AI359" s="90" t="str">
        <f t="shared" si="182"/>
        <v/>
      </c>
      <c r="AL359" s="94">
        <f>AL357</f>
        <v>0</v>
      </c>
      <c r="AM359" s="94">
        <f>AM357</f>
        <v>0.08</v>
      </c>
      <c r="AN359" s="90" t="str">
        <f t="shared" si="183"/>
        <v/>
      </c>
      <c r="AQ359" s="94">
        <f>AQ357</f>
        <v>0</v>
      </c>
      <c r="AR359" s="94">
        <f>AR357</f>
        <v>0.05</v>
      </c>
      <c r="AS359" s="90" t="str">
        <f t="shared" si="184"/>
        <v/>
      </c>
      <c r="AV359" s="94">
        <f>AV357</f>
        <v>0</v>
      </c>
      <c r="AW359" s="94">
        <f>AW357</f>
        <v>0.32500000000000001</v>
      </c>
      <c r="AX359" s="90" t="str">
        <f t="shared" si="185"/>
        <v/>
      </c>
      <c r="BA359" s="94">
        <f>BA357</f>
        <v>0</v>
      </c>
      <c r="BB359" s="94">
        <f>BB357</f>
        <v>0.29499999999999998</v>
      </c>
      <c r="BC359" s="90" t="str">
        <f t="shared" si="186"/>
        <v/>
      </c>
      <c r="BF359" s="94">
        <f>BF357</f>
        <v>0</v>
      </c>
      <c r="BG359" s="94">
        <f>BG357</f>
        <v>0.27500000000000002</v>
      </c>
      <c r="BH359" s="90" t="str">
        <f t="shared" si="187"/>
        <v/>
      </c>
      <c r="BK359" s="94">
        <f>BK357</f>
        <v>0</v>
      </c>
      <c r="BL359" s="94">
        <f>BL357</f>
        <v>0.245</v>
      </c>
      <c r="BM359" s="90" t="str">
        <f t="shared" si="188"/>
        <v/>
      </c>
      <c r="BP359" s="94">
        <f>BP357</f>
        <v>0</v>
      </c>
      <c r="BQ359" s="94">
        <f>BQ357</f>
        <v>0.22500000000000001</v>
      </c>
      <c r="BR359" s="90" t="str">
        <f t="shared" si="189"/>
        <v/>
      </c>
      <c r="BU359" s="94">
        <f>BU357</f>
        <v>0</v>
      </c>
      <c r="BV359" s="94">
        <f>BV357</f>
        <v>0.17499999999999999</v>
      </c>
      <c r="BW359" s="90" t="str">
        <f t="shared" si="190"/>
        <v/>
      </c>
      <c r="BZ359" s="94">
        <f>BZ357</f>
        <v>0</v>
      </c>
      <c r="CA359" s="94">
        <f>CA357</f>
        <v>0.15</v>
      </c>
      <c r="CB359" s="90" t="str">
        <f t="shared" si="191"/>
        <v/>
      </c>
      <c r="CE359" s="95"/>
      <c r="CF359" s="96"/>
      <c r="CG359" s="97"/>
      <c r="CH359" s="97"/>
      <c r="CI359" s="98"/>
      <c r="CK359" s="99">
        <f>IFERROR(IF(F359='[1]Paramètres Généraux'!$K$12,ROUNDUP((REGENERANTS!H359*REGENERANTS!$CF$329)*'[1]Paramètres Généraux'!$M$12,-1),IF(F359='[1]Paramètres Généraux'!$K$15,ROUNDUP((REGENERANTS!H359*REGENERANTS!$CF$329)*'[1]Paramètres Généraux'!$M$15,-1),REGENERANTS!H359*REGENERANTS!$CF$329)),"nd")</f>
        <v>0</v>
      </c>
      <c r="CN359" s="146"/>
      <c r="CO359" s="147"/>
      <c r="CP359" s="147"/>
      <c r="CQ359" s="147"/>
      <c r="CR359" s="147"/>
      <c r="CS359" s="173"/>
      <c r="CT359" s="174"/>
      <c r="CU359" s="147"/>
      <c r="CV359" s="173"/>
      <c r="CW359" s="150"/>
      <c r="CX359" s="149"/>
      <c r="CY359" s="150"/>
      <c r="CZ359" s="136"/>
      <c r="DA359" s="149"/>
      <c r="DB359" s="150"/>
      <c r="DC359" s="136"/>
      <c r="DD359" s="149"/>
      <c r="DE359" s="150"/>
      <c r="DF359" s="136"/>
      <c r="DG359" s="136"/>
      <c r="DH359" s="136"/>
      <c r="DI359" s="136"/>
      <c r="DJ359" s="136"/>
      <c r="DK359" s="136"/>
      <c r="DL359" s="136"/>
      <c r="DM359" s="136"/>
      <c r="DN359" s="136"/>
      <c r="DO359" s="149"/>
      <c r="DP359" s="150"/>
      <c r="DQ359" s="20">
        <f t="shared" si="176"/>
        <v>0</v>
      </c>
      <c r="DR359" s="20">
        <f t="shared" si="177"/>
        <v>0</v>
      </c>
      <c r="DS359" s="20">
        <f>IFERROR((IF(AND($F359="Produit Vente",CO359&gt;0),VLOOKUP($C359,'[1]Paramètres Articles'!$B:$H,7,FALSE)*$CO359)*(1-20%)),0)</f>
        <v>0</v>
      </c>
      <c r="DT359" s="20">
        <f>IFERROR((IF(AND($F359="Produit Vente",DR359&gt;0),VLOOKUP($C359,'[1]Paramètres Articles'!$B:$H,6,FALSE)*$DR359)*(1-15%)),0)</f>
        <v>0</v>
      </c>
      <c r="DU359" s="20">
        <f t="shared" si="178"/>
        <v>0</v>
      </c>
    </row>
    <row r="360" spans="2:125" ht="12.95" customHeight="1" outlineLevel="1">
      <c r="B360" s="1">
        <f>IF(C360="",0,COUNTIFS($B$22:B359,"&gt;"&amp;0)+1)</f>
        <v>0</v>
      </c>
      <c r="C360" s="85"/>
      <c r="D360" s="86" t="str">
        <f>IFERROR(IF($C360="","",VLOOKUP($C360,'[1]Paramètres Articles'!$B:$G,2,FALSE)),"Non Trouvé")</f>
        <v/>
      </c>
      <c r="E360" s="87" t="str">
        <f>IFERROR(IF($C360="","",_xlfn.XLOOKUP(REGENERANTS!$C360,'[1]New Base PA'!$F:$F,'[1]New Base PA'!$D:$D,"Not Found",0)),"Non Trouvé")</f>
        <v/>
      </c>
      <c r="F360" s="88"/>
      <c r="H360" s="101"/>
      <c r="J360" s="90" t="str">
        <f>IFERROR(IF($C360="","",VLOOKUP($C360,'[1]New Base PA'!$F:$J,5,FALSE)),"Non Trouvé")</f>
        <v/>
      </c>
      <c r="K360" s="131" t="str">
        <f t="shared" si="172"/>
        <v/>
      </c>
      <c r="L360" s="132"/>
      <c r="M360" s="131">
        <f>IFERROR(IF(AND($F360="Produit Vente",H360&gt;0),VLOOKUP($C360,'[1]Paramètres Articles'!$B:$G,6,FALSE),0),"Non Trouvé")</f>
        <v>0</v>
      </c>
      <c r="N360" s="131" t="str">
        <f t="shared" si="173"/>
        <v/>
      </c>
      <c r="P360" s="92"/>
      <c r="R360" s="90" t="str">
        <f t="shared" si="174"/>
        <v/>
      </c>
      <c r="S360" s="91"/>
      <c r="T360" s="90" t="str">
        <f>IFERROR(IF($C360="","",VLOOKUP($C360,'[1]Paramètres Articles'!$B:$H,7,FALSE)),"Non Trouvé")</f>
        <v/>
      </c>
      <c r="U360" s="93"/>
      <c r="V360" s="90" t="str">
        <f t="shared" si="179"/>
        <v/>
      </c>
      <c r="W360" s="91"/>
      <c r="X360" s="90" t="str">
        <f t="shared" si="180"/>
        <v/>
      </c>
      <c r="Y360" s="91"/>
      <c r="Z360" s="90">
        <f t="shared" si="175"/>
        <v>0</v>
      </c>
      <c r="AB360" s="94">
        <f>AB359</f>
        <v>28</v>
      </c>
      <c r="AC360" s="94">
        <f>AC359</f>
        <v>0.17</v>
      </c>
      <c r="AD360" s="90" t="str">
        <f t="shared" si="181"/>
        <v/>
      </c>
      <c r="AG360" s="94">
        <f>AG359</f>
        <v>7</v>
      </c>
      <c r="AH360" s="94">
        <f>AH359</f>
        <v>0.13</v>
      </c>
      <c r="AI360" s="90" t="str">
        <f t="shared" si="182"/>
        <v/>
      </c>
      <c r="AL360" s="94">
        <f>AL359</f>
        <v>0</v>
      </c>
      <c r="AM360" s="94">
        <f>AM359</f>
        <v>0.08</v>
      </c>
      <c r="AN360" s="90" t="str">
        <f t="shared" si="183"/>
        <v/>
      </c>
      <c r="AQ360" s="94">
        <f>AQ359</f>
        <v>0</v>
      </c>
      <c r="AR360" s="94">
        <f>AR359</f>
        <v>0.05</v>
      </c>
      <c r="AS360" s="90" t="str">
        <f t="shared" si="184"/>
        <v/>
      </c>
      <c r="AV360" s="94">
        <f>AV359</f>
        <v>0</v>
      </c>
      <c r="AW360" s="94">
        <f>AW359</f>
        <v>0.32500000000000001</v>
      </c>
      <c r="AX360" s="90" t="str">
        <f t="shared" si="185"/>
        <v/>
      </c>
      <c r="BA360" s="94">
        <f>BA359</f>
        <v>0</v>
      </c>
      <c r="BB360" s="94">
        <f>BB359</f>
        <v>0.29499999999999998</v>
      </c>
      <c r="BC360" s="90" t="str">
        <f t="shared" si="186"/>
        <v/>
      </c>
      <c r="BF360" s="94">
        <f>BF359</f>
        <v>0</v>
      </c>
      <c r="BG360" s="94">
        <f>BG359</f>
        <v>0.27500000000000002</v>
      </c>
      <c r="BH360" s="90" t="str">
        <f t="shared" si="187"/>
        <v/>
      </c>
      <c r="BK360" s="94">
        <f>BK359</f>
        <v>0</v>
      </c>
      <c r="BL360" s="94">
        <f>BL359</f>
        <v>0.245</v>
      </c>
      <c r="BM360" s="90" t="str">
        <f t="shared" si="188"/>
        <v/>
      </c>
      <c r="BP360" s="94">
        <f>BP359</f>
        <v>0</v>
      </c>
      <c r="BQ360" s="94">
        <f>BQ359</f>
        <v>0.22500000000000001</v>
      </c>
      <c r="BR360" s="90" t="str">
        <f t="shared" si="189"/>
        <v/>
      </c>
      <c r="BU360" s="94">
        <f>BU359</f>
        <v>0</v>
      </c>
      <c r="BV360" s="94">
        <f>BV359</f>
        <v>0.17499999999999999</v>
      </c>
      <c r="BW360" s="90" t="str">
        <f t="shared" si="190"/>
        <v/>
      </c>
      <c r="BZ360" s="94">
        <f>BZ359</f>
        <v>0</v>
      </c>
      <c r="CA360" s="94">
        <f>CA359</f>
        <v>0.15</v>
      </c>
      <c r="CB360" s="90" t="str">
        <f t="shared" si="191"/>
        <v/>
      </c>
      <c r="CE360" s="95"/>
      <c r="CF360" s="96"/>
      <c r="CG360" s="97"/>
      <c r="CH360" s="97"/>
      <c r="CI360" s="98"/>
      <c r="CK360" s="99">
        <f>IFERROR(IF(F360='[1]Paramètres Généraux'!$K$12,ROUNDUP((REGENERANTS!H360*REGENERANTS!$CF$329)*'[1]Paramètres Généraux'!$M$12,-1),IF(F360='[1]Paramètres Généraux'!$K$15,ROUNDUP((REGENERANTS!H360*REGENERANTS!$CF$329)*'[1]Paramètres Généraux'!$M$15,-1),REGENERANTS!H360*REGENERANTS!$CF$329)),"nd")</f>
        <v>0</v>
      </c>
      <c r="CN360" s="146"/>
      <c r="CO360" s="147"/>
      <c r="CP360" s="147"/>
      <c r="CQ360" s="147"/>
      <c r="CR360" s="147"/>
      <c r="CS360" s="173"/>
      <c r="CT360" s="174"/>
      <c r="CU360" s="147"/>
      <c r="CV360" s="173"/>
      <c r="CW360" s="150"/>
      <c r="CX360" s="149"/>
      <c r="CY360" s="150"/>
      <c r="CZ360" s="136"/>
      <c r="DA360" s="149"/>
      <c r="DB360" s="150"/>
      <c r="DC360" s="136"/>
      <c r="DD360" s="149"/>
      <c r="DE360" s="150"/>
      <c r="DF360" s="136"/>
      <c r="DG360" s="136"/>
      <c r="DH360" s="136"/>
      <c r="DI360" s="136"/>
      <c r="DJ360" s="136"/>
      <c r="DK360" s="136"/>
      <c r="DL360" s="136"/>
      <c r="DM360" s="136"/>
      <c r="DN360" s="136"/>
      <c r="DO360" s="149"/>
      <c r="DP360" s="150"/>
      <c r="DQ360" s="20">
        <f t="shared" si="176"/>
        <v>0</v>
      </c>
      <c r="DR360" s="20">
        <f t="shared" si="177"/>
        <v>0</v>
      </c>
      <c r="DS360" s="20">
        <f>IFERROR((IF(AND($F360="Produit Vente",CO360&gt;0),VLOOKUP($C360,'[1]Paramètres Articles'!$B:$H,7,FALSE)*$CO360)*(1-20%)),0)</f>
        <v>0</v>
      </c>
      <c r="DT360" s="20">
        <f>IFERROR((IF(AND($F360="Produit Vente",DR360&gt;0),VLOOKUP($C360,'[1]Paramètres Articles'!$B:$H,6,FALSE)*$DR360)*(1-15%)),0)</f>
        <v>0</v>
      </c>
      <c r="DU360" s="20">
        <f t="shared" si="178"/>
        <v>0</v>
      </c>
    </row>
    <row r="361" spans="2:125" ht="12.95" customHeight="1" outlineLevel="1">
      <c r="B361" s="1">
        <f>IF(C361="",0,COUNTIFS($B$22:B360,"&gt;"&amp;0)+1)</f>
        <v>0</v>
      </c>
      <c r="C361" s="85"/>
      <c r="D361" s="86" t="str">
        <f>IFERROR(IF($C361="","",VLOOKUP($C361,'[1]Paramètres Articles'!$B:$G,2,FALSE)),"Non Trouvé")</f>
        <v/>
      </c>
      <c r="E361" s="87" t="str">
        <f>IFERROR(IF($C361="","",_xlfn.XLOOKUP(REGENERANTS!$C361,'[1]New Base PA'!$F:$F,'[1]New Base PA'!$D:$D,"Not Found",0)),"Non Trouvé")</f>
        <v/>
      </c>
      <c r="F361" s="88"/>
      <c r="H361" s="101"/>
      <c r="J361" s="90" t="str">
        <f>IFERROR(IF($C361="","",VLOOKUP($C361,'[1]New Base PA'!$F:$J,5,FALSE)),"Non Trouvé")</f>
        <v/>
      </c>
      <c r="K361" s="131" t="str">
        <f t="shared" si="172"/>
        <v/>
      </c>
      <c r="L361" s="132"/>
      <c r="M361" s="131">
        <f>IFERROR(IF(AND($F361="Produit Vente",H361&gt;0),VLOOKUP($C361,'[1]Paramètres Articles'!$B:$G,6,FALSE),0),"Non Trouvé")</f>
        <v>0</v>
      </c>
      <c r="N361" s="131" t="str">
        <f t="shared" si="173"/>
        <v/>
      </c>
      <c r="P361" s="92"/>
      <c r="R361" s="90" t="str">
        <f t="shared" si="174"/>
        <v/>
      </c>
      <c r="S361" s="91"/>
      <c r="T361" s="90" t="str">
        <f>IFERROR(IF($C361="","",VLOOKUP($C361,'[1]Paramètres Articles'!$B:$H,7,FALSE)),"Non Trouvé")</f>
        <v/>
      </c>
      <c r="U361" s="93"/>
      <c r="V361" s="90" t="str">
        <f t="shared" si="179"/>
        <v/>
      </c>
      <c r="W361" s="91"/>
      <c r="X361" s="90" t="str">
        <f t="shared" si="180"/>
        <v/>
      </c>
      <c r="Y361" s="91"/>
      <c r="Z361" s="90">
        <f t="shared" si="175"/>
        <v>0</v>
      </c>
      <c r="AB361" s="94">
        <f>AB359</f>
        <v>28</v>
      </c>
      <c r="AC361" s="94">
        <f>AC359</f>
        <v>0.17</v>
      </c>
      <c r="AD361" s="90" t="str">
        <f t="shared" si="181"/>
        <v/>
      </c>
      <c r="AG361" s="94">
        <f>AG359</f>
        <v>7</v>
      </c>
      <c r="AH361" s="94">
        <f>AH359</f>
        <v>0.13</v>
      </c>
      <c r="AI361" s="90" t="str">
        <f t="shared" si="182"/>
        <v/>
      </c>
      <c r="AL361" s="94">
        <f>AL359</f>
        <v>0</v>
      </c>
      <c r="AM361" s="94">
        <f>AM359</f>
        <v>0.08</v>
      </c>
      <c r="AN361" s="90" t="str">
        <f t="shared" si="183"/>
        <v/>
      </c>
      <c r="AQ361" s="94">
        <f>AQ359</f>
        <v>0</v>
      </c>
      <c r="AR361" s="94">
        <f>AR359</f>
        <v>0.05</v>
      </c>
      <c r="AS361" s="90" t="str">
        <f t="shared" si="184"/>
        <v/>
      </c>
      <c r="AV361" s="94">
        <f>AV359</f>
        <v>0</v>
      </c>
      <c r="AW361" s="94">
        <f>AW359</f>
        <v>0.32500000000000001</v>
      </c>
      <c r="AX361" s="90" t="str">
        <f t="shared" si="185"/>
        <v/>
      </c>
      <c r="BA361" s="94">
        <f>BA359</f>
        <v>0</v>
      </c>
      <c r="BB361" s="94">
        <f>BB359</f>
        <v>0.29499999999999998</v>
      </c>
      <c r="BC361" s="90" t="str">
        <f t="shared" si="186"/>
        <v/>
      </c>
      <c r="BF361" s="94">
        <f>BF359</f>
        <v>0</v>
      </c>
      <c r="BG361" s="94">
        <f>BG359</f>
        <v>0.27500000000000002</v>
      </c>
      <c r="BH361" s="90" t="str">
        <f t="shared" si="187"/>
        <v/>
      </c>
      <c r="BK361" s="94">
        <f>BK359</f>
        <v>0</v>
      </c>
      <c r="BL361" s="94">
        <f>BL359</f>
        <v>0.245</v>
      </c>
      <c r="BM361" s="90" t="str">
        <f t="shared" si="188"/>
        <v/>
      </c>
      <c r="BP361" s="94">
        <f>BP359</f>
        <v>0</v>
      </c>
      <c r="BQ361" s="94">
        <f>BQ359</f>
        <v>0.22500000000000001</v>
      </c>
      <c r="BR361" s="90" t="str">
        <f t="shared" si="189"/>
        <v/>
      </c>
      <c r="BU361" s="94">
        <f>BU359</f>
        <v>0</v>
      </c>
      <c r="BV361" s="94">
        <f>BV359</f>
        <v>0.17499999999999999</v>
      </c>
      <c r="BW361" s="90" t="str">
        <f t="shared" si="190"/>
        <v/>
      </c>
      <c r="BZ361" s="94">
        <f>BZ359</f>
        <v>0</v>
      </c>
      <c r="CA361" s="94">
        <f>CA359</f>
        <v>0.15</v>
      </c>
      <c r="CB361" s="90" t="str">
        <f t="shared" si="191"/>
        <v/>
      </c>
      <c r="CE361" s="95"/>
      <c r="CF361" s="96"/>
      <c r="CG361" s="97"/>
      <c r="CH361" s="97"/>
      <c r="CI361" s="98"/>
      <c r="CK361" s="99">
        <f>IFERROR(IF(F361='[1]Paramètres Généraux'!$K$12,ROUNDUP((REGENERANTS!H361*REGENERANTS!$CF$329)*'[1]Paramètres Généraux'!$M$12,-1),IF(F361='[1]Paramètres Généraux'!$K$15,ROUNDUP((REGENERANTS!H361*REGENERANTS!$CF$329)*'[1]Paramètres Généraux'!$M$15,-1),REGENERANTS!H361*REGENERANTS!$CF$329)),"nd")</f>
        <v>0</v>
      </c>
      <c r="CN361" s="146"/>
      <c r="CO361" s="147"/>
      <c r="CP361" s="147"/>
      <c r="CQ361" s="147"/>
      <c r="CR361" s="147"/>
      <c r="CS361" s="173"/>
      <c r="CT361" s="174"/>
      <c r="CU361" s="147"/>
      <c r="CV361" s="173"/>
      <c r="CW361" s="150"/>
      <c r="CX361" s="149"/>
      <c r="CY361" s="150"/>
      <c r="CZ361" s="136"/>
      <c r="DA361" s="149"/>
      <c r="DB361" s="150"/>
      <c r="DC361" s="136"/>
      <c r="DD361" s="149"/>
      <c r="DE361" s="150"/>
      <c r="DF361" s="136"/>
      <c r="DG361" s="136"/>
      <c r="DH361" s="136"/>
      <c r="DI361" s="136"/>
      <c r="DJ361" s="136"/>
      <c r="DK361" s="136"/>
      <c r="DL361" s="136"/>
      <c r="DM361" s="136"/>
      <c r="DN361" s="136"/>
      <c r="DO361" s="149"/>
      <c r="DP361" s="150"/>
      <c r="DQ361" s="20">
        <f t="shared" si="176"/>
        <v>0</v>
      </c>
      <c r="DR361" s="20">
        <f t="shared" si="177"/>
        <v>0</v>
      </c>
      <c r="DS361" s="20">
        <f>IFERROR((IF(AND($F361="Produit Vente",CO361&gt;0),VLOOKUP($C361,'[1]Paramètres Articles'!$B:$H,7,FALSE)*$CO361)*(1-20%)),0)</f>
        <v>0</v>
      </c>
      <c r="DT361" s="20">
        <f>IFERROR((IF(AND($F361="Produit Vente",DR361&gt;0),VLOOKUP($C361,'[1]Paramètres Articles'!$B:$H,6,FALSE)*$DR361)*(1-15%)),0)</f>
        <v>0</v>
      </c>
      <c r="DU361" s="20">
        <f t="shared" si="178"/>
        <v>0</v>
      </c>
    </row>
    <row r="362" spans="2:125" ht="12.95" customHeight="1" outlineLevel="1">
      <c r="B362" s="1">
        <f>IF(C362="",0,COUNTIFS($B$22:B361,"&gt;"&amp;0)+1)</f>
        <v>0</v>
      </c>
      <c r="C362" s="85"/>
      <c r="D362" s="86" t="str">
        <f>IFERROR(IF($C362="","",VLOOKUP($C362,'[1]Paramètres Articles'!$B:$G,2,FALSE)),"Non Trouvé")</f>
        <v/>
      </c>
      <c r="E362" s="87" t="str">
        <f>IFERROR(IF($C362="","",_xlfn.XLOOKUP(REGENERANTS!$C362,'[1]New Base PA'!$F:$F,'[1]New Base PA'!$D:$D,"Not Found",0)),"Non Trouvé")</f>
        <v/>
      </c>
      <c r="F362" s="88"/>
      <c r="H362" s="101"/>
      <c r="J362" s="90" t="str">
        <f>IFERROR(IF($C362="","",VLOOKUP($C362,'[1]New Base PA'!$F:$J,5,FALSE)),"Non Trouvé")</f>
        <v/>
      </c>
      <c r="K362" s="131" t="str">
        <f t="shared" si="172"/>
        <v/>
      </c>
      <c r="L362" s="132"/>
      <c r="M362" s="131">
        <f>IFERROR(IF(AND($F362="Produit Vente",H362&gt;0),VLOOKUP($C362,'[1]Paramètres Articles'!$B:$G,6,FALSE),0),"Non Trouvé")</f>
        <v>0</v>
      </c>
      <c r="N362" s="131" t="str">
        <f t="shared" si="173"/>
        <v/>
      </c>
      <c r="P362" s="92"/>
      <c r="R362" s="90" t="str">
        <f t="shared" si="174"/>
        <v/>
      </c>
      <c r="S362" s="91"/>
      <c r="T362" s="90" t="str">
        <f>IFERROR(IF($C362="","",VLOOKUP($C362,'[1]Paramètres Articles'!$B:$H,7,FALSE)),"Non Trouvé")</f>
        <v/>
      </c>
      <c r="U362" s="93"/>
      <c r="V362" s="90" t="str">
        <f t="shared" si="179"/>
        <v/>
      </c>
      <c r="W362" s="91"/>
      <c r="X362" s="90" t="str">
        <f t="shared" si="180"/>
        <v/>
      </c>
      <c r="Y362" s="91"/>
      <c r="Z362" s="90">
        <f t="shared" si="175"/>
        <v>0</v>
      </c>
      <c r="AB362" s="94">
        <f>AB361</f>
        <v>28</v>
      </c>
      <c r="AC362" s="94">
        <f>AC361</f>
        <v>0.17</v>
      </c>
      <c r="AD362" s="90" t="str">
        <f t="shared" si="181"/>
        <v/>
      </c>
      <c r="AG362" s="94">
        <f>AG361</f>
        <v>7</v>
      </c>
      <c r="AH362" s="94">
        <f>AH361</f>
        <v>0.13</v>
      </c>
      <c r="AI362" s="90" t="str">
        <f t="shared" si="182"/>
        <v/>
      </c>
      <c r="AL362" s="94">
        <f>AL361</f>
        <v>0</v>
      </c>
      <c r="AM362" s="94">
        <f>AM361</f>
        <v>0.08</v>
      </c>
      <c r="AN362" s="90" t="str">
        <f t="shared" si="183"/>
        <v/>
      </c>
      <c r="AQ362" s="94">
        <f>AQ361</f>
        <v>0</v>
      </c>
      <c r="AR362" s="94">
        <f>AR361</f>
        <v>0.05</v>
      </c>
      <c r="AS362" s="90" t="str">
        <f t="shared" si="184"/>
        <v/>
      </c>
      <c r="AV362" s="94">
        <f>AV361</f>
        <v>0</v>
      </c>
      <c r="AW362" s="94">
        <f>AW361</f>
        <v>0.32500000000000001</v>
      </c>
      <c r="AX362" s="90" t="str">
        <f t="shared" si="185"/>
        <v/>
      </c>
      <c r="BA362" s="94">
        <f>BA361</f>
        <v>0</v>
      </c>
      <c r="BB362" s="94">
        <f>BB361</f>
        <v>0.29499999999999998</v>
      </c>
      <c r="BC362" s="90" t="str">
        <f t="shared" si="186"/>
        <v/>
      </c>
      <c r="BF362" s="94">
        <f>BF361</f>
        <v>0</v>
      </c>
      <c r="BG362" s="94">
        <f>BG361</f>
        <v>0.27500000000000002</v>
      </c>
      <c r="BH362" s="90" t="str">
        <f t="shared" si="187"/>
        <v/>
      </c>
      <c r="BK362" s="94">
        <f>BK361</f>
        <v>0</v>
      </c>
      <c r="BL362" s="94">
        <f>BL361</f>
        <v>0.245</v>
      </c>
      <c r="BM362" s="90" t="str">
        <f t="shared" si="188"/>
        <v/>
      </c>
      <c r="BP362" s="94">
        <f>BP361</f>
        <v>0</v>
      </c>
      <c r="BQ362" s="94">
        <f>BQ361</f>
        <v>0.22500000000000001</v>
      </c>
      <c r="BR362" s="90" t="str">
        <f t="shared" si="189"/>
        <v/>
      </c>
      <c r="BU362" s="94">
        <f>BU361</f>
        <v>0</v>
      </c>
      <c r="BV362" s="94">
        <f>BV361</f>
        <v>0.17499999999999999</v>
      </c>
      <c r="BW362" s="90" t="str">
        <f t="shared" si="190"/>
        <v/>
      </c>
      <c r="BZ362" s="94">
        <f>BZ361</f>
        <v>0</v>
      </c>
      <c r="CA362" s="94">
        <f>CA361</f>
        <v>0.15</v>
      </c>
      <c r="CB362" s="90" t="str">
        <f t="shared" si="191"/>
        <v/>
      </c>
      <c r="CE362" s="95"/>
      <c r="CF362" s="96"/>
      <c r="CG362" s="97"/>
      <c r="CH362" s="97"/>
      <c r="CI362" s="98"/>
      <c r="CK362" s="99">
        <f>IFERROR(IF(F362='[1]Paramètres Généraux'!$K$12,ROUNDUP((REGENERANTS!H362*REGENERANTS!$CF$329)*'[1]Paramètres Généraux'!$M$12,-1),IF(F362='[1]Paramètres Généraux'!$K$15,ROUNDUP((REGENERANTS!H362*REGENERANTS!$CF$329)*'[1]Paramètres Généraux'!$M$15,-1),REGENERANTS!H362*REGENERANTS!$CF$329)),"nd")</f>
        <v>0</v>
      </c>
      <c r="CN362" s="146"/>
      <c r="CO362" s="147"/>
      <c r="CP362" s="147"/>
      <c r="CQ362" s="147"/>
      <c r="CR362" s="147"/>
      <c r="CS362" s="173"/>
      <c r="CT362" s="174"/>
      <c r="CU362" s="147"/>
      <c r="CV362" s="173"/>
      <c r="CW362" s="150"/>
      <c r="CX362" s="149"/>
      <c r="CY362" s="150"/>
      <c r="CZ362" s="136"/>
      <c r="DA362" s="149"/>
      <c r="DB362" s="150"/>
      <c r="DC362" s="136"/>
      <c r="DD362" s="149"/>
      <c r="DE362" s="150"/>
      <c r="DF362" s="136"/>
      <c r="DG362" s="136"/>
      <c r="DH362" s="136"/>
      <c r="DI362" s="136"/>
      <c r="DJ362" s="136"/>
      <c r="DK362" s="136"/>
      <c r="DL362" s="136"/>
      <c r="DM362" s="136"/>
      <c r="DN362" s="136"/>
      <c r="DO362" s="149"/>
      <c r="DP362" s="150"/>
      <c r="DQ362" s="20">
        <f t="shared" si="176"/>
        <v>0</v>
      </c>
      <c r="DR362" s="20">
        <f t="shared" si="177"/>
        <v>0</v>
      </c>
      <c r="DS362" s="20">
        <f>IFERROR((IF(AND($F362="Produit Vente",CO362&gt;0),VLOOKUP($C362,'[1]Paramètres Articles'!$B:$H,7,FALSE)*$CO362)*(1-20%)),0)</f>
        <v>0</v>
      </c>
      <c r="DT362" s="20">
        <f>IFERROR((IF(AND($F362="Produit Vente",DR362&gt;0),VLOOKUP($C362,'[1]Paramètres Articles'!$B:$H,6,FALSE)*$DR362)*(1-15%)),0)</f>
        <v>0</v>
      </c>
      <c r="DU362" s="20">
        <f t="shared" si="178"/>
        <v>0</v>
      </c>
    </row>
    <row r="363" spans="2:125" ht="12.95" customHeight="1" outlineLevel="1">
      <c r="B363" s="1">
        <f>IF(C363="",0,COUNTIFS($B$22:B362,"&gt;"&amp;0)+1)</f>
        <v>0</v>
      </c>
      <c r="C363" s="85"/>
      <c r="D363" s="86" t="str">
        <f>IFERROR(IF($C363="","",VLOOKUP($C363,'[1]Paramètres Articles'!$B:$G,2,FALSE)),"Non Trouvé")</f>
        <v/>
      </c>
      <c r="E363" s="87" t="str">
        <f>IFERROR(IF($C363="","",_xlfn.XLOOKUP(REGENERANTS!$C363,'[1]New Base PA'!$F:$F,'[1]New Base PA'!$D:$D,"Not Found",0)),"Non Trouvé")</f>
        <v/>
      </c>
      <c r="F363" s="88"/>
      <c r="H363" s="101"/>
      <c r="J363" s="90" t="str">
        <f>IFERROR(IF($C363="","",VLOOKUP($C363,'[1]New Base PA'!$F:$J,5,FALSE)),"Non Trouvé")</f>
        <v/>
      </c>
      <c r="K363" s="131" t="str">
        <f t="shared" si="172"/>
        <v/>
      </c>
      <c r="L363" s="132"/>
      <c r="M363" s="131">
        <f>IFERROR(IF(AND($F363="Produit Vente",H363&gt;0),VLOOKUP($C363,'[1]Paramètres Articles'!$B:$G,6,FALSE),0),"Non Trouvé")</f>
        <v>0</v>
      </c>
      <c r="N363" s="131" t="str">
        <f t="shared" si="173"/>
        <v/>
      </c>
      <c r="P363" s="92"/>
      <c r="R363" s="90" t="str">
        <f t="shared" si="174"/>
        <v/>
      </c>
      <c r="S363" s="91"/>
      <c r="T363" s="90" t="str">
        <f>IFERROR(IF($C363="","",VLOOKUP($C363,'[1]Paramètres Articles'!$B:$H,7,FALSE)),"Non Trouvé")</f>
        <v/>
      </c>
      <c r="U363" s="93"/>
      <c r="V363" s="90" t="str">
        <f t="shared" si="179"/>
        <v/>
      </c>
      <c r="W363" s="91"/>
      <c r="X363" s="90" t="str">
        <f t="shared" si="180"/>
        <v/>
      </c>
      <c r="Y363" s="91"/>
      <c r="Z363" s="90">
        <f t="shared" si="175"/>
        <v>0</v>
      </c>
      <c r="AB363" s="94">
        <f>AB361</f>
        <v>28</v>
      </c>
      <c r="AC363" s="94">
        <f>AC361</f>
        <v>0.17</v>
      </c>
      <c r="AD363" s="90" t="str">
        <f t="shared" si="181"/>
        <v/>
      </c>
      <c r="AG363" s="94">
        <f>AG361</f>
        <v>7</v>
      </c>
      <c r="AH363" s="94">
        <f>AH361</f>
        <v>0.13</v>
      </c>
      <c r="AI363" s="90" t="str">
        <f t="shared" si="182"/>
        <v/>
      </c>
      <c r="AL363" s="94">
        <f>AL361</f>
        <v>0</v>
      </c>
      <c r="AM363" s="94">
        <f>AM361</f>
        <v>0.08</v>
      </c>
      <c r="AN363" s="90" t="str">
        <f t="shared" si="183"/>
        <v/>
      </c>
      <c r="AQ363" s="94">
        <f>AQ361</f>
        <v>0</v>
      </c>
      <c r="AR363" s="94">
        <f>AR361</f>
        <v>0.05</v>
      </c>
      <c r="AS363" s="90" t="str">
        <f t="shared" si="184"/>
        <v/>
      </c>
      <c r="AV363" s="94">
        <f>AV361</f>
        <v>0</v>
      </c>
      <c r="AW363" s="94">
        <f>AW361</f>
        <v>0.32500000000000001</v>
      </c>
      <c r="AX363" s="90" t="str">
        <f t="shared" si="185"/>
        <v/>
      </c>
      <c r="BA363" s="94">
        <f>BA361</f>
        <v>0</v>
      </c>
      <c r="BB363" s="94">
        <f>BB361</f>
        <v>0.29499999999999998</v>
      </c>
      <c r="BC363" s="90" t="str">
        <f t="shared" si="186"/>
        <v/>
      </c>
      <c r="BF363" s="94">
        <f>BF361</f>
        <v>0</v>
      </c>
      <c r="BG363" s="94">
        <f>BG361</f>
        <v>0.27500000000000002</v>
      </c>
      <c r="BH363" s="90" t="str">
        <f t="shared" si="187"/>
        <v/>
      </c>
      <c r="BK363" s="94">
        <f>BK361</f>
        <v>0</v>
      </c>
      <c r="BL363" s="94">
        <f>BL361</f>
        <v>0.245</v>
      </c>
      <c r="BM363" s="90" t="str">
        <f t="shared" si="188"/>
        <v/>
      </c>
      <c r="BP363" s="94">
        <f>BP361</f>
        <v>0</v>
      </c>
      <c r="BQ363" s="94">
        <f>BQ361</f>
        <v>0.22500000000000001</v>
      </c>
      <c r="BR363" s="90" t="str">
        <f t="shared" si="189"/>
        <v/>
      </c>
      <c r="BU363" s="94">
        <f>BU361</f>
        <v>0</v>
      </c>
      <c r="BV363" s="94">
        <f>BV361</f>
        <v>0.17499999999999999</v>
      </c>
      <c r="BW363" s="90" t="str">
        <f t="shared" si="190"/>
        <v/>
      </c>
      <c r="BZ363" s="94">
        <f>BZ361</f>
        <v>0</v>
      </c>
      <c r="CA363" s="94">
        <f>CA361</f>
        <v>0.15</v>
      </c>
      <c r="CB363" s="90" t="str">
        <f t="shared" si="191"/>
        <v/>
      </c>
      <c r="CE363" s="95"/>
      <c r="CF363" s="96"/>
      <c r="CG363" s="97"/>
      <c r="CH363" s="97"/>
      <c r="CI363" s="98"/>
      <c r="CK363" s="99">
        <f>IFERROR(IF(F363='[1]Paramètres Généraux'!$K$12,ROUNDUP((REGENERANTS!H363*REGENERANTS!$CF$329)*'[1]Paramètres Généraux'!$M$12,-1),IF(F363='[1]Paramètres Généraux'!$K$15,ROUNDUP((REGENERANTS!H363*REGENERANTS!$CF$329)*'[1]Paramètres Généraux'!$M$15,-1),REGENERANTS!H363*REGENERANTS!$CF$329)),"nd")</f>
        <v>0</v>
      </c>
      <c r="CN363" s="146"/>
      <c r="CO363" s="147"/>
      <c r="CP363" s="147"/>
      <c r="CQ363" s="147"/>
      <c r="CR363" s="147"/>
      <c r="CS363" s="173"/>
      <c r="CT363" s="174"/>
      <c r="CU363" s="147"/>
      <c r="CV363" s="173"/>
      <c r="CW363" s="150"/>
      <c r="CX363" s="149"/>
      <c r="CY363" s="150"/>
      <c r="CZ363" s="136"/>
      <c r="DA363" s="149"/>
      <c r="DB363" s="150"/>
      <c r="DC363" s="136"/>
      <c r="DD363" s="149"/>
      <c r="DE363" s="150"/>
      <c r="DF363" s="136"/>
      <c r="DG363" s="136"/>
      <c r="DH363" s="136"/>
      <c r="DI363" s="136"/>
      <c r="DJ363" s="136"/>
      <c r="DK363" s="136"/>
      <c r="DL363" s="136"/>
      <c r="DM363" s="136"/>
      <c r="DN363" s="136"/>
      <c r="DO363" s="149"/>
      <c r="DP363" s="150"/>
      <c r="DQ363" s="20">
        <f t="shared" si="176"/>
        <v>0</v>
      </c>
      <c r="DR363" s="20">
        <f t="shared" si="177"/>
        <v>0</v>
      </c>
      <c r="DS363" s="20">
        <f>IFERROR((IF(AND($F363="Produit Vente",CO363&gt;0),VLOOKUP($C363,'[1]Paramètres Articles'!$B:$H,7,FALSE)*$CO363)*(1-20%)),0)</f>
        <v>0</v>
      </c>
      <c r="DT363" s="20">
        <f>IFERROR((IF(AND($F363="Produit Vente",DR363&gt;0),VLOOKUP($C363,'[1]Paramètres Articles'!$B:$H,6,FALSE)*$DR363)*(1-15%)),0)</f>
        <v>0</v>
      </c>
      <c r="DU363" s="20">
        <f t="shared" si="178"/>
        <v>0</v>
      </c>
    </row>
    <row r="364" spans="2:125" ht="12.95" customHeight="1" outlineLevel="1">
      <c r="B364" s="1">
        <f>IF(C364="",0,COUNTIFS($B$22:B363,"&gt;"&amp;0)+1)</f>
        <v>0</v>
      </c>
      <c r="C364" s="85"/>
      <c r="D364" s="86" t="str">
        <f>IFERROR(IF($C364="","",VLOOKUP($C364,'[1]Paramètres Articles'!$B:$G,2,FALSE)),"Non Trouvé")</f>
        <v/>
      </c>
      <c r="E364" s="87" t="str">
        <f>IFERROR(IF($C364="","",_xlfn.XLOOKUP(REGENERANTS!$C364,'[1]New Base PA'!$F:$F,'[1]New Base PA'!$D:$D,"Not Found",0)),"Non Trouvé")</f>
        <v/>
      </c>
      <c r="F364" s="88"/>
      <c r="H364" s="101"/>
      <c r="J364" s="90" t="str">
        <f>IFERROR(IF($C364="","",VLOOKUP($C364,'[1]New Base PA'!$F:$J,5,FALSE)),"Non Trouvé")</f>
        <v/>
      </c>
      <c r="K364" s="131" t="str">
        <f t="shared" si="172"/>
        <v/>
      </c>
      <c r="L364" s="132"/>
      <c r="M364" s="131">
        <f>IFERROR(IF(AND($F364="Produit Vente",H364&gt;0),VLOOKUP($C364,'[1]Paramètres Articles'!$B:$G,6,FALSE),0),"Non Trouvé")</f>
        <v>0</v>
      </c>
      <c r="N364" s="131" t="str">
        <f t="shared" si="173"/>
        <v/>
      </c>
      <c r="P364" s="92"/>
      <c r="R364" s="90" t="str">
        <f t="shared" si="174"/>
        <v/>
      </c>
      <c r="S364" s="91"/>
      <c r="T364" s="90" t="str">
        <f>IFERROR(IF($C364="","",VLOOKUP($C364,'[1]Paramètres Articles'!$B:$H,7,FALSE)),"Non Trouvé")</f>
        <v/>
      </c>
      <c r="U364" s="93"/>
      <c r="V364" s="90" t="str">
        <f t="shared" si="179"/>
        <v/>
      </c>
      <c r="W364" s="91"/>
      <c r="X364" s="90" t="str">
        <f t="shared" si="180"/>
        <v/>
      </c>
      <c r="Y364" s="91"/>
      <c r="Z364" s="90">
        <f t="shared" si="175"/>
        <v>0</v>
      </c>
      <c r="AB364" s="94">
        <f>AB363</f>
        <v>28</v>
      </c>
      <c r="AC364" s="94">
        <f>AC363</f>
        <v>0.17</v>
      </c>
      <c r="AD364" s="90" t="str">
        <f t="shared" si="181"/>
        <v/>
      </c>
      <c r="AG364" s="94">
        <f>AG363</f>
        <v>7</v>
      </c>
      <c r="AH364" s="94">
        <f>AH363</f>
        <v>0.13</v>
      </c>
      <c r="AI364" s="90" t="str">
        <f t="shared" si="182"/>
        <v/>
      </c>
      <c r="AL364" s="94">
        <f>AL363</f>
        <v>0</v>
      </c>
      <c r="AM364" s="94">
        <f>AM363</f>
        <v>0.08</v>
      </c>
      <c r="AN364" s="90" t="str">
        <f t="shared" si="183"/>
        <v/>
      </c>
      <c r="AQ364" s="94">
        <f>AQ363</f>
        <v>0</v>
      </c>
      <c r="AR364" s="94">
        <f>AR363</f>
        <v>0.05</v>
      </c>
      <c r="AS364" s="90" t="str">
        <f t="shared" si="184"/>
        <v/>
      </c>
      <c r="AV364" s="94">
        <f>AV363</f>
        <v>0</v>
      </c>
      <c r="AW364" s="94">
        <f>AW363</f>
        <v>0.32500000000000001</v>
      </c>
      <c r="AX364" s="90" t="str">
        <f t="shared" si="185"/>
        <v/>
      </c>
      <c r="BA364" s="94">
        <f>BA363</f>
        <v>0</v>
      </c>
      <c r="BB364" s="94">
        <f>BB363</f>
        <v>0.29499999999999998</v>
      </c>
      <c r="BC364" s="90" t="str">
        <f t="shared" si="186"/>
        <v/>
      </c>
      <c r="BF364" s="94">
        <f>BF363</f>
        <v>0</v>
      </c>
      <c r="BG364" s="94">
        <f>BG363</f>
        <v>0.27500000000000002</v>
      </c>
      <c r="BH364" s="90" t="str">
        <f t="shared" si="187"/>
        <v/>
      </c>
      <c r="BK364" s="94">
        <f>BK363</f>
        <v>0</v>
      </c>
      <c r="BL364" s="94">
        <f>BL363</f>
        <v>0.245</v>
      </c>
      <c r="BM364" s="90" t="str">
        <f t="shared" si="188"/>
        <v/>
      </c>
      <c r="BP364" s="94">
        <f>BP363</f>
        <v>0</v>
      </c>
      <c r="BQ364" s="94">
        <f>BQ363</f>
        <v>0.22500000000000001</v>
      </c>
      <c r="BR364" s="90" t="str">
        <f t="shared" si="189"/>
        <v/>
      </c>
      <c r="BU364" s="94">
        <f>BU363</f>
        <v>0</v>
      </c>
      <c r="BV364" s="94">
        <f>BV363</f>
        <v>0.17499999999999999</v>
      </c>
      <c r="BW364" s="90" t="str">
        <f t="shared" si="190"/>
        <v/>
      </c>
      <c r="BZ364" s="94">
        <f>BZ363</f>
        <v>0</v>
      </c>
      <c r="CA364" s="94">
        <f>CA363</f>
        <v>0.15</v>
      </c>
      <c r="CB364" s="90" t="str">
        <f t="shared" si="191"/>
        <v/>
      </c>
      <c r="CE364" s="95"/>
      <c r="CF364" s="96"/>
      <c r="CG364" s="97"/>
      <c r="CH364" s="97"/>
      <c r="CI364" s="98"/>
      <c r="CK364" s="99">
        <f>IFERROR(IF(F364='[1]Paramètres Généraux'!$K$12,ROUNDUP((REGENERANTS!H364*REGENERANTS!$CF$329)*'[1]Paramètres Généraux'!$M$12,-1),IF(F364='[1]Paramètres Généraux'!$K$15,ROUNDUP((REGENERANTS!H364*REGENERANTS!$CF$329)*'[1]Paramètres Généraux'!$M$15,-1),REGENERANTS!H364*REGENERANTS!$CF$329)),"nd")</f>
        <v>0</v>
      </c>
      <c r="CN364" s="146"/>
      <c r="CO364" s="147"/>
      <c r="CP364" s="147"/>
      <c r="CQ364" s="147"/>
      <c r="CR364" s="147"/>
      <c r="CS364" s="173"/>
      <c r="CT364" s="174"/>
      <c r="CU364" s="147"/>
      <c r="CV364" s="173"/>
      <c r="CW364" s="150"/>
      <c r="CX364" s="149"/>
      <c r="CY364" s="150"/>
      <c r="CZ364" s="136"/>
      <c r="DA364" s="149"/>
      <c r="DB364" s="150"/>
      <c r="DC364" s="136"/>
      <c r="DD364" s="149"/>
      <c r="DE364" s="150"/>
      <c r="DF364" s="136"/>
      <c r="DG364" s="136"/>
      <c r="DH364" s="136"/>
      <c r="DI364" s="136"/>
      <c r="DJ364" s="136"/>
      <c r="DK364" s="136"/>
      <c r="DL364" s="136"/>
      <c r="DM364" s="136"/>
      <c r="DN364" s="136"/>
      <c r="DO364" s="149"/>
      <c r="DP364" s="150"/>
      <c r="DQ364" s="20">
        <f t="shared" si="176"/>
        <v>0</v>
      </c>
      <c r="DR364" s="20">
        <f t="shared" si="177"/>
        <v>0</v>
      </c>
      <c r="DS364" s="20">
        <f>IFERROR((IF(AND($F364="Produit Vente",CO364&gt;0),VLOOKUP($C364,'[1]Paramètres Articles'!$B:$H,7,FALSE)*$CO364)*(1-20%)),0)</f>
        <v>0</v>
      </c>
      <c r="DT364" s="20">
        <f>IFERROR((IF(AND($F364="Produit Vente",DR364&gt;0),VLOOKUP($C364,'[1]Paramètres Articles'!$B:$H,6,FALSE)*$DR364)*(1-15%)),0)</f>
        <v>0</v>
      </c>
      <c r="DU364" s="20">
        <f t="shared" si="178"/>
        <v>0</v>
      </c>
    </row>
    <row r="365" spans="2:125" ht="12.95" customHeight="1" outlineLevel="1">
      <c r="B365" s="1">
        <f>IF(C365="",0,COUNTIFS($B$22:B364,"&gt;"&amp;0)+1)</f>
        <v>0</v>
      </c>
      <c r="C365" s="85"/>
      <c r="D365" s="86" t="str">
        <f>IFERROR(IF($C365="","",VLOOKUP($C365,'[1]Paramètres Articles'!$B:$G,2,FALSE)),"Non Trouvé")</f>
        <v/>
      </c>
      <c r="E365" s="87" t="str">
        <f>IFERROR(IF($C365="","",_xlfn.XLOOKUP(REGENERANTS!$C365,'[1]New Base PA'!$F:$F,'[1]New Base PA'!$D:$D,"Not Found",0)),"Non Trouvé")</f>
        <v/>
      </c>
      <c r="F365" s="88"/>
      <c r="H365" s="101"/>
      <c r="J365" s="90" t="str">
        <f>IFERROR(IF($C365="","",VLOOKUP($C365,'[1]New Base PA'!$F:$J,5,FALSE)),"Non Trouvé")</f>
        <v/>
      </c>
      <c r="K365" s="131" t="str">
        <f t="shared" si="172"/>
        <v/>
      </c>
      <c r="L365" s="132"/>
      <c r="M365" s="131">
        <f>IFERROR(IF(AND($F365="Produit Vente",H365&gt;0),VLOOKUP($C365,'[1]Paramètres Articles'!$B:$G,6,FALSE),0),"Non Trouvé")</f>
        <v>0</v>
      </c>
      <c r="N365" s="131" t="str">
        <f t="shared" si="173"/>
        <v/>
      </c>
      <c r="P365" s="92"/>
      <c r="R365" s="90" t="str">
        <f t="shared" si="174"/>
        <v/>
      </c>
      <c r="S365" s="91"/>
      <c r="T365" s="90" t="str">
        <f>IFERROR(IF($C365="","",VLOOKUP($C365,'[1]Paramètres Articles'!$B:$H,7,FALSE)),"Non Trouvé")</f>
        <v/>
      </c>
      <c r="U365" s="93"/>
      <c r="V365" s="90" t="str">
        <f t="shared" si="179"/>
        <v/>
      </c>
      <c r="W365" s="91"/>
      <c r="X365" s="90" t="str">
        <f t="shared" si="180"/>
        <v/>
      </c>
      <c r="Y365" s="91"/>
      <c r="Z365" s="90">
        <f t="shared" si="175"/>
        <v>0</v>
      </c>
      <c r="AB365" s="94">
        <f>AB363</f>
        <v>28</v>
      </c>
      <c r="AC365" s="94">
        <f>AC363</f>
        <v>0.17</v>
      </c>
      <c r="AD365" s="90" t="str">
        <f t="shared" si="181"/>
        <v/>
      </c>
      <c r="AG365" s="94">
        <f>AG363</f>
        <v>7</v>
      </c>
      <c r="AH365" s="94">
        <f>AH363</f>
        <v>0.13</v>
      </c>
      <c r="AI365" s="90" t="str">
        <f t="shared" si="182"/>
        <v/>
      </c>
      <c r="AL365" s="94">
        <f>AL363</f>
        <v>0</v>
      </c>
      <c r="AM365" s="94">
        <f>AM363</f>
        <v>0.08</v>
      </c>
      <c r="AN365" s="90" t="str">
        <f t="shared" si="183"/>
        <v/>
      </c>
      <c r="AQ365" s="94">
        <f>AQ363</f>
        <v>0</v>
      </c>
      <c r="AR365" s="94">
        <f>AR363</f>
        <v>0.05</v>
      </c>
      <c r="AS365" s="90" t="str">
        <f t="shared" si="184"/>
        <v/>
      </c>
      <c r="AV365" s="94">
        <f>AV363</f>
        <v>0</v>
      </c>
      <c r="AW365" s="94">
        <f>AW363</f>
        <v>0.32500000000000001</v>
      </c>
      <c r="AX365" s="90" t="str">
        <f t="shared" si="185"/>
        <v/>
      </c>
      <c r="BA365" s="94">
        <f>BA363</f>
        <v>0</v>
      </c>
      <c r="BB365" s="94">
        <f>BB363</f>
        <v>0.29499999999999998</v>
      </c>
      <c r="BC365" s="90" t="str">
        <f t="shared" si="186"/>
        <v/>
      </c>
      <c r="BF365" s="94">
        <f>BF363</f>
        <v>0</v>
      </c>
      <c r="BG365" s="94">
        <f>BG363</f>
        <v>0.27500000000000002</v>
      </c>
      <c r="BH365" s="90" t="str">
        <f t="shared" si="187"/>
        <v/>
      </c>
      <c r="BK365" s="94">
        <f>BK363</f>
        <v>0</v>
      </c>
      <c r="BL365" s="94">
        <f>BL363</f>
        <v>0.245</v>
      </c>
      <c r="BM365" s="90" t="str">
        <f t="shared" si="188"/>
        <v/>
      </c>
      <c r="BP365" s="94">
        <f>BP363</f>
        <v>0</v>
      </c>
      <c r="BQ365" s="94">
        <f>BQ363</f>
        <v>0.22500000000000001</v>
      </c>
      <c r="BR365" s="90" t="str">
        <f t="shared" si="189"/>
        <v/>
      </c>
      <c r="BU365" s="94">
        <f>BU363</f>
        <v>0</v>
      </c>
      <c r="BV365" s="94">
        <f>BV363</f>
        <v>0.17499999999999999</v>
      </c>
      <c r="BW365" s="90" t="str">
        <f t="shared" si="190"/>
        <v/>
      </c>
      <c r="BZ365" s="94">
        <f>BZ363</f>
        <v>0</v>
      </c>
      <c r="CA365" s="94">
        <f>CA363</f>
        <v>0.15</v>
      </c>
      <c r="CB365" s="90" t="str">
        <f t="shared" si="191"/>
        <v/>
      </c>
      <c r="CE365" s="95"/>
      <c r="CF365" s="96"/>
      <c r="CG365" s="97"/>
      <c r="CH365" s="97"/>
      <c r="CI365" s="98"/>
      <c r="CK365" s="99">
        <f>IFERROR(IF(F365='[1]Paramètres Généraux'!$K$12,ROUNDUP((REGENERANTS!H365*REGENERANTS!$CF$329)*'[1]Paramètres Généraux'!$M$12,-1),IF(F365='[1]Paramètres Généraux'!$K$15,ROUNDUP((REGENERANTS!H365*REGENERANTS!$CF$329)*'[1]Paramètres Généraux'!$M$15,-1),REGENERANTS!H365*REGENERANTS!$CF$329)),"nd")</f>
        <v>0</v>
      </c>
      <c r="CN365" s="146"/>
      <c r="CO365" s="147"/>
      <c r="CP365" s="147"/>
      <c r="CQ365" s="147"/>
      <c r="CR365" s="147"/>
      <c r="CS365" s="173"/>
      <c r="CT365" s="174"/>
      <c r="CU365" s="147"/>
      <c r="CV365" s="173"/>
      <c r="CW365" s="150"/>
      <c r="CX365" s="149"/>
      <c r="CY365" s="150"/>
      <c r="CZ365" s="136"/>
      <c r="DA365" s="149"/>
      <c r="DB365" s="150"/>
      <c r="DC365" s="136"/>
      <c r="DD365" s="149"/>
      <c r="DE365" s="150"/>
      <c r="DF365" s="136"/>
      <c r="DG365" s="136"/>
      <c r="DH365" s="136"/>
      <c r="DI365" s="136"/>
      <c r="DJ365" s="136"/>
      <c r="DK365" s="136"/>
      <c r="DL365" s="136"/>
      <c r="DM365" s="136"/>
      <c r="DN365" s="136"/>
      <c r="DO365" s="149"/>
      <c r="DP365" s="150"/>
      <c r="DQ365" s="20">
        <f t="shared" si="176"/>
        <v>0</v>
      </c>
      <c r="DR365" s="20">
        <f t="shared" si="177"/>
        <v>0</v>
      </c>
      <c r="DS365" s="20">
        <f>IFERROR((IF(AND($F365="Produit Vente",CO365&gt;0),VLOOKUP($C365,'[1]Paramètres Articles'!$B:$H,7,FALSE)*$CO365)*(1-20%)),0)</f>
        <v>0</v>
      </c>
      <c r="DT365" s="20">
        <f>IFERROR((IF(AND($F365="Produit Vente",DR365&gt;0),VLOOKUP($C365,'[1]Paramètres Articles'!$B:$H,6,FALSE)*$DR365)*(1-15%)),0)</f>
        <v>0</v>
      </c>
      <c r="DU365" s="20">
        <f t="shared" si="178"/>
        <v>0</v>
      </c>
    </row>
    <row r="366" spans="2:125" ht="12.95" customHeight="1" outlineLevel="1">
      <c r="B366" s="1">
        <f>IF(C366="",0,COUNTIFS($B$22:B365,"&gt;"&amp;0)+1)</f>
        <v>0</v>
      </c>
      <c r="C366" s="85"/>
      <c r="D366" s="86" t="str">
        <f>IFERROR(IF($C366="","",VLOOKUP($C366,'[1]Paramètres Articles'!$B:$G,2,FALSE)),"Non Trouvé")</f>
        <v/>
      </c>
      <c r="E366" s="87" t="str">
        <f>IFERROR(IF($C366="","",_xlfn.XLOOKUP(REGENERANTS!$C366,'[1]New Base PA'!$F:$F,'[1]New Base PA'!$D:$D,"Not Found",0)),"Non Trouvé")</f>
        <v/>
      </c>
      <c r="F366" s="88"/>
      <c r="H366" s="101"/>
      <c r="J366" s="90" t="str">
        <f>IFERROR(IF($C366="","",VLOOKUP($C366,'[1]New Base PA'!$F:$J,5,FALSE)),"Non Trouvé")</f>
        <v/>
      </c>
      <c r="K366" s="131" t="str">
        <f t="shared" si="172"/>
        <v/>
      </c>
      <c r="L366" s="132"/>
      <c r="M366" s="131">
        <f>IFERROR(IF(AND($F366="Produit Vente",H366&gt;0),VLOOKUP($C366,'[1]Paramètres Articles'!$B:$G,6,FALSE),0),"Non Trouvé")</f>
        <v>0</v>
      </c>
      <c r="N366" s="131" t="str">
        <f t="shared" si="173"/>
        <v/>
      </c>
      <c r="P366" s="92"/>
      <c r="R366" s="90" t="str">
        <f t="shared" si="174"/>
        <v/>
      </c>
      <c r="S366" s="91"/>
      <c r="T366" s="90" t="str">
        <f>IFERROR(IF($C366="","",VLOOKUP($C366,'[1]Paramètres Articles'!$B:$H,7,FALSE)),"Non Trouvé")</f>
        <v/>
      </c>
      <c r="U366" s="93"/>
      <c r="V366" s="90" t="str">
        <f t="shared" si="179"/>
        <v/>
      </c>
      <c r="W366" s="91"/>
      <c r="X366" s="90" t="str">
        <f t="shared" si="180"/>
        <v/>
      </c>
      <c r="Y366" s="91"/>
      <c r="Z366" s="90">
        <f t="shared" si="175"/>
        <v>0</v>
      </c>
      <c r="AB366" s="94">
        <f>AB365</f>
        <v>28</v>
      </c>
      <c r="AC366" s="94">
        <f>AC365</f>
        <v>0.17</v>
      </c>
      <c r="AD366" s="90" t="str">
        <f t="shared" si="181"/>
        <v/>
      </c>
      <c r="AG366" s="94">
        <f>AG365</f>
        <v>7</v>
      </c>
      <c r="AH366" s="94">
        <f>AH365</f>
        <v>0.13</v>
      </c>
      <c r="AI366" s="90" t="str">
        <f t="shared" si="182"/>
        <v/>
      </c>
      <c r="AL366" s="94">
        <f>AL365</f>
        <v>0</v>
      </c>
      <c r="AM366" s="94">
        <f>AM365</f>
        <v>0.08</v>
      </c>
      <c r="AN366" s="90" t="str">
        <f t="shared" si="183"/>
        <v/>
      </c>
      <c r="AQ366" s="94">
        <f>AQ365</f>
        <v>0</v>
      </c>
      <c r="AR366" s="94">
        <f>AR365</f>
        <v>0.05</v>
      </c>
      <c r="AS366" s="90" t="str">
        <f t="shared" si="184"/>
        <v/>
      </c>
      <c r="AV366" s="94">
        <f>AV365</f>
        <v>0</v>
      </c>
      <c r="AW366" s="94">
        <f>AW365</f>
        <v>0.32500000000000001</v>
      </c>
      <c r="AX366" s="90" t="str">
        <f t="shared" si="185"/>
        <v/>
      </c>
      <c r="BA366" s="94">
        <f>BA365</f>
        <v>0</v>
      </c>
      <c r="BB366" s="94">
        <f>BB365</f>
        <v>0.29499999999999998</v>
      </c>
      <c r="BC366" s="90" t="str">
        <f t="shared" si="186"/>
        <v/>
      </c>
      <c r="BF366" s="94">
        <f>BF365</f>
        <v>0</v>
      </c>
      <c r="BG366" s="94">
        <f>BG365</f>
        <v>0.27500000000000002</v>
      </c>
      <c r="BH366" s="90" t="str">
        <f t="shared" si="187"/>
        <v/>
      </c>
      <c r="BK366" s="94">
        <f>BK365</f>
        <v>0</v>
      </c>
      <c r="BL366" s="94">
        <f>BL365</f>
        <v>0.245</v>
      </c>
      <c r="BM366" s="90" t="str">
        <f t="shared" si="188"/>
        <v/>
      </c>
      <c r="BP366" s="94">
        <f>BP365</f>
        <v>0</v>
      </c>
      <c r="BQ366" s="94">
        <f>BQ365</f>
        <v>0.22500000000000001</v>
      </c>
      <c r="BR366" s="90" t="str">
        <f t="shared" si="189"/>
        <v/>
      </c>
      <c r="BU366" s="94">
        <f>BU365</f>
        <v>0</v>
      </c>
      <c r="BV366" s="94">
        <f>BV365</f>
        <v>0.17499999999999999</v>
      </c>
      <c r="BW366" s="90" t="str">
        <f t="shared" si="190"/>
        <v/>
      </c>
      <c r="BZ366" s="94">
        <f>BZ365</f>
        <v>0</v>
      </c>
      <c r="CA366" s="94">
        <f>CA365</f>
        <v>0.15</v>
      </c>
      <c r="CB366" s="90" t="str">
        <f t="shared" si="191"/>
        <v/>
      </c>
      <c r="CE366" s="95"/>
      <c r="CF366" s="96"/>
      <c r="CG366" s="97"/>
      <c r="CH366" s="97"/>
      <c r="CI366" s="98"/>
      <c r="CK366" s="99">
        <f>IFERROR(IF(F366='[1]Paramètres Généraux'!$K$12,ROUNDUP((REGENERANTS!H366*REGENERANTS!$CF$329)*'[1]Paramètres Généraux'!$M$12,-1),IF(F366='[1]Paramètres Généraux'!$K$15,ROUNDUP((REGENERANTS!H366*REGENERANTS!$CF$329)*'[1]Paramètres Généraux'!$M$15,-1),REGENERANTS!H366*REGENERANTS!$CF$329)),"nd")</f>
        <v>0</v>
      </c>
      <c r="CN366" s="146"/>
      <c r="CO366" s="147"/>
      <c r="CP366" s="147"/>
      <c r="CQ366" s="147"/>
      <c r="CR366" s="147"/>
      <c r="CS366" s="173"/>
      <c r="CT366" s="174"/>
      <c r="CU366" s="147"/>
      <c r="CV366" s="173"/>
      <c r="CW366" s="150"/>
      <c r="CX366" s="149"/>
      <c r="CY366" s="150"/>
      <c r="CZ366" s="136"/>
      <c r="DA366" s="149"/>
      <c r="DB366" s="150"/>
      <c r="DC366" s="136"/>
      <c r="DD366" s="149"/>
      <c r="DE366" s="150"/>
      <c r="DF366" s="136"/>
      <c r="DG366" s="136"/>
      <c r="DH366" s="136"/>
      <c r="DI366" s="136"/>
      <c r="DJ366" s="136"/>
      <c r="DK366" s="136"/>
      <c r="DL366" s="136"/>
      <c r="DM366" s="136"/>
      <c r="DN366" s="136"/>
      <c r="DO366" s="149"/>
      <c r="DP366" s="150"/>
      <c r="DQ366" s="20">
        <f t="shared" si="176"/>
        <v>0</v>
      </c>
      <c r="DR366" s="20">
        <f t="shared" si="177"/>
        <v>0</v>
      </c>
      <c r="DS366" s="20">
        <f>IFERROR((IF(AND($F366="Produit Vente",CO366&gt;0),VLOOKUP($C366,'[1]Paramètres Articles'!$B:$H,7,FALSE)*$CO366)*(1-20%)),0)</f>
        <v>0</v>
      </c>
      <c r="DT366" s="20">
        <f>IFERROR((IF(AND($F366="Produit Vente",DR366&gt;0),VLOOKUP($C366,'[1]Paramètres Articles'!$B:$H,6,FALSE)*$DR366)*(1-15%)),0)</f>
        <v>0</v>
      </c>
      <c r="DU366" s="20">
        <f t="shared" si="178"/>
        <v>0</v>
      </c>
    </row>
    <row r="367" spans="2:125" ht="12.95" customHeight="1" outlineLevel="1">
      <c r="B367" s="1">
        <f>IF(C367="",0,COUNTIFS($B$22:B366,"&gt;"&amp;0)+1)</f>
        <v>0</v>
      </c>
      <c r="C367" s="85"/>
      <c r="D367" s="86" t="str">
        <f>IFERROR(IF($C367="","",VLOOKUP($C367,'[1]Paramètres Articles'!$B:$G,2,FALSE)),"Non Trouvé")</f>
        <v/>
      </c>
      <c r="E367" s="87" t="str">
        <f>IFERROR(IF($C367="","",_xlfn.XLOOKUP(REGENERANTS!$C367,'[1]New Base PA'!$F:$F,'[1]New Base PA'!$D:$D,"Not Found",0)),"Non Trouvé")</f>
        <v/>
      </c>
      <c r="F367" s="88"/>
      <c r="H367" s="101"/>
      <c r="J367" s="90" t="str">
        <f>IFERROR(IF($C367="","",VLOOKUP($C367,'[1]New Base PA'!$F:$J,5,FALSE)),"Non Trouvé")</f>
        <v/>
      </c>
      <c r="K367" s="131" t="str">
        <f t="shared" si="172"/>
        <v/>
      </c>
      <c r="L367" s="132"/>
      <c r="M367" s="131">
        <f>IFERROR(IF(AND($F367="Produit Vente",H367&gt;0),VLOOKUP($C367,'[1]Paramètres Articles'!$B:$G,6,FALSE),0),"Non Trouvé")</f>
        <v>0</v>
      </c>
      <c r="N367" s="131" t="str">
        <f t="shared" si="173"/>
        <v/>
      </c>
      <c r="P367" s="92"/>
      <c r="R367" s="90" t="str">
        <f t="shared" si="174"/>
        <v/>
      </c>
      <c r="S367" s="91"/>
      <c r="T367" s="90" t="str">
        <f>IFERROR(IF($C367="","",VLOOKUP($C367,'[1]Paramètres Articles'!$B:$H,7,FALSE)),"Non Trouvé")</f>
        <v/>
      </c>
      <c r="U367" s="93"/>
      <c r="V367" s="90" t="str">
        <f t="shared" si="179"/>
        <v/>
      </c>
      <c r="W367" s="91"/>
      <c r="X367" s="90" t="str">
        <f t="shared" si="180"/>
        <v/>
      </c>
      <c r="Y367" s="91"/>
      <c r="Z367" s="90">
        <f t="shared" si="175"/>
        <v>0</v>
      </c>
      <c r="AB367" s="94">
        <f>AB365</f>
        <v>28</v>
      </c>
      <c r="AC367" s="94">
        <f>AC365</f>
        <v>0.17</v>
      </c>
      <c r="AD367" s="90" t="str">
        <f t="shared" si="181"/>
        <v/>
      </c>
      <c r="AG367" s="94">
        <f>AG365</f>
        <v>7</v>
      </c>
      <c r="AH367" s="94">
        <f>AH365</f>
        <v>0.13</v>
      </c>
      <c r="AI367" s="90" t="str">
        <f t="shared" si="182"/>
        <v/>
      </c>
      <c r="AL367" s="94">
        <f>AL365</f>
        <v>0</v>
      </c>
      <c r="AM367" s="94">
        <f>AM365</f>
        <v>0.08</v>
      </c>
      <c r="AN367" s="90" t="str">
        <f t="shared" si="183"/>
        <v/>
      </c>
      <c r="AQ367" s="94">
        <f>AQ365</f>
        <v>0</v>
      </c>
      <c r="AR367" s="94">
        <f>AR365</f>
        <v>0.05</v>
      </c>
      <c r="AS367" s="90" t="str">
        <f t="shared" si="184"/>
        <v/>
      </c>
      <c r="AV367" s="94">
        <f>AV365</f>
        <v>0</v>
      </c>
      <c r="AW367" s="94">
        <f>AW365</f>
        <v>0.32500000000000001</v>
      </c>
      <c r="AX367" s="90" t="str">
        <f t="shared" si="185"/>
        <v/>
      </c>
      <c r="BA367" s="94">
        <f>BA365</f>
        <v>0</v>
      </c>
      <c r="BB367" s="94">
        <f>BB365</f>
        <v>0.29499999999999998</v>
      </c>
      <c r="BC367" s="90" t="str">
        <f t="shared" si="186"/>
        <v/>
      </c>
      <c r="BF367" s="94">
        <f>BF365</f>
        <v>0</v>
      </c>
      <c r="BG367" s="94">
        <f>BG365</f>
        <v>0.27500000000000002</v>
      </c>
      <c r="BH367" s="90" t="str">
        <f t="shared" si="187"/>
        <v/>
      </c>
      <c r="BK367" s="94">
        <f>BK365</f>
        <v>0</v>
      </c>
      <c r="BL367" s="94">
        <f>BL365</f>
        <v>0.245</v>
      </c>
      <c r="BM367" s="90" t="str">
        <f t="shared" si="188"/>
        <v/>
      </c>
      <c r="BP367" s="94">
        <f>BP365</f>
        <v>0</v>
      </c>
      <c r="BQ367" s="94">
        <f>BQ365</f>
        <v>0.22500000000000001</v>
      </c>
      <c r="BR367" s="90" t="str">
        <f t="shared" si="189"/>
        <v/>
      </c>
      <c r="BU367" s="94">
        <f>BU365</f>
        <v>0</v>
      </c>
      <c r="BV367" s="94">
        <f>BV365</f>
        <v>0.17499999999999999</v>
      </c>
      <c r="BW367" s="90" t="str">
        <f t="shared" si="190"/>
        <v/>
      </c>
      <c r="BZ367" s="94">
        <f>BZ365</f>
        <v>0</v>
      </c>
      <c r="CA367" s="94">
        <f>CA365</f>
        <v>0.15</v>
      </c>
      <c r="CB367" s="90" t="str">
        <f t="shared" si="191"/>
        <v/>
      </c>
      <c r="CE367" s="95"/>
      <c r="CF367" s="96"/>
      <c r="CG367" s="97"/>
      <c r="CH367" s="97"/>
      <c r="CI367" s="98"/>
      <c r="CK367" s="99">
        <f>IFERROR(IF(F367='[1]Paramètres Généraux'!$K$12,ROUNDUP((REGENERANTS!H367*REGENERANTS!$CF$329)*'[1]Paramètres Généraux'!$M$12,-1),IF(F367='[1]Paramètres Généraux'!$K$15,ROUNDUP((REGENERANTS!H367*REGENERANTS!$CF$329)*'[1]Paramètres Généraux'!$M$15,-1),REGENERANTS!H367*REGENERANTS!$CF$329)),"nd")</f>
        <v>0</v>
      </c>
      <c r="CN367" s="146"/>
      <c r="CO367" s="147"/>
      <c r="CP367" s="147"/>
      <c r="CQ367" s="147"/>
      <c r="CR367" s="147"/>
      <c r="CS367" s="173"/>
      <c r="CT367" s="174"/>
      <c r="CU367" s="147"/>
      <c r="CV367" s="173"/>
      <c r="CW367" s="150"/>
      <c r="CX367" s="149"/>
      <c r="CY367" s="150"/>
      <c r="CZ367" s="136"/>
      <c r="DA367" s="149"/>
      <c r="DB367" s="150"/>
      <c r="DC367" s="136"/>
      <c r="DD367" s="149"/>
      <c r="DE367" s="150"/>
      <c r="DF367" s="136"/>
      <c r="DG367" s="136"/>
      <c r="DH367" s="136"/>
      <c r="DI367" s="136"/>
      <c r="DJ367" s="136"/>
      <c r="DK367" s="136"/>
      <c r="DL367" s="136"/>
      <c r="DM367" s="136"/>
      <c r="DN367" s="136"/>
      <c r="DO367" s="149"/>
      <c r="DP367" s="150"/>
      <c r="DQ367" s="20">
        <f t="shared" si="176"/>
        <v>0</v>
      </c>
      <c r="DR367" s="20">
        <f t="shared" si="177"/>
        <v>0</v>
      </c>
      <c r="DS367" s="20">
        <f>IFERROR((IF(AND($F367="Produit Vente",CO367&gt;0),VLOOKUP($C367,'[1]Paramètres Articles'!$B:$H,7,FALSE)*$CO367)*(1-20%)),0)</f>
        <v>0</v>
      </c>
      <c r="DT367" s="20">
        <f>IFERROR((IF(AND($F367="Produit Vente",DR367&gt;0),VLOOKUP($C367,'[1]Paramètres Articles'!$B:$H,6,FALSE)*$DR367)*(1-15%)),0)</f>
        <v>0</v>
      </c>
      <c r="DU367" s="20">
        <f t="shared" si="178"/>
        <v>0</v>
      </c>
    </row>
    <row r="368" spans="2:125" ht="12.95" customHeight="1" outlineLevel="1">
      <c r="B368" s="1">
        <f>IF(C368="",0,COUNTIFS($B$22:B367,"&gt;"&amp;0)+1)</f>
        <v>0</v>
      </c>
      <c r="C368" s="85"/>
      <c r="D368" s="86" t="str">
        <f>IFERROR(IF($C368="","",VLOOKUP($C368,'[1]Paramètres Articles'!$B:$G,2,FALSE)),"Non Trouvé")</f>
        <v/>
      </c>
      <c r="E368" s="87" t="str">
        <f>IFERROR(IF($C368="","",_xlfn.XLOOKUP(REGENERANTS!$C368,'[1]New Base PA'!$F:$F,'[1]New Base PA'!$D:$D,"Not Found",0)),"Non Trouvé")</f>
        <v/>
      </c>
      <c r="F368" s="88"/>
      <c r="H368" s="101"/>
      <c r="J368" s="90" t="str">
        <f>IFERROR(IF($C368="","",VLOOKUP($C368,'[1]New Base PA'!$F:$J,5,FALSE)),"Non Trouvé")</f>
        <v/>
      </c>
      <c r="K368" s="131" t="str">
        <f t="shared" si="172"/>
        <v/>
      </c>
      <c r="L368" s="132"/>
      <c r="M368" s="131">
        <f>IFERROR(IF(AND($F368="Produit Vente",H368&gt;0),VLOOKUP($C368,'[1]Paramètres Articles'!$B:$G,6,FALSE),0),"Non Trouvé")</f>
        <v>0</v>
      </c>
      <c r="N368" s="131" t="str">
        <f t="shared" si="173"/>
        <v/>
      </c>
      <c r="P368" s="92"/>
      <c r="R368" s="90" t="str">
        <f t="shared" si="174"/>
        <v/>
      </c>
      <c r="S368" s="91"/>
      <c r="T368" s="90" t="str">
        <f>IFERROR(IF($C368="","",VLOOKUP($C368,'[1]Paramètres Articles'!$B:$H,7,FALSE)),"Non Trouvé")</f>
        <v/>
      </c>
      <c r="U368" s="93"/>
      <c r="V368" s="90" t="str">
        <f t="shared" si="179"/>
        <v/>
      </c>
      <c r="W368" s="91"/>
      <c r="X368" s="90" t="str">
        <f t="shared" si="180"/>
        <v/>
      </c>
      <c r="Y368" s="91"/>
      <c r="Z368" s="90">
        <f t="shared" si="175"/>
        <v>0</v>
      </c>
      <c r="AB368" s="94">
        <f>AB367</f>
        <v>28</v>
      </c>
      <c r="AC368" s="94">
        <f>AC367</f>
        <v>0.17</v>
      </c>
      <c r="AD368" s="90" t="str">
        <f t="shared" si="181"/>
        <v/>
      </c>
      <c r="AG368" s="94">
        <f>AG367</f>
        <v>7</v>
      </c>
      <c r="AH368" s="94">
        <f>AH367</f>
        <v>0.13</v>
      </c>
      <c r="AI368" s="90" t="str">
        <f t="shared" si="182"/>
        <v/>
      </c>
      <c r="AL368" s="94">
        <f>AL367</f>
        <v>0</v>
      </c>
      <c r="AM368" s="94">
        <f>AM367</f>
        <v>0.08</v>
      </c>
      <c r="AN368" s="90" t="str">
        <f t="shared" si="183"/>
        <v/>
      </c>
      <c r="AQ368" s="94">
        <f>AQ367</f>
        <v>0</v>
      </c>
      <c r="AR368" s="94">
        <f>AR367</f>
        <v>0.05</v>
      </c>
      <c r="AS368" s="90" t="str">
        <f t="shared" si="184"/>
        <v/>
      </c>
      <c r="AV368" s="94">
        <f>AV367</f>
        <v>0</v>
      </c>
      <c r="AW368" s="94">
        <f>AW367</f>
        <v>0.32500000000000001</v>
      </c>
      <c r="AX368" s="90" t="str">
        <f t="shared" si="185"/>
        <v/>
      </c>
      <c r="BA368" s="94">
        <f>BA367</f>
        <v>0</v>
      </c>
      <c r="BB368" s="94">
        <f>BB367</f>
        <v>0.29499999999999998</v>
      </c>
      <c r="BC368" s="90" t="str">
        <f t="shared" si="186"/>
        <v/>
      </c>
      <c r="BF368" s="94">
        <f>BF367</f>
        <v>0</v>
      </c>
      <c r="BG368" s="94">
        <f>BG367</f>
        <v>0.27500000000000002</v>
      </c>
      <c r="BH368" s="90" t="str">
        <f t="shared" si="187"/>
        <v/>
      </c>
      <c r="BK368" s="94">
        <f>BK367</f>
        <v>0</v>
      </c>
      <c r="BL368" s="94">
        <f>BL367</f>
        <v>0.245</v>
      </c>
      <c r="BM368" s="90" t="str">
        <f t="shared" si="188"/>
        <v/>
      </c>
      <c r="BP368" s="94">
        <f>BP367</f>
        <v>0</v>
      </c>
      <c r="BQ368" s="94">
        <f>BQ367</f>
        <v>0.22500000000000001</v>
      </c>
      <c r="BR368" s="90" t="str">
        <f t="shared" si="189"/>
        <v/>
      </c>
      <c r="BU368" s="94">
        <f>BU367</f>
        <v>0</v>
      </c>
      <c r="BV368" s="94">
        <f>BV367</f>
        <v>0.17499999999999999</v>
      </c>
      <c r="BW368" s="90" t="str">
        <f t="shared" si="190"/>
        <v/>
      </c>
      <c r="BZ368" s="94">
        <f>BZ367</f>
        <v>0</v>
      </c>
      <c r="CA368" s="94">
        <f>CA367</f>
        <v>0.15</v>
      </c>
      <c r="CB368" s="90" t="str">
        <f t="shared" si="191"/>
        <v/>
      </c>
      <c r="CE368" s="95"/>
      <c r="CF368" s="96"/>
      <c r="CG368" s="97"/>
      <c r="CH368" s="97"/>
      <c r="CI368" s="98"/>
      <c r="CK368" s="99">
        <f>IFERROR(IF(F368='[1]Paramètres Généraux'!$K$12,ROUNDUP((REGENERANTS!H368*REGENERANTS!$CF$329)*'[1]Paramètres Généraux'!$M$12,-1),IF(F368='[1]Paramètres Généraux'!$K$15,ROUNDUP((REGENERANTS!H368*REGENERANTS!$CF$329)*'[1]Paramètres Généraux'!$M$15,-1),REGENERANTS!H368*REGENERANTS!$CF$329)),"nd")</f>
        <v>0</v>
      </c>
      <c r="CN368" s="146"/>
      <c r="CO368" s="147"/>
      <c r="CP368" s="147"/>
      <c r="CQ368" s="147"/>
      <c r="CR368" s="147"/>
      <c r="CS368" s="173"/>
      <c r="CT368" s="174"/>
      <c r="CU368" s="147"/>
      <c r="CV368" s="173"/>
      <c r="CW368" s="150"/>
      <c r="CX368" s="149"/>
      <c r="CY368" s="150"/>
      <c r="CZ368" s="136"/>
      <c r="DA368" s="149"/>
      <c r="DB368" s="150"/>
      <c r="DC368" s="136"/>
      <c r="DD368" s="149"/>
      <c r="DE368" s="150"/>
      <c r="DF368" s="136"/>
      <c r="DG368" s="136"/>
      <c r="DH368" s="136"/>
      <c r="DI368" s="136"/>
      <c r="DJ368" s="136"/>
      <c r="DK368" s="136"/>
      <c r="DL368" s="136"/>
      <c r="DM368" s="136"/>
      <c r="DN368" s="136"/>
      <c r="DO368" s="149"/>
      <c r="DP368" s="150"/>
      <c r="DQ368" s="20">
        <f t="shared" si="176"/>
        <v>0</v>
      </c>
      <c r="DR368" s="20">
        <f t="shared" si="177"/>
        <v>0</v>
      </c>
      <c r="DS368" s="20">
        <f>IFERROR((IF(AND($F368="Produit Vente",CO368&gt;0),VLOOKUP($C368,'[1]Paramètres Articles'!$B:$H,7,FALSE)*$CO368)*(1-20%)),0)</f>
        <v>0</v>
      </c>
      <c r="DT368" s="20">
        <f>IFERROR((IF(AND($F368="Produit Vente",DR368&gt;0),VLOOKUP($C368,'[1]Paramètres Articles'!$B:$H,6,FALSE)*$DR368)*(1-15%)),0)</f>
        <v>0</v>
      </c>
      <c r="DU368" s="20">
        <f t="shared" si="178"/>
        <v>0</v>
      </c>
    </row>
    <row r="369" spans="2:125" ht="12.95" customHeight="1" outlineLevel="1">
      <c r="B369" s="1">
        <f>IF(C369="",0,COUNTIFS($B$22:B368,"&gt;"&amp;0)+1)</f>
        <v>0</v>
      </c>
      <c r="C369" s="85"/>
      <c r="D369" s="86" t="str">
        <f>IFERROR(IF($C369="","",VLOOKUP($C369,'[1]Paramètres Articles'!$B:$G,2,FALSE)),"Non Trouvé")</f>
        <v/>
      </c>
      <c r="E369" s="87" t="str">
        <f>IFERROR(IF($C369="","",_xlfn.XLOOKUP(REGENERANTS!$C369,'[1]New Base PA'!$F:$F,'[1]New Base PA'!$D:$D,"Not Found",0)),"Non Trouvé")</f>
        <v/>
      </c>
      <c r="F369" s="88"/>
      <c r="H369" s="101"/>
      <c r="J369" s="90" t="str">
        <f>IFERROR(IF($C369="","",VLOOKUP($C369,'[1]New Base PA'!$F:$J,5,FALSE)),"Non Trouvé")</f>
        <v/>
      </c>
      <c r="K369" s="131" t="str">
        <f t="shared" si="172"/>
        <v/>
      </c>
      <c r="L369" s="132"/>
      <c r="M369" s="131">
        <f>IFERROR(IF(AND($F369="Produit Vente",H369&gt;0),VLOOKUP($C369,'[1]Paramètres Articles'!$B:$G,6,FALSE),0),"Non Trouvé")</f>
        <v>0</v>
      </c>
      <c r="N369" s="131" t="str">
        <f t="shared" si="173"/>
        <v/>
      </c>
      <c r="P369" s="92"/>
      <c r="R369" s="90" t="str">
        <f t="shared" si="174"/>
        <v/>
      </c>
      <c r="S369" s="91"/>
      <c r="T369" s="90" t="str">
        <f>IFERROR(IF($C369="","",VLOOKUP($C369,'[1]Paramètres Articles'!$B:$H,7,FALSE)),"Non Trouvé")</f>
        <v/>
      </c>
      <c r="U369" s="93"/>
      <c r="V369" s="90" t="str">
        <f t="shared" si="179"/>
        <v/>
      </c>
      <c r="W369" s="91"/>
      <c r="X369" s="90" t="str">
        <f t="shared" si="180"/>
        <v/>
      </c>
      <c r="Y369" s="91"/>
      <c r="Z369" s="90">
        <f t="shared" si="175"/>
        <v>0</v>
      </c>
      <c r="AB369" s="94">
        <f>AB367</f>
        <v>28</v>
      </c>
      <c r="AC369" s="94">
        <f>AC367</f>
        <v>0.17</v>
      </c>
      <c r="AD369" s="90" t="str">
        <f t="shared" si="181"/>
        <v/>
      </c>
      <c r="AG369" s="94">
        <f>AG367</f>
        <v>7</v>
      </c>
      <c r="AH369" s="94">
        <f>AH367</f>
        <v>0.13</v>
      </c>
      <c r="AI369" s="90" t="str">
        <f t="shared" si="182"/>
        <v/>
      </c>
      <c r="AL369" s="94">
        <f>AL367</f>
        <v>0</v>
      </c>
      <c r="AM369" s="94">
        <f>AM367</f>
        <v>0.08</v>
      </c>
      <c r="AN369" s="90" t="str">
        <f t="shared" si="183"/>
        <v/>
      </c>
      <c r="AQ369" s="94">
        <f>AQ367</f>
        <v>0</v>
      </c>
      <c r="AR369" s="94">
        <f>AR367</f>
        <v>0.05</v>
      </c>
      <c r="AS369" s="90" t="str">
        <f t="shared" si="184"/>
        <v/>
      </c>
      <c r="AV369" s="94">
        <f>AV367</f>
        <v>0</v>
      </c>
      <c r="AW369" s="94">
        <f>AW367</f>
        <v>0.32500000000000001</v>
      </c>
      <c r="AX369" s="90" t="str">
        <f t="shared" si="185"/>
        <v/>
      </c>
      <c r="BA369" s="94">
        <f>BA367</f>
        <v>0</v>
      </c>
      <c r="BB369" s="94">
        <f>BB367</f>
        <v>0.29499999999999998</v>
      </c>
      <c r="BC369" s="90" t="str">
        <f t="shared" si="186"/>
        <v/>
      </c>
      <c r="BF369" s="94">
        <f>BF367</f>
        <v>0</v>
      </c>
      <c r="BG369" s="94">
        <f>BG367</f>
        <v>0.27500000000000002</v>
      </c>
      <c r="BH369" s="90" t="str">
        <f t="shared" si="187"/>
        <v/>
      </c>
      <c r="BK369" s="94">
        <f>BK367</f>
        <v>0</v>
      </c>
      <c r="BL369" s="94">
        <f>BL367</f>
        <v>0.245</v>
      </c>
      <c r="BM369" s="90" t="str">
        <f t="shared" si="188"/>
        <v/>
      </c>
      <c r="BP369" s="94">
        <f>BP367</f>
        <v>0</v>
      </c>
      <c r="BQ369" s="94">
        <f>BQ367</f>
        <v>0.22500000000000001</v>
      </c>
      <c r="BR369" s="90" t="str">
        <f t="shared" si="189"/>
        <v/>
      </c>
      <c r="BU369" s="94">
        <f>BU367</f>
        <v>0</v>
      </c>
      <c r="BV369" s="94">
        <f>BV367</f>
        <v>0.17499999999999999</v>
      </c>
      <c r="BW369" s="90" t="str">
        <f t="shared" si="190"/>
        <v/>
      </c>
      <c r="BZ369" s="94">
        <f>BZ367</f>
        <v>0</v>
      </c>
      <c r="CA369" s="94">
        <f>CA367</f>
        <v>0.15</v>
      </c>
      <c r="CB369" s="90" t="str">
        <f t="shared" si="191"/>
        <v/>
      </c>
      <c r="CE369" s="95"/>
      <c r="CF369" s="96"/>
      <c r="CG369" s="97"/>
      <c r="CH369" s="97"/>
      <c r="CI369" s="98"/>
      <c r="CK369" s="99">
        <f>IFERROR(IF(F369='[1]Paramètres Généraux'!$K$12,ROUNDUP((REGENERANTS!H369*REGENERANTS!$CF$329)*'[1]Paramètres Généraux'!$M$12,-1),IF(F369='[1]Paramètres Généraux'!$K$15,ROUNDUP((REGENERANTS!H369*REGENERANTS!$CF$329)*'[1]Paramètres Généraux'!$M$15,-1),REGENERANTS!H369*REGENERANTS!$CF$329)),"nd")</f>
        <v>0</v>
      </c>
      <c r="CN369" s="146"/>
      <c r="CO369" s="147"/>
      <c r="CP369" s="147"/>
      <c r="CQ369" s="147"/>
      <c r="CR369" s="147"/>
      <c r="CS369" s="173"/>
      <c r="CT369" s="174"/>
      <c r="CU369" s="147"/>
      <c r="CV369" s="173"/>
      <c r="CW369" s="150"/>
      <c r="CX369" s="149"/>
      <c r="CY369" s="150"/>
      <c r="CZ369" s="136"/>
      <c r="DA369" s="149"/>
      <c r="DB369" s="150"/>
      <c r="DC369" s="136"/>
      <c r="DD369" s="149"/>
      <c r="DE369" s="150"/>
      <c r="DF369" s="136"/>
      <c r="DG369" s="136"/>
      <c r="DH369" s="136"/>
      <c r="DI369" s="136"/>
      <c r="DJ369" s="136"/>
      <c r="DK369" s="136"/>
      <c r="DL369" s="136"/>
      <c r="DM369" s="136"/>
      <c r="DN369" s="136"/>
      <c r="DO369" s="149"/>
      <c r="DP369" s="150"/>
      <c r="DQ369" s="20">
        <f t="shared" si="176"/>
        <v>0</v>
      </c>
      <c r="DR369" s="20">
        <f t="shared" si="177"/>
        <v>0</v>
      </c>
      <c r="DS369" s="20">
        <f>IFERROR((IF(AND($F369="Produit Vente",CO369&gt;0),VLOOKUP($C369,'[1]Paramètres Articles'!$B:$H,7,FALSE)*$CO369)*(1-20%)),0)</f>
        <v>0</v>
      </c>
      <c r="DT369" s="20">
        <f>IFERROR((IF(AND($F369="Produit Vente",DR369&gt;0),VLOOKUP($C369,'[1]Paramètres Articles'!$B:$H,6,FALSE)*$DR369)*(1-15%)),0)</f>
        <v>0</v>
      </c>
      <c r="DU369" s="20">
        <f t="shared" si="178"/>
        <v>0</v>
      </c>
    </row>
    <row r="370" spans="2:125" ht="12.95" customHeight="1" outlineLevel="1">
      <c r="B370" s="1">
        <f>IF(C370="",0,COUNTIFS($B$22:B369,"&gt;"&amp;0)+1)</f>
        <v>0</v>
      </c>
      <c r="C370" s="85"/>
      <c r="D370" s="86" t="str">
        <f>IFERROR(IF($C370="","",VLOOKUP($C370,'[1]Paramètres Articles'!$B:$G,2,FALSE)),"Non Trouvé")</f>
        <v/>
      </c>
      <c r="E370" s="87" t="str">
        <f>IFERROR(IF($C370="","",_xlfn.XLOOKUP(REGENERANTS!$C370,'[1]New Base PA'!$F:$F,'[1]New Base PA'!$D:$D,"Not Found",0)),"Non Trouvé")</f>
        <v/>
      </c>
      <c r="F370" s="88"/>
      <c r="H370" s="101"/>
      <c r="J370" s="90" t="str">
        <f>IFERROR(IF($C370="","",VLOOKUP($C370,'[1]New Base PA'!$F:$J,5,FALSE)),"Non Trouvé")</f>
        <v/>
      </c>
      <c r="K370" s="131" t="str">
        <f t="shared" si="172"/>
        <v/>
      </c>
      <c r="L370" s="132"/>
      <c r="M370" s="131">
        <f>IFERROR(IF(AND($F370="Produit Vente",H370&gt;0),VLOOKUP($C370,'[1]Paramètres Articles'!$B:$G,6,FALSE),0),"Non Trouvé")</f>
        <v>0</v>
      </c>
      <c r="N370" s="131" t="str">
        <f t="shared" si="173"/>
        <v/>
      </c>
      <c r="P370" s="92"/>
      <c r="R370" s="90" t="str">
        <f t="shared" si="174"/>
        <v/>
      </c>
      <c r="S370" s="91"/>
      <c r="T370" s="90" t="str">
        <f>IFERROR(IF($C370="","",VLOOKUP($C370,'[1]Paramètres Articles'!$B:$H,7,FALSE)),"Non Trouvé")</f>
        <v/>
      </c>
      <c r="U370" s="93"/>
      <c r="V370" s="90" t="str">
        <f t="shared" si="179"/>
        <v/>
      </c>
      <c r="W370" s="91"/>
      <c r="X370" s="90" t="str">
        <f t="shared" si="180"/>
        <v/>
      </c>
      <c r="Y370" s="91"/>
      <c r="Z370" s="90">
        <f t="shared" si="175"/>
        <v>0</v>
      </c>
      <c r="AB370" s="94">
        <f>AB369</f>
        <v>28</v>
      </c>
      <c r="AC370" s="94">
        <f>AC369</f>
        <v>0.17</v>
      </c>
      <c r="AD370" s="90" t="str">
        <f t="shared" si="181"/>
        <v/>
      </c>
      <c r="AG370" s="94">
        <f>AG369</f>
        <v>7</v>
      </c>
      <c r="AH370" s="94">
        <f>AH369</f>
        <v>0.13</v>
      </c>
      <c r="AI370" s="90" t="str">
        <f t="shared" si="182"/>
        <v/>
      </c>
      <c r="AL370" s="94">
        <f>AL369</f>
        <v>0</v>
      </c>
      <c r="AM370" s="94">
        <f>AM369</f>
        <v>0.08</v>
      </c>
      <c r="AN370" s="90" t="str">
        <f t="shared" si="183"/>
        <v/>
      </c>
      <c r="AQ370" s="94">
        <f>AQ369</f>
        <v>0</v>
      </c>
      <c r="AR370" s="94">
        <f>AR369</f>
        <v>0.05</v>
      </c>
      <c r="AS370" s="90" t="str">
        <f t="shared" si="184"/>
        <v/>
      </c>
      <c r="AV370" s="94">
        <f>AV369</f>
        <v>0</v>
      </c>
      <c r="AW370" s="94">
        <f>AW369</f>
        <v>0.32500000000000001</v>
      </c>
      <c r="AX370" s="90" t="str">
        <f t="shared" si="185"/>
        <v/>
      </c>
      <c r="BA370" s="94">
        <f>BA369</f>
        <v>0</v>
      </c>
      <c r="BB370" s="94">
        <f>BB369</f>
        <v>0.29499999999999998</v>
      </c>
      <c r="BC370" s="90" t="str">
        <f t="shared" si="186"/>
        <v/>
      </c>
      <c r="BF370" s="94">
        <f>BF369</f>
        <v>0</v>
      </c>
      <c r="BG370" s="94">
        <f>BG369</f>
        <v>0.27500000000000002</v>
      </c>
      <c r="BH370" s="90" t="str">
        <f t="shared" si="187"/>
        <v/>
      </c>
      <c r="BK370" s="94">
        <f>BK369</f>
        <v>0</v>
      </c>
      <c r="BL370" s="94">
        <f>BL369</f>
        <v>0.245</v>
      </c>
      <c r="BM370" s="90" t="str">
        <f t="shared" si="188"/>
        <v/>
      </c>
      <c r="BP370" s="94">
        <f>BP369</f>
        <v>0</v>
      </c>
      <c r="BQ370" s="94">
        <f>BQ369</f>
        <v>0.22500000000000001</v>
      </c>
      <c r="BR370" s="90" t="str">
        <f t="shared" si="189"/>
        <v/>
      </c>
      <c r="BU370" s="94">
        <f>BU369</f>
        <v>0</v>
      </c>
      <c r="BV370" s="94">
        <f>BV369</f>
        <v>0.17499999999999999</v>
      </c>
      <c r="BW370" s="90" t="str">
        <f t="shared" si="190"/>
        <v/>
      </c>
      <c r="BZ370" s="94">
        <f>BZ369</f>
        <v>0</v>
      </c>
      <c r="CA370" s="94">
        <f>CA369</f>
        <v>0.15</v>
      </c>
      <c r="CB370" s="90" t="str">
        <f t="shared" si="191"/>
        <v/>
      </c>
      <c r="CE370" s="155"/>
      <c r="CF370" s="178"/>
      <c r="CG370" s="156"/>
      <c r="CH370" s="156"/>
      <c r="CI370" s="157"/>
      <c r="CK370" s="99">
        <f>IFERROR(IF(F370='[1]Paramètres Généraux'!$K$12,ROUNDUP((REGENERANTS!H370*REGENERANTS!$CF$329)*'[1]Paramètres Généraux'!$M$12,-1),IF(F370='[1]Paramètres Généraux'!$K$15,ROUNDUP((REGENERANTS!H370*REGENERANTS!$CF$329)*'[1]Paramètres Généraux'!$M$15,-1),REGENERANTS!H370*REGENERANTS!$CF$329)),"nd")</f>
        <v>0</v>
      </c>
      <c r="CN370" s="146"/>
      <c r="CO370" s="147"/>
      <c r="CP370" s="147"/>
      <c r="CQ370" s="147"/>
      <c r="CR370" s="147"/>
      <c r="CS370" s="173"/>
      <c r="CT370" s="174"/>
      <c r="CU370" s="147"/>
      <c r="CV370" s="173"/>
      <c r="CW370" s="150"/>
      <c r="CX370" s="149"/>
      <c r="CY370" s="150"/>
      <c r="CZ370" s="136"/>
      <c r="DA370" s="149"/>
      <c r="DB370" s="150"/>
      <c r="DC370" s="136"/>
      <c r="DD370" s="149"/>
      <c r="DE370" s="150"/>
      <c r="DF370" s="136"/>
      <c r="DG370" s="136"/>
      <c r="DH370" s="136"/>
      <c r="DI370" s="136"/>
      <c r="DJ370" s="136"/>
      <c r="DK370" s="136"/>
      <c r="DL370" s="136"/>
      <c r="DM370" s="136"/>
      <c r="DN370" s="136"/>
      <c r="DO370" s="149"/>
      <c r="DP370" s="150"/>
      <c r="DQ370" s="20">
        <f t="shared" si="176"/>
        <v>0</v>
      </c>
      <c r="DR370" s="20">
        <f t="shared" si="177"/>
        <v>0</v>
      </c>
      <c r="DS370" s="20">
        <f>IFERROR((IF(AND($F370="Produit Vente",CO370&gt;0),VLOOKUP($C370,'[1]Paramètres Articles'!$B:$H,7,FALSE)*$CO370)*(1-20%)),0)</f>
        <v>0</v>
      </c>
      <c r="DT370" s="20">
        <f>IFERROR((IF(AND($F370="Produit Vente",DR370&gt;0),VLOOKUP($C370,'[1]Paramètres Articles'!$B:$H,6,FALSE)*$DR370)*(1-15%)),0)</f>
        <v>0</v>
      </c>
      <c r="DU370" s="20">
        <f t="shared" si="178"/>
        <v>0</v>
      </c>
    </row>
  </sheetData>
  <sheetProtection algorithmName="SHA-512" hashValue="yAjgSdex6muW/1I9NCtHnH8IQ4wDawhIEgWeytaVFjLtOrlhtIzZJrlXHt6sK5TfTO1Zyd29h+3NYAjCW6/rwA==" saltValue="btlzC9nRnYwLjG5QU8N/dw==" spinCount="100000" sheet="1" objects="1" scenarios="1"/>
  <mergeCells count="8">
    <mergeCell ref="DX36:DZ37"/>
    <mergeCell ref="EA36:EA37"/>
    <mergeCell ref="CN17:CS17"/>
    <mergeCell ref="CT17:CU17"/>
    <mergeCell ref="CY17:DA17"/>
    <mergeCell ref="DB17:DD17"/>
    <mergeCell ref="DE17:DO17"/>
    <mergeCell ref="DX17:DZ17"/>
  </mergeCells>
  <conditionalFormatting sqref="D22:E62">
    <cfRule type="cellIs" dxfId="191" priority="121" operator="equal">
      <formula>"Non trouvé"</formula>
    </cfRule>
  </conditionalFormatting>
  <conditionalFormatting sqref="D77:E98">
    <cfRule type="cellIs" dxfId="190" priority="18" operator="equal">
      <formula>"Non trouvé"</formula>
    </cfRule>
  </conditionalFormatting>
  <conditionalFormatting sqref="D114:E153">
    <cfRule type="cellIs" dxfId="189" priority="102" operator="equal">
      <formula>"Non trouvé"</formula>
    </cfRule>
  </conditionalFormatting>
  <conditionalFormatting sqref="D168:E207">
    <cfRule type="cellIs" dxfId="188" priority="101" operator="equal">
      <formula>"Non trouvé"</formula>
    </cfRule>
  </conditionalFormatting>
  <conditionalFormatting sqref="D223:E262">
    <cfRule type="cellIs" dxfId="187" priority="100" operator="equal">
      <formula>"Non trouvé"</formula>
    </cfRule>
  </conditionalFormatting>
  <conditionalFormatting sqref="D277:E316">
    <cfRule type="cellIs" dxfId="186" priority="99" operator="equal">
      <formula>"Non trouvé"</formula>
    </cfRule>
  </conditionalFormatting>
  <conditionalFormatting sqref="D331:E370">
    <cfRule type="cellIs" dxfId="185" priority="14" operator="equal">
      <formula>"Non trouvé"</formula>
    </cfRule>
  </conditionalFormatting>
  <conditionalFormatting sqref="J22:K62">
    <cfRule type="cellIs" dxfId="184" priority="120" operator="equal">
      <formula>"Non trouvé"</formula>
    </cfRule>
  </conditionalFormatting>
  <conditionalFormatting sqref="J77:K98">
    <cfRule type="cellIs" dxfId="183" priority="117" operator="equal">
      <formula>"Non trouvé"</formula>
    </cfRule>
  </conditionalFormatting>
  <conditionalFormatting sqref="J114:K153">
    <cfRule type="cellIs" dxfId="182" priority="114" operator="equal">
      <formula>"Non trouvé"</formula>
    </cfRule>
  </conditionalFormatting>
  <conditionalFormatting sqref="J168:K207">
    <cfRule type="cellIs" dxfId="181" priority="111" operator="equal">
      <formula>"Non trouvé"</formula>
    </cfRule>
  </conditionalFormatting>
  <conditionalFormatting sqref="J223:K262">
    <cfRule type="cellIs" dxfId="180" priority="108" operator="equal">
      <formula>"Non trouvé"</formula>
    </cfRule>
  </conditionalFormatting>
  <conditionalFormatting sqref="J277:K316">
    <cfRule type="cellIs" dxfId="179" priority="105" operator="equal">
      <formula>"Non trouvé"</formula>
    </cfRule>
  </conditionalFormatting>
  <conditionalFormatting sqref="J331:K370">
    <cfRule type="cellIs" dxfId="178" priority="17" operator="equal">
      <formula>"Non trouvé"</formula>
    </cfRule>
  </conditionalFormatting>
  <conditionalFormatting sqref="N22:N62">
    <cfRule type="cellIs" dxfId="177" priority="119" operator="equal">
      <formula>"Non trouvé"</formula>
    </cfRule>
  </conditionalFormatting>
  <conditionalFormatting sqref="N77:N98">
    <cfRule type="cellIs" dxfId="176" priority="116" operator="equal">
      <formula>"Non trouvé"</formula>
    </cfRule>
  </conditionalFormatting>
  <conditionalFormatting sqref="N114:N153">
    <cfRule type="cellIs" dxfId="175" priority="113" operator="equal">
      <formula>"Non trouvé"</formula>
    </cfRule>
  </conditionalFormatting>
  <conditionalFormatting sqref="N168:N207">
    <cfRule type="cellIs" dxfId="174" priority="110" operator="equal">
      <formula>"Non trouvé"</formula>
    </cfRule>
  </conditionalFormatting>
  <conditionalFormatting sqref="N223:N262">
    <cfRule type="cellIs" dxfId="173" priority="107" operator="equal">
      <formula>"Non trouvé"</formula>
    </cfRule>
  </conditionalFormatting>
  <conditionalFormatting sqref="N277:N316">
    <cfRule type="cellIs" dxfId="172" priority="104" operator="equal">
      <formula>"Non trouvé"</formula>
    </cfRule>
  </conditionalFormatting>
  <conditionalFormatting sqref="N331:N370">
    <cfRule type="cellIs" dxfId="171" priority="16" operator="equal">
      <formula>"Non trouvé"</formula>
    </cfRule>
  </conditionalFormatting>
  <conditionalFormatting sqref="R22:R62">
    <cfRule type="cellIs" dxfId="170" priority="118" operator="equal">
      <formula>"Non trouvé"</formula>
    </cfRule>
  </conditionalFormatting>
  <conditionalFormatting sqref="R77:R98">
    <cfRule type="cellIs" dxfId="169" priority="115" operator="equal">
      <formula>"Non trouvé"</formula>
    </cfRule>
  </conditionalFormatting>
  <conditionalFormatting sqref="R114:R153">
    <cfRule type="cellIs" dxfId="168" priority="112" operator="equal">
      <formula>"Non trouvé"</formula>
    </cfRule>
  </conditionalFormatting>
  <conditionalFormatting sqref="R168:R207">
    <cfRule type="cellIs" dxfId="167" priority="109" operator="equal">
      <formula>"Non trouvé"</formula>
    </cfRule>
  </conditionalFormatting>
  <conditionalFormatting sqref="R223:R262">
    <cfRule type="cellIs" dxfId="166" priority="106" operator="equal">
      <formula>"Non trouvé"</formula>
    </cfRule>
  </conditionalFormatting>
  <conditionalFormatting sqref="R277:R316">
    <cfRule type="cellIs" dxfId="165" priority="103" operator="equal">
      <formula>"Non trouvé"</formula>
    </cfRule>
  </conditionalFormatting>
  <conditionalFormatting sqref="R331:R370">
    <cfRule type="cellIs" dxfId="164" priority="15" operator="equal">
      <formula>"Non trouvé"</formula>
    </cfRule>
  </conditionalFormatting>
  <conditionalFormatting sqref="T22:X62">
    <cfRule type="cellIs" dxfId="163" priority="92" operator="equal">
      <formula>"Non trouvé"</formula>
    </cfRule>
  </conditionalFormatting>
  <conditionalFormatting sqref="T77:X98">
    <cfRule type="cellIs" dxfId="162" priority="91" operator="equal">
      <formula>"Non trouvé"</formula>
    </cfRule>
  </conditionalFormatting>
  <conditionalFormatting sqref="T114:X153">
    <cfRule type="cellIs" dxfId="161" priority="90" operator="equal">
      <formula>"Non trouvé"</formula>
    </cfRule>
  </conditionalFormatting>
  <conditionalFormatting sqref="T168:X207">
    <cfRule type="cellIs" dxfId="160" priority="89" operator="equal">
      <formula>"Non trouvé"</formula>
    </cfRule>
  </conditionalFormatting>
  <conditionalFormatting sqref="T223:X262">
    <cfRule type="cellIs" dxfId="159" priority="88" operator="equal">
      <formula>"Non trouvé"</formula>
    </cfRule>
  </conditionalFormatting>
  <conditionalFormatting sqref="T277:X316">
    <cfRule type="cellIs" dxfId="158" priority="87" operator="equal">
      <formula>"Non trouvé"</formula>
    </cfRule>
  </conditionalFormatting>
  <conditionalFormatting sqref="T331:X370">
    <cfRule type="cellIs" dxfId="157" priority="12" operator="equal">
      <formula>"Non trouvé"</formula>
    </cfRule>
  </conditionalFormatting>
  <conditionalFormatting sqref="Z22:Z62">
    <cfRule type="cellIs" dxfId="156" priority="98" operator="equal">
      <formula>"Non trouvé"</formula>
    </cfRule>
  </conditionalFormatting>
  <conditionalFormatting sqref="Z77:Z98">
    <cfRule type="cellIs" dxfId="155" priority="97" operator="equal">
      <formula>"Non trouvé"</formula>
    </cfRule>
  </conditionalFormatting>
  <conditionalFormatting sqref="Z114:Z153">
    <cfRule type="cellIs" dxfId="154" priority="96" operator="equal">
      <formula>"Non trouvé"</formula>
    </cfRule>
  </conditionalFormatting>
  <conditionalFormatting sqref="Z168:Z207">
    <cfRule type="cellIs" dxfId="153" priority="95" operator="equal">
      <formula>"Non trouvé"</formula>
    </cfRule>
  </conditionalFormatting>
  <conditionalFormatting sqref="Z223:Z262">
    <cfRule type="cellIs" dxfId="152" priority="94" operator="equal">
      <formula>"Non trouvé"</formula>
    </cfRule>
  </conditionalFormatting>
  <conditionalFormatting sqref="Z277:Z316">
    <cfRule type="cellIs" dxfId="151" priority="93" operator="equal">
      <formula>"Non trouvé"</formula>
    </cfRule>
  </conditionalFormatting>
  <conditionalFormatting sqref="Z331:Z370">
    <cfRule type="cellIs" dxfId="150" priority="13" operator="equal">
      <formula>"Non trouvé"</formula>
    </cfRule>
  </conditionalFormatting>
  <conditionalFormatting sqref="AD22:AD62">
    <cfRule type="cellIs" dxfId="149" priority="86" operator="equal">
      <formula>"Non trouvé"</formula>
    </cfRule>
  </conditionalFormatting>
  <conditionalFormatting sqref="AD77:AD98">
    <cfRule type="cellIs" dxfId="148" priority="75" operator="equal">
      <formula>"Non trouvé"</formula>
    </cfRule>
  </conditionalFormatting>
  <conditionalFormatting sqref="AD114:AD153">
    <cfRule type="cellIs" dxfId="147" priority="64" operator="equal">
      <formula>"Non trouvé"</formula>
    </cfRule>
  </conditionalFormatting>
  <conditionalFormatting sqref="AD168:AD207">
    <cfRule type="cellIs" dxfId="146" priority="53" operator="equal">
      <formula>"Non trouvé"</formula>
    </cfRule>
  </conditionalFormatting>
  <conditionalFormatting sqref="AD223:AD262">
    <cfRule type="cellIs" dxfId="145" priority="42" operator="equal">
      <formula>"Non trouvé"</formula>
    </cfRule>
  </conditionalFormatting>
  <conditionalFormatting sqref="AD277:AD316">
    <cfRule type="cellIs" dxfId="144" priority="31" operator="equal">
      <formula>"Non trouvé"</formula>
    </cfRule>
  </conditionalFormatting>
  <conditionalFormatting sqref="AD331:AD370">
    <cfRule type="cellIs" dxfId="143" priority="11" operator="equal">
      <formula>"Non trouvé"</formula>
    </cfRule>
  </conditionalFormatting>
  <conditionalFormatting sqref="AI22:AI62">
    <cfRule type="cellIs" dxfId="142" priority="85" operator="equal">
      <formula>"Non trouvé"</formula>
    </cfRule>
  </conditionalFormatting>
  <conditionalFormatting sqref="AI77:AI98">
    <cfRule type="cellIs" dxfId="141" priority="74" operator="equal">
      <formula>"Non trouvé"</formula>
    </cfRule>
  </conditionalFormatting>
  <conditionalFormatting sqref="AI114:AI153">
    <cfRule type="cellIs" dxfId="140" priority="63" operator="equal">
      <formula>"Non trouvé"</formula>
    </cfRule>
  </conditionalFormatting>
  <conditionalFormatting sqref="AI168:AI207">
    <cfRule type="cellIs" dxfId="139" priority="52" operator="equal">
      <formula>"Non trouvé"</formula>
    </cfRule>
  </conditionalFormatting>
  <conditionalFormatting sqref="AI223:AI262">
    <cfRule type="cellIs" dxfId="138" priority="41" operator="equal">
      <formula>"Non trouvé"</formula>
    </cfRule>
  </conditionalFormatting>
  <conditionalFormatting sqref="AI277:AI316">
    <cfRule type="cellIs" dxfId="137" priority="30" operator="equal">
      <formula>"Non trouvé"</formula>
    </cfRule>
  </conditionalFormatting>
  <conditionalFormatting sqref="AI331:AI370">
    <cfRule type="cellIs" dxfId="136" priority="10" operator="equal">
      <formula>"Non trouvé"</formula>
    </cfRule>
  </conditionalFormatting>
  <conditionalFormatting sqref="AN22:AN62">
    <cfRule type="cellIs" dxfId="135" priority="84" operator="equal">
      <formula>"Non trouvé"</formula>
    </cfRule>
  </conditionalFormatting>
  <conditionalFormatting sqref="AN77:AN98">
    <cfRule type="cellIs" dxfId="134" priority="73" operator="equal">
      <formula>"Non trouvé"</formula>
    </cfRule>
  </conditionalFormatting>
  <conditionalFormatting sqref="AN114:AN153">
    <cfRule type="cellIs" dxfId="133" priority="62" operator="equal">
      <formula>"Non trouvé"</formula>
    </cfRule>
  </conditionalFormatting>
  <conditionalFormatting sqref="AN168:AN207">
    <cfRule type="cellIs" dxfId="132" priority="51" operator="equal">
      <formula>"Non trouvé"</formula>
    </cfRule>
  </conditionalFormatting>
  <conditionalFormatting sqref="AN223:AN262">
    <cfRule type="cellIs" dxfId="131" priority="40" operator="equal">
      <formula>"Non trouvé"</formula>
    </cfRule>
  </conditionalFormatting>
  <conditionalFormatting sqref="AN277:AN316">
    <cfRule type="cellIs" dxfId="130" priority="29" operator="equal">
      <formula>"Non trouvé"</formula>
    </cfRule>
  </conditionalFormatting>
  <conditionalFormatting sqref="AN331:AN370">
    <cfRule type="cellIs" dxfId="129" priority="9" operator="equal">
      <formula>"Non trouvé"</formula>
    </cfRule>
  </conditionalFormatting>
  <conditionalFormatting sqref="AS22:AS62">
    <cfRule type="cellIs" dxfId="128" priority="83" operator="equal">
      <formula>"Non trouvé"</formula>
    </cfRule>
  </conditionalFormatting>
  <conditionalFormatting sqref="AS77:AS98">
    <cfRule type="cellIs" dxfId="127" priority="72" operator="equal">
      <formula>"Non trouvé"</formula>
    </cfRule>
  </conditionalFormatting>
  <conditionalFormatting sqref="AS114:AS153">
    <cfRule type="cellIs" dxfId="126" priority="61" operator="equal">
      <formula>"Non trouvé"</formula>
    </cfRule>
  </conditionalFormatting>
  <conditionalFormatting sqref="AS168:AS207">
    <cfRule type="cellIs" dxfId="125" priority="50" operator="equal">
      <formula>"Non trouvé"</formula>
    </cfRule>
  </conditionalFormatting>
  <conditionalFormatting sqref="AS223:AS262">
    <cfRule type="cellIs" dxfId="124" priority="39" operator="equal">
      <formula>"Non trouvé"</formula>
    </cfRule>
  </conditionalFormatting>
  <conditionalFormatting sqref="AS277:AS316">
    <cfRule type="cellIs" dxfId="123" priority="28" operator="equal">
      <formula>"Non trouvé"</formula>
    </cfRule>
  </conditionalFormatting>
  <conditionalFormatting sqref="AS331:AS370">
    <cfRule type="cellIs" dxfId="122" priority="8" operator="equal">
      <formula>"Non trouvé"</formula>
    </cfRule>
  </conditionalFormatting>
  <conditionalFormatting sqref="AX22:AX62">
    <cfRule type="cellIs" dxfId="121" priority="82" operator="equal">
      <formula>"Non trouvé"</formula>
    </cfRule>
  </conditionalFormatting>
  <conditionalFormatting sqref="AX77:AX98">
    <cfRule type="cellIs" dxfId="120" priority="71" operator="equal">
      <formula>"Non trouvé"</formula>
    </cfRule>
  </conditionalFormatting>
  <conditionalFormatting sqref="AX114:AX153">
    <cfRule type="cellIs" dxfId="119" priority="60" operator="equal">
      <formula>"Non trouvé"</formula>
    </cfRule>
  </conditionalFormatting>
  <conditionalFormatting sqref="AX168:AX207">
    <cfRule type="cellIs" dxfId="118" priority="49" operator="equal">
      <formula>"Non trouvé"</formula>
    </cfRule>
  </conditionalFormatting>
  <conditionalFormatting sqref="AX223:AX262">
    <cfRule type="cellIs" dxfId="117" priority="38" operator="equal">
      <formula>"Non trouvé"</formula>
    </cfRule>
  </conditionalFormatting>
  <conditionalFormatting sqref="AX277:AX316">
    <cfRule type="cellIs" dxfId="116" priority="27" operator="equal">
      <formula>"Non trouvé"</formula>
    </cfRule>
  </conditionalFormatting>
  <conditionalFormatting sqref="AX331:AX370">
    <cfRule type="cellIs" dxfId="115" priority="7" operator="equal">
      <formula>"Non trouvé"</formula>
    </cfRule>
  </conditionalFormatting>
  <conditionalFormatting sqref="BC22:BC62">
    <cfRule type="cellIs" dxfId="114" priority="81" operator="equal">
      <formula>"Non trouvé"</formula>
    </cfRule>
  </conditionalFormatting>
  <conditionalFormatting sqref="BC77:BC98">
    <cfRule type="cellIs" dxfId="113" priority="70" operator="equal">
      <formula>"Non trouvé"</formula>
    </cfRule>
  </conditionalFormatting>
  <conditionalFormatting sqref="BC114:BC153">
    <cfRule type="cellIs" dxfId="112" priority="59" operator="equal">
      <formula>"Non trouvé"</formula>
    </cfRule>
  </conditionalFormatting>
  <conditionalFormatting sqref="BC168:BC207">
    <cfRule type="cellIs" dxfId="111" priority="48" operator="equal">
      <formula>"Non trouvé"</formula>
    </cfRule>
  </conditionalFormatting>
  <conditionalFormatting sqref="BC223:BC262">
    <cfRule type="cellIs" dxfId="110" priority="37" operator="equal">
      <formula>"Non trouvé"</formula>
    </cfRule>
  </conditionalFormatting>
  <conditionalFormatting sqref="BC277:BC316">
    <cfRule type="cellIs" dxfId="109" priority="26" operator="equal">
      <formula>"Non trouvé"</formula>
    </cfRule>
  </conditionalFormatting>
  <conditionalFormatting sqref="BC331:BC370">
    <cfRule type="cellIs" dxfId="108" priority="6" operator="equal">
      <formula>"Non trouvé"</formula>
    </cfRule>
  </conditionalFormatting>
  <conditionalFormatting sqref="BH22:BH62">
    <cfRule type="cellIs" dxfId="107" priority="80" operator="equal">
      <formula>"Non trouvé"</formula>
    </cfRule>
  </conditionalFormatting>
  <conditionalFormatting sqref="BH77:BH98">
    <cfRule type="cellIs" dxfId="106" priority="69" operator="equal">
      <formula>"Non trouvé"</formula>
    </cfRule>
  </conditionalFormatting>
  <conditionalFormatting sqref="BH114:BH153">
    <cfRule type="cellIs" dxfId="105" priority="58" operator="equal">
      <formula>"Non trouvé"</formula>
    </cfRule>
  </conditionalFormatting>
  <conditionalFormatting sqref="BH168:BH207">
    <cfRule type="cellIs" dxfId="104" priority="47" operator="equal">
      <formula>"Non trouvé"</formula>
    </cfRule>
  </conditionalFormatting>
  <conditionalFormatting sqref="BH223:BH262">
    <cfRule type="cellIs" dxfId="103" priority="36" operator="equal">
      <formula>"Non trouvé"</formula>
    </cfRule>
  </conditionalFormatting>
  <conditionalFormatting sqref="BH277:BH316">
    <cfRule type="cellIs" dxfId="102" priority="25" operator="equal">
      <formula>"Non trouvé"</formula>
    </cfRule>
  </conditionalFormatting>
  <conditionalFormatting sqref="BH331:BH370">
    <cfRule type="cellIs" dxfId="101" priority="5" operator="equal">
      <formula>"Non trouvé"</formula>
    </cfRule>
  </conditionalFormatting>
  <conditionalFormatting sqref="BM22:BM62">
    <cfRule type="cellIs" dxfId="100" priority="79" operator="equal">
      <formula>"Non trouvé"</formula>
    </cfRule>
  </conditionalFormatting>
  <conditionalFormatting sqref="BM77:BM98">
    <cfRule type="cellIs" dxfId="99" priority="68" operator="equal">
      <formula>"Non trouvé"</formula>
    </cfRule>
  </conditionalFormatting>
  <conditionalFormatting sqref="BM114:BM153">
    <cfRule type="cellIs" dxfId="98" priority="57" operator="equal">
      <formula>"Non trouvé"</formula>
    </cfRule>
  </conditionalFormatting>
  <conditionalFormatting sqref="BM168:BM207">
    <cfRule type="cellIs" dxfId="97" priority="46" operator="equal">
      <formula>"Non trouvé"</formula>
    </cfRule>
  </conditionalFormatting>
  <conditionalFormatting sqref="BM223:BM262">
    <cfRule type="cellIs" dxfId="96" priority="35" operator="equal">
      <formula>"Non trouvé"</formula>
    </cfRule>
  </conditionalFormatting>
  <conditionalFormatting sqref="BM277:BM316">
    <cfRule type="cellIs" dxfId="95" priority="24" operator="equal">
      <formula>"Non trouvé"</formula>
    </cfRule>
  </conditionalFormatting>
  <conditionalFormatting sqref="BM331:BM370">
    <cfRule type="cellIs" dxfId="94" priority="4" operator="equal">
      <formula>"Non trouvé"</formula>
    </cfRule>
  </conditionalFormatting>
  <conditionalFormatting sqref="BR22:BR62">
    <cfRule type="cellIs" dxfId="93" priority="78" operator="equal">
      <formula>"Non trouvé"</formula>
    </cfRule>
  </conditionalFormatting>
  <conditionalFormatting sqref="BR77:BR98">
    <cfRule type="cellIs" dxfId="92" priority="67" operator="equal">
      <formula>"Non trouvé"</formula>
    </cfRule>
  </conditionalFormatting>
  <conditionalFormatting sqref="BR114:BR153">
    <cfRule type="cellIs" dxfId="91" priority="56" operator="equal">
      <formula>"Non trouvé"</formula>
    </cfRule>
  </conditionalFormatting>
  <conditionalFormatting sqref="BR168:BR207">
    <cfRule type="cellIs" dxfId="90" priority="45" operator="equal">
      <formula>"Non trouvé"</formula>
    </cfRule>
  </conditionalFormatting>
  <conditionalFormatting sqref="BR223:BR262">
    <cfRule type="cellIs" dxfId="89" priority="34" operator="equal">
      <formula>"Non trouvé"</formula>
    </cfRule>
  </conditionalFormatting>
  <conditionalFormatting sqref="BR277:BR316">
    <cfRule type="cellIs" dxfId="88" priority="23" operator="equal">
      <formula>"Non trouvé"</formula>
    </cfRule>
  </conditionalFormatting>
  <conditionalFormatting sqref="BR331:BR370">
    <cfRule type="cellIs" dxfId="87" priority="3" operator="equal">
      <formula>"Non trouvé"</formula>
    </cfRule>
  </conditionalFormatting>
  <conditionalFormatting sqref="BW22:BW62">
    <cfRule type="cellIs" dxfId="86" priority="77" operator="equal">
      <formula>"Non trouvé"</formula>
    </cfRule>
  </conditionalFormatting>
  <conditionalFormatting sqref="BW77:BW98">
    <cfRule type="cellIs" dxfId="85" priority="66" operator="equal">
      <formula>"Non trouvé"</formula>
    </cfRule>
  </conditionalFormatting>
  <conditionalFormatting sqref="BW114:BW153">
    <cfRule type="cellIs" dxfId="84" priority="55" operator="equal">
      <formula>"Non trouvé"</formula>
    </cfRule>
  </conditionalFormatting>
  <conditionalFormatting sqref="BW168:BW207">
    <cfRule type="cellIs" dxfId="83" priority="44" operator="equal">
      <formula>"Non trouvé"</formula>
    </cfRule>
  </conditionalFormatting>
  <conditionalFormatting sqref="BW223:BW262">
    <cfRule type="cellIs" dxfId="82" priority="33" operator="equal">
      <formula>"Non trouvé"</formula>
    </cfRule>
  </conditionalFormatting>
  <conditionalFormatting sqref="BW277:BW316">
    <cfRule type="cellIs" dxfId="81" priority="22" operator="equal">
      <formula>"Non trouvé"</formula>
    </cfRule>
  </conditionalFormatting>
  <conditionalFormatting sqref="BW331:BW370">
    <cfRule type="cellIs" dxfId="80" priority="2" operator="equal">
      <formula>"Non trouvé"</formula>
    </cfRule>
  </conditionalFormatting>
  <conditionalFormatting sqref="CB22:CB62">
    <cfRule type="cellIs" dxfId="79" priority="76" operator="equal">
      <formula>"Non trouvé"</formula>
    </cfRule>
  </conditionalFormatting>
  <conditionalFormatting sqref="CB77:CB98">
    <cfRule type="cellIs" dxfId="78" priority="65" operator="equal">
      <formula>"Non trouvé"</formula>
    </cfRule>
  </conditionalFormatting>
  <conditionalFormatting sqref="CB114:CB153">
    <cfRule type="cellIs" dxfId="77" priority="54" operator="equal">
      <formula>"Non trouvé"</formula>
    </cfRule>
  </conditionalFormatting>
  <conditionalFormatting sqref="CB168:CB207">
    <cfRule type="cellIs" dxfId="76" priority="43" operator="equal">
      <formula>"Non trouvé"</formula>
    </cfRule>
  </conditionalFormatting>
  <conditionalFormatting sqref="CB223:CB262">
    <cfRule type="cellIs" dxfId="75" priority="32" operator="equal">
      <formula>"Non trouvé"</formula>
    </cfRule>
  </conditionalFormatting>
  <conditionalFormatting sqref="CB277:CB316">
    <cfRule type="cellIs" dxfId="74" priority="21" operator="equal">
      <formula>"Non trouvé"</formula>
    </cfRule>
  </conditionalFormatting>
  <conditionalFormatting sqref="CB331:CB370">
    <cfRule type="cellIs" dxfId="73" priority="1" operator="equal">
      <formula>"Non trouvé"</formula>
    </cfRule>
  </conditionalFormatting>
  <conditionalFormatting sqref="CK2">
    <cfRule type="containsText" dxfId="72" priority="19" operator="containsText" text="VRAI">
      <formula>NOT(ISERROR(SEARCH("VRAI",CK2)))</formula>
    </cfRule>
    <cfRule type="containsText" dxfId="71" priority="20" operator="containsText" text="FAUX">
      <formula>NOT(ISERROR(SEARCH("FAUX",CK2)))</formula>
    </cfRule>
  </conditionalFormatting>
  <dataValidations count="1">
    <dataValidation type="list" allowBlank="1" showInputMessage="1" showErrorMessage="1" sqref="P15 P70 P107 P161 P216 P270 P324" xr:uid="{9DAB1846-C5E2-4F01-982F-6BE41C9DAB98}">
      <formula1>"Cascade, Additionnelle"</formula1>
    </dataValidation>
  </dataValidations>
  <hyperlinks>
    <hyperlink ref="C6" location="'Page de Garde'!A1" display="'Page de Garde'!A1" xr:uid="{699A0BD3-02EC-4356-9D81-BEE1315F84C1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36F2-4E88-452B-B3BD-031D8ED020F6}">
  <dimension ref="B3:C25"/>
  <sheetViews>
    <sheetView showGridLines="0" workbookViewId="0">
      <selection activeCell="B34" sqref="B34"/>
    </sheetView>
  </sheetViews>
  <sheetFormatPr defaultRowHeight="15"/>
  <cols>
    <col min="2" max="2" width="134.5703125" bestFit="1" customWidth="1"/>
  </cols>
  <sheetData>
    <row r="3" spans="2:3">
      <c r="B3" s="179" t="s">
        <v>149</v>
      </c>
      <c r="C3" s="179"/>
    </row>
    <row r="4" spans="2:3">
      <c r="B4" s="179" t="s">
        <v>150</v>
      </c>
      <c r="C4" s="179"/>
    </row>
    <row r="5" spans="2:3">
      <c r="B5" s="179" t="s">
        <v>122</v>
      </c>
      <c r="C5" s="179" t="s">
        <v>123</v>
      </c>
    </row>
    <row r="6" spans="2:3">
      <c r="B6" s="179" t="s">
        <v>124</v>
      </c>
      <c r="C6" s="179"/>
    </row>
    <row r="7" spans="2:3">
      <c r="B7" s="179" t="s">
        <v>151</v>
      </c>
      <c r="C7" s="179" t="s">
        <v>123</v>
      </c>
    </row>
    <row r="8" spans="2:3">
      <c r="B8" s="179" t="s">
        <v>140</v>
      </c>
      <c r="C8" s="215">
        <v>0.1</v>
      </c>
    </row>
    <row r="9" spans="2:3">
      <c r="B9" s="179" t="s">
        <v>141</v>
      </c>
      <c r="C9" s="179" t="s">
        <v>123</v>
      </c>
    </row>
    <row r="10" spans="2:3">
      <c r="B10" s="179" t="s">
        <v>153</v>
      </c>
      <c r="C10" s="179" t="s">
        <v>123</v>
      </c>
    </row>
    <row r="11" spans="2:3">
      <c r="B11" s="179" t="s">
        <v>152</v>
      </c>
      <c r="C11" s="179" t="s">
        <v>123</v>
      </c>
    </row>
    <row r="12" spans="2:3">
      <c r="B12" s="179" t="s">
        <v>120</v>
      </c>
      <c r="C12" s="179" t="s">
        <v>125</v>
      </c>
    </row>
    <row r="13" spans="2:3">
      <c r="B13" s="179" t="s">
        <v>143</v>
      </c>
      <c r="C13" s="179"/>
    </row>
    <row r="14" spans="2:3">
      <c r="B14" s="179" t="s">
        <v>163</v>
      </c>
      <c r="C14" s="179"/>
    </row>
    <row r="19" spans="2:2">
      <c r="B19" s="184" t="s">
        <v>162</v>
      </c>
    </row>
    <row r="21" spans="2:2">
      <c r="B21" s="187" t="s">
        <v>139</v>
      </c>
    </row>
    <row r="23" spans="2:2">
      <c r="B23" s="189" t="s">
        <v>126</v>
      </c>
    </row>
    <row r="25" spans="2:2">
      <c r="B25" s="336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D866-7A5C-44FC-8453-9FF83728C271}">
  <sheetPr>
    <tabColor theme="9" tint="0.59999389629810485"/>
  </sheetPr>
  <dimension ref="A1:AI171"/>
  <sheetViews>
    <sheetView showGridLines="0" tabSelected="1" topLeftCell="A61" workbookViewId="0">
      <selection activeCell="C84" sqref="C84"/>
    </sheetView>
  </sheetViews>
  <sheetFormatPr defaultRowHeight="15"/>
  <cols>
    <col min="1" max="1" width="17.140625" customWidth="1"/>
    <col min="2" max="2" width="21.28515625" customWidth="1"/>
    <col min="3" max="3" width="15.140625" customWidth="1"/>
    <col min="4" max="4" width="12.28515625" customWidth="1"/>
    <col min="5" max="5" width="14.140625" customWidth="1"/>
    <col min="6" max="6" width="12.28515625" customWidth="1"/>
    <col min="8" max="8" width="15.140625" customWidth="1"/>
    <col min="12" max="12" width="12.28515625" customWidth="1"/>
  </cols>
  <sheetData>
    <row r="1" spans="1:32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9"/>
    </row>
    <row r="2" spans="1:32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20"/>
    </row>
    <row r="3" spans="1:32">
      <c r="A3" s="22" t="s">
        <v>5</v>
      </c>
      <c r="B3" s="23"/>
      <c r="C3" s="24"/>
      <c r="D3" s="25" t="s">
        <v>6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0"/>
    </row>
    <row r="4" spans="1:32" ht="15.75" thickBot="1">
      <c r="A4" s="64" t="s">
        <v>142</v>
      </c>
      <c r="B4" s="217">
        <v>30</v>
      </c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.75" thickBot="1">
      <c r="A5" s="64" t="s">
        <v>144</v>
      </c>
      <c r="B5" s="217">
        <v>50</v>
      </c>
      <c r="C5" s="2"/>
      <c r="D5" s="1"/>
      <c r="E5" s="1"/>
      <c r="F5" s="1"/>
      <c r="G5" s="1"/>
      <c r="H5" s="1"/>
      <c r="I5" s="1"/>
      <c r="J5" s="1"/>
      <c r="K5" s="1"/>
      <c r="L5" s="1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27"/>
      <c r="AB5" s="228"/>
      <c r="AC5" s="228"/>
      <c r="AD5" s="228"/>
      <c r="AE5" s="229"/>
      <c r="AF5" s="1"/>
    </row>
    <row r="6" spans="1:32" ht="15.75" thickBot="1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289" t="s">
        <v>158</v>
      </c>
      <c r="N6" s="290"/>
      <c r="O6" s="290"/>
      <c r="P6" s="290"/>
      <c r="Q6" s="290"/>
      <c r="R6" s="291"/>
      <c r="S6" s="273" t="s">
        <v>157</v>
      </c>
      <c r="T6" s="204"/>
      <c r="U6" s="203"/>
      <c r="V6" s="203"/>
      <c r="W6" s="203"/>
      <c r="X6" s="203"/>
      <c r="Y6" s="273"/>
      <c r="Z6" s="204"/>
      <c r="AA6" s="274"/>
      <c r="AB6" s="34" t="s">
        <v>137</v>
      </c>
      <c r="AC6" s="34"/>
      <c r="AD6" s="34"/>
      <c r="AE6" s="231"/>
      <c r="AF6" s="1"/>
    </row>
    <row r="7" spans="1:32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200"/>
      <c r="N7" s="202"/>
      <c r="O7" s="200"/>
      <c r="P7" s="202"/>
      <c r="Q7" s="201"/>
      <c r="R7" s="201"/>
      <c r="S7" s="200"/>
      <c r="T7" s="202"/>
      <c r="U7" s="201"/>
      <c r="V7" s="202"/>
      <c r="W7" s="201"/>
      <c r="X7" s="201"/>
      <c r="Y7" s="192"/>
      <c r="Z7" s="193"/>
      <c r="AA7" s="230"/>
      <c r="AB7" s="39"/>
      <c r="AC7" s="39"/>
      <c r="AD7" s="39"/>
      <c r="AE7" s="231"/>
      <c r="AF7" s="1"/>
    </row>
    <row r="8" spans="1:32">
      <c r="A8" s="1"/>
      <c r="B8" s="1"/>
      <c r="C8" s="2"/>
      <c r="D8" s="1"/>
      <c r="E8" s="1"/>
      <c r="F8" s="1"/>
      <c r="G8" s="1"/>
      <c r="H8" s="1"/>
      <c r="J8" s="1"/>
      <c r="K8" s="1"/>
      <c r="L8" s="1"/>
      <c r="M8" s="292" t="s">
        <v>13</v>
      </c>
      <c r="N8" s="293"/>
      <c r="O8" s="292" t="s">
        <v>14</v>
      </c>
      <c r="P8" s="293"/>
      <c r="Q8" s="292" t="s">
        <v>15</v>
      </c>
      <c r="R8" s="293"/>
      <c r="S8" s="294" t="s">
        <v>17</v>
      </c>
      <c r="T8" s="295"/>
      <c r="U8" s="294" t="s">
        <v>18</v>
      </c>
      <c r="V8" s="295"/>
      <c r="W8" s="294" t="s">
        <v>19</v>
      </c>
      <c r="X8" s="295"/>
      <c r="Y8" s="294" t="s">
        <v>20</v>
      </c>
      <c r="Z8" s="295"/>
      <c r="AA8" s="230"/>
      <c r="AB8" s="45" t="s">
        <v>23</v>
      </c>
      <c r="AC8" s="45"/>
      <c r="AD8" s="45"/>
      <c r="AE8" s="231"/>
      <c r="AF8" s="1"/>
    </row>
    <row r="9" spans="1:32" s="267" customFormat="1">
      <c r="A9" s="265"/>
      <c r="B9" s="265"/>
      <c r="C9" s="266"/>
      <c r="D9" s="265"/>
      <c r="E9" s="265"/>
      <c r="F9" s="265"/>
      <c r="G9" s="265"/>
      <c r="H9" s="265"/>
      <c r="J9" s="265"/>
      <c r="K9" s="265"/>
      <c r="L9" s="265"/>
      <c r="M9" s="278" t="s">
        <v>156</v>
      </c>
      <c r="N9" s="279">
        <v>0.5</v>
      </c>
      <c r="O9" s="278" t="s">
        <v>156</v>
      </c>
      <c r="P9" s="279">
        <v>0.1</v>
      </c>
      <c r="Q9" s="278" t="s">
        <v>156</v>
      </c>
      <c r="R9" s="279">
        <v>0.1</v>
      </c>
      <c r="S9" s="278" t="s">
        <v>156</v>
      </c>
      <c r="T9" s="279">
        <v>0.1</v>
      </c>
      <c r="U9" s="280" t="s">
        <v>156</v>
      </c>
      <c r="V9" s="281">
        <v>0.1</v>
      </c>
      <c r="W9" s="278" t="s">
        <v>156</v>
      </c>
      <c r="X9" s="281">
        <v>0.05</v>
      </c>
      <c r="Y9" s="282"/>
      <c r="Z9" s="279">
        <v>0.05</v>
      </c>
      <c r="AA9" s="268"/>
      <c r="AB9" s="269"/>
      <c r="AC9" s="269"/>
      <c r="AD9" s="269"/>
      <c r="AE9" s="270"/>
      <c r="AF9" s="265"/>
    </row>
    <row r="10" spans="1:32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  <c r="M10" s="278" t="s">
        <v>138</v>
      </c>
      <c r="N10" s="283">
        <v>0.17</v>
      </c>
      <c r="O10" s="278" t="s">
        <v>138</v>
      </c>
      <c r="P10" s="283">
        <v>0.13</v>
      </c>
      <c r="Q10" s="278" t="s">
        <v>138</v>
      </c>
      <c r="R10" s="283">
        <v>0.08</v>
      </c>
      <c r="S10" s="278" t="s">
        <v>138</v>
      </c>
      <c r="T10" s="284">
        <v>0.32500000000000001</v>
      </c>
      <c r="U10" s="280" t="s">
        <v>138</v>
      </c>
      <c r="V10" s="285">
        <v>0.3</v>
      </c>
      <c r="W10" s="278" t="s">
        <v>138</v>
      </c>
      <c r="X10" s="285">
        <v>0.28000000000000003</v>
      </c>
      <c r="Y10" s="278" t="s">
        <v>138</v>
      </c>
      <c r="Z10" s="283">
        <v>0.25</v>
      </c>
      <c r="AA10" s="230"/>
      <c r="AB10" s="39"/>
      <c r="AC10" s="39"/>
      <c r="AD10" s="39"/>
      <c r="AE10" s="231"/>
      <c r="AF10" s="1"/>
    </row>
    <row r="11" spans="1:32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278" t="s">
        <v>155</v>
      </c>
      <c r="N11" s="286">
        <f>N9*$B$4</f>
        <v>15</v>
      </c>
      <c r="O11" s="278" t="s">
        <v>155</v>
      </c>
      <c r="P11" s="286">
        <f>P9*$B$4</f>
        <v>3</v>
      </c>
      <c r="Q11" s="278" t="s">
        <v>155</v>
      </c>
      <c r="R11" s="286">
        <f>R9*$B$4</f>
        <v>3</v>
      </c>
      <c r="S11" s="278" t="s">
        <v>155</v>
      </c>
      <c r="T11" s="286">
        <f>T9*$B$4</f>
        <v>3</v>
      </c>
      <c r="U11" s="280" t="s">
        <v>155</v>
      </c>
      <c r="V11" s="286">
        <f>V9*$B$4</f>
        <v>3</v>
      </c>
      <c r="W11" s="278" t="s">
        <v>155</v>
      </c>
      <c r="X11" s="287">
        <f>X9*$B$4</f>
        <v>1.5</v>
      </c>
      <c r="Y11" s="278" t="s">
        <v>155</v>
      </c>
      <c r="Z11" s="286">
        <f>Z9*$B$4</f>
        <v>1.5</v>
      </c>
      <c r="AA11" s="230"/>
      <c r="AB11" s="39"/>
      <c r="AC11" s="39"/>
      <c r="AD11" s="39"/>
      <c r="AE11" s="231"/>
      <c r="AF11" s="1"/>
    </row>
    <row r="12" spans="1:32" ht="93" customHeight="1">
      <c r="A12" s="46"/>
      <c r="B12" s="46"/>
      <c r="C12" s="47"/>
      <c r="D12" s="46"/>
      <c r="E12" s="48" t="s">
        <v>24</v>
      </c>
      <c r="F12" s="48" t="s">
        <v>118</v>
      </c>
      <c r="G12" s="48" t="s">
        <v>119</v>
      </c>
      <c r="H12" s="48" t="s">
        <v>121</v>
      </c>
      <c r="I12" s="48" t="s">
        <v>120</v>
      </c>
      <c r="J12" s="48" t="s">
        <v>129</v>
      </c>
      <c r="K12" s="48" t="s">
        <v>128</v>
      </c>
      <c r="L12" s="48" t="s">
        <v>33</v>
      </c>
      <c r="M12" s="194" t="s">
        <v>1</v>
      </c>
      <c r="N12" s="195" t="s">
        <v>2</v>
      </c>
      <c r="O12" s="194" t="s">
        <v>1</v>
      </c>
      <c r="P12" s="195" t="s">
        <v>2</v>
      </c>
      <c r="Q12" s="194" t="s">
        <v>1</v>
      </c>
      <c r="R12" s="195" t="s">
        <v>2</v>
      </c>
      <c r="S12" s="194" t="s">
        <v>1</v>
      </c>
      <c r="T12" s="195" t="s">
        <v>2</v>
      </c>
      <c r="U12" s="48" t="s">
        <v>1</v>
      </c>
      <c r="V12" s="195" t="s">
        <v>2</v>
      </c>
      <c r="W12" s="48" t="s">
        <v>1</v>
      </c>
      <c r="X12" s="275" t="s">
        <v>2</v>
      </c>
      <c r="Y12" s="194" t="s">
        <v>1</v>
      </c>
      <c r="Z12" s="195" t="s">
        <v>2</v>
      </c>
      <c r="AA12" s="232"/>
      <c r="AB12" s="50" t="s">
        <v>0</v>
      </c>
      <c r="AC12" s="50" t="s">
        <v>1</v>
      </c>
      <c r="AD12" s="50" t="s">
        <v>2</v>
      </c>
      <c r="AE12" s="233"/>
    </row>
    <row r="13" spans="1:32" ht="26.25" thickBot="1">
      <c r="A13" s="319" t="s">
        <v>49</v>
      </c>
      <c r="B13" s="319" t="s">
        <v>50</v>
      </c>
      <c r="C13" s="319" t="s">
        <v>51</v>
      </c>
      <c r="D13" s="319" t="s">
        <v>52</v>
      </c>
      <c r="E13" s="320" t="s">
        <v>53</v>
      </c>
      <c r="F13" s="61" t="s">
        <v>54</v>
      </c>
      <c r="G13" s="61" t="s">
        <v>54</v>
      </c>
      <c r="H13" s="61" t="s">
        <v>54</v>
      </c>
      <c r="I13" s="61" t="s">
        <v>54</v>
      </c>
      <c r="J13" s="61" t="s">
        <v>54</v>
      </c>
      <c r="K13" s="61" t="s">
        <v>54</v>
      </c>
      <c r="L13" s="61" t="s">
        <v>54</v>
      </c>
      <c r="M13" s="196" t="s">
        <v>54</v>
      </c>
      <c r="N13" s="197" t="s">
        <v>54</v>
      </c>
      <c r="O13" s="196" t="s">
        <v>54</v>
      </c>
      <c r="P13" s="197" t="s">
        <v>54</v>
      </c>
      <c r="Q13" s="196" t="s">
        <v>54</v>
      </c>
      <c r="R13" s="197" t="s">
        <v>54</v>
      </c>
      <c r="S13" s="196" t="s">
        <v>54</v>
      </c>
      <c r="T13" s="197" t="s">
        <v>54</v>
      </c>
      <c r="U13" s="61" t="s">
        <v>54</v>
      </c>
      <c r="V13" s="197" t="s">
        <v>54</v>
      </c>
      <c r="W13" s="61" t="s">
        <v>54</v>
      </c>
      <c r="X13" s="61" t="s">
        <v>54</v>
      </c>
      <c r="Y13" s="276" t="s">
        <v>54</v>
      </c>
      <c r="Z13" s="277" t="s">
        <v>54</v>
      </c>
      <c r="AA13" s="230"/>
      <c r="AB13" s="63" t="s">
        <v>53</v>
      </c>
      <c r="AC13" s="63" t="s">
        <v>54</v>
      </c>
      <c r="AD13" s="63" t="s">
        <v>54</v>
      </c>
      <c r="AE13" s="231"/>
    </row>
    <row r="14" spans="1:32">
      <c r="A14" s="1"/>
      <c r="B14" s="1"/>
      <c r="C14" s="2"/>
      <c r="D14" s="1"/>
      <c r="E14" s="1"/>
      <c r="F14" s="1"/>
      <c r="G14" s="1"/>
      <c r="H14" s="1"/>
      <c r="I14" s="1"/>
      <c r="J14" s="1"/>
      <c r="M14" s="192"/>
      <c r="N14" s="193"/>
      <c r="O14" s="192"/>
      <c r="P14" s="193"/>
      <c r="Q14" s="192"/>
      <c r="R14" s="193"/>
      <c r="S14" s="192"/>
      <c r="T14" s="193"/>
      <c r="U14" s="1"/>
      <c r="V14" s="193"/>
      <c r="W14" s="1"/>
      <c r="X14" s="193"/>
      <c r="Y14" s="1"/>
      <c r="Z14" s="1"/>
      <c r="AA14" s="230"/>
      <c r="AB14" s="39"/>
      <c r="AC14" s="39"/>
      <c r="AD14" s="39"/>
      <c r="AE14" s="231"/>
    </row>
    <row r="15" spans="1:32" ht="23.1" customHeight="1">
      <c r="A15" s="65" t="s">
        <v>56</v>
      </c>
      <c r="B15" s="65"/>
      <c r="C15" s="66"/>
      <c r="D15" s="65"/>
      <c r="E15" s="218">
        <f>IFERROR(SUMIFS(E17:E36,D17:D36,"Produit Vente"),"Non trouvé")</f>
        <v>50</v>
      </c>
      <c r="F15" s="68"/>
      <c r="G15" s="68">
        <f>IFERROR(SUM(G17:G36),"Non Trouvé")</f>
        <v>0</v>
      </c>
      <c r="H15" s="68" t="str">
        <f>IFERROR(#REF!/#REF!,"Non Trouvé")</f>
        <v>Non Trouvé</v>
      </c>
      <c r="I15" s="69" t="str">
        <f>IFERROR(-(#REF!-#REF!)/#REF!,"Non Trouvé")</f>
        <v>Non Trouvé</v>
      </c>
      <c r="J15" s="68">
        <f ca="1">IFERROR(SUM(J17:J36),"Non Trouvé")</f>
        <v>863.39614304461031</v>
      </c>
      <c r="K15" s="68">
        <f ca="1">IFERROR(SUM(K17:K36),"Non Trouvé")</f>
        <v>733.88672158791871</v>
      </c>
      <c r="L15" s="68">
        <f ca="1">IFERROR(SUM(L17:L36),"Non Trouvé")</f>
        <v>129.50942145669154</v>
      </c>
      <c r="M15" s="302">
        <f ca="1">SUM(M17:M36)</f>
        <v>0</v>
      </c>
      <c r="N15" s="303">
        <f ca="1">(M15-G15)/M15</f>
        <v>0</v>
      </c>
      <c r="O15" s="302"/>
      <c r="P15" s="303"/>
      <c r="Q15" s="302"/>
      <c r="R15" s="303"/>
      <c r="S15" s="302"/>
      <c r="T15" s="303"/>
      <c r="U15" s="304"/>
      <c r="V15" s="303"/>
      <c r="W15" s="304"/>
      <c r="X15" s="303"/>
      <c r="Y15" s="304"/>
      <c r="Z15" s="305"/>
      <c r="AA15" s="234"/>
      <c r="AB15" s="67">
        <f>B4</f>
        <v>30</v>
      </c>
      <c r="AC15" s="67">
        <f ca="1">Y15+W15+U15+S15+O15+M15+Q15</f>
        <v>0</v>
      </c>
      <c r="AD15" s="74">
        <f ca="1">Z15+X15+V15+T15+P15+N15+R15</f>
        <v>0</v>
      </c>
      <c r="AE15" s="235"/>
    </row>
    <row r="16" spans="1:32">
      <c r="A16" s="1"/>
      <c r="B16" s="1"/>
      <c r="C16" s="2"/>
      <c r="D16" s="1"/>
      <c r="E16" s="1"/>
      <c r="F16" s="1"/>
      <c r="G16" s="1"/>
      <c r="H16" s="1"/>
      <c r="I16" s="1"/>
      <c r="J16" s="1"/>
      <c r="M16" s="192"/>
      <c r="N16" s="193"/>
      <c r="O16" s="192"/>
      <c r="P16" s="193"/>
      <c r="Q16" s="192"/>
      <c r="R16" s="193"/>
      <c r="S16" s="192"/>
      <c r="T16" s="193"/>
      <c r="U16" s="1"/>
      <c r="V16" s="193"/>
      <c r="W16" s="1"/>
      <c r="X16" s="193"/>
      <c r="Y16" s="1"/>
      <c r="Z16" s="1"/>
      <c r="AA16" s="230"/>
      <c r="AB16" s="39"/>
      <c r="AC16" s="39"/>
      <c r="AD16" s="39"/>
      <c r="AE16" s="231"/>
    </row>
    <row r="17" spans="1:31" ht="15.75" thickBot="1">
      <c r="A17" s="180">
        <v>1020202</v>
      </c>
      <c r="B17" s="181" t="str">
        <f ca="1">IFERROR(IF($B17="","",VLOOKUP($B17,'[1]Paramètres Articles'!$B:$G,2,FALSE)),"Non Trouvé")</f>
        <v>Sérum Jour/Nuit - Régénérant - 30 ml</v>
      </c>
      <c r="C17" s="182">
        <f ca="1">IFERROR(IF($B17="","",_xlfn.XLOOKUP(REGENERANTS!$C22,'[1]New Base PA'!$F:$F,'[1]New Base PA'!$D:$D,"Not Found",0)),"Non Trouvé")</f>
        <v>4020829103115</v>
      </c>
      <c r="D17" s="183" t="s">
        <v>90</v>
      </c>
      <c r="E17" s="224">
        <v>7</v>
      </c>
      <c r="F17" s="185"/>
      <c r="G17" s="190">
        <f>E17*F17</f>
        <v>0</v>
      </c>
      <c r="H17" s="185"/>
      <c r="I17" s="216">
        <v>0.15</v>
      </c>
      <c r="J17" s="185">
        <f ca="1">IFERROR(IF($B17="","",VLOOKUP($B17,'[1]Paramètres Articles'!$B:$H,7,FALSE)),"Non Trouvé")</f>
        <v>69.900000000000006</v>
      </c>
      <c r="K17" s="188">
        <f ca="1">J17*(1-I17)</f>
        <v>0</v>
      </c>
      <c r="L17" s="191">
        <f ca="1">IFERROR(J17-K17,"")</f>
        <v>0</v>
      </c>
      <c r="M17" s="296">
        <f>H17*(1-I17)*$N$11*(1-$N$10)</f>
        <v>0</v>
      </c>
      <c r="N17" s="193"/>
      <c r="O17" s="296"/>
      <c r="P17" s="193"/>
      <c r="Q17" s="296"/>
      <c r="R17" s="193"/>
      <c r="S17" s="296"/>
      <c r="T17" s="193"/>
      <c r="U17" s="298"/>
      <c r="V17" s="193"/>
      <c r="W17" s="188"/>
      <c r="X17" s="193"/>
      <c r="Y17" s="191"/>
      <c r="Z17" s="1"/>
      <c r="AA17" s="236"/>
      <c r="AB17" s="96"/>
      <c r="AC17" s="97"/>
      <c r="AD17" s="97"/>
      <c r="AE17" s="237"/>
    </row>
    <row r="18" spans="1:31" ht="15.75" thickBot="1">
      <c r="A18" s="180">
        <v>1020310</v>
      </c>
      <c r="B18" s="181" t="str">
        <f ca="1">IFERROR(IF($B18="","",VLOOKUP($B18,'[1]Paramètres Articles'!$B:$G,2,FALSE)),"Non Trouvé")</f>
        <v>Crème de Jour Eclat du Teint - Régénérant - 40 ml</v>
      </c>
      <c r="C18" s="182">
        <f ca="1">IFERROR(IF($B18="","",_xlfn.XLOOKUP(REGENERANTS!$C23,'[1]New Base PA'!$F:$F,'[1]New Base PA'!$D:$D,"Not Found",0)),"Non Trouvé")</f>
        <v>4020829060999</v>
      </c>
      <c r="D18" s="183" t="s">
        <v>90</v>
      </c>
      <c r="E18" s="224">
        <v>4</v>
      </c>
      <c r="F18" s="185"/>
      <c r="G18" s="190">
        <f t="shared" ref="G18:G36" si="0">E18*F18</f>
        <v>0</v>
      </c>
      <c r="H18" s="185"/>
      <c r="I18" s="216">
        <v>0.15</v>
      </c>
      <c r="J18" s="185">
        <f ca="1">IFERROR(IF($B18="","",VLOOKUP($B18,'[1]Paramètres Articles'!$B:$H,7,FALSE)),"Non Trouvé")</f>
        <v>69.900000000000006</v>
      </c>
      <c r="K18" s="188">
        <f ca="1">J18*(1-I18)</f>
        <v>0</v>
      </c>
      <c r="L18" s="191">
        <f ca="1">IFERROR(J18-K18,"")</f>
        <v>0</v>
      </c>
      <c r="M18" s="296">
        <f>H18*(1-I18)*$N$11*(1-$N$10)</f>
        <v>0</v>
      </c>
      <c r="N18" s="193"/>
      <c r="O18" s="296"/>
      <c r="P18" s="193"/>
      <c r="Q18" s="296"/>
      <c r="R18" s="193"/>
      <c r="S18" s="296"/>
      <c r="T18" s="193"/>
      <c r="U18" s="298"/>
      <c r="V18" s="193"/>
      <c r="W18" s="188"/>
      <c r="X18" s="193"/>
      <c r="Y18" s="191"/>
      <c r="Z18" s="1"/>
      <c r="AA18" s="238"/>
      <c r="AB18" s="225"/>
      <c r="AC18" s="226" t="s">
        <v>91</v>
      </c>
      <c r="AD18" s="116">
        <f ca="1">AC15/AB15</f>
        <v>0</v>
      </c>
      <c r="AE18" s="237"/>
    </row>
    <row r="19" spans="1:31" ht="15.75" thickBot="1">
      <c r="A19" s="180">
        <v>1020401</v>
      </c>
      <c r="B19" s="181" t="str">
        <f ca="1">IFERROR(IF($B19="","",VLOOKUP($B19,'[1]Paramètres Articles'!$B:$G,2,FALSE)),"Non Trouvé")</f>
        <v>Crème Contour des Yeux - Régénérant - 15 ml</v>
      </c>
      <c r="C19" s="182">
        <f ca="1">IFERROR(IF($B19="","",_xlfn.XLOOKUP(REGENERANTS!$C24,'[1]New Base PA'!$F:$F,'[1]New Base PA'!$D:$D,"Not Found",0)),"Non Trouvé")</f>
        <v>4020829013919</v>
      </c>
      <c r="D19" s="183" t="s">
        <v>90</v>
      </c>
      <c r="E19" s="224">
        <v>5</v>
      </c>
      <c r="F19" s="185"/>
      <c r="G19" s="190">
        <f t="shared" si="0"/>
        <v>0</v>
      </c>
      <c r="H19" s="185"/>
      <c r="I19" s="216">
        <v>0.15</v>
      </c>
      <c r="J19" s="185">
        <f ca="1">IFERROR(IF($B19="","",VLOOKUP($B19,'[1]Paramètres Articles'!$B:$H,7,FALSE)),"Non Trouvé")</f>
        <v>67.5</v>
      </c>
      <c r="K19" s="188">
        <f ca="1">J19*(1-I19)</f>
        <v>0</v>
      </c>
      <c r="L19" s="191">
        <f ca="1">IFERROR(J19-K19,"")</f>
        <v>0</v>
      </c>
      <c r="M19" s="296">
        <f>H19*(1-I19)*$N$11*(1-$N$10)</f>
        <v>0</v>
      </c>
      <c r="N19" s="193"/>
      <c r="O19" s="296"/>
      <c r="P19" s="193"/>
      <c r="Q19" s="296"/>
      <c r="R19" s="193"/>
      <c r="S19" s="296"/>
      <c r="T19" s="193"/>
      <c r="U19" s="298"/>
      <c r="V19" s="193"/>
      <c r="W19" s="188"/>
      <c r="X19" s="193"/>
      <c r="Y19" s="191"/>
      <c r="Z19" s="1"/>
      <c r="AA19" s="238"/>
      <c r="AB19" s="225"/>
      <c r="AC19" s="226" t="s">
        <v>92</v>
      </c>
      <c r="AD19" s="118">
        <f ca="1">SUM(AD21:AD24)</f>
        <v>0</v>
      </c>
      <c r="AE19" s="237"/>
    </row>
    <row r="20" spans="1:31">
      <c r="A20" s="180">
        <v>1020302</v>
      </c>
      <c r="B20" s="181" t="str">
        <f ca="1">IFERROR(IF($B20="","",VLOOKUP($B20,'[1]Paramètres Articles'!$B:$G,2,FALSE)),"Non Trouvé")</f>
        <v>Crème Cou et Décolleté - Régénérant - 40 ml</v>
      </c>
      <c r="C20" s="182">
        <f ca="1">IFERROR(IF($B20="","",_xlfn.XLOOKUP(REGENERANTS!$C25,'[1]New Base PA'!$F:$F,'[1]New Base PA'!$D:$D,"Not Found",0)),"Non Trouvé")</f>
        <v>4020829008366</v>
      </c>
      <c r="D20" s="183" t="s">
        <v>90</v>
      </c>
      <c r="E20" s="224">
        <v>1</v>
      </c>
      <c r="F20" s="185"/>
      <c r="G20" s="190">
        <f t="shared" si="0"/>
        <v>0</v>
      </c>
      <c r="H20" s="185"/>
      <c r="I20" s="216">
        <v>0.15</v>
      </c>
      <c r="J20" s="185">
        <f ca="1">IFERROR(IF($B20="","",VLOOKUP($B20,'[1]Paramètres Articles'!$B:$H,7,FALSE)),"Non Trouvé")</f>
        <v>61</v>
      </c>
      <c r="K20" s="188">
        <f ca="1">J20*(1-I20)</f>
        <v>0</v>
      </c>
      <c r="L20" s="191">
        <f ca="1">IFERROR(J20-K20,"")</f>
        <v>0</v>
      </c>
      <c r="M20" s="296">
        <f>H20*(1-I20)*$N$11*(1-$N$10)</f>
        <v>0</v>
      </c>
      <c r="N20" s="193"/>
      <c r="O20" s="296"/>
      <c r="P20" s="193"/>
      <c r="Q20" s="296"/>
      <c r="R20" s="193"/>
      <c r="S20" s="296"/>
      <c r="T20" s="193"/>
      <c r="U20" s="298"/>
      <c r="V20" s="193"/>
      <c r="W20" s="188"/>
      <c r="X20" s="193"/>
      <c r="Y20" s="191"/>
      <c r="Z20" s="1"/>
      <c r="AA20" s="236"/>
      <c r="AB20" s="96"/>
      <c r="AC20" s="97"/>
      <c r="AD20" s="97"/>
      <c r="AE20" s="237"/>
    </row>
    <row r="21" spans="1:31">
      <c r="A21" s="180">
        <v>1020721</v>
      </c>
      <c r="B21" s="181" t="str">
        <f ca="1">IFERROR(IF($B21="","",VLOOKUP($B21,'[1]Paramètres Articles'!$B:$G,2,FALSE)),"Non Trouvé")</f>
        <v>Cure Intensive Fortifiante - Régénérant - 40ml</v>
      </c>
      <c r="C21" s="182">
        <f ca="1">IFERROR(IF($B21="","",_xlfn.XLOOKUP(REGENERANTS!$C26,'[1]New Base PA'!$F:$F,'[1]New Base PA'!$D:$D,"Not Found",0)),"Non Trouvé")</f>
        <v>4020829102941</v>
      </c>
      <c r="D21" s="183" t="s">
        <v>90</v>
      </c>
      <c r="E21" s="224">
        <v>0</v>
      </c>
      <c r="F21" s="185"/>
      <c r="G21" s="190">
        <f t="shared" si="0"/>
        <v>0</v>
      </c>
      <c r="H21" s="185"/>
      <c r="I21" s="216">
        <v>0.15</v>
      </c>
      <c r="J21" s="185">
        <f ca="1">IFERROR(IF($B21="","",VLOOKUP($B21,'[1]Paramètres Articles'!$B:$H,7,FALSE)),"Non Trouvé")</f>
        <v>72.898071522305145</v>
      </c>
      <c r="K21" s="188">
        <f ca="1">J21*(1-I21)</f>
        <v>0</v>
      </c>
      <c r="L21" s="191">
        <f ca="1">IFERROR(J21-K21,"")</f>
        <v>0</v>
      </c>
      <c r="M21" s="296">
        <f>H21*(1-I21)*$N$11*(1-$N$10)</f>
        <v>0</v>
      </c>
      <c r="N21" s="193"/>
      <c r="O21" s="296"/>
      <c r="P21" s="193"/>
      <c r="Q21" s="296"/>
      <c r="R21" s="193"/>
      <c r="S21" s="296"/>
      <c r="T21" s="193"/>
      <c r="U21" s="298"/>
      <c r="V21" s="193"/>
      <c r="W21" s="188"/>
      <c r="X21" s="193"/>
      <c r="Y21" s="191"/>
      <c r="Z21" s="1"/>
      <c r="AA21" s="236"/>
      <c r="AB21" s="96"/>
      <c r="AC21" s="88" t="s">
        <v>93</v>
      </c>
      <c r="AD21" s="239">
        <f ca="1">SUMIF($D$16:$D$36,AC21,$G$16:$G$36)/$AC$15</f>
        <v>0</v>
      </c>
      <c r="AE21" s="237"/>
    </row>
    <row r="22" spans="1:31">
      <c r="A22" s="180">
        <v>1020107</v>
      </c>
      <c r="B22" s="181" t="str">
        <f ca="1">IFERROR(IF($B22="","",VLOOKUP($B22,'[1]Paramètres Articles'!$B:$G,2,FALSE)),"Non Trouvé")</f>
        <v>Lait pour le Corps - Régénérant - 150 ml</v>
      </c>
      <c r="C22" s="182">
        <f ca="1">IFERROR(IF($B22="","",_xlfn.XLOOKUP(REGENERANTS!$C27,'[1]New Base PA'!$F:$F,'[1]New Base PA'!$D:$D,"Not Found",0)),"Non Trouvé")</f>
        <v>4020829103160</v>
      </c>
      <c r="D22" s="183" t="s">
        <v>90</v>
      </c>
      <c r="E22" s="224">
        <v>3</v>
      </c>
      <c r="F22" s="185"/>
      <c r="G22" s="190">
        <f t="shared" si="0"/>
        <v>0</v>
      </c>
      <c r="H22" s="185"/>
      <c r="I22" s="216">
        <v>0.15</v>
      </c>
      <c r="J22" s="185">
        <f ca="1">IFERROR(IF($B22="","",VLOOKUP($B22,'[1]Paramètres Articles'!$B:$H,7,FALSE)),"Non Trouvé")</f>
        <v>44.4</v>
      </c>
      <c r="K22" s="188">
        <f ca="1">J22*(1-I22)</f>
        <v>0</v>
      </c>
      <c r="L22" s="191">
        <f ca="1">IFERROR(J22-K22,"")</f>
        <v>0</v>
      </c>
      <c r="M22" s="296">
        <f>H22*(1-I22)*$N$11*(1-$N$10)</f>
        <v>0</v>
      </c>
      <c r="N22" s="193"/>
      <c r="O22" s="296"/>
      <c r="P22" s="193"/>
      <c r="Q22" s="296"/>
      <c r="R22" s="193"/>
      <c r="S22" s="296"/>
      <c r="T22" s="193"/>
      <c r="U22" s="298"/>
      <c r="V22" s="193"/>
      <c r="W22" s="188"/>
      <c r="X22" s="193"/>
      <c r="Y22" s="191"/>
      <c r="Z22" s="1"/>
      <c r="AA22" s="236"/>
      <c r="AB22" s="96"/>
      <c r="AC22" s="88" t="s">
        <v>94</v>
      </c>
      <c r="AD22" s="239">
        <f ca="1">SUMIF($D$16:$D$36,AC22,$G$16:$G$36)/$AC$15</f>
        <v>0</v>
      </c>
      <c r="AE22" s="237"/>
    </row>
    <row r="23" spans="1:31">
      <c r="A23" s="180">
        <v>1020102</v>
      </c>
      <c r="B23" s="181" t="str">
        <f ca="1">IFERROR(IF($B23="","",VLOOKUP($B23,'[1]Paramètres Articles'!$B:$G,2,FALSE)),"Non Trouvé")</f>
        <v>Crème pour les Mains - Régénérant - 50 ml</v>
      </c>
      <c r="C23" s="182">
        <f ca="1">IFERROR(IF($B23="","",_xlfn.XLOOKUP(REGENERANTS!$C28,'[1]New Base PA'!$F:$F,'[1]New Base PA'!$D:$D,"Not Found",0)),"Non Trouvé")</f>
        <v>4020829049666</v>
      </c>
      <c r="D23" s="183" t="s">
        <v>90</v>
      </c>
      <c r="E23" s="224">
        <v>3</v>
      </c>
      <c r="F23" s="185"/>
      <c r="G23" s="190">
        <f t="shared" si="0"/>
        <v>0</v>
      </c>
      <c r="H23" s="185"/>
      <c r="I23" s="216">
        <v>0.15</v>
      </c>
      <c r="J23" s="185">
        <f ca="1">IFERROR(IF($B23="","",VLOOKUP($B23,'[1]Paramètres Articles'!$B:$H,7,FALSE)),"Non Trouvé")</f>
        <v>29.5</v>
      </c>
      <c r="K23" s="188">
        <f ca="1">J23*(1-I23)</f>
        <v>0</v>
      </c>
      <c r="L23" s="191">
        <f ca="1">IFERROR(J23-K23,"")</f>
        <v>0</v>
      </c>
      <c r="M23" s="296">
        <f>H23*(1-I23)*$N$11*(1-$N$10)</f>
        <v>0</v>
      </c>
      <c r="N23" s="193"/>
      <c r="O23" s="296"/>
      <c r="P23" s="193"/>
      <c r="Q23" s="296"/>
      <c r="R23" s="193"/>
      <c r="S23" s="296"/>
      <c r="T23" s="193"/>
      <c r="U23" s="298"/>
      <c r="V23" s="193"/>
      <c r="W23" s="188"/>
      <c r="X23" s="193"/>
      <c r="Y23" s="191"/>
      <c r="Z23" s="1"/>
      <c r="AA23" s="236"/>
      <c r="AB23" s="96"/>
      <c r="AC23" s="88" t="s">
        <v>95</v>
      </c>
      <c r="AD23" s="239">
        <f ca="1">SUMIF($D$16:$D$36,AC23,$G$16:$G$36)/$AC$15</f>
        <v>0</v>
      </c>
      <c r="AE23" s="237"/>
    </row>
    <row r="24" spans="1:31">
      <c r="A24" s="180">
        <v>1020722</v>
      </c>
      <c r="B24" s="181" t="str">
        <f ca="1">IFERROR(IF($B24="","",VLOOKUP($B24,'[1]Paramètres Articles'!$B:$G,2,FALSE)),"Non Trouvé")</f>
        <v>Cure Intensive Rééquilibrante - Régénérant Intensif - 40ml</v>
      </c>
      <c r="C24" s="182">
        <f ca="1">IFERROR(IF($B24="","",_xlfn.XLOOKUP(REGENERANTS!$C29,'[1]New Base PA'!$F:$F,'[1]New Base PA'!$D:$D,"Not Found",0)),"Non Trouvé")</f>
        <v>4020829102934</v>
      </c>
      <c r="D24" s="183" t="s">
        <v>90</v>
      </c>
      <c r="E24" s="224">
        <v>0</v>
      </c>
      <c r="F24" s="185"/>
      <c r="G24" s="190">
        <f t="shared" si="0"/>
        <v>0</v>
      </c>
      <c r="H24" s="185"/>
      <c r="I24" s="216">
        <v>0.15</v>
      </c>
      <c r="J24" s="185">
        <f ca="1">IFERROR(IF($B24="","",VLOOKUP($B24,'[1]Paramètres Articles'!$B:$H,7,FALSE)),"Non Trouvé")</f>
        <v>72.898071522305145</v>
      </c>
      <c r="K24" s="188">
        <f ca="1">J24*(1-I24)</f>
        <v>0</v>
      </c>
      <c r="L24" s="191">
        <f ca="1">IFERROR(J24-K24,"")</f>
        <v>0</v>
      </c>
      <c r="M24" s="296">
        <f>H24*(1-I24)*$N$11*(1-$N$10)</f>
        <v>0</v>
      </c>
      <c r="N24" s="193"/>
      <c r="O24" s="296"/>
      <c r="P24" s="193"/>
      <c r="Q24" s="296"/>
      <c r="R24" s="193"/>
      <c r="S24" s="296"/>
      <c r="T24" s="193"/>
      <c r="U24" s="298"/>
      <c r="V24" s="193"/>
      <c r="W24" s="188"/>
      <c r="X24" s="193"/>
      <c r="Y24" s="191"/>
      <c r="Z24" s="1"/>
      <c r="AA24" s="236"/>
      <c r="AB24" s="96"/>
      <c r="AC24" s="88" t="s">
        <v>96</v>
      </c>
      <c r="AD24" s="239">
        <f ca="1">SUMIF($D$16:$D$36,AC24,$G$16:$G$36)/$AC$15</f>
        <v>0</v>
      </c>
      <c r="AE24" s="237"/>
    </row>
    <row r="25" spans="1:31">
      <c r="A25" s="180">
        <v>1020719</v>
      </c>
      <c r="B25" s="181" t="str">
        <f ca="1">IFERROR(IF($B25="","",VLOOKUP($B25,'[1]Paramètres Articles'!$B:$G,2,FALSE)),"Non Trouvé")</f>
        <v>Huile Fortifiante - Régénérant Intensif - 20ml</v>
      </c>
      <c r="C25" s="182">
        <f ca="1">IFERROR(IF($B25="","",_xlfn.XLOOKUP(REGENERANTS!$C30,'[1]New Base PA'!$F:$F,'[1]New Base PA'!$D:$D,"Not Found",0)),"Non Trouvé")</f>
        <v>4020829103030</v>
      </c>
      <c r="D25" s="183" t="s">
        <v>90</v>
      </c>
      <c r="E25" s="224">
        <v>3</v>
      </c>
      <c r="F25" s="185"/>
      <c r="G25" s="190">
        <f t="shared" si="0"/>
        <v>0</v>
      </c>
      <c r="H25" s="185"/>
      <c r="I25" s="216">
        <v>0.15</v>
      </c>
      <c r="J25" s="185">
        <f ca="1">IFERROR(IF($B25="","",VLOOKUP($B25,'[1]Paramètres Articles'!$B:$H,7,FALSE)),"Non Trouvé")</f>
        <v>79.5</v>
      </c>
      <c r="K25" s="188">
        <f ca="1">J25*(1-I25)</f>
        <v>0</v>
      </c>
      <c r="L25" s="191">
        <f ca="1">IFERROR(J25-K25,"")</f>
        <v>0</v>
      </c>
      <c r="M25" s="296">
        <f>H25*(1-I25)*$N$11*(1-$N$10)</f>
        <v>0</v>
      </c>
      <c r="N25" s="193"/>
      <c r="O25" s="296"/>
      <c r="P25" s="193"/>
      <c r="Q25" s="296"/>
      <c r="R25" s="193"/>
      <c r="S25" s="296"/>
      <c r="T25" s="193"/>
      <c r="U25" s="298"/>
      <c r="V25" s="193"/>
      <c r="W25" s="188"/>
      <c r="X25" s="193"/>
      <c r="Y25" s="191"/>
      <c r="Z25" s="1"/>
      <c r="AA25" s="236"/>
      <c r="AB25" s="96"/>
      <c r="AC25" s="97"/>
      <c r="AD25" s="97"/>
      <c r="AE25" s="237"/>
    </row>
    <row r="26" spans="1:31">
      <c r="A26" s="180">
        <v>1020717</v>
      </c>
      <c r="B26" s="181" t="str">
        <f ca="1">IFERROR(IF($B26="","",VLOOKUP($B26,'[1]Paramètres Articles'!$B:$G,2,FALSE)),"Non Trouvé")</f>
        <v>Sérum Contour des Yeux - Régénérant Intensif -15 ml</v>
      </c>
      <c r="C26" s="182">
        <f ca="1">IFERROR(IF($B26="","",_xlfn.XLOOKUP(REGENERANTS!$C31,'[1]New Base PA'!$F:$F,'[1]New Base PA'!$D:$D,"Not Found",0)),"Non Trouvé")</f>
        <v>4020829101067</v>
      </c>
      <c r="D26" s="183" t="s">
        <v>90</v>
      </c>
      <c r="E26" s="224">
        <v>3</v>
      </c>
      <c r="F26" s="185"/>
      <c r="G26" s="190">
        <f t="shared" si="0"/>
        <v>0</v>
      </c>
      <c r="H26" s="185"/>
      <c r="I26" s="216">
        <v>0.15</v>
      </c>
      <c r="J26" s="185">
        <f ca="1">IFERROR(IF($B26="","",VLOOKUP($B26,'[1]Paramètres Articles'!$B:$H,7,FALSE)),"Non Trouvé")</f>
        <v>75</v>
      </c>
      <c r="K26" s="188">
        <f ca="1">J26*(1-I26)</f>
        <v>0</v>
      </c>
      <c r="L26" s="191">
        <f ca="1">IFERROR(J26-K26,"")</f>
        <v>0</v>
      </c>
      <c r="M26" s="296">
        <f>H26*(1-I26)*$N$11*(1-$N$10)</f>
        <v>0</v>
      </c>
      <c r="N26" s="193"/>
      <c r="O26" s="296"/>
      <c r="P26" s="193"/>
      <c r="Q26" s="296"/>
      <c r="R26" s="193"/>
      <c r="S26" s="296"/>
      <c r="T26" s="193"/>
      <c r="U26" s="298"/>
      <c r="V26" s="193"/>
      <c r="W26" s="188"/>
      <c r="X26" s="193"/>
      <c r="Y26" s="191"/>
      <c r="Z26" s="1"/>
      <c r="AA26" s="236"/>
      <c r="AB26" s="96"/>
      <c r="AC26" s="97"/>
      <c r="AD26" s="97"/>
      <c r="AE26" s="237"/>
    </row>
    <row r="27" spans="1:31">
      <c r="A27" s="180">
        <v>1020718</v>
      </c>
      <c r="B27" s="181" t="str">
        <f ca="1">IFERROR(IF($B27="","",VLOOKUP($B27,'[1]Paramètres Articles'!$B:$G,2,FALSE)),"Non Trouvé")</f>
        <v>Sérum de Nuit - Régénérant Intensif - 30 ml</v>
      </c>
      <c r="C27" s="182">
        <f ca="1">IFERROR(IF($B27="","",_xlfn.XLOOKUP(REGENERANTS!$C32,'[1]New Base PA'!$F:$F,'[1]New Base PA'!$D:$D,"Not Found",0)),"Non Trouvé")</f>
        <v>4020829101111</v>
      </c>
      <c r="D27" s="183" t="s">
        <v>90</v>
      </c>
      <c r="E27" s="224">
        <v>5</v>
      </c>
      <c r="F27" s="185"/>
      <c r="G27" s="190">
        <f t="shared" si="0"/>
        <v>0</v>
      </c>
      <c r="H27" s="185"/>
      <c r="I27" s="216">
        <v>0.15</v>
      </c>
      <c r="J27" s="185">
        <f ca="1">IFERROR(IF($B27="","",VLOOKUP($B27,'[1]Paramètres Articles'!$B:$H,7,FALSE)),"Non Trouvé")</f>
        <v>79.5</v>
      </c>
      <c r="K27" s="188">
        <f ca="1">J27*(1-I27)</f>
        <v>0</v>
      </c>
      <c r="L27" s="191">
        <f ca="1">IFERROR(J27-K27,"")</f>
        <v>0</v>
      </c>
      <c r="M27" s="296">
        <f>H27*(1-I27)*$N$11*(1-$N$10)</f>
        <v>0</v>
      </c>
      <c r="N27" s="193"/>
      <c r="O27" s="296"/>
      <c r="P27" s="193"/>
      <c r="Q27" s="296"/>
      <c r="R27" s="193"/>
      <c r="S27" s="296"/>
      <c r="T27" s="193"/>
      <c r="U27" s="298"/>
      <c r="V27" s="193"/>
      <c r="W27" s="188"/>
      <c r="X27" s="193"/>
      <c r="Y27" s="191"/>
      <c r="Z27" s="1"/>
      <c r="AA27" s="236"/>
      <c r="AB27" s="96"/>
      <c r="AC27" s="97"/>
      <c r="AD27" s="97"/>
      <c r="AE27" s="237"/>
    </row>
    <row r="28" spans="1:31">
      <c r="A28" s="180">
        <v>1020301</v>
      </c>
      <c r="B28" s="181" t="str">
        <f ca="1">IFERROR(IF($B28="","",VLOOKUP($B28,'[1]Paramètres Articles'!$B:$G,2,FALSE)),"Non Trouvé")</f>
        <v>Crème de Jour - Régénérant - 40 ml</v>
      </c>
      <c r="C28" s="182">
        <f ca="1">IFERROR(IF($B28="","",_xlfn.XLOOKUP(REGENERANTS!$C33,'[1]New Base PA'!$F:$F,'[1]New Base PA'!$D:$D,"Not Found",0)),"Non Trouvé")</f>
        <v>4020829007383</v>
      </c>
      <c r="D28" s="183" t="s">
        <v>90</v>
      </c>
      <c r="E28" s="224">
        <v>8</v>
      </c>
      <c r="F28" s="185"/>
      <c r="G28" s="190">
        <f t="shared" si="0"/>
        <v>0</v>
      </c>
      <c r="H28" s="185"/>
      <c r="I28" s="216">
        <v>0.15</v>
      </c>
      <c r="J28" s="185">
        <f ca="1">IFERROR(IF($B28="","",VLOOKUP($B28,'[1]Paramètres Articles'!$B:$H,7,FALSE)),"Non Trouvé")</f>
        <v>65.5</v>
      </c>
      <c r="K28" s="188">
        <f ca="1">J28*(1-I28)</f>
        <v>0</v>
      </c>
      <c r="L28" s="191">
        <f ca="1">IFERROR(J28-K28,"")</f>
        <v>0</v>
      </c>
      <c r="M28" s="296">
        <f>H28*(1-I28)*$N$11*(1-$N$10)</f>
        <v>0</v>
      </c>
      <c r="N28" s="193"/>
      <c r="O28" s="296"/>
      <c r="P28" s="193"/>
      <c r="Q28" s="296"/>
      <c r="R28" s="193"/>
      <c r="S28" s="296"/>
      <c r="T28" s="193"/>
      <c r="U28" s="298"/>
      <c r="V28" s="193"/>
      <c r="W28" s="188"/>
      <c r="X28" s="193"/>
      <c r="Y28" s="191"/>
      <c r="Z28" s="1"/>
      <c r="AA28" s="236"/>
      <c r="AB28" s="96"/>
      <c r="AC28" s="97"/>
      <c r="AD28" s="97"/>
      <c r="AE28" s="237"/>
    </row>
    <row r="29" spans="1:31">
      <c r="A29" s="180">
        <v>1020720</v>
      </c>
      <c r="B29" s="181" t="str">
        <f ca="1">IFERROR(IF($B29="","",VLOOKUP($B29,'[1]Paramètres Articles'!$B:$G,2,FALSE)),"Non Trouvé")</f>
        <v>Crème de Jour - Régénérant Intensif - 40ml</v>
      </c>
      <c r="C29" s="182">
        <f ca="1">IFERROR(IF($B29="","",_xlfn.XLOOKUP(REGENERANTS!$C34,'[1]New Base PA'!$F:$F,'[1]New Base PA'!$D:$D,"Not Found",0)),"Non Trouvé")</f>
        <v>4020829102972</v>
      </c>
      <c r="D29" s="183" t="s">
        <v>90</v>
      </c>
      <c r="E29" s="224">
        <v>8</v>
      </c>
      <c r="F29" s="185"/>
      <c r="G29" s="190">
        <f t="shared" si="0"/>
        <v>0</v>
      </c>
      <c r="H29" s="185"/>
      <c r="I29" s="216">
        <v>0.15</v>
      </c>
      <c r="J29" s="185">
        <f ca="1">IFERROR(IF($B29="","",VLOOKUP($B29,'[1]Paramètres Articles'!$B:$H,7,FALSE)),"Non Trouvé")</f>
        <v>75.900000000000006</v>
      </c>
      <c r="K29" s="188">
        <f ca="1">J29*(1-I29)</f>
        <v>0</v>
      </c>
      <c r="L29" s="191">
        <f ca="1">IFERROR(J29-K29,"")</f>
        <v>0</v>
      </c>
      <c r="M29" s="296">
        <f>H29*(1-I29)*$N$11*(1-$N$10)</f>
        <v>0</v>
      </c>
      <c r="N29" s="193"/>
      <c r="O29" s="296"/>
      <c r="P29" s="193"/>
      <c r="Q29" s="296"/>
      <c r="R29" s="193"/>
      <c r="S29" s="296"/>
      <c r="T29" s="193"/>
      <c r="U29" s="298"/>
      <c r="V29" s="193"/>
      <c r="W29" s="188"/>
      <c r="X29" s="193"/>
      <c r="Y29" s="191"/>
      <c r="Z29" s="1"/>
      <c r="AA29" s="236"/>
      <c r="AB29" s="96"/>
      <c r="AC29" s="128"/>
      <c r="AD29" s="97"/>
      <c r="AE29" s="237"/>
    </row>
    <row r="30" spans="1:31">
      <c r="A30" s="219" t="s">
        <v>97</v>
      </c>
      <c r="B30" s="220" t="str">
        <f ca="1">IFERROR(IF($B30="","",VLOOKUP($B30,'[1]Paramètres Articles'!$B:$G,2,FALSE)),"Non Trouvé")</f>
        <v>Panneau vitrine Régénérants 2026</v>
      </c>
      <c r="C30" s="221">
        <f ca="1">IFERROR(IF($B30="","",_xlfn.XLOOKUP(REGENERANTS!$C35,'[1]New Base PA'!$F:$F,'[1]New Base PA'!$D:$D,"Not Found",0)),"Non Trouvé")</f>
        <v>0</v>
      </c>
      <c r="D30" s="222" t="s">
        <v>94</v>
      </c>
      <c r="E30" s="223">
        <v>1</v>
      </c>
      <c r="F30" s="185"/>
      <c r="G30" s="190">
        <f t="shared" si="0"/>
        <v>0</v>
      </c>
      <c r="H30" s="186"/>
      <c r="I30" s="216"/>
      <c r="J30" s="185">
        <f ca="1">IFERROR(IF($B30="","",VLOOKUP($B30,'[1]Paramètres Articles'!$B:$H,7,FALSE)),"Non Trouvé")</f>
        <v>0</v>
      </c>
      <c r="K30" s="188" t="str">
        <f ca="1">IFERROR(IF($B30="","",IF(#REF!="","",#REF!*(1-#REF!))),"Non Trouvé")</f>
        <v/>
      </c>
      <c r="L30" s="191" t="str">
        <f ca="1">IFERROR(J30-K30,"")</f>
        <v/>
      </c>
      <c r="M30" s="296">
        <f ca="1">IFERROR(IF($B30="","",IF(#REF!="Cascade",#REF!*(1-#REF!)*#REF!,IF(#REF!="Additionnelle",(#REF!-(#REF!*(#REF!+#REF!)))*#REF!))),"Non Trouvé")</f>
        <v>0</v>
      </c>
      <c r="N30" s="193"/>
      <c r="O30" s="296"/>
      <c r="P30" s="193"/>
      <c r="Q30" s="296"/>
      <c r="R30" s="193"/>
      <c r="S30" s="296"/>
      <c r="T30" s="193"/>
      <c r="U30" s="298"/>
      <c r="V30" s="193"/>
      <c r="W30" s="188"/>
      <c r="X30" s="193"/>
      <c r="Y30" s="191"/>
      <c r="Z30" s="1"/>
      <c r="AA30" s="236"/>
      <c r="AB30" s="96"/>
      <c r="AC30" s="97"/>
      <c r="AD30" s="133"/>
      <c r="AE30" s="237"/>
    </row>
    <row r="31" spans="1:31" ht="14.45" customHeight="1">
      <c r="A31" s="219" t="s">
        <v>99</v>
      </c>
      <c r="B31" s="220" t="str">
        <f ca="1">IFERROR(IF($B31="","",VLOOKUP($B31,'[1]Paramètres Articles'!$B:$G,2,FALSE)),"Non Trouvé")</f>
        <v>Présentoir Régénérants 2026</v>
      </c>
      <c r="C31" s="221">
        <f ca="1">IFERROR(IF($B31="","",_xlfn.XLOOKUP(REGENERANTS!$C36,'[1]New Base PA'!$F:$F,'[1]New Base PA'!$D:$D,"Not Found",0)),"Non Trouvé")</f>
        <v>0</v>
      </c>
      <c r="D31" s="222" t="s">
        <v>94</v>
      </c>
      <c r="E31" s="223">
        <v>1</v>
      </c>
      <c r="F31" s="185"/>
      <c r="G31" s="190">
        <f t="shared" si="0"/>
        <v>0</v>
      </c>
      <c r="H31" s="186"/>
      <c r="I31" s="216"/>
      <c r="J31" s="185">
        <f ca="1">IFERROR(IF($B31="","",VLOOKUP($B31,'[1]Paramètres Articles'!$B:$H,7,FALSE)),"Non Trouvé")</f>
        <v>0</v>
      </c>
      <c r="K31" s="188" t="str">
        <f ca="1">IFERROR(IF($B31="","",IF(#REF!="","",#REF!*(1-#REF!))),"Non Trouvé")</f>
        <v/>
      </c>
      <c r="L31" s="191" t="str">
        <f ca="1">IFERROR(J31-K31,"")</f>
        <v/>
      </c>
      <c r="M31" s="296">
        <f ca="1">IFERROR(IF($B31="","",IF(#REF!="Cascade",#REF!*(1-#REF!)*#REF!,IF(#REF!="Additionnelle",(#REF!-(#REF!*(#REF!+#REF!)))*#REF!))),"Non Trouvé")</f>
        <v>0</v>
      </c>
      <c r="N31" s="193"/>
      <c r="O31" s="296"/>
      <c r="P31" s="193"/>
      <c r="Q31" s="296"/>
      <c r="R31" s="193"/>
      <c r="S31" s="296"/>
      <c r="T31" s="193"/>
      <c r="U31" s="298"/>
      <c r="V31" s="193"/>
      <c r="W31" s="188"/>
      <c r="X31" s="193"/>
      <c r="Y31" s="191"/>
      <c r="Z31" s="1"/>
      <c r="AA31" s="236"/>
      <c r="AB31" s="96"/>
      <c r="AC31" s="97"/>
      <c r="AD31" s="134"/>
      <c r="AE31" s="237"/>
    </row>
    <row r="32" spans="1:31" ht="14.45" customHeight="1">
      <c r="A32" s="219">
        <v>3020202</v>
      </c>
      <c r="B32" s="220" t="str">
        <f ca="1">IFERROR(IF($B32="","",VLOOKUP($B32,'[1]Paramètres Articles'!$B:$G,2,FALSE)),"Non Trouvé")</f>
        <v>Testeur - Sérum Jour / Nuit - Régénérant 30ml - 15% comprise</v>
      </c>
      <c r="C32" s="221">
        <f ca="1">IFERROR(IF($B32="","",_xlfn.XLOOKUP(REGENERANTS!$C37,'[1]New Base PA'!$F:$F,'[1]New Base PA'!$D:$D,"Not Found",0)),"Non Trouvé")</f>
        <v>4020829103146</v>
      </c>
      <c r="D32" s="222" t="s">
        <v>96</v>
      </c>
      <c r="E32" s="223">
        <v>1</v>
      </c>
      <c r="F32" s="185"/>
      <c r="G32" s="190">
        <f t="shared" si="0"/>
        <v>0</v>
      </c>
      <c r="H32" s="186"/>
      <c r="I32" s="216"/>
      <c r="J32" s="185" t="str">
        <f ca="1">IFERROR(IF($B32="","",VLOOKUP($B32,'[1]Paramètres Articles'!$B:$H,7,FALSE)),"Non Trouvé")</f>
        <v>Non Trouvé</v>
      </c>
      <c r="K32" s="188" t="str">
        <f ca="1">IFERROR(IF($B32="","",IF(#REF!="","",#REF!*(1-#REF!))),"Non Trouvé")</f>
        <v/>
      </c>
      <c r="L32" s="191" t="str">
        <f ca="1">IFERROR(J32-K32,"")</f>
        <v/>
      </c>
      <c r="M32" s="296">
        <f ca="1">IFERROR(IF($B32="","",IF(#REF!="Cascade",#REF!*(1-#REF!)*#REF!,IF(#REF!="Additionnelle",(#REF!-(#REF!*(#REF!+#REF!)))*#REF!))),"Non Trouvé")</f>
        <v>0</v>
      </c>
      <c r="N32" s="193"/>
      <c r="O32" s="296"/>
      <c r="P32" s="193"/>
      <c r="Q32" s="296"/>
      <c r="R32" s="193"/>
      <c r="S32" s="296"/>
      <c r="T32" s="193"/>
      <c r="U32" s="298"/>
      <c r="V32" s="193"/>
      <c r="W32" s="188"/>
      <c r="X32" s="193"/>
      <c r="Y32" s="191"/>
      <c r="Z32" s="1"/>
      <c r="AA32" s="236"/>
      <c r="AB32" s="96"/>
      <c r="AC32" s="97"/>
      <c r="AD32" s="240"/>
      <c r="AE32" s="237"/>
    </row>
    <row r="33" spans="1:32">
      <c r="A33" s="219">
        <v>3020301</v>
      </c>
      <c r="B33" s="220" t="str">
        <f ca="1">IFERROR(IF($B33="","",VLOOKUP($B33,'[1]Paramètres Articles'!$B:$G,2,FALSE)),"Non Trouvé")</f>
        <v>Testeur - Crème de Jour Régénérante 40 ml - 15% comprise</v>
      </c>
      <c r="C33" s="221">
        <f ca="1">IFERROR(IF($B33="","",_xlfn.XLOOKUP(REGENERANTS!$C38,'[1]New Base PA'!$F:$F,'[1]New Base PA'!$D:$D,"Not Found",0)),"Non Trouvé")</f>
        <v>4020829007123</v>
      </c>
      <c r="D33" s="222" t="s">
        <v>96</v>
      </c>
      <c r="E33" s="223">
        <v>1</v>
      </c>
      <c r="F33" s="185"/>
      <c r="G33" s="190">
        <f t="shared" si="0"/>
        <v>0</v>
      </c>
      <c r="H33" s="186"/>
      <c r="I33" s="216"/>
      <c r="J33" s="185" t="str">
        <f ca="1">IFERROR(IF($B33="","",VLOOKUP($B33,'[1]Paramètres Articles'!$B:$H,7,FALSE)),"Non Trouvé")</f>
        <v>Non Trouvé</v>
      </c>
      <c r="K33" s="188" t="str">
        <f ca="1">IFERROR(IF($B33="","",IF(#REF!="","",#REF!*(1-#REF!))),"Non Trouvé")</f>
        <v/>
      </c>
      <c r="L33" s="191" t="str">
        <f ca="1">IFERROR(J33-K33,"")</f>
        <v/>
      </c>
      <c r="M33" s="296">
        <f ca="1">IFERROR(IF($B33="","",IF(#REF!="Cascade",#REF!*(1-#REF!)*#REF!,IF(#REF!="Additionnelle",(#REF!-(#REF!*(#REF!+#REF!)))*#REF!))),"Non Trouvé")</f>
        <v>0</v>
      </c>
      <c r="N33" s="193"/>
      <c r="O33" s="296"/>
      <c r="P33" s="193"/>
      <c r="Q33" s="296"/>
      <c r="R33" s="193"/>
      <c r="S33" s="296"/>
      <c r="T33" s="193"/>
      <c r="U33" s="298"/>
      <c r="V33" s="193"/>
      <c r="W33" s="188"/>
      <c r="X33" s="193"/>
      <c r="Y33" s="191"/>
      <c r="Z33" s="1"/>
      <c r="AA33" s="236"/>
      <c r="AB33" s="96"/>
      <c r="AC33" s="97"/>
      <c r="AD33" s="134"/>
      <c r="AE33" s="237"/>
    </row>
    <row r="34" spans="1:32">
      <c r="A34" s="219">
        <v>3020720</v>
      </c>
      <c r="B34" s="220" t="str">
        <f ca="1">IFERROR(IF($B34="","",VLOOKUP($B34,'[1]Paramètres Articles'!$B:$G,2,FALSE)),"Non Trouvé")</f>
        <v>Testeur - Crème de Jour - Régénérant Intensif - 40ml - 15 % comprise</v>
      </c>
      <c r="C34" s="221">
        <f ca="1">IFERROR(IF($B34="","",_xlfn.XLOOKUP(REGENERANTS!$C39,'[1]New Base PA'!$F:$F,'[1]New Base PA'!$D:$D,"Not Found",0)),"Non Trouvé")</f>
        <v>4020829103207</v>
      </c>
      <c r="D34" s="222" t="s">
        <v>96</v>
      </c>
      <c r="E34" s="223">
        <v>1</v>
      </c>
      <c r="F34" s="185"/>
      <c r="G34" s="190">
        <f t="shared" si="0"/>
        <v>0</v>
      </c>
      <c r="H34" s="186"/>
      <c r="I34" s="216"/>
      <c r="J34" s="185" t="str">
        <f ca="1">IFERROR(IF($B34="","",VLOOKUP($B34,'[1]Paramètres Articles'!$B:$H,7,FALSE)),"Non Trouvé")</f>
        <v>Non Trouvé</v>
      </c>
      <c r="K34" s="188" t="str">
        <f ca="1">IFERROR(IF($B34="","",IF(#REF!="","",#REF!*(1-#REF!))),"Non Trouvé")</f>
        <v/>
      </c>
      <c r="L34" s="191" t="str">
        <f ca="1">IFERROR(J34-K34,"")</f>
        <v/>
      </c>
      <c r="M34" s="296">
        <f ca="1">IFERROR(IF($B34="","",IF(#REF!="Cascade",#REF!*(1-#REF!)*#REF!,IF(#REF!="Additionnelle",(#REF!-(#REF!*(#REF!+#REF!)))*#REF!))),"Non Trouvé")</f>
        <v>0</v>
      </c>
      <c r="N34" s="193"/>
      <c r="O34" s="296"/>
      <c r="P34" s="193"/>
      <c r="Q34" s="296"/>
      <c r="R34" s="193"/>
      <c r="S34" s="296"/>
      <c r="T34" s="193"/>
      <c r="U34" s="298"/>
      <c r="V34" s="193"/>
      <c r="W34" s="188"/>
      <c r="X34" s="193"/>
      <c r="Y34" s="191"/>
      <c r="Z34" s="1"/>
      <c r="AA34" s="236"/>
      <c r="AB34" s="96"/>
      <c r="AC34" s="96"/>
      <c r="AD34" s="96"/>
      <c r="AE34" s="237"/>
    </row>
    <row r="35" spans="1:32">
      <c r="A35" s="219">
        <v>3020718</v>
      </c>
      <c r="B35" s="220" t="str">
        <f ca="1">IFERROR(IF($B35="","",VLOOKUP($B35,'[1]Paramètres Articles'!$B:$G,2,FALSE)),"Non Trouvé")</f>
        <v>Testeur - Sérum de Nuit - Régénérant Intensif 30ml - 15% comprise</v>
      </c>
      <c r="C35" s="221">
        <f ca="1">IFERROR(IF($B35="","",_xlfn.XLOOKUP(REGENERANTS!$C40,'[1]New Base PA'!$F:$F,'[1]New Base PA'!$D:$D,"Not Found",0)),"Non Trouvé")</f>
        <v>4020829101142</v>
      </c>
      <c r="D35" s="222" t="s">
        <v>96</v>
      </c>
      <c r="E35" s="223">
        <v>1</v>
      </c>
      <c r="F35" s="185"/>
      <c r="G35" s="190">
        <f t="shared" si="0"/>
        <v>0</v>
      </c>
      <c r="H35" s="186"/>
      <c r="I35" s="216"/>
      <c r="J35" s="185" t="str">
        <f ca="1">IFERROR(IF($B35="","",VLOOKUP($B35,'[1]Paramètres Articles'!$B:$H,7,FALSE)),"Non Trouvé")</f>
        <v>Non Trouvé</v>
      </c>
      <c r="K35" s="188" t="str">
        <f ca="1">IFERROR(IF($B35="","",IF(#REF!="","",#REF!*(1-#REF!))),"Non Trouvé")</f>
        <v/>
      </c>
      <c r="L35" s="191" t="str">
        <f ca="1">IFERROR(J35-K35,"")</f>
        <v/>
      </c>
      <c r="M35" s="296">
        <f ca="1">IFERROR(IF($B35="","",IF(#REF!="Cascade",#REF!*(1-#REF!)*#REF!,IF(#REF!="Additionnelle",(#REF!-(#REF!*(#REF!+#REF!)))*#REF!))),"Non Trouvé")</f>
        <v>0</v>
      </c>
      <c r="N35" s="193"/>
      <c r="O35" s="296"/>
      <c r="P35" s="193"/>
      <c r="Q35" s="296"/>
      <c r="R35" s="193"/>
      <c r="S35" s="296"/>
      <c r="T35" s="193"/>
      <c r="U35" s="298"/>
      <c r="V35" s="193"/>
      <c r="W35" s="188"/>
      <c r="X35" s="193"/>
      <c r="Y35" s="191"/>
      <c r="Z35" s="1"/>
      <c r="AA35" s="236"/>
      <c r="AB35" s="96"/>
      <c r="AC35" s="128"/>
      <c r="AD35" s="96"/>
      <c r="AE35" s="237"/>
    </row>
    <row r="36" spans="1:32" ht="15.75" thickBot="1">
      <c r="A36" s="219" t="s">
        <v>105</v>
      </c>
      <c r="B36" s="220" t="str">
        <f ca="1">IFERROR(IF($B36="","",VLOOKUP($B36,'[1]Paramètres Articles'!$B:$G,2,FALSE)),"Non Trouvé")</f>
        <v>Stop-rayon promo Régénérants 2026 -10€</v>
      </c>
      <c r="C36" s="221">
        <f ca="1">IFERROR(IF($B36="","",_xlfn.XLOOKUP(REGENERANTS!$C41,'[1]New Base PA'!$F:$F,'[1]New Base PA'!$D:$D,"Not Found",0)),"Non Trouvé")</f>
        <v>0</v>
      </c>
      <c r="D36" s="222" t="s">
        <v>94</v>
      </c>
      <c r="E36" s="223">
        <v>1</v>
      </c>
      <c r="F36" s="185"/>
      <c r="G36" s="190">
        <f t="shared" si="0"/>
        <v>0</v>
      </c>
      <c r="H36" s="186"/>
      <c r="I36" s="216"/>
      <c r="J36" s="185">
        <f ca="1">IFERROR(IF($B36="","",VLOOKUP($B36,'[1]Paramètres Articles'!$B:$H,7,FALSE)),"Non Trouvé")</f>
        <v>0</v>
      </c>
      <c r="K36" s="188" t="str">
        <f ca="1">IFERROR(IF($B36="","",IF(#REF!="","",#REF!*(1-#REF!))),"Non Trouvé")</f>
        <v/>
      </c>
      <c r="L36" s="191" t="str">
        <f ca="1">IFERROR(J36-K36,"")</f>
        <v/>
      </c>
      <c r="M36" s="297">
        <f ca="1">IFERROR(IF($B36="","",IF(#REF!="Cascade",#REF!*(1-#REF!)*#REF!,IF(#REF!="Additionnelle",(#REF!-(#REF!*(#REF!+#REF!)))*#REF!))),"Non Trouvé")</f>
        <v>0</v>
      </c>
      <c r="N36" s="199"/>
      <c r="O36" s="297"/>
      <c r="P36" s="199"/>
      <c r="Q36" s="297"/>
      <c r="R36" s="199"/>
      <c r="S36" s="297"/>
      <c r="T36" s="199"/>
      <c r="U36" s="299"/>
      <c r="V36" s="199"/>
      <c r="W36" s="300"/>
      <c r="X36" s="199"/>
      <c r="Y36" s="301"/>
      <c r="Z36" s="198"/>
      <c r="AA36" s="241"/>
      <c r="AB36" s="242"/>
      <c r="AC36" s="243"/>
      <c r="AD36" s="244"/>
      <c r="AE36" s="245"/>
    </row>
    <row r="40" spans="1:32">
      <c r="A40" s="22" t="s">
        <v>159</v>
      </c>
      <c r="B40" s="23"/>
      <c r="C40" s="24"/>
      <c r="D40" s="25" t="s">
        <v>107</v>
      </c>
      <c r="E40" s="23"/>
      <c r="F40" s="23"/>
      <c r="G40" s="23"/>
      <c r="H40" s="23"/>
      <c r="I40" s="23"/>
      <c r="J40" s="23"/>
      <c r="K40" s="23"/>
      <c r="L40" s="23"/>
      <c r="M40" s="271"/>
      <c r="N40" s="272"/>
      <c r="O40" s="271"/>
      <c r="P40" s="272"/>
      <c r="Q40" s="288"/>
      <c r="R40" s="288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158"/>
    </row>
    <row r="42" spans="1:32" ht="15.75" thickBot="1">
      <c r="A42" s="64" t="s">
        <v>142</v>
      </c>
      <c r="B42" s="217">
        <v>100</v>
      </c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2" ht="15.75" thickBot="1">
      <c r="A43" s="64" t="s">
        <v>144</v>
      </c>
      <c r="B43" s="217">
        <v>24</v>
      </c>
      <c r="C43" s="2"/>
      <c r="D43" s="1"/>
      <c r="E43" s="1"/>
      <c r="F43" s="1"/>
      <c r="G43" s="1"/>
      <c r="H43" s="1"/>
      <c r="I43" s="1"/>
      <c r="J43" s="1"/>
      <c r="K43" s="1"/>
      <c r="L43" s="1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27"/>
      <c r="AB43" s="228"/>
      <c r="AC43" s="228"/>
      <c r="AD43" s="228"/>
      <c r="AE43" s="229"/>
    </row>
    <row r="44" spans="1:32" ht="15.75" thickBot="1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289" t="s">
        <v>158</v>
      </c>
      <c r="N44" s="290"/>
      <c r="O44" s="290"/>
      <c r="P44" s="290"/>
      <c r="Q44" s="290"/>
      <c r="R44" s="291"/>
      <c r="S44" s="273" t="s">
        <v>157</v>
      </c>
      <c r="T44" s="204"/>
      <c r="U44" s="203"/>
      <c r="V44" s="203"/>
      <c r="W44" s="203"/>
      <c r="X44" s="203"/>
      <c r="Y44" s="273"/>
      <c r="Z44" s="204"/>
      <c r="AA44" s="274"/>
      <c r="AB44" s="34" t="s">
        <v>137</v>
      </c>
      <c r="AC44" s="34"/>
      <c r="AD44" s="34"/>
      <c r="AE44" s="231"/>
    </row>
    <row r="45" spans="1:32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200"/>
      <c r="N45" s="202"/>
      <c r="O45" s="200"/>
      <c r="P45" s="202"/>
      <c r="Q45" s="201"/>
      <c r="R45" s="201"/>
      <c r="S45" s="200"/>
      <c r="T45" s="202"/>
      <c r="U45" s="201"/>
      <c r="V45" s="202"/>
      <c r="W45" s="201"/>
      <c r="X45" s="201"/>
      <c r="Y45" s="192"/>
      <c r="Z45" s="193"/>
      <c r="AA45" s="230"/>
      <c r="AB45" s="39"/>
      <c r="AC45" s="39"/>
      <c r="AD45" s="39"/>
      <c r="AE45" s="231"/>
    </row>
    <row r="46" spans="1:32">
      <c r="A46" s="1"/>
      <c r="B46" s="1"/>
      <c r="C46" s="2"/>
      <c r="D46" s="1"/>
      <c r="E46" s="1"/>
      <c r="F46" s="1"/>
      <c r="G46" s="1"/>
      <c r="H46" s="1"/>
      <c r="J46" s="1"/>
      <c r="K46" s="1"/>
      <c r="L46" s="1"/>
      <c r="M46" s="292" t="s">
        <v>13</v>
      </c>
      <c r="N46" s="293"/>
      <c r="O46" s="292" t="s">
        <v>14</v>
      </c>
      <c r="P46" s="293"/>
      <c r="Q46" s="292" t="s">
        <v>15</v>
      </c>
      <c r="R46" s="293"/>
      <c r="S46" s="294" t="s">
        <v>17</v>
      </c>
      <c r="T46" s="295"/>
      <c r="U46" s="294" t="s">
        <v>18</v>
      </c>
      <c r="V46" s="295"/>
      <c r="W46" s="294" t="s">
        <v>19</v>
      </c>
      <c r="X46" s="295"/>
      <c r="Y46" s="294" t="s">
        <v>20</v>
      </c>
      <c r="Z46" s="295"/>
      <c r="AA46" s="230"/>
      <c r="AB46" s="45" t="s">
        <v>23</v>
      </c>
      <c r="AC46" s="45"/>
      <c r="AD46" s="45"/>
      <c r="AE46" s="231"/>
    </row>
    <row r="47" spans="1:32">
      <c r="A47" s="265"/>
      <c r="B47" s="265"/>
      <c r="C47" s="266"/>
      <c r="D47" s="265"/>
      <c r="E47" s="265"/>
      <c r="F47" s="265"/>
      <c r="G47" s="265"/>
      <c r="H47" s="265"/>
      <c r="I47" s="267"/>
      <c r="J47" s="265"/>
      <c r="K47" s="265"/>
      <c r="L47" s="265"/>
      <c r="M47" s="278" t="s">
        <v>156</v>
      </c>
      <c r="N47" s="279">
        <v>0.5</v>
      </c>
      <c r="O47" s="278" t="s">
        <v>156</v>
      </c>
      <c r="P47" s="279">
        <v>0.1</v>
      </c>
      <c r="Q47" s="278" t="s">
        <v>156</v>
      </c>
      <c r="R47" s="279">
        <v>0.1</v>
      </c>
      <c r="S47" s="278" t="s">
        <v>156</v>
      </c>
      <c r="T47" s="279">
        <v>0.1</v>
      </c>
      <c r="U47" s="280" t="s">
        <v>156</v>
      </c>
      <c r="V47" s="281">
        <v>0.1</v>
      </c>
      <c r="W47" s="278" t="s">
        <v>156</v>
      </c>
      <c r="X47" s="281">
        <v>0.05</v>
      </c>
      <c r="Y47" s="282"/>
      <c r="Z47" s="279">
        <v>0.05</v>
      </c>
      <c r="AA47" s="268"/>
      <c r="AB47" s="269"/>
      <c r="AC47" s="269"/>
      <c r="AD47" s="269"/>
      <c r="AE47" s="270"/>
    </row>
    <row r="48" spans="1:32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278" t="s">
        <v>138</v>
      </c>
      <c r="N48" s="283">
        <v>0.17</v>
      </c>
      <c r="O48" s="278" t="s">
        <v>138</v>
      </c>
      <c r="P48" s="283">
        <v>0.13</v>
      </c>
      <c r="Q48" s="278" t="s">
        <v>138</v>
      </c>
      <c r="R48" s="283">
        <v>0.08</v>
      </c>
      <c r="S48" s="278" t="s">
        <v>138</v>
      </c>
      <c r="T48" s="284">
        <v>0.32500000000000001</v>
      </c>
      <c r="U48" s="280" t="s">
        <v>138</v>
      </c>
      <c r="V48" s="285">
        <v>0.3</v>
      </c>
      <c r="W48" s="278" t="s">
        <v>138</v>
      </c>
      <c r="X48" s="285">
        <v>0.28000000000000003</v>
      </c>
      <c r="Y48" s="278" t="s">
        <v>138</v>
      </c>
      <c r="Z48" s="283">
        <v>0.25</v>
      </c>
      <c r="AA48" s="230"/>
      <c r="AB48" s="39"/>
      <c r="AC48" s="39"/>
      <c r="AD48" s="39"/>
      <c r="AE48" s="231"/>
    </row>
    <row r="49" spans="1:31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278" t="s">
        <v>155</v>
      </c>
      <c r="N49" s="286">
        <f>N47*$B$4</f>
        <v>15</v>
      </c>
      <c r="O49" s="278" t="s">
        <v>155</v>
      </c>
      <c r="P49" s="286">
        <f>P47*$B$4</f>
        <v>3</v>
      </c>
      <c r="Q49" s="278" t="s">
        <v>155</v>
      </c>
      <c r="R49" s="286">
        <f>R47*$B$4</f>
        <v>3</v>
      </c>
      <c r="S49" s="278" t="s">
        <v>155</v>
      </c>
      <c r="T49" s="286">
        <f>T47*$B$4</f>
        <v>3</v>
      </c>
      <c r="U49" s="280" t="s">
        <v>155</v>
      </c>
      <c r="V49" s="286">
        <f>V47*$B$4</f>
        <v>3</v>
      </c>
      <c r="W49" s="278" t="s">
        <v>155</v>
      </c>
      <c r="X49" s="287">
        <f>X47*$B$4</f>
        <v>1.5</v>
      </c>
      <c r="Y49" s="278" t="s">
        <v>155</v>
      </c>
      <c r="Z49" s="286">
        <f>Z47*$B$4</f>
        <v>1.5</v>
      </c>
      <c r="AA49" s="230"/>
      <c r="AB49" s="39"/>
      <c r="AC49" s="39"/>
      <c r="AD49" s="39"/>
      <c r="AE49" s="231"/>
    </row>
    <row r="50" spans="1:31" ht="51.75">
      <c r="A50" s="46"/>
      <c r="B50" s="46"/>
      <c r="C50" s="47"/>
      <c r="D50" s="46"/>
      <c r="E50" s="48" t="s">
        <v>24</v>
      </c>
      <c r="F50" s="48" t="s">
        <v>118</v>
      </c>
      <c r="G50" s="48" t="s">
        <v>119</v>
      </c>
      <c r="H50" s="48" t="s">
        <v>121</v>
      </c>
      <c r="I50" s="48" t="s">
        <v>120</v>
      </c>
      <c r="J50" s="48" t="s">
        <v>129</v>
      </c>
      <c r="K50" s="48" t="s">
        <v>128</v>
      </c>
      <c r="L50" s="48" t="s">
        <v>33</v>
      </c>
      <c r="M50" s="194" t="s">
        <v>1</v>
      </c>
      <c r="N50" s="195" t="s">
        <v>2</v>
      </c>
      <c r="O50" s="194" t="s">
        <v>1</v>
      </c>
      <c r="P50" s="195" t="s">
        <v>2</v>
      </c>
      <c r="Q50" s="194" t="s">
        <v>1</v>
      </c>
      <c r="R50" s="195" t="s">
        <v>2</v>
      </c>
      <c r="S50" s="194" t="s">
        <v>1</v>
      </c>
      <c r="T50" s="195" t="s">
        <v>2</v>
      </c>
      <c r="U50" s="48" t="s">
        <v>1</v>
      </c>
      <c r="V50" s="195" t="s">
        <v>2</v>
      </c>
      <c r="W50" s="48" t="s">
        <v>1</v>
      </c>
      <c r="X50" s="275" t="s">
        <v>2</v>
      </c>
      <c r="Y50" s="194" t="s">
        <v>1</v>
      </c>
      <c r="Z50" s="195" t="s">
        <v>2</v>
      </c>
      <c r="AA50" s="232"/>
      <c r="AB50" s="50" t="s">
        <v>0</v>
      </c>
      <c r="AC50" s="50" t="s">
        <v>1</v>
      </c>
      <c r="AD50" s="50" t="s">
        <v>2</v>
      </c>
      <c r="AE50" s="233"/>
    </row>
    <row r="51" spans="1:31" ht="26.25" thickBot="1">
      <c r="A51" s="319" t="s">
        <v>49</v>
      </c>
      <c r="B51" s="319" t="s">
        <v>50</v>
      </c>
      <c r="C51" s="319" t="s">
        <v>51</v>
      </c>
      <c r="D51" s="319" t="s">
        <v>52</v>
      </c>
      <c r="E51" s="320" t="s">
        <v>53</v>
      </c>
      <c r="F51" s="61" t="s">
        <v>54</v>
      </c>
      <c r="G51" s="61" t="s">
        <v>54</v>
      </c>
      <c r="H51" s="61" t="s">
        <v>54</v>
      </c>
      <c r="I51" s="61" t="s">
        <v>54</v>
      </c>
      <c r="J51" s="61" t="s">
        <v>54</v>
      </c>
      <c r="K51" s="61" t="s">
        <v>54</v>
      </c>
      <c r="L51" s="61" t="s">
        <v>54</v>
      </c>
      <c r="M51" s="196" t="s">
        <v>54</v>
      </c>
      <c r="N51" s="197" t="s">
        <v>54</v>
      </c>
      <c r="O51" s="196" t="s">
        <v>54</v>
      </c>
      <c r="P51" s="197" t="s">
        <v>54</v>
      </c>
      <c r="Q51" s="196" t="s">
        <v>54</v>
      </c>
      <c r="R51" s="197" t="s">
        <v>54</v>
      </c>
      <c r="S51" s="196" t="s">
        <v>54</v>
      </c>
      <c r="T51" s="197" t="s">
        <v>54</v>
      </c>
      <c r="U51" s="61" t="s">
        <v>54</v>
      </c>
      <c r="V51" s="197" t="s">
        <v>54</v>
      </c>
      <c r="W51" s="61" t="s">
        <v>54</v>
      </c>
      <c r="X51" s="61" t="s">
        <v>54</v>
      </c>
      <c r="Y51" s="276" t="s">
        <v>54</v>
      </c>
      <c r="Z51" s="277" t="s">
        <v>54</v>
      </c>
      <c r="AA51" s="230"/>
      <c r="AB51" s="63" t="s">
        <v>53</v>
      </c>
      <c r="AC51" s="63" t="s">
        <v>54</v>
      </c>
      <c r="AD51" s="63" t="s">
        <v>54</v>
      </c>
      <c r="AE51" s="231"/>
    </row>
    <row r="52" spans="1:31">
      <c r="A52" s="1"/>
      <c r="B52" s="1"/>
      <c r="C52" s="2"/>
      <c r="D52" s="1"/>
      <c r="E52" s="1"/>
      <c r="F52" s="1"/>
      <c r="G52" s="1"/>
      <c r="H52" s="1"/>
      <c r="I52" s="1"/>
      <c r="J52" s="1"/>
      <c r="M52" s="192"/>
      <c r="N52" s="193"/>
      <c r="O52" s="192"/>
      <c r="P52" s="193"/>
      <c r="Q52" s="192"/>
      <c r="R52" s="193"/>
      <c r="S52" s="192"/>
      <c r="T52" s="193"/>
      <c r="U52" s="1"/>
      <c r="V52" s="193"/>
      <c r="W52" s="1"/>
      <c r="X52" s="193"/>
      <c r="Y52" s="1"/>
      <c r="Z52" s="1"/>
      <c r="AA52" s="230"/>
      <c r="AB52" s="39"/>
      <c r="AC52" s="39"/>
      <c r="AD52" s="39"/>
      <c r="AE52" s="231"/>
    </row>
    <row r="53" spans="1:31">
      <c r="A53" s="65" t="s">
        <v>56</v>
      </c>
      <c r="B53" s="65"/>
      <c r="C53" s="66"/>
      <c r="D53" s="65"/>
      <c r="E53" s="218">
        <f>IFERROR(SUMIFS(E55:E74,D55:D74,"Produit Vente"),"Non trouvé")</f>
        <v>24</v>
      </c>
      <c r="F53" s="68"/>
      <c r="G53" s="68">
        <f>IFERROR(SUM(G55:G74),"Non Trouvé")</f>
        <v>0</v>
      </c>
      <c r="H53" s="68" t="str">
        <f>IFERROR(#REF!/#REF!,"Non Trouvé")</f>
        <v>Non Trouvé</v>
      </c>
      <c r="I53" s="69" t="str">
        <f>IFERROR(-(#REF!-#REF!)/#REF!,"Non Trouvé")</f>
        <v>Non Trouvé</v>
      </c>
      <c r="J53" s="68">
        <f ca="1">IFERROR(SUM(J55:J74),"Non Trouvé")</f>
        <v>863.39614304461031</v>
      </c>
      <c r="K53" s="68">
        <f ca="1">IFERROR(SUM(K55:K74),"Non Trouvé")</f>
        <v>733.88672158791871</v>
      </c>
      <c r="L53" s="68">
        <f ca="1">IFERROR(SUM(L55:L74),"Non Trouvé")</f>
        <v>129.50942145669154</v>
      </c>
      <c r="M53" s="302">
        <f ca="1">SUM(M55:M74)</f>
        <v>0</v>
      </c>
      <c r="N53" s="303">
        <f ca="1">(M53-G53)/M53</f>
        <v>0</v>
      </c>
      <c r="O53" s="302"/>
      <c r="P53" s="303"/>
      <c r="Q53" s="302"/>
      <c r="R53" s="303"/>
      <c r="S53" s="302"/>
      <c r="T53" s="303"/>
      <c r="U53" s="304"/>
      <c r="V53" s="303"/>
      <c r="W53" s="304"/>
      <c r="X53" s="303"/>
      <c r="Y53" s="304"/>
      <c r="Z53" s="305"/>
      <c r="AA53" s="234"/>
      <c r="AB53" s="67">
        <f>B42</f>
        <v>100</v>
      </c>
      <c r="AC53" s="67">
        <f ca="1">Y53+W53+U53+S53+O53+M53+Q53</f>
        <v>0</v>
      </c>
      <c r="AD53" s="74">
        <f ca="1">Z53+X53+V53+T53+P53+N53+R53</f>
        <v>0</v>
      </c>
      <c r="AE53" s="235"/>
    </row>
    <row r="54" spans="1:31">
      <c r="A54" s="1"/>
      <c r="B54" s="1"/>
      <c r="C54" s="2"/>
      <c r="D54" s="1"/>
      <c r="E54" s="1"/>
      <c r="F54" s="1"/>
      <c r="G54" s="1"/>
      <c r="H54" s="1"/>
      <c r="I54" s="1"/>
      <c r="J54" s="1"/>
      <c r="M54" s="192"/>
      <c r="N54" s="193"/>
      <c r="O54" s="192"/>
      <c r="P54" s="193"/>
      <c r="Q54" s="192"/>
      <c r="R54" s="193"/>
      <c r="S54" s="192"/>
      <c r="T54" s="193"/>
      <c r="U54" s="1"/>
      <c r="V54" s="193"/>
      <c r="W54" s="1"/>
      <c r="X54" s="193"/>
      <c r="Y54" s="1"/>
      <c r="Z54" s="1"/>
      <c r="AA54" s="230"/>
      <c r="AB54" s="39"/>
      <c r="AC54" s="39"/>
      <c r="AD54" s="39"/>
      <c r="AE54" s="231"/>
    </row>
    <row r="55" spans="1:31" ht="15.75" thickBot="1">
      <c r="A55" s="180">
        <v>1020202</v>
      </c>
      <c r="B55" s="181" t="str">
        <f ca="1">IFERROR(IF($B55="","",VLOOKUP($B55,'[1]Paramètres Articles'!$B:$G,2,FALSE)),"Non Trouvé")</f>
        <v>Sérum Jour/Nuit - Régénérant - 30 ml</v>
      </c>
      <c r="C55" s="182">
        <f ca="1">IFERROR(IF($B55="","",_xlfn.XLOOKUP(REGENERANTS!$C60,'[1]New Base PA'!$F:$F,'[1]New Base PA'!$D:$D,"Not Found",0)),"Non Trouvé")</f>
        <v>4020829103115</v>
      </c>
      <c r="D55" s="183" t="s">
        <v>90</v>
      </c>
      <c r="E55" s="224">
        <v>8</v>
      </c>
      <c r="F55" s="185"/>
      <c r="G55" s="190">
        <f>E55*F55</f>
        <v>0</v>
      </c>
      <c r="H55" s="185"/>
      <c r="I55" s="216">
        <v>0.15</v>
      </c>
      <c r="J55" s="185">
        <f ca="1">IFERROR(IF($B55="","",VLOOKUP($B55,'[1]Paramètres Articles'!$B:$H,7,FALSE)),"Non Trouvé")</f>
        <v>69.900000000000006</v>
      </c>
      <c r="K55" s="188">
        <f ca="1">J55*(1-I55)</f>
        <v>0</v>
      </c>
      <c r="L55" s="191">
        <f ca="1">IFERROR(J55-K55,"")</f>
        <v>0</v>
      </c>
      <c r="M55" s="296">
        <f>H55*(1-I55)*$N$11*(1-$N$10)</f>
        <v>0</v>
      </c>
      <c r="N55" s="193"/>
      <c r="O55" s="296"/>
      <c r="P55" s="193"/>
      <c r="Q55" s="296"/>
      <c r="R55" s="193"/>
      <c r="S55" s="296"/>
      <c r="T55" s="193"/>
      <c r="U55" s="298"/>
      <c r="V55" s="193"/>
      <c r="W55" s="188"/>
      <c r="X55" s="193"/>
      <c r="Y55" s="191"/>
      <c r="Z55" s="1"/>
      <c r="AA55" s="236"/>
      <c r="AB55" s="96"/>
      <c r="AC55" s="97"/>
      <c r="AD55" s="97"/>
      <c r="AE55" s="237"/>
    </row>
    <row r="56" spans="1:31" ht="15.75" thickBot="1">
      <c r="A56" s="180">
        <v>1020310</v>
      </c>
      <c r="B56" s="181" t="str">
        <f ca="1">IFERROR(IF($B56="","",VLOOKUP($B56,'[1]Paramètres Articles'!$B:$G,2,FALSE)),"Non Trouvé")</f>
        <v>Crème de Jour Eclat du Teint - Régénérant - 40 ml</v>
      </c>
      <c r="C56" s="182">
        <f ca="1">IFERROR(IF($B56="","",_xlfn.XLOOKUP(REGENERANTS!$C61,'[1]New Base PA'!$F:$F,'[1]New Base PA'!$D:$D,"Not Found",0)),"Non Trouvé")</f>
        <v>4020829060999</v>
      </c>
      <c r="D56" s="183" t="s">
        <v>90</v>
      </c>
      <c r="E56" s="224">
        <v>4</v>
      </c>
      <c r="F56" s="185"/>
      <c r="G56" s="190">
        <f t="shared" ref="G56:G74" si="1">E56*F56</f>
        <v>0</v>
      </c>
      <c r="H56" s="185"/>
      <c r="I56" s="216">
        <v>0.15</v>
      </c>
      <c r="J56" s="185">
        <f ca="1">IFERROR(IF($B56="","",VLOOKUP($B56,'[1]Paramètres Articles'!$B:$H,7,FALSE)),"Non Trouvé")</f>
        <v>69.900000000000006</v>
      </c>
      <c r="K56" s="188">
        <f ca="1">J56*(1-I56)</f>
        <v>0</v>
      </c>
      <c r="L56" s="191">
        <f ca="1">IFERROR(J56-K56,"")</f>
        <v>0</v>
      </c>
      <c r="M56" s="296">
        <f>H56*(1-I56)*$N$11*(1-$N$10)</f>
        <v>0</v>
      </c>
      <c r="N56" s="193"/>
      <c r="O56" s="296"/>
      <c r="P56" s="193"/>
      <c r="Q56" s="296"/>
      <c r="R56" s="193"/>
      <c r="S56" s="296"/>
      <c r="T56" s="193"/>
      <c r="U56" s="298"/>
      <c r="V56" s="193"/>
      <c r="W56" s="188"/>
      <c r="X56" s="193"/>
      <c r="Y56" s="191"/>
      <c r="Z56" s="1"/>
      <c r="AA56" s="238"/>
      <c r="AB56" s="225"/>
      <c r="AC56" s="226" t="s">
        <v>91</v>
      </c>
      <c r="AD56" s="116">
        <f ca="1">AC53/AB53</f>
        <v>0</v>
      </c>
      <c r="AE56" s="237"/>
    </row>
    <row r="57" spans="1:31" ht="15.75" thickBot="1">
      <c r="A57" s="180">
        <v>1020401</v>
      </c>
      <c r="B57" s="181" t="str">
        <f ca="1">IFERROR(IF($B57="","",VLOOKUP($B57,'[1]Paramètres Articles'!$B:$G,2,FALSE)),"Non Trouvé")</f>
        <v>Crème Contour des Yeux - Régénérant - 15 ml</v>
      </c>
      <c r="C57" s="182">
        <f ca="1">IFERROR(IF($B57="","",_xlfn.XLOOKUP(REGENERANTS!$C62,'[1]New Base PA'!$F:$F,'[1]New Base PA'!$D:$D,"Not Found",0)),"Non Trouvé")</f>
        <v>4020829013919</v>
      </c>
      <c r="D57" s="183" t="s">
        <v>90</v>
      </c>
      <c r="E57" s="224">
        <v>5</v>
      </c>
      <c r="F57" s="185"/>
      <c r="G57" s="190">
        <f t="shared" si="1"/>
        <v>0</v>
      </c>
      <c r="H57" s="185"/>
      <c r="I57" s="216">
        <v>0.15</v>
      </c>
      <c r="J57" s="185">
        <f ca="1">IFERROR(IF($B57="","",VLOOKUP($B57,'[1]Paramètres Articles'!$B:$H,7,FALSE)),"Non Trouvé")</f>
        <v>67.5</v>
      </c>
      <c r="K57" s="188">
        <f ca="1">J57*(1-I57)</f>
        <v>0</v>
      </c>
      <c r="L57" s="191">
        <f ca="1">IFERROR(J57-K57,"")</f>
        <v>0</v>
      </c>
      <c r="M57" s="296">
        <f>H57*(1-I57)*$N$11*(1-$N$10)</f>
        <v>0</v>
      </c>
      <c r="N57" s="193"/>
      <c r="O57" s="296"/>
      <c r="P57" s="193"/>
      <c r="Q57" s="296"/>
      <c r="R57" s="193"/>
      <c r="S57" s="296"/>
      <c r="T57" s="193"/>
      <c r="U57" s="298"/>
      <c r="V57" s="193"/>
      <c r="W57" s="188"/>
      <c r="X57" s="193"/>
      <c r="Y57" s="191"/>
      <c r="Z57" s="1"/>
      <c r="AA57" s="238"/>
      <c r="AB57" s="225"/>
      <c r="AC57" s="226" t="s">
        <v>92</v>
      </c>
      <c r="AD57" s="118">
        <f ca="1">SUM(AD59:AD62)</f>
        <v>0</v>
      </c>
      <c r="AE57" s="237"/>
    </row>
    <row r="58" spans="1:31">
      <c r="A58" s="180">
        <v>1020302</v>
      </c>
      <c r="B58" s="181" t="str">
        <f ca="1">IFERROR(IF($B58="","",VLOOKUP($B58,'[1]Paramètres Articles'!$B:$G,2,FALSE)),"Non Trouvé")</f>
        <v>Crème Cou et Décolleté - Régénérant - 40 ml</v>
      </c>
      <c r="C58" s="182">
        <f ca="1">IFERROR(IF($B58="","",_xlfn.XLOOKUP(REGENERANTS!$C63,'[1]New Base PA'!$F:$F,'[1]New Base PA'!$D:$D,"Not Found",0)),"Non Trouvé")</f>
        <v>4020829008366</v>
      </c>
      <c r="D58" s="183" t="s">
        <v>90</v>
      </c>
      <c r="E58" s="224">
        <v>1</v>
      </c>
      <c r="F58" s="185"/>
      <c r="G58" s="190">
        <f t="shared" si="1"/>
        <v>0</v>
      </c>
      <c r="H58" s="185"/>
      <c r="I58" s="216">
        <v>0.15</v>
      </c>
      <c r="J58" s="185">
        <f ca="1">IFERROR(IF($B58="","",VLOOKUP($B58,'[1]Paramètres Articles'!$B:$H,7,FALSE)),"Non Trouvé")</f>
        <v>61</v>
      </c>
      <c r="K58" s="188">
        <f ca="1">J58*(1-I58)</f>
        <v>0</v>
      </c>
      <c r="L58" s="191">
        <f ca="1">IFERROR(J58-K58,"")</f>
        <v>0</v>
      </c>
      <c r="M58" s="296">
        <f>H58*(1-I58)*$N$11*(1-$N$10)</f>
        <v>0</v>
      </c>
      <c r="N58" s="193"/>
      <c r="O58" s="296"/>
      <c r="P58" s="193"/>
      <c r="Q58" s="296"/>
      <c r="R58" s="193"/>
      <c r="S58" s="296"/>
      <c r="T58" s="193"/>
      <c r="U58" s="298"/>
      <c r="V58" s="193"/>
      <c r="W58" s="188"/>
      <c r="X58" s="193"/>
      <c r="Y58" s="191"/>
      <c r="Z58" s="1"/>
      <c r="AA58" s="236"/>
      <c r="AB58" s="96"/>
      <c r="AC58" s="97"/>
      <c r="AD58" s="97"/>
      <c r="AE58" s="237"/>
    </row>
    <row r="59" spans="1:31">
      <c r="A59" s="180">
        <v>1020721</v>
      </c>
      <c r="B59" s="181" t="str">
        <f ca="1">IFERROR(IF($B59="","",VLOOKUP($B59,'[1]Paramètres Articles'!$B:$G,2,FALSE)),"Non Trouvé")</f>
        <v>Cure Intensive Fortifiante - Régénérant - 40ml</v>
      </c>
      <c r="C59" s="182">
        <f ca="1">IFERROR(IF($B59="","",_xlfn.XLOOKUP(REGENERANTS!$C64,'[1]New Base PA'!$F:$F,'[1]New Base PA'!$D:$D,"Not Found",0)),"Non Trouvé")</f>
        <v>4020829102941</v>
      </c>
      <c r="D59" s="183" t="s">
        <v>90</v>
      </c>
      <c r="E59" s="224">
        <v>0</v>
      </c>
      <c r="F59" s="185"/>
      <c r="G59" s="190">
        <f t="shared" si="1"/>
        <v>0</v>
      </c>
      <c r="H59" s="185"/>
      <c r="I59" s="216">
        <v>0.15</v>
      </c>
      <c r="J59" s="185">
        <f ca="1">IFERROR(IF($B59="","",VLOOKUP($B59,'[1]Paramètres Articles'!$B:$H,7,FALSE)),"Non Trouvé")</f>
        <v>72.898071522305145</v>
      </c>
      <c r="K59" s="188">
        <f ca="1">J59*(1-I59)</f>
        <v>0</v>
      </c>
      <c r="L59" s="191">
        <f ca="1">IFERROR(J59-K59,"")</f>
        <v>0</v>
      </c>
      <c r="M59" s="296">
        <f>H59*(1-I59)*$N$11*(1-$N$10)</f>
        <v>0</v>
      </c>
      <c r="N59" s="193"/>
      <c r="O59" s="296"/>
      <c r="P59" s="193"/>
      <c r="Q59" s="296"/>
      <c r="R59" s="193"/>
      <c r="S59" s="296"/>
      <c r="T59" s="193"/>
      <c r="U59" s="298"/>
      <c r="V59" s="193"/>
      <c r="W59" s="188"/>
      <c r="X59" s="193"/>
      <c r="Y59" s="191"/>
      <c r="Z59" s="1"/>
      <c r="AA59" s="236"/>
      <c r="AB59" s="96"/>
      <c r="AC59" s="88" t="s">
        <v>93</v>
      </c>
      <c r="AD59" s="239">
        <f ca="1">SUMIF($D$16:$D$36,AC59,$G$16:$G$36)/$AC$15</f>
        <v>0</v>
      </c>
      <c r="AE59" s="237"/>
    </row>
    <row r="60" spans="1:31">
      <c r="A60" s="180">
        <v>1020107</v>
      </c>
      <c r="B60" s="181" t="str">
        <f ca="1">IFERROR(IF($B60="","",VLOOKUP($B60,'[1]Paramètres Articles'!$B:$G,2,FALSE)),"Non Trouvé")</f>
        <v>Lait pour le Corps - Régénérant - 150 ml</v>
      </c>
      <c r="C60" s="182">
        <f ca="1">IFERROR(IF($B60="","",_xlfn.XLOOKUP(REGENERANTS!$C65,'[1]New Base PA'!$F:$F,'[1]New Base PA'!$D:$D,"Not Found",0)),"Non Trouvé")</f>
        <v>4020829103160</v>
      </c>
      <c r="D60" s="183" t="s">
        <v>90</v>
      </c>
      <c r="E60" s="224">
        <v>3</v>
      </c>
      <c r="F60" s="185"/>
      <c r="G60" s="190">
        <f t="shared" si="1"/>
        <v>0</v>
      </c>
      <c r="H60" s="185"/>
      <c r="I60" s="216">
        <v>0.15</v>
      </c>
      <c r="J60" s="185">
        <f ca="1">IFERROR(IF($B60="","",VLOOKUP($B60,'[1]Paramètres Articles'!$B:$H,7,FALSE)),"Non Trouvé")</f>
        <v>44.4</v>
      </c>
      <c r="K60" s="188">
        <f ca="1">J60*(1-I60)</f>
        <v>0</v>
      </c>
      <c r="L60" s="191">
        <f ca="1">IFERROR(J60-K60,"")</f>
        <v>0</v>
      </c>
      <c r="M60" s="296">
        <f>H60*(1-I60)*$N$11*(1-$N$10)</f>
        <v>0</v>
      </c>
      <c r="N60" s="193"/>
      <c r="O60" s="296"/>
      <c r="P60" s="193"/>
      <c r="Q60" s="296"/>
      <c r="R60" s="193"/>
      <c r="S60" s="296"/>
      <c r="T60" s="193"/>
      <c r="U60" s="298"/>
      <c r="V60" s="193"/>
      <c r="W60" s="188"/>
      <c r="X60" s="193"/>
      <c r="Y60" s="191"/>
      <c r="Z60" s="1"/>
      <c r="AA60" s="236"/>
      <c r="AB60" s="96"/>
      <c r="AC60" s="88" t="s">
        <v>94</v>
      </c>
      <c r="AD60" s="239">
        <f ca="1">SUMIF($D$16:$D$36,AC60,$G$16:$G$36)/$AC$15</f>
        <v>0</v>
      </c>
      <c r="AE60" s="237"/>
    </row>
    <row r="61" spans="1:31">
      <c r="A61" s="180">
        <v>1020102</v>
      </c>
      <c r="B61" s="181" t="str">
        <f ca="1">IFERROR(IF($B61="","",VLOOKUP($B61,'[1]Paramètres Articles'!$B:$G,2,FALSE)),"Non Trouvé")</f>
        <v>Crème pour les Mains - Régénérant - 50 ml</v>
      </c>
      <c r="C61" s="182">
        <f ca="1">IFERROR(IF($B61="","",_xlfn.XLOOKUP(REGENERANTS!$C66,'[1]New Base PA'!$F:$F,'[1]New Base PA'!$D:$D,"Not Found",0)),"Non Trouvé")</f>
        <v>4020829049666</v>
      </c>
      <c r="D61" s="183" t="s">
        <v>90</v>
      </c>
      <c r="E61" s="224">
        <v>3</v>
      </c>
      <c r="F61" s="185"/>
      <c r="G61" s="190">
        <f t="shared" si="1"/>
        <v>0</v>
      </c>
      <c r="H61" s="185"/>
      <c r="I61" s="216">
        <v>0.15</v>
      </c>
      <c r="J61" s="185">
        <f ca="1">IFERROR(IF($B61="","",VLOOKUP($B61,'[1]Paramètres Articles'!$B:$H,7,FALSE)),"Non Trouvé")</f>
        <v>29.5</v>
      </c>
      <c r="K61" s="188">
        <f ca="1">J61*(1-I61)</f>
        <v>0</v>
      </c>
      <c r="L61" s="191">
        <f ca="1">IFERROR(J61-K61,"")</f>
        <v>0</v>
      </c>
      <c r="M61" s="296">
        <f>H61*(1-I61)*$N$11*(1-$N$10)</f>
        <v>0</v>
      </c>
      <c r="N61" s="193"/>
      <c r="O61" s="296"/>
      <c r="P61" s="193"/>
      <c r="Q61" s="296"/>
      <c r="R61" s="193"/>
      <c r="S61" s="296"/>
      <c r="T61" s="193"/>
      <c r="U61" s="298"/>
      <c r="V61" s="193"/>
      <c r="W61" s="188"/>
      <c r="X61" s="193"/>
      <c r="Y61" s="191"/>
      <c r="Z61" s="1"/>
      <c r="AA61" s="236"/>
      <c r="AB61" s="96"/>
      <c r="AC61" s="88" t="s">
        <v>95</v>
      </c>
      <c r="AD61" s="239">
        <f ca="1">SUMIF($D$16:$D$36,AC61,$G$16:$G$36)/$AC$15</f>
        <v>0</v>
      </c>
      <c r="AE61" s="237"/>
    </row>
    <row r="62" spans="1:31">
      <c r="A62" s="180">
        <v>1020722</v>
      </c>
      <c r="B62" s="181" t="str">
        <f ca="1">IFERROR(IF($B62="","",VLOOKUP($B62,'[1]Paramètres Articles'!$B:$G,2,FALSE)),"Non Trouvé")</f>
        <v>Cure Intensive Rééquilibrante - Régénérant Intensif - 40ml</v>
      </c>
      <c r="C62" s="182">
        <f ca="1">IFERROR(IF($B62="","",_xlfn.XLOOKUP(REGENERANTS!$C67,'[1]New Base PA'!$F:$F,'[1]New Base PA'!$D:$D,"Not Found",0)),"Non Trouvé")</f>
        <v>4020829102934</v>
      </c>
      <c r="D62" s="183" t="s">
        <v>90</v>
      </c>
      <c r="E62" s="224">
        <v>0</v>
      </c>
      <c r="F62" s="185"/>
      <c r="G62" s="190">
        <f t="shared" si="1"/>
        <v>0</v>
      </c>
      <c r="H62" s="185"/>
      <c r="I62" s="216">
        <v>0.15</v>
      </c>
      <c r="J62" s="185">
        <f ca="1">IFERROR(IF($B62="","",VLOOKUP($B62,'[1]Paramètres Articles'!$B:$H,7,FALSE)),"Non Trouvé")</f>
        <v>72.898071522305145</v>
      </c>
      <c r="K62" s="188">
        <f ca="1">J62*(1-I62)</f>
        <v>0</v>
      </c>
      <c r="L62" s="191">
        <f ca="1">IFERROR(J62-K62,"")</f>
        <v>0</v>
      </c>
      <c r="M62" s="296">
        <f>H62*(1-I62)*$N$11*(1-$N$10)</f>
        <v>0</v>
      </c>
      <c r="N62" s="193"/>
      <c r="O62" s="296"/>
      <c r="P62" s="193"/>
      <c r="Q62" s="296"/>
      <c r="R62" s="193"/>
      <c r="S62" s="296"/>
      <c r="T62" s="193"/>
      <c r="U62" s="298"/>
      <c r="V62" s="193"/>
      <c r="W62" s="188"/>
      <c r="X62" s="193"/>
      <c r="Y62" s="191"/>
      <c r="Z62" s="1"/>
      <c r="AA62" s="236"/>
      <c r="AB62" s="96"/>
      <c r="AC62" s="88" t="s">
        <v>96</v>
      </c>
      <c r="AD62" s="239">
        <f ca="1">SUMIF($D$16:$D$36,AC62,$G$16:$G$36)/$AC$15</f>
        <v>0</v>
      </c>
      <c r="AE62" s="237"/>
    </row>
    <row r="63" spans="1:31">
      <c r="A63" s="180">
        <v>1020719</v>
      </c>
      <c r="B63" s="181" t="str">
        <f ca="1">IFERROR(IF($B63="","",VLOOKUP($B63,'[1]Paramètres Articles'!$B:$G,2,FALSE)),"Non Trouvé")</f>
        <v>Huile Fortifiante - Régénérant Intensif - 20ml</v>
      </c>
      <c r="C63" s="182">
        <f ca="1">IFERROR(IF($B63="","",_xlfn.XLOOKUP(REGENERANTS!$C68,'[1]New Base PA'!$F:$F,'[1]New Base PA'!$D:$D,"Not Found",0)),"Non Trouvé")</f>
        <v>4020829103030</v>
      </c>
      <c r="D63" s="183" t="s">
        <v>90</v>
      </c>
      <c r="E63" s="224"/>
      <c r="F63" s="185"/>
      <c r="G63" s="190">
        <f t="shared" si="1"/>
        <v>0</v>
      </c>
      <c r="H63" s="185"/>
      <c r="I63" s="216">
        <v>0.15</v>
      </c>
      <c r="J63" s="185">
        <f ca="1">IFERROR(IF($B63="","",VLOOKUP($B63,'[1]Paramètres Articles'!$B:$H,7,FALSE)),"Non Trouvé")</f>
        <v>79.5</v>
      </c>
      <c r="K63" s="188">
        <f ca="1">J63*(1-I63)</f>
        <v>0</v>
      </c>
      <c r="L63" s="191">
        <f ca="1">IFERROR(J63-K63,"")</f>
        <v>0</v>
      </c>
      <c r="M63" s="296">
        <f>H63*(1-I63)*$N$11*(1-$N$10)</f>
        <v>0</v>
      </c>
      <c r="N63" s="193"/>
      <c r="O63" s="296"/>
      <c r="P63" s="193"/>
      <c r="Q63" s="296"/>
      <c r="R63" s="193"/>
      <c r="S63" s="296"/>
      <c r="T63" s="193"/>
      <c r="U63" s="298"/>
      <c r="V63" s="193"/>
      <c r="W63" s="188"/>
      <c r="X63" s="193"/>
      <c r="Y63" s="191"/>
      <c r="Z63" s="1"/>
      <c r="AA63" s="236"/>
      <c r="AB63" s="96"/>
      <c r="AC63" s="97"/>
      <c r="AD63" s="97"/>
      <c r="AE63" s="237"/>
    </row>
    <row r="64" spans="1:31">
      <c r="A64" s="180">
        <v>1020717</v>
      </c>
      <c r="B64" s="181" t="str">
        <f ca="1">IFERROR(IF($B64="","",VLOOKUP($B64,'[1]Paramètres Articles'!$B:$G,2,FALSE)),"Non Trouvé")</f>
        <v>Sérum Contour des Yeux - Régénérant Intensif -15 ml</v>
      </c>
      <c r="C64" s="182">
        <f ca="1">IFERROR(IF($B64="","",_xlfn.XLOOKUP(REGENERANTS!$C69,'[1]New Base PA'!$F:$F,'[1]New Base PA'!$D:$D,"Not Found",0)),"Non Trouvé")</f>
        <v>4020829101067</v>
      </c>
      <c r="D64" s="183" t="s">
        <v>90</v>
      </c>
      <c r="E64" s="224"/>
      <c r="F64" s="185"/>
      <c r="G64" s="190">
        <f t="shared" si="1"/>
        <v>0</v>
      </c>
      <c r="H64" s="185"/>
      <c r="I64" s="216">
        <v>0.15</v>
      </c>
      <c r="J64" s="185">
        <f ca="1">IFERROR(IF($B64="","",VLOOKUP($B64,'[1]Paramètres Articles'!$B:$H,7,FALSE)),"Non Trouvé")</f>
        <v>75</v>
      </c>
      <c r="K64" s="188">
        <f ca="1">J64*(1-I64)</f>
        <v>0</v>
      </c>
      <c r="L64" s="191">
        <f ca="1">IFERROR(J64-K64,"")</f>
        <v>0</v>
      </c>
      <c r="M64" s="296">
        <f>H64*(1-I64)*$N$11*(1-$N$10)</f>
        <v>0</v>
      </c>
      <c r="N64" s="193"/>
      <c r="O64" s="296"/>
      <c r="P64" s="193"/>
      <c r="Q64" s="296"/>
      <c r="R64" s="193"/>
      <c r="S64" s="296"/>
      <c r="T64" s="193"/>
      <c r="U64" s="298"/>
      <c r="V64" s="193"/>
      <c r="W64" s="188"/>
      <c r="X64" s="193"/>
      <c r="Y64" s="191"/>
      <c r="Z64" s="1"/>
      <c r="AA64" s="236"/>
      <c r="AB64" s="96"/>
      <c r="AC64" s="97"/>
      <c r="AD64" s="97"/>
      <c r="AE64" s="237"/>
    </row>
    <row r="65" spans="1:31">
      <c r="A65" s="180">
        <v>1020718</v>
      </c>
      <c r="B65" s="181" t="str">
        <f ca="1">IFERROR(IF($B65="","",VLOOKUP($B65,'[1]Paramètres Articles'!$B:$G,2,FALSE)),"Non Trouvé")</f>
        <v>Sérum de Nuit - Régénérant Intensif - 30 ml</v>
      </c>
      <c r="C65" s="182">
        <f ca="1">IFERROR(IF($B65="","",_xlfn.XLOOKUP(REGENERANTS!$C70,'[1]New Base PA'!$F:$F,'[1]New Base PA'!$D:$D,"Not Found",0)),"Non Trouvé")</f>
        <v>4020829101111</v>
      </c>
      <c r="D65" s="183" t="s">
        <v>90</v>
      </c>
      <c r="E65" s="224"/>
      <c r="F65" s="185"/>
      <c r="G65" s="190">
        <f t="shared" si="1"/>
        <v>0</v>
      </c>
      <c r="H65" s="185"/>
      <c r="I65" s="216">
        <v>0.15</v>
      </c>
      <c r="J65" s="185">
        <f ca="1">IFERROR(IF($B65="","",VLOOKUP($B65,'[1]Paramètres Articles'!$B:$H,7,FALSE)),"Non Trouvé")</f>
        <v>79.5</v>
      </c>
      <c r="K65" s="188">
        <f ca="1">J65*(1-I65)</f>
        <v>0</v>
      </c>
      <c r="L65" s="191">
        <f ca="1">IFERROR(J65-K65,"")</f>
        <v>0</v>
      </c>
      <c r="M65" s="296">
        <f>H65*(1-I65)*$N$11*(1-$N$10)</f>
        <v>0</v>
      </c>
      <c r="N65" s="193"/>
      <c r="O65" s="296"/>
      <c r="P65" s="193"/>
      <c r="Q65" s="296"/>
      <c r="R65" s="193"/>
      <c r="S65" s="296"/>
      <c r="T65" s="193"/>
      <c r="U65" s="298"/>
      <c r="V65" s="193"/>
      <c r="W65" s="188"/>
      <c r="X65" s="193"/>
      <c r="Y65" s="191"/>
      <c r="Z65" s="1"/>
      <c r="AA65" s="236"/>
      <c r="AB65" s="96"/>
      <c r="AC65" s="97"/>
      <c r="AD65" s="97"/>
      <c r="AE65" s="237"/>
    </row>
    <row r="66" spans="1:31">
      <c r="A66" s="180">
        <v>1020301</v>
      </c>
      <c r="B66" s="181" t="str">
        <f ca="1">IFERROR(IF($B66="","",VLOOKUP($B66,'[1]Paramètres Articles'!$B:$G,2,FALSE)),"Non Trouvé")</f>
        <v>Crème de Jour - Régénérant - 40 ml</v>
      </c>
      <c r="C66" s="182">
        <f ca="1">IFERROR(IF($B66="","",_xlfn.XLOOKUP(REGENERANTS!$C71,'[1]New Base PA'!$F:$F,'[1]New Base PA'!$D:$D,"Not Found",0)),"Non Trouvé")</f>
        <v>4020829007383</v>
      </c>
      <c r="D66" s="183" t="s">
        <v>90</v>
      </c>
      <c r="E66" s="224"/>
      <c r="F66" s="185"/>
      <c r="G66" s="190">
        <f t="shared" si="1"/>
        <v>0</v>
      </c>
      <c r="H66" s="185"/>
      <c r="I66" s="216">
        <v>0.15</v>
      </c>
      <c r="J66" s="185">
        <f ca="1">IFERROR(IF($B66="","",VLOOKUP($B66,'[1]Paramètres Articles'!$B:$H,7,FALSE)),"Non Trouvé")</f>
        <v>65.5</v>
      </c>
      <c r="K66" s="188">
        <f ca="1">J66*(1-I66)</f>
        <v>0</v>
      </c>
      <c r="L66" s="191">
        <f ca="1">IFERROR(J66-K66,"")</f>
        <v>0</v>
      </c>
      <c r="M66" s="296">
        <f>H66*(1-I66)*$N$11*(1-$N$10)</f>
        <v>0</v>
      </c>
      <c r="N66" s="193"/>
      <c r="O66" s="296"/>
      <c r="P66" s="193"/>
      <c r="Q66" s="296"/>
      <c r="R66" s="193"/>
      <c r="S66" s="296"/>
      <c r="T66" s="193"/>
      <c r="U66" s="298"/>
      <c r="V66" s="193"/>
      <c r="W66" s="188"/>
      <c r="X66" s="193"/>
      <c r="Y66" s="191"/>
      <c r="Z66" s="1"/>
      <c r="AA66" s="236"/>
      <c r="AB66" s="96"/>
      <c r="AC66" s="97"/>
      <c r="AD66" s="97"/>
      <c r="AE66" s="237"/>
    </row>
    <row r="67" spans="1:31">
      <c r="A67" s="180">
        <v>1020720</v>
      </c>
      <c r="B67" s="181" t="str">
        <f ca="1">IFERROR(IF($B67="","",VLOOKUP($B67,'[1]Paramètres Articles'!$B:$G,2,FALSE)),"Non Trouvé")</f>
        <v>Crème de Jour - Régénérant Intensif - 40ml</v>
      </c>
      <c r="C67" s="182">
        <f ca="1">IFERROR(IF($B67="","",_xlfn.XLOOKUP(REGENERANTS!$C72,'[1]New Base PA'!$F:$F,'[1]New Base PA'!$D:$D,"Not Found",0)),"Non Trouvé")</f>
        <v>4020829102972</v>
      </c>
      <c r="D67" s="183" t="s">
        <v>90</v>
      </c>
      <c r="E67" s="224"/>
      <c r="F67" s="185"/>
      <c r="G67" s="190">
        <f t="shared" si="1"/>
        <v>0</v>
      </c>
      <c r="H67" s="185"/>
      <c r="I67" s="216">
        <v>0.15</v>
      </c>
      <c r="J67" s="185">
        <f ca="1">IFERROR(IF($B67="","",VLOOKUP($B67,'[1]Paramètres Articles'!$B:$H,7,FALSE)),"Non Trouvé")</f>
        <v>75.900000000000006</v>
      </c>
      <c r="K67" s="188">
        <f ca="1">J67*(1-I67)</f>
        <v>0</v>
      </c>
      <c r="L67" s="191">
        <f ca="1">IFERROR(J67-K67,"")</f>
        <v>0</v>
      </c>
      <c r="M67" s="296">
        <f>H67*(1-I67)*$N$11*(1-$N$10)</f>
        <v>0</v>
      </c>
      <c r="N67" s="193"/>
      <c r="O67" s="296"/>
      <c r="P67" s="193"/>
      <c r="Q67" s="296"/>
      <c r="R67" s="193"/>
      <c r="S67" s="296"/>
      <c r="T67" s="193"/>
      <c r="U67" s="298"/>
      <c r="V67" s="193"/>
      <c r="W67" s="188"/>
      <c r="X67" s="193"/>
      <c r="Y67" s="191"/>
      <c r="Z67" s="1"/>
      <c r="AA67" s="236"/>
      <c r="AB67" s="96"/>
      <c r="AC67" s="128"/>
      <c r="AD67" s="97"/>
      <c r="AE67" s="237"/>
    </row>
    <row r="68" spans="1:31">
      <c r="A68" s="219" t="s">
        <v>97</v>
      </c>
      <c r="B68" s="220" t="str">
        <f ca="1">IFERROR(IF($B68="","",VLOOKUP($B68,'[1]Paramètres Articles'!$B:$G,2,FALSE)),"Non Trouvé")</f>
        <v>Panneau vitrine Régénérants 2026</v>
      </c>
      <c r="C68" s="221">
        <f ca="1">IFERROR(IF($B68="","",_xlfn.XLOOKUP(REGENERANTS!$C73,'[1]New Base PA'!$F:$F,'[1]New Base PA'!$D:$D,"Not Found",0)),"Non Trouvé")</f>
        <v>0</v>
      </c>
      <c r="D68" s="222" t="s">
        <v>94</v>
      </c>
      <c r="E68" s="223">
        <v>1</v>
      </c>
      <c r="F68" s="185"/>
      <c r="G68" s="190">
        <f t="shared" si="1"/>
        <v>0</v>
      </c>
      <c r="H68" s="186"/>
      <c r="I68" s="216"/>
      <c r="J68" s="185">
        <f ca="1">IFERROR(IF($B68="","",VLOOKUP($B68,'[1]Paramètres Articles'!$B:$H,7,FALSE)),"Non Trouvé")</f>
        <v>0</v>
      </c>
      <c r="K68" s="188" t="str">
        <f ca="1">IFERROR(IF($B68="","",IF(#REF!="","",#REF!*(1-#REF!))),"Non Trouvé")</f>
        <v/>
      </c>
      <c r="L68" s="191" t="str">
        <f ca="1">IFERROR(J68-K68,"")</f>
        <v/>
      </c>
      <c r="M68" s="296">
        <f ca="1">IFERROR(IF($B68="","",IF(#REF!="Cascade",#REF!*(1-#REF!)*#REF!,IF(#REF!="Additionnelle",(#REF!-(#REF!*(#REF!+#REF!)))*#REF!))),"Non Trouvé")</f>
        <v>0</v>
      </c>
      <c r="N68" s="193"/>
      <c r="O68" s="296"/>
      <c r="P68" s="193"/>
      <c r="Q68" s="296"/>
      <c r="R68" s="193"/>
      <c r="S68" s="296"/>
      <c r="T68" s="193"/>
      <c r="U68" s="298"/>
      <c r="V68" s="193"/>
      <c r="W68" s="188"/>
      <c r="X68" s="193"/>
      <c r="Y68" s="191"/>
      <c r="Z68" s="1"/>
      <c r="AA68" s="236"/>
      <c r="AB68" s="96"/>
      <c r="AC68" s="97"/>
      <c r="AD68" s="133"/>
      <c r="AE68" s="237"/>
    </row>
    <row r="69" spans="1:31">
      <c r="A69" s="219" t="s">
        <v>99</v>
      </c>
      <c r="B69" s="220" t="str">
        <f ca="1">IFERROR(IF($B69="","",VLOOKUP($B69,'[1]Paramètres Articles'!$B:$G,2,FALSE)),"Non Trouvé")</f>
        <v>Présentoir Régénérants 2026</v>
      </c>
      <c r="C69" s="221">
        <f ca="1">IFERROR(IF($B69="","",_xlfn.XLOOKUP(REGENERANTS!$C74,'[1]New Base PA'!$F:$F,'[1]New Base PA'!$D:$D,"Not Found",0)),"Non Trouvé")</f>
        <v>0</v>
      </c>
      <c r="D69" s="222" t="s">
        <v>94</v>
      </c>
      <c r="E69" s="223">
        <v>1</v>
      </c>
      <c r="F69" s="185"/>
      <c r="G69" s="190">
        <f t="shared" si="1"/>
        <v>0</v>
      </c>
      <c r="H69" s="186"/>
      <c r="I69" s="216"/>
      <c r="J69" s="185">
        <f ca="1">IFERROR(IF($B69="","",VLOOKUP($B69,'[1]Paramètres Articles'!$B:$H,7,FALSE)),"Non Trouvé")</f>
        <v>0</v>
      </c>
      <c r="K69" s="188" t="str">
        <f ca="1">IFERROR(IF($B69="","",IF(#REF!="","",#REF!*(1-#REF!))),"Non Trouvé")</f>
        <v/>
      </c>
      <c r="L69" s="191" t="str">
        <f ca="1">IFERROR(J69-K69,"")</f>
        <v/>
      </c>
      <c r="M69" s="296">
        <f ca="1">IFERROR(IF($B69="","",IF(#REF!="Cascade",#REF!*(1-#REF!)*#REF!,IF(#REF!="Additionnelle",(#REF!-(#REF!*(#REF!+#REF!)))*#REF!))),"Non Trouvé")</f>
        <v>0</v>
      </c>
      <c r="N69" s="193"/>
      <c r="O69" s="296"/>
      <c r="P69" s="193"/>
      <c r="Q69" s="296"/>
      <c r="R69" s="193"/>
      <c r="S69" s="296"/>
      <c r="T69" s="193"/>
      <c r="U69" s="298"/>
      <c r="V69" s="193"/>
      <c r="W69" s="188"/>
      <c r="X69" s="193"/>
      <c r="Y69" s="191"/>
      <c r="Z69" s="1"/>
      <c r="AA69" s="236"/>
      <c r="AB69" s="96"/>
      <c r="AC69" s="97"/>
      <c r="AD69" s="134"/>
      <c r="AE69" s="237"/>
    </row>
    <row r="70" spans="1:31">
      <c r="A70" s="219">
        <v>3020202</v>
      </c>
      <c r="B70" s="220" t="str">
        <f ca="1">IFERROR(IF($B70="","",VLOOKUP($B70,'[1]Paramètres Articles'!$B:$G,2,FALSE)),"Non Trouvé")</f>
        <v>Testeur - Sérum Jour / Nuit - Régénérant 30ml - 15% comprise</v>
      </c>
      <c r="C70" s="221">
        <f ca="1">IFERROR(IF($B70="","",_xlfn.XLOOKUP(REGENERANTS!$C75,'[1]New Base PA'!$F:$F,'[1]New Base PA'!$D:$D,"Not Found",0)),"Non Trouvé")</f>
        <v>4020829103146</v>
      </c>
      <c r="D70" s="222" t="s">
        <v>96</v>
      </c>
      <c r="E70" s="223">
        <v>1</v>
      </c>
      <c r="F70" s="185"/>
      <c r="G70" s="190">
        <f t="shared" si="1"/>
        <v>0</v>
      </c>
      <c r="H70" s="186"/>
      <c r="I70" s="216"/>
      <c r="J70" s="185" t="str">
        <f ca="1">IFERROR(IF($B70="","",VLOOKUP($B70,'[1]Paramètres Articles'!$B:$H,7,FALSE)),"Non Trouvé")</f>
        <v>Non Trouvé</v>
      </c>
      <c r="K70" s="188" t="str">
        <f ca="1">IFERROR(IF($B70="","",IF(#REF!="","",#REF!*(1-#REF!))),"Non Trouvé")</f>
        <v/>
      </c>
      <c r="L70" s="191" t="str">
        <f ca="1">IFERROR(J70-K70,"")</f>
        <v/>
      </c>
      <c r="M70" s="296">
        <f ca="1">IFERROR(IF($B70="","",IF(#REF!="Cascade",#REF!*(1-#REF!)*#REF!,IF(#REF!="Additionnelle",(#REF!-(#REF!*(#REF!+#REF!)))*#REF!))),"Non Trouvé")</f>
        <v>0</v>
      </c>
      <c r="N70" s="193"/>
      <c r="O70" s="296"/>
      <c r="P70" s="193"/>
      <c r="Q70" s="296"/>
      <c r="R70" s="193"/>
      <c r="S70" s="296"/>
      <c r="T70" s="193"/>
      <c r="U70" s="298"/>
      <c r="V70" s="193"/>
      <c r="W70" s="188"/>
      <c r="X70" s="193"/>
      <c r="Y70" s="191"/>
      <c r="Z70" s="1"/>
      <c r="AA70" s="236"/>
      <c r="AB70" s="96"/>
      <c r="AC70" s="97"/>
      <c r="AD70" s="240"/>
      <c r="AE70" s="237"/>
    </row>
    <row r="71" spans="1:31">
      <c r="A71" s="219">
        <v>3020301</v>
      </c>
      <c r="B71" s="220" t="str">
        <f ca="1">IFERROR(IF($B71="","",VLOOKUP($B71,'[1]Paramètres Articles'!$B:$G,2,FALSE)),"Non Trouvé")</f>
        <v>Testeur - Crème de Jour Régénérante 40 ml - 15% comprise</v>
      </c>
      <c r="C71" s="221">
        <f ca="1">IFERROR(IF($B71="","",_xlfn.XLOOKUP(REGENERANTS!$C76,'[1]New Base PA'!$F:$F,'[1]New Base PA'!$D:$D,"Not Found",0)),"Non Trouvé")</f>
        <v>4020829007123</v>
      </c>
      <c r="D71" s="222" t="s">
        <v>96</v>
      </c>
      <c r="E71" s="223">
        <v>1</v>
      </c>
      <c r="F71" s="185"/>
      <c r="G71" s="190">
        <f t="shared" si="1"/>
        <v>0</v>
      </c>
      <c r="H71" s="186"/>
      <c r="I71" s="216"/>
      <c r="J71" s="185" t="str">
        <f ca="1">IFERROR(IF($B71="","",VLOOKUP($B71,'[1]Paramètres Articles'!$B:$H,7,FALSE)),"Non Trouvé")</f>
        <v>Non Trouvé</v>
      </c>
      <c r="K71" s="188" t="str">
        <f ca="1">IFERROR(IF($B71="","",IF(#REF!="","",#REF!*(1-#REF!))),"Non Trouvé")</f>
        <v/>
      </c>
      <c r="L71" s="191" t="str">
        <f ca="1">IFERROR(J71-K71,"")</f>
        <v/>
      </c>
      <c r="M71" s="296">
        <f ca="1">IFERROR(IF($B71="","",IF(#REF!="Cascade",#REF!*(1-#REF!)*#REF!,IF(#REF!="Additionnelle",(#REF!-(#REF!*(#REF!+#REF!)))*#REF!))),"Non Trouvé")</f>
        <v>0</v>
      </c>
      <c r="N71" s="193"/>
      <c r="O71" s="296"/>
      <c r="P71" s="193"/>
      <c r="Q71" s="296"/>
      <c r="R71" s="193"/>
      <c r="S71" s="296"/>
      <c r="T71" s="193"/>
      <c r="U71" s="298"/>
      <c r="V71" s="193"/>
      <c r="W71" s="188"/>
      <c r="X71" s="193"/>
      <c r="Y71" s="191"/>
      <c r="Z71" s="1"/>
      <c r="AA71" s="236"/>
      <c r="AB71" s="96"/>
      <c r="AC71" s="97"/>
      <c r="AD71" s="134"/>
      <c r="AE71" s="237"/>
    </row>
    <row r="72" spans="1:31">
      <c r="A72" s="219">
        <v>3020720</v>
      </c>
      <c r="B72" s="220" t="str">
        <f ca="1">IFERROR(IF($B72="","",VLOOKUP($B72,'[1]Paramètres Articles'!$B:$G,2,FALSE)),"Non Trouvé")</f>
        <v>Testeur - Crème de Jour - Régénérant Intensif - 40ml - 15 % comprise</v>
      </c>
      <c r="C72" s="221">
        <f ca="1">IFERROR(IF($B72="","",_xlfn.XLOOKUP(REGENERANTS!$C77,'[1]New Base PA'!$F:$F,'[1]New Base PA'!$D:$D,"Not Found",0)),"Non Trouvé")</f>
        <v>4020829103207</v>
      </c>
      <c r="D72" s="222" t="s">
        <v>96</v>
      </c>
      <c r="E72" s="223">
        <v>1</v>
      </c>
      <c r="F72" s="185"/>
      <c r="G72" s="190">
        <f t="shared" si="1"/>
        <v>0</v>
      </c>
      <c r="H72" s="186"/>
      <c r="I72" s="216"/>
      <c r="J72" s="185" t="str">
        <f ca="1">IFERROR(IF($B72="","",VLOOKUP($B72,'[1]Paramètres Articles'!$B:$H,7,FALSE)),"Non Trouvé")</f>
        <v>Non Trouvé</v>
      </c>
      <c r="K72" s="188" t="str">
        <f ca="1">IFERROR(IF($B72="","",IF(#REF!="","",#REF!*(1-#REF!))),"Non Trouvé")</f>
        <v/>
      </c>
      <c r="L72" s="191" t="str">
        <f ca="1">IFERROR(J72-K72,"")</f>
        <v/>
      </c>
      <c r="M72" s="296">
        <f ca="1">IFERROR(IF($B72="","",IF(#REF!="Cascade",#REF!*(1-#REF!)*#REF!,IF(#REF!="Additionnelle",(#REF!-(#REF!*(#REF!+#REF!)))*#REF!))),"Non Trouvé")</f>
        <v>0</v>
      </c>
      <c r="N72" s="193"/>
      <c r="O72" s="296"/>
      <c r="P72" s="193"/>
      <c r="Q72" s="296"/>
      <c r="R72" s="193"/>
      <c r="S72" s="296"/>
      <c r="T72" s="193"/>
      <c r="U72" s="298"/>
      <c r="V72" s="193"/>
      <c r="W72" s="188"/>
      <c r="X72" s="193"/>
      <c r="Y72" s="191"/>
      <c r="Z72" s="1"/>
      <c r="AA72" s="236"/>
      <c r="AB72" s="96"/>
      <c r="AC72" s="96"/>
      <c r="AD72" s="96"/>
      <c r="AE72" s="237"/>
    </row>
    <row r="73" spans="1:31">
      <c r="A73" s="219">
        <v>3020718</v>
      </c>
      <c r="B73" s="220" t="str">
        <f ca="1">IFERROR(IF($B73="","",VLOOKUP($B73,'[1]Paramètres Articles'!$B:$G,2,FALSE)),"Non Trouvé")</f>
        <v>Testeur - Sérum de Nuit - Régénérant Intensif 30ml - 15% comprise</v>
      </c>
      <c r="C73" s="221">
        <f ca="1">IFERROR(IF($B73="","",_xlfn.XLOOKUP(REGENERANTS!$C78,'[1]New Base PA'!$F:$F,'[1]New Base PA'!$D:$D,"Not Found",0)),"Non Trouvé")</f>
        <v>4020829101142</v>
      </c>
      <c r="D73" s="222" t="s">
        <v>96</v>
      </c>
      <c r="E73" s="223">
        <v>1</v>
      </c>
      <c r="F73" s="185"/>
      <c r="G73" s="190">
        <f t="shared" si="1"/>
        <v>0</v>
      </c>
      <c r="H73" s="186"/>
      <c r="I73" s="216"/>
      <c r="J73" s="185" t="str">
        <f ca="1">IFERROR(IF($B73="","",VLOOKUP($B73,'[1]Paramètres Articles'!$B:$H,7,FALSE)),"Non Trouvé")</f>
        <v>Non Trouvé</v>
      </c>
      <c r="K73" s="188" t="str">
        <f ca="1">IFERROR(IF($B73="","",IF(#REF!="","",#REF!*(1-#REF!))),"Non Trouvé")</f>
        <v/>
      </c>
      <c r="L73" s="191" t="str">
        <f ca="1">IFERROR(J73-K73,"")</f>
        <v/>
      </c>
      <c r="M73" s="296">
        <f ca="1">IFERROR(IF($B73="","",IF(#REF!="Cascade",#REF!*(1-#REF!)*#REF!,IF(#REF!="Additionnelle",(#REF!-(#REF!*(#REF!+#REF!)))*#REF!))),"Non Trouvé")</f>
        <v>0</v>
      </c>
      <c r="N73" s="193"/>
      <c r="O73" s="296"/>
      <c r="P73" s="193"/>
      <c r="Q73" s="296"/>
      <c r="R73" s="193"/>
      <c r="S73" s="296"/>
      <c r="T73" s="193"/>
      <c r="U73" s="298"/>
      <c r="V73" s="193"/>
      <c r="W73" s="188"/>
      <c r="X73" s="193"/>
      <c r="Y73" s="191"/>
      <c r="Z73" s="1"/>
      <c r="AA73" s="236"/>
      <c r="AB73" s="96"/>
      <c r="AC73" s="128"/>
      <c r="AD73" s="96"/>
      <c r="AE73" s="237"/>
    </row>
    <row r="74" spans="1:31" ht="15.75" thickBot="1">
      <c r="A74" s="219" t="s">
        <v>105</v>
      </c>
      <c r="B74" s="220" t="str">
        <f ca="1">IFERROR(IF($B74="","",VLOOKUP($B74,'[1]Paramètres Articles'!$B:$G,2,FALSE)),"Non Trouvé")</f>
        <v>Stop-rayon promo Régénérants 2026 -10€</v>
      </c>
      <c r="C74" s="221">
        <f ca="1">IFERROR(IF($B74="","",_xlfn.XLOOKUP(REGENERANTS!$C79,'[1]New Base PA'!$F:$F,'[1]New Base PA'!$D:$D,"Not Found",0)),"Non Trouvé")</f>
        <v>0</v>
      </c>
      <c r="D74" s="222" t="s">
        <v>94</v>
      </c>
      <c r="E74" s="223">
        <v>1</v>
      </c>
      <c r="F74" s="185"/>
      <c r="G74" s="190">
        <f t="shared" si="1"/>
        <v>0</v>
      </c>
      <c r="H74" s="186"/>
      <c r="I74" s="216"/>
      <c r="J74" s="185">
        <f ca="1">IFERROR(IF($B74="","",VLOOKUP($B74,'[1]Paramètres Articles'!$B:$H,7,FALSE)),"Non Trouvé")</f>
        <v>0</v>
      </c>
      <c r="K74" s="188" t="str">
        <f ca="1">IFERROR(IF($B74="","",IF(#REF!="","",#REF!*(1-#REF!))),"Non Trouvé")</f>
        <v/>
      </c>
      <c r="L74" s="191" t="str">
        <f ca="1">IFERROR(J74-K74,"")</f>
        <v/>
      </c>
      <c r="M74" s="297">
        <f ca="1">IFERROR(IF($B74="","",IF(#REF!="Cascade",#REF!*(1-#REF!)*#REF!,IF(#REF!="Additionnelle",(#REF!-(#REF!*(#REF!+#REF!)))*#REF!))),"Non Trouvé")</f>
        <v>0</v>
      </c>
      <c r="N74" s="199"/>
      <c r="O74" s="297"/>
      <c r="P74" s="199"/>
      <c r="Q74" s="297"/>
      <c r="R74" s="199"/>
      <c r="S74" s="297"/>
      <c r="T74" s="199"/>
      <c r="U74" s="299"/>
      <c r="V74" s="199"/>
      <c r="W74" s="300"/>
      <c r="X74" s="199"/>
      <c r="Y74" s="301"/>
      <c r="Z74" s="198"/>
      <c r="AA74" s="241"/>
      <c r="AB74" s="242"/>
      <c r="AC74" s="243"/>
      <c r="AD74" s="244"/>
      <c r="AE74" s="245"/>
    </row>
    <row r="76" spans="1:31">
      <c r="A76" s="22" t="s">
        <v>145</v>
      </c>
      <c r="B76" s="23"/>
      <c r="C76" s="24"/>
      <c r="D76" s="25" t="s">
        <v>160</v>
      </c>
      <c r="E76" s="23"/>
      <c r="F76" s="23"/>
      <c r="G76" s="23"/>
      <c r="H76" s="23"/>
      <c r="I76" s="23"/>
      <c r="J76" s="23"/>
      <c r="K76" s="23"/>
      <c r="L76" s="23"/>
      <c r="M76" s="271"/>
      <c r="N76" s="272"/>
      <c r="O76" s="271"/>
      <c r="P76" s="272"/>
      <c r="Q76" s="288"/>
      <c r="R76" s="288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8" spans="1:31" ht="15.75" thickBot="1">
      <c r="A78" s="64" t="s">
        <v>142</v>
      </c>
      <c r="B78" s="217">
        <v>200</v>
      </c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thickBot="1">
      <c r="A79" s="64" t="s">
        <v>144</v>
      </c>
      <c r="B79" s="217">
        <v>12</v>
      </c>
      <c r="C79" s="2"/>
      <c r="D79" s="1"/>
      <c r="E79" s="1"/>
      <c r="F79" s="1"/>
      <c r="G79" s="1"/>
      <c r="H79" s="1"/>
      <c r="I79" s="1"/>
      <c r="J79" s="1"/>
      <c r="K79" s="1"/>
      <c r="L79" s="1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27"/>
      <c r="AB79" s="228"/>
      <c r="AC79" s="228"/>
      <c r="AD79" s="228"/>
      <c r="AE79" s="229"/>
    </row>
    <row r="80" spans="1:31" ht="15.75" thickBo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289" t="s">
        <v>158</v>
      </c>
      <c r="N80" s="290"/>
      <c r="O80" s="290"/>
      <c r="P80" s="290"/>
      <c r="Q80" s="290"/>
      <c r="R80" s="291"/>
      <c r="S80" s="273" t="s">
        <v>157</v>
      </c>
      <c r="T80" s="204"/>
      <c r="U80" s="203"/>
      <c r="V80" s="203"/>
      <c r="W80" s="203"/>
      <c r="X80" s="203"/>
      <c r="Y80" s="273"/>
      <c r="Z80" s="204"/>
      <c r="AA80" s="274"/>
      <c r="AB80" s="34" t="s">
        <v>137</v>
      </c>
      <c r="AC80" s="34"/>
      <c r="AD80" s="34"/>
      <c r="AE80" s="231"/>
    </row>
    <row r="81" spans="1:3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200"/>
      <c r="N81" s="202"/>
      <c r="O81" s="200"/>
      <c r="P81" s="202"/>
      <c r="Q81" s="201"/>
      <c r="R81" s="201"/>
      <c r="S81" s="200"/>
      <c r="T81" s="202"/>
      <c r="U81" s="201"/>
      <c r="V81" s="202"/>
      <c r="W81" s="201"/>
      <c r="X81" s="201"/>
      <c r="Y81" s="192"/>
      <c r="Z81" s="193"/>
      <c r="AA81" s="230"/>
      <c r="AB81" s="39"/>
      <c r="AC81" s="39"/>
      <c r="AD81" s="39"/>
      <c r="AE81" s="231"/>
    </row>
    <row r="82" spans="1:31">
      <c r="A82" s="1"/>
      <c r="B82" s="1"/>
      <c r="C82" s="2"/>
      <c r="D82" s="1"/>
      <c r="E82" s="1"/>
      <c r="F82" s="1"/>
      <c r="G82" s="1"/>
      <c r="H82" s="1"/>
      <c r="J82" s="1"/>
      <c r="K82" s="1"/>
      <c r="L82" s="1"/>
      <c r="M82" s="292" t="s">
        <v>13</v>
      </c>
      <c r="N82" s="293"/>
      <c r="O82" s="292" t="s">
        <v>14</v>
      </c>
      <c r="P82" s="293"/>
      <c r="Q82" s="292" t="s">
        <v>15</v>
      </c>
      <c r="R82" s="293"/>
      <c r="S82" s="294" t="s">
        <v>17</v>
      </c>
      <c r="T82" s="295"/>
      <c r="U82" s="294" t="s">
        <v>18</v>
      </c>
      <c r="V82" s="295"/>
      <c r="W82" s="294" t="s">
        <v>19</v>
      </c>
      <c r="X82" s="295"/>
      <c r="Y82" s="294" t="s">
        <v>20</v>
      </c>
      <c r="Z82" s="295"/>
      <c r="AA82" s="230"/>
      <c r="AB82" s="45" t="s">
        <v>23</v>
      </c>
      <c r="AC82" s="45"/>
      <c r="AD82" s="45"/>
      <c r="AE82" s="231"/>
    </row>
    <row r="83" spans="1:31">
      <c r="A83" s="265"/>
      <c r="B83" s="265"/>
      <c r="C83" s="266"/>
      <c r="D83" s="265"/>
      <c r="E83" s="265"/>
      <c r="F83" s="265"/>
      <c r="G83" s="265"/>
      <c r="H83" s="265"/>
      <c r="I83" s="267"/>
      <c r="J83" s="265"/>
      <c r="K83" s="265"/>
      <c r="L83" s="265"/>
      <c r="M83" s="278" t="s">
        <v>156</v>
      </c>
      <c r="N83" s="279">
        <v>0.5</v>
      </c>
      <c r="O83" s="278" t="s">
        <v>156</v>
      </c>
      <c r="P83" s="279">
        <v>0.1</v>
      </c>
      <c r="Q83" s="278" t="s">
        <v>156</v>
      </c>
      <c r="R83" s="279">
        <v>0.1</v>
      </c>
      <c r="S83" s="278" t="s">
        <v>156</v>
      </c>
      <c r="T83" s="279">
        <v>0.1</v>
      </c>
      <c r="U83" s="280" t="s">
        <v>156</v>
      </c>
      <c r="V83" s="281">
        <v>0.1</v>
      </c>
      <c r="W83" s="278" t="s">
        <v>156</v>
      </c>
      <c r="X83" s="281">
        <v>0.05</v>
      </c>
      <c r="Y83" s="282"/>
      <c r="Z83" s="279">
        <v>0.05</v>
      </c>
      <c r="AA83" s="268"/>
      <c r="AB83" s="269"/>
      <c r="AC83" s="269"/>
      <c r="AD83" s="269"/>
      <c r="AE83" s="270"/>
    </row>
    <row r="84" spans="1:3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278" t="s">
        <v>138</v>
      </c>
      <c r="N84" s="283">
        <v>0.17</v>
      </c>
      <c r="O84" s="278" t="s">
        <v>138</v>
      </c>
      <c r="P84" s="283">
        <v>0.13</v>
      </c>
      <c r="Q84" s="278" t="s">
        <v>138</v>
      </c>
      <c r="R84" s="283">
        <v>0.08</v>
      </c>
      <c r="S84" s="278" t="s">
        <v>138</v>
      </c>
      <c r="T84" s="284">
        <v>0.32500000000000001</v>
      </c>
      <c r="U84" s="280" t="s">
        <v>138</v>
      </c>
      <c r="V84" s="285">
        <v>0.3</v>
      </c>
      <c r="W84" s="278" t="s">
        <v>138</v>
      </c>
      <c r="X84" s="285">
        <v>0.28000000000000003</v>
      </c>
      <c r="Y84" s="278" t="s">
        <v>138</v>
      </c>
      <c r="Z84" s="283">
        <v>0.25</v>
      </c>
      <c r="AA84" s="230"/>
      <c r="AB84" s="39"/>
      <c r="AC84" s="39"/>
      <c r="AD84" s="39"/>
      <c r="AE84" s="231"/>
    </row>
    <row r="85" spans="1:3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278" t="s">
        <v>155</v>
      </c>
      <c r="N85" s="286">
        <f>N83*$B$4</f>
        <v>15</v>
      </c>
      <c r="O85" s="278" t="s">
        <v>155</v>
      </c>
      <c r="P85" s="286">
        <f>P83*$B$4</f>
        <v>3</v>
      </c>
      <c r="Q85" s="278" t="s">
        <v>155</v>
      </c>
      <c r="R85" s="286">
        <f>R83*$B$4</f>
        <v>3</v>
      </c>
      <c r="S85" s="278" t="s">
        <v>155</v>
      </c>
      <c r="T85" s="286">
        <f>T83*$B$4</f>
        <v>3</v>
      </c>
      <c r="U85" s="280" t="s">
        <v>155</v>
      </c>
      <c r="V85" s="286">
        <f>V83*$B$4</f>
        <v>3</v>
      </c>
      <c r="W85" s="278" t="s">
        <v>155</v>
      </c>
      <c r="X85" s="287">
        <f>X83*$B$4</f>
        <v>1.5</v>
      </c>
      <c r="Y85" s="278" t="s">
        <v>155</v>
      </c>
      <c r="Z85" s="286">
        <f>Z83*$B$4</f>
        <v>1.5</v>
      </c>
      <c r="AA85" s="230"/>
      <c r="AB85" s="39"/>
      <c r="AC85" s="39"/>
      <c r="AD85" s="39"/>
      <c r="AE85" s="231"/>
    </row>
    <row r="86" spans="1:31" ht="51.75">
      <c r="A86" s="46"/>
      <c r="B86" s="46"/>
      <c r="C86" s="47"/>
      <c r="D86" s="46"/>
      <c r="E86" s="48" t="s">
        <v>24</v>
      </c>
      <c r="F86" s="48" t="s">
        <v>118</v>
      </c>
      <c r="G86" s="48" t="s">
        <v>119</v>
      </c>
      <c r="H86" s="48" t="s">
        <v>121</v>
      </c>
      <c r="I86" s="48" t="s">
        <v>120</v>
      </c>
      <c r="J86" s="48" t="s">
        <v>129</v>
      </c>
      <c r="K86" s="48" t="s">
        <v>128</v>
      </c>
      <c r="L86" s="48" t="s">
        <v>33</v>
      </c>
      <c r="M86" s="194" t="s">
        <v>1</v>
      </c>
      <c r="N86" s="195" t="s">
        <v>2</v>
      </c>
      <c r="O86" s="194" t="s">
        <v>1</v>
      </c>
      <c r="P86" s="195" t="s">
        <v>2</v>
      </c>
      <c r="Q86" s="194" t="s">
        <v>1</v>
      </c>
      <c r="R86" s="195" t="s">
        <v>2</v>
      </c>
      <c r="S86" s="194" t="s">
        <v>1</v>
      </c>
      <c r="T86" s="195" t="s">
        <v>2</v>
      </c>
      <c r="U86" s="48" t="s">
        <v>1</v>
      </c>
      <c r="V86" s="195" t="s">
        <v>2</v>
      </c>
      <c r="W86" s="48" t="s">
        <v>1</v>
      </c>
      <c r="X86" s="275" t="s">
        <v>2</v>
      </c>
      <c r="Y86" s="194" t="s">
        <v>1</v>
      </c>
      <c r="Z86" s="195" t="s">
        <v>2</v>
      </c>
      <c r="AA86" s="232"/>
      <c r="AB86" s="50" t="s">
        <v>0</v>
      </c>
      <c r="AC86" s="50" t="s">
        <v>1</v>
      </c>
      <c r="AD86" s="50" t="s">
        <v>2</v>
      </c>
      <c r="AE86" s="233"/>
    </row>
    <row r="87" spans="1:31" ht="26.25" thickBot="1">
      <c r="A87" s="319" t="s">
        <v>49</v>
      </c>
      <c r="B87" s="319" t="s">
        <v>50</v>
      </c>
      <c r="C87" s="319" t="s">
        <v>51</v>
      </c>
      <c r="D87" s="319" t="s">
        <v>52</v>
      </c>
      <c r="E87" s="320" t="s">
        <v>53</v>
      </c>
      <c r="F87" s="61" t="s">
        <v>54</v>
      </c>
      <c r="G87" s="61" t="s">
        <v>54</v>
      </c>
      <c r="H87" s="61" t="s">
        <v>54</v>
      </c>
      <c r="I87" s="61" t="s">
        <v>54</v>
      </c>
      <c r="J87" s="61" t="s">
        <v>54</v>
      </c>
      <c r="K87" s="61" t="s">
        <v>54</v>
      </c>
      <c r="L87" s="61" t="s">
        <v>54</v>
      </c>
      <c r="M87" s="196" t="s">
        <v>54</v>
      </c>
      <c r="N87" s="197" t="s">
        <v>54</v>
      </c>
      <c r="O87" s="196" t="s">
        <v>54</v>
      </c>
      <c r="P87" s="197" t="s">
        <v>54</v>
      </c>
      <c r="Q87" s="196" t="s">
        <v>54</v>
      </c>
      <c r="R87" s="197" t="s">
        <v>54</v>
      </c>
      <c r="S87" s="196" t="s">
        <v>54</v>
      </c>
      <c r="T87" s="197" t="s">
        <v>54</v>
      </c>
      <c r="U87" s="61" t="s">
        <v>54</v>
      </c>
      <c r="V87" s="197" t="s">
        <v>54</v>
      </c>
      <c r="W87" s="61" t="s">
        <v>54</v>
      </c>
      <c r="X87" s="61" t="s">
        <v>54</v>
      </c>
      <c r="Y87" s="276" t="s">
        <v>54</v>
      </c>
      <c r="Z87" s="277" t="s">
        <v>54</v>
      </c>
      <c r="AA87" s="230"/>
      <c r="AB87" s="63" t="s">
        <v>53</v>
      </c>
      <c r="AC87" s="63" t="s">
        <v>54</v>
      </c>
      <c r="AD87" s="63" t="s">
        <v>54</v>
      </c>
      <c r="AE87" s="231"/>
    </row>
    <row r="88" spans="1:31">
      <c r="A88" s="1"/>
      <c r="B88" s="1"/>
      <c r="C88" s="2"/>
      <c r="D88" s="1"/>
      <c r="E88" s="1"/>
      <c r="F88" s="1"/>
      <c r="G88" s="1"/>
      <c r="H88" s="1"/>
      <c r="I88" s="1"/>
      <c r="J88" s="1"/>
      <c r="M88" s="192"/>
      <c r="N88" s="193"/>
      <c r="O88" s="192"/>
      <c r="P88" s="193"/>
      <c r="Q88" s="192"/>
      <c r="R88" s="193"/>
      <c r="S88" s="192"/>
      <c r="T88" s="193"/>
      <c r="U88" s="1"/>
      <c r="V88" s="193"/>
      <c r="W88" s="1"/>
      <c r="X88" s="193"/>
      <c r="Y88" s="1"/>
      <c r="Z88" s="1"/>
      <c r="AA88" s="230"/>
      <c r="AB88" s="39"/>
      <c r="AC88" s="39"/>
      <c r="AD88" s="39"/>
      <c r="AE88" s="231"/>
    </row>
    <row r="89" spans="1:31">
      <c r="A89" s="65" t="s">
        <v>56</v>
      </c>
      <c r="B89" s="65"/>
      <c r="C89" s="66"/>
      <c r="D89" s="65"/>
      <c r="E89" s="218">
        <f>IFERROR(SUMIFS(E91:E110,D91:D110,"Produit Vente"),"Non trouvé")</f>
        <v>12</v>
      </c>
      <c r="F89" s="68"/>
      <c r="G89" s="68">
        <f>IFERROR(SUM(G91:G110),"Non Trouvé")</f>
        <v>0</v>
      </c>
      <c r="H89" s="68" t="str">
        <f>IFERROR(#REF!/#REF!,"Non Trouvé")</f>
        <v>Non Trouvé</v>
      </c>
      <c r="I89" s="69" t="str">
        <f>IFERROR(-(#REF!-#REF!)/#REF!,"Non Trouvé")</f>
        <v>Non Trouvé</v>
      </c>
      <c r="J89" s="68">
        <f ca="1">IFERROR(SUM(J91:J110),"Non Trouvé")</f>
        <v>863.39614304461031</v>
      </c>
      <c r="K89" s="68">
        <f ca="1">IFERROR(SUM(K91:K110),"Non Trouvé")</f>
        <v>733.88672158791871</v>
      </c>
      <c r="L89" s="68">
        <f ca="1">IFERROR(SUM(L91:L110),"Non Trouvé")</f>
        <v>129.50942145669154</v>
      </c>
      <c r="M89" s="302">
        <f ca="1">SUM(M91:M110)</f>
        <v>0</v>
      </c>
      <c r="N89" s="303">
        <f ca="1">(M89-G89)/M89</f>
        <v>0</v>
      </c>
      <c r="O89" s="302"/>
      <c r="P89" s="303"/>
      <c r="Q89" s="302"/>
      <c r="R89" s="303"/>
      <c r="S89" s="302"/>
      <c r="T89" s="303"/>
      <c r="U89" s="304"/>
      <c r="V89" s="303"/>
      <c r="W89" s="304"/>
      <c r="X89" s="303"/>
      <c r="Y89" s="304"/>
      <c r="Z89" s="305"/>
      <c r="AA89" s="234"/>
      <c r="AB89" s="67">
        <f>B78</f>
        <v>200</v>
      </c>
      <c r="AC89" s="67">
        <f ca="1">Y89+W89+U89+S89+O89+M89+Q89</f>
        <v>0</v>
      </c>
      <c r="AD89" s="74">
        <f ca="1">Z89+X89+V89+T89+P89+N89+R89</f>
        <v>0</v>
      </c>
      <c r="AE89" s="235"/>
    </row>
    <row r="90" spans="1:31">
      <c r="A90" s="1"/>
      <c r="B90" s="1"/>
      <c r="C90" s="2"/>
      <c r="D90" s="1"/>
      <c r="E90" s="1"/>
      <c r="F90" s="1"/>
      <c r="G90" s="1"/>
      <c r="H90" s="1"/>
      <c r="I90" s="1"/>
      <c r="J90" s="1"/>
      <c r="M90" s="192"/>
      <c r="N90" s="193"/>
      <c r="O90" s="192"/>
      <c r="P90" s="193"/>
      <c r="Q90" s="192"/>
      <c r="R90" s="193"/>
      <c r="S90" s="192"/>
      <c r="T90" s="193"/>
      <c r="U90" s="1"/>
      <c r="V90" s="193"/>
      <c r="W90" s="1"/>
      <c r="X90" s="193"/>
      <c r="Y90" s="1"/>
      <c r="Z90" s="1"/>
      <c r="AA90" s="230"/>
      <c r="AB90" s="39"/>
      <c r="AC90" s="39"/>
      <c r="AD90" s="39"/>
      <c r="AE90" s="231"/>
    </row>
    <row r="91" spans="1:31" ht="15.75" thickBot="1">
      <c r="A91" s="180">
        <v>1020202</v>
      </c>
      <c r="B91" s="181" t="str">
        <f ca="1">IFERROR(IF($B91="","",VLOOKUP($B91,'[1]Paramètres Articles'!$B:$G,2,FALSE)),"Non Trouvé")</f>
        <v>Sérum Jour/Nuit - Régénérant - 30 ml</v>
      </c>
      <c r="C91" s="182">
        <f ca="1">IFERROR(IF($B91="","",_xlfn.XLOOKUP(REGENERANTS!$C96,'[1]New Base PA'!$F:$F,'[1]New Base PA'!$D:$D,"Not Found",0)),"Non Trouvé")</f>
        <v>4020829103115</v>
      </c>
      <c r="D91" s="183" t="s">
        <v>90</v>
      </c>
      <c r="E91" s="224">
        <v>7</v>
      </c>
      <c r="F91" s="185"/>
      <c r="G91" s="190">
        <f>E91*F91</f>
        <v>0</v>
      </c>
      <c r="H91" s="185"/>
      <c r="I91" s="216">
        <v>0.15</v>
      </c>
      <c r="J91" s="185">
        <f ca="1">IFERROR(IF($B91="","",VLOOKUP($B91,'[1]Paramètres Articles'!$B:$H,7,FALSE)),"Non Trouvé")</f>
        <v>69.900000000000006</v>
      </c>
      <c r="K91" s="188">
        <f ca="1">J91*(1-I91)</f>
        <v>0</v>
      </c>
      <c r="L91" s="191">
        <f ca="1">IFERROR(J91-K91,"")</f>
        <v>0</v>
      </c>
      <c r="M91" s="296">
        <f>H91*(1-I91)*$N$11*(1-$N$10)</f>
        <v>0</v>
      </c>
      <c r="N91" s="193"/>
      <c r="O91" s="296"/>
      <c r="P91" s="193"/>
      <c r="Q91" s="296"/>
      <c r="R91" s="193"/>
      <c r="S91" s="296"/>
      <c r="T91" s="193"/>
      <c r="U91" s="298"/>
      <c r="V91" s="193"/>
      <c r="W91" s="188"/>
      <c r="X91" s="193"/>
      <c r="Y91" s="191"/>
      <c r="Z91" s="1"/>
      <c r="AA91" s="236"/>
      <c r="AB91" s="96"/>
      <c r="AC91" s="97"/>
      <c r="AD91" s="97"/>
      <c r="AE91" s="237"/>
    </row>
    <row r="92" spans="1:31" ht="15.75" thickBot="1">
      <c r="A92" s="180">
        <v>1020310</v>
      </c>
      <c r="B92" s="181" t="str">
        <f ca="1">IFERROR(IF($B92="","",VLOOKUP($B92,'[1]Paramètres Articles'!$B:$G,2,FALSE)),"Non Trouvé")</f>
        <v>Crème de Jour Eclat du Teint - Régénérant - 40 ml</v>
      </c>
      <c r="C92" s="182">
        <f ca="1">IFERROR(IF($B92="","",_xlfn.XLOOKUP(REGENERANTS!$C97,'[1]New Base PA'!$F:$F,'[1]New Base PA'!$D:$D,"Not Found",0)),"Non Trouvé")</f>
        <v>4020829060999</v>
      </c>
      <c r="D92" s="183" t="s">
        <v>90</v>
      </c>
      <c r="E92" s="224">
        <v>4</v>
      </c>
      <c r="F92" s="185"/>
      <c r="G92" s="190">
        <f t="shared" ref="G92:G110" si="2">E92*F92</f>
        <v>0</v>
      </c>
      <c r="H92" s="185"/>
      <c r="I92" s="216">
        <v>0.15</v>
      </c>
      <c r="J92" s="185">
        <f ca="1">IFERROR(IF($B92="","",VLOOKUP($B92,'[1]Paramètres Articles'!$B:$H,7,FALSE)),"Non Trouvé")</f>
        <v>69.900000000000006</v>
      </c>
      <c r="K92" s="188">
        <f ca="1">J92*(1-I92)</f>
        <v>0</v>
      </c>
      <c r="L92" s="191">
        <f ca="1">IFERROR(J92-K92,"")</f>
        <v>0</v>
      </c>
      <c r="M92" s="296">
        <f>H92*(1-I92)*$N$11*(1-$N$10)</f>
        <v>0</v>
      </c>
      <c r="N92" s="193"/>
      <c r="O92" s="296"/>
      <c r="P92" s="193"/>
      <c r="Q92" s="296"/>
      <c r="R92" s="193"/>
      <c r="S92" s="296"/>
      <c r="T92" s="193"/>
      <c r="U92" s="298"/>
      <c r="V92" s="193"/>
      <c r="W92" s="188"/>
      <c r="X92" s="193"/>
      <c r="Y92" s="191"/>
      <c r="Z92" s="1"/>
      <c r="AA92" s="238"/>
      <c r="AB92" s="225"/>
      <c r="AC92" s="226" t="s">
        <v>91</v>
      </c>
      <c r="AD92" s="116">
        <f ca="1">AC89/AB89</f>
        <v>0</v>
      </c>
      <c r="AE92" s="237"/>
    </row>
    <row r="93" spans="1:31" ht="15.75" thickBot="1">
      <c r="A93" s="180">
        <v>1020401</v>
      </c>
      <c r="B93" s="181" t="str">
        <f ca="1">IFERROR(IF($B93="","",VLOOKUP($B93,'[1]Paramètres Articles'!$B:$G,2,FALSE)),"Non Trouvé")</f>
        <v>Crème Contour des Yeux - Régénérant - 15 ml</v>
      </c>
      <c r="C93" s="182">
        <f ca="1">IFERROR(IF($B93="","",_xlfn.XLOOKUP(REGENERANTS!$C98,'[1]New Base PA'!$F:$F,'[1]New Base PA'!$D:$D,"Not Found",0)),"Non Trouvé")</f>
        <v>4020829013919</v>
      </c>
      <c r="D93" s="183" t="s">
        <v>90</v>
      </c>
      <c r="E93" s="224"/>
      <c r="F93" s="185"/>
      <c r="G93" s="190">
        <f t="shared" si="2"/>
        <v>0</v>
      </c>
      <c r="H93" s="185"/>
      <c r="I93" s="216">
        <v>0.15</v>
      </c>
      <c r="J93" s="185">
        <f ca="1">IFERROR(IF($B93="","",VLOOKUP($B93,'[1]Paramètres Articles'!$B:$H,7,FALSE)),"Non Trouvé")</f>
        <v>67.5</v>
      </c>
      <c r="K93" s="188">
        <f ca="1">J93*(1-I93)</f>
        <v>0</v>
      </c>
      <c r="L93" s="191">
        <f ca="1">IFERROR(J93-K93,"")</f>
        <v>0</v>
      </c>
      <c r="M93" s="296">
        <f>H93*(1-I93)*$N$11*(1-$N$10)</f>
        <v>0</v>
      </c>
      <c r="N93" s="193"/>
      <c r="O93" s="296"/>
      <c r="P93" s="193"/>
      <c r="Q93" s="296"/>
      <c r="R93" s="193"/>
      <c r="S93" s="296"/>
      <c r="T93" s="193"/>
      <c r="U93" s="298"/>
      <c r="V93" s="193"/>
      <c r="W93" s="188"/>
      <c r="X93" s="193"/>
      <c r="Y93" s="191"/>
      <c r="Z93" s="1"/>
      <c r="AA93" s="238"/>
      <c r="AB93" s="225"/>
      <c r="AC93" s="226" t="s">
        <v>92</v>
      </c>
      <c r="AD93" s="118">
        <f ca="1">SUM(AD95:AD98)</f>
        <v>0</v>
      </c>
      <c r="AE93" s="237"/>
    </row>
    <row r="94" spans="1:31">
      <c r="A94" s="180">
        <v>1020302</v>
      </c>
      <c r="B94" s="181" t="str">
        <f ca="1">IFERROR(IF($B94="","",VLOOKUP($B94,'[1]Paramètres Articles'!$B:$G,2,FALSE)),"Non Trouvé")</f>
        <v>Crème Cou et Décolleté - Régénérant - 40 ml</v>
      </c>
      <c r="C94" s="182">
        <f ca="1">IFERROR(IF($B94="","",_xlfn.XLOOKUP(REGENERANTS!$C99,'[1]New Base PA'!$F:$F,'[1]New Base PA'!$D:$D,"Not Found",0)),"Non Trouvé")</f>
        <v>4020829008366</v>
      </c>
      <c r="D94" s="183" t="s">
        <v>90</v>
      </c>
      <c r="E94" s="224">
        <v>1</v>
      </c>
      <c r="F94" s="185"/>
      <c r="G94" s="190">
        <f t="shared" si="2"/>
        <v>0</v>
      </c>
      <c r="H94" s="185"/>
      <c r="I94" s="216">
        <v>0.15</v>
      </c>
      <c r="J94" s="185">
        <f ca="1">IFERROR(IF($B94="","",VLOOKUP($B94,'[1]Paramètres Articles'!$B:$H,7,FALSE)),"Non Trouvé")</f>
        <v>61</v>
      </c>
      <c r="K94" s="188">
        <f ca="1">J94*(1-I94)</f>
        <v>0</v>
      </c>
      <c r="L94" s="191">
        <f ca="1">IFERROR(J94-K94,"")</f>
        <v>0</v>
      </c>
      <c r="M94" s="296">
        <f>H94*(1-I94)*$N$11*(1-$N$10)</f>
        <v>0</v>
      </c>
      <c r="N94" s="193"/>
      <c r="O94" s="296"/>
      <c r="P94" s="193"/>
      <c r="Q94" s="296"/>
      <c r="R94" s="193"/>
      <c r="S94" s="296"/>
      <c r="T94" s="193"/>
      <c r="U94" s="298"/>
      <c r="V94" s="193"/>
      <c r="W94" s="188"/>
      <c r="X94" s="193"/>
      <c r="Y94" s="191"/>
      <c r="Z94" s="1"/>
      <c r="AA94" s="236"/>
      <c r="AB94" s="96"/>
      <c r="AC94" s="97"/>
      <c r="AD94" s="97"/>
      <c r="AE94" s="237"/>
    </row>
    <row r="95" spans="1:31">
      <c r="A95" s="180">
        <v>1020721</v>
      </c>
      <c r="B95" s="181" t="str">
        <f ca="1">IFERROR(IF($B95="","",VLOOKUP($B95,'[1]Paramètres Articles'!$B:$G,2,FALSE)),"Non Trouvé")</f>
        <v>Cure Intensive Fortifiante - Régénérant - 40ml</v>
      </c>
      <c r="C95" s="182">
        <f ca="1">IFERROR(IF($B95="","",_xlfn.XLOOKUP(REGENERANTS!$C100,'[1]New Base PA'!$F:$F,'[1]New Base PA'!$D:$D,"Not Found",0)),"Non Trouvé")</f>
        <v>4020829102941</v>
      </c>
      <c r="D95" s="183" t="s">
        <v>90</v>
      </c>
      <c r="E95" s="224"/>
      <c r="F95" s="185"/>
      <c r="G95" s="190">
        <f t="shared" si="2"/>
        <v>0</v>
      </c>
      <c r="H95" s="185"/>
      <c r="I95" s="216">
        <v>0.15</v>
      </c>
      <c r="J95" s="185">
        <f ca="1">IFERROR(IF($B95="","",VLOOKUP($B95,'[1]Paramètres Articles'!$B:$H,7,FALSE)),"Non Trouvé")</f>
        <v>72.898071522305145</v>
      </c>
      <c r="K95" s="188">
        <f ca="1">J95*(1-I95)</f>
        <v>0</v>
      </c>
      <c r="L95" s="191">
        <f ca="1">IFERROR(J95-K95,"")</f>
        <v>0</v>
      </c>
      <c r="M95" s="296">
        <f>H95*(1-I95)*$N$11*(1-$N$10)</f>
        <v>0</v>
      </c>
      <c r="N95" s="193"/>
      <c r="O95" s="296"/>
      <c r="P95" s="193"/>
      <c r="Q95" s="296"/>
      <c r="R95" s="193"/>
      <c r="S95" s="296"/>
      <c r="T95" s="193"/>
      <c r="U95" s="298"/>
      <c r="V95" s="193"/>
      <c r="W95" s="188"/>
      <c r="X95" s="193"/>
      <c r="Y95" s="191"/>
      <c r="Z95" s="1"/>
      <c r="AA95" s="236"/>
      <c r="AB95" s="96"/>
      <c r="AC95" s="88" t="s">
        <v>93</v>
      </c>
      <c r="AD95" s="239">
        <f ca="1">SUMIF($D$16:$D$36,AC95,$G$16:$G$36)/$AC$15</f>
        <v>0</v>
      </c>
      <c r="AE95" s="237"/>
    </row>
    <row r="96" spans="1:31">
      <c r="A96" s="180">
        <v>1020107</v>
      </c>
      <c r="B96" s="181" t="str">
        <f ca="1">IFERROR(IF($B96="","",VLOOKUP($B96,'[1]Paramètres Articles'!$B:$G,2,FALSE)),"Non Trouvé")</f>
        <v>Lait pour le Corps - Régénérant - 150 ml</v>
      </c>
      <c r="C96" s="182">
        <f ca="1">IFERROR(IF($B96="","",_xlfn.XLOOKUP(REGENERANTS!$C101,'[1]New Base PA'!$F:$F,'[1]New Base PA'!$D:$D,"Not Found",0)),"Non Trouvé")</f>
        <v>4020829103160</v>
      </c>
      <c r="D96" s="183" t="s">
        <v>90</v>
      </c>
      <c r="E96" s="224"/>
      <c r="F96" s="185"/>
      <c r="G96" s="190">
        <f t="shared" si="2"/>
        <v>0</v>
      </c>
      <c r="H96" s="185"/>
      <c r="I96" s="216">
        <v>0.15</v>
      </c>
      <c r="J96" s="185">
        <f ca="1">IFERROR(IF($B96="","",VLOOKUP($B96,'[1]Paramètres Articles'!$B:$H,7,FALSE)),"Non Trouvé")</f>
        <v>44.4</v>
      </c>
      <c r="K96" s="188">
        <f ca="1">J96*(1-I96)</f>
        <v>0</v>
      </c>
      <c r="L96" s="191">
        <f ca="1">IFERROR(J96-K96,"")</f>
        <v>0</v>
      </c>
      <c r="M96" s="296">
        <f>H96*(1-I96)*$N$11*(1-$N$10)</f>
        <v>0</v>
      </c>
      <c r="N96" s="193"/>
      <c r="O96" s="296"/>
      <c r="P96" s="193"/>
      <c r="Q96" s="296"/>
      <c r="R96" s="193"/>
      <c r="S96" s="296"/>
      <c r="T96" s="193"/>
      <c r="U96" s="298"/>
      <c r="V96" s="193"/>
      <c r="W96" s="188"/>
      <c r="X96" s="193"/>
      <c r="Y96" s="191"/>
      <c r="Z96" s="1"/>
      <c r="AA96" s="236"/>
      <c r="AB96" s="96"/>
      <c r="AC96" s="88" t="s">
        <v>94</v>
      </c>
      <c r="AD96" s="239">
        <f ca="1">SUMIF($D$16:$D$36,AC96,$G$16:$G$36)/$AC$15</f>
        <v>0</v>
      </c>
      <c r="AE96" s="237"/>
    </row>
    <row r="97" spans="1:31">
      <c r="A97" s="180">
        <v>1020102</v>
      </c>
      <c r="B97" s="181" t="str">
        <f ca="1">IFERROR(IF($B97="","",VLOOKUP($B97,'[1]Paramètres Articles'!$B:$G,2,FALSE)),"Non Trouvé")</f>
        <v>Crème pour les Mains - Régénérant - 50 ml</v>
      </c>
      <c r="C97" s="182">
        <f ca="1">IFERROR(IF($B97="","",_xlfn.XLOOKUP(REGENERANTS!$C102,'[1]New Base PA'!$F:$F,'[1]New Base PA'!$D:$D,"Not Found",0)),"Non Trouvé")</f>
        <v>4020829049666</v>
      </c>
      <c r="D97" s="183" t="s">
        <v>90</v>
      </c>
      <c r="E97" s="224"/>
      <c r="F97" s="185"/>
      <c r="G97" s="190">
        <f t="shared" si="2"/>
        <v>0</v>
      </c>
      <c r="H97" s="185"/>
      <c r="I97" s="216">
        <v>0.15</v>
      </c>
      <c r="J97" s="185">
        <f ca="1">IFERROR(IF($B97="","",VLOOKUP($B97,'[1]Paramètres Articles'!$B:$H,7,FALSE)),"Non Trouvé")</f>
        <v>29.5</v>
      </c>
      <c r="K97" s="188">
        <f ca="1">J97*(1-I97)</f>
        <v>0</v>
      </c>
      <c r="L97" s="191">
        <f ca="1">IFERROR(J97-K97,"")</f>
        <v>0</v>
      </c>
      <c r="M97" s="296">
        <f>H97*(1-I97)*$N$11*(1-$N$10)</f>
        <v>0</v>
      </c>
      <c r="N97" s="193"/>
      <c r="O97" s="296"/>
      <c r="P97" s="193"/>
      <c r="Q97" s="296"/>
      <c r="R97" s="193"/>
      <c r="S97" s="296"/>
      <c r="T97" s="193"/>
      <c r="U97" s="298"/>
      <c r="V97" s="193"/>
      <c r="W97" s="188"/>
      <c r="X97" s="193"/>
      <c r="Y97" s="191"/>
      <c r="Z97" s="1"/>
      <c r="AA97" s="236"/>
      <c r="AB97" s="96"/>
      <c r="AC97" s="88" t="s">
        <v>95</v>
      </c>
      <c r="AD97" s="239">
        <f ca="1">SUMIF($D$16:$D$36,AC97,$G$16:$G$36)/$AC$15</f>
        <v>0</v>
      </c>
      <c r="AE97" s="237"/>
    </row>
    <row r="98" spans="1:31">
      <c r="A98" s="180">
        <v>1020722</v>
      </c>
      <c r="B98" s="181" t="str">
        <f ca="1">IFERROR(IF($B98="","",VLOOKUP($B98,'[1]Paramètres Articles'!$B:$G,2,FALSE)),"Non Trouvé")</f>
        <v>Cure Intensive Rééquilibrante - Régénérant Intensif - 40ml</v>
      </c>
      <c r="C98" s="182">
        <f ca="1">IFERROR(IF($B98="","",_xlfn.XLOOKUP(REGENERANTS!$C103,'[1]New Base PA'!$F:$F,'[1]New Base PA'!$D:$D,"Not Found",0)),"Non Trouvé")</f>
        <v>4020829102934</v>
      </c>
      <c r="D98" s="183" t="s">
        <v>90</v>
      </c>
      <c r="E98" s="224">
        <v>0</v>
      </c>
      <c r="F98" s="185"/>
      <c r="G98" s="190">
        <f t="shared" si="2"/>
        <v>0</v>
      </c>
      <c r="H98" s="185"/>
      <c r="I98" s="216">
        <v>0.15</v>
      </c>
      <c r="J98" s="185">
        <f ca="1">IFERROR(IF($B98="","",VLOOKUP($B98,'[1]Paramètres Articles'!$B:$H,7,FALSE)),"Non Trouvé")</f>
        <v>72.898071522305145</v>
      </c>
      <c r="K98" s="188">
        <f ca="1">J98*(1-I98)</f>
        <v>0</v>
      </c>
      <c r="L98" s="191">
        <f ca="1">IFERROR(J98-K98,"")</f>
        <v>0</v>
      </c>
      <c r="M98" s="296">
        <f>H98*(1-I98)*$N$11*(1-$N$10)</f>
        <v>0</v>
      </c>
      <c r="N98" s="193"/>
      <c r="O98" s="296"/>
      <c r="P98" s="193"/>
      <c r="Q98" s="296"/>
      <c r="R98" s="193"/>
      <c r="S98" s="296"/>
      <c r="T98" s="193"/>
      <c r="U98" s="298"/>
      <c r="V98" s="193"/>
      <c r="W98" s="188"/>
      <c r="X98" s="193"/>
      <c r="Y98" s="191"/>
      <c r="Z98" s="1"/>
      <c r="AA98" s="236"/>
      <c r="AB98" s="96"/>
      <c r="AC98" s="88" t="s">
        <v>96</v>
      </c>
      <c r="AD98" s="239">
        <f ca="1">SUMIF($D$16:$D$36,AC98,$G$16:$G$36)/$AC$15</f>
        <v>0</v>
      </c>
      <c r="AE98" s="237"/>
    </row>
    <row r="99" spans="1:31">
      <c r="A99" s="180">
        <v>1020719</v>
      </c>
      <c r="B99" s="181" t="str">
        <f ca="1">IFERROR(IF($B99="","",VLOOKUP($B99,'[1]Paramètres Articles'!$B:$G,2,FALSE)),"Non Trouvé")</f>
        <v>Huile Fortifiante - Régénérant Intensif - 20ml</v>
      </c>
      <c r="C99" s="182">
        <f ca="1">IFERROR(IF($B99="","",_xlfn.XLOOKUP(REGENERANTS!$C104,'[1]New Base PA'!$F:$F,'[1]New Base PA'!$D:$D,"Not Found",0)),"Non Trouvé")</f>
        <v>4020829103030</v>
      </c>
      <c r="D99" s="183" t="s">
        <v>90</v>
      </c>
      <c r="E99" s="224"/>
      <c r="F99" s="185"/>
      <c r="G99" s="190">
        <f t="shared" si="2"/>
        <v>0</v>
      </c>
      <c r="H99" s="185"/>
      <c r="I99" s="216">
        <v>0.15</v>
      </c>
      <c r="J99" s="185">
        <f ca="1">IFERROR(IF($B99="","",VLOOKUP($B99,'[1]Paramètres Articles'!$B:$H,7,FALSE)),"Non Trouvé")</f>
        <v>79.5</v>
      </c>
      <c r="K99" s="188">
        <f ca="1">J99*(1-I99)</f>
        <v>0</v>
      </c>
      <c r="L99" s="191">
        <f ca="1">IFERROR(J99-K99,"")</f>
        <v>0</v>
      </c>
      <c r="M99" s="296">
        <f>H99*(1-I99)*$N$11*(1-$N$10)</f>
        <v>0</v>
      </c>
      <c r="N99" s="193"/>
      <c r="O99" s="296"/>
      <c r="P99" s="193"/>
      <c r="Q99" s="296"/>
      <c r="R99" s="193"/>
      <c r="S99" s="296"/>
      <c r="T99" s="193"/>
      <c r="U99" s="298"/>
      <c r="V99" s="193"/>
      <c r="W99" s="188"/>
      <c r="X99" s="193"/>
      <c r="Y99" s="191"/>
      <c r="Z99" s="1"/>
      <c r="AA99" s="236"/>
      <c r="AB99" s="96"/>
      <c r="AC99" s="97"/>
      <c r="AD99" s="97"/>
      <c r="AE99" s="237"/>
    </row>
    <row r="100" spans="1:31">
      <c r="A100" s="180">
        <v>1020717</v>
      </c>
      <c r="B100" s="181" t="str">
        <f ca="1">IFERROR(IF($B100="","",VLOOKUP($B100,'[1]Paramètres Articles'!$B:$G,2,FALSE)),"Non Trouvé")</f>
        <v>Sérum Contour des Yeux - Régénérant Intensif -15 ml</v>
      </c>
      <c r="C100" s="182">
        <f ca="1">IFERROR(IF($B100="","",_xlfn.XLOOKUP(REGENERANTS!$C105,'[1]New Base PA'!$F:$F,'[1]New Base PA'!$D:$D,"Not Found",0)),"Non Trouvé")</f>
        <v>4020829101067</v>
      </c>
      <c r="D100" s="183" t="s">
        <v>90</v>
      </c>
      <c r="E100" s="224"/>
      <c r="F100" s="185"/>
      <c r="G100" s="190">
        <f t="shared" si="2"/>
        <v>0</v>
      </c>
      <c r="H100" s="185"/>
      <c r="I100" s="216">
        <v>0.15</v>
      </c>
      <c r="J100" s="185">
        <f ca="1">IFERROR(IF($B100="","",VLOOKUP($B100,'[1]Paramètres Articles'!$B:$H,7,FALSE)),"Non Trouvé")</f>
        <v>75</v>
      </c>
      <c r="K100" s="188">
        <f ca="1">J100*(1-I100)</f>
        <v>0</v>
      </c>
      <c r="L100" s="191">
        <f ca="1">IFERROR(J100-K100,"")</f>
        <v>0</v>
      </c>
      <c r="M100" s="296">
        <f>H100*(1-I100)*$N$11*(1-$N$10)</f>
        <v>0</v>
      </c>
      <c r="N100" s="193"/>
      <c r="O100" s="296"/>
      <c r="P100" s="193"/>
      <c r="Q100" s="296"/>
      <c r="R100" s="193"/>
      <c r="S100" s="296"/>
      <c r="T100" s="193"/>
      <c r="U100" s="298"/>
      <c r="V100" s="193"/>
      <c r="W100" s="188"/>
      <c r="X100" s="193"/>
      <c r="Y100" s="191"/>
      <c r="Z100" s="1"/>
      <c r="AA100" s="236"/>
      <c r="AB100" s="96"/>
      <c r="AC100" s="97"/>
      <c r="AD100" s="97"/>
      <c r="AE100" s="237"/>
    </row>
    <row r="101" spans="1:31">
      <c r="A101" s="180">
        <v>1020718</v>
      </c>
      <c r="B101" s="181" t="str">
        <f ca="1">IFERROR(IF($B101="","",VLOOKUP($B101,'[1]Paramètres Articles'!$B:$G,2,FALSE)),"Non Trouvé")</f>
        <v>Sérum de Nuit - Régénérant Intensif - 30 ml</v>
      </c>
      <c r="C101" s="182">
        <f ca="1">IFERROR(IF($B101="","",_xlfn.XLOOKUP(REGENERANTS!$C106,'[1]New Base PA'!$F:$F,'[1]New Base PA'!$D:$D,"Not Found",0)),"Non Trouvé")</f>
        <v>4020829101111</v>
      </c>
      <c r="D101" s="183" t="s">
        <v>90</v>
      </c>
      <c r="E101" s="224"/>
      <c r="F101" s="185"/>
      <c r="G101" s="190">
        <f t="shared" si="2"/>
        <v>0</v>
      </c>
      <c r="H101" s="185"/>
      <c r="I101" s="216">
        <v>0.15</v>
      </c>
      <c r="J101" s="185">
        <f ca="1">IFERROR(IF($B101="","",VLOOKUP($B101,'[1]Paramètres Articles'!$B:$H,7,FALSE)),"Non Trouvé")</f>
        <v>79.5</v>
      </c>
      <c r="K101" s="188">
        <f ca="1">J101*(1-I101)</f>
        <v>0</v>
      </c>
      <c r="L101" s="191">
        <f ca="1">IFERROR(J101-K101,"")</f>
        <v>0</v>
      </c>
      <c r="M101" s="296">
        <f>H101*(1-I101)*$N$11*(1-$N$10)</f>
        <v>0</v>
      </c>
      <c r="N101" s="193"/>
      <c r="O101" s="296"/>
      <c r="P101" s="193"/>
      <c r="Q101" s="296"/>
      <c r="R101" s="193"/>
      <c r="S101" s="296"/>
      <c r="T101" s="193"/>
      <c r="U101" s="298"/>
      <c r="V101" s="193"/>
      <c r="W101" s="188"/>
      <c r="X101" s="193"/>
      <c r="Y101" s="191"/>
      <c r="Z101" s="1"/>
      <c r="AA101" s="236"/>
      <c r="AB101" s="96"/>
      <c r="AC101" s="97"/>
      <c r="AD101" s="97"/>
      <c r="AE101" s="237"/>
    </row>
    <row r="102" spans="1:31">
      <c r="A102" s="180">
        <v>1020301</v>
      </c>
      <c r="B102" s="181" t="str">
        <f ca="1">IFERROR(IF($B102="","",VLOOKUP($B102,'[1]Paramètres Articles'!$B:$G,2,FALSE)),"Non Trouvé")</f>
        <v>Crème de Jour - Régénérant - 40 ml</v>
      </c>
      <c r="C102" s="182">
        <f ca="1">IFERROR(IF($B102="","",_xlfn.XLOOKUP(REGENERANTS!$C107,'[1]New Base PA'!$F:$F,'[1]New Base PA'!$D:$D,"Not Found",0)),"Non Trouvé")</f>
        <v>4020829007383</v>
      </c>
      <c r="D102" s="183" t="s">
        <v>90</v>
      </c>
      <c r="E102" s="224"/>
      <c r="F102" s="185"/>
      <c r="G102" s="190">
        <f t="shared" si="2"/>
        <v>0</v>
      </c>
      <c r="H102" s="185"/>
      <c r="I102" s="216">
        <v>0.15</v>
      </c>
      <c r="J102" s="185">
        <f ca="1">IFERROR(IF($B102="","",VLOOKUP($B102,'[1]Paramètres Articles'!$B:$H,7,FALSE)),"Non Trouvé")</f>
        <v>65.5</v>
      </c>
      <c r="K102" s="188">
        <f ca="1">J102*(1-I102)</f>
        <v>0</v>
      </c>
      <c r="L102" s="191">
        <f ca="1">IFERROR(J102-K102,"")</f>
        <v>0</v>
      </c>
      <c r="M102" s="296">
        <f>H102*(1-I102)*$N$11*(1-$N$10)</f>
        <v>0</v>
      </c>
      <c r="N102" s="193"/>
      <c r="O102" s="296"/>
      <c r="P102" s="193"/>
      <c r="Q102" s="296"/>
      <c r="R102" s="193"/>
      <c r="S102" s="296"/>
      <c r="T102" s="193"/>
      <c r="U102" s="298"/>
      <c r="V102" s="193"/>
      <c r="W102" s="188"/>
      <c r="X102" s="193"/>
      <c r="Y102" s="191"/>
      <c r="Z102" s="1"/>
      <c r="AA102" s="236"/>
      <c r="AB102" s="96"/>
      <c r="AC102" s="97"/>
      <c r="AD102" s="97"/>
      <c r="AE102" s="237"/>
    </row>
    <row r="103" spans="1:31">
      <c r="A103" s="180">
        <v>1020720</v>
      </c>
      <c r="B103" s="181" t="str">
        <f ca="1">IFERROR(IF($B103="","",VLOOKUP($B103,'[1]Paramètres Articles'!$B:$G,2,FALSE)),"Non Trouvé")</f>
        <v>Crème de Jour - Régénérant Intensif - 40ml</v>
      </c>
      <c r="C103" s="182">
        <f ca="1">IFERROR(IF($B103="","",_xlfn.XLOOKUP(REGENERANTS!$C108,'[1]New Base PA'!$F:$F,'[1]New Base PA'!$D:$D,"Not Found",0)),"Non Trouvé")</f>
        <v>4020829102972</v>
      </c>
      <c r="D103" s="183" t="s">
        <v>90</v>
      </c>
      <c r="E103" s="224"/>
      <c r="F103" s="185"/>
      <c r="G103" s="190">
        <f t="shared" si="2"/>
        <v>0</v>
      </c>
      <c r="H103" s="185"/>
      <c r="I103" s="216">
        <v>0.15</v>
      </c>
      <c r="J103" s="185">
        <f ca="1">IFERROR(IF($B103="","",VLOOKUP($B103,'[1]Paramètres Articles'!$B:$H,7,FALSE)),"Non Trouvé")</f>
        <v>75.900000000000006</v>
      </c>
      <c r="K103" s="188">
        <f ca="1">J103*(1-I103)</f>
        <v>0</v>
      </c>
      <c r="L103" s="191">
        <f ca="1">IFERROR(J103-K103,"")</f>
        <v>0</v>
      </c>
      <c r="M103" s="296">
        <f>H103*(1-I103)*$N$11*(1-$N$10)</f>
        <v>0</v>
      </c>
      <c r="N103" s="193"/>
      <c r="O103" s="296"/>
      <c r="P103" s="193"/>
      <c r="Q103" s="296"/>
      <c r="R103" s="193"/>
      <c r="S103" s="296"/>
      <c r="T103" s="193"/>
      <c r="U103" s="298"/>
      <c r="V103" s="193"/>
      <c r="W103" s="188"/>
      <c r="X103" s="193"/>
      <c r="Y103" s="191"/>
      <c r="Z103" s="1"/>
      <c r="AA103" s="236"/>
      <c r="AB103" s="96"/>
      <c r="AC103" s="128"/>
      <c r="AD103" s="97"/>
      <c r="AE103" s="237"/>
    </row>
    <row r="104" spans="1:31">
      <c r="A104" s="219" t="s">
        <v>97</v>
      </c>
      <c r="B104" s="220" t="str">
        <f ca="1">IFERROR(IF($B104="","",VLOOKUP($B104,'[1]Paramètres Articles'!$B:$G,2,FALSE)),"Non Trouvé")</f>
        <v>Panneau vitrine Régénérants 2026</v>
      </c>
      <c r="C104" s="221">
        <f ca="1">IFERROR(IF($B104="","",_xlfn.XLOOKUP(REGENERANTS!$C109,'[1]New Base PA'!$F:$F,'[1]New Base PA'!$D:$D,"Not Found",0)),"Non Trouvé")</f>
        <v>0</v>
      </c>
      <c r="D104" s="222" t="s">
        <v>94</v>
      </c>
      <c r="E104" s="223">
        <v>1</v>
      </c>
      <c r="F104" s="185"/>
      <c r="G104" s="190">
        <f t="shared" si="2"/>
        <v>0</v>
      </c>
      <c r="H104" s="186"/>
      <c r="I104" s="216"/>
      <c r="J104" s="185">
        <f ca="1">IFERROR(IF($B104="","",VLOOKUP($B104,'[1]Paramètres Articles'!$B:$H,7,FALSE)),"Non Trouvé")</f>
        <v>0</v>
      </c>
      <c r="K104" s="188" t="str">
        <f ca="1">IFERROR(IF($B104="","",IF(#REF!="","",#REF!*(1-#REF!))),"Non Trouvé")</f>
        <v/>
      </c>
      <c r="L104" s="191" t="str">
        <f ca="1">IFERROR(J104-K104,"")</f>
        <v/>
      </c>
      <c r="M104" s="296">
        <f ca="1">IFERROR(IF($B104="","",IF(#REF!="Cascade",#REF!*(1-#REF!)*#REF!,IF(#REF!="Additionnelle",(#REF!-(#REF!*(#REF!+#REF!)))*#REF!))),"Non Trouvé")</f>
        <v>0</v>
      </c>
      <c r="N104" s="193"/>
      <c r="O104" s="296"/>
      <c r="P104" s="193"/>
      <c r="Q104" s="296"/>
      <c r="R104" s="193"/>
      <c r="S104" s="296"/>
      <c r="T104" s="193"/>
      <c r="U104" s="298"/>
      <c r="V104" s="193"/>
      <c r="W104" s="188"/>
      <c r="X104" s="193"/>
      <c r="Y104" s="191"/>
      <c r="Z104" s="1"/>
      <c r="AA104" s="236"/>
      <c r="AB104" s="96"/>
      <c r="AC104" s="97"/>
      <c r="AD104" s="133"/>
      <c r="AE104" s="237"/>
    </row>
    <row r="105" spans="1:31">
      <c r="A105" s="219" t="s">
        <v>99</v>
      </c>
      <c r="B105" s="220" t="str">
        <f ca="1">IFERROR(IF($B105="","",VLOOKUP($B105,'[1]Paramètres Articles'!$B:$G,2,FALSE)),"Non Trouvé")</f>
        <v>Présentoir Régénérants 2026</v>
      </c>
      <c r="C105" s="221">
        <f ca="1">IFERROR(IF($B105="","",_xlfn.XLOOKUP(REGENERANTS!$C110,'[1]New Base PA'!$F:$F,'[1]New Base PA'!$D:$D,"Not Found",0)),"Non Trouvé")</f>
        <v>0</v>
      </c>
      <c r="D105" s="222" t="s">
        <v>94</v>
      </c>
      <c r="E105" s="223">
        <v>1</v>
      </c>
      <c r="F105" s="185"/>
      <c r="G105" s="190">
        <f t="shared" si="2"/>
        <v>0</v>
      </c>
      <c r="H105" s="186"/>
      <c r="I105" s="216"/>
      <c r="J105" s="185">
        <f ca="1">IFERROR(IF($B105="","",VLOOKUP($B105,'[1]Paramètres Articles'!$B:$H,7,FALSE)),"Non Trouvé")</f>
        <v>0</v>
      </c>
      <c r="K105" s="188" t="str">
        <f ca="1">IFERROR(IF($B105="","",IF(#REF!="","",#REF!*(1-#REF!))),"Non Trouvé")</f>
        <v/>
      </c>
      <c r="L105" s="191" t="str">
        <f ca="1">IFERROR(J105-K105,"")</f>
        <v/>
      </c>
      <c r="M105" s="296">
        <f ca="1">IFERROR(IF($B105="","",IF(#REF!="Cascade",#REF!*(1-#REF!)*#REF!,IF(#REF!="Additionnelle",(#REF!-(#REF!*(#REF!+#REF!)))*#REF!))),"Non Trouvé")</f>
        <v>0</v>
      </c>
      <c r="N105" s="193"/>
      <c r="O105" s="296"/>
      <c r="P105" s="193"/>
      <c r="Q105" s="296"/>
      <c r="R105" s="193"/>
      <c r="S105" s="296"/>
      <c r="T105" s="193"/>
      <c r="U105" s="298"/>
      <c r="V105" s="193"/>
      <c r="W105" s="188"/>
      <c r="X105" s="193"/>
      <c r="Y105" s="191"/>
      <c r="Z105" s="1"/>
      <c r="AA105" s="236"/>
      <c r="AB105" s="96"/>
      <c r="AC105" s="97"/>
      <c r="AD105" s="134"/>
      <c r="AE105" s="237"/>
    </row>
    <row r="106" spans="1:31">
      <c r="A106" s="219">
        <v>3020202</v>
      </c>
      <c r="B106" s="220" t="str">
        <f ca="1">IFERROR(IF($B106="","",VLOOKUP($B106,'[1]Paramètres Articles'!$B:$G,2,FALSE)),"Non Trouvé")</f>
        <v>Testeur - Sérum Jour / Nuit - Régénérant 30ml - 15% comprise</v>
      </c>
      <c r="C106" s="221">
        <f ca="1">IFERROR(IF($B106="","",_xlfn.XLOOKUP(REGENERANTS!$C111,'[1]New Base PA'!$F:$F,'[1]New Base PA'!$D:$D,"Not Found",0)),"Non Trouvé")</f>
        <v>4020829103146</v>
      </c>
      <c r="D106" s="222" t="s">
        <v>96</v>
      </c>
      <c r="E106" s="223">
        <v>1</v>
      </c>
      <c r="F106" s="185"/>
      <c r="G106" s="190">
        <f t="shared" si="2"/>
        <v>0</v>
      </c>
      <c r="H106" s="186"/>
      <c r="I106" s="216"/>
      <c r="J106" s="185" t="str">
        <f ca="1">IFERROR(IF($B106="","",VLOOKUP($B106,'[1]Paramètres Articles'!$B:$H,7,FALSE)),"Non Trouvé")</f>
        <v>Non Trouvé</v>
      </c>
      <c r="K106" s="188" t="str">
        <f ca="1">IFERROR(IF($B106="","",IF(#REF!="","",#REF!*(1-#REF!))),"Non Trouvé")</f>
        <v/>
      </c>
      <c r="L106" s="191" t="str">
        <f ca="1">IFERROR(J106-K106,"")</f>
        <v/>
      </c>
      <c r="M106" s="296">
        <f ca="1">IFERROR(IF($B106="","",IF(#REF!="Cascade",#REF!*(1-#REF!)*#REF!,IF(#REF!="Additionnelle",(#REF!-(#REF!*(#REF!+#REF!)))*#REF!))),"Non Trouvé")</f>
        <v>0</v>
      </c>
      <c r="N106" s="193"/>
      <c r="O106" s="296"/>
      <c r="P106" s="193"/>
      <c r="Q106" s="296"/>
      <c r="R106" s="193"/>
      <c r="S106" s="296"/>
      <c r="T106" s="193"/>
      <c r="U106" s="298"/>
      <c r="V106" s="193"/>
      <c r="W106" s="188"/>
      <c r="X106" s="193"/>
      <c r="Y106" s="191"/>
      <c r="Z106" s="1"/>
      <c r="AA106" s="236"/>
      <c r="AB106" s="96"/>
      <c r="AC106" s="97"/>
      <c r="AD106" s="240"/>
      <c r="AE106" s="237"/>
    </row>
    <row r="107" spans="1:31">
      <c r="A107" s="219">
        <v>3020301</v>
      </c>
      <c r="B107" s="220" t="str">
        <f ca="1">IFERROR(IF($B107="","",VLOOKUP($B107,'[1]Paramètres Articles'!$B:$G,2,FALSE)),"Non Trouvé")</f>
        <v>Testeur - Crème de Jour Régénérante 40 ml - 15% comprise</v>
      </c>
      <c r="C107" s="221">
        <f ca="1">IFERROR(IF($B107="","",_xlfn.XLOOKUP(REGENERANTS!$C112,'[1]New Base PA'!$F:$F,'[1]New Base PA'!$D:$D,"Not Found",0)),"Non Trouvé")</f>
        <v>4020829007123</v>
      </c>
      <c r="D107" s="222" t="s">
        <v>96</v>
      </c>
      <c r="E107" s="223">
        <v>1</v>
      </c>
      <c r="F107" s="185"/>
      <c r="G107" s="190">
        <f t="shared" si="2"/>
        <v>0</v>
      </c>
      <c r="H107" s="186"/>
      <c r="I107" s="216"/>
      <c r="J107" s="185" t="str">
        <f ca="1">IFERROR(IF($B107="","",VLOOKUP($B107,'[1]Paramètres Articles'!$B:$H,7,FALSE)),"Non Trouvé")</f>
        <v>Non Trouvé</v>
      </c>
      <c r="K107" s="188" t="str">
        <f ca="1">IFERROR(IF($B107="","",IF(#REF!="","",#REF!*(1-#REF!))),"Non Trouvé")</f>
        <v/>
      </c>
      <c r="L107" s="191" t="str">
        <f ca="1">IFERROR(J107-K107,"")</f>
        <v/>
      </c>
      <c r="M107" s="296">
        <f ca="1">IFERROR(IF($B107="","",IF(#REF!="Cascade",#REF!*(1-#REF!)*#REF!,IF(#REF!="Additionnelle",(#REF!-(#REF!*(#REF!+#REF!)))*#REF!))),"Non Trouvé")</f>
        <v>0</v>
      </c>
      <c r="N107" s="193"/>
      <c r="O107" s="296"/>
      <c r="P107" s="193"/>
      <c r="Q107" s="296"/>
      <c r="R107" s="193"/>
      <c r="S107" s="296"/>
      <c r="T107" s="193"/>
      <c r="U107" s="298"/>
      <c r="V107" s="193"/>
      <c r="W107" s="188"/>
      <c r="X107" s="193"/>
      <c r="Y107" s="191"/>
      <c r="Z107" s="1"/>
      <c r="AA107" s="236"/>
      <c r="AB107" s="96"/>
      <c r="AC107" s="97"/>
      <c r="AD107" s="134"/>
      <c r="AE107" s="237"/>
    </row>
    <row r="108" spans="1:31">
      <c r="A108" s="219">
        <v>3020720</v>
      </c>
      <c r="B108" s="220" t="str">
        <f ca="1">IFERROR(IF($B108="","",VLOOKUP($B108,'[1]Paramètres Articles'!$B:$G,2,FALSE)),"Non Trouvé")</f>
        <v>Testeur - Crème de Jour - Régénérant Intensif - 40ml - 15 % comprise</v>
      </c>
      <c r="C108" s="221">
        <f ca="1">IFERROR(IF($B108="","",_xlfn.XLOOKUP(REGENERANTS!$C113,'[1]New Base PA'!$F:$F,'[1]New Base PA'!$D:$D,"Not Found",0)),"Non Trouvé")</f>
        <v>4020829103207</v>
      </c>
      <c r="D108" s="222" t="s">
        <v>96</v>
      </c>
      <c r="E108" s="223">
        <v>1</v>
      </c>
      <c r="F108" s="185"/>
      <c r="G108" s="190">
        <f t="shared" si="2"/>
        <v>0</v>
      </c>
      <c r="H108" s="186"/>
      <c r="I108" s="216"/>
      <c r="J108" s="185" t="str">
        <f ca="1">IFERROR(IF($B108="","",VLOOKUP($B108,'[1]Paramètres Articles'!$B:$H,7,FALSE)),"Non Trouvé")</f>
        <v>Non Trouvé</v>
      </c>
      <c r="K108" s="188" t="str">
        <f ca="1">IFERROR(IF($B108="","",IF(#REF!="","",#REF!*(1-#REF!))),"Non Trouvé")</f>
        <v/>
      </c>
      <c r="L108" s="191" t="str">
        <f ca="1">IFERROR(J108-K108,"")</f>
        <v/>
      </c>
      <c r="M108" s="296">
        <f ca="1">IFERROR(IF($B108="","",IF(#REF!="Cascade",#REF!*(1-#REF!)*#REF!,IF(#REF!="Additionnelle",(#REF!-(#REF!*(#REF!+#REF!)))*#REF!))),"Non Trouvé")</f>
        <v>0</v>
      </c>
      <c r="N108" s="193"/>
      <c r="O108" s="296"/>
      <c r="P108" s="193"/>
      <c r="Q108" s="296"/>
      <c r="R108" s="193"/>
      <c r="S108" s="296"/>
      <c r="T108" s="193"/>
      <c r="U108" s="298"/>
      <c r="V108" s="193"/>
      <c r="W108" s="188"/>
      <c r="X108" s="193"/>
      <c r="Y108" s="191"/>
      <c r="Z108" s="1"/>
      <c r="AA108" s="236"/>
      <c r="AB108" s="96"/>
      <c r="AC108" s="96"/>
      <c r="AD108" s="96"/>
      <c r="AE108" s="237"/>
    </row>
    <row r="109" spans="1:31">
      <c r="A109" s="219">
        <v>3020718</v>
      </c>
      <c r="B109" s="220" t="str">
        <f ca="1">IFERROR(IF($B109="","",VLOOKUP($B109,'[1]Paramètres Articles'!$B:$G,2,FALSE)),"Non Trouvé")</f>
        <v>Testeur - Sérum de Nuit - Régénérant Intensif 30ml - 15% comprise</v>
      </c>
      <c r="C109" s="221">
        <f ca="1">IFERROR(IF($B109="","",_xlfn.XLOOKUP(REGENERANTS!$C114,'[1]New Base PA'!$F:$F,'[1]New Base PA'!$D:$D,"Not Found",0)),"Non Trouvé")</f>
        <v>4020829101142</v>
      </c>
      <c r="D109" s="222" t="s">
        <v>96</v>
      </c>
      <c r="E109" s="223">
        <v>1</v>
      </c>
      <c r="F109" s="185"/>
      <c r="G109" s="190">
        <f t="shared" si="2"/>
        <v>0</v>
      </c>
      <c r="H109" s="186"/>
      <c r="I109" s="216"/>
      <c r="J109" s="185" t="str">
        <f ca="1">IFERROR(IF($B109="","",VLOOKUP($B109,'[1]Paramètres Articles'!$B:$H,7,FALSE)),"Non Trouvé")</f>
        <v>Non Trouvé</v>
      </c>
      <c r="K109" s="188" t="str">
        <f ca="1">IFERROR(IF($B109="","",IF(#REF!="","",#REF!*(1-#REF!))),"Non Trouvé")</f>
        <v/>
      </c>
      <c r="L109" s="191" t="str">
        <f ca="1">IFERROR(J109-K109,"")</f>
        <v/>
      </c>
      <c r="M109" s="296">
        <f ca="1">IFERROR(IF($B109="","",IF(#REF!="Cascade",#REF!*(1-#REF!)*#REF!,IF(#REF!="Additionnelle",(#REF!-(#REF!*(#REF!+#REF!)))*#REF!))),"Non Trouvé")</f>
        <v>0</v>
      </c>
      <c r="N109" s="193"/>
      <c r="O109" s="296"/>
      <c r="P109" s="193"/>
      <c r="Q109" s="296"/>
      <c r="R109" s="193"/>
      <c r="S109" s="296"/>
      <c r="T109" s="193"/>
      <c r="U109" s="298"/>
      <c r="V109" s="193"/>
      <c r="W109" s="188"/>
      <c r="X109" s="193"/>
      <c r="Y109" s="191"/>
      <c r="Z109" s="1"/>
      <c r="AA109" s="236"/>
      <c r="AB109" s="96"/>
      <c r="AC109" s="128"/>
      <c r="AD109" s="96"/>
      <c r="AE109" s="237"/>
    </row>
    <row r="110" spans="1:31" ht="15.75" thickBot="1">
      <c r="A110" s="219" t="s">
        <v>105</v>
      </c>
      <c r="B110" s="220" t="str">
        <f ca="1">IFERROR(IF($B110="","",VLOOKUP($B110,'[1]Paramètres Articles'!$B:$G,2,FALSE)),"Non Trouvé")</f>
        <v>Stop-rayon promo Régénérants 2026 -10€</v>
      </c>
      <c r="C110" s="221">
        <f ca="1">IFERROR(IF($B110="","",_xlfn.XLOOKUP(REGENERANTS!$C115,'[1]New Base PA'!$F:$F,'[1]New Base PA'!$D:$D,"Not Found",0)),"Non Trouvé")</f>
        <v>0</v>
      </c>
      <c r="D110" s="222" t="s">
        <v>94</v>
      </c>
      <c r="E110" s="223">
        <v>1</v>
      </c>
      <c r="F110" s="185"/>
      <c r="G110" s="190">
        <f t="shared" si="2"/>
        <v>0</v>
      </c>
      <c r="H110" s="186"/>
      <c r="I110" s="216"/>
      <c r="J110" s="185">
        <f ca="1">IFERROR(IF($B110="","",VLOOKUP($B110,'[1]Paramètres Articles'!$B:$H,7,FALSE)),"Non Trouvé")</f>
        <v>0</v>
      </c>
      <c r="K110" s="188" t="str">
        <f ca="1">IFERROR(IF($B110="","",IF(#REF!="","",#REF!*(1-#REF!))),"Non Trouvé")</f>
        <v/>
      </c>
      <c r="L110" s="191" t="str">
        <f ca="1">IFERROR(J110-K110,"")</f>
        <v/>
      </c>
      <c r="M110" s="297">
        <f ca="1">IFERROR(IF($B110="","",IF(#REF!="Cascade",#REF!*(1-#REF!)*#REF!,IF(#REF!="Additionnelle",(#REF!-(#REF!*(#REF!+#REF!)))*#REF!))),"Non Trouvé")</f>
        <v>0</v>
      </c>
      <c r="N110" s="199"/>
      <c r="O110" s="297"/>
      <c r="P110" s="199"/>
      <c r="Q110" s="297"/>
      <c r="R110" s="199"/>
      <c r="S110" s="297"/>
      <c r="T110" s="199"/>
      <c r="U110" s="299"/>
      <c r="V110" s="199"/>
      <c r="W110" s="300"/>
      <c r="X110" s="199"/>
      <c r="Y110" s="301"/>
      <c r="Z110" s="198"/>
      <c r="AA110" s="241"/>
      <c r="AB110" s="242"/>
      <c r="AC110" s="243"/>
      <c r="AD110" s="244"/>
      <c r="AE110" s="245"/>
    </row>
    <row r="113" spans="1:35">
      <c r="A113" s="22" t="s">
        <v>154</v>
      </c>
      <c r="B113" s="23"/>
      <c r="C113" s="24"/>
      <c r="D113" s="25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</row>
    <row r="114" spans="1:35" ht="15.75" thickBot="1">
      <c r="M114" s="208" t="s">
        <v>131</v>
      </c>
      <c r="N114" s="209"/>
      <c r="O114" s="209"/>
      <c r="P114" s="210" t="s">
        <v>132</v>
      </c>
      <c r="Q114" s="211"/>
      <c r="R114" s="211"/>
      <c r="S114" s="306" t="s">
        <v>41</v>
      </c>
      <c r="T114" s="306"/>
      <c r="U114" s="306"/>
      <c r="V114" s="306"/>
      <c r="W114" s="306"/>
      <c r="X114" s="306"/>
      <c r="Y114" s="307" t="s">
        <v>135</v>
      </c>
      <c r="Z114" s="307"/>
      <c r="AA114" s="307"/>
      <c r="AB114" s="307"/>
      <c r="AC114" s="307"/>
      <c r="AD114" s="307"/>
    </row>
    <row r="115" spans="1:35">
      <c r="M115" s="201"/>
      <c r="N115" s="201"/>
      <c r="O115" s="202"/>
      <c r="P115" s="201"/>
      <c r="Q115" s="201"/>
      <c r="R115" s="202"/>
      <c r="S115" s="201"/>
      <c r="T115" s="201"/>
      <c r="U115" s="202"/>
      <c r="V115" s="201"/>
      <c r="W115" s="201"/>
      <c r="X115" s="202"/>
      <c r="Y115" s="201"/>
      <c r="Z115" s="201"/>
      <c r="AA115" s="202"/>
      <c r="AB115" s="201"/>
      <c r="AC115" s="201"/>
      <c r="AD115" s="202"/>
    </row>
    <row r="116" spans="1:35">
      <c r="M116" s="205" t="s">
        <v>130</v>
      </c>
      <c r="N116" s="206"/>
      <c r="O116" s="207"/>
      <c r="P116" s="212" t="s">
        <v>67</v>
      </c>
      <c r="Q116" s="213"/>
      <c r="R116" s="214"/>
      <c r="S116" s="308" t="s">
        <v>73</v>
      </c>
      <c r="T116" s="309"/>
      <c r="U116" s="310"/>
      <c r="V116" s="308" t="s">
        <v>134</v>
      </c>
      <c r="W116" s="311"/>
      <c r="X116" s="312"/>
      <c r="Y116" s="205" t="s">
        <v>136</v>
      </c>
      <c r="Z116" s="246"/>
      <c r="AA116" s="247"/>
      <c r="AB116" s="205" t="s">
        <v>161</v>
      </c>
      <c r="AC116" s="246"/>
      <c r="AD116" s="247"/>
    </row>
    <row r="117" spans="1:35">
      <c r="M117" s="64" t="s">
        <v>138</v>
      </c>
      <c r="N117" s="64"/>
      <c r="O117" s="314">
        <v>0.25</v>
      </c>
      <c r="P117" s="64" t="s">
        <v>138</v>
      </c>
      <c r="Q117" s="64"/>
      <c r="R117" s="314">
        <v>0.2</v>
      </c>
      <c r="S117" s="64" t="s">
        <v>138</v>
      </c>
      <c r="T117" s="64"/>
      <c r="U117" s="314">
        <v>0.16</v>
      </c>
      <c r="V117" s="64" t="s">
        <v>138</v>
      </c>
      <c r="W117" s="64"/>
      <c r="X117" s="315">
        <v>0.185</v>
      </c>
      <c r="Y117" s="64" t="s">
        <v>138</v>
      </c>
      <c r="Z117" s="64"/>
      <c r="AA117" s="314">
        <v>0.15</v>
      </c>
      <c r="AB117" s="64" t="s">
        <v>138</v>
      </c>
      <c r="AC117" s="64"/>
      <c r="AD117" s="314">
        <v>0.2</v>
      </c>
    </row>
    <row r="118" spans="1:35" ht="39">
      <c r="A118" s="46"/>
      <c r="B118" s="46"/>
      <c r="C118" s="47"/>
      <c r="D118" s="46"/>
      <c r="E118" s="48"/>
      <c r="F118" s="48" t="s">
        <v>118</v>
      </c>
      <c r="H118" s="48" t="s">
        <v>121</v>
      </c>
      <c r="I118" s="48" t="s">
        <v>120</v>
      </c>
      <c r="J118" s="48" t="s">
        <v>129</v>
      </c>
      <c r="K118" s="48" t="s">
        <v>128</v>
      </c>
      <c r="L118" s="48" t="s">
        <v>33</v>
      </c>
      <c r="M118" s="48" t="s">
        <v>133</v>
      </c>
      <c r="N118" s="48" t="s">
        <v>1</v>
      </c>
      <c r="O118" s="195" t="s">
        <v>2</v>
      </c>
      <c r="P118" s="48" t="s">
        <v>133</v>
      </c>
      <c r="Q118" s="48" t="s">
        <v>1</v>
      </c>
      <c r="R118" s="195" t="s">
        <v>2</v>
      </c>
      <c r="S118" s="48" t="s">
        <v>133</v>
      </c>
      <c r="T118" s="48" t="s">
        <v>1</v>
      </c>
      <c r="U118" s="195" t="s">
        <v>2</v>
      </c>
      <c r="V118" s="48" t="s">
        <v>133</v>
      </c>
      <c r="W118" s="48" t="s">
        <v>1</v>
      </c>
      <c r="X118" s="195" t="s">
        <v>2</v>
      </c>
      <c r="Y118" s="48" t="s">
        <v>133</v>
      </c>
      <c r="Z118" s="48" t="s">
        <v>1</v>
      </c>
      <c r="AA118" s="195" t="s">
        <v>2</v>
      </c>
      <c r="AB118" s="48" t="s">
        <v>133</v>
      </c>
      <c r="AC118" s="48" t="s">
        <v>1</v>
      </c>
      <c r="AD118" s="195" t="s">
        <v>2</v>
      </c>
    </row>
    <row r="119" spans="1:35" ht="26.25" thickBot="1">
      <c r="A119" s="319" t="s">
        <v>49</v>
      </c>
      <c r="B119" s="319" t="s">
        <v>50</v>
      </c>
      <c r="C119" s="319" t="s">
        <v>51</v>
      </c>
      <c r="D119" s="319" t="s">
        <v>52</v>
      </c>
      <c r="E119" s="320" t="s">
        <v>164</v>
      </c>
      <c r="F119" s="61" t="s">
        <v>54</v>
      </c>
      <c r="H119" s="61" t="s">
        <v>54</v>
      </c>
      <c r="I119" s="61" t="s">
        <v>54</v>
      </c>
      <c r="J119" s="61" t="s">
        <v>54</v>
      </c>
      <c r="K119" s="61" t="s">
        <v>54</v>
      </c>
      <c r="L119" s="61" t="s">
        <v>54</v>
      </c>
      <c r="M119" s="61" t="s">
        <v>53</v>
      </c>
      <c r="N119" s="61" t="s">
        <v>54</v>
      </c>
      <c r="O119" s="197" t="s">
        <v>54</v>
      </c>
      <c r="P119" s="61" t="s">
        <v>53</v>
      </c>
      <c r="Q119" s="61" t="s">
        <v>54</v>
      </c>
      <c r="R119" s="197" t="s">
        <v>54</v>
      </c>
      <c r="S119" s="61" t="s">
        <v>53</v>
      </c>
      <c r="T119" s="61" t="s">
        <v>54</v>
      </c>
      <c r="U119" s="197" t="s">
        <v>54</v>
      </c>
      <c r="V119" s="61" t="s">
        <v>53</v>
      </c>
      <c r="W119" s="61" t="s">
        <v>54</v>
      </c>
      <c r="X119" s="197" t="s">
        <v>54</v>
      </c>
      <c r="Y119" s="61" t="s">
        <v>53</v>
      </c>
      <c r="Z119" s="61" t="s">
        <v>54</v>
      </c>
      <c r="AA119" s="197" t="s">
        <v>54</v>
      </c>
      <c r="AB119" s="61" t="s">
        <v>53</v>
      </c>
      <c r="AC119" s="61" t="s">
        <v>54</v>
      </c>
      <c r="AD119" s="197" t="s">
        <v>54</v>
      </c>
    </row>
    <row r="120" spans="1:35">
      <c r="A120" s="1"/>
      <c r="B120" s="1"/>
      <c r="C120" s="2"/>
      <c r="D120" s="1"/>
      <c r="E120" s="1"/>
      <c r="F120" s="1"/>
      <c r="H120" s="1"/>
      <c r="I120" s="1"/>
      <c r="J120" s="1"/>
      <c r="M120" s="1"/>
      <c r="N120" s="1"/>
      <c r="O120" s="193"/>
      <c r="P120" s="1"/>
      <c r="Q120" s="1"/>
      <c r="R120" s="193"/>
      <c r="S120" s="1"/>
      <c r="T120" s="1"/>
      <c r="U120" s="193"/>
      <c r="V120" s="1"/>
      <c r="W120" s="1"/>
      <c r="X120" s="193"/>
      <c r="Y120" s="1"/>
      <c r="Z120" s="1"/>
      <c r="AA120" s="193"/>
      <c r="AB120" s="1"/>
      <c r="AC120" s="1"/>
      <c r="AD120" s="193"/>
    </row>
    <row r="121" spans="1:35">
      <c r="A121" s="65" t="s">
        <v>56</v>
      </c>
      <c r="B121" s="65"/>
      <c r="C121" s="66"/>
      <c r="D121" s="65"/>
      <c r="E121" s="313">
        <f>SUM(E123:E142)</f>
        <v>0</v>
      </c>
      <c r="F121" s="68"/>
      <c r="H121" s="68" t="str">
        <f>IFERROR(#REF!/#REF!,"Non Trouvé")</f>
        <v>Non Trouvé</v>
      </c>
      <c r="I121" s="69"/>
      <c r="J121" s="68">
        <f ca="1">IFERROR(SUM(J123:J142),"Non Trouvé")</f>
        <v>863.39614304461031</v>
      </c>
      <c r="K121" s="68">
        <f ca="1">IFERROR(SUM(K123:K142),"Non Trouvé")</f>
        <v>733.88672158791871</v>
      </c>
      <c r="L121" s="68">
        <f ca="1">IFERROR(SUM(L123:L142),"Non Trouvé")</f>
        <v>129.50942145669154</v>
      </c>
      <c r="M121" s="313">
        <f>SUM(M123:M142)</f>
        <v>0</v>
      </c>
      <c r="N121" s="304">
        <f>SUM(N123:N142)</f>
        <v>0</v>
      </c>
      <c r="O121" s="303">
        <f>SUM(O123:O142)</f>
        <v>0</v>
      </c>
      <c r="P121" s="313"/>
      <c r="Q121" s="304"/>
      <c r="R121" s="303"/>
      <c r="S121" s="313"/>
      <c r="T121" s="304"/>
      <c r="U121" s="303"/>
      <c r="V121" s="313"/>
      <c r="W121" s="304"/>
      <c r="X121" s="303"/>
      <c r="Y121" s="313"/>
      <c r="Z121" s="304"/>
      <c r="AA121" s="303"/>
      <c r="AB121" s="313"/>
      <c r="AC121" s="304"/>
      <c r="AD121" s="303"/>
    </row>
    <row r="122" spans="1:35">
      <c r="A122" s="1"/>
      <c r="B122" s="1"/>
      <c r="C122" s="2"/>
      <c r="D122" s="1"/>
      <c r="E122" s="1"/>
      <c r="F122" s="1"/>
      <c r="H122" s="1"/>
      <c r="I122" s="1"/>
      <c r="J122" s="1"/>
      <c r="M122" s="1"/>
      <c r="N122" s="1"/>
      <c r="O122" s="193"/>
      <c r="P122" s="1"/>
      <c r="Q122" s="1"/>
      <c r="R122" s="193"/>
      <c r="S122" s="1"/>
      <c r="T122" s="1"/>
      <c r="U122" s="193"/>
      <c r="V122" s="1"/>
      <c r="W122" s="1"/>
      <c r="X122" s="193"/>
      <c r="Y122" s="1"/>
      <c r="Z122" s="1"/>
      <c r="AA122" s="193"/>
      <c r="AB122" s="1"/>
      <c r="AC122" s="1"/>
      <c r="AD122" s="193"/>
    </row>
    <row r="123" spans="1:35">
      <c r="A123" s="180">
        <v>1020202</v>
      </c>
      <c r="B123" s="181" t="str">
        <f ca="1">IFERROR(IF($B123="","",VLOOKUP($B123,'[1]Paramètres Articles'!$B:$G,2,FALSE)),"Non Trouvé")</f>
        <v>Sérum Jour/Nuit - Régénérant - 30 ml</v>
      </c>
      <c r="C123" s="182">
        <f ca="1">IFERROR(IF($B123="","",_xlfn.XLOOKUP(REGENERANTS!$C124,'[1]New Base PA'!$F:$F,'[1]New Base PA'!$D:$D,"Not Found",0)),"Non Trouvé")</f>
        <v>4020829103115</v>
      </c>
      <c r="D123" s="183" t="s">
        <v>90</v>
      </c>
      <c r="E123" s="318">
        <f>M123+P123+S123+V123+Y123+AB123</f>
        <v>0</v>
      </c>
      <c r="F123" s="185"/>
      <c r="H123" s="185"/>
      <c r="I123" s="216"/>
      <c r="J123" s="185">
        <f ca="1">IFERROR(IF($B123="","",VLOOKUP($B123,'[1]Paramètres Articles'!$B:$H,7,FALSE)),"Non Trouvé")</f>
        <v>69.900000000000006</v>
      </c>
      <c r="K123" s="188">
        <f ca="1">J123*(1-I123)</f>
        <v>0</v>
      </c>
      <c r="L123" s="191">
        <f ca="1">IFERROR(J123-K123,"")</f>
        <v>10.484999999999999</v>
      </c>
      <c r="M123" s="330"/>
      <c r="N123" s="191">
        <f>M123*H123*(1-I123)*(1-$O$117)</f>
        <v>0</v>
      </c>
      <c r="O123" s="316">
        <f>N123-(F123*M123)</f>
        <v>0</v>
      </c>
      <c r="P123" s="330"/>
      <c r="Q123" s="191"/>
      <c r="R123" s="193"/>
      <c r="S123" s="330"/>
      <c r="T123" s="191"/>
      <c r="U123" s="193"/>
      <c r="V123" s="330"/>
      <c r="W123" s="191"/>
      <c r="X123" s="193"/>
      <c r="Y123" s="330"/>
      <c r="Z123" s="191"/>
      <c r="AA123" s="193"/>
      <c r="AB123" s="330"/>
      <c r="AC123" s="191"/>
      <c r="AD123" s="193"/>
    </row>
    <row r="124" spans="1:35">
      <c r="A124" s="180">
        <v>1020310</v>
      </c>
      <c r="B124" s="181" t="str">
        <f ca="1">IFERROR(IF($B124="","",VLOOKUP($B124,'[1]Paramètres Articles'!$B:$G,2,FALSE)),"Non Trouvé")</f>
        <v>Crème de Jour Eclat du Teint - Régénérant - 40 ml</v>
      </c>
      <c r="C124" s="182">
        <f ca="1">IFERROR(IF($B124="","",_xlfn.XLOOKUP(REGENERANTS!$C125,'[1]New Base PA'!$F:$F,'[1]New Base PA'!$D:$D,"Not Found",0)),"Non Trouvé")</f>
        <v>4020829060999</v>
      </c>
      <c r="D124" s="183" t="s">
        <v>90</v>
      </c>
      <c r="E124" s="318">
        <f t="shared" ref="E124:E142" si="3">M124+P124+S124+V124+Y124+AB124</f>
        <v>0</v>
      </c>
      <c r="F124" s="185"/>
      <c r="H124" s="185"/>
      <c r="I124" s="216"/>
      <c r="J124" s="185">
        <f ca="1">IFERROR(IF($B124="","",VLOOKUP($B124,'[1]Paramètres Articles'!$B:$H,7,FALSE)),"Non Trouvé")</f>
        <v>69.900000000000006</v>
      </c>
      <c r="K124" s="188">
        <f ca="1">J124*(1-I124)</f>
        <v>0</v>
      </c>
      <c r="L124" s="191">
        <f ca="1">IFERROR(J124-K124,"")</f>
        <v>10.484999999999999</v>
      </c>
      <c r="M124" s="330"/>
      <c r="N124" s="191">
        <f t="shared" ref="N124:N142" si="4">M124*H124*(1-I124)*(1-$O$117)</f>
        <v>0</v>
      </c>
      <c r="O124" s="316">
        <f t="shared" ref="O124:O142" si="5">N124-(F124*M124)</f>
        <v>0</v>
      </c>
      <c r="P124" s="330"/>
      <c r="Q124" s="191"/>
      <c r="R124" s="193"/>
      <c r="S124" s="330"/>
      <c r="T124" s="191"/>
      <c r="U124" s="193"/>
      <c r="V124" s="330"/>
      <c r="W124" s="191"/>
      <c r="X124" s="193"/>
      <c r="Y124" s="330"/>
      <c r="Z124" s="191"/>
      <c r="AA124" s="193"/>
      <c r="AB124" s="330"/>
      <c r="AC124" s="191"/>
      <c r="AD124" s="193"/>
    </row>
    <row r="125" spans="1:35">
      <c r="A125" s="180">
        <v>1020401</v>
      </c>
      <c r="B125" s="181" t="str">
        <f ca="1">IFERROR(IF($B125="","",VLOOKUP($B125,'[1]Paramètres Articles'!$B:$G,2,FALSE)),"Non Trouvé")</f>
        <v>Crème Contour des Yeux - Régénérant - 15 ml</v>
      </c>
      <c r="C125" s="182">
        <f ca="1">IFERROR(IF($B125="","",_xlfn.XLOOKUP(REGENERANTS!$C126,'[1]New Base PA'!$F:$F,'[1]New Base PA'!$D:$D,"Not Found",0)),"Non Trouvé")</f>
        <v>4020829013919</v>
      </c>
      <c r="D125" s="183" t="s">
        <v>90</v>
      </c>
      <c r="E125" s="318">
        <f t="shared" si="3"/>
        <v>0</v>
      </c>
      <c r="F125" s="185"/>
      <c r="H125" s="185"/>
      <c r="I125" s="216"/>
      <c r="J125" s="185">
        <f ca="1">IFERROR(IF($B125="","",VLOOKUP($B125,'[1]Paramètres Articles'!$B:$H,7,FALSE)),"Non Trouvé")</f>
        <v>67.5</v>
      </c>
      <c r="K125" s="188">
        <f ca="1">J125*(1-I125)</f>
        <v>0</v>
      </c>
      <c r="L125" s="191">
        <f ca="1">IFERROR(J125-K125,"")</f>
        <v>10.125</v>
      </c>
      <c r="M125" s="330"/>
      <c r="N125" s="191">
        <f t="shared" si="4"/>
        <v>0</v>
      </c>
      <c r="O125" s="316">
        <f t="shared" si="5"/>
        <v>0</v>
      </c>
      <c r="P125" s="330"/>
      <c r="Q125" s="191"/>
      <c r="R125" s="193"/>
      <c r="S125" s="330"/>
      <c r="T125" s="191"/>
      <c r="U125" s="193"/>
      <c r="V125" s="330"/>
      <c r="W125" s="191"/>
      <c r="X125" s="193"/>
      <c r="Y125" s="330"/>
      <c r="Z125" s="191"/>
      <c r="AA125" s="193"/>
      <c r="AB125" s="330"/>
      <c r="AC125" s="191"/>
      <c r="AD125" s="193"/>
    </row>
    <row r="126" spans="1:35">
      <c r="A126" s="180">
        <v>1020302</v>
      </c>
      <c r="B126" s="181" t="str">
        <f ca="1">IFERROR(IF($B126="","",VLOOKUP($B126,'[1]Paramètres Articles'!$B:$G,2,FALSE)),"Non Trouvé")</f>
        <v>Crème Cou et Décolleté - Régénérant - 40 ml</v>
      </c>
      <c r="C126" s="182">
        <f ca="1">IFERROR(IF($B126="","",_xlfn.XLOOKUP(REGENERANTS!$C127,'[1]New Base PA'!$F:$F,'[1]New Base PA'!$D:$D,"Not Found",0)),"Non Trouvé")</f>
        <v>4020829008366</v>
      </c>
      <c r="D126" s="183" t="s">
        <v>90</v>
      </c>
      <c r="E126" s="318">
        <f t="shared" si="3"/>
        <v>0</v>
      </c>
      <c r="F126" s="185"/>
      <c r="H126" s="185"/>
      <c r="I126" s="216"/>
      <c r="J126" s="185">
        <f ca="1">IFERROR(IF($B126="","",VLOOKUP($B126,'[1]Paramètres Articles'!$B:$H,7,FALSE)),"Non Trouvé")</f>
        <v>61</v>
      </c>
      <c r="K126" s="188">
        <f ca="1">J126*(1-I126)</f>
        <v>0</v>
      </c>
      <c r="L126" s="191">
        <f ca="1">IFERROR(J126-K126,"")</f>
        <v>9.1499999999999986</v>
      </c>
      <c r="M126" s="330"/>
      <c r="N126" s="191">
        <f t="shared" si="4"/>
        <v>0</v>
      </c>
      <c r="O126" s="316">
        <f t="shared" si="5"/>
        <v>0</v>
      </c>
      <c r="P126" s="330"/>
      <c r="Q126" s="191"/>
      <c r="R126" s="193"/>
      <c r="S126" s="330"/>
      <c r="T126" s="191"/>
      <c r="U126" s="193"/>
      <c r="V126" s="330"/>
      <c r="W126" s="191"/>
      <c r="X126" s="193"/>
      <c r="Y126" s="330"/>
      <c r="Z126" s="191"/>
      <c r="AA126" s="193"/>
      <c r="AB126" s="330"/>
      <c r="AC126" s="191"/>
      <c r="AD126" s="193"/>
    </row>
    <row r="127" spans="1:35">
      <c r="A127" s="180">
        <v>1020721</v>
      </c>
      <c r="B127" s="181" t="str">
        <f ca="1">IFERROR(IF($B127="","",VLOOKUP($B127,'[1]Paramètres Articles'!$B:$G,2,FALSE)),"Non Trouvé")</f>
        <v>Cure Intensive Fortifiante - Régénérant - 40ml</v>
      </c>
      <c r="C127" s="182">
        <f ca="1">IFERROR(IF($B127="","",_xlfn.XLOOKUP(REGENERANTS!$C128,'[1]New Base PA'!$F:$F,'[1]New Base PA'!$D:$D,"Not Found",0)),"Non Trouvé")</f>
        <v>4020829102941</v>
      </c>
      <c r="D127" s="183" t="s">
        <v>90</v>
      </c>
      <c r="E127" s="318">
        <f t="shared" si="3"/>
        <v>0</v>
      </c>
      <c r="F127" s="185"/>
      <c r="H127" s="185"/>
      <c r="I127" s="216"/>
      <c r="J127" s="185">
        <f ca="1">IFERROR(IF($B127="","",VLOOKUP($B127,'[1]Paramètres Articles'!$B:$H,7,FALSE)),"Non Trouvé")</f>
        <v>72.898071522305145</v>
      </c>
      <c r="K127" s="188">
        <f ca="1">J127*(1-I127)</f>
        <v>0</v>
      </c>
      <c r="L127" s="191">
        <f ca="1">IFERROR(J127-K127,"")</f>
        <v>10.93471072834577</v>
      </c>
      <c r="M127" s="330"/>
      <c r="N127" s="191">
        <f t="shared" si="4"/>
        <v>0</v>
      </c>
      <c r="O127" s="316">
        <f t="shared" si="5"/>
        <v>0</v>
      </c>
      <c r="P127" s="330"/>
      <c r="Q127" s="191"/>
      <c r="R127" s="193"/>
      <c r="S127" s="330"/>
      <c r="T127" s="191"/>
      <c r="U127" s="193"/>
      <c r="V127" s="330"/>
      <c r="W127" s="191"/>
      <c r="X127" s="193"/>
      <c r="Y127" s="330"/>
      <c r="Z127" s="191"/>
      <c r="AA127" s="193"/>
      <c r="AB127" s="330"/>
      <c r="AC127" s="191"/>
      <c r="AD127" s="193"/>
    </row>
    <row r="128" spans="1:35">
      <c r="A128" s="180">
        <v>1020107</v>
      </c>
      <c r="B128" s="181" t="str">
        <f ca="1">IFERROR(IF($B128="","",VLOOKUP($B128,'[1]Paramètres Articles'!$B:$G,2,FALSE)),"Non Trouvé")</f>
        <v>Lait pour le Corps - Régénérant - 150 ml</v>
      </c>
      <c r="C128" s="182">
        <f ca="1">IFERROR(IF($B128="","",_xlfn.XLOOKUP(REGENERANTS!$C129,'[1]New Base PA'!$F:$F,'[1]New Base PA'!$D:$D,"Not Found",0)),"Non Trouvé")</f>
        <v>4020829103160</v>
      </c>
      <c r="D128" s="183" t="s">
        <v>90</v>
      </c>
      <c r="E128" s="318">
        <f t="shared" si="3"/>
        <v>0</v>
      </c>
      <c r="F128" s="185"/>
      <c r="H128" s="185"/>
      <c r="I128" s="216"/>
      <c r="J128" s="185">
        <f ca="1">IFERROR(IF($B128="","",VLOOKUP($B128,'[1]Paramètres Articles'!$B:$H,7,FALSE)),"Non Trouvé")</f>
        <v>44.4</v>
      </c>
      <c r="K128" s="188">
        <f ca="1">J128*(1-I128)</f>
        <v>0</v>
      </c>
      <c r="L128" s="191">
        <f ca="1">IFERROR(J128-K128,"")</f>
        <v>6.6600000000000037</v>
      </c>
      <c r="M128" s="330"/>
      <c r="N128" s="191">
        <f t="shared" si="4"/>
        <v>0</v>
      </c>
      <c r="O128" s="316">
        <f t="shared" si="5"/>
        <v>0</v>
      </c>
      <c r="P128" s="330"/>
      <c r="Q128" s="191"/>
      <c r="R128" s="193"/>
      <c r="S128" s="330"/>
      <c r="T128" s="191"/>
      <c r="U128" s="193"/>
      <c r="V128" s="330"/>
      <c r="W128" s="191"/>
      <c r="X128" s="193"/>
      <c r="Y128" s="330"/>
      <c r="Z128" s="191"/>
      <c r="AA128" s="193"/>
      <c r="AB128" s="330"/>
      <c r="AC128" s="191"/>
      <c r="AD128" s="193"/>
    </row>
    <row r="129" spans="1:30">
      <c r="A129" s="180">
        <v>1020102</v>
      </c>
      <c r="B129" s="181" t="str">
        <f ca="1">IFERROR(IF($B129="","",VLOOKUP($B129,'[1]Paramètres Articles'!$B:$G,2,FALSE)),"Non Trouvé")</f>
        <v>Crème pour les Mains - Régénérant - 50 ml</v>
      </c>
      <c r="C129" s="182">
        <f ca="1">IFERROR(IF($B129="","",_xlfn.XLOOKUP(REGENERANTS!$C130,'[1]New Base PA'!$F:$F,'[1]New Base PA'!$D:$D,"Not Found",0)),"Non Trouvé")</f>
        <v>4020829049666</v>
      </c>
      <c r="D129" s="183" t="s">
        <v>90</v>
      </c>
      <c r="E129" s="318">
        <f t="shared" si="3"/>
        <v>0</v>
      </c>
      <c r="F129" s="185"/>
      <c r="H129" s="185"/>
      <c r="I129" s="216"/>
      <c r="J129" s="185">
        <f ca="1">IFERROR(IF($B129="","",VLOOKUP($B129,'[1]Paramètres Articles'!$B:$H,7,FALSE)),"Non Trouvé")</f>
        <v>29.5</v>
      </c>
      <c r="K129" s="188">
        <f ca="1">J129*(1-I129)</f>
        <v>0</v>
      </c>
      <c r="L129" s="191">
        <f ca="1">IFERROR(J129-K129,"")</f>
        <v>4.4250000000000007</v>
      </c>
      <c r="M129" s="330"/>
      <c r="N129" s="191">
        <f t="shared" si="4"/>
        <v>0</v>
      </c>
      <c r="O129" s="316">
        <f t="shared" si="5"/>
        <v>0</v>
      </c>
      <c r="P129" s="330"/>
      <c r="Q129" s="191"/>
      <c r="R129" s="193"/>
      <c r="S129" s="330"/>
      <c r="T129" s="191"/>
      <c r="U129" s="193"/>
      <c r="V129" s="330"/>
      <c r="W129" s="191"/>
      <c r="X129" s="193"/>
      <c r="Y129" s="330"/>
      <c r="Z129" s="191"/>
      <c r="AA129" s="193"/>
      <c r="AB129" s="330"/>
      <c r="AC129" s="191"/>
      <c r="AD129" s="193"/>
    </row>
    <row r="130" spans="1:30">
      <c r="A130" s="180">
        <v>1020722</v>
      </c>
      <c r="B130" s="181" t="str">
        <f ca="1">IFERROR(IF($B130="","",VLOOKUP($B130,'[1]Paramètres Articles'!$B:$G,2,FALSE)),"Non Trouvé")</f>
        <v>Cure Intensive Rééquilibrante - Régénérant Intensif - 40ml</v>
      </c>
      <c r="C130" s="182">
        <f ca="1">IFERROR(IF($B130="","",_xlfn.XLOOKUP(REGENERANTS!$C131,'[1]New Base PA'!$F:$F,'[1]New Base PA'!$D:$D,"Not Found",0)),"Non Trouvé")</f>
        <v>4020829102934</v>
      </c>
      <c r="D130" s="183" t="s">
        <v>90</v>
      </c>
      <c r="E130" s="318">
        <f t="shared" si="3"/>
        <v>0</v>
      </c>
      <c r="F130" s="185"/>
      <c r="H130" s="185"/>
      <c r="I130" s="216"/>
      <c r="J130" s="185">
        <f ca="1">IFERROR(IF($B130="","",VLOOKUP($B130,'[1]Paramètres Articles'!$B:$H,7,FALSE)),"Non Trouvé")</f>
        <v>72.898071522305145</v>
      </c>
      <c r="K130" s="188">
        <f ca="1">J130*(1-I130)</f>
        <v>0</v>
      </c>
      <c r="L130" s="191">
        <f ca="1">IFERROR(J130-K130,"")</f>
        <v>10.93471072834577</v>
      </c>
      <c r="M130" s="330"/>
      <c r="N130" s="191">
        <f t="shared" si="4"/>
        <v>0</v>
      </c>
      <c r="O130" s="316">
        <f t="shared" si="5"/>
        <v>0</v>
      </c>
      <c r="P130" s="330"/>
      <c r="Q130" s="191"/>
      <c r="R130" s="193"/>
      <c r="S130" s="330"/>
      <c r="T130" s="191"/>
      <c r="U130" s="193"/>
      <c r="V130" s="330"/>
      <c r="W130" s="191"/>
      <c r="X130" s="193"/>
      <c r="Y130" s="330"/>
      <c r="Z130" s="191"/>
      <c r="AA130" s="193"/>
      <c r="AB130" s="330"/>
      <c r="AC130" s="191"/>
      <c r="AD130" s="193"/>
    </row>
    <row r="131" spans="1:30">
      <c r="A131" s="180">
        <v>1020719</v>
      </c>
      <c r="B131" s="181" t="str">
        <f ca="1">IFERROR(IF($B131="","",VLOOKUP($B131,'[1]Paramètres Articles'!$B:$G,2,FALSE)),"Non Trouvé")</f>
        <v>Huile Fortifiante - Régénérant Intensif - 20ml</v>
      </c>
      <c r="C131" s="182">
        <f ca="1">IFERROR(IF($B131="","",_xlfn.XLOOKUP(REGENERANTS!$C132,'[1]New Base PA'!$F:$F,'[1]New Base PA'!$D:$D,"Not Found",0)),"Non Trouvé")</f>
        <v>4020829103030</v>
      </c>
      <c r="D131" s="183" t="s">
        <v>90</v>
      </c>
      <c r="E131" s="318">
        <f t="shared" si="3"/>
        <v>0</v>
      </c>
      <c r="F131" s="185"/>
      <c r="H131" s="185"/>
      <c r="I131" s="216"/>
      <c r="J131" s="185">
        <f ca="1">IFERROR(IF($B131="","",VLOOKUP($B131,'[1]Paramètres Articles'!$B:$H,7,FALSE)),"Non Trouvé")</f>
        <v>79.5</v>
      </c>
      <c r="K131" s="188">
        <f ca="1">J131*(1-I131)</f>
        <v>0</v>
      </c>
      <c r="L131" s="191">
        <f ca="1">IFERROR(J131-K131,"")</f>
        <v>11.924999999999997</v>
      </c>
      <c r="M131" s="330"/>
      <c r="N131" s="191">
        <f t="shared" si="4"/>
        <v>0</v>
      </c>
      <c r="O131" s="316">
        <f t="shared" si="5"/>
        <v>0</v>
      </c>
      <c r="P131" s="330"/>
      <c r="Q131" s="191"/>
      <c r="R131" s="193"/>
      <c r="S131" s="330"/>
      <c r="T131" s="191"/>
      <c r="U131" s="193"/>
      <c r="V131" s="330"/>
      <c r="W131" s="191"/>
      <c r="X131" s="193"/>
      <c r="Y131" s="330"/>
      <c r="Z131" s="191"/>
      <c r="AA131" s="193"/>
      <c r="AB131" s="330"/>
      <c r="AC131" s="191"/>
      <c r="AD131" s="193"/>
    </row>
    <row r="132" spans="1:30">
      <c r="A132" s="180">
        <v>1020717</v>
      </c>
      <c r="B132" s="181" t="str">
        <f ca="1">IFERROR(IF($B132="","",VLOOKUP($B132,'[1]Paramètres Articles'!$B:$G,2,FALSE)),"Non Trouvé")</f>
        <v>Sérum Contour des Yeux - Régénérant Intensif -15 ml</v>
      </c>
      <c r="C132" s="182">
        <f ca="1">IFERROR(IF($B132="","",_xlfn.XLOOKUP(REGENERANTS!$C133,'[1]New Base PA'!$F:$F,'[1]New Base PA'!$D:$D,"Not Found",0)),"Non Trouvé")</f>
        <v>4020829101067</v>
      </c>
      <c r="D132" s="183" t="s">
        <v>90</v>
      </c>
      <c r="E132" s="318">
        <f t="shared" si="3"/>
        <v>0</v>
      </c>
      <c r="F132" s="185"/>
      <c r="H132" s="185"/>
      <c r="I132" s="216"/>
      <c r="J132" s="185">
        <f ca="1">IFERROR(IF($B132="","",VLOOKUP($B132,'[1]Paramètres Articles'!$B:$H,7,FALSE)),"Non Trouvé")</f>
        <v>75</v>
      </c>
      <c r="K132" s="188">
        <f ca="1">J132*(1-I132)</f>
        <v>0</v>
      </c>
      <c r="L132" s="191">
        <f ca="1">IFERROR(J132-K132,"")</f>
        <v>11.25</v>
      </c>
      <c r="M132" s="330"/>
      <c r="N132" s="191">
        <f t="shared" si="4"/>
        <v>0</v>
      </c>
      <c r="O132" s="316">
        <f t="shared" si="5"/>
        <v>0</v>
      </c>
      <c r="P132" s="330"/>
      <c r="Q132" s="191"/>
      <c r="R132" s="193"/>
      <c r="S132" s="330"/>
      <c r="T132" s="191"/>
      <c r="U132" s="193"/>
      <c r="V132" s="330"/>
      <c r="W132" s="191"/>
      <c r="X132" s="193"/>
      <c r="Y132" s="330"/>
      <c r="Z132" s="191"/>
      <c r="AA132" s="193"/>
      <c r="AB132" s="330"/>
      <c r="AC132" s="191"/>
      <c r="AD132" s="193"/>
    </row>
    <row r="133" spans="1:30">
      <c r="A133" s="180">
        <v>1020718</v>
      </c>
      <c r="B133" s="181" t="str">
        <f ca="1">IFERROR(IF($B133="","",VLOOKUP($B133,'[1]Paramètres Articles'!$B:$G,2,FALSE)),"Non Trouvé")</f>
        <v>Sérum de Nuit - Régénérant Intensif - 30 ml</v>
      </c>
      <c r="C133" s="182">
        <f ca="1">IFERROR(IF($B133="","",_xlfn.XLOOKUP(REGENERANTS!$C134,'[1]New Base PA'!$F:$F,'[1]New Base PA'!$D:$D,"Not Found",0)),"Non Trouvé")</f>
        <v>4020829101111</v>
      </c>
      <c r="D133" s="183" t="s">
        <v>90</v>
      </c>
      <c r="E133" s="318">
        <f t="shared" si="3"/>
        <v>0</v>
      </c>
      <c r="F133" s="185"/>
      <c r="H133" s="185"/>
      <c r="I133" s="216"/>
      <c r="J133" s="185">
        <f ca="1">IFERROR(IF($B133="","",VLOOKUP($B133,'[1]Paramètres Articles'!$B:$H,7,FALSE)),"Non Trouvé")</f>
        <v>79.5</v>
      </c>
      <c r="K133" s="188">
        <f ca="1">J133*(1-I133)</f>
        <v>0</v>
      </c>
      <c r="L133" s="191">
        <f ca="1">IFERROR(J133-K133,"")</f>
        <v>11.924999999999997</v>
      </c>
      <c r="M133" s="330"/>
      <c r="N133" s="191">
        <f t="shared" si="4"/>
        <v>0</v>
      </c>
      <c r="O133" s="316">
        <f t="shared" si="5"/>
        <v>0</v>
      </c>
      <c r="P133" s="330"/>
      <c r="Q133" s="191"/>
      <c r="R133" s="193"/>
      <c r="S133" s="330"/>
      <c r="T133" s="191"/>
      <c r="U133" s="193"/>
      <c r="V133" s="330"/>
      <c r="W133" s="191"/>
      <c r="X133" s="193"/>
      <c r="Y133" s="330"/>
      <c r="Z133" s="191"/>
      <c r="AA133" s="193"/>
      <c r="AB133" s="330"/>
      <c r="AC133" s="191"/>
      <c r="AD133" s="193"/>
    </row>
    <row r="134" spans="1:30">
      <c r="A134" s="180">
        <v>1020301</v>
      </c>
      <c r="B134" s="181" t="str">
        <f ca="1">IFERROR(IF($B134="","",VLOOKUP($B134,'[1]Paramètres Articles'!$B:$G,2,FALSE)),"Non Trouvé")</f>
        <v>Crème de Jour - Régénérant - 40 ml</v>
      </c>
      <c r="C134" s="182">
        <f ca="1">IFERROR(IF($B134="","",_xlfn.XLOOKUP(REGENERANTS!$C135,'[1]New Base PA'!$F:$F,'[1]New Base PA'!$D:$D,"Not Found",0)),"Non Trouvé")</f>
        <v>4020829007383</v>
      </c>
      <c r="D134" s="183" t="s">
        <v>90</v>
      </c>
      <c r="E134" s="318">
        <f t="shared" si="3"/>
        <v>0</v>
      </c>
      <c r="F134" s="185"/>
      <c r="H134" s="185"/>
      <c r="I134" s="216"/>
      <c r="J134" s="185">
        <f ca="1">IFERROR(IF($B134="","",VLOOKUP($B134,'[1]Paramètres Articles'!$B:$H,7,FALSE)),"Non Trouvé")</f>
        <v>65.5</v>
      </c>
      <c r="K134" s="188">
        <f ca="1">J134*(1-I134)</f>
        <v>0</v>
      </c>
      <c r="L134" s="191">
        <f ca="1">IFERROR(J134-K134,"")</f>
        <v>9.8250000000000028</v>
      </c>
      <c r="M134" s="330"/>
      <c r="N134" s="191">
        <f t="shared" si="4"/>
        <v>0</v>
      </c>
      <c r="O134" s="316">
        <f t="shared" si="5"/>
        <v>0</v>
      </c>
      <c r="P134" s="330"/>
      <c r="Q134" s="191"/>
      <c r="R134" s="193"/>
      <c r="S134" s="330"/>
      <c r="T134" s="191"/>
      <c r="U134" s="193"/>
      <c r="V134" s="330"/>
      <c r="W134" s="191"/>
      <c r="X134" s="193"/>
      <c r="Y134" s="330"/>
      <c r="Z134" s="191"/>
      <c r="AA134" s="193"/>
      <c r="AB134" s="330"/>
      <c r="AC134" s="191"/>
      <c r="AD134" s="193"/>
    </row>
    <row r="135" spans="1:30">
      <c r="A135" s="180">
        <v>1020720</v>
      </c>
      <c r="B135" s="181" t="str">
        <f ca="1">IFERROR(IF($B135="","",VLOOKUP($B135,'[1]Paramètres Articles'!$B:$G,2,FALSE)),"Non Trouvé")</f>
        <v>Crème de Jour - Régénérant Intensif - 40ml</v>
      </c>
      <c r="C135" s="182">
        <f ca="1">IFERROR(IF($B135="","",_xlfn.XLOOKUP(REGENERANTS!$C136,'[1]New Base PA'!$F:$F,'[1]New Base PA'!$D:$D,"Not Found",0)),"Non Trouvé")</f>
        <v>4020829102972</v>
      </c>
      <c r="D135" s="183" t="s">
        <v>90</v>
      </c>
      <c r="E135" s="318">
        <f t="shared" si="3"/>
        <v>0</v>
      </c>
      <c r="F135" s="185"/>
      <c r="H135" s="185"/>
      <c r="I135" s="216"/>
      <c r="J135" s="185">
        <f ca="1">IFERROR(IF($B135="","",VLOOKUP($B135,'[1]Paramètres Articles'!$B:$H,7,FALSE)),"Non Trouvé")</f>
        <v>75.900000000000006</v>
      </c>
      <c r="K135" s="188">
        <f ca="1">J135*(1-I135)</f>
        <v>0</v>
      </c>
      <c r="L135" s="191">
        <f ca="1">IFERROR(J135-K135,"")</f>
        <v>11.385000000000005</v>
      </c>
      <c r="M135" s="330"/>
      <c r="N135" s="191">
        <f t="shared" si="4"/>
        <v>0</v>
      </c>
      <c r="O135" s="316">
        <f t="shared" si="5"/>
        <v>0</v>
      </c>
      <c r="P135" s="330"/>
      <c r="Q135" s="191"/>
      <c r="R135" s="193"/>
      <c r="S135" s="330"/>
      <c r="T135" s="191"/>
      <c r="U135" s="193"/>
      <c r="V135" s="330"/>
      <c r="W135" s="191"/>
      <c r="X135" s="193"/>
      <c r="Y135" s="330"/>
      <c r="Z135" s="191"/>
      <c r="AA135" s="193"/>
      <c r="AB135" s="330"/>
      <c r="AC135" s="191"/>
      <c r="AD135" s="193"/>
    </row>
    <row r="136" spans="1:30">
      <c r="A136" s="219" t="s">
        <v>97</v>
      </c>
      <c r="B136" s="220" t="str">
        <f ca="1">IFERROR(IF($B136="","",VLOOKUP($B136,'[1]Paramètres Articles'!$B:$G,2,FALSE)),"Non Trouvé")</f>
        <v>Panneau vitrine Régénérants 2026</v>
      </c>
      <c r="C136" s="221">
        <f ca="1">IFERROR(IF($B136="","",_xlfn.XLOOKUP(REGENERANTS!$C137,'[1]New Base PA'!$F:$F,'[1]New Base PA'!$D:$D,"Not Found",0)),"Non Trouvé")</f>
        <v>0</v>
      </c>
      <c r="D136" s="222" t="s">
        <v>94</v>
      </c>
      <c r="E136" s="318">
        <f t="shared" si="3"/>
        <v>0</v>
      </c>
      <c r="F136" s="185"/>
      <c r="H136" s="186"/>
      <c r="I136" s="216"/>
      <c r="J136" s="185">
        <f ca="1">IFERROR(IF($B136="","",VLOOKUP($B136,'[1]Paramètres Articles'!$B:$H,7,FALSE)),"Non Trouvé")</f>
        <v>0</v>
      </c>
      <c r="K136" s="188" t="str">
        <f ca="1">IFERROR(IF($B136="","",IF(#REF!="","",#REF!*(1-#REF!))),"Non Trouvé")</f>
        <v/>
      </c>
      <c r="L136" s="191" t="str">
        <f ca="1">IFERROR(J136-K136,"")</f>
        <v/>
      </c>
      <c r="M136" s="330"/>
      <c r="N136" s="191">
        <f t="shared" si="4"/>
        <v>0</v>
      </c>
      <c r="O136" s="316">
        <f t="shared" si="5"/>
        <v>0</v>
      </c>
      <c r="P136" s="330"/>
      <c r="Q136" s="191"/>
      <c r="R136" s="193"/>
      <c r="S136" s="330"/>
      <c r="T136" s="191"/>
      <c r="U136" s="193"/>
      <c r="V136" s="330"/>
      <c r="W136" s="191"/>
      <c r="X136" s="193"/>
      <c r="Y136" s="330"/>
      <c r="Z136" s="191"/>
      <c r="AA136" s="193"/>
      <c r="AB136" s="330"/>
      <c r="AC136" s="191"/>
      <c r="AD136" s="193"/>
    </row>
    <row r="137" spans="1:30">
      <c r="A137" s="219" t="s">
        <v>99</v>
      </c>
      <c r="B137" s="220" t="str">
        <f ca="1">IFERROR(IF($B137="","",VLOOKUP($B137,'[1]Paramètres Articles'!$B:$G,2,FALSE)),"Non Trouvé")</f>
        <v>Présentoir Régénérants 2026</v>
      </c>
      <c r="C137" s="221">
        <f ca="1">IFERROR(IF($B137="","",_xlfn.XLOOKUP(REGENERANTS!$C138,'[1]New Base PA'!$F:$F,'[1]New Base PA'!$D:$D,"Not Found",0)),"Non Trouvé")</f>
        <v>0</v>
      </c>
      <c r="D137" s="222" t="s">
        <v>94</v>
      </c>
      <c r="E137" s="318">
        <f t="shared" si="3"/>
        <v>0</v>
      </c>
      <c r="F137" s="185"/>
      <c r="H137" s="186"/>
      <c r="I137" s="216"/>
      <c r="J137" s="185">
        <f ca="1">IFERROR(IF($B137="","",VLOOKUP($B137,'[1]Paramètres Articles'!$B:$H,7,FALSE)),"Non Trouvé")</f>
        <v>0</v>
      </c>
      <c r="K137" s="188" t="str">
        <f ca="1">IFERROR(IF($B137="","",IF(#REF!="","",#REF!*(1-#REF!))),"Non Trouvé")</f>
        <v/>
      </c>
      <c r="L137" s="191" t="str">
        <f ca="1">IFERROR(J137-K137,"")</f>
        <v/>
      </c>
      <c r="M137" s="330"/>
      <c r="N137" s="191">
        <f t="shared" si="4"/>
        <v>0</v>
      </c>
      <c r="O137" s="316">
        <f t="shared" si="5"/>
        <v>0</v>
      </c>
      <c r="P137" s="330"/>
      <c r="Q137" s="191"/>
      <c r="R137" s="193"/>
      <c r="S137" s="330"/>
      <c r="T137" s="191"/>
      <c r="U137" s="193"/>
      <c r="V137" s="330"/>
      <c r="W137" s="191"/>
      <c r="X137" s="193"/>
      <c r="Y137" s="330"/>
      <c r="Z137" s="191"/>
      <c r="AA137" s="193"/>
      <c r="AB137" s="330"/>
      <c r="AC137" s="191"/>
      <c r="AD137" s="193"/>
    </row>
    <row r="138" spans="1:30">
      <c r="A138" s="219">
        <v>3020202</v>
      </c>
      <c r="B138" s="220" t="str">
        <f ca="1">IFERROR(IF($B138="","",VLOOKUP($B138,'[1]Paramètres Articles'!$B:$G,2,FALSE)),"Non Trouvé")</f>
        <v>Testeur - Sérum Jour / Nuit - Régénérant 30ml - 15% comprise</v>
      </c>
      <c r="C138" s="221">
        <f ca="1">IFERROR(IF($B138="","",_xlfn.XLOOKUP(REGENERANTS!$C139,'[1]New Base PA'!$F:$F,'[1]New Base PA'!$D:$D,"Not Found",0)),"Non Trouvé")</f>
        <v>4020829103146</v>
      </c>
      <c r="D138" s="222" t="s">
        <v>96</v>
      </c>
      <c r="E138" s="318">
        <f t="shared" si="3"/>
        <v>0</v>
      </c>
      <c r="F138" s="185"/>
      <c r="H138" s="186"/>
      <c r="I138" s="216"/>
      <c r="J138" s="185" t="str">
        <f ca="1">IFERROR(IF($B138="","",VLOOKUP($B138,'[1]Paramètres Articles'!$B:$H,7,FALSE)),"Non Trouvé")</f>
        <v>Non Trouvé</v>
      </c>
      <c r="K138" s="188" t="str">
        <f ca="1">IFERROR(IF($B138="","",IF(#REF!="","",#REF!*(1-#REF!))),"Non Trouvé")</f>
        <v/>
      </c>
      <c r="L138" s="191" t="str">
        <f ca="1">IFERROR(J138-K138,"")</f>
        <v/>
      </c>
      <c r="M138" s="330"/>
      <c r="N138" s="191">
        <f t="shared" si="4"/>
        <v>0</v>
      </c>
      <c r="O138" s="316">
        <f t="shared" si="5"/>
        <v>0</v>
      </c>
      <c r="P138" s="330"/>
      <c r="Q138" s="191"/>
      <c r="R138" s="193"/>
      <c r="S138" s="330"/>
      <c r="T138" s="191"/>
      <c r="U138" s="193"/>
      <c r="V138" s="330"/>
      <c r="W138" s="191"/>
      <c r="X138" s="193"/>
      <c r="Y138" s="330"/>
      <c r="Z138" s="191"/>
      <c r="AA138" s="193"/>
      <c r="AB138" s="330"/>
      <c r="AC138" s="191"/>
      <c r="AD138" s="193"/>
    </row>
    <row r="139" spans="1:30">
      <c r="A139" s="219">
        <v>3020301</v>
      </c>
      <c r="B139" s="220" t="str">
        <f ca="1">IFERROR(IF($B139="","",VLOOKUP($B139,'[1]Paramètres Articles'!$B:$G,2,FALSE)),"Non Trouvé")</f>
        <v>Testeur - Crème de Jour Régénérante 40 ml - 15% comprise</v>
      </c>
      <c r="C139" s="221">
        <f ca="1">IFERROR(IF($B139="","",_xlfn.XLOOKUP(REGENERANTS!$C140,'[1]New Base PA'!$F:$F,'[1]New Base PA'!$D:$D,"Not Found",0)),"Non Trouvé")</f>
        <v>4020829007123</v>
      </c>
      <c r="D139" s="222" t="s">
        <v>96</v>
      </c>
      <c r="E139" s="318">
        <f t="shared" si="3"/>
        <v>0</v>
      </c>
      <c r="F139" s="185"/>
      <c r="H139" s="186"/>
      <c r="I139" s="216"/>
      <c r="J139" s="185" t="str">
        <f ca="1">IFERROR(IF($B139="","",VLOOKUP($B139,'[1]Paramètres Articles'!$B:$H,7,FALSE)),"Non Trouvé")</f>
        <v>Non Trouvé</v>
      </c>
      <c r="K139" s="188" t="str">
        <f ca="1">IFERROR(IF($B139="","",IF(#REF!="","",#REF!*(1-#REF!))),"Non Trouvé")</f>
        <v/>
      </c>
      <c r="L139" s="191" t="str">
        <f ca="1">IFERROR(J139-K139,"")</f>
        <v/>
      </c>
      <c r="M139" s="330"/>
      <c r="N139" s="191">
        <f t="shared" si="4"/>
        <v>0</v>
      </c>
      <c r="O139" s="316">
        <f t="shared" si="5"/>
        <v>0</v>
      </c>
      <c r="P139" s="330"/>
      <c r="Q139" s="191"/>
      <c r="R139" s="193"/>
      <c r="S139" s="330"/>
      <c r="T139" s="191"/>
      <c r="U139" s="193"/>
      <c r="V139" s="330"/>
      <c r="W139" s="191"/>
      <c r="X139" s="193"/>
      <c r="Y139" s="330"/>
      <c r="Z139" s="191"/>
      <c r="AA139" s="193"/>
      <c r="AB139" s="330"/>
      <c r="AC139" s="191"/>
      <c r="AD139" s="193"/>
    </row>
    <row r="140" spans="1:30">
      <c r="A140" s="219">
        <v>3020720</v>
      </c>
      <c r="B140" s="220" t="str">
        <f ca="1">IFERROR(IF($B140="","",VLOOKUP($B140,'[1]Paramètres Articles'!$B:$G,2,FALSE)),"Non Trouvé")</f>
        <v>Testeur - Crème de Jour - Régénérant Intensif - 40ml - 15 % comprise</v>
      </c>
      <c r="C140" s="221">
        <f ca="1">IFERROR(IF($B140="","",_xlfn.XLOOKUP(REGENERANTS!$C141,'[1]New Base PA'!$F:$F,'[1]New Base PA'!$D:$D,"Not Found",0)),"Non Trouvé")</f>
        <v>4020829103207</v>
      </c>
      <c r="D140" s="222" t="s">
        <v>96</v>
      </c>
      <c r="E140" s="318">
        <f t="shared" si="3"/>
        <v>0</v>
      </c>
      <c r="F140" s="185"/>
      <c r="H140" s="186"/>
      <c r="I140" s="216"/>
      <c r="J140" s="185" t="str">
        <f ca="1">IFERROR(IF($B140="","",VLOOKUP($B140,'[1]Paramètres Articles'!$B:$H,7,FALSE)),"Non Trouvé")</f>
        <v>Non Trouvé</v>
      </c>
      <c r="K140" s="188" t="str">
        <f ca="1">IFERROR(IF($B140="","",IF(#REF!="","",#REF!*(1-#REF!))),"Non Trouvé")</f>
        <v/>
      </c>
      <c r="L140" s="191" t="str">
        <f ca="1">IFERROR(J140-K140,"")</f>
        <v/>
      </c>
      <c r="M140" s="330"/>
      <c r="N140" s="191">
        <f t="shared" si="4"/>
        <v>0</v>
      </c>
      <c r="O140" s="316">
        <f t="shared" si="5"/>
        <v>0</v>
      </c>
      <c r="P140" s="330"/>
      <c r="Q140" s="191"/>
      <c r="R140" s="193"/>
      <c r="S140" s="330"/>
      <c r="T140" s="191"/>
      <c r="U140" s="193"/>
      <c r="V140" s="330"/>
      <c r="W140" s="191"/>
      <c r="X140" s="193"/>
      <c r="Y140" s="330"/>
      <c r="Z140" s="191"/>
      <c r="AA140" s="193"/>
      <c r="AB140" s="330"/>
      <c r="AC140" s="191"/>
      <c r="AD140" s="193"/>
    </row>
    <row r="141" spans="1:30">
      <c r="A141" s="219">
        <v>3020718</v>
      </c>
      <c r="B141" s="220" t="str">
        <f ca="1">IFERROR(IF($B141="","",VLOOKUP($B141,'[1]Paramètres Articles'!$B:$G,2,FALSE)),"Non Trouvé")</f>
        <v>Testeur - Sérum de Nuit - Régénérant Intensif 30ml - 15% comprise</v>
      </c>
      <c r="C141" s="221">
        <f ca="1">IFERROR(IF($B141="","",_xlfn.XLOOKUP(REGENERANTS!$C142,'[1]New Base PA'!$F:$F,'[1]New Base PA'!$D:$D,"Not Found",0)),"Non Trouvé")</f>
        <v>4020829101142</v>
      </c>
      <c r="D141" s="222" t="s">
        <v>96</v>
      </c>
      <c r="E141" s="318">
        <f t="shared" si="3"/>
        <v>0</v>
      </c>
      <c r="F141" s="185"/>
      <c r="H141" s="186"/>
      <c r="I141" s="216"/>
      <c r="J141" s="185" t="str">
        <f ca="1">IFERROR(IF($B141="","",VLOOKUP($B141,'[1]Paramètres Articles'!$B:$H,7,FALSE)),"Non Trouvé")</f>
        <v>Non Trouvé</v>
      </c>
      <c r="K141" s="188" t="str">
        <f ca="1">IFERROR(IF($B141="","",IF(#REF!="","",#REF!*(1-#REF!))),"Non Trouvé")</f>
        <v/>
      </c>
      <c r="L141" s="191" t="str">
        <f ca="1">IFERROR(J141-K141,"")</f>
        <v/>
      </c>
      <c r="M141" s="330"/>
      <c r="N141" s="191">
        <f t="shared" si="4"/>
        <v>0</v>
      </c>
      <c r="O141" s="316">
        <f t="shared" si="5"/>
        <v>0</v>
      </c>
      <c r="P141" s="330"/>
      <c r="Q141" s="191"/>
      <c r="R141" s="193"/>
      <c r="S141" s="330"/>
      <c r="T141" s="191"/>
      <c r="U141" s="193"/>
      <c r="V141" s="330"/>
      <c r="W141" s="191"/>
      <c r="X141" s="193"/>
      <c r="Y141" s="330"/>
      <c r="Z141" s="191"/>
      <c r="AA141" s="193"/>
      <c r="AB141" s="330"/>
      <c r="AC141" s="191"/>
      <c r="AD141" s="193"/>
    </row>
    <row r="142" spans="1:30" ht="15.75" thickBot="1">
      <c r="A142" s="219" t="s">
        <v>105</v>
      </c>
      <c r="B142" s="220" t="str">
        <f ca="1">IFERROR(IF($B142="","",VLOOKUP($B142,'[1]Paramètres Articles'!$B:$G,2,FALSE)),"Non Trouvé")</f>
        <v>Stop-rayon promo Régénérants 2026 -10€</v>
      </c>
      <c r="C142" s="221">
        <f ca="1">IFERROR(IF($B142="","",_xlfn.XLOOKUP(REGENERANTS!$C143,'[1]New Base PA'!$F:$F,'[1]New Base PA'!$D:$D,"Not Found",0)),"Non Trouvé")</f>
        <v>0</v>
      </c>
      <c r="D142" s="222" t="s">
        <v>94</v>
      </c>
      <c r="E142" s="318">
        <f t="shared" si="3"/>
        <v>0</v>
      </c>
      <c r="F142" s="185"/>
      <c r="H142" s="186"/>
      <c r="I142" s="216"/>
      <c r="J142" s="185">
        <f ca="1">IFERROR(IF($B142="","",VLOOKUP($B142,'[1]Paramètres Articles'!$B:$H,7,FALSE)),"Non Trouvé")</f>
        <v>0</v>
      </c>
      <c r="K142" s="188" t="str">
        <f ca="1">IFERROR(IF($B142="","",IF(#REF!="","",#REF!*(1-#REF!))),"Non Trouvé")</f>
        <v/>
      </c>
      <c r="L142" s="191" t="str">
        <f ca="1">IFERROR(J142-K142,"")</f>
        <v/>
      </c>
      <c r="M142" s="331"/>
      <c r="N142" s="301">
        <f t="shared" si="4"/>
        <v>0</v>
      </c>
      <c r="O142" s="317">
        <f t="shared" si="5"/>
        <v>0</v>
      </c>
      <c r="P142" s="331"/>
      <c r="Q142" s="301"/>
      <c r="R142" s="199"/>
      <c r="S142" s="331"/>
      <c r="T142" s="301"/>
      <c r="U142" s="199"/>
      <c r="V142" s="331"/>
      <c r="W142" s="301"/>
      <c r="X142" s="199"/>
      <c r="Y142" s="331"/>
      <c r="Z142" s="301"/>
      <c r="AA142" s="199"/>
      <c r="AB142" s="331"/>
      <c r="AC142" s="301"/>
      <c r="AD142" s="199"/>
    </row>
    <row r="146" spans="1:15" ht="15.75" thickBot="1">
      <c r="A146" s="332" t="s">
        <v>146</v>
      </c>
      <c r="B146" s="332"/>
      <c r="C146" s="332"/>
      <c r="D146" s="332"/>
      <c r="E146" s="332"/>
      <c r="F146" s="332"/>
      <c r="G146" s="332"/>
      <c r="H146" s="332"/>
      <c r="I146" s="332"/>
      <c r="J146" s="332"/>
      <c r="K146" s="332"/>
      <c r="L146" s="332"/>
      <c r="M146" s="332"/>
      <c r="N146" s="332"/>
      <c r="O146" s="332"/>
    </row>
    <row r="147" spans="1:15" ht="40.5" thickTop="1" thickBot="1">
      <c r="E147" s="335" t="s">
        <v>137</v>
      </c>
      <c r="F147" s="335" t="s">
        <v>147</v>
      </c>
      <c r="G147" s="335" t="s">
        <v>148</v>
      </c>
      <c r="H147" s="335" t="s">
        <v>127</v>
      </c>
      <c r="I147" s="335" t="s">
        <v>62</v>
      </c>
      <c r="J147" s="335" t="s">
        <v>63</v>
      </c>
      <c r="K147" s="335" t="s">
        <v>23</v>
      </c>
      <c r="L147" s="335" t="s">
        <v>149</v>
      </c>
      <c r="M147" s="335" t="s">
        <v>165</v>
      </c>
      <c r="N147" s="335" t="s">
        <v>166</v>
      </c>
      <c r="O147" s="335" t="s">
        <v>167</v>
      </c>
    </row>
    <row r="148" spans="1:15" ht="16.5" thickTop="1" thickBot="1">
      <c r="E148" s="275"/>
      <c r="F148" s="275"/>
      <c r="G148" s="48"/>
      <c r="H148" s="48"/>
      <c r="I148" s="48"/>
      <c r="J148" s="48"/>
      <c r="K148" s="48"/>
      <c r="L148" s="48"/>
      <c r="M148" s="333">
        <v>0.4</v>
      </c>
      <c r="N148" s="333">
        <v>0.4</v>
      </c>
      <c r="O148" s="333">
        <v>0.2</v>
      </c>
    </row>
    <row r="149" spans="1:15">
      <c r="A149" s="180">
        <v>1020202</v>
      </c>
      <c r="B149" s="181" t="str">
        <f ca="1">IFERROR(IF($B149="","",VLOOKUP($B149,'[1]Paramètres Articles'!$B:$G,2,FALSE)),"Non Trouvé")</f>
        <v>Sérum Jour/Nuit - Régénérant - 30 ml</v>
      </c>
      <c r="C149" s="182">
        <f ca="1">IFERROR(IF($B149="","",_xlfn.XLOOKUP(REGENERANTS!$C149,'[1]New Base PA'!$F:$F,'[1]New Base PA'!$D:$D,"Not Found",0)),"Non Trouvé")</f>
        <v>4020829103115</v>
      </c>
      <c r="D149" s="248" t="s">
        <v>90</v>
      </c>
      <c r="E149" s="252">
        <f>E17*($B$4+$B$42+$B$78)</f>
        <v>2310</v>
      </c>
      <c r="F149" s="334">
        <f>E123</f>
        <v>0</v>
      </c>
      <c r="G149" s="321"/>
      <c r="H149" s="322"/>
      <c r="I149" s="322"/>
      <c r="J149" s="323"/>
      <c r="K149" s="253">
        <f>SUM(E149:J149)</f>
        <v>2310</v>
      </c>
      <c r="L149" s="323"/>
      <c r="M149" s="253">
        <f>K149*$M$148</f>
        <v>924</v>
      </c>
      <c r="N149" s="253">
        <f>K149*$N$148</f>
        <v>924</v>
      </c>
      <c r="O149" s="253">
        <f>K149*$O$148</f>
        <v>462</v>
      </c>
    </row>
    <row r="150" spans="1:15">
      <c r="A150" s="180">
        <v>1020310</v>
      </c>
      <c r="B150" s="181" t="str">
        <f ca="1">IFERROR(IF($B150="","",VLOOKUP($B150,'[1]Paramètres Articles'!$B:$G,2,FALSE)),"Non Trouvé")</f>
        <v>Crème de Jour Eclat du Teint - Régénérant - 40 ml</v>
      </c>
      <c r="C150" s="182">
        <f ca="1">IFERROR(IF($B150="","",_xlfn.XLOOKUP(REGENERANTS!$C150,'[1]New Base PA'!$F:$F,'[1]New Base PA'!$D:$D,"Not Found",0)),"Non Trouvé")</f>
        <v>4020829060999</v>
      </c>
      <c r="D150" s="248" t="s">
        <v>90</v>
      </c>
      <c r="E150" s="250">
        <f>E18*($B$4+$B$42+$B$78)</f>
        <v>1320</v>
      </c>
      <c r="F150" s="250">
        <f t="shared" ref="F150:F168" si="6">E124</f>
        <v>0</v>
      </c>
      <c r="G150" s="324"/>
      <c r="H150" s="325"/>
      <c r="I150" s="325"/>
      <c r="J150" s="326"/>
      <c r="K150" s="254">
        <f t="shared" ref="K150:K168" si="7">SUM(E150:J150)</f>
        <v>1320</v>
      </c>
      <c r="L150" s="326"/>
      <c r="M150" s="254">
        <f t="shared" ref="M150:M168" si="8">K150*$M$148</f>
        <v>528</v>
      </c>
      <c r="N150" s="254">
        <f t="shared" ref="N150:N168" si="9">K150*$N$148</f>
        <v>528</v>
      </c>
      <c r="O150" s="254">
        <f t="shared" ref="O150:O168" si="10">K150*$O$148</f>
        <v>264</v>
      </c>
    </row>
    <row r="151" spans="1:15">
      <c r="A151" s="180">
        <v>1020401</v>
      </c>
      <c r="B151" s="181" t="str">
        <f ca="1">IFERROR(IF($B151="","",VLOOKUP($B151,'[1]Paramètres Articles'!$B:$G,2,FALSE)),"Non Trouvé")</f>
        <v>Crème Contour des Yeux - Régénérant - 15 ml</v>
      </c>
      <c r="C151" s="182">
        <f ca="1">IFERROR(IF($B151="","",_xlfn.XLOOKUP(REGENERANTS!$C151,'[1]New Base PA'!$F:$F,'[1]New Base PA'!$D:$D,"Not Found",0)),"Non Trouvé")</f>
        <v>4020829013919</v>
      </c>
      <c r="D151" s="248" t="s">
        <v>90</v>
      </c>
      <c r="E151" s="250">
        <f>E19*($B$4+$B$42+$B$78)</f>
        <v>1650</v>
      </c>
      <c r="F151" s="250">
        <f t="shared" si="6"/>
        <v>0</v>
      </c>
      <c r="G151" s="324"/>
      <c r="H151" s="325"/>
      <c r="I151" s="325"/>
      <c r="J151" s="326"/>
      <c r="K151" s="254">
        <f t="shared" si="7"/>
        <v>1650</v>
      </c>
      <c r="L151" s="326"/>
      <c r="M151" s="254">
        <f t="shared" si="8"/>
        <v>660</v>
      </c>
      <c r="N151" s="254">
        <f t="shared" si="9"/>
        <v>660</v>
      </c>
      <c r="O151" s="254">
        <f t="shared" si="10"/>
        <v>330</v>
      </c>
    </row>
    <row r="152" spans="1:15">
      <c r="A152" s="180">
        <v>1020302</v>
      </c>
      <c r="B152" s="181" t="str">
        <f ca="1">IFERROR(IF($B152="","",VLOOKUP($B152,'[1]Paramètres Articles'!$B:$G,2,FALSE)),"Non Trouvé")</f>
        <v>Crème Cou et Décolleté - Régénérant - 40 ml</v>
      </c>
      <c r="C152" s="182">
        <f ca="1">IFERROR(IF($B152="","",_xlfn.XLOOKUP(REGENERANTS!$C152,'[1]New Base PA'!$F:$F,'[1]New Base PA'!$D:$D,"Not Found",0)),"Non Trouvé")</f>
        <v>4020829008366</v>
      </c>
      <c r="D152" s="248" t="s">
        <v>90</v>
      </c>
      <c r="E152" s="250">
        <f>E20*($B$4+$B$42+$B$78)</f>
        <v>330</v>
      </c>
      <c r="F152" s="250">
        <f t="shared" si="6"/>
        <v>0</v>
      </c>
      <c r="G152" s="324"/>
      <c r="H152" s="325"/>
      <c r="I152" s="325"/>
      <c r="J152" s="326"/>
      <c r="K152" s="254">
        <f t="shared" si="7"/>
        <v>330</v>
      </c>
      <c r="L152" s="326"/>
      <c r="M152" s="254">
        <f t="shared" si="8"/>
        <v>132</v>
      </c>
      <c r="N152" s="254">
        <f t="shared" si="9"/>
        <v>132</v>
      </c>
      <c r="O152" s="254">
        <f t="shared" si="10"/>
        <v>66</v>
      </c>
    </row>
    <row r="153" spans="1:15">
      <c r="A153" s="180">
        <v>1020721</v>
      </c>
      <c r="B153" s="181" t="str">
        <f ca="1">IFERROR(IF($B153="","",VLOOKUP($B153,'[1]Paramètres Articles'!$B:$G,2,FALSE)),"Non Trouvé")</f>
        <v>Cure Intensive Fortifiante - Régénérant - 40ml</v>
      </c>
      <c r="C153" s="182">
        <f ca="1">IFERROR(IF($B153="","",_xlfn.XLOOKUP(REGENERANTS!$C153,'[1]New Base PA'!$F:$F,'[1]New Base PA'!$D:$D,"Not Found",0)),"Non Trouvé")</f>
        <v>4020829102941</v>
      </c>
      <c r="D153" s="248" t="s">
        <v>90</v>
      </c>
      <c r="E153" s="250">
        <f>E21*($B$4+$B$42+$B$78)</f>
        <v>0</v>
      </c>
      <c r="F153" s="250">
        <f t="shared" si="6"/>
        <v>0</v>
      </c>
      <c r="G153" s="324"/>
      <c r="H153" s="325"/>
      <c r="I153" s="325"/>
      <c r="J153" s="326"/>
      <c r="K153" s="254">
        <f t="shared" si="7"/>
        <v>0</v>
      </c>
      <c r="L153" s="326"/>
      <c r="M153" s="254">
        <f t="shared" si="8"/>
        <v>0</v>
      </c>
      <c r="N153" s="254">
        <f t="shared" si="9"/>
        <v>0</v>
      </c>
      <c r="O153" s="254">
        <f t="shared" si="10"/>
        <v>0</v>
      </c>
    </row>
    <row r="154" spans="1:15">
      <c r="A154" s="180">
        <v>1020107</v>
      </c>
      <c r="B154" s="181" t="str">
        <f ca="1">IFERROR(IF($B154="","",VLOOKUP($B154,'[1]Paramètres Articles'!$B:$G,2,FALSE)),"Non Trouvé")</f>
        <v>Lait pour le Corps - Régénérant - 150 ml</v>
      </c>
      <c r="C154" s="182">
        <f ca="1">IFERROR(IF($B154="","",_xlfn.XLOOKUP(REGENERANTS!$C154,'[1]New Base PA'!$F:$F,'[1]New Base PA'!$D:$D,"Not Found",0)),"Non Trouvé")</f>
        <v>4020829103160</v>
      </c>
      <c r="D154" s="248" t="s">
        <v>90</v>
      </c>
      <c r="E154" s="250">
        <f>E22*($B$4+$B$42+$B$78)</f>
        <v>990</v>
      </c>
      <c r="F154" s="250">
        <f t="shared" si="6"/>
        <v>0</v>
      </c>
      <c r="G154" s="324"/>
      <c r="H154" s="325"/>
      <c r="I154" s="325"/>
      <c r="J154" s="326"/>
      <c r="K154" s="254">
        <f t="shared" si="7"/>
        <v>990</v>
      </c>
      <c r="L154" s="326"/>
      <c r="M154" s="254">
        <f t="shared" si="8"/>
        <v>396</v>
      </c>
      <c r="N154" s="254">
        <f t="shared" si="9"/>
        <v>396</v>
      </c>
      <c r="O154" s="254">
        <f t="shared" si="10"/>
        <v>198</v>
      </c>
    </row>
    <row r="155" spans="1:15">
      <c r="A155" s="180">
        <v>1020102</v>
      </c>
      <c r="B155" s="181" t="str">
        <f ca="1">IFERROR(IF($B155="","",VLOOKUP($B155,'[1]Paramètres Articles'!$B:$G,2,FALSE)),"Non Trouvé")</f>
        <v>Crème pour les Mains - Régénérant - 50 ml</v>
      </c>
      <c r="C155" s="182">
        <f ca="1">IFERROR(IF($B155="","",_xlfn.XLOOKUP(REGENERANTS!$C155,'[1]New Base PA'!$F:$F,'[1]New Base PA'!$D:$D,"Not Found",0)),"Non Trouvé")</f>
        <v>4020829049666</v>
      </c>
      <c r="D155" s="248" t="s">
        <v>90</v>
      </c>
      <c r="E155" s="250">
        <f>E23*($B$4+$B$42+$B$78)</f>
        <v>990</v>
      </c>
      <c r="F155" s="250">
        <f t="shared" si="6"/>
        <v>0</v>
      </c>
      <c r="G155" s="324"/>
      <c r="H155" s="325"/>
      <c r="I155" s="325"/>
      <c r="J155" s="326"/>
      <c r="K155" s="254">
        <f t="shared" si="7"/>
        <v>990</v>
      </c>
      <c r="L155" s="326"/>
      <c r="M155" s="254">
        <f t="shared" si="8"/>
        <v>396</v>
      </c>
      <c r="N155" s="254">
        <f t="shared" si="9"/>
        <v>396</v>
      </c>
      <c r="O155" s="254">
        <f t="shared" si="10"/>
        <v>198</v>
      </c>
    </row>
    <row r="156" spans="1:15">
      <c r="A156" s="180">
        <v>1020722</v>
      </c>
      <c r="B156" s="181" t="str">
        <f ca="1">IFERROR(IF($B156="","",VLOOKUP($B156,'[1]Paramètres Articles'!$B:$G,2,FALSE)),"Non Trouvé")</f>
        <v>Cure Intensive Rééquilibrante - Régénérant Intensif - 40ml</v>
      </c>
      <c r="C156" s="182">
        <f ca="1">IFERROR(IF($B156="","",_xlfn.XLOOKUP(REGENERANTS!$C156,'[1]New Base PA'!$F:$F,'[1]New Base PA'!$D:$D,"Not Found",0)),"Non Trouvé")</f>
        <v>4020829102934</v>
      </c>
      <c r="D156" s="248" t="s">
        <v>90</v>
      </c>
      <c r="E156" s="250">
        <f>E24*($B$4+$B$42+$B$78)</f>
        <v>0</v>
      </c>
      <c r="F156" s="250">
        <f t="shared" si="6"/>
        <v>0</v>
      </c>
      <c r="G156" s="324"/>
      <c r="H156" s="325"/>
      <c r="I156" s="325"/>
      <c r="J156" s="326"/>
      <c r="K156" s="254">
        <f t="shared" si="7"/>
        <v>0</v>
      </c>
      <c r="L156" s="326"/>
      <c r="M156" s="254">
        <f t="shared" si="8"/>
        <v>0</v>
      </c>
      <c r="N156" s="254">
        <f t="shared" si="9"/>
        <v>0</v>
      </c>
      <c r="O156" s="254">
        <f t="shared" si="10"/>
        <v>0</v>
      </c>
    </row>
    <row r="157" spans="1:15">
      <c r="A157" s="180">
        <v>1020719</v>
      </c>
      <c r="B157" s="181" t="str">
        <f ca="1">IFERROR(IF($B157="","",VLOOKUP($B157,'[1]Paramètres Articles'!$B:$G,2,FALSE)),"Non Trouvé")</f>
        <v>Huile Fortifiante - Régénérant Intensif - 20ml</v>
      </c>
      <c r="C157" s="182">
        <f ca="1">IFERROR(IF($B157="","",_xlfn.XLOOKUP(REGENERANTS!$C157,'[1]New Base PA'!$F:$F,'[1]New Base PA'!$D:$D,"Not Found",0)),"Non Trouvé")</f>
        <v>4020829103030</v>
      </c>
      <c r="D157" s="248" t="s">
        <v>90</v>
      </c>
      <c r="E157" s="250">
        <f>E25*($B$4+$B$42+$B$78)</f>
        <v>990</v>
      </c>
      <c r="F157" s="250">
        <f t="shared" si="6"/>
        <v>0</v>
      </c>
      <c r="G157" s="324"/>
      <c r="H157" s="325"/>
      <c r="I157" s="325"/>
      <c r="J157" s="326"/>
      <c r="K157" s="254">
        <f t="shared" si="7"/>
        <v>990</v>
      </c>
      <c r="L157" s="326"/>
      <c r="M157" s="254">
        <f t="shared" si="8"/>
        <v>396</v>
      </c>
      <c r="N157" s="254">
        <f t="shared" si="9"/>
        <v>396</v>
      </c>
      <c r="O157" s="254">
        <f t="shared" si="10"/>
        <v>198</v>
      </c>
    </row>
    <row r="158" spans="1:15">
      <c r="A158" s="180">
        <v>1020717</v>
      </c>
      <c r="B158" s="181" t="str">
        <f ca="1">IFERROR(IF($B158="","",VLOOKUP($B158,'[1]Paramètres Articles'!$B:$G,2,FALSE)),"Non Trouvé")</f>
        <v>Sérum Contour des Yeux - Régénérant Intensif -15 ml</v>
      </c>
      <c r="C158" s="182">
        <f ca="1">IFERROR(IF($B158="","",_xlfn.XLOOKUP(REGENERANTS!$C158,'[1]New Base PA'!$F:$F,'[1]New Base PA'!$D:$D,"Not Found",0)),"Non Trouvé")</f>
        <v>4020829101067</v>
      </c>
      <c r="D158" s="248" t="s">
        <v>90</v>
      </c>
      <c r="E158" s="250">
        <f>E26*($B$4+$B$42+$B$78)</f>
        <v>990</v>
      </c>
      <c r="F158" s="250">
        <f t="shared" si="6"/>
        <v>0</v>
      </c>
      <c r="G158" s="324"/>
      <c r="H158" s="325"/>
      <c r="I158" s="325"/>
      <c r="J158" s="326"/>
      <c r="K158" s="254">
        <f t="shared" si="7"/>
        <v>990</v>
      </c>
      <c r="L158" s="326"/>
      <c r="M158" s="254">
        <f t="shared" si="8"/>
        <v>396</v>
      </c>
      <c r="N158" s="254">
        <f t="shared" si="9"/>
        <v>396</v>
      </c>
      <c r="O158" s="254">
        <f t="shared" si="10"/>
        <v>198</v>
      </c>
    </row>
    <row r="159" spans="1:15">
      <c r="A159" s="180">
        <v>1020718</v>
      </c>
      <c r="B159" s="181" t="str">
        <f ca="1">IFERROR(IF($B159="","",VLOOKUP($B159,'[1]Paramètres Articles'!$B:$G,2,FALSE)),"Non Trouvé")</f>
        <v>Sérum de Nuit - Régénérant Intensif - 30 ml</v>
      </c>
      <c r="C159" s="182">
        <f ca="1">IFERROR(IF($B159="","",_xlfn.XLOOKUP(REGENERANTS!$C159,'[1]New Base PA'!$F:$F,'[1]New Base PA'!$D:$D,"Not Found",0)),"Non Trouvé")</f>
        <v>4020829101111</v>
      </c>
      <c r="D159" s="248" t="s">
        <v>90</v>
      </c>
      <c r="E159" s="250">
        <f>E27*($B$4+$B$42+$B$78)</f>
        <v>1650</v>
      </c>
      <c r="F159" s="250">
        <f t="shared" si="6"/>
        <v>0</v>
      </c>
      <c r="G159" s="324"/>
      <c r="H159" s="325"/>
      <c r="I159" s="325"/>
      <c r="J159" s="326"/>
      <c r="K159" s="254">
        <f t="shared" si="7"/>
        <v>1650</v>
      </c>
      <c r="L159" s="326"/>
      <c r="M159" s="254">
        <f t="shared" si="8"/>
        <v>660</v>
      </c>
      <c r="N159" s="254">
        <f t="shared" si="9"/>
        <v>660</v>
      </c>
      <c r="O159" s="254">
        <f t="shared" si="10"/>
        <v>330</v>
      </c>
    </row>
    <row r="160" spans="1:15">
      <c r="A160" s="180">
        <v>1020301</v>
      </c>
      <c r="B160" s="181" t="str">
        <f ca="1">IFERROR(IF($B160="","",VLOOKUP($B160,'[1]Paramètres Articles'!$B:$G,2,FALSE)),"Non Trouvé")</f>
        <v>Crème de Jour - Régénérant - 40 ml</v>
      </c>
      <c r="C160" s="182">
        <f ca="1">IFERROR(IF($B160="","",_xlfn.XLOOKUP(REGENERANTS!$C160,'[1]New Base PA'!$F:$F,'[1]New Base PA'!$D:$D,"Not Found",0)),"Non Trouvé")</f>
        <v>4020829007383</v>
      </c>
      <c r="D160" s="248" t="s">
        <v>90</v>
      </c>
      <c r="E160" s="250">
        <f>E28*($B$4+$B$42+$B$78)</f>
        <v>2640</v>
      </c>
      <c r="F160" s="250">
        <f t="shared" si="6"/>
        <v>0</v>
      </c>
      <c r="G160" s="324"/>
      <c r="H160" s="325"/>
      <c r="I160" s="325"/>
      <c r="J160" s="326"/>
      <c r="K160" s="254">
        <f t="shared" si="7"/>
        <v>2640</v>
      </c>
      <c r="L160" s="326"/>
      <c r="M160" s="254">
        <f t="shared" si="8"/>
        <v>1056</v>
      </c>
      <c r="N160" s="254">
        <f t="shared" si="9"/>
        <v>1056</v>
      </c>
      <c r="O160" s="254">
        <f t="shared" si="10"/>
        <v>528</v>
      </c>
    </row>
    <row r="161" spans="1:15">
      <c r="A161" s="180">
        <v>1020720</v>
      </c>
      <c r="B161" s="181" t="str">
        <f ca="1">IFERROR(IF($B161="","",VLOOKUP($B161,'[1]Paramètres Articles'!$B:$G,2,FALSE)),"Non Trouvé")</f>
        <v>Crème de Jour - Régénérant Intensif - 40ml</v>
      </c>
      <c r="C161" s="182">
        <f ca="1">IFERROR(IF($B161="","",_xlfn.XLOOKUP(REGENERANTS!$C161,'[1]New Base PA'!$F:$F,'[1]New Base PA'!$D:$D,"Not Found",0)),"Non Trouvé")</f>
        <v>4020829102972</v>
      </c>
      <c r="D161" s="248" t="s">
        <v>90</v>
      </c>
      <c r="E161" s="250">
        <f>E29*($B$4+$B$42+$B$78)</f>
        <v>2640</v>
      </c>
      <c r="F161" s="250">
        <f t="shared" si="6"/>
        <v>0</v>
      </c>
      <c r="G161" s="324"/>
      <c r="H161" s="325"/>
      <c r="I161" s="325"/>
      <c r="J161" s="326"/>
      <c r="K161" s="254">
        <f t="shared" si="7"/>
        <v>2640</v>
      </c>
      <c r="L161" s="326"/>
      <c r="M161" s="254">
        <f t="shared" si="8"/>
        <v>1056</v>
      </c>
      <c r="N161" s="254">
        <f t="shared" si="9"/>
        <v>1056</v>
      </c>
      <c r="O161" s="254">
        <f t="shared" si="10"/>
        <v>528</v>
      </c>
    </row>
    <row r="162" spans="1:15">
      <c r="A162" s="219" t="s">
        <v>97</v>
      </c>
      <c r="B162" s="220" t="str">
        <f ca="1">IFERROR(IF($B162="","",VLOOKUP($B162,'[1]Paramètres Articles'!$B:$G,2,FALSE)),"Non Trouvé")</f>
        <v>Panneau vitrine Régénérants 2026</v>
      </c>
      <c r="C162" s="221">
        <f ca="1">IFERROR(IF($B162="","",_xlfn.XLOOKUP(REGENERANTS!$C162,'[1]New Base PA'!$F:$F,'[1]New Base PA'!$D:$D,"Not Found",0)),"Non Trouvé")</f>
        <v>0</v>
      </c>
      <c r="D162" s="249" t="s">
        <v>94</v>
      </c>
      <c r="E162" s="250">
        <f>E30*($B$4+$B$42+$B$78)</f>
        <v>330</v>
      </c>
      <c r="F162" s="250">
        <f t="shared" si="6"/>
        <v>0</v>
      </c>
      <c r="G162" s="324"/>
      <c r="H162" s="325"/>
      <c r="I162" s="325"/>
      <c r="J162" s="326"/>
      <c r="K162" s="254">
        <f t="shared" si="7"/>
        <v>330</v>
      </c>
      <c r="L162" s="326"/>
      <c r="M162" s="254">
        <f t="shared" si="8"/>
        <v>132</v>
      </c>
      <c r="N162" s="254">
        <f t="shared" si="9"/>
        <v>132</v>
      </c>
      <c r="O162" s="254">
        <f t="shared" si="10"/>
        <v>66</v>
      </c>
    </row>
    <row r="163" spans="1:15">
      <c r="A163" s="219" t="s">
        <v>99</v>
      </c>
      <c r="B163" s="220" t="str">
        <f ca="1">IFERROR(IF($B163="","",VLOOKUP($B163,'[1]Paramètres Articles'!$B:$G,2,FALSE)),"Non Trouvé")</f>
        <v>Présentoir Régénérants 2026</v>
      </c>
      <c r="C163" s="221">
        <f ca="1">IFERROR(IF($B163="","",_xlfn.XLOOKUP(REGENERANTS!$C163,'[1]New Base PA'!$F:$F,'[1]New Base PA'!$D:$D,"Not Found",0)),"Non Trouvé")</f>
        <v>0</v>
      </c>
      <c r="D163" s="249" t="s">
        <v>94</v>
      </c>
      <c r="E163" s="250">
        <f>E31*($B$4+$B$42+$B$78)</f>
        <v>330</v>
      </c>
      <c r="F163" s="250">
        <f t="shared" si="6"/>
        <v>0</v>
      </c>
      <c r="G163" s="324"/>
      <c r="H163" s="325"/>
      <c r="I163" s="325"/>
      <c r="J163" s="326"/>
      <c r="K163" s="254">
        <f t="shared" si="7"/>
        <v>330</v>
      </c>
      <c r="L163" s="326"/>
      <c r="M163" s="254">
        <f t="shared" si="8"/>
        <v>132</v>
      </c>
      <c r="N163" s="254">
        <f t="shared" si="9"/>
        <v>132</v>
      </c>
      <c r="O163" s="254">
        <f t="shared" si="10"/>
        <v>66</v>
      </c>
    </row>
    <row r="164" spans="1:15">
      <c r="A164" s="219">
        <v>3020202</v>
      </c>
      <c r="B164" s="220" t="str">
        <f ca="1">IFERROR(IF($B164="","",VLOOKUP($B164,'[1]Paramètres Articles'!$B:$G,2,FALSE)),"Non Trouvé")</f>
        <v>Testeur - Sérum Jour / Nuit - Régénérant 30ml - 15% comprise</v>
      </c>
      <c r="C164" s="221">
        <f ca="1">IFERROR(IF($B164="","",_xlfn.XLOOKUP(REGENERANTS!$C164,'[1]New Base PA'!$F:$F,'[1]New Base PA'!$D:$D,"Not Found",0)),"Non Trouvé")</f>
        <v>4020829103146</v>
      </c>
      <c r="D164" s="249" t="s">
        <v>96</v>
      </c>
      <c r="E164" s="250">
        <f>E32*($B$4+$B$42+$B$78)</f>
        <v>330</v>
      </c>
      <c r="F164" s="250">
        <f t="shared" si="6"/>
        <v>0</v>
      </c>
      <c r="G164" s="324"/>
      <c r="H164" s="325"/>
      <c r="I164" s="325"/>
      <c r="J164" s="326"/>
      <c r="K164" s="254">
        <f t="shared" si="7"/>
        <v>330</v>
      </c>
      <c r="L164" s="326"/>
      <c r="M164" s="254">
        <f t="shared" si="8"/>
        <v>132</v>
      </c>
      <c r="N164" s="254">
        <f t="shared" si="9"/>
        <v>132</v>
      </c>
      <c r="O164" s="254">
        <f t="shared" si="10"/>
        <v>66</v>
      </c>
    </row>
    <row r="165" spans="1:15">
      <c r="A165" s="219">
        <v>3020301</v>
      </c>
      <c r="B165" s="220" t="str">
        <f ca="1">IFERROR(IF($B165="","",VLOOKUP($B165,'[1]Paramètres Articles'!$B:$G,2,FALSE)),"Non Trouvé")</f>
        <v>Testeur - Crème de Jour Régénérante 40 ml - 15% comprise</v>
      </c>
      <c r="C165" s="221">
        <f ca="1">IFERROR(IF($B165="","",_xlfn.XLOOKUP(REGENERANTS!$C165,'[1]New Base PA'!$F:$F,'[1]New Base PA'!$D:$D,"Not Found",0)),"Non Trouvé")</f>
        <v>4020829007123</v>
      </c>
      <c r="D165" s="249" t="s">
        <v>96</v>
      </c>
      <c r="E165" s="250">
        <f>E33*($B$4+$B$42+$B$78)</f>
        <v>330</v>
      </c>
      <c r="F165" s="250">
        <f t="shared" si="6"/>
        <v>0</v>
      </c>
      <c r="G165" s="324"/>
      <c r="H165" s="325"/>
      <c r="I165" s="325"/>
      <c r="J165" s="326"/>
      <c r="K165" s="254">
        <f t="shared" si="7"/>
        <v>330</v>
      </c>
      <c r="L165" s="326"/>
      <c r="M165" s="254">
        <f t="shared" si="8"/>
        <v>132</v>
      </c>
      <c r="N165" s="254">
        <f t="shared" si="9"/>
        <v>132</v>
      </c>
      <c r="O165" s="254">
        <f t="shared" si="10"/>
        <v>66</v>
      </c>
    </row>
    <row r="166" spans="1:15">
      <c r="A166" s="219">
        <v>3020720</v>
      </c>
      <c r="B166" s="220" t="str">
        <f ca="1">IFERROR(IF($B166="","",VLOOKUP($B166,'[1]Paramètres Articles'!$B:$G,2,FALSE)),"Non Trouvé")</f>
        <v>Testeur - Crème de Jour - Régénérant Intensif - 40ml - 15 % comprise</v>
      </c>
      <c r="C166" s="221">
        <f ca="1">IFERROR(IF($B166="","",_xlfn.XLOOKUP(REGENERANTS!$C166,'[1]New Base PA'!$F:$F,'[1]New Base PA'!$D:$D,"Not Found",0)),"Non Trouvé")</f>
        <v>4020829103207</v>
      </c>
      <c r="D166" s="249" t="s">
        <v>96</v>
      </c>
      <c r="E166" s="250">
        <f>E34*($B$4+$B$42+$B$78)</f>
        <v>330</v>
      </c>
      <c r="F166" s="250">
        <f t="shared" si="6"/>
        <v>0</v>
      </c>
      <c r="G166" s="324"/>
      <c r="H166" s="325"/>
      <c r="I166" s="325"/>
      <c r="J166" s="326"/>
      <c r="K166" s="254">
        <f t="shared" si="7"/>
        <v>330</v>
      </c>
      <c r="L166" s="326"/>
      <c r="M166" s="254">
        <f t="shared" si="8"/>
        <v>132</v>
      </c>
      <c r="N166" s="254">
        <f t="shared" si="9"/>
        <v>132</v>
      </c>
      <c r="O166" s="254">
        <f t="shared" si="10"/>
        <v>66</v>
      </c>
    </row>
    <row r="167" spans="1:15">
      <c r="A167" s="219">
        <v>3020718</v>
      </c>
      <c r="B167" s="220" t="str">
        <f ca="1">IFERROR(IF($B167="","",VLOOKUP($B167,'[1]Paramètres Articles'!$B:$G,2,FALSE)),"Non Trouvé")</f>
        <v>Testeur - Sérum de Nuit - Régénérant Intensif 30ml - 15% comprise</v>
      </c>
      <c r="C167" s="221">
        <f ca="1">IFERROR(IF($B167="","",_xlfn.XLOOKUP(REGENERANTS!$C167,'[1]New Base PA'!$F:$F,'[1]New Base PA'!$D:$D,"Not Found",0)),"Non Trouvé")</f>
        <v>4020829101142</v>
      </c>
      <c r="D167" s="249" t="s">
        <v>96</v>
      </c>
      <c r="E167" s="250">
        <f>E35*($B$4+$B$42+$B$78)</f>
        <v>330</v>
      </c>
      <c r="F167" s="250">
        <f t="shared" si="6"/>
        <v>0</v>
      </c>
      <c r="G167" s="324"/>
      <c r="H167" s="325"/>
      <c r="I167" s="325"/>
      <c r="J167" s="326"/>
      <c r="K167" s="254">
        <f t="shared" si="7"/>
        <v>330</v>
      </c>
      <c r="L167" s="326"/>
      <c r="M167" s="254">
        <f t="shared" si="8"/>
        <v>132</v>
      </c>
      <c r="N167" s="254">
        <f t="shared" si="9"/>
        <v>132</v>
      </c>
      <c r="O167" s="254">
        <f t="shared" si="10"/>
        <v>66</v>
      </c>
    </row>
    <row r="168" spans="1:15" ht="15.75" thickBot="1">
      <c r="A168" s="219" t="s">
        <v>105</v>
      </c>
      <c r="B168" s="220" t="str">
        <f ca="1">IFERROR(IF($B168="","",VLOOKUP($B168,'[1]Paramètres Articles'!$B:$G,2,FALSE)),"Non Trouvé")</f>
        <v>Stop-rayon promo Régénérants 2026 -10€</v>
      </c>
      <c r="C168" s="221">
        <f ca="1">IFERROR(IF($B168="","",_xlfn.XLOOKUP(REGENERANTS!$C168,'[1]New Base PA'!$F:$F,'[1]New Base PA'!$D:$D,"Not Found",0)),"Non Trouvé")</f>
        <v>0</v>
      </c>
      <c r="D168" s="249" t="s">
        <v>94</v>
      </c>
      <c r="E168" s="251">
        <f>E36*($B$4+$B$42+$B$78)</f>
        <v>330</v>
      </c>
      <c r="F168" s="251">
        <f t="shared" si="6"/>
        <v>0</v>
      </c>
      <c r="G168" s="327"/>
      <c r="H168" s="328"/>
      <c r="I168" s="328"/>
      <c r="J168" s="329"/>
      <c r="K168" s="255">
        <f t="shared" si="7"/>
        <v>330</v>
      </c>
      <c r="L168" s="329"/>
      <c r="M168" s="255">
        <f t="shared" si="8"/>
        <v>132</v>
      </c>
      <c r="N168" s="255">
        <f t="shared" si="9"/>
        <v>132</v>
      </c>
      <c r="O168" s="255">
        <f t="shared" si="10"/>
        <v>66</v>
      </c>
    </row>
    <row r="169" spans="1:15">
      <c r="M169" t="s">
        <v>168</v>
      </c>
    </row>
    <row r="170" spans="1:15">
      <c r="M170" t="s">
        <v>169</v>
      </c>
    </row>
    <row r="171" spans="1:15">
      <c r="M171" t="s">
        <v>170</v>
      </c>
    </row>
  </sheetData>
  <mergeCells count="27">
    <mergeCell ref="W82:X82"/>
    <mergeCell ref="Y82:Z82"/>
    <mergeCell ref="S114:X114"/>
    <mergeCell ref="Y114:AD114"/>
    <mergeCell ref="A146:O146"/>
    <mergeCell ref="M80:R80"/>
    <mergeCell ref="M82:N82"/>
    <mergeCell ref="O82:P82"/>
    <mergeCell ref="Q82:R82"/>
    <mergeCell ref="S82:T82"/>
    <mergeCell ref="U82:V82"/>
    <mergeCell ref="W8:X8"/>
    <mergeCell ref="Y8:Z8"/>
    <mergeCell ref="M44:R44"/>
    <mergeCell ref="M46:N46"/>
    <mergeCell ref="O46:P46"/>
    <mergeCell ref="Q46:R46"/>
    <mergeCell ref="S46:T46"/>
    <mergeCell ref="U46:V46"/>
    <mergeCell ref="W46:X46"/>
    <mergeCell ref="Y46:Z46"/>
    <mergeCell ref="M6:R6"/>
    <mergeCell ref="M8:N8"/>
    <mergeCell ref="O8:P8"/>
    <mergeCell ref="Q8:R8"/>
    <mergeCell ref="S8:T8"/>
    <mergeCell ref="U8:V8"/>
  </mergeCells>
  <conditionalFormatting sqref="B17:C36 J17:L36">
    <cfRule type="cellIs" dxfId="70" priority="183" operator="equal">
      <formula>"Non trouvé"</formula>
    </cfRule>
  </conditionalFormatting>
  <conditionalFormatting sqref="F17:G36">
    <cfRule type="cellIs" dxfId="69" priority="182" operator="equal">
      <formula>"Non trouvé"</formula>
    </cfRule>
  </conditionalFormatting>
  <conditionalFormatting sqref="M17:M36">
    <cfRule type="cellIs" dxfId="67" priority="148" operator="equal">
      <formula>"Non trouvé"</formula>
    </cfRule>
  </conditionalFormatting>
  <conditionalFormatting sqref="O17:O36">
    <cfRule type="cellIs" dxfId="66" priority="147" operator="equal">
      <formula>"Non trouvé"</formula>
    </cfRule>
  </conditionalFormatting>
  <conditionalFormatting sqref="S17:S36">
    <cfRule type="cellIs" dxfId="65" priority="144" operator="equal">
      <formula>"Non trouvé"</formula>
    </cfRule>
  </conditionalFormatting>
  <conditionalFormatting sqref="U17:U36">
    <cfRule type="cellIs" dxfId="64" priority="143" operator="equal">
      <formula>"Non trouvé"</formula>
    </cfRule>
  </conditionalFormatting>
  <conditionalFormatting sqref="W17:W36">
    <cfRule type="cellIs" dxfId="63" priority="142" operator="equal">
      <formula>"Non trouvé"</formula>
    </cfRule>
  </conditionalFormatting>
  <conditionalFormatting sqref="Y17:Y36">
    <cfRule type="cellIs" dxfId="62" priority="141" operator="equal">
      <formula>"Non trouvé"</formula>
    </cfRule>
  </conditionalFormatting>
  <conditionalFormatting sqref="Q17:Q36">
    <cfRule type="cellIs" dxfId="30" priority="31" operator="equal">
      <formula>"Non trouvé"</formula>
    </cfRule>
  </conditionalFormatting>
  <conditionalFormatting sqref="B55:C74 J55:L74">
    <cfRule type="cellIs" dxfId="29" priority="30" operator="equal">
      <formula>"Non trouvé"</formula>
    </cfRule>
  </conditionalFormatting>
  <conditionalFormatting sqref="F55:G74">
    <cfRule type="cellIs" dxfId="28" priority="29" operator="equal">
      <formula>"Non trouvé"</formula>
    </cfRule>
  </conditionalFormatting>
  <conditionalFormatting sqref="M55:M74">
    <cfRule type="cellIs" dxfId="27" priority="28" operator="equal">
      <formula>"Non trouvé"</formula>
    </cfRule>
  </conditionalFormatting>
  <conditionalFormatting sqref="O55:O74">
    <cfRule type="cellIs" dxfId="26" priority="27" operator="equal">
      <formula>"Non trouvé"</formula>
    </cfRule>
  </conditionalFormatting>
  <conditionalFormatting sqref="S55:S74">
    <cfRule type="cellIs" dxfId="25" priority="26" operator="equal">
      <formula>"Non trouvé"</formula>
    </cfRule>
  </conditionalFormatting>
  <conditionalFormatting sqref="U55:U74">
    <cfRule type="cellIs" dxfId="24" priority="25" operator="equal">
      <formula>"Non trouvé"</formula>
    </cfRule>
  </conditionalFormatting>
  <conditionalFormatting sqref="W55:W74">
    <cfRule type="cellIs" dxfId="23" priority="24" operator="equal">
      <formula>"Non trouvé"</formula>
    </cfRule>
  </conditionalFormatting>
  <conditionalFormatting sqref="Y55:Y74">
    <cfRule type="cellIs" dxfId="22" priority="23" operator="equal">
      <formula>"Non trouvé"</formula>
    </cfRule>
  </conditionalFormatting>
  <conditionalFormatting sqref="Q55:Q74">
    <cfRule type="cellIs" dxfId="21" priority="22" operator="equal">
      <formula>"Non trouvé"</formula>
    </cfRule>
  </conditionalFormatting>
  <conditionalFormatting sqref="B91:C110 J91:L110">
    <cfRule type="cellIs" dxfId="20" priority="21" operator="equal">
      <formula>"Non trouvé"</formula>
    </cfRule>
  </conditionalFormatting>
  <conditionalFormatting sqref="F91:G110">
    <cfRule type="cellIs" dxfId="19" priority="20" operator="equal">
      <formula>"Non trouvé"</formula>
    </cfRule>
  </conditionalFormatting>
  <conditionalFormatting sqref="M91:M110">
    <cfRule type="cellIs" dxfId="18" priority="19" operator="equal">
      <formula>"Non trouvé"</formula>
    </cfRule>
  </conditionalFormatting>
  <conditionalFormatting sqref="O91:O110">
    <cfRule type="cellIs" dxfId="17" priority="18" operator="equal">
      <formula>"Non trouvé"</formula>
    </cfRule>
  </conditionalFormatting>
  <conditionalFormatting sqref="S91:S110">
    <cfRule type="cellIs" dxfId="16" priority="17" operator="equal">
      <formula>"Non trouvé"</formula>
    </cfRule>
  </conditionalFormatting>
  <conditionalFormatting sqref="U91:U110">
    <cfRule type="cellIs" dxfId="15" priority="16" operator="equal">
      <formula>"Non trouvé"</formula>
    </cfRule>
  </conditionalFormatting>
  <conditionalFormatting sqref="W91:W110">
    <cfRule type="cellIs" dxfId="14" priority="15" operator="equal">
      <formula>"Non trouvé"</formula>
    </cfRule>
  </conditionalFormatting>
  <conditionalFormatting sqref="Y91:Y110">
    <cfRule type="cellIs" dxfId="13" priority="14" operator="equal">
      <formula>"Non trouvé"</formula>
    </cfRule>
  </conditionalFormatting>
  <conditionalFormatting sqref="Q91:Q110">
    <cfRule type="cellIs" dxfId="12" priority="13" operator="equal">
      <formula>"Non trouvé"</formula>
    </cfRule>
  </conditionalFormatting>
  <conditionalFormatting sqref="N123:N142">
    <cfRule type="cellIs" dxfId="11" priority="12" operator="equal">
      <formula>"Non trouvé"</formula>
    </cfRule>
  </conditionalFormatting>
  <conditionalFormatting sqref="Q123:Q142">
    <cfRule type="cellIs" dxfId="10" priority="11" operator="equal">
      <formula>"Non trouvé"</formula>
    </cfRule>
  </conditionalFormatting>
  <conditionalFormatting sqref="T123:T142">
    <cfRule type="cellIs" dxfId="9" priority="10" operator="equal">
      <formula>"Non trouvé"</formula>
    </cfRule>
  </conditionalFormatting>
  <conditionalFormatting sqref="W123:W142">
    <cfRule type="cellIs" dxfId="6" priority="7" operator="equal">
      <formula>"Non trouvé"</formula>
    </cfRule>
  </conditionalFormatting>
  <conditionalFormatting sqref="Z123:Z142">
    <cfRule type="cellIs" dxfId="5" priority="6" operator="equal">
      <formula>"Non trouvé"</formula>
    </cfRule>
  </conditionalFormatting>
  <conditionalFormatting sqref="B123:C142 J123:L142">
    <cfRule type="cellIs" dxfId="4" priority="5" operator="equal">
      <formula>"Non trouvé"</formula>
    </cfRule>
  </conditionalFormatting>
  <conditionalFormatting sqref="F123:F142">
    <cfRule type="cellIs" dxfId="3" priority="4" operator="equal">
      <formula>"Non trouvé"</formula>
    </cfRule>
  </conditionalFormatting>
  <conditionalFormatting sqref="AC123:AC142">
    <cfRule type="cellIs" dxfId="2" priority="3" operator="equal">
      <formula>"Non trouvé"</formula>
    </cfRule>
  </conditionalFormatting>
  <conditionalFormatting sqref="B149:C168">
    <cfRule type="cellIs" dxfId="1" priority="2" operator="equal">
      <formula>"Non trouvé"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REGENERANTS</vt:lpstr>
      <vt:lpstr>Fiche paramètrage</vt:lpstr>
      <vt:lpstr>Proposition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Sissi Giraud</dc:creator>
  <cp:lastModifiedBy>Sissi Giraud</cp:lastModifiedBy>
  <dcterms:created xsi:type="dcterms:W3CDTF">2026-06-19T13:39:57Z</dcterms:created>
  <dcterms:modified xsi:type="dcterms:W3CDTF">2026-06-23T13:12:36Z</dcterms:modified>
</cp:coreProperties>
</file>