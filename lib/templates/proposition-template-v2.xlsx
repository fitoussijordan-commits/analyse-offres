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327"/>
  <workbookPr filterPrivacy="1" defaultThemeVersion="166925"/>
  <xr:revisionPtr revIDLastSave="0" documentId="8_{B9028A8D-E40E-479B-B77C-FDCC52FE156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ynthese" sheetId="2" r:id="rId1"/>
    <sheet name="Proposition template" sheetId="1" r:id="rId2"/>
    <sheet name="Mapping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2" i="1" l="1"/>
  <c r="O142" i="1" s="1"/>
  <c r="L142" i="1"/>
  <c r="E142" i="1"/>
  <c r="N141" i="1"/>
  <c r="O141" i="1" s="1"/>
  <c r="L141" i="1"/>
  <c r="E141" i="1"/>
  <c r="N140" i="1"/>
  <c r="O140" i="1" s="1"/>
  <c r="L140" i="1"/>
  <c r="E140" i="1"/>
  <c r="N139" i="1"/>
  <c r="O139" i="1" s="1"/>
  <c r="L139" i="1"/>
  <c r="E139" i="1"/>
  <c r="N138" i="1"/>
  <c r="O138" i="1" s="1"/>
  <c r="L138" i="1"/>
  <c r="E138" i="1"/>
  <c r="N137" i="1"/>
  <c r="O137" i="1" s="1"/>
  <c r="L137" i="1"/>
  <c r="E137" i="1"/>
  <c r="N136" i="1"/>
  <c r="O136" i="1" s="1"/>
  <c r="L136" i="1"/>
  <c r="E136" i="1"/>
  <c r="N135" i="1"/>
  <c r="O135" i="1" s="1"/>
  <c r="K135" i="1"/>
  <c r="L135" i="1" s="1"/>
  <c r="E135" i="1"/>
  <c r="N134" i="1"/>
  <c r="O134" i="1" s="1"/>
  <c r="K134" i="1"/>
  <c r="L134" i="1" s="1"/>
  <c r="E134" i="1"/>
  <c r="N133" i="1"/>
  <c r="O133" i="1" s="1"/>
  <c r="K133" i="1"/>
  <c r="L133" i="1" s="1"/>
  <c r="E133" i="1"/>
  <c r="N132" i="1"/>
  <c r="O132" i="1" s="1"/>
  <c r="K132" i="1"/>
  <c r="L132" i="1" s="1"/>
  <c r="E132" i="1"/>
  <c r="N131" i="1"/>
  <c r="O131" i="1" s="1"/>
  <c r="K131" i="1"/>
  <c r="L131" i="1" s="1"/>
  <c r="E131" i="1"/>
  <c r="N130" i="1"/>
  <c r="O130" i="1" s="1"/>
  <c r="K130" i="1"/>
  <c r="L130" i="1" s="1"/>
  <c r="E130" i="1"/>
  <c r="N129" i="1"/>
  <c r="O129" i="1" s="1"/>
  <c r="K129" i="1"/>
  <c r="L129" i="1" s="1"/>
  <c r="E129" i="1"/>
  <c r="N128" i="1"/>
  <c r="O128" i="1" s="1"/>
  <c r="K128" i="1"/>
  <c r="L128" i="1" s="1"/>
  <c r="E128" i="1"/>
  <c r="N127" i="1"/>
  <c r="O127" i="1" s="1"/>
  <c r="K127" i="1"/>
  <c r="L127" i="1" s="1"/>
  <c r="E127" i="1"/>
  <c r="N126" i="1"/>
  <c r="O126" i="1" s="1"/>
  <c r="K126" i="1"/>
  <c r="L126" i="1" s="1"/>
  <c r="E126" i="1"/>
  <c r="N125" i="1"/>
  <c r="O125" i="1" s="1"/>
  <c r="K125" i="1"/>
  <c r="L125" i="1" s="1"/>
  <c r="E125" i="1"/>
  <c r="N124" i="1"/>
  <c r="O124" i="1" s="1"/>
  <c r="K124" i="1"/>
  <c r="L124" i="1" s="1"/>
  <c r="E124" i="1"/>
  <c r="N123" i="1"/>
  <c r="O123" i="1" s="1"/>
  <c r="K123" i="1"/>
  <c r="L123" i="1" s="1"/>
  <c r="E123" i="1"/>
  <c r="M121" i="1"/>
  <c r="L110" i="1"/>
  <c r="G110" i="1"/>
  <c r="L109" i="1"/>
  <c r="G109" i="1"/>
  <c r="L108" i="1"/>
  <c r="G108" i="1"/>
  <c r="L107" i="1"/>
  <c r="G107" i="1"/>
  <c r="L106" i="1"/>
  <c r="G106" i="1"/>
  <c r="L105" i="1"/>
  <c r="G105" i="1"/>
  <c r="L104" i="1"/>
  <c r="G104" i="1"/>
  <c r="K103" i="1"/>
  <c r="L103" i="1" s="1"/>
  <c r="G103" i="1"/>
  <c r="K102" i="1"/>
  <c r="L102" i="1" s="1"/>
  <c r="G102" i="1"/>
  <c r="K101" i="1"/>
  <c r="L101" i="1" s="1"/>
  <c r="G101" i="1"/>
  <c r="K100" i="1"/>
  <c r="L100" i="1" s="1"/>
  <c r="G100" i="1"/>
  <c r="K99" i="1"/>
  <c r="L99" i="1" s="1"/>
  <c r="G99" i="1"/>
  <c r="K98" i="1"/>
  <c r="L98" i="1" s="1"/>
  <c r="G98" i="1"/>
  <c r="K97" i="1"/>
  <c r="L97" i="1" s="1"/>
  <c r="G97" i="1"/>
  <c r="K96" i="1"/>
  <c r="L96" i="1" s="1"/>
  <c r="G96" i="1"/>
  <c r="K95" i="1"/>
  <c r="L95" i="1" s="1"/>
  <c r="G95" i="1"/>
  <c r="K94" i="1"/>
  <c r="L94" i="1" s="1"/>
  <c r="G94" i="1"/>
  <c r="K93" i="1"/>
  <c r="L93" i="1" s="1"/>
  <c r="G93" i="1"/>
  <c r="K92" i="1"/>
  <c r="L92" i="1" s="1"/>
  <c r="G92" i="1"/>
  <c r="K91" i="1"/>
  <c r="L91" i="1" s="1"/>
  <c r="G91" i="1"/>
  <c r="AB89" i="1"/>
  <c r="E89" i="1"/>
  <c r="Z85" i="1"/>
  <c r="X85" i="1"/>
  <c r="V85" i="1"/>
  <c r="T85" i="1"/>
  <c r="R85" i="1"/>
  <c r="P85" i="1"/>
  <c r="N85" i="1"/>
  <c r="L74" i="1"/>
  <c r="G74" i="1"/>
  <c r="L73" i="1"/>
  <c r="G73" i="1"/>
  <c r="L72" i="1"/>
  <c r="G72" i="1"/>
  <c r="L71" i="1"/>
  <c r="G71" i="1"/>
  <c r="L70" i="1"/>
  <c r="G70" i="1"/>
  <c r="L69" i="1"/>
  <c r="G69" i="1"/>
  <c r="L68" i="1"/>
  <c r="G68" i="1"/>
  <c r="K67" i="1"/>
  <c r="L67" i="1" s="1"/>
  <c r="G67" i="1"/>
  <c r="K66" i="1"/>
  <c r="L66" i="1" s="1"/>
  <c r="G66" i="1"/>
  <c r="K65" i="1"/>
  <c r="L65" i="1" s="1"/>
  <c r="G65" i="1"/>
  <c r="K64" i="1"/>
  <c r="L64" i="1" s="1"/>
  <c r="G64" i="1"/>
  <c r="K63" i="1"/>
  <c r="L63" i="1" s="1"/>
  <c r="G63" i="1"/>
  <c r="K62" i="1"/>
  <c r="L62" i="1" s="1"/>
  <c r="G62" i="1"/>
  <c r="K61" i="1"/>
  <c r="L61" i="1" s="1"/>
  <c r="G61" i="1"/>
  <c r="K60" i="1"/>
  <c r="L60" i="1" s="1"/>
  <c r="G60" i="1"/>
  <c r="K59" i="1"/>
  <c r="L59" i="1" s="1"/>
  <c r="G59" i="1"/>
  <c r="K58" i="1"/>
  <c r="L58" i="1" s="1"/>
  <c r="G58" i="1"/>
  <c r="K57" i="1"/>
  <c r="L57" i="1" s="1"/>
  <c r="G57" i="1"/>
  <c r="K56" i="1"/>
  <c r="L56" i="1" s="1"/>
  <c r="G56" i="1"/>
  <c r="K55" i="1"/>
  <c r="L55" i="1" s="1"/>
  <c r="G55" i="1"/>
  <c r="AB53" i="1"/>
  <c r="E53" i="1"/>
  <c r="Z49" i="1"/>
  <c r="X49" i="1"/>
  <c r="V49" i="1"/>
  <c r="T49" i="1"/>
  <c r="R49" i="1"/>
  <c r="P49" i="1"/>
  <c r="N49" i="1"/>
  <c r="L36" i="1"/>
  <c r="G36" i="1"/>
  <c r="L35" i="1"/>
  <c r="G35" i="1"/>
  <c r="L34" i="1"/>
  <c r="G34" i="1"/>
  <c r="L33" i="1"/>
  <c r="G33" i="1"/>
  <c r="L32" i="1"/>
  <c r="G32" i="1"/>
  <c r="L31" i="1"/>
  <c r="G31" i="1"/>
  <c r="L30" i="1"/>
  <c r="G30" i="1"/>
  <c r="K29" i="1"/>
  <c r="L29" i="1" s="1"/>
  <c r="G29" i="1"/>
  <c r="K28" i="1"/>
  <c r="L28" i="1" s="1"/>
  <c r="G28" i="1"/>
  <c r="K27" i="1"/>
  <c r="L27" i="1" s="1"/>
  <c r="G27" i="1"/>
  <c r="K26" i="1"/>
  <c r="L26" i="1" s="1"/>
  <c r="G26" i="1"/>
  <c r="K25" i="1"/>
  <c r="L25" i="1" s="1"/>
  <c r="G25" i="1"/>
  <c r="K24" i="1"/>
  <c r="L24" i="1" s="1"/>
  <c r="G24" i="1"/>
  <c r="K23" i="1"/>
  <c r="L23" i="1" s="1"/>
  <c r="G23" i="1"/>
  <c r="K22" i="1"/>
  <c r="L22" i="1" s="1"/>
  <c r="G22" i="1"/>
  <c r="K21" i="1"/>
  <c r="L21" i="1" s="1"/>
  <c r="G21" i="1"/>
  <c r="K20" i="1"/>
  <c r="L20" i="1" s="1"/>
  <c r="G20" i="1"/>
  <c r="K19" i="1"/>
  <c r="L19" i="1" s="1"/>
  <c r="G19" i="1"/>
  <c r="K18" i="1"/>
  <c r="L18" i="1" s="1"/>
  <c r="G18" i="1"/>
  <c r="K17" i="1"/>
  <c r="L17" i="1" s="1"/>
  <c r="G17" i="1"/>
  <c r="AB15" i="1"/>
  <c r="E15" i="1"/>
  <c r="Z11" i="1"/>
  <c r="X11" i="1"/>
  <c r="V11" i="1"/>
  <c r="T11" i="1"/>
  <c r="R11" i="1"/>
  <c r="P11" i="1"/>
  <c r="N11" i="1"/>
  <c r="E121" i="1" l="1"/>
  <c r="G53" i="1"/>
  <c r="O121" i="1"/>
  <c r="AH121" i="1" s="1"/>
  <c r="G89" i="1"/>
  <c r="G15" i="1"/>
  <c r="N121" i="1"/>
  <c r="AG121" i="1" s="1"/>
  <c r="M29" i="1"/>
  <c r="N29" i="1" s="1"/>
  <c r="M28" i="1"/>
  <c r="N28" i="1" s="1"/>
  <c r="M27" i="1"/>
  <c r="N27" i="1" s="1"/>
  <c r="M26" i="1"/>
  <c r="N26" i="1" s="1"/>
  <c r="M25" i="1"/>
  <c r="N25" i="1" s="1"/>
  <c r="M24" i="1"/>
  <c r="N24" i="1" s="1"/>
  <c r="M23" i="1"/>
  <c r="N23" i="1" s="1"/>
  <c r="M22" i="1"/>
  <c r="N22" i="1" s="1"/>
  <c r="M21" i="1"/>
  <c r="N21" i="1" s="1"/>
  <c r="M20" i="1"/>
  <c r="N20" i="1" s="1"/>
  <c r="M19" i="1"/>
  <c r="N19" i="1" s="1"/>
  <c r="M18" i="1"/>
  <c r="N18" i="1" s="1"/>
  <c r="M17" i="1"/>
  <c r="O29" i="1"/>
  <c r="P29" i="1" s="1"/>
  <c r="O28" i="1"/>
  <c r="P28" i="1" s="1"/>
  <c r="O27" i="1"/>
  <c r="P27" i="1" s="1"/>
  <c r="O26" i="1"/>
  <c r="P26" i="1" s="1"/>
  <c r="O25" i="1"/>
  <c r="P25" i="1" s="1"/>
  <c r="O24" i="1"/>
  <c r="P24" i="1" s="1"/>
  <c r="O23" i="1"/>
  <c r="P23" i="1" s="1"/>
  <c r="O22" i="1"/>
  <c r="P22" i="1" s="1"/>
  <c r="O21" i="1"/>
  <c r="P21" i="1" s="1"/>
  <c r="O20" i="1"/>
  <c r="P20" i="1" s="1"/>
  <c r="O19" i="1"/>
  <c r="P19" i="1" s="1"/>
  <c r="O18" i="1"/>
  <c r="P18" i="1" s="1"/>
  <c r="O17" i="1"/>
  <c r="Q29" i="1"/>
  <c r="R29" i="1" s="1"/>
  <c r="Q28" i="1"/>
  <c r="R28" i="1" s="1"/>
  <c r="Q27" i="1"/>
  <c r="R27" i="1" s="1"/>
  <c r="Q26" i="1"/>
  <c r="R26" i="1" s="1"/>
  <c r="Q25" i="1"/>
  <c r="R25" i="1" s="1"/>
  <c r="Q24" i="1"/>
  <c r="R24" i="1" s="1"/>
  <c r="Q23" i="1"/>
  <c r="R23" i="1" s="1"/>
  <c r="Q22" i="1"/>
  <c r="R22" i="1" s="1"/>
  <c r="Q21" i="1"/>
  <c r="R21" i="1" s="1"/>
  <c r="Q20" i="1"/>
  <c r="R20" i="1" s="1"/>
  <c r="Q19" i="1"/>
  <c r="R19" i="1" s="1"/>
  <c r="Q18" i="1"/>
  <c r="R18" i="1" s="1"/>
  <c r="Q17" i="1"/>
  <c r="S29" i="1"/>
  <c r="T29" i="1" s="1"/>
  <c r="S28" i="1"/>
  <c r="T28" i="1" s="1"/>
  <c r="S27" i="1"/>
  <c r="T27" i="1" s="1"/>
  <c r="S26" i="1"/>
  <c r="T26" i="1" s="1"/>
  <c r="S25" i="1"/>
  <c r="T25" i="1" s="1"/>
  <c r="S24" i="1"/>
  <c r="T24" i="1" s="1"/>
  <c r="S23" i="1"/>
  <c r="T23" i="1" s="1"/>
  <c r="S22" i="1"/>
  <c r="T22" i="1" s="1"/>
  <c r="S21" i="1"/>
  <c r="T21" i="1" s="1"/>
  <c r="S20" i="1"/>
  <c r="T20" i="1" s="1"/>
  <c r="S19" i="1"/>
  <c r="T19" i="1" s="1"/>
  <c r="S18" i="1"/>
  <c r="T18" i="1" s="1"/>
  <c r="S17" i="1"/>
  <c r="U29" i="1"/>
  <c r="V29" i="1" s="1"/>
  <c r="U28" i="1"/>
  <c r="V28" i="1" s="1"/>
  <c r="U27" i="1"/>
  <c r="V27" i="1" s="1"/>
  <c r="U26" i="1"/>
  <c r="V26" i="1" s="1"/>
  <c r="U25" i="1"/>
  <c r="V25" i="1" s="1"/>
  <c r="U24" i="1"/>
  <c r="V24" i="1" s="1"/>
  <c r="U23" i="1"/>
  <c r="V23" i="1" s="1"/>
  <c r="U22" i="1"/>
  <c r="V22" i="1" s="1"/>
  <c r="U21" i="1"/>
  <c r="V21" i="1" s="1"/>
  <c r="U20" i="1"/>
  <c r="V20" i="1" s="1"/>
  <c r="U19" i="1"/>
  <c r="V19" i="1" s="1"/>
  <c r="U18" i="1"/>
  <c r="V18" i="1" s="1"/>
  <c r="U17" i="1"/>
  <c r="W29" i="1"/>
  <c r="X29" i="1" s="1"/>
  <c r="W28" i="1"/>
  <c r="X28" i="1" s="1"/>
  <c r="W27" i="1"/>
  <c r="X27" i="1" s="1"/>
  <c r="W26" i="1"/>
  <c r="X26" i="1" s="1"/>
  <c r="W25" i="1"/>
  <c r="X25" i="1" s="1"/>
  <c r="W24" i="1"/>
  <c r="X24" i="1" s="1"/>
  <c r="W23" i="1"/>
  <c r="X23" i="1" s="1"/>
  <c r="W22" i="1"/>
  <c r="X22" i="1" s="1"/>
  <c r="W21" i="1"/>
  <c r="X21" i="1" s="1"/>
  <c r="W20" i="1"/>
  <c r="X20" i="1" s="1"/>
  <c r="W19" i="1"/>
  <c r="X19" i="1" s="1"/>
  <c r="W18" i="1"/>
  <c r="X18" i="1" s="1"/>
  <c r="W17" i="1"/>
  <c r="Y29" i="1"/>
  <c r="Z29" i="1" s="1"/>
  <c r="Y28" i="1"/>
  <c r="Z28" i="1" s="1"/>
  <c r="Y27" i="1"/>
  <c r="Z27" i="1" s="1"/>
  <c r="Y26" i="1"/>
  <c r="Z26" i="1" s="1"/>
  <c r="Y25" i="1"/>
  <c r="Z25" i="1" s="1"/>
  <c r="Y24" i="1"/>
  <c r="Z24" i="1" s="1"/>
  <c r="Y23" i="1"/>
  <c r="Z23" i="1" s="1"/>
  <c r="Y22" i="1"/>
  <c r="Z22" i="1" s="1"/>
  <c r="Y21" i="1"/>
  <c r="Z21" i="1" s="1"/>
  <c r="Y20" i="1"/>
  <c r="Z20" i="1" s="1"/>
  <c r="Y19" i="1"/>
  <c r="Z19" i="1" s="1"/>
  <c r="Y18" i="1"/>
  <c r="Z18" i="1" s="1"/>
  <c r="Y17" i="1"/>
  <c r="M67" i="1"/>
  <c r="N67" i="1" s="1"/>
  <c r="M66" i="1"/>
  <c r="N66" i="1" s="1"/>
  <c r="M65" i="1"/>
  <c r="N65" i="1" s="1"/>
  <c r="M64" i="1"/>
  <c r="N64" i="1" s="1"/>
  <c r="M63" i="1"/>
  <c r="N63" i="1" s="1"/>
  <c r="M62" i="1"/>
  <c r="N62" i="1" s="1"/>
  <c r="M61" i="1"/>
  <c r="N61" i="1" s="1"/>
  <c r="M60" i="1"/>
  <c r="N60" i="1" s="1"/>
  <c r="M59" i="1"/>
  <c r="N59" i="1" s="1"/>
  <c r="M58" i="1"/>
  <c r="N58" i="1" s="1"/>
  <c r="M57" i="1"/>
  <c r="N57" i="1" s="1"/>
  <c r="M56" i="1"/>
  <c r="N56" i="1" s="1"/>
  <c r="M55" i="1"/>
  <c r="O67" i="1"/>
  <c r="P67" i="1" s="1"/>
  <c r="O66" i="1"/>
  <c r="P66" i="1" s="1"/>
  <c r="O65" i="1"/>
  <c r="P65" i="1" s="1"/>
  <c r="O64" i="1"/>
  <c r="P64" i="1" s="1"/>
  <c r="O63" i="1"/>
  <c r="P63" i="1" s="1"/>
  <c r="O62" i="1"/>
  <c r="P62" i="1" s="1"/>
  <c r="O61" i="1"/>
  <c r="P61" i="1" s="1"/>
  <c r="O60" i="1"/>
  <c r="P60" i="1" s="1"/>
  <c r="O59" i="1"/>
  <c r="P59" i="1" s="1"/>
  <c r="O58" i="1"/>
  <c r="P58" i="1" s="1"/>
  <c r="O57" i="1"/>
  <c r="P57" i="1" s="1"/>
  <c r="O56" i="1"/>
  <c r="P56" i="1" s="1"/>
  <c r="O55" i="1"/>
  <c r="Q67" i="1"/>
  <c r="R67" i="1" s="1"/>
  <c r="Q66" i="1"/>
  <c r="R66" i="1" s="1"/>
  <c r="Q65" i="1"/>
  <c r="R65" i="1" s="1"/>
  <c r="Q64" i="1"/>
  <c r="R64" i="1" s="1"/>
  <c r="Q63" i="1"/>
  <c r="R63" i="1" s="1"/>
  <c r="Q62" i="1"/>
  <c r="R62" i="1" s="1"/>
  <c r="Q61" i="1"/>
  <c r="R61" i="1" s="1"/>
  <c r="Q60" i="1"/>
  <c r="R60" i="1" s="1"/>
  <c r="Q59" i="1"/>
  <c r="R59" i="1" s="1"/>
  <c r="Q58" i="1"/>
  <c r="R58" i="1" s="1"/>
  <c r="Q57" i="1"/>
  <c r="R57" i="1" s="1"/>
  <c r="Q56" i="1"/>
  <c r="R56" i="1" s="1"/>
  <c r="Q55" i="1"/>
  <c r="S67" i="1"/>
  <c r="T67" i="1" s="1"/>
  <c r="S66" i="1"/>
  <c r="T66" i="1" s="1"/>
  <c r="S65" i="1"/>
  <c r="T65" i="1" s="1"/>
  <c r="S64" i="1"/>
  <c r="T64" i="1" s="1"/>
  <c r="S63" i="1"/>
  <c r="T63" i="1" s="1"/>
  <c r="S62" i="1"/>
  <c r="T62" i="1" s="1"/>
  <c r="S61" i="1"/>
  <c r="T61" i="1" s="1"/>
  <c r="S60" i="1"/>
  <c r="T60" i="1" s="1"/>
  <c r="S59" i="1"/>
  <c r="T59" i="1" s="1"/>
  <c r="S58" i="1"/>
  <c r="T58" i="1" s="1"/>
  <c r="S57" i="1"/>
  <c r="T57" i="1" s="1"/>
  <c r="S56" i="1"/>
  <c r="T56" i="1" s="1"/>
  <c r="S55" i="1"/>
  <c r="U67" i="1"/>
  <c r="V67" i="1" s="1"/>
  <c r="U66" i="1"/>
  <c r="V66" i="1" s="1"/>
  <c r="U65" i="1"/>
  <c r="V65" i="1" s="1"/>
  <c r="U64" i="1"/>
  <c r="V64" i="1" s="1"/>
  <c r="U63" i="1"/>
  <c r="V63" i="1" s="1"/>
  <c r="U62" i="1"/>
  <c r="V62" i="1" s="1"/>
  <c r="U61" i="1"/>
  <c r="V61" i="1" s="1"/>
  <c r="U60" i="1"/>
  <c r="V60" i="1" s="1"/>
  <c r="U59" i="1"/>
  <c r="V59" i="1" s="1"/>
  <c r="U58" i="1"/>
  <c r="V58" i="1" s="1"/>
  <c r="U57" i="1"/>
  <c r="V57" i="1" s="1"/>
  <c r="U56" i="1"/>
  <c r="V56" i="1" s="1"/>
  <c r="U55" i="1"/>
  <c r="W67" i="1"/>
  <c r="X67" i="1" s="1"/>
  <c r="W66" i="1"/>
  <c r="X66" i="1" s="1"/>
  <c r="W65" i="1"/>
  <c r="X65" i="1" s="1"/>
  <c r="W64" i="1"/>
  <c r="X64" i="1" s="1"/>
  <c r="W63" i="1"/>
  <c r="X63" i="1" s="1"/>
  <c r="W62" i="1"/>
  <c r="X62" i="1" s="1"/>
  <c r="W61" i="1"/>
  <c r="X61" i="1" s="1"/>
  <c r="W60" i="1"/>
  <c r="X60" i="1" s="1"/>
  <c r="W59" i="1"/>
  <c r="X59" i="1" s="1"/>
  <c r="W58" i="1"/>
  <c r="X58" i="1" s="1"/>
  <c r="W57" i="1"/>
  <c r="X57" i="1" s="1"/>
  <c r="W56" i="1"/>
  <c r="X56" i="1" s="1"/>
  <c r="W55" i="1"/>
  <c r="Y67" i="1"/>
  <c r="Z67" i="1" s="1"/>
  <c r="Y66" i="1"/>
  <c r="Z66" i="1" s="1"/>
  <c r="Y65" i="1"/>
  <c r="Z65" i="1" s="1"/>
  <c r="Y64" i="1"/>
  <c r="Z64" i="1" s="1"/>
  <c r="Y63" i="1"/>
  <c r="Z63" i="1" s="1"/>
  <c r="Y62" i="1"/>
  <c r="Z62" i="1" s="1"/>
  <c r="Y61" i="1"/>
  <c r="Z61" i="1" s="1"/>
  <c r="Y60" i="1"/>
  <c r="Z60" i="1" s="1"/>
  <c r="Y59" i="1"/>
  <c r="Z59" i="1" s="1"/>
  <c r="Y58" i="1"/>
  <c r="Z58" i="1" s="1"/>
  <c r="Y57" i="1"/>
  <c r="Z57" i="1" s="1"/>
  <c r="Y56" i="1"/>
  <c r="Z56" i="1" s="1"/>
  <c r="Y55" i="1"/>
  <c r="M103" i="1"/>
  <c r="N103" i="1" s="1"/>
  <c r="M102" i="1"/>
  <c r="N102" i="1" s="1"/>
  <c r="M101" i="1"/>
  <c r="N101" i="1" s="1"/>
  <c r="M100" i="1"/>
  <c r="N100" i="1" s="1"/>
  <c r="M99" i="1"/>
  <c r="N99" i="1" s="1"/>
  <c r="M98" i="1"/>
  <c r="N98" i="1" s="1"/>
  <c r="M97" i="1"/>
  <c r="N97" i="1" s="1"/>
  <c r="M96" i="1"/>
  <c r="N96" i="1" s="1"/>
  <c r="M95" i="1"/>
  <c r="N95" i="1" s="1"/>
  <c r="M94" i="1"/>
  <c r="N94" i="1" s="1"/>
  <c r="M93" i="1"/>
  <c r="N93" i="1" s="1"/>
  <c r="M92" i="1"/>
  <c r="N92" i="1" s="1"/>
  <c r="M91" i="1"/>
  <c r="O103" i="1"/>
  <c r="P103" i="1" s="1"/>
  <c r="O102" i="1"/>
  <c r="P102" i="1" s="1"/>
  <c r="O101" i="1"/>
  <c r="P101" i="1" s="1"/>
  <c r="O100" i="1"/>
  <c r="P100" i="1" s="1"/>
  <c r="O99" i="1"/>
  <c r="P99" i="1" s="1"/>
  <c r="O98" i="1"/>
  <c r="P98" i="1" s="1"/>
  <c r="O97" i="1"/>
  <c r="P97" i="1" s="1"/>
  <c r="O96" i="1"/>
  <c r="P96" i="1" s="1"/>
  <c r="O95" i="1"/>
  <c r="P95" i="1" s="1"/>
  <c r="O94" i="1"/>
  <c r="P94" i="1" s="1"/>
  <c r="O93" i="1"/>
  <c r="P93" i="1" s="1"/>
  <c r="O92" i="1"/>
  <c r="P92" i="1" s="1"/>
  <c r="O91" i="1"/>
  <c r="Q103" i="1"/>
  <c r="R103" i="1" s="1"/>
  <c r="Q102" i="1"/>
  <c r="R102" i="1" s="1"/>
  <c r="Q101" i="1"/>
  <c r="R101" i="1" s="1"/>
  <c r="Q100" i="1"/>
  <c r="R100" i="1" s="1"/>
  <c r="Q99" i="1"/>
  <c r="R99" i="1" s="1"/>
  <c r="Q98" i="1"/>
  <c r="R98" i="1" s="1"/>
  <c r="Q97" i="1"/>
  <c r="R97" i="1" s="1"/>
  <c r="Q96" i="1"/>
  <c r="R96" i="1" s="1"/>
  <c r="Q95" i="1"/>
  <c r="R95" i="1" s="1"/>
  <c r="Q94" i="1"/>
  <c r="R94" i="1" s="1"/>
  <c r="Q93" i="1"/>
  <c r="R93" i="1" s="1"/>
  <c r="Q92" i="1"/>
  <c r="R92" i="1" s="1"/>
  <c r="Q91" i="1"/>
  <c r="S103" i="1"/>
  <c r="T103" i="1" s="1"/>
  <c r="S102" i="1"/>
  <c r="T102" i="1" s="1"/>
  <c r="S101" i="1"/>
  <c r="T101" i="1" s="1"/>
  <c r="S100" i="1"/>
  <c r="T100" i="1" s="1"/>
  <c r="S99" i="1"/>
  <c r="T99" i="1" s="1"/>
  <c r="S98" i="1"/>
  <c r="T98" i="1" s="1"/>
  <c r="S97" i="1"/>
  <c r="T97" i="1" s="1"/>
  <c r="S96" i="1"/>
  <c r="T96" i="1" s="1"/>
  <c r="S95" i="1"/>
  <c r="T95" i="1" s="1"/>
  <c r="S94" i="1"/>
  <c r="T94" i="1" s="1"/>
  <c r="S93" i="1"/>
  <c r="T93" i="1" s="1"/>
  <c r="S92" i="1"/>
  <c r="T92" i="1" s="1"/>
  <c r="S91" i="1"/>
  <c r="U103" i="1"/>
  <c r="V103" i="1" s="1"/>
  <c r="U102" i="1"/>
  <c r="V102" i="1" s="1"/>
  <c r="U101" i="1"/>
  <c r="V101" i="1" s="1"/>
  <c r="U100" i="1"/>
  <c r="V100" i="1" s="1"/>
  <c r="U99" i="1"/>
  <c r="V99" i="1" s="1"/>
  <c r="U98" i="1"/>
  <c r="V98" i="1" s="1"/>
  <c r="U97" i="1"/>
  <c r="V97" i="1" s="1"/>
  <c r="U96" i="1"/>
  <c r="V96" i="1" s="1"/>
  <c r="U95" i="1"/>
  <c r="V95" i="1" s="1"/>
  <c r="U94" i="1"/>
  <c r="V94" i="1" s="1"/>
  <c r="U93" i="1"/>
  <c r="V93" i="1" s="1"/>
  <c r="U92" i="1"/>
  <c r="V92" i="1" s="1"/>
  <c r="U91" i="1"/>
  <c r="W103" i="1"/>
  <c r="X103" i="1" s="1"/>
  <c r="W102" i="1"/>
  <c r="X102" i="1" s="1"/>
  <c r="W101" i="1"/>
  <c r="X101" i="1" s="1"/>
  <c r="W100" i="1"/>
  <c r="X100" i="1" s="1"/>
  <c r="W99" i="1"/>
  <c r="X99" i="1" s="1"/>
  <c r="W98" i="1"/>
  <c r="X98" i="1" s="1"/>
  <c r="W97" i="1"/>
  <c r="X97" i="1" s="1"/>
  <c r="W96" i="1"/>
  <c r="X96" i="1" s="1"/>
  <c r="W95" i="1"/>
  <c r="X95" i="1" s="1"/>
  <c r="W94" i="1"/>
  <c r="X94" i="1" s="1"/>
  <c r="W93" i="1"/>
  <c r="X93" i="1" s="1"/>
  <c r="W92" i="1"/>
  <c r="X92" i="1" s="1"/>
  <c r="W91" i="1"/>
  <c r="Y103" i="1"/>
  <c r="Z103" i="1" s="1"/>
  <c r="Y102" i="1"/>
  <c r="Z102" i="1" s="1"/>
  <c r="Y101" i="1"/>
  <c r="Z101" i="1" s="1"/>
  <c r="Y100" i="1"/>
  <c r="Z100" i="1" s="1"/>
  <c r="Y99" i="1"/>
  <c r="Z99" i="1" s="1"/>
  <c r="Y98" i="1"/>
  <c r="Z98" i="1" s="1"/>
  <c r="Y97" i="1"/>
  <c r="Z97" i="1" s="1"/>
  <c r="Y96" i="1"/>
  <c r="Z96" i="1" s="1"/>
  <c r="Y95" i="1"/>
  <c r="Z95" i="1" s="1"/>
  <c r="Y94" i="1"/>
  <c r="Z94" i="1" s="1"/>
  <c r="Y93" i="1"/>
  <c r="Z93" i="1" s="1"/>
  <c r="Y92" i="1"/>
  <c r="Z92" i="1" s="1"/>
  <c r="Y91" i="1"/>
  <c r="AH128" i="1" l="1"/>
  <c r="AH130" i="1"/>
  <c r="AH127" i="1"/>
  <c r="AH129" i="1"/>
  <c r="Z91" i="1"/>
  <c r="Z89" i="1" s="1"/>
  <c r="Y89" i="1"/>
  <c r="X91" i="1"/>
  <c r="X89" i="1" s="1"/>
  <c r="W89" i="1"/>
  <c r="V91" i="1"/>
  <c r="V89" i="1" s="1"/>
  <c r="U89" i="1"/>
  <c r="T91" i="1"/>
  <c r="T89" i="1" s="1"/>
  <c r="S89" i="1"/>
  <c r="R91" i="1"/>
  <c r="R89" i="1" s="1"/>
  <c r="Q89" i="1"/>
  <c r="P91" i="1"/>
  <c r="P89" i="1" s="1"/>
  <c r="O89" i="1"/>
  <c r="N91" i="1"/>
  <c r="N89" i="1" s="1"/>
  <c r="M89" i="1"/>
  <c r="Z55" i="1"/>
  <c r="Z53" i="1" s="1"/>
  <c r="Y53" i="1"/>
  <c r="X55" i="1"/>
  <c r="X53" i="1" s="1"/>
  <c r="W53" i="1"/>
  <c r="V55" i="1"/>
  <c r="V53" i="1" s="1"/>
  <c r="U53" i="1"/>
  <c r="T55" i="1"/>
  <c r="T53" i="1" s="1"/>
  <c r="S53" i="1"/>
  <c r="R55" i="1"/>
  <c r="R53" i="1" s="1"/>
  <c r="Q53" i="1"/>
  <c r="P55" i="1"/>
  <c r="P53" i="1" s="1"/>
  <c r="O53" i="1"/>
  <c r="N55" i="1"/>
  <c r="N53" i="1" s="1"/>
  <c r="M53" i="1"/>
  <c r="Z17" i="1"/>
  <c r="Z15" i="1" s="1"/>
  <c r="Y15" i="1"/>
  <c r="X17" i="1"/>
  <c r="X15" i="1" s="1"/>
  <c r="W15" i="1"/>
  <c r="V17" i="1"/>
  <c r="V15" i="1" s="1"/>
  <c r="U15" i="1"/>
  <c r="T17" i="1"/>
  <c r="T15" i="1" s="1"/>
  <c r="S15" i="1"/>
  <c r="R17" i="1"/>
  <c r="R15" i="1" s="1"/>
  <c r="Q15" i="1"/>
  <c r="P17" i="1"/>
  <c r="P15" i="1" s="1"/>
  <c r="O15" i="1"/>
  <c r="N17" i="1"/>
  <c r="N15" i="1" s="1"/>
  <c r="M15" i="1"/>
  <c r="AH125" i="1" l="1"/>
  <c r="AC15" i="1"/>
  <c r="AD15" i="1"/>
  <c r="AC53" i="1"/>
  <c r="AD53" i="1"/>
  <c r="AC89" i="1"/>
  <c r="AD89" i="1"/>
  <c r="AD92" i="1" l="1"/>
  <c r="AD98" i="1"/>
  <c r="AD97" i="1"/>
  <c r="AD96" i="1"/>
  <c r="AD95" i="1"/>
  <c r="AD56" i="1"/>
  <c r="AD59" i="1"/>
  <c r="AD61" i="1"/>
  <c r="AD62" i="1"/>
  <c r="AD60" i="1"/>
  <c r="AD24" i="1"/>
  <c r="AD23" i="1"/>
  <c r="AD22" i="1"/>
  <c r="AD21" i="1"/>
  <c r="AD18" i="1"/>
  <c r="AD19" i="1" l="1"/>
  <c r="AD57" i="1"/>
  <c r="AD93" i="1"/>
</calcChain>
</file>

<file path=xl/sharedStrings.xml><?xml version="1.0" encoding="utf-8"?>
<sst xmlns="http://schemas.openxmlformats.org/spreadsheetml/2006/main" count="703" uniqueCount="123">
  <si>
    <t>7021433 — MEA Régénérants 2026 - Premium (50 unités - 15% remise)</t>
  </si>
  <si>
    <t>Panachage 50 unités // Remise 15% pour BRI conso 10€ sur 4 produits : Sérum J/N, CDJR, CDJRI, sérum nuit RI (-10€ = prix plancher, à imprimer sur 1 SR sur le présentoir)</t>
  </si>
  <si>
    <t>Nombre d'offres</t>
  </si>
  <si>
    <t>Nombre de produits</t>
  </si>
  <si>
    <t>RETAIL</t>
  </si>
  <si>
    <t>INSTITUT</t>
  </si>
  <si>
    <t>Retail + Institut</t>
  </si>
  <si>
    <t>Ambassadeur</t>
  </si>
  <si>
    <t>Compagnon</t>
  </si>
  <si>
    <t>Challenger</t>
  </si>
  <si>
    <t>Rose</t>
  </si>
  <si>
    <t>Prunelier</t>
  </si>
  <si>
    <t>Anthylide</t>
  </si>
  <si>
    <t>Calendula</t>
  </si>
  <si>
    <t>Total</t>
  </si>
  <si>
    <t>% Offres</t>
  </si>
  <si>
    <t>Remise</t>
  </si>
  <si>
    <t>Nb Offres</t>
  </si>
  <si>
    <t>Pdt dans offre</t>
  </si>
  <si>
    <t>Coût achat unitaire</t>
  </si>
  <si>
    <t>Coûts achats total</t>
  </si>
  <si>
    <t>Tarif revendeur unitaire</t>
  </si>
  <si>
    <t>Remise additionnelle</t>
  </si>
  <si>
    <t>PPC</t>
  </si>
  <si>
    <t>PPC Remisé</t>
  </si>
  <si>
    <t>Montant BRI</t>
  </si>
  <si>
    <t>CA</t>
  </si>
  <si>
    <t>Marges</t>
  </si>
  <si>
    <t>Nbrs Offres planifiées</t>
  </si>
  <si>
    <t>Code article</t>
  </si>
  <si>
    <t>Libellé article</t>
  </si>
  <si>
    <t>Code à barres (EAN)</t>
  </si>
  <si>
    <t>Typ. Prod</t>
  </si>
  <si>
    <t>'#</t>
  </si>
  <si>
    <t>'€</t>
  </si>
  <si>
    <t>Synthèse</t>
  </si>
  <si>
    <t>1020720</t>
  </si>
  <si>
    <t>[1020720] Crème de Jour - Régénérant Intensif - 40ml</t>
  </si>
  <si>
    <t>4020829102972</t>
  </si>
  <si>
    <t>Produit Vente</t>
  </si>
  <si>
    <t>1020202</t>
  </si>
  <si>
    <t>[1020202] Sérum Jour/Nuit - Régénérant - 30 ml</t>
  </si>
  <si>
    <t>4020829103115</t>
  </si>
  <si>
    <t>Prix Offre Moy. Remisé :</t>
  </si>
  <si>
    <t>1020301</t>
  </si>
  <si>
    <t>[1020301] Crème de Jour - Régénérant - 40 ml</t>
  </si>
  <si>
    <t>4020829007383</t>
  </si>
  <si>
    <t>Poids Gratuités achats :</t>
  </si>
  <si>
    <t>1020718</t>
  </si>
  <si>
    <t>[1020718] Sérum de Nuit - Régénérant Intensif - 30 ml</t>
  </si>
  <si>
    <t>4020829101111</t>
  </si>
  <si>
    <t>1020401</t>
  </si>
  <si>
    <t>[1020401] Crème Contour des Yeux - Régénérant - 15 ml</t>
  </si>
  <si>
    <t>4020829013919</t>
  </si>
  <si>
    <t>UG</t>
  </si>
  <si>
    <t>1020310</t>
  </si>
  <si>
    <t>[1020310] Crème de Jour Eclat du Teint - Régénérant - 40 ml</t>
  </si>
  <si>
    <t>4020829060999</t>
  </si>
  <si>
    <t>PLV</t>
  </si>
  <si>
    <t>1020717</t>
  </si>
  <si>
    <t>[1020717] Sérum Contour des Yeux - Régénérant Intensif -15 ml</t>
  </si>
  <si>
    <t>4020829101067</t>
  </si>
  <si>
    <t>Echantillon</t>
  </si>
  <si>
    <t>1020719</t>
  </si>
  <si>
    <t>[1020719] Huile Fortifiante - Régénérant Intensif - 20ml</t>
  </si>
  <si>
    <t>4020829103030</t>
  </si>
  <si>
    <t>Testeur</t>
  </si>
  <si>
    <t>1020302</t>
  </si>
  <si>
    <t>[1020302] Crème Cou et Décolleté - Régénérant - 40 ml</t>
  </si>
  <si>
    <t>4020829008366</t>
  </si>
  <si>
    <t>1020107</t>
  </si>
  <si>
    <t>[1020107] Lait pour le Corps - Régénérant - 150 ml</t>
  </si>
  <si>
    <t>4020829103160</t>
  </si>
  <si>
    <t>1020721</t>
  </si>
  <si>
    <t>[1020721] Cure Intensive Fortifiante - Régénérant - 40ml</t>
  </si>
  <si>
    <t>4020829102941</t>
  </si>
  <si>
    <t>1020722</t>
  </si>
  <si>
    <t>[1020722] Cure Intensive Rééquilibrante - Régénérant Intensif - 40ml</t>
  </si>
  <si>
    <t>4020829102934</t>
  </si>
  <si>
    <t>1020102</t>
  </si>
  <si>
    <t>[1020102] Crème pour les Mains - Régénérant - 50 ml</t>
  </si>
  <si>
    <t>4020829049666</t>
  </si>
  <si>
    <t>PANNEAU REGE</t>
  </si>
  <si>
    <t>PRESENTOIR REGE</t>
  </si>
  <si>
    <t>SR REGE RETAIL 1</t>
  </si>
  <si>
    <t>7021432 — MEA Régénérants 2026 - TG VIP Retail (90 unités - 15% remise)</t>
  </si>
  <si>
    <t>Panachage 24 unités // Remise 10% pour BRI conso 10€ sur 4 produits : Sérum J/N, CDJR, CDJRI, sérum nuit RI (-10€ = prix plancher, à imprimer sur 1 SR sur le présentoir)</t>
  </si>
  <si>
    <t>7021434 — MEA Régénérants 2026 - Standard (24 unités - 10% remise)</t>
  </si>
  <si>
    <t>Panachage 12 unités // 5% de remise</t>
  </si>
  <si>
    <t>GRANDS COMPTES</t>
  </si>
  <si>
    <t>BIO</t>
  </si>
  <si>
    <t>Non-Alimentaire</t>
  </si>
  <si>
    <t>Grands Magasins</t>
  </si>
  <si>
    <t>PURE PLAYERS</t>
  </si>
  <si>
    <t>BIOCOOP</t>
  </si>
  <si>
    <t>Mlle Bio</t>
  </si>
  <si>
    <t>Galeries Lafayette</t>
  </si>
  <si>
    <t>Printemps</t>
  </si>
  <si>
    <t>Place des tendances</t>
  </si>
  <si>
    <t>NewPharma</t>
  </si>
  <si>
    <t>Qtités</t>
  </si>
  <si>
    <t>Qtités totale</t>
  </si>
  <si>
    <t>Grands Comptes</t>
  </si>
  <si>
    <t>SYNTHESE</t>
  </si>
  <si>
    <t>Offre premium</t>
  </si>
  <si>
    <t>Offre standard</t>
  </si>
  <si>
    <t>Offre essentiel</t>
  </si>
  <si>
    <t>Offre TG VIP</t>
  </si>
  <si>
    <t>Offre GC</t>
  </si>
  <si>
    <t>Nombre d’offres</t>
  </si>
  <si>
    <t xml:space="preserve">Marge (€) </t>
  </si>
  <si>
    <t>Marge %</t>
  </si>
  <si>
    <t>Besoins logistiques/Trade</t>
  </si>
  <si>
    <t>Produits ventes</t>
  </si>
  <si>
    <t>TESTEUR</t>
  </si>
  <si>
    <t>TG</t>
  </si>
  <si>
    <t>Offres retail+ Institut</t>
  </si>
  <si>
    <t>GC</t>
  </si>
  <si>
    <t>MDRH</t>
  </si>
  <si>
    <t>ESHOP</t>
  </si>
  <si>
    <t>DC</t>
  </si>
  <si>
    <t>Marketing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</si>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</sst>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.0\ &quot;€&quot;;\(#,##0.0\)\ &quot;€&quot;;&quot; - &quot;"/>
    <numFmt numFmtId="165" formatCode="#,##0;\(#,##0\);&quot; - &quot;"/>
    <numFmt numFmtId="166" formatCode="#,##0.0;\(#,##0.0\);&quot; - &quot;"/>
    <numFmt numFmtId="167" formatCode="#,##0.0%;\(#,##0.0\)%;&quot; - &quot;"/>
    <numFmt numFmtId="168" formatCode="#,##0.00;\(#,##0.00\);&quot; - &quot;"/>
    <numFmt numFmtId="169" formatCode="0.0%"/>
  </numFmts>
  <fonts count="13">
    <font>
      <sz val="11"/>
      <color theme="1"/>
      <name val="Calibri"/>
      <family val="2"/>
      <scheme val="minor"/>
    </font>
    <font>
      <sz val="10"/>
      <color rgb="FF354A5D"/>
      <name val="Viacultura-Normal"/>
    </font>
    <font>
      <b/>
      <sz val="10"/>
      <color theme="0"/>
      <name val="Viacultura-Normal"/>
    </font>
    <font>
      <sz val="10"/>
      <color theme="0"/>
      <name val="Viacultura-Normal"/>
    </font>
    <font>
      <b/>
      <sz val="10"/>
      <color rgb="FF354A5D"/>
      <name val="Viacultura-Normal"/>
    </font>
    <font>
      <b/>
      <sz val="10"/>
      <color theme="7"/>
      <name val="Viacultura-Normal"/>
    </font>
    <font>
      <b/>
      <sz val="10"/>
      <color theme="8"/>
      <name val="Viacultura-Normal"/>
    </font>
    <font>
      <b/>
      <sz val="10"/>
      <color rgb="FFC00000"/>
      <name val="Viacultura-Normal"/>
    </font>
    <font>
      <b/>
      <sz val="10"/>
      <color theme="3"/>
      <name val="Viacultura-Normal"/>
    </font>
    <font>
      <b/>
      <i/>
      <sz val="10"/>
      <color rgb="FF354A5D"/>
      <name val="Viacultura-Normal"/>
    </font>
    <font>
      <i/>
      <sz val="10"/>
      <color rgb="FF354A5D"/>
      <name val="Viacultura-Normal"/>
    </font>
    <font>
      <b/>
      <sz val="10"/>
      <name val="Viacultura-Normal"/>
    </font>
    <font>
      <b/>
      <sz val="11"/>
      <color theme="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none"/>
    </fill>
    <fill>
      <patternFill patternType="solid">
        <fgColor theme="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E838CF"/>
        <bgColor indexed="64"/>
      </patternFill>
    </fill>
    <fill>
      <patternFill patternType="solid">
        <fgColor rgb="FF7B39E7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2A2E8"/>
        <bgColor indexed="64"/>
      </patternFill>
    </fill>
    <fill>
      <patternFill patternType="solid">
        <fgColor rgb="FFFF0000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rgb="FF354A5D"/>
      </bottom>
      <diagonal/>
    </border>
    <border>
      <left style="medium">
        <color indexed="64"/>
      </left>
      <right/>
      <top/>
      <bottom style="medium">
        <color rgb="FF354A5D"/>
      </bottom>
      <diagonal/>
    </border>
    <border>
      <left/>
      <right style="medium">
        <color indexed="64"/>
      </right>
      <top/>
      <bottom style="medium">
        <color rgb="FF354A5D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rgb="FF354A5D"/>
      </left>
      <right style="hair">
        <color rgb="FF354A5D"/>
      </right>
      <top style="hair">
        <color rgb="FF354A5D"/>
      </top>
      <bottom style="hair">
        <color rgb="FF354A5D"/>
      </bottom>
      <diagonal/>
    </border>
    <border>
      <left style="hair">
        <color theme="3"/>
      </left>
      <right style="hair">
        <color theme="3"/>
      </right>
      <top style="hair">
        <color theme="3"/>
      </top>
      <bottom style="hair">
        <color theme="3"/>
      </bottom>
      <diagonal/>
    </border>
    <border>
      <left style="hair">
        <color theme="3"/>
      </left>
      <right/>
      <top style="hair">
        <color theme="3"/>
      </top>
      <bottom style="hair">
        <color theme="3"/>
      </bottom>
      <diagonal/>
    </border>
    <border>
      <left style="medium">
        <color indexed="64"/>
      </left>
      <right style="hair">
        <color theme="3"/>
      </right>
      <top style="hair">
        <color theme="3"/>
      </top>
      <bottom style="hair">
        <color theme="3"/>
      </bottom>
      <diagonal/>
    </border>
    <border>
      <left/>
      <right style="hair">
        <color theme="3"/>
      </right>
      <top style="hair">
        <color theme="3"/>
      </top>
      <bottom style="hair">
        <color theme="3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indexed="64"/>
      </left>
      <right style="hair">
        <color theme="3"/>
      </right>
      <top style="hair">
        <color theme="3"/>
      </top>
      <bottom style="medium">
        <color indexed="64"/>
      </bottom>
      <diagonal/>
    </border>
    <border>
      <left/>
      <right style="hair">
        <color theme="3"/>
      </right>
      <top style="hair">
        <color theme="3"/>
      </top>
      <bottom style="medium">
        <color indexed="64"/>
      </bottom>
      <diagonal/>
    </border>
    <border>
      <left style="hair">
        <color theme="3"/>
      </left>
      <right style="hair">
        <color theme="3"/>
      </right>
      <top style="hair">
        <color theme="3"/>
      </top>
      <bottom style="medium">
        <color indexed="64"/>
      </bottom>
      <diagonal/>
    </border>
    <border>
      <left style="hair">
        <color theme="3"/>
      </left>
      <right/>
      <top style="hair">
        <color theme="3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hair">
        <color rgb="FF354A5D"/>
      </left>
      <right style="hair">
        <color rgb="FF354A5D"/>
      </right>
      <top/>
      <bottom style="hair">
        <color rgb="FF354A5D"/>
      </bottom>
      <diagonal/>
    </border>
    <border>
      <left style="hair">
        <color theme="3"/>
      </left>
      <right style="hair">
        <color theme="3"/>
      </right>
      <top/>
      <bottom style="hair">
        <color theme="3"/>
      </bottom>
      <diagonal/>
    </border>
    <border>
      <left style="hair">
        <color rgb="FF354A5D"/>
      </left>
      <right style="hair">
        <color rgb="FF354A5D"/>
      </right>
      <top style="thin">
        <color indexed="64"/>
      </top>
      <bottom style="double">
        <color indexed="64"/>
      </bottom>
      <diagonal/>
    </border>
    <border>
      <left style="hair">
        <color theme="3"/>
      </left>
      <right style="hair">
        <color theme="3"/>
      </right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0" fillId="2" borderId="0" xfId="0" applyFill="1"/>
    <xf numFmtId="164" fontId="1" fillId="2" borderId="0" xfId="0" applyNumberFormat="1" applyFont="1" applyFill="1"/>
    <xf numFmtId="0" fontId="1" fillId="2" borderId="0" xfId="0" applyFont="1" applyFill="1" applyAlignment="1">
      <alignment horizontal="right"/>
    </xf>
    <xf numFmtId="0" fontId="1" fillId="2" borderId="0" xfId="0" applyFont="1" applyFill="1" applyAlignment="1">
      <alignment horizontal="center"/>
    </xf>
    <xf numFmtId="165" fontId="1" fillId="2" borderId="0" xfId="0" applyNumberFormat="1" applyFont="1" applyFill="1"/>
    <xf numFmtId="0" fontId="2" fillId="3" borderId="0" xfId="0" applyFont="1" applyFill="1" applyAlignment="1">
      <alignment horizontal="left" indent="2"/>
    </xf>
    <xf numFmtId="0" fontId="1" fillId="3" borderId="0" xfId="0" applyFont="1" applyFill="1"/>
    <xf numFmtId="0" fontId="1" fillId="3" borderId="0" xfId="0" applyFont="1" applyFill="1" applyAlignment="1">
      <alignment horizontal="right"/>
    </xf>
    <xf numFmtId="0" fontId="3" fillId="3" borderId="0" xfId="0" applyFont="1" applyFill="1"/>
    <xf numFmtId="0" fontId="4" fillId="2" borderId="0" xfId="0" applyFont="1" applyFill="1"/>
    <xf numFmtId="0" fontId="1" fillId="4" borderId="0" xfId="0" applyFont="1" applyFill="1"/>
    <xf numFmtId="9" fontId="1" fillId="2" borderId="0" xfId="0" applyNumberFormat="1" applyFont="1" applyFill="1"/>
    <xf numFmtId="0" fontId="1" fillId="5" borderId="1" xfId="0" applyFont="1" applyFill="1" applyBorder="1"/>
    <xf numFmtId="0" fontId="1" fillId="5" borderId="2" xfId="0" applyFont="1" applyFill="1" applyBorder="1"/>
    <xf numFmtId="0" fontId="1" fillId="5" borderId="3" xfId="0" applyFont="1" applyFill="1" applyBorder="1"/>
    <xf numFmtId="0" fontId="2" fillId="7" borderId="7" xfId="0" applyFont="1" applyFill="1" applyBorder="1" applyAlignment="1">
      <alignment horizontal="centerContinuous" vertical="center"/>
    </xf>
    <xf numFmtId="0" fontId="2" fillId="7" borderId="6" xfId="0" applyFont="1" applyFill="1" applyBorder="1" applyAlignment="1">
      <alignment horizontal="centerContinuous" vertical="center"/>
    </xf>
    <xf numFmtId="0" fontId="2" fillId="7" borderId="5" xfId="0" applyFont="1" applyFill="1" applyBorder="1" applyAlignment="1">
      <alignment horizontal="centerContinuous" vertical="center"/>
    </xf>
    <xf numFmtId="0" fontId="1" fillId="5" borderId="0" xfId="0" applyFont="1" applyFill="1"/>
    <xf numFmtId="0" fontId="2" fillId="8" borderId="0" xfId="0" applyFont="1" applyFill="1" applyAlignment="1">
      <alignment horizontal="centerContinuous" vertical="center"/>
    </xf>
    <xf numFmtId="0" fontId="1" fillId="5" borderId="8" xfId="0" applyFont="1" applyFill="1" applyBorder="1"/>
    <xf numFmtId="0" fontId="1" fillId="2" borderId="1" xfId="0" applyFont="1" applyFill="1" applyBorder="1"/>
    <xf numFmtId="0" fontId="1" fillId="2" borderId="3" xfId="0" applyFont="1" applyFill="1" applyBorder="1"/>
    <xf numFmtId="0" fontId="1" fillId="2" borderId="2" xfId="0" applyFont="1" applyFill="1" applyBorder="1"/>
    <xf numFmtId="0" fontId="1" fillId="2" borderId="9" xfId="0" applyFont="1" applyFill="1" applyBorder="1"/>
    <xf numFmtId="164" fontId="1" fillId="2" borderId="8" xfId="0" applyNumberFormat="1" applyFont="1" applyFill="1" applyBorder="1"/>
    <xf numFmtId="0" fontId="1" fillId="5" borderId="9" xfId="0" applyFont="1" applyFill="1" applyBorder="1"/>
    <xf numFmtId="0" fontId="7" fillId="11" borderId="0" xfId="0" applyFont="1" applyFill="1" applyAlignment="1">
      <alignment horizontal="centerContinuous" vertical="center"/>
    </xf>
    <xf numFmtId="0" fontId="1" fillId="2" borderId="9" xfId="0" applyFont="1" applyFill="1" applyBorder="1" applyAlignment="1">
      <alignment horizontal="left"/>
    </xf>
    <xf numFmtId="9" fontId="8" fillId="4" borderId="8" xfId="0" applyNumberFormat="1" applyFont="1" applyFill="1" applyBorder="1" applyAlignment="1">
      <alignment horizontal="left" vertical="center"/>
    </xf>
    <xf numFmtId="0" fontId="1" fillId="2" borderId="0" xfId="0" applyFont="1" applyFill="1" applyAlignment="1">
      <alignment horizontal="left"/>
    </xf>
    <xf numFmtId="9" fontId="8" fillId="4" borderId="0" xfId="0" applyNumberFormat="1" applyFont="1" applyFill="1" applyAlignment="1">
      <alignment horizontal="left" vertical="center"/>
    </xf>
    <xf numFmtId="0" fontId="6" fillId="2" borderId="9" xfId="0" applyFont="1" applyFill="1" applyBorder="1" applyAlignment="1">
      <alignment horizontal="left" vertical="center"/>
    </xf>
    <xf numFmtId="0" fontId="7" fillId="2" borderId="0" xfId="0" applyFont="1" applyFill="1" applyAlignment="1">
      <alignment horizontal="centerContinuous" vertical="center"/>
    </xf>
    <xf numFmtId="9" fontId="1" fillId="12" borderId="8" xfId="0" applyNumberFormat="1" applyFont="1" applyFill="1" applyBorder="1" applyAlignment="1">
      <alignment horizontal="left"/>
    </xf>
    <xf numFmtId="10" fontId="1" fillId="12" borderId="8" xfId="0" applyNumberFormat="1" applyFont="1" applyFill="1" applyBorder="1" applyAlignment="1">
      <alignment horizontal="left"/>
    </xf>
    <xf numFmtId="9" fontId="1" fillId="12" borderId="0" xfId="0" applyNumberFormat="1" applyFont="1" applyFill="1" applyAlignment="1">
      <alignment horizontal="left"/>
    </xf>
    <xf numFmtId="165" fontId="4" fillId="9" borderId="8" xfId="0" applyNumberFormat="1" applyFont="1" applyFill="1" applyBorder="1" applyAlignment="1">
      <alignment horizontal="left" vertical="center"/>
    </xf>
    <xf numFmtId="165" fontId="4" fillId="9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horizontal="right" wrapText="1"/>
    </xf>
    <xf numFmtId="0" fontId="4" fillId="2" borderId="0" xfId="0" applyFont="1" applyFill="1" applyAlignment="1">
      <alignment horizontal="center" wrapText="1"/>
    </xf>
    <xf numFmtId="0" fontId="4" fillId="2" borderId="9" xfId="0" applyFont="1" applyFill="1" applyBorder="1" applyAlignment="1">
      <alignment horizontal="center" wrapText="1"/>
    </xf>
    <xf numFmtId="0" fontId="4" fillId="2" borderId="8" xfId="0" applyFont="1" applyFill="1" applyBorder="1" applyAlignment="1">
      <alignment horizontal="center" wrapText="1"/>
    </xf>
    <xf numFmtId="0" fontId="1" fillId="5" borderId="9" xfId="0" applyFont="1" applyFill="1" applyBorder="1" applyAlignment="1">
      <alignment wrapText="1"/>
    </xf>
    <xf numFmtId="0" fontId="4" fillId="5" borderId="0" xfId="0" applyFont="1" applyFill="1" applyAlignment="1">
      <alignment horizontal="center" wrapText="1"/>
    </xf>
    <xf numFmtId="0" fontId="1" fillId="5" borderId="8" xfId="0" applyFont="1" applyFill="1" applyBorder="1" applyAlignment="1">
      <alignment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14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 wrapText="1"/>
    </xf>
    <xf numFmtId="0" fontId="4" fillId="13" borderId="16" xfId="0" applyFont="1" applyFill="1" applyBorder="1"/>
    <xf numFmtId="0" fontId="4" fillId="13" borderId="16" xfId="0" applyFont="1" applyFill="1" applyBorder="1" applyAlignment="1">
      <alignment horizontal="right"/>
    </xf>
    <xf numFmtId="165" fontId="4" fillId="4" borderId="16" xfId="0" applyNumberFormat="1" applyFont="1" applyFill="1" applyBorder="1" applyAlignment="1">
      <alignment horizontal="right" vertical="center"/>
    </xf>
    <xf numFmtId="166" fontId="4" fillId="13" borderId="16" xfId="0" applyNumberFormat="1" applyFont="1" applyFill="1" applyBorder="1" applyAlignment="1">
      <alignment horizontal="right" vertical="center"/>
    </xf>
    <xf numFmtId="167" fontId="9" fillId="13" borderId="16" xfId="0" applyNumberFormat="1" applyFont="1" applyFill="1" applyBorder="1" applyAlignment="1">
      <alignment horizontal="right" vertical="center"/>
    </xf>
    <xf numFmtId="164" fontId="4" fillId="9" borderId="17" xfId="0" applyNumberFormat="1" applyFont="1" applyFill="1" applyBorder="1" applyAlignment="1">
      <alignment horizontal="right" vertical="center"/>
    </xf>
    <xf numFmtId="164" fontId="9" fillId="9" borderId="18" xfId="0" applyNumberFormat="1" applyFont="1" applyFill="1" applyBorder="1" applyAlignment="1">
      <alignment horizontal="right" vertical="center"/>
    </xf>
    <xf numFmtId="164" fontId="4" fillId="9" borderId="16" xfId="0" applyNumberFormat="1" applyFont="1" applyFill="1" applyBorder="1" applyAlignment="1">
      <alignment horizontal="right" vertical="center"/>
    </xf>
    <xf numFmtId="164" fontId="9" fillId="9" borderId="16" xfId="0" applyNumberFormat="1" applyFont="1" applyFill="1" applyBorder="1" applyAlignment="1">
      <alignment horizontal="right" vertical="center"/>
    </xf>
    <xf numFmtId="0" fontId="4" fillId="5" borderId="9" xfId="0" applyFont="1" applyFill="1" applyBorder="1"/>
    <xf numFmtId="165" fontId="4" fillId="13" borderId="16" xfId="0" applyNumberFormat="1" applyFont="1" applyFill="1" applyBorder="1" applyAlignment="1">
      <alignment horizontal="right" vertical="center"/>
    </xf>
    <xf numFmtId="164" fontId="4" fillId="13" borderId="16" xfId="0" applyNumberFormat="1" applyFont="1" applyFill="1" applyBorder="1" applyAlignment="1">
      <alignment horizontal="right" vertical="center"/>
    </xf>
    <xf numFmtId="164" fontId="9" fillId="5" borderId="16" xfId="0" applyNumberFormat="1" applyFont="1" applyFill="1" applyBorder="1" applyAlignment="1">
      <alignment horizontal="right" vertical="center"/>
    </xf>
    <xf numFmtId="0" fontId="4" fillId="5" borderId="8" xfId="0" applyFont="1" applyFill="1" applyBorder="1"/>
    <xf numFmtId="0" fontId="1" fillId="4" borderId="19" xfId="0" applyFont="1" applyFill="1" applyBorder="1" applyAlignment="1">
      <alignment horizontal="left"/>
    </xf>
    <xf numFmtId="0" fontId="1" fillId="4" borderId="0" xfId="0" applyFont="1" applyFill="1" applyAlignment="1">
      <alignment horizontal="left" indent="1"/>
    </xf>
    <xf numFmtId="1" fontId="1" fillId="4" borderId="0" xfId="0" applyNumberFormat="1" applyFont="1" applyFill="1" applyAlignment="1">
      <alignment horizontal="right" vertical="center"/>
    </xf>
    <xf numFmtId="165" fontId="1" fillId="4" borderId="20" xfId="0" applyNumberFormat="1" applyFont="1" applyFill="1" applyBorder="1" applyAlignment="1">
      <alignment horizontal="center" vertical="center"/>
    </xf>
    <xf numFmtId="166" fontId="4" fillId="4" borderId="20" xfId="0" applyNumberFormat="1" applyFont="1" applyFill="1" applyBorder="1" applyAlignment="1">
      <alignment horizontal="right" vertical="center"/>
    </xf>
    <xf numFmtId="168" fontId="1" fillId="12" borderId="20" xfId="0" applyNumberFormat="1" applyFont="1" applyFill="1" applyBorder="1" applyAlignment="1">
      <alignment horizontal="right" vertical="center"/>
    </xf>
    <xf numFmtId="2" fontId="1" fillId="9" borderId="20" xfId="0" applyNumberFormat="1" applyFont="1" applyFill="1" applyBorder="1" applyAlignment="1">
      <alignment horizontal="right" vertical="center"/>
    </xf>
    <xf numFmtId="167" fontId="10" fillId="14" borderId="20" xfId="0" applyNumberFormat="1" applyFont="1" applyFill="1" applyBorder="1" applyAlignment="1">
      <alignment horizontal="right" vertical="center"/>
    </xf>
    <xf numFmtId="164" fontId="1" fillId="9" borderId="20" xfId="0" applyNumberFormat="1" applyFont="1" applyFill="1" applyBorder="1" applyAlignment="1">
      <alignment horizontal="right" vertical="center"/>
    </xf>
    <xf numFmtId="164" fontId="1" fillId="9" borderId="21" xfId="0" applyNumberFormat="1" applyFont="1" applyFill="1" applyBorder="1" applyAlignment="1">
      <alignment horizontal="right" vertical="center"/>
    </xf>
    <xf numFmtId="164" fontId="1" fillId="9" borderId="22" xfId="0" applyNumberFormat="1" applyFont="1" applyFill="1" applyBorder="1" applyAlignment="1">
      <alignment horizontal="right" vertical="center"/>
    </xf>
    <xf numFmtId="164" fontId="1" fillId="9" borderId="23" xfId="0" applyNumberFormat="1" applyFont="1" applyFill="1" applyBorder="1" applyAlignment="1">
      <alignment horizontal="right" vertical="center"/>
    </xf>
    <xf numFmtId="0" fontId="1" fillId="13" borderId="9" xfId="0" applyFont="1" applyFill="1" applyBorder="1"/>
    <xf numFmtId="9" fontId="3" fillId="13" borderId="0" xfId="0" applyNumberFormat="1" applyFont="1" applyFill="1"/>
    <xf numFmtId="0" fontId="1" fillId="13" borderId="0" xfId="0" applyFont="1" applyFill="1"/>
    <xf numFmtId="0" fontId="1" fillId="13" borderId="8" xfId="0" applyFont="1" applyFill="1" applyBorder="1"/>
    <xf numFmtId="0" fontId="1" fillId="15" borderId="9" xfId="0" applyFont="1" applyFill="1" applyBorder="1"/>
    <xf numFmtId="9" fontId="8" fillId="15" borderId="24" xfId="0" applyNumberFormat="1" applyFont="1" applyFill="1" applyBorder="1"/>
    <xf numFmtId="9" fontId="8" fillId="15" borderId="25" xfId="0" applyNumberFormat="1" applyFont="1" applyFill="1" applyBorder="1" applyAlignment="1">
      <alignment horizontal="right" indent="1"/>
    </xf>
    <xf numFmtId="166" fontId="4" fillId="15" borderId="26" xfId="0" applyNumberFormat="1" applyFont="1" applyFill="1" applyBorder="1" applyAlignment="1">
      <alignment horizontal="center" vertical="center"/>
    </xf>
    <xf numFmtId="167" fontId="9" fillId="15" borderId="26" xfId="0" applyNumberFormat="1" applyFont="1" applyFill="1" applyBorder="1" applyAlignment="1">
      <alignment horizontal="center" vertical="center"/>
    </xf>
    <xf numFmtId="165" fontId="1" fillId="16" borderId="20" xfId="0" applyNumberFormat="1" applyFont="1" applyFill="1" applyBorder="1" applyAlignment="1">
      <alignment horizontal="center" vertical="center"/>
    </xf>
    <xf numFmtId="169" fontId="10" fillId="13" borderId="0" xfId="0" applyNumberFormat="1" applyFont="1" applyFill="1"/>
    <xf numFmtId="0" fontId="4" fillId="13" borderId="0" xfId="0" applyFont="1" applyFill="1"/>
    <xf numFmtId="0" fontId="10" fillId="4" borderId="19" xfId="0" applyFont="1" applyFill="1" applyBorder="1" applyAlignment="1">
      <alignment horizontal="left"/>
    </xf>
    <xf numFmtId="0" fontId="10" fillId="4" borderId="0" xfId="0" applyFont="1" applyFill="1" applyAlignment="1">
      <alignment horizontal="left" indent="1"/>
    </xf>
    <xf numFmtId="1" fontId="10" fillId="4" borderId="0" xfId="0" applyNumberFormat="1" applyFont="1" applyFill="1" applyAlignment="1">
      <alignment horizontal="right" vertical="center"/>
    </xf>
    <xf numFmtId="165" fontId="10" fillId="4" borderId="20" xfId="0" applyNumberFormat="1" applyFont="1" applyFill="1" applyBorder="1" applyAlignment="1">
      <alignment horizontal="center" vertical="center"/>
    </xf>
    <xf numFmtId="166" fontId="10" fillId="4" borderId="20" xfId="0" applyNumberFormat="1" applyFont="1" applyFill="1" applyBorder="1" applyAlignment="1">
      <alignment horizontal="right" vertical="center"/>
    </xf>
    <xf numFmtId="166" fontId="1" fillId="12" borderId="20" xfId="0" applyNumberFormat="1" applyFont="1" applyFill="1" applyBorder="1" applyAlignment="1">
      <alignment horizontal="right" vertical="center"/>
    </xf>
    <xf numFmtId="165" fontId="1" fillId="13" borderId="0" xfId="0" applyNumberFormat="1" applyFont="1" applyFill="1"/>
    <xf numFmtId="165" fontId="1" fillId="13" borderId="0" xfId="0" applyNumberFormat="1" applyFont="1" applyFill="1" applyAlignment="1">
      <alignment horizontal="right" vertical="center"/>
    </xf>
    <xf numFmtId="169" fontId="1" fillId="13" borderId="0" xfId="0" applyNumberFormat="1" applyFont="1" applyFill="1"/>
    <xf numFmtId="168" fontId="1" fillId="9" borderId="27" xfId="0" applyNumberFormat="1" applyFont="1" applyFill="1" applyBorder="1" applyAlignment="1">
      <alignment horizontal="right" vertical="center"/>
    </xf>
    <xf numFmtId="0" fontId="1" fillId="2" borderId="15" xfId="0" applyFont="1" applyFill="1" applyBorder="1"/>
    <xf numFmtId="168" fontId="1" fillId="9" borderId="28" xfId="0" applyNumberFormat="1" applyFont="1" applyFill="1" applyBorder="1" applyAlignment="1">
      <alignment horizontal="right" vertical="center"/>
    </xf>
    <xf numFmtId="168" fontId="1" fillId="9" borderId="29" xfId="0" applyNumberFormat="1" applyFont="1" applyFill="1" applyBorder="1" applyAlignment="1">
      <alignment horizontal="right" vertical="center"/>
    </xf>
    <xf numFmtId="168" fontId="1" fillId="9" borderId="30" xfId="0" applyNumberFormat="1" applyFont="1" applyFill="1" applyBorder="1" applyAlignment="1">
      <alignment horizontal="right" vertical="center"/>
    </xf>
    <xf numFmtId="0" fontId="1" fillId="2" borderId="31" xfId="0" applyFont="1" applyFill="1" applyBorder="1"/>
    <xf numFmtId="0" fontId="1" fillId="13" borderId="14" xfId="0" applyFont="1" applyFill="1" applyBorder="1"/>
    <xf numFmtId="9" fontId="3" fillId="13" borderId="31" xfId="0" applyNumberFormat="1" applyFont="1" applyFill="1" applyBorder="1"/>
    <xf numFmtId="0" fontId="1" fillId="13" borderId="31" xfId="0" applyFont="1" applyFill="1" applyBorder="1"/>
    <xf numFmtId="165" fontId="1" fillId="13" borderId="31" xfId="0" applyNumberFormat="1" applyFont="1" applyFill="1" applyBorder="1"/>
    <xf numFmtId="0" fontId="1" fillId="13" borderId="15" xfId="0" applyFont="1" applyFill="1" applyBorder="1"/>
    <xf numFmtId="0" fontId="1" fillId="3" borderId="9" xfId="0" applyFont="1" applyFill="1" applyBorder="1"/>
    <xf numFmtId="0" fontId="1" fillId="3" borderId="8" xfId="0" applyFont="1" applyFill="1" applyBorder="1"/>
    <xf numFmtId="165" fontId="1" fillId="2" borderId="0" xfId="0" applyNumberFormat="1" applyFont="1" applyFill="1" applyAlignment="1">
      <alignment horizontal="right" vertical="center"/>
    </xf>
    <xf numFmtId="0" fontId="2" fillId="17" borderId="0" xfId="0" applyFont="1" applyFill="1" applyAlignment="1">
      <alignment horizontal="left" vertical="center"/>
    </xf>
    <xf numFmtId="0" fontId="2" fillId="17" borderId="0" xfId="0" applyFont="1" applyFill="1" applyAlignment="1">
      <alignment horizontal="centerContinuous" vertical="center"/>
    </xf>
    <xf numFmtId="0" fontId="2" fillId="18" borderId="0" xfId="0" applyFont="1" applyFill="1" applyAlignment="1">
      <alignment horizontal="left" vertical="center"/>
    </xf>
    <xf numFmtId="0" fontId="2" fillId="18" borderId="0" xfId="0" applyFont="1" applyFill="1" applyAlignment="1">
      <alignment horizontal="centerContinuous" vertical="center"/>
    </xf>
    <xf numFmtId="0" fontId="6" fillId="21" borderId="0" xfId="0" applyFont="1" applyFill="1" applyAlignment="1">
      <alignment vertical="center"/>
    </xf>
    <xf numFmtId="0" fontId="6" fillId="21" borderId="0" xfId="0" applyFont="1" applyFill="1" applyAlignment="1">
      <alignment horizontal="centerContinuous" vertical="center"/>
    </xf>
    <xf numFmtId="0" fontId="6" fillId="21" borderId="8" xfId="0" applyFont="1" applyFill="1" applyBorder="1" applyAlignment="1">
      <alignment horizontal="centerContinuous" vertical="center"/>
    </xf>
    <xf numFmtId="0" fontId="11" fillId="18" borderId="0" xfId="0" applyFont="1" applyFill="1" applyAlignment="1">
      <alignment vertical="center"/>
    </xf>
    <xf numFmtId="0" fontId="11" fillId="18" borderId="0" xfId="0" applyFont="1" applyFill="1" applyAlignment="1">
      <alignment horizontal="centerContinuous" vertical="center"/>
    </xf>
    <xf numFmtId="0" fontId="11" fillId="18" borderId="8" xfId="0" applyFont="1" applyFill="1" applyBorder="1" applyAlignment="1">
      <alignment horizontal="centerContinuous" vertical="center"/>
    </xf>
    <xf numFmtId="0" fontId="6" fillId="22" borderId="0" xfId="0" applyFont="1" applyFill="1" applyAlignment="1">
      <alignment vertical="center"/>
    </xf>
    <xf numFmtId="0" fontId="6" fillId="22" borderId="0" xfId="0" applyFont="1" applyFill="1" applyAlignment="1">
      <alignment horizontal="centerContinuous" vertical="center"/>
    </xf>
    <xf numFmtId="0" fontId="6" fillId="22" borderId="8" xfId="0" applyFont="1" applyFill="1" applyBorder="1" applyAlignment="1">
      <alignment horizontal="centerContinuous" vertical="center"/>
    </xf>
    <xf numFmtId="0" fontId="6" fillId="22" borderId="0" xfId="0" applyFont="1" applyFill="1" applyAlignment="1">
      <alignment horizontal="center" vertical="center"/>
    </xf>
    <xf numFmtId="0" fontId="6" fillId="22" borderId="8" xfId="0" applyFont="1" applyFill="1" applyBorder="1" applyAlignment="1">
      <alignment horizontal="center" vertical="center"/>
    </xf>
    <xf numFmtId="0" fontId="6" fillId="21" borderId="0" xfId="0" applyFont="1" applyFill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9" fontId="4" fillId="12" borderId="8" xfId="0" applyNumberFormat="1" applyFont="1" applyFill="1" applyBorder="1"/>
    <xf numFmtId="10" fontId="4" fillId="12" borderId="8" xfId="0" applyNumberFormat="1" applyFont="1" applyFill="1" applyBorder="1"/>
    <xf numFmtId="165" fontId="4" fillId="9" borderId="16" xfId="0" applyNumberFormat="1" applyFont="1" applyFill="1" applyBorder="1" applyAlignment="1">
      <alignment horizontal="right" vertical="center"/>
    </xf>
    <xf numFmtId="166" fontId="4" fillId="9" borderId="20" xfId="0" applyNumberFormat="1" applyFont="1" applyFill="1" applyBorder="1" applyAlignment="1">
      <alignment horizontal="right" vertical="center"/>
    </xf>
    <xf numFmtId="9" fontId="3" fillId="7" borderId="0" xfId="0" applyNumberFormat="1" applyFont="1" applyFill="1"/>
    <xf numFmtId="0" fontId="1" fillId="9" borderId="8" xfId="0" applyFont="1" applyFill="1" applyBorder="1"/>
    <xf numFmtId="9" fontId="3" fillId="7" borderId="31" xfId="0" applyNumberFormat="1" applyFont="1" applyFill="1" applyBorder="1"/>
    <xf numFmtId="0" fontId="1" fillId="9" borderId="15" xfId="0" applyFont="1" applyFill="1" applyBorder="1"/>
    <xf numFmtId="0" fontId="10" fillId="23" borderId="19" xfId="0" applyFont="1" applyFill="1" applyBorder="1" applyAlignment="1">
      <alignment horizontal="left"/>
    </xf>
    <xf numFmtId="0" fontId="10" fillId="23" borderId="0" xfId="0" applyFont="1" applyFill="1" applyAlignment="1">
      <alignment horizontal="left" indent="1"/>
    </xf>
    <xf numFmtId="1" fontId="10" fillId="23" borderId="0" xfId="0" applyNumberFormat="1" applyFont="1" applyFill="1" applyAlignment="1">
      <alignment horizontal="right" vertical="center"/>
    </xf>
    <xf numFmtId="165" fontId="10" fillId="23" borderId="20" xfId="0" applyNumberFormat="1" applyFont="1" applyFill="1" applyBorder="1" applyAlignment="1">
      <alignment horizontal="center" vertical="center"/>
    </xf>
    <xf numFmtId="166" fontId="10" fillId="23" borderId="20" xfId="0" applyNumberFormat="1" applyFont="1" applyFill="1" applyBorder="1" applyAlignment="1">
      <alignment horizontal="right" vertical="center"/>
    </xf>
    <xf numFmtId="168" fontId="1" fillId="23" borderId="20" xfId="0" applyNumberFormat="1" applyFont="1" applyFill="1" applyBorder="1" applyAlignment="1">
      <alignment horizontal="right" vertical="center"/>
    </xf>
    <xf numFmtId="0" fontId="1" fillId="23" borderId="0" xfId="0" applyFont="1" applyFill="1"/>
    <xf numFmtId="165" fontId="4" fillId="23" borderId="16" xfId="0" applyNumberFormat="1" applyFont="1" applyFill="1" applyBorder="1" applyAlignment="1">
      <alignment horizontal="right" vertical="center"/>
    </xf>
    <xf numFmtId="9" fontId="8" fillId="23" borderId="8" xfId="0" applyNumberFormat="1" applyFont="1" applyFill="1" applyBorder="1" applyAlignment="1">
      <alignment horizontal="left" vertical="center"/>
    </xf>
    <xf numFmtId="9" fontId="8" fillId="23" borderId="0" xfId="0" applyNumberFormat="1" applyFont="1" applyFill="1" applyAlignment="1">
      <alignment horizontal="left" vertical="center"/>
    </xf>
    <xf numFmtId="0" fontId="0" fillId="13" borderId="0" xfId="0" applyFill="1"/>
    <xf numFmtId="0" fontId="10" fillId="13" borderId="0" xfId="0" applyFont="1" applyFill="1"/>
    <xf numFmtId="164" fontId="1" fillId="2" borderId="32" xfId="0" applyNumberFormat="1" applyFont="1" applyFill="1" applyBorder="1"/>
    <xf numFmtId="0" fontId="1" fillId="2" borderId="32" xfId="0" applyFont="1" applyFill="1" applyBorder="1" applyAlignment="1">
      <alignment horizontal="right"/>
    </xf>
    <xf numFmtId="164" fontId="4" fillId="2" borderId="32" xfId="0" applyNumberFormat="1" applyFont="1" applyFill="1" applyBorder="1"/>
    <xf numFmtId="0" fontId="4" fillId="2" borderId="32" xfId="0" applyFont="1" applyFill="1" applyBorder="1" applyAlignment="1">
      <alignment horizontal="right"/>
    </xf>
    <xf numFmtId="0" fontId="12" fillId="2" borderId="32" xfId="0" applyFont="1" applyFill="1" applyBorder="1"/>
    <xf numFmtId="0" fontId="2" fillId="6" borderId="4" xfId="0" applyFont="1" applyFill="1" applyBorder="1" applyAlignment="1">
      <alignment horizontal="center" vertical="center"/>
    </xf>
    <xf numFmtId="0" fontId="0" fillId="2" borderId="5" xfId="0" applyFill="1" applyBorder="1"/>
    <xf numFmtId="0" fontId="0" fillId="2" borderId="6" xfId="0" applyFill="1" applyBorder="1"/>
    <xf numFmtId="0" fontId="5" fillId="9" borderId="10" xfId="0" applyFont="1" applyFill="1" applyBorder="1" applyAlignment="1">
      <alignment horizontal="center" vertical="center"/>
    </xf>
    <xf numFmtId="0" fontId="0" fillId="2" borderId="8" xfId="0" applyFill="1" applyBorder="1"/>
    <xf numFmtId="0" fontId="6" fillId="10" borderId="10" xfId="0" applyFont="1" applyFill="1" applyBorder="1" applyAlignment="1">
      <alignment horizontal="center" vertical="center"/>
    </xf>
    <xf numFmtId="0" fontId="2" fillId="19" borderId="31" xfId="0" applyFont="1" applyFill="1" applyBorder="1" applyAlignment="1">
      <alignment horizontal="center" vertical="center"/>
    </xf>
    <xf numFmtId="0" fontId="0" fillId="2" borderId="31" xfId="0" applyFill="1" applyBorder="1"/>
    <xf numFmtId="0" fontId="2" fillId="20" borderId="31" xfId="0" applyFont="1" applyFill="1" applyBorder="1" applyAlignment="1">
      <alignment horizontal="center" vertical="center"/>
    </xf>
    <xf numFmtId="2" fontId="3" fillId="7" borderId="0" xfId="0" applyNumberFormat="1" applyFont="1" applyFill="1"/>
    <xf numFmtId="164" fontId="4" fillId="2" borderId="0" xfId="0" applyNumberFormat="1" applyFont="1" applyFill="1" applyBorder="1"/>
    <xf numFmtId="0" fontId="0" fillId="0" borderId="33" xfId="0" applyBorder="1"/>
    <xf numFmtId="0" fontId="10" fillId="23" borderId="34" xfId="0" applyFont="1" applyFill="1" applyBorder="1" applyAlignment="1">
      <alignment horizontal="left"/>
    </xf>
    <xf numFmtId="165" fontId="10" fillId="23" borderId="35" xfId="0" applyNumberFormat="1" applyFont="1" applyFill="1" applyBorder="1" applyAlignment="1">
      <alignment horizontal="center" vertical="center"/>
    </xf>
    <xf numFmtId="0" fontId="1" fillId="4" borderId="36" xfId="0" applyFont="1" applyFill="1" applyBorder="1" applyAlignment="1">
      <alignment horizontal="left"/>
    </xf>
    <xf numFmtId="0" fontId="1" fillId="4" borderId="33" xfId="0" applyFont="1" applyFill="1" applyBorder="1" applyAlignment="1">
      <alignment horizontal="left" indent="1"/>
    </xf>
    <xf numFmtId="1" fontId="1" fillId="4" borderId="33" xfId="0" applyNumberFormat="1" applyFont="1" applyFill="1" applyBorder="1" applyAlignment="1">
      <alignment horizontal="right" vertical="center"/>
    </xf>
    <xf numFmtId="165" fontId="1" fillId="4" borderId="37" xfId="0" applyNumberFormat="1" applyFont="1" applyFill="1" applyBorder="1" applyAlignment="1">
      <alignment horizontal="center" vertical="center"/>
    </xf>
    <xf numFmtId="0" fontId="1" fillId="4" borderId="34" xfId="0" applyFont="1" applyFill="1" applyBorder="1" applyAlignment="1">
      <alignment horizontal="left"/>
    </xf>
    <xf numFmtId="165" fontId="1" fillId="4" borderId="35" xfId="0" applyNumberFormat="1" applyFont="1" applyFill="1" applyBorder="1" applyAlignment="1">
      <alignment horizontal="center" vertical="center"/>
    </xf>
    <xf numFmtId="164" fontId="4" fillId="2" borderId="33" xfId="0" applyNumberFormat="1" applyFont="1" applyFill="1" applyBorder="1"/>
  </cellXfs>
  <cellStyles count="1">
    <cellStyle name="Normal" xfId="0" builtinId="0"/>
  </cellStyles>
  <dxfs count="36"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9DAD2-D48B-4A18-BFD7-D932941D6DF6}">
  <dimension ref="A1:K43"/>
  <sheetViews>
    <sheetView showGridLines="0" topLeftCell="A10" workbookViewId="0">
      <selection activeCell="H16" sqref="H16"/>
    </sheetView>
  </sheetViews>
  <sheetFormatPr defaultRowHeight="14.5"/>
  <cols>
    <col min="1" max="1" width="13.54296875" bestFit="1" customWidth="1"/>
    <col min="2" max="2" width="14.90625" bestFit="1" customWidth="1"/>
    <col min="3" max="3" width="3.26953125" bestFit="1" customWidth="1"/>
    <col min="4" max="4" width="9.54296875" bestFit="1" customWidth="1"/>
    <col min="5" max="5" width="8.26953125" bestFit="1" customWidth="1"/>
  </cols>
  <sheetData>
    <row r="1" spans="1:11">
      <c r="A1" s="154" t="s">
        <v>103</v>
      </c>
      <c r="B1" s="154" t="s">
        <v>109</v>
      </c>
      <c r="C1" s="155" t="s">
        <v>26</v>
      </c>
      <c r="D1" s="154" t="s">
        <v>110</v>
      </c>
      <c r="E1" s="154" t="s">
        <v>111</v>
      </c>
    </row>
    <row r="2" spans="1:11">
      <c r="A2" s="156" t="s">
        <v>107</v>
      </c>
      <c r="B2" s="152"/>
      <c r="C2" s="153"/>
      <c r="D2" s="152"/>
      <c r="E2" s="152"/>
    </row>
    <row r="3" spans="1:11">
      <c r="A3" s="154" t="s">
        <v>104</v>
      </c>
      <c r="B3" s="152"/>
      <c r="C3" s="153"/>
      <c r="D3" s="152"/>
      <c r="E3" s="152"/>
    </row>
    <row r="4" spans="1:11">
      <c r="A4" s="154" t="s">
        <v>105</v>
      </c>
      <c r="B4" s="152"/>
      <c r="C4" s="153"/>
      <c r="D4" s="152"/>
      <c r="E4" s="152"/>
    </row>
    <row r="5" spans="1:11">
      <c r="A5" s="154" t="s">
        <v>106</v>
      </c>
      <c r="B5" s="152"/>
      <c r="C5" s="153"/>
      <c r="D5" s="152"/>
      <c r="E5" s="152"/>
    </row>
    <row r="6" spans="1:11">
      <c r="A6" s="154" t="s">
        <v>108</v>
      </c>
      <c r="B6" s="152"/>
      <c r="C6" s="153"/>
      <c r="D6" s="152"/>
      <c r="E6" s="152"/>
    </row>
    <row r="9" spans="1:11">
      <c r="A9" s="167" t="s">
        <v>112</v>
      </c>
    </row>
    <row r="10" spans="1:11" ht="15" thickBot="1">
      <c r="A10" s="177" t="s">
        <v>113</v>
      </c>
      <c r="B10" s="168"/>
      <c r="C10" s="168"/>
      <c r="D10" s="168"/>
      <c r="E10" s="168" t="s">
        <v>116</v>
      </c>
      <c r="F10" s="168" t="s">
        <v>117</v>
      </c>
      <c r="G10" s="168" t="s">
        <v>118</v>
      </c>
      <c r="H10" s="168" t="s">
        <v>119</v>
      </c>
      <c r="I10" s="168" t="s">
        <v>120</v>
      </c>
      <c r="J10" s="168" t="s">
        <v>121</v>
      </c>
      <c r="K10" s="168" t="s">
        <v>122</v>
      </c>
    </row>
    <row r="11" spans="1:11" ht="15" thickTop="1">
      <c r="A11" s="175" t="s">
        <v>36</v>
      </c>
      <c r="B11" s="69" t="s">
        <v>37</v>
      </c>
      <c r="C11" s="70" t="s">
        <v>38</v>
      </c>
      <c r="D11" s="176" t="s">
        <v>39</v>
      </c>
    </row>
    <row r="12" spans="1:11">
      <c r="A12" s="68" t="s">
        <v>40</v>
      </c>
      <c r="B12" s="69" t="s">
        <v>41</v>
      </c>
      <c r="C12" s="70" t="s">
        <v>42</v>
      </c>
      <c r="D12" s="71" t="s">
        <v>39</v>
      </c>
    </row>
    <row r="13" spans="1:11">
      <c r="A13" s="68" t="s">
        <v>44</v>
      </c>
      <c r="B13" s="69" t="s">
        <v>45</v>
      </c>
      <c r="C13" s="70" t="s">
        <v>46</v>
      </c>
      <c r="D13" s="71" t="s">
        <v>39</v>
      </c>
    </row>
    <row r="14" spans="1:11">
      <c r="A14" s="68" t="s">
        <v>48</v>
      </c>
      <c r="B14" s="69" t="s">
        <v>49</v>
      </c>
      <c r="C14" s="70" t="s">
        <v>50</v>
      </c>
      <c r="D14" s="71" t="s">
        <v>39</v>
      </c>
    </row>
    <row r="15" spans="1:11">
      <c r="A15" s="68" t="s">
        <v>51</v>
      </c>
      <c r="B15" s="69" t="s">
        <v>52</v>
      </c>
      <c r="C15" s="70" t="s">
        <v>53</v>
      </c>
      <c r="D15" s="71" t="s">
        <v>39</v>
      </c>
    </row>
    <row r="16" spans="1:11">
      <c r="A16" s="68" t="s">
        <v>55</v>
      </c>
      <c r="B16" s="69" t="s">
        <v>56</v>
      </c>
      <c r="C16" s="70" t="s">
        <v>57</v>
      </c>
      <c r="D16" s="71" t="s">
        <v>39</v>
      </c>
    </row>
    <row r="17" spans="1:11">
      <c r="A17" s="68" t="s">
        <v>59</v>
      </c>
      <c r="B17" s="69" t="s">
        <v>60</v>
      </c>
      <c r="C17" s="70" t="s">
        <v>61</v>
      </c>
      <c r="D17" s="71" t="s">
        <v>39</v>
      </c>
    </row>
    <row r="18" spans="1:11">
      <c r="A18" s="68" t="s">
        <v>63</v>
      </c>
      <c r="B18" s="69" t="s">
        <v>64</v>
      </c>
      <c r="C18" s="70" t="s">
        <v>65</v>
      </c>
      <c r="D18" s="71" t="s">
        <v>39</v>
      </c>
    </row>
    <row r="19" spans="1:11">
      <c r="A19" s="68" t="s">
        <v>67</v>
      </c>
      <c r="B19" s="69" t="s">
        <v>68</v>
      </c>
      <c r="C19" s="70" t="s">
        <v>69</v>
      </c>
      <c r="D19" s="71" t="s">
        <v>39</v>
      </c>
    </row>
    <row r="20" spans="1:11">
      <c r="A20" s="68" t="s">
        <v>70</v>
      </c>
      <c r="B20" s="69" t="s">
        <v>71</v>
      </c>
      <c r="C20" s="70" t="s">
        <v>72</v>
      </c>
      <c r="D20" s="71" t="s">
        <v>39</v>
      </c>
    </row>
    <row r="21" spans="1:11">
      <c r="A21" s="68" t="s">
        <v>73</v>
      </c>
      <c r="B21" s="69" t="s">
        <v>74</v>
      </c>
      <c r="C21" s="70" t="s">
        <v>75</v>
      </c>
      <c r="D21" s="71" t="s">
        <v>39</v>
      </c>
    </row>
    <row r="22" spans="1:11">
      <c r="A22" s="68" t="s">
        <v>76</v>
      </c>
      <c r="B22" s="69" t="s">
        <v>77</v>
      </c>
      <c r="C22" s="70" t="s">
        <v>78</v>
      </c>
      <c r="D22" s="71" t="s">
        <v>39</v>
      </c>
    </row>
    <row r="23" spans="1:11">
      <c r="A23" s="68" t="s">
        <v>79</v>
      </c>
      <c r="B23" s="69" t="s">
        <v>80</v>
      </c>
      <c r="C23" s="70" t="s">
        <v>81</v>
      </c>
      <c r="D23" s="71" t="s">
        <v>39</v>
      </c>
    </row>
    <row r="26" spans="1:11" ht="15" thickBot="1">
      <c r="A26" s="171" t="s">
        <v>114</v>
      </c>
      <c r="B26" s="172"/>
      <c r="C26" s="173"/>
      <c r="D26" s="174"/>
      <c r="E26" s="168" t="s">
        <v>116</v>
      </c>
      <c r="F26" s="168" t="s">
        <v>117</v>
      </c>
      <c r="G26" s="168" t="s">
        <v>118</v>
      </c>
      <c r="H26" s="168" t="s">
        <v>119</v>
      </c>
      <c r="I26" s="168" t="s">
        <v>120</v>
      </c>
      <c r="J26" s="168" t="s">
        <v>121</v>
      </c>
      <c r="K26" s="168" t="s">
        <v>122</v>
      </c>
    </row>
    <row r="27" spans="1:11" ht="15" thickTop="1">
      <c r="A27" s="169">
        <v>3020202</v>
      </c>
      <c r="B27" s="141"/>
      <c r="C27" s="142"/>
      <c r="D27" s="170" t="s">
        <v>66</v>
      </c>
    </row>
    <row r="28" spans="1:11">
      <c r="A28" s="92">
        <v>3020301</v>
      </c>
      <c r="B28" s="93"/>
      <c r="C28" s="94"/>
      <c r="D28" s="95" t="s">
        <v>66</v>
      </c>
    </row>
    <row r="29" spans="1:11">
      <c r="A29" s="92">
        <v>3020720</v>
      </c>
      <c r="B29" s="93"/>
      <c r="C29" s="94"/>
      <c r="D29" s="95" t="s">
        <v>66</v>
      </c>
    </row>
    <row r="30" spans="1:11">
      <c r="A30" s="92">
        <v>3020718</v>
      </c>
      <c r="B30" s="93"/>
      <c r="C30" s="94"/>
      <c r="D30" s="95" t="s">
        <v>66</v>
      </c>
    </row>
    <row r="33" spans="1:11" ht="15" thickBot="1">
      <c r="A33" s="168" t="s">
        <v>54</v>
      </c>
      <c r="B33" s="168"/>
      <c r="C33" s="168"/>
      <c r="D33" s="168"/>
      <c r="E33" s="168" t="s">
        <v>116</v>
      </c>
      <c r="F33" s="168" t="s">
        <v>117</v>
      </c>
      <c r="G33" s="168" t="s">
        <v>118</v>
      </c>
      <c r="H33" s="168" t="s">
        <v>119</v>
      </c>
      <c r="I33" s="168" t="s">
        <v>120</v>
      </c>
      <c r="J33" s="168" t="s">
        <v>121</v>
      </c>
      <c r="K33" s="168" t="s">
        <v>122</v>
      </c>
    </row>
    <row r="34" spans="1:11" ht="15" thickTop="1"/>
    <row r="37" spans="1:11" ht="15" thickBot="1">
      <c r="A37" s="171" t="s">
        <v>58</v>
      </c>
      <c r="B37" s="172"/>
      <c r="C37" s="173"/>
      <c r="D37" s="174"/>
      <c r="E37" s="168" t="s">
        <v>116</v>
      </c>
      <c r="F37" s="168" t="s">
        <v>117</v>
      </c>
      <c r="G37" s="168" t="s">
        <v>118</v>
      </c>
      <c r="H37" s="168" t="s">
        <v>119</v>
      </c>
      <c r="I37" s="168" t="s">
        <v>120</v>
      </c>
      <c r="J37" s="168" t="s">
        <v>121</v>
      </c>
      <c r="K37" s="168" t="s">
        <v>122</v>
      </c>
    </row>
    <row r="38" spans="1:11" ht="15" thickTop="1">
      <c r="A38" s="169" t="s">
        <v>82</v>
      </c>
      <c r="B38" s="141"/>
      <c r="C38" s="142"/>
      <c r="D38" s="170" t="s">
        <v>58</v>
      </c>
    </row>
    <row r="39" spans="1:11">
      <c r="A39" s="140" t="s">
        <v>83</v>
      </c>
      <c r="B39" s="141"/>
      <c r="C39" s="142"/>
      <c r="D39" s="143" t="s">
        <v>58</v>
      </c>
    </row>
    <row r="42" spans="1:11" ht="15" thickBot="1">
      <c r="A42" s="168" t="s">
        <v>115</v>
      </c>
      <c r="B42" s="168"/>
      <c r="C42" s="168"/>
      <c r="D42" s="168"/>
      <c r="E42" s="168" t="s">
        <v>116</v>
      </c>
      <c r="F42" s="168" t="s">
        <v>117</v>
      </c>
      <c r="G42" s="168" t="s">
        <v>118</v>
      </c>
      <c r="H42" s="168" t="s">
        <v>119</v>
      </c>
      <c r="I42" s="168" t="s">
        <v>120</v>
      </c>
      <c r="J42" s="168" t="s">
        <v>121</v>
      </c>
      <c r="K42" s="168" t="s">
        <v>122</v>
      </c>
    </row>
    <row r="43" spans="1:11" ht="15" thickTop="1"/>
  </sheetData>
  <conditionalFormatting sqref="B11:C23 B37:C39 B26:C30">
    <cfRule type="cellIs" dxfId="35" priority="1" operator="equal">
      <formula>"Non trouvé"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AI171"/>
  <sheetViews>
    <sheetView showGridLines="0" tabSelected="1" zoomScale="90" zoomScaleNormal="90" workbookViewId="0">
      <selection activeCell="F12" sqref="F12"/>
    </sheetView>
  </sheetViews>
  <sheetFormatPr defaultRowHeight="14.5"/>
  <cols>
    <col min="1" max="1" width="17.1796875" style="1" customWidth="1"/>
    <col min="2" max="2" width="21.26953125" style="1" customWidth="1"/>
    <col min="3" max="3" width="15.1796875" style="1" customWidth="1"/>
    <col min="4" max="4" width="12.26953125" style="1" customWidth="1"/>
    <col min="5" max="5" width="14.1796875" style="1" customWidth="1"/>
    <col min="6" max="6" width="12.26953125" style="1" customWidth="1"/>
    <col min="7" max="7" width="0" hidden="1" customWidth="1"/>
    <col min="8" max="8" width="15.1796875" style="1" customWidth="1"/>
    <col min="12" max="12" width="12.26953125" style="1" customWidth="1"/>
    <col min="13" max="13" width="18" customWidth="1"/>
    <col min="14" max="14" width="10" bestFit="1" customWidth="1"/>
    <col min="29" max="29" width="12.6328125" customWidth="1"/>
    <col min="30" max="30" width="13.453125" customWidth="1"/>
  </cols>
  <sheetData>
    <row r="1" spans="1:32">
      <c r="A1" s="2"/>
      <c r="B1" s="2"/>
      <c r="C1" s="3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4"/>
    </row>
    <row r="2" spans="1:32">
      <c r="A2" s="2"/>
      <c r="B2" s="2"/>
      <c r="C2" s="3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5"/>
    </row>
    <row r="3" spans="1:32">
      <c r="A3" s="6" t="s">
        <v>0</v>
      </c>
      <c r="B3" s="7"/>
      <c r="C3" s="8"/>
      <c r="D3" s="9" t="s">
        <v>1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5"/>
    </row>
    <row r="4" spans="1:32" s="1" customFormat="1" ht="15.75" customHeight="1">
      <c r="A4" s="10" t="s">
        <v>2</v>
      </c>
      <c r="B4" s="11">
        <v>47</v>
      </c>
      <c r="C4" s="3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spans="1:32" s="1" customFormat="1" ht="15.75" customHeight="1">
      <c r="A5" s="10" t="s">
        <v>3</v>
      </c>
      <c r="B5" s="146">
        <v>62</v>
      </c>
      <c r="C5" s="3"/>
      <c r="D5" s="2"/>
      <c r="E5" s="2"/>
      <c r="F5" s="2"/>
      <c r="G5" s="2"/>
      <c r="H5" s="2"/>
      <c r="I5" s="2"/>
      <c r="J5" s="2"/>
      <c r="K5" s="2"/>
      <c r="L5" s="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3"/>
      <c r="AB5" s="14"/>
      <c r="AC5" s="14"/>
      <c r="AD5" s="14"/>
      <c r="AE5" s="15"/>
      <c r="AF5" s="2"/>
    </row>
    <row r="6" spans="1:32" s="1" customFormat="1" ht="15.75" customHeight="1">
      <c r="A6" s="2"/>
      <c r="B6" s="2"/>
      <c r="C6" s="3"/>
      <c r="D6" s="2"/>
      <c r="E6" s="2"/>
      <c r="F6" s="2"/>
      <c r="G6" s="2"/>
      <c r="H6" s="2"/>
      <c r="I6" s="2"/>
      <c r="J6" s="2"/>
      <c r="K6" s="2"/>
      <c r="L6" s="2"/>
      <c r="M6" s="157" t="s">
        <v>4</v>
      </c>
      <c r="N6" s="158"/>
      <c r="O6" s="158"/>
      <c r="P6" s="158"/>
      <c r="Q6" s="158"/>
      <c r="R6" s="159"/>
      <c r="S6" s="16" t="s">
        <v>5</v>
      </c>
      <c r="T6" s="17"/>
      <c r="U6" s="18"/>
      <c r="V6" s="18"/>
      <c r="W6" s="18"/>
      <c r="X6" s="18"/>
      <c r="Y6" s="16"/>
      <c r="Z6" s="17"/>
      <c r="AA6" s="19"/>
      <c r="AB6" s="20" t="s">
        <v>6</v>
      </c>
      <c r="AC6" s="20"/>
      <c r="AD6" s="20"/>
      <c r="AE6" s="21"/>
      <c r="AF6" s="2"/>
    </row>
    <row r="7" spans="1:32">
      <c r="A7" s="2"/>
      <c r="B7" s="2"/>
      <c r="C7" s="3"/>
      <c r="D7" s="2"/>
      <c r="E7" s="2"/>
      <c r="F7" s="2"/>
      <c r="G7" s="2"/>
      <c r="H7" s="2"/>
      <c r="I7" s="2"/>
      <c r="J7" s="2"/>
      <c r="K7" s="2"/>
      <c r="L7" s="2"/>
      <c r="M7" s="22"/>
      <c r="N7" s="23"/>
      <c r="O7" s="22"/>
      <c r="P7" s="23"/>
      <c r="Q7" s="24"/>
      <c r="R7" s="24"/>
      <c r="S7" s="22"/>
      <c r="T7" s="23"/>
      <c r="U7" s="24"/>
      <c r="V7" s="23"/>
      <c r="W7" s="24"/>
      <c r="X7" s="24"/>
      <c r="Y7" s="25"/>
      <c r="Z7" s="26"/>
      <c r="AA7" s="27"/>
      <c r="AB7" s="19"/>
      <c r="AC7" s="19"/>
      <c r="AD7" s="19"/>
      <c r="AE7" s="21"/>
      <c r="AF7" s="2"/>
    </row>
    <row r="8" spans="1:32">
      <c r="A8" s="2"/>
      <c r="B8" s="2"/>
      <c r="C8" s="3"/>
      <c r="D8" s="2"/>
      <c r="E8" s="2"/>
      <c r="F8" s="2"/>
      <c r="G8" s="2"/>
      <c r="H8" s="2"/>
      <c r="J8" s="2"/>
      <c r="K8" s="2"/>
      <c r="L8" s="2"/>
      <c r="M8" s="160" t="s">
        <v>7</v>
      </c>
      <c r="N8" s="161"/>
      <c r="O8" s="160" t="s">
        <v>8</v>
      </c>
      <c r="P8" s="161"/>
      <c r="Q8" s="160" t="s">
        <v>9</v>
      </c>
      <c r="R8" s="161"/>
      <c r="S8" s="162" t="s">
        <v>10</v>
      </c>
      <c r="T8" s="161"/>
      <c r="U8" s="162" t="s">
        <v>11</v>
      </c>
      <c r="V8" s="161"/>
      <c r="W8" s="162" t="s">
        <v>12</v>
      </c>
      <c r="X8" s="161"/>
      <c r="Y8" s="162" t="s">
        <v>13</v>
      </c>
      <c r="Z8" s="161"/>
      <c r="AA8" s="27"/>
      <c r="AB8" s="28" t="s">
        <v>14</v>
      </c>
      <c r="AC8" s="28"/>
      <c r="AD8" s="28"/>
      <c r="AE8" s="21"/>
      <c r="AF8" s="2"/>
    </row>
    <row r="9" spans="1:32" s="1" customFormat="1">
      <c r="A9" s="2"/>
      <c r="B9" s="2"/>
      <c r="C9" s="3"/>
      <c r="D9" s="2"/>
      <c r="E9" s="2"/>
      <c r="F9" s="2"/>
      <c r="G9" s="2"/>
      <c r="H9" s="2"/>
      <c r="J9" s="2"/>
      <c r="K9" s="2"/>
      <c r="L9" s="2"/>
      <c r="M9" s="29" t="s">
        <v>15</v>
      </c>
      <c r="N9" s="148">
        <v>0.5</v>
      </c>
      <c r="O9" s="29" t="s">
        <v>15</v>
      </c>
      <c r="P9" s="148">
        <v>0.1</v>
      </c>
      <c r="Q9" s="29" t="s">
        <v>15</v>
      </c>
      <c r="R9" s="148">
        <v>0.1</v>
      </c>
      <c r="S9" s="29" t="s">
        <v>15</v>
      </c>
      <c r="T9" s="148">
        <v>0.1</v>
      </c>
      <c r="U9" s="31" t="s">
        <v>15</v>
      </c>
      <c r="V9" s="149">
        <v>0.1</v>
      </c>
      <c r="W9" s="29" t="s">
        <v>15</v>
      </c>
      <c r="X9" s="149">
        <v>0.05</v>
      </c>
      <c r="Y9" s="33"/>
      <c r="Z9" s="148">
        <v>0.05</v>
      </c>
      <c r="AA9" s="25"/>
      <c r="AB9" s="34"/>
      <c r="AC9" s="34"/>
      <c r="AD9" s="34"/>
      <c r="AE9" s="26"/>
      <c r="AF9" s="2"/>
    </row>
    <row r="10" spans="1:32">
      <c r="A10" s="2"/>
      <c r="B10" s="2"/>
      <c r="C10" s="3"/>
      <c r="D10" s="2"/>
      <c r="E10" s="2"/>
      <c r="F10" s="2"/>
      <c r="G10" s="2"/>
      <c r="H10" s="2"/>
      <c r="I10" s="2"/>
      <c r="J10" s="2"/>
      <c r="K10" s="2"/>
      <c r="L10" s="2"/>
      <c r="M10" s="29" t="s">
        <v>16</v>
      </c>
      <c r="N10" s="35">
        <v>0.17</v>
      </c>
      <c r="O10" s="29" t="s">
        <v>16</v>
      </c>
      <c r="P10" s="35">
        <v>0.13</v>
      </c>
      <c r="Q10" s="29" t="s">
        <v>16</v>
      </c>
      <c r="R10" s="35">
        <v>0.08</v>
      </c>
      <c r="S10" s="29" t="s">
        <v>16</v>
      </c>
      <c r="T10" s="36">
        <v>0.32500000000000001</v>
      </c>
      <c r="U10" s="31" t="s">
        <v>16</v>
      </c>
      <c r="V10" s="37">
        <v>0.3</v>
      </c>
      <c r="W10" s="29" t="s">
        <v>16</v>
      </c>
      <c r="X10" s="37">
        <v>0.28000000000000003</v>
      </c>
      <c r="Y10" s="29" t="s">
        <v>16</v>
      </c>
      <c r="Z10" s="35">
        <v>0.25</v>
      </c>
      <c r="AA10" s="27"/>
      <c r="AB10" s="19"/>
      <c r="AC10" s="19"/>
      <c r="AD10" s="19"/>
      <c r="AE10" s="21"/>
      <c r="AF10" s="2"/>
    </row>
    <row r="11" spans="1:32">
      <c r="A11" s="2"/>
      <c r="B11" s="2"/>
      <c r="C11" s="3"/>
      <c r="D11" s="2"/>
      <c r="E11" s="2"/>
      <c r="F11" s="2"/>
      <c r="G11" s="2"/>
      <c r="H11" s="2"/>
      <c r="I11" s="2"/>
      <c r="J11" s="2"/>
      <c r="K11" s="2"/>
      <c r="L11" s="2"/>
      <c r="M11" s="29" t="s">
        <v>17</v>
      </c>
      <c r="N11" s="38">
        <f>N9*$B$4</f>
        <v>23.5</v>
      </c>
      <c r="O11" s="29" t="s">
        <v>17</v>
      </c>
      <c r="P11" s="38">
        <f>P9*$B$4</f>
        <v>4.7</v>
      </c>
      <c r="Q11" s="29" t="s">
        <v>17</v>
      </c>
      <c r="R11" s="38">
        <f>R9*$B$4</f>
        <v>4.7</v>
      </c>
      <c r="S11" s="29" t="s">
        <v>17</v>
      </c>
      <c r="T11" s="38">
        <f>T9*$B$4</f>
        <v>4.7</v>
      </c>
      <c r="U11" s="31" t="s">
        <v>17</v>
      </c>
      <c r="V11" s="38">
        <f>V9*$B$4</f>
        <v>4.7</v>
      </c>
      <c r="W11" s="29" t="s">
        <v>17</v>
      </c>
      <c r="X11" s="39">
        <f>X9*$B$4</f>
        <v>2.35</v>
      </c>
      <c r="Y11" s="29" t="s">
        <v>17</v>
      </c>
      <c r="Z11" s="38">
        <f>Z9*$B$4</f>
        <v>2.35</v>
      </c>
      <c r="AA11" s="27"/>
      <c r="AB11" s="19"/>
      <c r="AC11" s="19"/>
      <c r="AD11" s="19"/>
      <c r="AE11" s="21"/>
      <c r="AF11" s="2"/>
    </row>
    <row r="12" spans="1:32" s="1" customFormat="1" ht="93" customHeight="1">
      <c r="A12" s="40"/>
      <c r="B12" s="40"/>
      <c r="C12" s="41"/>
      <c r="D12" s="40"/>
      <c r="E12" s="42" t="s">
        <v>18</v>
      </c>
      <c r="F12" s="42" t="s">
        <v>19</v>
      </c>
      <c r="G12" s="42" t="s">
        <v>20</v>
      </c>
      <c r="H12" s="42" t="s">
        <v>21</v>
      </c>
      <c r="I12" s="42" t="s">
        <v>22</v>
      </c>
      <c r="J12" s="42" t="s">
        <v>23</v>
      </c>
      <c r="K12" s="42" t="s">
        <v>24</v>
      </c>
      <c r="L12" s="42" t="s">
        <v>25</v>
      </c>
      <c r="M12" s="43" t="s">
        <v>26</v>
      </c>
      <c r="N12" s="44" t="s">
        <v>27</v>
      </c>
      <c r="O12" s="43" t="s">
        <v>26</v>
      </c>
      <c r="P12" s="44" t="s">
        <v>27</v>
      </c>
      <c r="Q12" s="43" t="s">
        <v>26</v>
      </c>
      <c r="R12" s="44" t="s">
        <v>27</v>
      </c>
      <c r="S12" s="43" t="s">
        <v>26</v>
      </c>
      <c r="T12" s="44" t="s">
        <v>27</v>
      </c>
      <c r="U12" s="42" t="s">
        <v>26</v>
      </c>
      <c r="V12" s="44" t="s">
        <v>27</v>
      </c>
      <c r="W12" s="42" t="s">
        <v>26</v>
      </c>
      <c r="X12" s="42" t="s">
        <v>27</v>
      </c>
      <c r="Y12" s="43" t="s">
        <v>26</v>
      </c>
      <c r="Z12" s="44" t="s">
        <v>27</v>
      </c>
      <c r="AA12" s="45"/>
      <c r="AB12" s="46" t="s">
        <v>28</v>
      </c>
      <c r="AC12" s="46" t="s">
        <v>26</v>
      </c>
      <c r="AD12" s="46" t="s">
        <v>27</v>
      </c>
      <c r="AE12" s="47"/>
    </row>
    <row r="13" spans="1:32" s="1" customFormat="1" ht="26.25" customHeight="1">
      <c r="A13" s="48" t="s">
        <v>29</v>
      </c>
      <c r="B13" s="48" t="s">
        <v>30</v>
      </c>
      <c r="C13" s="48" t="s">
        <v>31</v>
      </c>
      <c r="D13" s="48" t="s">
        <v>32</v>
      </c>
      <c r="E13" s="48" t="s">
        <v>33</v>
      </c>
      <c r="F13" s="48" t="s">
        <v>34</v>
      </c>
      <c r="G13" s="48" t="s">
        <v>34</v>
      </c>
      <c r="H13" s="48" t="s">
        <v>34</v>
      </c>
      <c r="I13" s="48" t="s">
        <v>34</v>
      </c>
      <c r="J13" s="48" t="s">
        <v>34</v>
      </c>
      <c r="K13" s="48" t="s">
        <v>34</v>
      </c>
      <c r="L13" s="48" t="s">
        <v>34</v>
      </c>
      <c r="M13" s="49" t="s">
        <v>34</v>
      </c>
      <c r="N13" s="50" t="s">
        <v>34</v>
      </c>
      <c r="O13" s="49" t="s">
        <v>34</v>
      </c>
      <c r="P13" s="50" t="s">
        <v>34</v>
      </c>
      <c r="Q13" s="49" t="s">
        <v>34</v>
      </c>
      <c r="R13" s="50" t="s">
        <v>34</v>
      </c>
      <c r="S13" s="49" t="s">
        <v>34</v>
      </c>
      <c r="T13" s="50" t="s">
        <v>34</v>
      </c>
      <c r="U13" s="48" t="s">
        <v>34</v>
      </c>
      <c r="V13" s="50" t="s">
        <v>34</v>
      </c>
      <c r="W13" s="48" t="s">
        <v>34</v>
      </c>
      <c r="X13" s="48" t="s">
        <v>34</v>
      </c>
      <c r="Y13" s="51" t="s">
        <v>34</v>
      </c>
      <c r="Z13" s="52" t="s">
        <v>34</v>
      </c>
      <c r="AA13" s="27"/>
      <c r="AB13" s="53" t="s">
        <v>33</v>
      </c>
      <c r="AC13" s="53" t="s">
        <v>34</v>
      </c>
      <c r="AD13" s="53" t="s">
        <v>34</v>
      </c>
      <c r="AE13" s="21"/>
    </row>
    <row r="14" spans="1:32">
      <c r="A14" s="2"/>
      <c r="B14" s="2"/>
      <c r="C14" s="3"/>
      <c r="D14" s="2"/>
      <c r="E14" s="2"/>
      <c r="F14" s="2"/>
      <c r="G14" s="2"/>
      <c r="H14" s="2"/>
      <c r="I14" s="2"/>
      <c r="J14" s="2"/>
      <c r="M14" s="25"/>
      <c r="N14" s="26"/>
      <c r="O14" s="25"/>
      <c r="P14" s="26"/>
      <c r="Q14" s="25"/>
      <c r="R14" s="26"/>
      <c r="S14" s="25"/>
      <c r="T14" s="26"/>
      <c r="U14" s="2"/>
      <c r="V14" s="26"/>
      <c r="W14" s="2"/>
      <c r="X14" s="26"/>
      <c r="Y14" s="2"/>
      <c r="Z14" s="2"/>
      <c r="AA14" s="27"/>
      <c r="AB14" s="19"/>
      <c r="AC14" s="19"/>
      <c r="AD14" s="19"/>
      <c r="AE14" s="21"/>
    </row>
    <row r="15" spans="1:32" s="1" customFormat="1" ht="23.15" customHeight="1">
      <c r="A15" s="54" t="s">
        <v>35</v>
      </c>
      <c r="B15" s="54"/>
      <c r="C15" s="55"/>
      <c r="D15" s="54"/>
      <c r="E15" s="147">
        <f>IFERROR(SUMIFS(E17:E36,D17:D36,"Produit Vente"),"Non trouvé")</f>
        <v>59</v>
      </c>
      <c r="F15" s="57"/>
      <c r="G15" s="57">
        <f>IFERROR(SUM(G17:G36),"Non Trouvé")</f>
        <v>935.0200000000001</v>
      </c>
      <c r="H15" s="57"/>
      <c r="I15" s="58"/>
      <c r="J15" s="57"/>
      <c r="K15" s="57"/>
      <c r="L15" s="57"/>
      <c r="M15" s="59">
        <f t="shared" ref="M15:Z15" si="0">SUM(M17:M36)</f>
        <v>39992.13526499999</v>
      </c>
      <c r="N15" s="60">
        <f t="shared" si="0"/>
        <v>18019.165264999996</v>
      </c>
      <c r="O15" s="59">
        <f t="shared" si="0"/>
        <v>8383.8934169999993</v>
      </c>
      <c r="P15" s="60">
        <f t="shared" si="0"/>
        <v>3989.2994169999993</v>
      </c>
      <c r="Q15" s="59">
        <f t="shared" si="0"/>
        <v>8865.7263719999974</v>
      </c>
      <c r="R15" s="60">
        <f t="shared" si="0"/>
        <v>4471.132372</v>
      </c>
      <c r="S15" s="59">
        <f t="shared" si="0"/>
        <v>6504.7448925000008</v>
      </c>
      <c r="T15" s="60">
        <f t="shared" si="0"/>
        <v>2110.1508925000003</v>
      </c>
      <c r="U15" s="61">
        <f t="shared" si="0"/>
        <v>6745.6613699999998</v>
      </c>
      <c r="V15" s="60">
        <f t="shared" si="0"/>
        <v>2351.0673699999993</v>
      </c>
      <c r="W15" s="61">
        <f t="shared" si="0"/>
        <v>3469.1972759999994</v>
      </c>
      <c r="X15" s="60">
        <f t="shared" si="0"/>
        <v>1271.9002759999994</v>
      </c>
      <c r="Y15" s="61">
        <f t="shared" si="0"/>
        <v>3613.7471624999994</v>
      </c>
      <c r="Z15" s="62">
        <f t="shared" si="0"/>
        <v>1416.4501624999996</v>
      </c>
      <c r="AA15" s="63"/>
      <c r="AB15" s="64">
        <f>B4</f>
        <v>47</v>
      </c>
      <c r="AC15" s="65">
        <f>Y15+W15+U15+S15+O15+M15+Q15</f>
        <v>77575.105754999997</v>
      </c>
      <c r="AD15" s="66">
        <f>Z15+X15+V15+T15+P15+N15+R15</f>
        <v>33629.165754999995</v>
      </c>
      <c r="AE15" s="67"/>
    </row>
    <row r="16" spans="1:32">
      <c r="A16" s="2"/>
      <c r="B16" s="2"/>
      <c r="C16" s="3"/>
      <c r="D16" s="2"/>
      <c r="E16" s="2"/>
      <c r="F16" s="2"/>
      <c r="G16" s="2"/>
      <c r="H16" s="2"/>
      <c r="I16" s="2"/>
      <c r="J16" s="2"/>
      <c r="M16" s="25"/>
      <c r="N16" s="26"/>
      <c r="O16" s="25"/>
      <c r="P16" s="26"/>
      <c r="Q16" s="25"/>
      <c r="R16" s="26"/>
      <c r="S16" s="25"/>
      <c r="T16" s="26"/>
      <c r="U16" s="2"/>
      <c r="V16" s="26"/>
      <c r="W16" s="2"/>
      <c r="X16" s="26"/>
      <c r="Y16" s="2"/>
      <c r="Z16" s="2"/>
      <c r="AA16" s="27"/>
      <c r="AB16" s="19"/>
      <c r="AC16" s="19"/>
      <c r="AD16" s="19"/>
      <c r="AE16" s="21"/>
    </row>
    <row r="17" spans="1:31" s="1" customFormat="1" ht="15.75" customHeight="1">
      <c r="A17" s="68" t="s">
        <v>36</v>
      </c>
      <c r="B17" s="69" t="s">
        <v>37</v>
      </c>
      <c r="C17" s="70" t="s">
        <v>38</v>
      </c>
      <c r="D17" s="71" t="s">
        <v>39</v>
      </c>
      <c r="E17" s="72">
        <v>12</v>
      </c>
      <c r="F17" s="73">
        <v>17.190000000000001</v>
      </c>
      <c r="G17" s="74">
        <f t="shared" ref="G17:G36" si="1">E17*F17</f>
        <v>206.28000000000003</v>
      </c>
      <c r="H17" s="73">
        <v>44.65</v>
      </c>
      <c r="I17" s="75">
        <v>0.15</v>
      </c>
      <c r="J17" s="73">
        <v>75.900000000000006</v>
      </c>
      <c r="K17" s="76">
        <f t="shared" ref="K17:K29" si="2">J17*(1-I17)</f>
        <v>64.515000000000001</v>
      </c>
      <c r="L17" s="77">
        <f t="shared" ref="L17:L36" si="3">IFERROR(J17-K17,"")</f>
        <v>11.385000000000005</v>
      </c>
      <c r="M17" s="78">
        <f t="shared" ref="M17:M29" si="4">E17*H17*(1-I17)*$N$11*(1-$N$10)</f>
        <v>8883.1621500000001</v>
      </c>
      <c r="N17" s="26">
        <f t="shared" ref="N17:N29" si="5">M17-E17*F17*$N$11</f>
        <v>4035.5821499999993</v>
      </c>
      <c r="O17" s="78">
        <f t="shared" ref="O17:O29" si="6">E17*H17*(1-I17)*$P$11*(1-$P$10)</f>
        <v>1862.2532699999997</v>
      </c>
      <c r="P17" s="26">
        <f t="shared" ref="P17:P29" si="7">O17-E17*F17*$P$11</f>
        <v>892.73726999999951</v>
      </c>
      <c r="Q17" s="78">
        <f t="shared" ref="Q17:Q29" si="8">E17*H17*(1-I17)*$R$11*(1-$R$10)</f>
        <v>1969.2793199999999</v>
      </c>
      <c r="R17" s="26">
        <f t="shared" ref="R17:R29" si="9">Q17-E17*F17*$R$11</f>
        <v>999.76331999999968</v>
      </c>
      <c r="S17" s="78">
        <f t="shared" ref="S17:S29" si="10">E17*H17*(1-I17)*$T$11*(1-$T$10)</f>
        <v>1444.8516749999999</v>
      </c>
      <c r="T17" s="26">
        <f t="shared" ref="T17:T29" si="11">S17-E17*F17*$T$11</f>
        <v>475.3356749999997</v>
      </c>
      <c r="U17" s="79">
        <f t="shared" ref="U17:U29" si="12">E17*H17*(1-I17)*$V$11*(1-$V$10)</f>
        <v>1498.3646999999996</v>
      </c>
      <c r="V17" s="26">
        <f t="shared" ref="V17:V29" si="13">U17-E17*F17*$V$11</f>
        <v>528.84869999999944</v>
      </c>
      <c r="W17" s="76">
        <f t="shared" ref="W17:W29" si="14">E17*H17*(1-I17)*$X$11*(1-$X$10)</f>
        <v>770.58755999999983</v>
      </c>
      <c r="X17" s="26">
        <f t="shared" ref="X17:X29" si="15">W17-E17*F17*$X$11</f>
        <v>285.82955999999973</v>
      </c>
      <c r="Y17" s="77">
        <f t="shared" ref="Y17:Y29" si="16">E17*H17*(1-I17)*$Z$11*(1-$Z$10)</f>
        <v>802.6953749999999</v>
      </c>
      <c r="Z17" s="2">
        <f t="shared" ref="Z17:Z29" si="17">Y17-E17*F17*$Z$11</f>
        <v>317.9373749999998</v>
      </c>
      <c r="AA17" s="80"/>
      <c r="AB17" s="81"/>
      <c r="AC17" s="82"/>
      <c r="AD17" s="82"/>
      <c r="AE17" s="83"/>
    </row>
    <row r="18" spans="1:31" s="1" customFormat="1" ht="15.75" customHeight="1">
      <c r="A18" s="68" t="s">
        <v>40</v>
      </c>
      <c r="B18" s="69" t="s">
        <v>41</v>
      </c>
      <c r="C18" s="70" t="s">
        <v>42</v>
      </c>
      <c r="D18" s="71" t="s">
        <v>39</v>
      </c>
      <c r="E18" s="72">
        <v>10</v>
      </c>
      <c r="F18" s="73">
        <v>15.84</v>
      </c>
      <c r="G18" s="74">
        <f t="shared" si="1"/>
        <v>158.4</v>
      </c>
      <c r="H18" s="73">
        <v>41.12</v>
      </c>
      <c r="I18" s="75">
        <v>0.15</v>
      </c>
      <c r="J18" s="73">
        <v>69.900000000000006</v>
      </c>
      <c r="K18" s="76">
        <f t="shared" si="2"/>
        <v>59.415000000000006</v>
      </c>
      <c r="L18" s="77">
        <f t="shared" si="3"/>
        <v>10.484999999999999</v>
      </c>
      <c r="M18" s="78">
        <f t="shared" si="4"/>
        <v>6817.3875999999991</v>
      </c>
      <c r="N18" s="26">
        <f t="shared" si="5"/>
        <v>3094.987599999999</v>
      </c>
      <c r="O18" s="78">
        <f t="shared" si="6"/>
        <v>1429.1872799999999</v>
      </c>
      <c r="P18" s="26">
        <f t="shared" si="7"/>
        <v>684.70727999999986</v>
      </c>
      <c r="Q18" s="78">
        <f t="shared" si="8"/>
        <v>1511.32448</v>
      </c>
      <c r="R18" s="26">
        <f t="shared" si="9"/>
        <v>766.84447999999998</v>
      </c>
      <c r="S18" s="78">
        <f t="shared" si="10"/>
        <v>1108.8522</v>
      </c>
      <c r="T18" s="26">
        <f t="shared" si="11"/>
        <v>364.37220000000002</v>
      </c>
      <c r="U18" s="79">
        <f t="shared" si="12"/>
        <v>1149.9207999999999</v>
      </c>
      <c r="V18" s="26">
        <f t="shared" si="13"/>
        <v>405.44079999999985</v>
      </c>
      <c r="W18" s="76">
        <f t="shared" si="14"/>
        <v>591.38783999999998</v>
      </c>
      <c r="X18" s="26">
        <f t="shared" si="15"/>
        <v>219.14783999999997</v>
      </c>
      <c r="Y18" s="77">
        <f t="shared" si="16"/>
        <v>616.029</v>
      </c>
      <c r="Z18" s="2">
        <f t="shared" si="17"/>
        <v>243.78899999999999</v>
      </c>
      <c r="AA18" s="84"/>
      <c r="AB18" s="85"/>
      <c r="AC18" s="86" t="s">
        <v>43</v>
      </c>
      <c r="AD18" s="87">
        <f>AC15/AB15</f>
        <v>1650.534165</v>
      </c>
      <c r="AE18" s="83"/>
    </row>
    <row r="19" spans="1:31" s="1" customFormat="1" ht="15.75" customHeight="1">
      <c r="A19" s="68" t="s">
        <v>44</v>
      </c>
      <c r="B19" s="69" t="s">
        <v>45</v>
      </c>
      <c r="C19" s="70" t="s">
        <v>46</v>
      </c>
      <c r="D19" s="71" t="s">
        <v>39</v>
      </c>
      <c r="E19" s="72">
        <v>10</v>
      </c>
      <c r="F19" s="73">
        <v>14.8</v>
      </c>
      <c r="G19" s="74">
        <f t="shared" si="1"/>
        <v>148</v>
      </c>
      <c r="H19" s="73">
        <v>38.53</v>
      </c>
      <c r="I19" s="75">
        <v>0.15</v>
      </c>
      <c r="J19" s="73">
        <v>65.5</v>
      </c>
      <c r="K19" s="76">
        <f t="shared" si="2"/>
        <v>55.674999999999997</v>
      </c>
      <c r="L19" s="77">
        <f t="shared" si="3"/>
        <v>9.8250000000000028</v>
      </c>
      <c r="M19" s="78">
        <f t="shared" si="4"/>
        <v>6387.985025</v>
      </c>
      <c r="N19" s="26">
        <f t="shared" si="5"/>
        <v>2909.985025</v>
      </c>
      <c r="O19" s="78">
        <f t="shared" si="6"/>
        <v>1339.1679449999999</v>
      </c>
      <c r="P19" s="26">
        <f t="shared" si="7"/>
        <v>643.5679449999999</v>
      </c>
      <c r="Q19" s="78">
        <f t="shared" si="8"/>
        <v>1416.1316200000001</v>
      </c>
      <c r="R19" s="26">
        <f t="shared" si="9"/>
        <v>720.53162000000009</v>
      </c>
      <c r="S19" s="78">
        <f t="shared" si="10"/>
        <v>1039.0096125</v>
      </c>
      <c r="T19" s="26">
        <f t="shared" si="11"/>
        <v>343.40961249999998</v>
      </c>
      <c r="U19" s="79">
        <f t="shared" si="12"/>
        <v>1077.49145</v>
      </c>
      <c r="V19" s="26">
        <f t="shared" si="13"/>
        <v>381.89144999999996</v>
      </c>
      <c r="W19" s="76">
        <f t="shared" si="14"/>
        <v>554.13846000000001</v>
      </c>
      <c r="X19" s="26">
        <f t="shared" si="15"/>
        <v>206.33846</v>
      </c>
      <c r="Y19" s="77">
        <f t="shared" si="16"/>
        <v>577.22756249999998</v>
      </c>
      <c r="Z19" s="2">
        <f t="shared" si="17"/>
        <v>229.42756249999996</v>
      </c>
      <c r="AA19" s="84"/>
      <c r="AB19" s="85"/>
      <c r="AC19" s="86" t="s">
        <v>47</v>
      </c>
      <c r="AD19" s="88">
        <f>SUM(AD21:AD24)</f>
        <v>0</v>
      </c>
      <c r="AE19" s="83"/>
    </row>
    <row r="20" spans="1:31">
      <c r="A20" s="68" t="s">
        <v>48</v>
      </c>
      <c r="B20" s="69" t="s">
        <v>49</v>
      </c>
      <c r="C20" s="70" t="s">
        <v>50</v>
      </c>
      <c r="D20" s="71" t="s">
        <v>39</v>
      </c>
      <c r="E20" s="72">
        <v>7</v>
      </c>
      <c r="F20" s="73">
        <v>18.28</v>
      </c>
      <c r="G20" s="74">
        <f t="shared" si="1"/>
        <v>127.96000000000001</v>
      </c>
      <c r="H20" s="73">
        <v>46.76</v>
      </c>
      <c r="I20" s="75">
        <v>0.15</v>
      </c>
      <c r="J20" s="73">
        <v>79.5</v>
      </c>
      <c r="K20" s="76">
        <f t="shared" si="2"/>
        <v>67.575000000000003</v>
      </c>
      <c r="L20" s="77">
        <f t="shared" si="3"/>
        <v>11.924999999999997</v>
      </c>
      <c r="M20" s="78">
        <f t="shared" si="4"/>
        <v>5426.7201099999993</v>
      </c>
      <c r="N20" s="26">
        <f t="shared" si="5"/>
        <v>2419.6601099999989</v>
      </c>
      <c r="O20" s="78">
        <f t="shared" si="6"/>
        <v>1137.649758</v>
      </c>
      <c r="P20" s="26">
        <f t="shared" si="7"/>
        <v>536.23775799999999</v>
      </c>
      <c r="Q20" s="78">
        <f t="shared" si="8"/>
        <v>1203.0319279999999</v>
      </c>
      <c r="R20" s="26">
        <f t="shared" si="9"/>
        <v>601.61992799999985</v>
      </c>
      <c r="S20" s="78">
        <f t="shared" si="10"/>
        <v>882.65929500000004</v>
      </c>
      <c r="T20" s="26">
        <f t="shared" si="11"/>
        <v>281.24729500000001</v>
      </c>
      <c r="U20" s="79">
        <f t="shared" si="12"/>
        <v>915.35037999999986</v>
      </c>
      <c r="V20" s="26">
        <f t="shared" si="13"/>
        <v>313.93837999999982</v>
      </c>
      <c r="W20" s="76">
        <f t="shared" si="14"/>
        <v>470.75162399999994</v>
      </c>
      <c r="X20" s="26">
        <f t="shared" si="15"/>
        <v>170.04562399999992</v>
      </c>
      <c r="Y20" s="77">
        <f t="shared" si="16"/>
        <v>490.36627499999997</v>
      </c>
      <c r="Z20" s="2">
        <f t="shared" si="17"/>
        <v>189.66027499999996</v>
      </c>
      <c r="AA20" s="80"/>
      <c r="AB20" s="81"/>
      <c r="AC20" s="82"/>
      <c r="AD20" s="82"/>
      <c r="AE20" s="83"/>
    </row>
    <row r="21" spans="1:31">
      <c r="A21" s="68" t="s">
        <v>51</v>
      </c>
      <c r="B21" s="69" t="s">
        <v>52</v>
      </c>
      <c r="C21" s="70" t="s">
        <v>53</v>
      </c>
      <c r="D21" s="71" t="s">
        <v>39</v>
      </c>
      <c r="E21" s="72">
        <v>4</v>
      </c>
      <c r="F21" s="73">
        <v>15.34</v>
      </c>
      <c r="G21" s="74">
        <f t="shared" si="1"/>
        <v>61.36</v>
      </c>
      <c r="H21" s="73">
        <v>39.71</v>
      </c>
      <c r="I21" s="75">
        <v>0.15</v>
      </c>
      <c r="J21" s="73">
        <v>67.5</v>
      </c>
      <c r="K21" s="76">
        <f t="shared" si="2"/>
        <v>57.375</v>
      </c>
      <c r="L21" s="77">
        <f t="shared" si="3"/>
        <v>10.125</v>
      </c>
      <c r="M21" s="78">
        <f t="shared" si="4"/>
        <v>2633.4480699999999</v>
      </c>
      <c r="N21" s="26">
        <f t="shared" si="5"/>
        <v>1191.4880699999999</v>
      </c>
      <c r="O21" s="78">
        <f t="shared" si="6"/>
        <v>552.07224600000006</v>
      </c>
      <c r="P21" s="26">
        <f t="shared" si="7"/>
        <v>263.68024600000007</v>
      </c>
      <c r="Q21" s="78">
        <f t="shared" si="8"/>
        <v>583.80053600000008</v>
      </c>
      <c r="R21" s="26">
        <f t="shared" si="9"/>
        <v>295.40853600000008</v>
      </c>
      <c r="S21" s="78">
        <f t="shared" si="10"/>
        <v>428.33191500000009</v>
      </c>
      <c r="T21" s="26">
        <f t="shared" si="11"/>
        <v>139.9399150000001</v>
      </c>
      <c r="U21" s="79">
        <f t="shared" si="12"/>
        <v>444.19606000000005</v>
      </c>
      <c r="V21" s="26">
        <f t="shared" si="13"/>
        <v>155.80406000000005</v>
      </c>
      <c r="W21" s="76">
        <f t="shared" si="14"/>
        <v>228.44368800000001</v>
      </c>
      <c r="X21" s="26">
        <f t="shared" si="15"/>
        <v>84.247688000000011</v>
      </c>
      <c r="Y21" s="77">
        <f t="shared" si="16"/>
        <v>237.96217500000003</v>
      </c>
      <c r="Z21" s="2">
        <f t="shared" si="17"/>
        <v>93.766175000000032</v>
      </c>
      <c r="AA21" s="80"/>
      <c r="AB21" s="81"/>
      <c r="AC21" s="89" t="s">
        <v>54</v>
      </c>
      <c r="AD21" s="90">
        <f>SUMIF($D$16:$D$36,AC21,$G$16:$G$36)/$AC$15</f>
        <v>0</v>
      </c>
      <c r="AE21" s="83"/>
    </row>
    <row r="22" spans="1:31">
      <c r="A22" s="68" t="s">
        <v>55</v>
      </c>
      <c r="B22" s="69" t="s">
        <v>56</v>
      </c>
      <c r="C22" s="70" t="s">
        <v>57</v>
      </c>
      <c r="D22" s="71" t="s">
        <v>39</v>
      </c>
      <c r="E22" s="72">
        <v>3</v>
      </c>
      <c r="F22" s="73">
        <v>16.22</v>
      </c>
      <c r="G22" s="74">
        <f t="shared" si="1"/>
        <v>48.66</v>
      </c>
      <c r="H22" s="73">
        <v>41.12</v>
      </c>
      <c r="I22" s="75">
        <v>0.15</v>
      </c>
      <c r="J22" s="73">
        <v>69.900000000000006</v>
      </c>
      <c r="K22" s="76">
        <f t="shared" si="2"/>
        <v>59.415000000000006</v>
      </c>
      <c r="L22" s="77">
        <f t="shared" si="3"/>
        <v>10.484999999999999</v>
      </c>
      <c r="M22" s="78">
        <f t="shared" si="4"/>
        <v>2045.2162799999994</v>
      </c>
      <c r="N22" s="26">
        <f t="shared" si="5"/>
        <v>901.70627999999942</v>
      </c>
      <c r="O22" s="78">
        <f t="shared" si="6"/>
        <v>428.75618399999996</v>
      </c>
      <c r="P22" s="26">
        <f t="shared" si="7"/>
        <v>200.05418399999996</v>
      </c>
      <c r="Q22" s="78">
        <f t="shared" si="8"/>
        <v>453.39734399999998</v>
      </c>
      <c r="R22" s="26">
        <f t="shared" si="9"/>
        <v>224.69534399999998</v>
      </c>
      <c r="S22" s="78">
        <f t="shared" si="10"/>
        <v>332.65565999999995</v>
      </c>
      <c r="T22" s="26">
        <f t="shared" si="11"/>
        <v>103.95365999999996</v>
      </c>
      <c r="U22" s="79">
        <f t="shared" si="12"/>
        <v>344.9762399999999</v>
      </c>
      <c r="V22" s="26">
        <f t="shared" si="13"/>
        <v>116.27423999999991</v>
      </c>
      <c r="W22" s="76">
        <f t="shared" si="14"/>
        <v>177.41635199999996</v>
      </c>
      <c r="X22" s="26">
        <f t="shared" si="15"/>
        <v>63.065351999999962</v>
      </c>
      <c r="Y22" s="77">
        <f t="shared" si="16"/>
        <v>184.80869999999999</v>
      </c>
      <c r="Z22" s="2">
        <f t="shared" si="17"/>
        <v>70.457699999999988</v>
      </c>
      <c r="AA22" s="80"/>
      <c r="AB22" s="81"/>
      <c r="AC22" s="89" t="s">
        <v>58</v>
      </c>
      <c r="AD22" s="90">
        <f>SUMIF($D$16:$D$36,AC22,$G$16:$G$36)/$AC$15</f>
        <v>0</v>
      </c>
      <c r="AE22" s="83"/>
    </row>
    <row r="23" spans="1:31">
      <c r="A23" s="68" t="s">
        <v>59</v>
      </c>
      <c r="B23" s="69" t="s">
        <v>60</v>
      </c>
      <c r="C23" s="70" t="s">
        <v>61</v>
      </c>
      <c r="D23" s="71" t="s">
        <v>39</v>
      </c>
      <c r="E23" s="72">
        <v>3</v>
      </c>
      <c r="F23" s="73">
        <v>17.64</v>
      </c>
      <c r="G23" s="74">
        <f t="shared" si="1"/>
        <v>52.92</v>
      </c>
      <c r="H23" s="73">
        <v>44.12</v>
      </c>
      <c r="I23" s="75">
        <v>0.15</v>
      </c>
      <c r="J23" s="73">
        <v>75</v>
      </c>
      <c r="K23" s="76">
        <f t="shared" si="2"/>
        <v>63.75</v>
      </c>
      <c r="L23" s="77">
        <f t="shared" si="3"/>
        <v>11.25</v>
      </c>
      <c r="M23" s="78">
        <f t="shared" si="4"/>
        <v>2194.4295299999994</v>
      </c>
      <c r="N23" s="26">
        <f t="shared" si="5"/>
        <v>950.80952999999931</v>
      </c>
      <c r="O23" s="78">
        <f t="shared" si="6"/>
        <v>460.03703399999995</v>
      </c>
      <c r="P23" s="26">
        <f t="shared" si="7"/>
        <v>211.31303399999993</v>
      </c>
      <c r="Q23" s="78">
        <f t="shared" si="8"/>
        <v>486.47594399999997</v>
      </c>
      <c r="R23" s="26">
        <f t="shared" si="9"/>
        <v>237.75194399999995</v>
      </c>
      <c r="S23" s="78">
        <f t="shared" si="10"/>
        <v>356.92528500000003</v>
      </c>
      <c r="T23" s="26">
        <f t="shared" si="11"/>
        <v>108.20128500000001</v>
      </c>
      <c r="U23" s="79">
        <f t="shared" si="12"/>
        <v>370.14473999999996</v>
      </c>
      <c r="V23" s="26">
        <f t="shared" si="13"/>
        <v>121.42073999999994</v>
      </c>
      <c r="W23" s="76">
        <f t="shared" si="14"/>
        <v>190.36015199999997</v>
      </c>
      <c r="X23" s="26">
        <f t="shared" si="15"/>
        <v>65.998151999999962</v>
      </c>
      <c r="Y23" s="77">
        <f t="shared" si="16"/>
        <v>198.29182499999999</v>
      </c>
      <c r="Z23" s="2">
        <f t="shared" si="17"/>
        <v>73.92982499999998</v>
      </c>
      <c r="AA23" s="80"/>
      <c r="AB23" s="81"/>
      <c r="AC23" s="89" t="s">
        <v>62</v>
      </c>
      <c r="AD23" s="90">
        <f>SUMIF($D$16:$D$36,AC23,$G$16:$G$36)/$AC$15</f>
        <v>0</v>
      </c>
      <c r="AE23" s="83"/>
    </row>
    <row r="24" spans="1:31">
      <c r="A24" s="68" t="s">
        <v>63</v>
      </c>
      <c r="B24" s="69" t="s">
        <v>64</v>
      </c>
      <c r="C24" s="70" t="s">
        <v>65</v>
      </c>
      <c r="D24" s="71" t="s">
        <v>39</v>
      </c>
      <c r="E24" s="72">
        <v>2</v>
      </c>
      <c r="F24" s="73">
        <v>18.420000000000002</v>
      </c>
      <c r="G24" s="74">
        <f t="shared" si="1"/>
        <v>36.840000000000003</v>
      </c>
      <c r="H24" s="73">
        <v>46.77</v>
      </c>
      <c r="I24" s="75">
        <v>0.15</v>
      </c>
      <c r="J24" s="73">
        <v>79.5</v>
      </c>
      <c r="K24" s="76">
        <f t="shared" si="2"/>
        <v>67.575000000000003</v>
      </c>
      <c r="L24" s="77">
        <f t="shared" si="3"/>
        <v>11.924999999999997</v>
      </c>
      <c r="M24" s="78">
        <f t="shared" si="4"/>
        <v>1550.8230450000001</v>
      </c>
      <c r="N24" s="26">
        <f t="shared" si="5"/>
        <v>685.08304499999997</v>
      </c>
      <c r="O24" s="78">
        <f t="shared" si="6"/>
        <v>325.112301</v>
      </c>
      <c r="P24" s="26">
        <f t="shared" si="7"/>
        <v>151.96430099999998</v>
      </c>
      <c r="Q24" s="78">
        <f t="shared" si="8"/>
        <v>343.79691600000001</v>
      </c>
      <c r="R24" s="26">
        <f t="shared" si="9"/>
        <v>170.64891599999999</v>
      </c>
      <c r="S24" s="78">
        <f t="shared" si="10"/>
        <v>252.24230250000002</v>
      </c>
      <c r="T24" s="26">
        <f t="shared" si="11"/>
        <v>79.094302499999998</v>
      </c>
      <c r="U24" s="79">
        <f t="shared" si="12"/>
        <v>261.58461</v>
      </c>
      <c r="V24" s="26">
        <f t="shared" si="13"/>
        <v>88.436609999999973</v>
      </c>
      <c r="W24" s="76">
        <f t="shared" si="14"/>
        <v>134.52922799999999</v>
      </c>
      <c r="X24" s="26">
        <f t="shared" si="15"/>
        <v>47.955227999999977</v>
      </c>
      <c r="Y24" s="77">
        <f t="shared" si="16"/>
        <v>140.1346125</v>
      </c>
      <c r="Z24" s="2">
        <f t="shared" si="17"/>
        <v>53.560612499999991</v>
      </c>
      <c r="AA24" s="80"/>
      <c r="AB24" s="81"/>
      <c r="AC24" s="89" t="s">
        <v>66</v>
      </c>
      <c r="AD24" s="90">
        <f>SUMIF($D$16:$D$36,AC24,$G$16:$G$36)/$AC$15</f>
        <v>0</v>
      </c>
      <c r="AE24" s="83"/>
    </row>
    <row r="25" spans="1:31">
      <c r="A25" s="68" t="s">
        <v>67</v>
      </c>
      <c r="B25" s="69" t="s">
        <v>68</v>
      </c>
      <c r="C25" s="70" t="s">
        <v>69</v>
      </c>
      <c r="D25" s="71" t="s">
        <v>39</v>
      </c>
      <c r="E25" s="72">
        <v>2</v>
      </c>
      <c r="F25" s="73">
        <v>13.77</v>
      </c>
      <c r="G25" s="74">
        <f t="shared" si="1"/>
        <v>27.54</v>
      </c>
      <c r="H25" s="73">
        <v>35.880000000000003</v>
      </c>
      <c r="I25" s="75">
        <v>0.15</v>
      </c>
      <c r="J25" s="73">
        <v>61</v>
      </c>
      <c r="K25" s="76">
        <f t="shared" si="2"/>
        <v>51.85</v>
      </c>
      <c r="L25" s="77">
        <f t="shared" si="3"/>
        <v>9.1499999999999986</v>
      </c>
      <c r="M25" s="78">
        <f t="shared" si="4"/>
        <v>1189.7269799999999</v>
      </c>
      <c r="N25" s="26">
        <f t="shared" si="5"/>
        <v>542.53697999999997</v>
      </c>
      <c r="O25" s="78">
        <f t="shared" si="6"/>
        <v>249.41264400000003</v>
      </c>
      <c r="P25" s="26">
        <f t="shared" si="7"/>
        <v>119.97464400000004</v>
      </c>
      <c r="Q25" s="78">
        <f t="shared" si="8"/>
        <v>263.74670400000008</v>
      </c>
      <c r="R25" s="26">
        <f t="shared" si="9"/>
        <v>134.30870400000009</v>
      </c>
      <c r="S25" s="78">
        <f t="shared" si="10"/>
        <v>193.50981000000004</v>
      </c>
      <c r="T25" s="26">
        <f t="shared" si="11"/>
        <v>64.071810000000056</v>
      </c>
      <c r="U25" s="79">
        <f t="shared" si="12"/>
        <v>200.67684000000003</v>
      </c>
      <c r="V25" s="26">
        <f t="shared" si="13"/>
        <v>71.238840000000039</v>
      </c>
      <c r="W25" s="76">
        <f t="shared" si="14"/>
        <v>103.20523200000001</v>
      </c>
      <c r="X25" s="26">
        <f t="shared" si="15"/>
        <v>38.486232000000015</v>
      </c>
      <c r="Y25" s="77">
        <f t="shared" si="16"/>
        <v>107.50545000000002</v>
      </c>
      <c r="Z25" s="2">
        <f t="shared" si="17"/>
        <v>42.786450000000031</v>
      </c>
      <c r="AA25" s="80"/>
      <c r="AB25" s="81"/>
      <c r="AC25" s="82"/>
      <c r="AD25" s="82"/>
      <c r="AE25" s="83"/>
    </row>
    <row r="26" spans="1:31">
      <c r="A26" s="68" t="s">
        <v>70</v>
      </c>
      <c r="B26" s="69" t="s">
        <v>71</v>
      </c>
      <c r="C26" s="70" t="s">
        <v>72</v>
      </c>
      <c r="D26" s="71" t="s">
        <v>39</v>
      </c>
      <c r="E26" s="72">
        <v>2</v>
      </c>
      <c r="F26" s="73">
        <v>10.34</v>
      </c>
      <c r="G26" s="74">
        <f t="shared" si="1"/>
        <v>20.68</v>
      </c>
      <c r="H26" s="73">
        <v>26.12</v>
      </c>
      <c r="I26" s="75">
        <v>0.15</v>
      </c>
      <c r="J26" s="73">
        <v>44.4</v>
      </c>
      <c r="K26" s="76">
        <f t="shared" si="2"/>
        <v>37.739999999999995</v>
      </c>
      <c r="L26" s="77">
        <f t="shared" si="3"/>
        <v>6.6600000000000037</v>
      </c>
      <c r="M26" s="78">
        <f t="shared" si="4"/>
        <v>866.10002000000009</v>
      </c>
      <c r="N26" s="26">
        <f t="shared" si="5"/>
        <v>380.12002000000007</v>
      </c>
      <c r="O26" s="78">
        <f t="shared" si="6"/>
        <v>181.56795600000004</v>
      </c>
      <c r="P26" s="26">
        <f t="shared" si="7"/>
        <v>84.37195600000004</v>
      </c>
      <c r="Q26" s="78">
        <f t="shared" si="8"/>
        <v>192.00289600000005</v>
      </c>
      <c r="R26" s="26">
        <f t="shared" si="9"/>
        <v>94.806896000000052</v>
      </c>
      <c r="S26" s="78">
        <f t="shared" si="10"/>
        <v>140.87169000000003</v>
      </c>
      <c r="T26" s="26">
        <f t="shared" si="11"/>
        <v>43.675690000000031</v>
      </c>
      <c r="U26" s="79">
        <f t="shared" si="12"/>
        <v>146.08916000000002</v>
      </c>
      <c r="V26" s="26">
        <f t="shared" si="13"/>
        <v>48.893160000000023</v>
      </c>
      <c r="W26" s="76">
        <f t="shared" si="14"/>
        <v>75.131568000000016</v>
      </c>
      <c r="X26" s="26">
        <f t="shared" si="15"/>
        <v>26.533568000000017</v>
      </c>
      <c r="Y26" s="77">
        <f t="shared" si="16"/>
        <v>78.262050000000016</v>
      </c>
      <c r="Z26" s="2">
        <f t="shared" si="17"/>
        <v>29.664050000000017</v>
      </c>
      <c r="AA26" s="80"/>
      <c r="AB26" s="81"/>
      <c r="AC26" s="82"/>
      <c r="AD26" s="82"/>
      <c r="AE26" s="83"/>
    </row>
    <row r="27" spans="1:31">
      <c r="A27" s="68" t="s">
        <v>73</v>
      </c>
      <c r="B27" s="69" t="s">
        <v>74</v>
      </c>
      <c r="C27" s="70" t="s">
        <v>75</v>
      </c>
      <c r="D27" s="71" t="s">
        <v>39</v>
      </c>
      <c r="E27" s="72">
        <v>1</v>
      </c>
      <c r="F27" s="73">
        <v>16.71</v>
      </c>
      <c r="G27" s="74">
        <f t="shared" si="1"/>
        <v>16.71</v>
      </c>
      <c r="H27" s="73">
        <v>42.88</v>
      </c>
      <c r="I27" s="75">
        <v>0.15</v>
      </c>
      <c r="J27" s="73">
        <v>72.900000000000006</v>
      </c>
      <c r="K27" s="76">
        <f t="shared" si="2"/>
        <v>61.965000000000003</v>
      </c>
      <c r="L27" s="77">
        <f t="shared" si="3"/>
        <v>10.935000000000002</v>
      </c>
      <c r="M27" s="78">
        <f t="shared" si="4"/>
        <v>710.91823999999997</v>
      </c>
      <c r="N27" s="26">
        <f t="shared" si="5"/>
        <v>318.23323999999997</v>
      </c>
      <c r="O27" s="78">
        <f t="shared" si="6"/>
        <v>149.03587200000001</v>
      </c>
      <c r="P27" s="26">
        <f t="shared" si="7"/>
        <v>70.498872000000006</v>
      </c>
      <c r="Q27" s="78">
        <f t="shared" si="8"/>
        <v>157.60115200000001</v>
      </c>
      <c r="R27" s="26">
        <f t="shared" si="9"/>
        <v>79.064152000000007</v>
      </c>
      <c r="S27" s="78">
        <f t="shared" si="10"/>
        <v>115.63128</v>
      </c>
      <c r="T27" s="26">
        <f t="shared" si="11"/>
        <v>37.094279999999998</v>
      </c>
      <c r="U27" s="79">
        <f t="shared" si="12"/>
        <v>119.91391999999999</v>
      </c>
      <c r="V27" s="26">
        <f t="shared" si="13"/>
        <v>41.376919999999984</v>
      </c>
      <c r="W27" s="76">
        <f t="shared" si="14"/>
        <v>61.670015999999997</v>
      </c>
      <c r="X27" s="26">
        <f t="shared" si="15"/>
        <v>22.401515999999994</v>
      </c>
      <c r="Y27" s="77">
        <f t="shared" si="16"/>
        <v>64.239599999999996</v>
      </c>
      <c r="Z27" s="2">
        <f t="shared" si="17"/>
        <v>24.971099999999993</v>
      </c>
      <c r="AA27" s="80"/>
      <c r="AB27" s="81"/>
      <c r="AC27" s="82"/>
      <c r="AD27" s="82"/>
      <c r="AE27" s="83"/>
    </row>
    <row r="28" spans="1:31">
      <c r="A28" s="68" t="s">
        <v>76</v>
      </c>
      <c r="B28" s="69" t="s">
        <v>77</v>
      </c>
      <c r="C28" s="70" t="s">
        <v>78</v>
      </c>
      <c r="D28" s="71" t="s">
        <v>39</v>
      </c>
      <c r="E28" s="72">
        <v>1</v>
      </c>
      <c r="F28" s="73">
        <v>16.71</v>
      </c>
      <c r="G28" s="74">
        <f t="shared" si="1"/>
        <v>16.71</v>
      </c>
      <c r="H28" s="73">
        <v>42.88</v>
      </c>
      <c r="I28" s="75">
        <v>0.15</v>
      </c>
      <c r="J28" s="73">
        <v>72.900000000000006</v>
      </c>
      <c r="K28" s="76">
        <f t="shared" si="2"/>
        <v>61.965000000000003</v>
      </c>
      <c r="L28" s="77">
        <f t="shared" si="3"/>
        <v>10.935000000000002</v>
      </c>
      <c r="M28" s="78">
        <f t="shared" si="4"/>
        <v>710.91823999999997</v>
      </c>
      <c r="N28" s="26">
        <f t="shared" si="5"/>
        <v>318.23323999999997</v>
      </c>
      <c r="O28" s="78">
        <f t="shared" si="6"/>
        <v>149.03587200000001</v>
      </c>
      <c r="P28" s="26">
        <f t="shared" si="7"/>
        <v>70.498872000000006</v>
      </c>
      <c r="Q28" s="78">
        <f t="shared" si="8"/>
        <v>157.60115200000001</v>
      </c>
      <c r="R28" s="26">
        <f t="shared" si="9"/>
        <v>79.064152000000007</v>
      </c>
      <c r="S28" s="78">
        <f t="shared" si="10"/>
        <v>115.63128</v>
      </c>
      <c r="T28" s="26">
        <f t="shared" si="11"/>
        <v>37.094279999999998</v>
      </c>
      <c r="U28" s="79">
        <f t="shared" si="12"/>
        <v>119.91391999999999</v>
      </c>
      <c r="V28" s="26">
        <f t="shared" si="13"/>
        <v>41.376919999999984</v>
      </c>
      <c r="W28" s="76">
        <f t="shared" si="14"/>
        <v>61.670015999999997</v>
      </c>
      <c r="X28" s="26">
        <f t="shared" si="15"/>
        <v>22.401515999999994</v>
      </c>
      <c r="Y28" s="77">
        <f t="shared" si="16"/>
        <v>64.239599999999996</v>
      </c>
      <c r="Z28" s="2">
        <f t="shared" si="17"/>
        <v>24.971099999999993</v>
      </c>
      <c r="AA28" s="80"/>
      <c r="AB28" s="81"/>
      <c r="AC28" s="82"/>
      <c r="AD28" s="82"/>
      <c r="AE28" s="83"/>
    </row>
    <row r="29" spans="1:31">
      <c r="A29" s="68" t="s">
        <v>79</v>
      </c>
      <c r="B29" s="69" t="s">
        <v>80</v>
      </c>
      <c r="C29" s="70" t="s">
        <v>81</v>
      </c>
      <c r="D29" s="71" t="s">
        <v>39</v>
      </c>
      <c r="E29" s="72">
        <v>2</v>
      </c>
      <c r="F29" s="73">
        <v>6.48</v>
      </c>
      <c r="G29" s="74">
        <f t="shared" si="1"/>
        <v>12.96</v>
      </c>
      <c r="H29" s="73">
        <v>17.350000000000001</v>
      </c>
      <c r="I29" s="75">
        <v>0.15</v>
      </c>
      <c r="J29" s="73">
        <v>29.5</v>
      </c>
      <c r="K29" s="76">
        <f t="shared" si="2"/>
        <v>25.074999999999999</v>
      </c>
      <c r="L29" s="77">
        <f t="shared" si="3"/>
        <v>4.4250000000000007</v>
      </c>
      <c r="M29" s="78">
        <f t="shared" si="4"/>
        <v>575.29997500000002</v>
      </c>
      <c r="N29" s="26">
        <f t="shared" si="5"/>
        <v>270.73997500000002</v>
      </c>
      <c r="O29" s="78">
        <f t="shared" si="6"/>
        <v>120.60505500000002</v>
      </c>
      <c r="P29" s="26">
        <f t="shared" si="7"/>
        <v>59.693055000000015</v>
      </c>
      <c r="Q29" s="78">
        <f t="shared" si="8"/>
        <v>127.53638000000002</v>
      </c>
      <c r="R29" s="26">
        <f t="shared" si="9"/>
        <v>66.624380000000016</v>
      </c>
      <c r="S29" s="78">
        <f t="shared" si="10"/>
        <v>93.572887500000022</v>
      </c>
      <c r="T29" s="26">
        <f t="shared" si="11"/>
        <v>32.660887500000015</v>
      </c>
      <c r="U29" s="79">
        <f t="shared" si="12"/>
        <v>97.038550000000015</v>
      </c>
      <c r="V29" s="26">
        <f t="shared" si="13"/>
        <v>36.126550000000009</v>
      </c>
      <c r="W29" s="76">
        <f t="shared" si="14"/>
        <v>49.905540000000009</v>
      </c>
      <c r="X29" s="26">
        <f t="shared" si="15"/>
        <v>19.449540000000006</v>
      </c>
      <c r="Y29" s="77">
        <f t="shared" si="16"/>
        <v>51.984937500000008</v>
      </c>
      <c r="Z29" s="2">
        <f t="shared" si="17"/>
        <v>21.528937500000005</v>
      </c>
      <c r="AA29" s="80"/>
      <c r="AB29" s="81"/>
      <c r="AC29" s="91"/>
      <c r="AD29" s="82"/>
      <c r="AE29" s="83"/>
    </row>
    <row r="30" spans="1:31">
      <c r="A30" s="140" t="s">
        <v>82</v>
      </c>
      <c r="B30" s="141"/>
      <c r="C30" s="142"/>
      <c r="D30" s="143" t="s">
        <v>58</v>
      </c>
      <c r="E30" s="144">
        <v>1</v>
      </c>
      <c r="F30" s="145"/>
      <c r="G30" s="74">
        <f t="shared" si="1"/>
        <v>0</v>
      </c>
      <c r="H30" s="97"/>
      <c r="I30" s="75"/>
      <c r="J30" s="73"/>
      <c r="K30" s="76"/>
      <c r="L30" s="77">
        <f t="shared" si="3"/>
        <v>0</v>
      </c>
      <c r="M30" s="78"/>
      <c r="N30" s="26"/>
      <c r="O30" s="78"/>
      <c r="P30" s="26"/>
      <c r="Q30" s="78"/>
      <c r="R30" s="26"/>
      <c r="S30" s="78"/>
      <c r="T30" s="26"/>
      <c r="U30" s="79"/>
      <c r="V30" s="26"/>
      <c r="W30" s="76"/>
      <c r="X30" s="26"/>
      <c r="Y30" s="77"/>
      <c r="Z30" s="2"/>
      <c r="AA30" s="80"/>
      <c r="AB30" s="81"/>
      <c r="AC30" s="82"/>
      <c r="AD30" s="98"/>
      <c r="AE30" s="83"/>
    </row>
    <row r="31" spans="1:31" s="1" customFormat="1" ht="14.5" customHeight="1">
      <c r="A31" s="140" t="s">
        <v>83</v>
      </c>
      <c r="B31" s="141"/>
      <c r="C31" s="142"/>
      <c r="D31" s="143" t="s">
        <v>58</v>
      </c>
      <c r="E31" s="144">
        <v>1</v>
      </c>
      <c r="F31" s="145"/>
      <c r="G31" s="74">
        <f t="shared" si="1"/>
        <v>0</v>
      </c>
      <c r="H31" s="97"/>
      <c r="I31" s="75"/>
      <c r="J31" s="73"/>
      <c r="K31" s="76"/>
      <c r="L31" s="77">
        <f t="shared" si="3"/>
        <v>0</v>
      </c>
      <c r="M31" s="78"/>
      <c r="N31" s="26"/>
      <c r="O31" s="78"/>
      <c r="P31" s="26"/>
      <c r="Q31" s="78"/>
      <c r="R31" s="26"/>
      <c r="S31" s="78"/>
      <c r="T31" s="26"/>
      <c r="U31" s="79"/>
      <c r="V31" s="26"/>
      <c r="W31" s="76"/>
      <c r="X31" s="26"/>
      <c r="Y31" s="77"/>
      <c r="Z31" s="2"/>
      <c r="AA31" s="80"/>
      <c r="AB31" s="81"/>
      <c r="AC31" s="82"/>
      <c r="AD31" s="99"/>
      <c r="AE31" s="83"/>
    </row>
    <row r="32" spans="1:31" s="1" customFormat="1" ht="14.5" customHeight="1">
      <c r="A32" s="140">
        <v>3020202</v>
      </c>
      <c r="B32" s="141"/>
      <c r="C32" s="142"/>
      <c r="D32" s="143" t="s">
        <v>66</v>
      </c>
      <c r="E32" s="144">
        <v>1</v>
      </c>
      <c r="F32" s="145"/>
      <c r="G32" s="74">
        <f t="shared" si="1"/>
        <v>0</v>
      </c>
      <c r="H32" s="97"/>
      <c r="I32" s="75"/>
      <c r="J32" s="73"/>
      <c r="K32" s="76"/>
      <c r="L32" s="77">
        <f t="shared" si="3"/>
        <v>0</v>
      </c>
      <c r="M32" s="78"/>
      <c r="N32" s="26"/>
      <c r="O32" s="78"/>
      <c r="P32" s="26"/>
      <c r="Q32" s="78"/>
      <c r="R32" s="26"/>
      <c r="S32" s="78"/>
      <c r="T32" s="26"/>
      <c r="U32" s="79"/>
      <c r="V32" s="26"/>
      <c r="W32" s="76"/>
      <c r="X32" s="26"/>
      <c r="Y32" s="77"/>
      <c r="Z32" s="2"/>
      <c r="AA32" s="80"/>
      <c r="AB32" s="81"/>
      <c r="AC32" s="82"/>
      <c r="AD32" s="100"/>
      <c r="AE32" s="83"/>
    </row>
    <row r="33" spans="1:32">
      <c r="A33" s="92">
        <v>3020301</v>
      </c>
      <c r="B33" s="93"/>
      <c r="C33" s="94"/>
      <c r="D33" s="95" t="s">
        <v>66</v>
      </c>
      <c r="E33" s="96">
        <v>1</v>
      </c>
      <c r="F33" s="73"/>
      <c r="G33" s="74">
        <f t="shared" si="1"/>
        <v>0</v>
      </c>
      <c r="H33" s="97"/>
      <c r="I33" s="75"/>
      <c r="J33" s="73"/>
      <c r="K33" s="76"/>
      <c r="L33" s="77">
        <f t="shared" si="3"/>
        <v>0</v>
      </c>
      <c r="M33" s="78"/>
      <c r="N33" s="26"/>
      <c r="O33" s="78"/>
      <c r="P33" s="26"/>
      <c r="Q33" s="78"/>
      <c r="R33" s="26"/>
      <c r="S33" s="78"/>
      <c r="T33" s="26"/>
      <c r="U33" s="79"/>
      <c r="V33" s="26"/>
      <c r="W33" s="76"/>
      <c r="X33" s="26"/>
      <c r="Y33" s="77"/>
      <c r="Z33" s="2"/>
      <c r="AA33" s="80"/>
      <c r="AB33" s="81"/>
      <c r="AC33" s="82"/>
      <c r="AD33" s="99"/>
      <c r="AE33" s="83"/>
    </row>
    <row r="34" spans="1:32">
      <c r="A34" s="92">
        <v>3020720</v>
      </c>
      <c r="B34" s="93"/>
      <c r="C34" s="94"/>
      <c r="D34" s="95" t="s">
        <v>66</v>
      </c>
      <c r="E34" s="96">
        <v>1</v>
      </c>
      <c r="F34" s="73"/>
      <c r="G34" s="74">
        <f t="shared" si="1"/>
        <v>0</v>
      </c>
      <c r="H34" s="97"/>
      <c r="I34" s="75"/>
      <c r="J34" s="73"/>
      <c r="K34" s="76"/>
      <c r="L34" s="77">
        <f t="shared" si="3"/>
        <v>0</v>
      </c>
      <c r="M34" s="78"/>
      <c r="N34" s="26"/>
      <c r="O34" s="78"/>
      <c r="P34" s="26"/>
      <c r="Q34" s="78"/>
      <c r="R34" s="26"/>
      <c r="S34" s="78"/>
      <c r="T34" s="26"/>
      <c r="U34" s="79"/>
      <c r="V34" s="26"/>
      <c r="W34" s="76"/>
      <c r="X34" s="26"/>
      <c r="Y34" s="77"/>
      <c r="Z34" s="2"/>
      <c r="AA34" s="80"/>
      <c r="AB34" s="81"/>
      <c r="AC34" s="81"/>
      <c r="AD34" s="81"/>
      <c r="AE34" s="83"/>
    </row>
    <row r="35" spans="1:32">
      <c r="A35" s="92">
        <v>3020718</v>
      </c>
      <c r="B35" s="93"/>
      <c r="C35" s="94"/>
      <c r="D35" s="95" t="s">
        <v>66</v>
      </c>
      <c r="E35" s="96">
        <v>1</v>
      </c>
      <c r="F35" s="73"/>
      <c r="G35" s="74">
        <f t="shared" si="1"/>
        <v>0</v>
      </c>
      <c r="H35" s="97"/>
      <c r="I35" s="75"/>
      <c r="J35" s="73"/>
      <c r="K35" s="76"/>
      <c r="L35" s="77">
        <f t="shared" si="3"/>
        <v>0</v>
      </c>
      <c r="M35" s="78"/>
      <c r="N35" s="26"/>
      <c r="O35" s="78"/>
      <c r="P35" s="26"/>
      <c r="Q35" s="78"/>
      <c r="R35" s="26"/>
      <c r="S35" s="78"/>
      <c r="T35" s="26"/>
      <c r="U35" s="79"/>
      <c r="V35" s="26"/>
      <c r="W35" s="76"/>
      <c r="X35" s="26"/>
      <c r="Y35" s="77"/>
      <c r="Z35" s="2"/>
      <c r="AA35" s="80"/>
      <c r="AB35" s="81"/>
      <c r="AC35" s="91"/>
      <c r="AD35" s="81"/>
      <c r="AE35" s="83"/>
    </row>
    <row r="36" spans="1:32" s="1" customFormat="1" ht="15.75" customHeight="1">
      <c r="A36" s="92" t="s">
        <v>84</v>
      </c>
      <c r="B36" s="93"/>
      <c r="C36" s="94"/>
      <c r="D36" s="95" t="s">
        <v>58</v>
      </c>
      <c r="E36" s="96">
        <v>1</v>
      </c>
      <c r="F36" s="73"/>
      <c r="G36" s="74">
        <f t="shared" si="1"/>
        <v>0</v>
      </c>
      <c r="H36" s="97"/>
      <c r="I36" s="75"/>
      <c r="J36" s="73"/>
      <c r="K36" s="76"/>
      <c r="L36" s="77">
        <f t="shared" si="3"/>
        <v>0</v>
      </c>
      <c r="M36" s="101"/>
      <c r="N36" s="102"/>
      <c r="O36" s="101"/>
      <c r="P36" s="102"/>
      <c r="Q36" s="101"/>
      <c r="R36" s="102"/>
      <c r="S36" s="101"/>
      <c r="T36" s="102"/>
      <c r="U36" s="103"/>
      <c r="V36" s="102"/>
      <c r="W36" s="104"/>
      <c r="X36" s="102"/>
      <c r="Y36" s="105"/>
      <c r="Z36" s="106"/>
      <c r="AA36" s="107"/>
      <c r="AB36" s="108"/>
      <c r="AC36" s="109"/>
      <c r="AD36" s="110"/>
      <c r="AE36" s="111"/>
    </row>
    <row r="40" spans="1:32">
      <c r="A40" s="6" t="s">
        <v>85</v>
      </c>
      <c r="B40" s="7"/>
      <c r="C40" s="8"/>
      <c r="D40" s="9" t="s">
        <v>86</v>
      </c>
      <c r="E40" s="7"/>
      <c r="F40" s="7"/>
      <c r="G40" s="7"/>
      <c r="H40" s="7"/>
      <c r="I40" s="7"/>
      <c r="J40" s="7"/>
      <c r="K40" s="7"/>
      <c r="L40" s="7"/>
      <c r="M40" s="112"/>
      <c r="N40" s="113"/>
      <c r="O40" s="112"/>
      <c r="P40" s="113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114"/>
    </row>
    <row r="42" spans="1:32" s="1" customFormat="1" ht="15.75" customHeight="1">
      <c r="A42" s="10" t="s">
        <v>2</v>
      </c>
      <c r="B42" s="11">
        <v>15</v>
      </c>
      <c r="C42" s="3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</row>
    <row r="43" spans="1:32" s="1" customFormat="1" ht="15.75" customHeight="1">
      <c r="A43" s="10" t="s">
        <v>3</v>
      </c>
      <c r="B43" s="11">
        <v>116</v>
      </c>
      <c r="C43" s="3"/>
      <c r="D43" s="2"/>
      <c r="E43" s="2"/>
      <c r="F43" s="2"/>
      <c r="G43" s="2"/>
      <c r="H43" s="2"/>
      <c r="I43" s="2"/>
      <c r="J43" s="2"/>
      <c r="K43" s="2"/>
      <c r="L43" s="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3"/>
      <c r="AB43" s="14"/>
      <c r="AC43" s="14"/>
      <c r="AD43" s="14"/>
      <c r="AE43" s="15"/>
    </row>
    <row r="44" spans="1:32" s="1" customFormat="1" ht="15.75" customHeight="1">
      <c r="A44" s="2"/>
      <c r="B44" s="2"/>
      <c r="C44" s="3"/>
      <c r="D44" s="2"/>
      <c r="E44" s="2"/>
      <c r="F44" s="2"/>
      <c r="G44" s="2"/>
      <c r="H44" s="2"/>
      <c r="I44" s="2"/>
      <c r="J44" s="2"/>
      <c r="K44" s="2"/>
      <c r="L44" s="2"/>
      <c r="M44" s="157" t="s">
        <v>4</v>
      </c>
      <c r="N44" s="158"/>
      <c r="O44" s="158"/>
      <c r="P44" s="158"/>
      <c r="Q44" s="158"/>
      <c r="R44" s="159"/>
      <c r="S44" s="16" t="s">
        <v>5</v>
      </c>
      <c r="T44" s="17"/>
      <c r="U44" s="18"/>
      <c r="V44" s="18"/>
      <c r="W44" s="18"/>
      <c r="X44" s="18"/>
      <c r="Y44" s="16"/>
      <c r="Z44" s="17"/>
      <c r="AA44" s="19"/>
      <c r="AB44" s="20" t="s">
        <v>6</v>
      </c>
      <c r="AC44" s="20"/>
      <c r="AD44" s="20"/>
      <c r="AE44" s="21"/>
    </row>
    <row r="45" spans="1:32">
      <c r="A45" s="2"/>
      <c r="B45" s="2"/>
      <c r="C45" s="3"/>
      <c r="D45" s="2"/>
      <c r="E45" s="2"/>
      <c r="F45" s="2"/>
      <c r="G45" s="2"/>
      <c r="H45" s="2"/>
      <c r="I45" s="2"/>
      <c r="J45" s="2"/>
      <c r="K45" s="2"/>
      <c r="L45" s="2"/>
      <c r="M45" s="22"/>
      <c r="N45" s="23"/>
      <c r="O45" s="22"/>
      <c r="P45" s="23"/>
      <c r="Q45" s="24"/>
      <c r="R45" s="24"/>
      <c r="S45" s="22"/>
      <c r="T45" s="23"/>
      <c r="U45" s="24"/>
      <c r="V45" s="23"/>
      <c r="W45" s="24"/>
      <c r="X45" s="24"/>
      <c r="Y45" s="25"/>
      <c r="Z45" s="26"/>
      <c r="AA45" s="27"/>
      <c r="AB45" s="19"/>
      <c r="AC45" s="19"/>
      <c r="AD45" s="19"/>
      <c r="AE45" s="21"/>
    </row>
    <row r="46" spans="1:32">
      <c r="A46" s="2"/>
      <c r="B46" s="2"/>
      <c r="C46" s="3"/>
      <c r="D46" s="2"/>
      <c r="E46" s="2"/>
      <c r="F46" s="2"/>
      <c r="G46" s="2"/>
      <c r="H46" s="2"/>
      <c r="J46" s="2"/>
      <c r="K46" s="2"/>
      <c r="L46" s="2"/>
      <c r="M46" s="160" t="s">
        <v>7</v>
      </c>
      <c r="N46" s="161"/>
      <c r="O46" s="160" t="s">
        <v>8</v>
      </c>
      <c r="P46" s="161"/>
      <c r="Q46" s="160" t="s">
        <v>9</v>
      </c>
      <c r="R46" s="161"/>
      <c r="S46" s="162" t="s">
        <v>10</v>
      </c>
      <c r="T46" s="161"/>
      <c r="U46" s="162" t="s">
        <v>11</v>
      </c>
      <c r="V46" s="161"/>
      <c r="W46" s="162" t="s">
        <v>12</v>
      </c>
      <c r="X46" s="161"/>
      <c r="Y46" s="162" t="s">
        <v>13</v>
      </c>
      <c r="Z46" s="161"/>
      <c r="AA46" s="27"/>
      <c r="AB46" s="28" t="s">
        <v>14</v>
      </c>
      <c r="AC46" s="28"/>
      <c r="AD46" s="28"/>
      <c r="AE46" s="21"/>
    </row>
    <row r="47" spans="1:32">
      <c r="A47" s="2"/>
      <c r="B47" s="2"/>
      <c r="C47" s="3"/>
      <c r="D47" s="2"/>
      <c r="E47" s="2"/>
      <c r="F47" s="2"/>
      <c r="G47" s="2"/>
      <c r="H47" s="2"/>
      <c r="J47" s="2"/>
      <c r="K47" s="2"/>
      <c r="L47" s="2"/>
      <c r="M47" s="29" t="s">
        <v>15</v>
      </c>
      <c r="N47" s="30">
        <v>0.5</v>
      </c>
      <c r="O47" s="29" t="s">
        <v>15</v>
      </c>
      <c r="P47" s="30">
        <v>0.1</v>
      </c>
      <c r="Q47" s="29" t="s">
        <v>15</v>
      </c>
      <c r="R47" s="30">
        <v>0.1</v>
      </c>
      <c r="S47" s="29" t="s">
        <v>15</v>
      </c>
      <c r="T47" s="30">
        <v>0.1</v>
      </c>
      <c r="U47" s="31" t="s">
        <v>15</v>
      </c>
      <c r="V47" s="32">
        <v>0.1</v>
      </c>
      <c r="W47" s="29" t="s">
        <v>15</v>
      </c>
      <c r="X47" s="32">
        <v>0.05</v>
      </c>
      <c r="Y47" s="33"/>
      <c r="Z47" s="30">
        <v>0.05</v>
      </c>
      <c r="AA47" s="25"/>
      <c r="AB47" s="34"/>
      <c r="AC47" s="34"/>
      <c r="AD47" s="34"/>
      <c r="AE47" s="26"/>
    </row>
    <row r="48" spans="1:32">
      <c r="A48" s="2"/>
      <c r="B48" s="2"/>
      <c r="C48" s="3"/>
      <c r="D48" s="2"/>
      <c r="E48" s="2"/>
      <c r="F48" s="2"/>
      <c r="G48" s="2"/>
      <c r="H48" s="2"/>
      <c r="I48" s="2"/>
      <c r="J48" s="2"/>
      <c r="K48" s="2"/>
      <c r="L48" s="2"/>
      <c r="M48" s="29" t="s">
        <v>16</v>
      </c>
      <c r="N48" s="35">
        <v>0.17</v>
      </c>
      <c r="O48" s="29" t="s">
        <v>16</v>
      </c>
      <c r="P48" s="35">
        <v>0.13</v>
      </c>
      <c r="Q48" s="29" t="s">
        <v>16</v>
      </c>
      <c r="R48" s="35">
        <v>0.08</v>
      </c>
      <c r="S48" s="29" t="s">
        <v>16</v>
      </c>
      <c r="T48" s="36">
        <v>0.32500000000000001</v>
      </c>
      <c r="U48" s="31" t="s">
        <v>16</v>
      </c>
      <c r="V48" s="37">
        <v>0.3</v>
      </c>
      <c r="W48" s="29" t="s">
        <v>16</v>
      </c>
      <c r="X48" s="37">
        <v>0.28000000000000003</v>
      </c>
      <c r="Y48" s="29" t="s">
        <v>16</v>
      </c>
      <c r="Z48" s="35">
        <v>0.25</v>
      </c>
      <c r="AA48" s="27"/>
      <c r="AB48" s="19"/>
      <c r="AC48" s="19"/>
      <c r="AD48" s="19"/>
      <c r="AE48" s="21"/>
    </row>
    <row r="49" spans="1:31">
      <c r="A49" s="2"/>
      <c r="B49" s="2"/>
      <c r="C49" s="3"/>
      <c r="D49" s="2"/>
      <c r="E49" s="2"/>
      <c r="F49" s="2"/>
      <c r="G49" s="2"/>
      <c r="H49" s="2"/>
      <c r="I49" s="2"/>
      <c r="J49" s="2"/>
      <c r="K49" s="2"/>
      <c r="L49" s="2"/>
      <c r="M49" s="29" t="s">
        <v>17</v>
      </c>
      <c r="N49" s="38">
        <f>N47*$B$42</f>
        <v>7.5</v>
      </c>
      <c r="O49" s="29" t="s">
        <v>17</v>
      </c>
      <c r="P49" s="38">
        <f>P47*$B$42</f>
        <v>1.5</v>
      </c>
      <c r="Q49" s="29" t="s">
        <v>17</v>
      </c>
      <c r="R49" s="38">
        <f>R47*$B$42</f>
        <v>1.5</v>
      </c>
      <c r="S49" s="29" t="s">
        <v>17</v>
      </c>
      <c r="T49" s="38">
        <f>T47*$B$42</f>
        <v>1.5</v>
      </c>
      <c r="U49" s="31" t="s">
        <v>17</v>
      </c>
      <c r="V49" s="38">
        <f>V47*$B$42</f>
        <v>1.5</v>
      </c>
      <c r="W49" s="29" t="s">
        <v>17</v>
      </c>
      <c r="X49" s="39">
        <f>X47*$B$42</f>
        <v>0.75</v>
      </c>
      <c r="Y49" s="29" t="s">
        <v>17</v>
      </c>
      <c r="Z49" s="38">
        <f>Z47*$B$42</f>
        <v>0.75</v>
      </c>
      <c r="AA49" s="27"/>
      <c r="AB49" s="19"/>
      <c r="AC49" s="19"/>
      <c r="AD49" s="19"/>
      <c r="AE49" s="21"/>
    </row>
    <row r="50" spans="1:31" s="1" customFormat="1" ht="51.75" customHeight="1">
      <c r="A50" s="40"/>
      <c r="B50" s="40"/>
      <c r="C50" s="41"/>
      <c r="D50" s="40"/>
      <c r="E50" s="42" t="s">
        <v>18</v>
      </c>
      <c r="F50" s="42" t="s">
        <v>19</v>
      </c>
      <c r="G50" s="42" t="s">
        <v>20</v>
      </c>
      <c r="H50" s="42" t="s">
        <v>21</v>
      </c>
      <c r="I50" s="42" t="s">
        <v>22</v>
      </c>
      <c r="J50" s="42" t="s">
        <v>23</v>
      </c>
      <c r="K50" s="42" t="s">
        <v>24</v>
      </c>
      <c r="L50" s="42" t="s">
        <v>25</v>
      </c>
      <c r="M50" s="43" t="s">
        <v>26</v>
      </c>
      <c r="N50" s="44" t="s">
        <v>27</v>
      </c>
      <c r="O50" s="43" t="s">
        <v>26</v>
      </c>
      <c r="P50" s="44" t="s">
        <v>27</v>
      </c>
      <c r="Q50" s="43" t="s">
        <v>26</v>
      </c>
      <c r="R50" s="44" t="s">
        <v>27</v>
      </c>
      <c r="S50" s="43" t="s">
        <v>26</v>
      </c>
      <c r="T50" s="44" t="s">
        <v>27</v>
      </c>
      <c r="U50" s="42" t="s">
        <v>26</v>
      </c>
      <c r="V50" s="44" t="s">
        <v>27</v>
      </c>
      <c r="W50" s="42" t="s">
        <v>26</v>
      </c>
      <c r="X50" s="42" t="s">
        <v>27</v>
      </c>
      <c r="Y50" s="43" t="s">
        <v>26</v>
      </c>
      <c r="Z50" s="44" t="s">
        <v>27</v>
      </c>
      <c r="AA50" s="45"/>
      <c r="AB50" s="46" t="s">
        <v>28</v>
      </c>
      <c r="AC50" s="46" t="s">
        <v>26</v>
      </c>
      <c r="AD50" s="46" t="s">
        <v>27</v>
      </c>
      <c r="AE50" s="47"/>
    </row>
    <row r="51" spans="1:31" s="1" customFormat="1" ht="26.25" customHeight="1">
      <c r="A51" s="48" t="s">
        <v>29</v>
      </c>
      <c r="B51" s="48" t="s">
        <v>30</v>
      </c>
      <c r="C51" s="48" t="s">
        <v>31</v>
      </c>
      <c r="D51" s="48" t="s">
        <v>32</v>
      </c>
      <c r="E51" s="48" t="s">
        <v>33</v>
      </c>
      <c r="F51" s="48" t="s">
        <v>34</v>
      </c>
      <c r="G51" s="48" t="s">
        <v>34</v>
      </c>
      <c r="H51" s="48" t="s">
        <v>34</v>
      </c>
      <c r="I51" s="48" t="s">
        <v>34</v>
      </c>
      <c r="J51" s="48" t="s">
        <v>34</v>
      </c>
      <c r="K51" s="48" t="s">
        <v>34</v>
      </c>
      <c r="L51" s="48" t="s">
        <v>34</v>
      </c>
      <c r="M51" s="49" t="s">
        <v>34</v>
      </c>
      <c r="N51" s="50" t="s">
        <v>34</v>
      </c>
      <c r="O51" s="49" t="s">
        <v>34</v>
      </c>
      <c r="P51" s="50" t="s">
        <v>34</v>
      </c>
      <c r="Q51" s="49" t="s">
        <v>34</v>
      </c>
      <c r="R51" s="50" t="s">
        <v>34</v>
      </c>
      <c r="S51" s="49" t="s">
        <v>34</v>
      </c>
      <c r="T51" s="50" t="s">
        <v>34</v>
      </c>
      <c r="U51" s="48" t="s">
        <v>34</v>
      </c>
      <c r="V51" s="50" t="s">
        <v>34</v>
      </c>
      <c r="W51" s="48" t="s">
        <v>34</v>
      </c>
      <c r="X51" s="48" t="s">
        <v>34</v>
      </c>
      <c r="Y51" s="51" t="s">
        <v>34</v>
      </c>
      <c r="Z51" s="52" t="s">
        <v>34</v>
      </c>
      <c r="AA51" s="27"/>
      <c r="AB51" s="53" t="s">
        <v>33</v>
      </c>
      <c r="AC51" s="53" t="s">
        <v>34</v>
      </c>
      <c r="AD51" s="53" t="s">
        <v>34</v>
      </c>
      <c r="AE51" s="21"/>
    </row>
    <row r="52" spans="1:31">
      <c r="A52" s="2"/>
      <c r="B52" s="2"/>
      <c r="C52" s="3"/>
      <c r="D52" s="2"/>
      <c r="E52" s="2"/>
      <c r="F52" s="2"/>
      <c r="G52" s="2"/>
      <c r="H52" s="2"/>
      <c r="I52" s="2"/>
      <c r="J52" s="2"/>
      <c r="M52" s="25"/>
      <c r="N52" s="26"/>
      <c r="O52" s="25"/>
      <c r="P52" s="26"/>
      <c r="Q52" s="25"/>
      <c r="R52" s="26"/>
      <c r="S52" s="25"/>
      <c r="T52" s="26"/>
      <c r="U52" s="2"/>
      <c r="V52" s="26"/>
      <c r="W52" s="2"/>
      <c r="X52" s="26"/>
      <c r="Y52" s="2"/>
      <c r="Z52" s="2"/>
      <c r="AA52" s="27"/>
      <c r="AB52" s="19"/>
      <c r="AC52" s="19"/>
      <c r="AD52" s="19"/>
      <c r="AE52" s="21"/>
    </row>
    <row r="53" spans="1:31">
      <c r="A53" s="54" t="s">
        <v>35</v>
      </c>
      <c r="B53" s="54"/>
      <c r="C53" s="55"/>
      <c r="D53" s="54"/>
      <c r="E53" s="56">
        <f>IFERROR(SUMIFS(E55:E74,D55:D74,"Produit Vente"),"Non trouvé")</f>
        <v>113</v>
      </c>
      <c r="F53" s="57"/>
      <c r="G53" s="57">
        <f>IFERROR(SUM(G55:G74),"Non Trouvé")</f>
        <v>1794.1499999999999</v>
      </c>
      <c r="H53" s="57"/>
      <c r="I53" s="58"/>
      <c r="J53" s="57"/>
      <c r="K53" s="57"/>
      <c r="L53" s="57"/>
      <c r="M53" s="59">
        <f t="shared" ref="M53:Z53" si="18">SUM(M55:M74)</f>
        <v>24486.529274999997</v>
      </c>
      <c r="N53" s="60">
        <f t="shared" si="18"/>
        <v>11030.404274999999</v>
      </c>
      <c r="O53" s="59">
        <f t="shared" si="18"/>
        <v>5133.3205950000001</v>
      </c>
      <c r="P53" s="60">
        <f t="shared" si="18"/>
        <v>2442.0955950000002</v>
      </c>
      <c r="Q53" s="59">
        <f t="shared" si="18"/>
        <v>5428.3390200000013</v>
      </c>
      <c r="R53" s="60">
        <f t="shared" si="18"/>
        <v>2737.1140199999995</v>
      </c>
      <c r="S53" s="59">
        <f t="shared" si="18"/>
        <v>3982.7487375000001</v>
      </c>
      <c r="T53" s="60">
        <f t="shared" si="18"/>
        <v>1291.5237375000006</v>
      </c>
      <c r="U53" s="61">
        <f t="shared" si="18"/>
        <v>4130.2579499999993</v>
      </c>
      <c r="V53" s="60">
        <f t="shared" si="18"/>
        <v>1439.0329499999996</v>
      </c>
      <c r="W53" s="61">
        <f t="shared" si="18"/>
        <v>2124.1326599999998</v>
      </c>
      <c r="X53" s="60">
        <f t="shared" si="18"/>
        <v>778.52015999999992</v>
      </c>
      <c r="Y53" s="61">
        <f t="shared" si="18"/>
        <v>2212.6381874999997</v>
      </c>
      <c r="Z53" s="62">
        <f t="shared" si="18"/>
        <v>867.0256875</v>
      </c>
      <c r="AA53" s="63"/>
      <c r="AB53" s="64">
        <f>B42</f>
        <v>15</v>
      </c>
      <c r="AC53" s="65">
        <f>Y53+W53+U53+S53+O53+M53+Q53</f>
        <v>47497.966424999991</v>
      </c>
      <c r="AD53" s="66">
        <f>Z53+X53+V53+T53+P53+N53+R53</f>
        <v>20585.716424999999</v>
      </c>
      <c r="AE53" s="67"/>
    </row>
    <row r="54" spans="1:31">
      <c r="A54" s="2"/>
      <c r="B54" s="2"/>
      <c r="C54" s="3"/>
      <c r="D54" s="2"/>
      <c r="E54" s="2"/>
      <c r="F54" s="2"/>
      <c r="G54" s="2"/>
      <c r="H54" s="2"/>
      <c r="I54" s="2"/>
      <c r="J54" s="2"/>
      <c r="M54" s="25"/>
      <c r="N54" s="26"/>
      <c r="O54" s="25"/>
      <c r="P54" s="26"/>
      <c r="Q54" s="25"/>
      <c r="R54" s="26"/>
      <c r="S54" s="25"/>
      <c r="T54" s="26"/>
      <c r="U54" s="2"/>
      <c r="V54" s="26"/>
      <c r="W54" s="2"/>
      <c r="X54" s="26"/>
      <c r="Y54" s="2"/>
      <c r="Z54" s="2"/>
      <c r="AA54" s="27"/>
      <c r="AB54" s="19"/>
      <c r="AC54" s="19"/>
      <c r="AD54" s="19"/>
      <c r="AE54" s="21"/>
    </row>
    <row r="55" spans="1:31" s="1" customFormat="1" ht="15.75" customHeight="1">
      <c r="A55" s="68" t="s">
        <v>36</v>
      </c>
      <c r="B55" s="69" t="s">
        <v>37</v>
      </c>
      <c r="C55" s="70" t="s">
        <v>38</v>
      </c>
      <c r="D55" s="71" t="s">
        <v>39</v>
      </c>
      <c r="E55" s="72">
        <v>21</v>
      </c>
      <c r="F55" s="73">
        <v>17.190000000000001</v>
      </c>
      <c r="G55" s="74">
        <f t="shared" ref="G55:G74" si="19">E55*F55</f>
        <v>360.99</v>
      </c>
      <c r="H55" s="73">
        <v>44.65</v>
      </c>
      <c r="I55" s="75">
        <v>0.15</v>
      </c>
      <c r="J55" s="73">
        <v>75.900000000000006</v>
      </c>
      <c r="K55" s="76">
        <f t="shared" ref="K55:K67" si="20">J55*(1-I55)</f>
        <v>64.515000000000001</v>
      </c>
      <c r="L55" s="77">
        <f t="shared" ref="L55:L74" si="21">IFERROR(J55-K55,"")</f>
        <v>11.385000000000005</v>
      </c>
      <c r="M55" s="78">
        <f t="shared" ref="M55:M67" si="22">E55*H55*(1-I55)*$N$49*(1-$N$48)</f>
        <v>4961.3405624999996</v>
      </c>
      <c r="N55" s="26">
        <f t="shared" ref="N55:N67" si="23">M55-E55*F55*$N$49</f>
        <v>2253.9155624999994</v>
      </c>
      <c r="O55" s="78">
        <f t="shared" ref="O55:O67" si="24">E55*H55*(1-I55)*$P$49*(1-$P$48)</f>
        <v>1040.0882624999999</v>
      </c>
      <c r="P55" s="26">
        <f t="shared" ref="P55:P67" si="25">O55-E55*F55*$P$49</f>
        <v>498.60326249999991</v>
      </c>
      <c r="Q55" s="78">
        <f t="shared" ref="Q55:Q67" si="26">E55*H55*(1-I55)*$R$49*(1-$R$48)</f>
        <v>1099.8634499999998</v>
      </c>
      <c r="R55" s="26">
        <f t="shared" ref="R55:R67" si="27">Q55-E55*F55*$R$49</f>
        <v>558.37844999999982</v>
      </c>
      <c r="S55" s="78">
        <f t="shared" ref="S55:S67" si="28">E55*H55*(1-I55)*$T$49*(1-$T$48)</f>
        <v>806.96503124999992</v>
      </c>
      <c r="T55" s="26">
        <f t="shared" ref="T55:T67" si="29">S55-E55*F55*$T$49</f>
        <v>265.48003124999991</v>
      </c>
      <c r="U55" s="79">
        <f t="shared" ref="U55:U67" si="30">E55*H55*(1-I55)*$V$49*(1-$V$48)</f>
        <v>836.85262499999988</v>
      </c>
      <c r="V55" s="26">
        <f t="shared" ref="V55:V67" si="31">U55-E55*F55*$V$49</f>
        <v>295.36762499999986</v>
      </c>
      <c r="W55" s="76">
        <f t="shared" ref="W55:W67" si="32">E55*H55*(1-I55)*$X$49*(1-$X$48)</f>
        <v>430.38134999999994</v>
      </c>
      <c r="X55" s="26">
        <f t="shared" ref="X55:X67" si="33">W55-E55*F55*$X$49</f>
        <v>159.63884999999993</v>
      </c>
      <c r="Y55" s="77">
        <f t="shared" ref="Y55:Y67" si="34">E55*H55*(1-I55)*$Z$49*(1-$Z$48)</f>
        <v>448.31390624999995</v>
      </c>
      <c r="Z55" s="2">
        <f t="shared" ref="Z55:Z67" si="35">Y55-E55*F55*$Z$49</f>
        <v>177.57140624999994</v>
      </c>
      <c r="AA55" s="80"/>
      <c r="AB55" s="81"/>
      <c r="AC55" s="82"/>
      <c r="AD55" s="82"/>
      <c r="AE55" s="83"/>
    </row>
    <row r="56" spans="1:31" s="1" customFormat="1" ht="15.75" customHeight="1">
      <c r="A56" s="68" t="s">
        <v>48</v>
      </c>
      <c r="B56" s="69" t="s">
        <v>49</v>
      </c>
      <c r="C56" s="70" t="s">
        <v>50</v>
      </c>
      <c r="D56" s="71" t="s">
        <v>39</v>
      </c>
      <c r="E56" s="72">
        <v>17</v>
      </c>
      <c r="F56" s="73">
        <v>18.28</v>
      </c>
      <c r="G56" s="74">
        <f t="shared" si="19"/>
        <v>310.76</v>
      </c>
      <c r="H56" s="73">
        <v>46.76</v>
      </c>
      <c r="I56" s="75">
        <v>0.15</v>
      </c>
      <c r="J56" s="73">
        <v>79.5</v>
      </c>
      <c r="K56" s="76">
        <f t="shared" si="20"/>
        <v>67.575000000000003</v>
      </c>
      <c r="L56" s="77">
        <f t="shared" si="21"/>
        <v>11.924999999999997</v>
      </c>
      <c r="M56" s="78">
        <f t="shared" si="22"/>
        <v>4206.1204499999985</v>
      </c>
      <c r="N56" s="26">
        <f t="shared" si="23"/>
        <v>1875.4204499999987</v>
      </c>
      <c r="O56" s="78">
        <f t="shared" si="24"/>
        <v>881.76500999999996</v>
      </c>
      <c r="P56" s="26">
        <f t="shared" si="25"/>
        <v>415.62500999999997</v>
      </c>
      <c r="Q56" s="78">
        <f t="shared" si="26"/>
        <v>932.44115999999997</v>
      </c>
      <c r="R56" s="26">
        <f t="shared" si="27"/>
        <v>466.30115999999998</v>
      </c>
      <c r="S56" s="78">
        <f t="shared" si="28"/>
        <v>684.12802499999998</v>
      </c>
      <c r="T56" s="26">
        <f t="shared" si="29"/>
        <v>217.98802499999999</v>
      </c>
      <c r="U56" s="79">
        <f t="shared" si="30"/>
        <v>709.46609999999987</v>
      </c>
      <c r="V56" s="26">
        <f t="shared" si="31"/>
        <v>243.32609999999988</v>
      </c>
      <c r="W56" s="76">
        <f t="shared" si="32"/>
        <v>364.86827999999997</v>
      </c>
      <c r="X56" s="26">
        <f t="shared" si="33"/>
        <v>131.79827999999998</v>
      </c>
      <c r="Y56" s="77">
        <f t="shared" si="34"/>
        <v>380.07112499999994</v>
      </c>
      <c r="Z56" s="2">
        <f t="shared" si="35"/>
        <v>147.00112499999994</v>
      </c>
      <c r="AA56" s="84"/>
      <c r="AB56" s="85"/>
      <c r="AC56" s="86" t="s">
        <v>43</v>
      </c>
      <c r="AD56" s="87">
        <f>AC53/AB53</f>
        <v>3166.5310949999994</v>
      </c>
      <c r="AE56" s="83"/>
    </row>
    <row r="57" spans="1:31" s="1" customFormat="1" ht="15.75" customHeight="1">
      <c r="A57" s="68" t="s">
        <v>40</v>
      </c>
      <c r="B57" s="69" t="s">
        <v>41</v>
      </c>
      <c r="C57" s="70" t="s">
        <v>42</v>
      </c>
      <c r="D57" s="71" t="s">
        <v>39</v>
      </c>
      <c r="E57" s="72">
        <v>19</v>
      </c>
      <c r="F57" s="73">
        <v>15.84</v>
      </c>
      <c r="G57" s="74">
        <f t="shared" si="19"/>
        <v>300.95999999999998</v>
      </c>
      <c r="H57" s="73">
        <v>41.12</v>
      </c>
      <c r="I57" s="75">
        <v>0.15</v>
      </c>
      <c r="J57" s="73">
        <v>69.900000000000006</v>
      </c>
      <c r="K57" s="76">
        <f t="shared" si="20"/>
        <v>59.415000000000006</v>
      </c>
      <c r="L57" s="77">
        <f t="shared" si="21"/>
        <v>10.484999999999999</v>
      </c>
      <c r="M57" s="78">
        <f t="shared" si="22"/>
        <v>4133.9477999999999</v>
      </c>
      <c r="N57" s="26">
        <f t="shared" si="23"/>
        <v>1876.7478000000001</v>
      </c>
      <c r="O57" s="78">
        <f t="shared" si="24"/>
        <v>866.63483999999994</v>
      </c>
      <c r="P57" s="26">
        <f t="shared" si="25"/>
        <v>415.19484</v>
      </c>
      <c r="Q57" s="78">
        <f t="shared" si="26"/>
        <v>916.44143999999994</v>
      </c>
      <c r="R57" s="26">
        <f t="shared" si="27"/>
        <v>465.00144</v>
      </c>
      <c r="S57" s="78">
        <f t="shared" si="28"/>
        <v>672.38909999999998</v>
      </c>
      <c r="T57" s="26">
        <f t="shared" si="29"/>
        <v>220.94910000000004</v>
      </c>
      <c r="U57" s="79">
        <f t="shared" si="30"/>
        <v>697.29239999999993</v>
      </c>
      <c r="V57" s="26">
        <f t="shared" si="31"/>
        <v>245.85239999999999</v>
      </c>
      <c r="W57" s="76">
        <f t="shared" si="32"/>
        <v>358.60751999999997</v>
      </c>
      <c r="X57" s="26">
        <f t="shared" si="33"/>
        <v>132.88751999999999</v>
      </c>
      <c r="Y57" s="77">
        <f t="shared" si="34"/>
        <v>373.54949999999997</v>
      </c>
      <c r="Z57" s="2">
        <f t="shared" si="35"/>
        <v>147.8295</v>
      </c>
      <c r="AA57" s="84"/>
      <c r="AB57" s="85"/>
      <c r="AC57" s="86" t="s">
        <v>47</v>
      </c>
      <c r="AD57" s="88">
        <f>SUM(AD59:AD62)</f>
        <v>0</v>
      </c>
      <c r="AE57" s="83"/>
    </row>
    <row r="58" spans="1:31">
      <c r="A58" s="68" t="s">
        <v>44</v>
      </c>
      <c r="B58" s="69" t="s">
        <v>45</v>
      </c>
      <c r="C58" s="70" t="s">
        <v>46</v>
      </c>
      <c r="D58" s="71" t="s">
        <v>39</v>
      </c>
      <c r="E58" s="72">
        <v>19</v>
      </c>
      <c r="F58" s="73">
        <v>14.8</v>
      </c>
      <c r="G58" s="74">
        <f t="shared" si="19"/>
        <v>281.2</v>
      </c>
      <c r="H58" s="73">
        <v>38.53</v>
      </c>
      <c r="I58" s="75">
        <v>0.15</v>
      </c>
      <c r="J58" s="73">
        <v>65.5</v>
      </c>
      <c r="K58" s="76">
        <f t="shared" si="20"/>
        <v>55.674999999999997</v>
      </c>
      <c r="L58" s="77">
        <f t="shared" si="21"/>
        <v>9.8250000000000028</v>
      </c>
      <c r="M58" s="78">
        <f t="shared" si="22"/>
        <v>3873.5653874999998</v>
      </c>
      <c r="N58" s="26">
        <f t="shared" si="23"/>
        <v>1764.5653874999998</v>
      </c>
      <c r="O58" s="78">
        <f t="shared" si="24"/>
        <v>812.0486474999999</v>
      </c>
      <c r="P58" s="26">
        <f t="shared" si="25"/>
        <v>390.24864749999995</v>
      </c>
      <c r="Q58" s="78">
        <f t="shared" si="26"/>
        <v>858.71811000000002</v>
      </c>
      <c r="R58" s="26">
        <f t="shared" si="27"/>
        <v>436.91811000000007</v>
      </c>
      <c r="S58" s="78">
        <f t="shared" si="28"/>
        <v>630.03774375</v>
      </c>
      <c r="T58" s="26">
        <f t="shared" si="29"/>
        <v>208.23774375000005</v>
      </c>
      <c r="U58" s="79">
        <f t="shared" si="30"/>
        <v>653.37247499999989</v>
      </c>
      <c r="V58" s="26">
        <f t="shared" si="31"/>
        <v>231.57247499999994</v>
      </c>
      <c r="W58" s="76">
        <f t="shared" si="32"/>
        <v>336.02012999999999</v>
      </c>
      <c r="X58" s="26">
        <f t="shared" si="33"/>
        <v>125.12013000000002</v>
      </c>
      <c r="Y58" s="77">
        <f t="shared" si="34"/>
        <v>350.02096874999995</v>
      </c>
      <c r="Z58" s="2">
        <f t="shared" si="35"/>
        <v>139.12096874999997</v>
      </c>
      <c r="AA58" s="80"/>
      <c r="AB58" s="81"/>
      <c r="AC58" s="82"/>
      <c r="AD58" s="82"/>
      <c r="AE58" s="83"/>
    </row>
    <row r="59" spans="1:31">
      <c r="A59" s="68" t="s">
        <v>51</v>
      </c>
      <c r="B59" s="69" t="s">
        <v>52</v>
      </c>
      <c r="C59" s="70" t="s">
        <v>53</v>
      </c>
      <c r="D59" s="71" t="s">
        <v>39</v>
      </c>
      <c r="E59" s="72">
        <v>7</v>
      </c>
      <c r="F59" s="73">
        <v>15.34</v>
      </c>
      <c r="G59" s="74">
        <f t="shared" si="19"/>
        <v>107.38</v>
      </c>
      <c r="H59" s="73">
        <v>39.71</v>
      </c>
      <c r="I59" s="75">
        <v>0.15</v>
      </c>
      <c r="J59" s="73">
        <v>67.5</v>
      </c>
      <c r="K59" s="76">
        <f t="shared" si="20"/>
        <v>57.375</v>
      </c>
      <c r="L59" s="77">
        <f t="shared" si="21"/>
        <v>10.125</v>
      </c>
      <c r="M59" s="78">
        <f t="shared" si="22"/>
        <v>1470.8087625000001</v>
      </c>
      <c r="N59" s="26">
        <f t="shared" si="23"/>
        <v>665.45876250000015</v>
      </c>
      <c r="O59" s="78">
        <f t="shared" si="24"/>
        <v>308.33822250000003</v>
      </c>
      <c r="P59" s="26">
        <f t="shared" si="25"/>
        <v>147.26822250000004</v>
      </c>
      <c r="Q59" s="78">
        <f t="shared" si="26"/>
        <v>326.05881000000005</v>
      </c>
      <c r="R59" s="26">
        <f t="shared" si="27"/>
        <v>164.98881000000006</v>
      </c>
      <c r="S59" s="78">
        <f t="shared" si="28"/>
        <v>239.22793125000004</v>
      </c>
      <c r="T59" s="26">
        <f t="shared" si="29"/>
        <v>78.157931250000047</v>
      </c>
      <c r="U59" s="79">
        <f t="shared" si="30"/>
        <v>248.08822500000002</v>
      </c>
      <c r="V59" s="26">
        <f t="shared" si="31"/>
        <v>87.018225000000029</v>
      </c>
      <c r="W59" s="76">
        <f t="shared" si="32"/>
        <v>127.58823000000001</v>
      </c>
      <c r="X59" s="26">
        <f t="shared" si="33"/>
        <v>47.053230000000013</v>
      </c>
      <c r="Y59" s="77">
        <f t="shared" si="34"/>
        <v>132.90440625000002</v>
      </c>
      <c r="Z59" s="2">
        <f t="shared" si="35"/>
        <v>52.369406250000026</v>
      </c>
      <c r="AA59" s="80"/>
      <c r="AB59" s="81"/>
      <c r="AC59" s="89" t="s">
        <v>54</v>
      </c>
      <c r="AD59" s="90">
        <f>SUMIF($D$55:$D$74,AC59,$G$55:$G$74)/$AC$53</f>
        <v>0</v>
      </c>
      <c r="AE59" s="83"/>
    </row>
    <row r="60" spans="1:31">
      <c r="A60" s="68" t="s">
        <v>59</v>
      </c>
      <c r="B60" s="69" t="s">
        <v>60</v>
      </c>
      <c r="C60" s="70" t="s">
        <v>61</v>
      </c>
      <c r="D60" s="71" t="s">
        <v>39</v>
      </c>
      <c r="E60" s="72">
        <v>6</v>
      </c>
      <c r="F60" s="73">
        <v>17.64</v>
      </c>
      <c r="G60" s="74">
        <f t="shared" si="19"/>
        <v>105.84</v>
      </c>
      <c r="H60" s="73">
        <v>44.12</v>
      </c>
      <c r="I60" s="75">
        <v>0.15</v>
      </c>
      <c r="J60" s="73">
        <v>75</v>
      </c>
      <c r="K60" s="76">
        <f t="shared" si="20"/>
        <v>63.75</v>
      </c>
      <c r="L60" s="77">
        <f t="shared" si="21"/>
        <v>11.25</v>
      </c>
      <c r="M60" s="78">
        <f t="shared" si="22"/>
        <v>1400.6996999999997</v>
      </c>
      <c r="N60" s="26">
        <f t="shared" si="23"/>
        <v>606.8996999999996</v>
      </c>
      <c r="O60" s="78">
        <f t="shared" si="24"/>
        <v>293.64065999999997</v>
      </c>
      <c r="P60" s="26">
        <f t="shared" si="25"/>
        <v>134.88065999999998</v>
      </c>
      <c r="Q60" s="78">
        <f t="shared" si="26"/>
        <v>310.51655999999997</v>
      </c>
      <c r="R60" s="26">
        <f t="shared" si="27"/>
        <v>151.75655999999998</v>
      </c>
      <c r="S60" s="78">
        <f t="shared" si="28"/>
        <v>227.82464999999999</v>
      </c>
      <c r="T60" s="26">
        <f t="shared" si="29"/>
        <v>69.06465</v>
      </c>
      <c r="U60" s="79">
        <f t="shared" si="30"/>
        <v>236.26259999999996</v>
      </c>
      <c r="V60" s="26">
        <f t="shared" si="31"/>
        <v>77.502599999999973</v>
      </c>
      <c r="W60" s="76">
        <f t="shared" si="32"/>
        <v>121.50647999999998</v>
      </c>
      <c r="X60" s="26">
        <f t="shared" si="33"/>
        <v>42.126479999999987</v>
      </c>
      <c r="Y60" s="77">
        <f t="shared" si="34"/>
        <v>126.56924999999998</v>
      </c>
      <c r="Z60" s="2">
        <f t="shared" si="35"/>
        <v>47.189249999999987</v>
      </c>
      <c r="AA60" s="80"/>
      <c r="AB60" s="81"/>
      <c r="AC60" s="89" t="s">
        <v>58</v>
      </c>
      <c r="AD60" s="90">
        <f t="shared" ref="AD60:AD62" si="36">SUMIF($D$55:$D$74,AC60,$G$55:$G$74)/$AC$53</f>
        <v>0</v>
      </c>
      <c r="AE60" s="83"/>
    </row>
    <row r="61" spans="1:31">
      <c r="A61" s="68" t="s">
        <v>63</v>
      </c>
      <c r="B61" s="69" t="s">
        <v>64</v>
      </c>
      <c r="C61" s="70" t="s">
        <v>65</v>
      </c>
      <c r="D61" s="71" t="s">
        <v>39</v>
      </c>
      <c r="E61" s="72">
        <v>5</v>
      </c>
      <c r="F61" s="73">
        <v>18.420000000000002</v>
      </c>
      <c r="G61" s="74">
        <f t="shared" si="19"/>
        <v>92.100000000000009</v>
      </c>
      <c r="H61" s="73">
        <v>46.77</v>
      </c>
      <c r="I61" s="75">
        <v>0.15</v>
      </c>
      <c r="J61" s="73">
        <v>79.5</v>
      </c>
      <c r="K61" s="76">
        <f t="shared" si="20"/>
        <v>67.575000000000003</v>
      </c>
      <c r="L61" s="77">
        <f t="shared" si="21"/>
        <v>11.924999999999997</v>
      </c>
      <c r="M61" s="78">
        <f t="shared" si="22"/>
        <v>1237.3588124999999</v>
      </c>
      <c r="N61" s="26">
        <f t="shared" si="23"/>
        <v>546.60881249999977</v>
      </c>
      <c r="O61" s="78">
        <f t="shared" si="24"/>
        <v>259.39811250000002</v>
      </c>
      <c r="P61" s="26">
        <f t="shared" si="25"/>
        <v>121.24811250000002</v>
      </c>
      <c r="Q61" s="78">
        <f t="shared" si="26"/>
        <v>274.30605000000003</v>
      </c>
      <c r="R61" s="26">
        <f t="shared" si="27"/>
        <v>136.15605000000002</v>
      </c>
      <c r="S61" s="78">
        <f t="shared" si="28"/>
        <v>201.25715625000001</v>
      </c>
      <c r="T61" s="26">
        <f t="shared" si="29"/>
        <v>63.107156250000003</v>
      </c>
      <c r="U61" s="79">
        <f t="shared" si="30"/>
        <v>208.71112499999998</v>
      </c>
      <c r="V61" s="26">
        <f t="shared" si="31"/>
        <v>70.561124999999976</v>
      </c>
      <c r="W61" s="76">
        <f t="shared" si="32"/>
        <v>107.33714999999999</v>
      </c>
      <c r="X61" s="26">
        <f t="shared" si="33"/>
        <v>38.262149999999991</v>
      </c>
      <c r="Y61" s="77">
        <f t="shared" si="34"/>
        <v>111.80953124999999</v>
      </c>
      <c r="Z61" s="2">
        <f t="shared" si="35"/>
        <v>42.734531249999989</v>
      </c>
      <c r="AA61" s="80"/>
      <c r="AB61" s="81"/>
      <c r="AC61" s="89" t="s">
        <v>62</v>
      </c>
      <c r="AD61" s="90">
        <f t="shared" si="36"/>
        <v>0</v>
      </c>
      <c r="AE61" s="83"/>
    </row>
    <row r="62" spans="1:31">
      <c r="A62" s="68" t="s">
        <v>67</v>
      </c>
      <c r="B62" s="69" t="s">
        <v>68</v>
      </c>
      <c r="C62" s="70" t="s">
        <v>69</v>
      </c>
      <c r="D62" s="71" t="s">
        <v>39</v>
      </c>
      <c r="E62" s="72">
        <v>5</v>
      </c>
      <c r="F62" s="73">
        <v>13.77</v>
      </c>
      <c r="G62" s="74">
        <f t="shared" si="19"/>
        <v>68.849999999999994</v>
      </c>
      <c r="H62" s="73">
        <v>35.880000000000003</v>
      </c>
      <c r="I62" s="75">
        <v>0.15</v>
      </c>
      <c r="J62" s="73">
        <v>61</v>
      </c>
      <c r="K62" s="76">
        <f t="shared" si="20"/>
        <v>51.85</v>
      </c>
      <c r="L62" s="77">
        <f t="shared" si="21"/>
        <v>9.1499999999999986</v>
      </c>
      <c r="M62" s="78">
        <f t="shared" si="22"/>
        <v>949.25025000000005</v>
      </c>
      <c r="N62" s="26">
        <f t="shared" si="23"/>
        <v>432.87525000000005</v>
      </c>
      <c r="O62" s="78">
        <f t="shared" si="24"/>
        <v>198.99945000000002</v>
      </c>
      <c r="P62" s="26">
        <f t="shared" si="25"/>
        <v>95.724450000000033</v>
      </c>
      <c r="Q62" s="78">
        <f t="shared" si="26"/>
        <v>210.43620000000001</v>
      </c>
      <c r="R62" s="26">
        <f t="shared" si="27"/>
        <v>107.16120000000002</v>
      </c>
      <c r="S62" s="78">
        <f t="shared" si="28"/>
        <v>154.39612500000001</v>
      </c>
      <c r="T62" s="26">
        <f t="shared" si="29"/>
        <v>51.121125000000021</v>
      </c>
      <c r="U62" s="79">
        <f t="shared" si="30"/>
        <v>160.11449999999999</v>
      </c>
      <c r="V62" s="26">
        <f t="shared" si="31"/>
        <v>56.839500000000001</v>
      </c>
      <c r="W62" s="76">
        <f t="shared" si="32"/>
        <v>82.3446</v>
      </c>
      <c r="X62" s="26">
        <f t="shared" si="33"/>
        <v>30.707100000000004</v>
      </c>
      <c r="Y62" s="77">
        <f t="shared" si="34"/>
        <v>85.775625000000005</v>
      </c>
      <c r="Z62" s="2">
        <f t="shared" si="35"/>
        <v>34.138125000000009</v>
      </c>
      <c r="AA62" s="80"/>
      <c r="AB62" s="81"/>
      <c r="AC62" s="89" t="s">
        <v>66</v>
      </c>
      <c r="AD62" s="90">
        <f t="shared" si="36"/>
        <v>0</v>
      </c>
      <c r="AE62" s="83"/>
    </row>
    <row r="63" spans="1:31">
      <c r="A63" s="68" t="s">
        <v>55</v>
      </c>
      <c r="B63" s="69" t="s">
        <v>56</v>
      </c>
      <c r="C63" s="70" t="s">
        <v>57</v>
      </c>
      <c r="D63" s="71" t="s">
        <v>39</v>
      </c>
      <c r="E63" s="72">
        <v>3</v>
      </c>
      <c r="F63" s="73">
        <v>16.22</v>
      </c>
      <c r="G63" s="74">
        <f t="shared" si="19"/>
        <v>48.66</v>
      </c>
      <c r="H63" s="73">
        <v>41.12</v>
      </c>
      <c r="I63" s="75">
        <v>0.15</v>
      </c>
      <c r="J63" s="73">
        <v>69.900000000000006</v>
      </c>
      <c r="K63" s="76">
        <f t="shared" si="20"/>
        <v>59.415000000000006</v>
      </c>
      <c r="L63" s="77">
        <f t="shared" si="21"/>
        <v>10.484999999999999</v>
      </c>
      <c r="M63" s="78">
        <f t="shared" si="22"/>
        <v>652.7285999999998</v>
      </c>
      <c r="N63" s="26">
        <f t="shared" si="23"/>
        <v>287.77859999999981</v>
      </c>
      <c r="O63" s="78">
        <f t="shared" si="24"/>
        <v>136.83707999999996</v>
      </c>
      <c r="P63" s="26">
        <f t="shared" si="25"/>
        <v>63.847079999999963</v>
      </c>
      <c r="Q63" s="78">
        <f t="shared" si="26"/>
        <v>144.70127999999997</v>
      </c>
      <c r="R63" s="26">
        <f t="shared" si="27"/>
        <v>71.711279999999974</v>
      </c>
      <c r="S63" s="78">
        <f t="shared" si="28"/>
        <v>106.16669999999998</v>
      </c>
      <c r="T63" s="26">
        <f t="shared" si="29"/>
        <v>33.176699999999983</v>
      </c>
      <c r="U63" s="79">
        <f t="shared" si="30"/>
        <v>110.09879999999997</v>
      </c>
      <c r="V63" s="26">
        <f t="shared" si="31"/>
        <v>37.108799999999974</v>
      </c>
      <c r="W63" s="76">
        <f t="shared" si="32"/>
        <v>56.622239999999984</v>
      </c>
      <c r="X63" s="26">
        <f t="shared" si="33"/>
        <v>20.127239999999986</v>
      </c>
      <c r="Y63" s="77">
        <f t="shared" si="34"/>
        <v>58.981499999999983</v>
      </c>
      <c r="Z63" s="2">
        <f t="shared" si="35"/>
        <v>22.486499999999985</v>
      </c>
      <c r="AA63" s="80"/>
      <c r="AB63" s="81"/>
      <c r="AC63" s="82"/>
      <c r="AD63" s="82"/>
      <c r="AE63" s="83"/>
    </row>
    <row r="64" spans="1:31">
      <c r="A64" s="68" t="s">
        <v>70</v>
      </c>
      <c r="B64" s="69" t="s">
        <v>71</v>
      </c>
      <c r="C64" s="70" t="s">
        <v>72</v>
      </c>
      <c r="D64" s="71" t="s">
        <v>39</v>
      </c>
      <c r="E64" s="72">
        <v>4</v>
      </c>
      <c r="F64" s="73">
        <v>10.34</v>
      </c>
      <c r="G64" s="74">
        <f t="shared" si="19"/>
        <v>41.36</v>
      </c>
      <c r="H64" s="73">
        <v>26.12</v>
      </c>
      <c r="I64" s="75">
        <v>0.15</v>
      </c>
      <c r="J64" s="73">
        <v>44.4</v>
      </c>
      <c r="K64" s="76">
        <f t="shared" si="20"/>
        <v>37.739999999999995</v>
      </c>
      <c r="L64" s="77">
        <f t="shared" si="21"/>
        <v>6.6600000000000037</v>
      </c>
      <c r="M64" s="78">
        <f t="shared" si="22"/>
        <v>552.82979999999998</v>
      </c>
      <c r="N64" s="26">
        <f t="shared" si="23"/>
        <v>242.62979999999999</v>
      </c>
      <c r="O64" s="78">
        <f t="shared" si="24"/>
        <v>115.89444000000002</v>
      </c>
      <c r="P64" s="26">
        <f t="shared" si="25"/>
        <v>53.854440000000018</v>
      </c>
      <c r="Q64" s="78">
        <f t="shared" si="26"/>
        <v>122.55504000000002</v>
      </c>
      <c r="R64" s="26">
        <f t="shared" si="27"/>
        <v>60.51504000000002</v>
      </c>
      <c r="S64" s="78">
        <f t="shared" si="28"/>
        <v>89.918100000000024</v>
      </c>
      <c r="T64" s="26">
        <f t="shared" si="29"/>
        <v>27.878100000000025</v>
      </c>
      <c r="U64" s="79">
        <f t="shared" si="30"/>
        <v>93.248400000000004</v>
      </c>
      <c r="V64" s="26">
        <f t="shared" si="31"/>
        <v>31.208400000000005</v>
      </c>
      <c r="W64" s="76">
        <f t="shared" si="32"/>
        <v>47.956320000000005</v>
      </c>
      <c r="X64" s="26">
        <f t="shared" si="33"/>
        <v>16.936320000000006</v>
      </c>
      <c r="Y64" s="77">
        <f t="shared" si="34"/>
        <v>49.95450000000001</v>
      </c>
      <c r="Z64" s="2">
        <f t="shared" si="35"/>
        <v>18.934500000000011</v>
      </c>
      <c r="AA64" s="80"/>
      <c r="AB64" s="81"/>
      <c r="AC64" s="82"/>
      <c r="AD64" s="82"/>
      <c r="AE64" s="83"/>
    </row>
    <row r="65" spans="1:31">
      <c r="A65" s="68" t="s">
        <v>73</v>
      </c>
      <c r="B65" s="69" t="s">
        <v>74</v>
      </c>
      <c r="C65" s="70" t="s">
        <v>75</v>
      </c>
      <c r="D65" s="71" t="s">
        <v>39</v>
      </c>
      <c r="E65" s="72">
        <v>2</v>
      </c>
      <c r="F65" s="73">
        <v>16.71</v>
      </c>
      <c r="G65" s="74">
        <f t="shared" si="19"/>
        <v>33.42</v>
      </c>
      <c r="H65" s="73">
        <v>42.88</v>
      </c>
      <c r="I65" s="75">
        <v>0.15</v>
      </c>
      <c r="J65" s="73">
        <v>72.900000000000006</v>
      </c>
      <c r="K65" s="76">
        <f t="shared" si="20"/>
        <v>61.965000000000003</v>
      </c>
      <c r="L65" s="77">
        <f t="shared" si="21"/>
        <v>10.935000000000002</v>
      </c>
      <c r="M65" s="78">
        <f t="shared" si="22"/>
        <v>453.77760000000001</v>
      </c>
      <c r="N65" s="26">
        <f t="shared" si="23"/>
        <v>203.1276</v>
      </c>
      <c r="O65" s="78">
        <f t="shared" si="24"/>
        <v>95.129279999999994</v>
      </c>
      <c r="P65" s="26">
        <f t="shared" si="25"/>
        <v>44.999279999999992</v>
      </c>
      <c r="Q65" s="78">
        <f t="shared" si="26"/>
        <v>100.59648</v>
      </c>
      <c r="R65" s="26">
        <f t="shared" si="27"/>
        <v>50.466479999999997</v>
      </c>
      <c r="S65" s="78">
        <f t="shared" si="28"/>
        <v>73.807199999999995</v>
      </c>
      <c r="T65" s="26">
        <f t="shared" si="29"/>
        <v>23.677199999999992</v>
      </c>
      <c r="U65" s="79">
        <f t="shared" si="30"/>
        <v>76.54079999999999</v>
      </c>
      <c r="V65" s="26">
        <f t="shared" si="31"/>
        <v>26.410799999999988</v>
      </c>
      <c r="W65" s="76">
        <f t="shared" si="32"/>
        <v>39.363839999999996</v>
      </c>
      <c r="X65" s="26">
        <f t="shared" si="33"/>
        <v>14.298839999999995</v>
      </c>
      <c r="Y65" s="77">
        <f t="shared" si="34"/>
        <v>41.003999999999998</v>
      </c>
      <c r="Z65" s="2">
        <f t="shared" si="35"/>
        <v>15.938999999999997</v>
      </c>
      <c r="AA65" s="80"/>
      <c r="AB65" s="81"/>
      <c r="AC65" s="82"/>
      <c r="AD65" s="82"/>
      <c r="AE65" s="83"/>
    </row>
    <row r="66" spans="1:31">
      <c r="A66" s="68" t="s">
        <v>79</v>
      </c>
      <c r="B66" s="69" t="s">
        <v>80</v>
      </c>
      <c r="C66" s="70" t="s">
        <v>81</v>
      </c>
      <c r="D66" s="71" t="s">
        <v>39</v>
      </c>
      <c r="E66" s="72">
        <v>4</v>
      </c>
      <c r="F66" s="73">
        <v>6.48</v>
      </c>
      <c r="G66" s="74">
        <f t="shared" si="19"/>
        <v>25.92</v>
      </c>
      <c r="H66" s="73">
        <v>17.350000000000001</v>
      </c>
      <c r="I66" s="75">
        <v>0.15</v>
      </c>
      <c r="J66" s="73">
        <v>29.5</v>
      </c>
      <c r="K66" s="76">
        <f t="shared" si="20"/>
        <v>25.074999999999999</v>
      </c>
      <c r="L66" s="77">
        <f t="shared" si="21"/>
        <v>4.4250000000000007</v>
      </c>
      <c r="M66" s="78">
        <f t="shared" si="22"/>
        <v>367.21274999999997</v>
      </c>
      <c r="N66" s="26">
        <f t="shared" si="23"/>
        <v>172.81274999999997</v>
      </c>
      <c r="O66" s="78">
        <f t="shared" si="24"/>
        <v>76.981949999999998</v>
      </c>
      <c r="P66" s="26">
        <f t="shared" si="25"/>
        <v>38.101949999999995</v>
      </c>
      <c r="Q66" s="78">
        <f t="shared" si="26"/>
        <v>81.406199999999998</v>
      </c>
      <c r="R66" s="26">
        <f t="shared" si="27"/>
        <v>42.526199999999996</v>
      </c>
      <c r="S66" s="78">
        <f t="shared" si="28"/>
        <v>59.727375000000002</v>
      </c>
      <c r="T66" s="26">
        <f t="shared" si="29"/>
        <v>20.847375</v>
      </c>
      <c r="U66" s="79">
        <f t="shared" si="30"/>
        <v>61.939499999999995</v>
      </c>
      <c r="V66" s="26">
        <f t="shared" si="31"/>
        <v>23.059499999999993</v>
      </c>
      <c r="W66" s="76">
        <f t="shared" si="32"/>
        <v>31.854599999999998</v>
      </c>
      <c r="X66" s="26">
        <f t="shared" si="33"/>
        <v>12.414599999999997</v>
      </c>
      <c r="Y66" s="77">
        <f t="shared" si="34"/>
        <v>33.181874999999998</v>
      </c>
      <c r="Z66" s="2">
        <f t="shared" si="35"/>
        <v>13.741874999999997</v>
      </c>
      <c r="AA66" s="80"/>
      <c r="AB66" s="81"/>
      <c r="AC66" s="82"/>
      <c r="AD66" s="82"/>
      <c r="AE66" s="83"/>
    </row>
    <row r="67" spans="1:31">
      <c r="A67" s="68" t="s">
        <v>76</v>
      </c>
      <c r="B67" s="69" t="s">
        <v>77</v>
      </c>
      <c r="C67" s="70" t="s">
        <v>78</v>
      </c>
      <c r="D67" s="71" t="s">
        <v>39</v>
      </c>
      <c r="E67" s="72">
        <v>1</v>
      </c>
      <c r="F67" s="73">
        <v>16.71</v>
      </c>
      <c r="G67" s="74">
        <f t="shared" si="19"/>
        <v>16.71</v>
      </c>
      <c r="H67" s="73">
        <v>42.88</v>
      </c>
      <c r="I67" s="75">
        <v>0.15</v>
      </c>
      <c r="J67" s="73">
        <v>72.900000000000006</v>
      </c>
      <c r="K67" s="76">
        <f t="shared" si="20"/>
        <v>61.965000000000003</v>
      </c>
      <c r="L67" s="77">
        <f t="shared" si="21"/>
        <v>10.935000000000002</v>
      </c>
      <c r="M67" s="78">
        <f t="shared" si="22"/>
        <v>226.8888</v>
      </c>
      <c r="N67" s="26">
        <f t="shared" si="23"/>
        <v>101.5638</v>
      </c>
      <c r="O67" s="78">
        <f t="shared" si="24"/>
        <v>47.564639999999997</v>
      </c>
      <c r="P67" s="26">
        <f t="shared" si="25"/>
        <v>22.499639999999996</v>
      </c>
      <c r="Q67" s="78">
        <f t="shared" si="26"/>
        <v>50.29824</v>
      </c>
      <c r="R67" s="26">
        <f t="shared" si="27"/>
        <v>25.233239999999999</v>
      </c>
      <c r="S67" s="78">
        <f t="shared" si="28"/>
        <v>36.903599999999997</v>
      </c>
      <c r="T67" s="26">
        <f t="shared" si="29"/>
        <v>11.838599999999996</v>
      </c>
      <c r="U67" s="79">
        <f t="shared" si="30"/>
        <v>38.270399999999995</v>
      </c>
      <c r="V67" s="26">
        <f t="shared" si="31"/>
        <v>13.205399999999994</v>
      </c>
      <c r="W67" s="76">
        <f t="shared" si="32"/>
        <v>19.681919999999998</v>
      </c>
      <c r="X67" s="26">
        <f t="shared" si="33"/>
        <v>7.1494199999999974</v>
      </c>
      <c r="Y67" s="77">
        <f t="shared" si="34"/>
        <v>20.501999999999999</v>
      </c>
      <c r="Z67" s="2">
        <f t="shared" si="35"/>
        <v>7.9694999999999983</v>
      </c>
      <c r="AA67" s="80"/>
      <c r="AB67" s="81"/>
      <c r="AC67" s="91"/>
      <c r="AD67" s="82"/>
      <c r="AE67" s="83"/>
    </row>
    <row r="68" spans="1:31">
      <c r="A68" s="92" t="s">
        <v>82</v>
      </c>
      <c r="B68" s="93"/>
      <c r="C68" s="94"/>
      <c r="D68" s="95" t="s">
        <v>58</v>
      </c>
      <c r="E68" s="96">
        <v>1</v>
      </c>
      <c r="F68" s="73"/>
      <c r="G68" s="74">
        <f t="shared" si="19"/>
        <v>0</v>
      </c>
      <c r="H68" s="97"/>
      <c r="I68" s="75"/>
      <c r="J68" s="73"/>
      <c r="K68" s="76"/>
      <c r="L68" s="77">
        <f t="shared" si="21"/>
        <v>0</v>
      </c>
      <c r="M68" s="78"/>
      <c r="N68" s="26"/>
      <c r="O68" s="78"/>
      <c r="P68" s="26"/>
      <c r="Q68" s="78"/>
      <c r="R68" s="26"/>
      <c r="S68" s="78"/>
      <c r="T68" s="26"/>
      <c r="U68" s="79"/>
      <c r="V68" s="26"/>
      <c r="W68" s="76"/>
      <c r="X68" s="26"/>
      <c r="Y68" s="77"/>
      <c r="Z68" s="2"/>
      <c r="AA68" s="80"/>
      <c r="AB68" s="81"/>
      <c r="AC68" s="82"/>
      <c r="AD68" s="98"/>
      <c r="AE68" s="83"/>
    </row>
    <row r="69" spans="1:31">
      <c r="A69" s="92" t="s">
        <v>83</v>
      </c>
      <c r="B69" s="93"/>
      <c r="C69" s="94"/>
      <c r="D69" s="95" t="s">
        <v>58</v>
      </c>
      <c r="E69" s="96">
        <v>1</v>
      </c>
      <c r="F69" s="73"/>
      <c r="G69" s="74">
        <f t="shared" si="19"/>
        <v>0</v>
      </c>
      <c r="H69" s="97"/>
      <c r="I69" s="75"/>
      <c r="J69" s="73"/>
      <c r="K69" s="76"/>
      <c r="L69" s="77">
        <f t="shared" si="21"/>
        <v>0</v>
      </c>
      <c r="M69" s="78"/>
      <c r="N69" s="26"/>
      <c r="O69" s="78"/>
      <c r="P69" s="26"/>
      <c r="Q69" s="78"/>
      <c r="R69" s="26"/>
      <c r="S69" s="78"/>
      <c r="T69" s="26"/>
      <c r="U69" s="79"/>
      <c r="V69" s="26"/>
      <c r="W69" s="76"/>
      <c r="X69" s="26"/>
      <c r="Y69" s="77"/>
      <c r="Z69" s="2"/>
      <c r="AA69" s="80"/>
      <c r="AB69" s="81"/>
      <c r="AC69" s="82"/>
      <c r="AD69" s="99"/>
      <c r="AE69" s="83"/>
    </row>
    <row r="70" spans="1:31">
      <c r="A70" s="92">
        <v>3020202</v>
      </c>
      <c r="B70" s="93"/>
      <c r="C70" s="94"/>
      <c r="D70" s="95" t="s">
        <v>66</v>
      </c>
      <c r="E70" s="96">
        <v>1</v>
      </c>
      <c r="F70" s="73"/>
      <c r="G70" s="74">
        <f t="shared" si="19"/>
        <v>0</v>
      </c>
      <c r="H70" s="97"/>
      <c r="I70" s="75"/>
      <c r="J70" s="73"/>
      <c r="K70" s="76"/>
      <c r="L70" s="77">
        <f t="shared" si="21"/>
        <v>0</v>
      </c>
      <c r="M70" s="78"/>
      <c r="N70" s="26"/>
      <c r="O70" s="78"/>
      <c r="P70" s="26"/>
      <c r="Q70" s="78"/>
      <c r="R70" s="26"/>
      <c r="S70" s="78"/>
      <c r="T70" s="26"/>
      <c r="U70" s="79"/>
      <c r="V70" s="26"/>
      <c r="W70" s="76"/>
      <c r="X70" s="26"/>
      <c r="Y70" s="77"/>
      <c r="Z70" s="2"/>
      <c r="AA70" s="80"/>
      <c r="AB70" s="81"/>
      <c r="AC70" s="82"/>
      <c r="AD70" s="100"/>
      <c r="AE70" s="83"/>
    </row>
    <row r="71" spans="1:31">
      <c r="A71" s="92">
        <v>3020301</v>
      </c>
      <c r="B71" s="93"/>
      <c r="C71" s="94"/>
      <c r="D71" s="95" t="s">
        <v>66</v>
      </c>
      <c r="E71" s="96">
        <v>1</v>
      </c>
      <c r="F71" s="73"/>
      <c r="G71" s="74">
        <f t="shared" si="19"/>
        <v>0</v>
      </c>
      <c r="H71" s="97"/>
      <c r="I71" s="75"/>
      <c r="J71" s="73"/>
      <c r="K71" s="76"/>
      <c r="L71" s="77">
        <f t="shared" si="21"/>
        <v>0</v>
      </c>
      <c r="M71" s="78"/>
      <c r="N71" s="26"/>
      <c r="O71" s="78"/>
      <c r="P71" s="26"/>
      <c r="Q71" s="78"/>
      <c r="R71" s="26"/>
      <c r="S71" s="78"/>
      <c r="T71" s="26"/>
      <c r="U71" s="79"/>
      <c r="V71" s="26"/>
      <c r="W71" s="76"/>
      <c r="X71" s="26"/>
      <c r="Y71" s="77"/>
      <c r="Z71" s="2"/>
      <c r="AA71" s="80"/>
      <c r="AB71" s="81"/>
      <c r="AC71" s="82"/>
      <c r="AD71" s="99"/>
      <c r="AE71" s="83"/>
    </row>
    <row r="72" spans="1:31">
      <c r="A72" s="92">
        <v>3020720</v>
      </c>
      <c r="B72" s="93"/>
      <c r="C72" s="94"/>
      <c r="D72" s="95" t="s">
        <v>66</v>
      </c>
      <c r="E72" s="96">
        <v>1</v>
      </c>
      <c r="F72" s="73"/>
      <c r="G72" s="74">
        <f t="shared" si="19"/>
        <v>0</v>
      </c>
      <c r="H72" s="97"/>
      <c r="I72" s="75"/>
      <c r="J72" s="73"/>
      <c r="K72" s="76"/>
      <c r="L72" s="77">
        <f t="shared" si="21"/>
        <v>0</v>
      </c>
      <c r="M72" s="78"/>
      <c r="N72" s="26"/>
      <c r="O72" s="78"/>
      <c r="P72" s="26"/>
      <c r="Q72" s="78"/>
      <c r="R72" s="26"/>
      <c r="S72" s="78"/>
      <c r="T72" s="26"/>
      <c r="U72" s="79"/>
      <c r="V72" s="26"/>
      <c r="W72" s="76"/>
      <c r="X72" s="26"/>
      <c r="Y72" s="77"/>
      <c r="Z72" s="2"/>
      <c r="AA72" s="80"/>
      <c r="AB72" s="81"/>
      <c r="AC72" s="81"/>
      <c r="AD72" s="81"/>
      <c r="AE72" s="83"/>
    </row>
    <row r="73" spans="1:31">
      <c r="A73" s="92">
        <v>3020718</v>
      </c>
      <c r="B73" s="93"/>
      <c r="C73" s="94"/>
      <c r="D73" s="95" t="s">
        <v>66</v>
      </c>
      <c r="E73" s="96">
        <v>1</v>
      </c>
      <c r="F73" s="73"/>
      <c r="G73" s="74">
        <f t="shared" si="19"/>
        <v>0</v>
      </c>
      <c r="H73" s="97"/>
      <c r="I73" s="75"/>
      <c r="J73" s="73"/>
      <c r="K73" s="76"/>
      <c r="L73" s="77">
        <f t="shared" si="21"/>
        <v>0</v>
      </c>
      <c r="M73" s="78"/>
      <c r="N73" s="26"/>
      <c r="O73" s="78"/>
      <c r="P73" s="26"/>
      <c r="Q73" s="78"/>
      <c r="R73" s="26"/>
      <c r="S73" s="78"/>
      <c r="T73" s="26"/>
      <c r="U73" s="79"/>
      <c r="V73" s="26"/>
      <c r="W73" s="76"/>
      <c r="X73" s="26"/>
      <c r="Y73" s="77"/>
      <c r="Z73" s="2"/>
      <c r="AA73" s="80"/>
      <c r="AB73" s="81"/>
      <c r="AC73" s="91"/>
      <c r="AD73" s="81"/>
      <c r="AE73" s="83"/>
    </row>
    <row r="74" spans="1:31" s="1" customFormat="1" ht="15.75" customHeight="1">
      <c r="A74" s="92" t="s">
        <v>84</v>
      </c>
      <c r="B74" s="93"/>
      <c r="C74" s="94"/>
      <c r="D74" s="95" t="s">
        <v>58</v>
      </c>
      <c r="E74" s="96">
        <v>1</v>
      </c>
      <c r="F74" s="73"/>
      <c r="G74" s="74">
        <f t="shared" si="19"/>
        <v>0</v>
      </c>
      <c r="H74" s="97"/>
      <c r="I74" s="75"/>
      <c r="J74" s="73"/>
      <c r="K74" s="76"/>
      <c r="L74" s="77">
        <f t="shared" si="21"/>
        <v>0</v>
      </c>
      <c r="M74" s="101"/>
      <c r="N74" s="102"/>
      <c r="O74" s="101"/>
      <c r="P74" s="102"/>
      <c r="Q74" s="101"/>
      <c r="R74" s="102"/>
      <c r="S74" s="101"/>
      <c r="T74" s="102"/>
      <c r="U74" s="103"/>
      <c r="V74" s="102"/>
      <c r="W74" s="104"/>
      <c r="X74" s="102"/>
      <c r="Y74" s="105"/>
      <c r="Z74" s="106"/>
      <c r="AA74" s="107"/>
      <c r="AB74" s="108"/>
      <c r="AC74" s="109"/>
      <c r="AD74" s="110"/>
      <c r="AE74" s="111"/>
    </row>
    <row r="76" spans="1:31">
      <c r="A76" s="6" t="s">
        <v>87</v>
      </c>
      <c r="B76" s="7"/>
      <c r="C76" s="8"/>
      <c r="D76" s="9" t="s">
        <v>88</v>
      </c>
      <c r="E76" s="7"/>
      <c r="F76" s="7"/>
      <c r="G76" s="7"/>
      <c r="H76" s="7"/>
      <c r="I76" s="7"/>
      <c r="J76" s="7"/>
      <c r="K76" s="7"/>
      <c r="L76" s="7"/>
      <c r="M76" s="112"/>
      <c r="N76" s="113"/>
      <c r="O76" s="112"/>
      <c r="P76" s="113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</row>
    <row r="78" spans="1:31" s="1" customFormat="1" ht="15.75" customHeight="1">
      <c r="A78" s="10" t="s">
        <v>2</v>
      </c>
      <c r="B78" s="11">
        <v>126</v>
      </c>
      <c r="C78" s="3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</row>
    <row r="79" spans="1:31" s="1" customFormat="1" ht="15.75" customHeight="1">
      <c r="A79" s="10" t="s">
        <v>3</v>
      </c>
      <c r="B79" s="11">
        <v>35</v>
      </c>
      <c r="C79" s="3"/>
      <c r="D79" s="2"/>
      <c r="E79" s="2"/>
      <c r="F79" s="2"/>
      <c r="G79" s="2"/>
      <c r="H79" s="2"/>
      <c r="I79" s="2"/>
      <c r="J79" s="2"/>
      <c r="K79" s="2"/>
      <c r="L79" s="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3"/>
      <c r="AB79" s="14"/>
      <c r="AC79" s="14"/>
      <c r="AD79" s="14"/>
      <c r="AE79" s="15"/>
    </row>
    <row r="80" spans="1:31" s="1" customFormat="1" ht="15.75" customHeight="1">
      <c r="A80" s="2"/>
      <c r="B80" s="2"/>
      <c r="C80" s="3"/>
      <c r="D80" s="2"/>
      <c r="E80" s="2"/>
      <c r="F80" s="2"/>
      <c r="G80" s="2"/>
      <c r="H80" s="2"/>
      <c r="I80" s="2"/>
      <c r="J80" s="2"/>
      <c r="K80" s="2"/>
      <c r="L80" s="2"/>
      <c r="M80" s="157" t="s">
        <v>4</v>
      </c>
      <c r="N80" s="158"/>
      <c r="O80" s="158"/>
      <c r="P80" s="158"/>
      <c r="Q80" s="158"/>
      <c r="R80" s="159"/>
      <c r="S80" s="16" t="s">
        <v>5</v>
      </c>
      <c r="T80" s="17"/>
      <c r="U80" s="18"/>
      <c r="V80" s="18"/>
      <c r="W80" s="18"/>
      <c r="X80" s="18"/>
      <c r="Y80" s="16"/>
      <c r="Z80" s="17"/>
      <c r="AA80" s="19"/>
      <c r="AB80" s="20" t="s">
        <v>6</v>
      </c>
      <c r="AC80" s="20"/>
      <c r="AD80" s="20"/>
      <c r="AE80" s="21"/>
    </row>
    <row r="81" spans="1:31">
      <c r="A81" s="2"/>
      <c r="B81" s="2"/>
      <c r="C81" s="3"/>
      <c r="D81" s="2"/>
      <c r="E81" s="2"/>
      <c r="F81" s="2"/>
      <c r="G81" s="2"/>
      <c r="H81" s="2"/>
      <c r="I81" s="2"/>
      <c r="J81" s="2"/>
      <c r="K81" s="2"/>
      <c r="L81" s="2"/>
      <c r="M81" s="22"/>
      <c r="N81" s="23"/>
      <c r="O81" s="22"/>
      <c r="P81" s="23"/>
      <c r="Q81" s="24"/>
      <c r="R81" s="24"/>
      <c r="S81" s="22"/>
      <c r="T81" s="23"/>
      <c r="U81" s="24"/>
      <c r="V81" s="23"/>
      <c r="W81" s="24"/>
      <c r="X81" s="24"/>
      <c r="Y81" s="25"/>
      <c r="Z81" s="26"/>
      <c r="AA81" s="27"/>
      <c r="AB81" s="19"/>
      <c r="AC81" s="19"/>
      <c r="AD81" s="19"/>
      <c r="AE81" s="21"/>
    </row>
    <row r="82" spans="1:31">
      <c r="A82" s="2"/>
      <c r="B82" s="2"/>
      <c r="C82" s="3"/>
      <c r="D82" s="2"/>
      <c r="E82" s="2"/>
      <c r="F82" s="2"/>
      <c r="G82" s="2"/>
      <c r="H82" s="2"/>
      <c r="J82" s="2"/>
      <c r="K82" s="2"/>
      <c r="L82" s="2"/>
      <c r="M82" s="160" t="s">
        <v>7</v>
      </c>
      <c r="N82" s="161"/>
      <c r="O82" s="160" t="s">
        <v>8</v>
      </c>
      <c r="P82" s="161"/>
      <c r="Q82" s="160" t="s">
        <v>9</v>
      </c>
      <c r="R82" s="161"/>
      <c r="S82" s="162" t="s">
        <v>10</v>
      </c>
      <c r="T82" s="161"/>
      <c r="U82" s="162" t="s">
        <v>11</v>
      </c>
      <c r="V82" s="161"/>
      <c r="W82" s="162" t="s">
        <v>12</v>
      </c>
      <c r="X82" s="161"/>
      <c r="Y82" s="162" t="s">
        <v>13</v>
      </c>
      <c r="Z82" s="161"/>
      <c r="AA82" s="27"/>
      <c r="AB82" s="28" t="s">
        <v>14</v>
      </c>
      <c r="AC82" s="28"/>
      <c r="AD82" s="28"/>
      <c r="AE82" s="21"/>
    </row>
    <row r="83" spans="1:31">
      <c r="A83" s="2"/>
      <c r="B83" s="2"/>
      <c r="C83" s="3"/>
      <c r="D83" s="2"/>
      <c r="E83" s="2"/>
      <c r="F83" s="2"/>
      <c r="G83" s="2"/>
      <c r="H83" s="2"/>
      <c r="J83" s="2"/>
      <c r="K83" s="2"/>
      <c r="L83" s="2"/>
      <c r="M83" s="29" t="s">
        <v>15</v>
      </c>
      <c r="N83" s="30">
        <v>0.5</v>
      </c>
      <c r="O83" s="29" t="s">
        <v>15</v>
      </c>
      <c r="P83" s="30">
        <v>0.1</v>
      </c>
      <c r="Q83" s="29" t="s">
        <v>15</v>
      </c>
      <c r="R83" s="30">
        <v>0.1</v>
      </c>
      <c r="S83" s="29" t="s">
        <v>15</v>
      </c>
      <c r="T83" s="30">
        <v>0.1</v>
      </c>
      <c r="U83" s="31" t="s">
        <v>15</v>
      </c>
      <c r="V83" s="32">
        <v>0.1</v>
      </c>
      <c r="W83" s="29" t="s">
        <v>15</v>
      </c>
      <c r="X83" s="32">
        <v>0.05</v>
      </c>
      <c r="Y83" s="33"/>
      <c r="Z83" s="30">
        <v>0.05</v>
      </c>
      <c r="AA83" s="25"/>
      <c r="AB83" s="34"/>
      <c r="AC83" s="34"/>
      <c r="AD83" s="34"/>
      <c r="AE83" s="26"/>
    </row>
    <row r="84" spans="1:31">
      <c r="A84" s="2"/>
      <c r="B84" s="2"/>
      <c r="C84" s="3"/>
      <c r="D84" s="2"/>
      <c r="E84" s="2"/>
      <c r="F84" s="2"/>
      <c r="G84" s="2"/>
      <c r="H84" s="2"/>
      <c r="I84" s="2"/>
      <c r="J84" s="2"/>
      <c r="K84" s="2"/>
      <c r="L84" s="2"/>
      <c r="M84" s="29" t="s">
        <v>16</v>
      </c>
      <c r="N84" s="35">
        <v>0.17</v>
      </c>
      <c r="O84" s="29" t="s">
        <v>16</v>
      </c>
      <c r="P84" s="35">
        <v>0.13</v>
      </c>
      <c r="Q84" s="29" t="s">
        <v>16</v>
      </c>
      <c r="R84" s="35">
        <v>0.08</v>
      </c>
      <c r="S84" s="29" t="s">
        <v>16</v>
      </c>
      <c r="T84" s="36">
        <v>0.32500000000000001</v>
      </c>
      <c r="U84" s="31" t="s">
        <v>16</v>
      </c>
      <c r="V84" s="37">
        <v>0.3</v>
      </c>
      <c r="W84" s="29" t="s">
        <v>16</v>
      </c>
      <c r="X84" s="37">
        <v>0.28000000000000003</v>
      </c>
      <c r="Y84" s="29" t="s">
        <v>16</v>
      </c>
      <c r="Z84" s="35">
        <v>0.25</v>
      </c>
      <c r="AA84" s="27"/>
      <c r="AB84" s="19"/>
      <c r="AC84" s="19"/>
      <c r="AD84" s="19"/>
      <c r="AE84" s="21"/>
    </row>
    <row r="85" spans="1:31">
      <c r="A85" s="2"/>
      <c r="B85" s="2"/>
      <c r="C85" s="3"/>
      <c r="D85" s="2"/>
      <c r="E85" s="2"/>
      <c r="F85" s="2"/>
      <c r="G85" s="2"/>
      <c r="H85" s="2"/>
      <c r="I85" s="2"/>
      <c r="J85" s="2"/>
      <c r="K85" s="2"/>
      <c r="L85" s="2"/>
      <c r="M85" s="29" t="s">
        <v>17</v>
      </c>
      <c r="N85" s="38">
        <f>N83*$B$78</f>
        <v>63</v>
      </c>
      <c r="O85" s="29" t="s">
        <v>17</v>
      </c>
      <c r="P85" s="38">
        <f>P83*$B$78</f>
        <v>12.600000000000001</v>
      </c>
      <c r="Q85" s="29" t="s">
        <v>17</v>
      </c>
      <c r="R85" s="38">
        <f>R83*$B$78</f>
        <v>12.600000000000001</v>
      </c>
      <c r="S85" s="29" t="s">
        <v>17</v>
      </c>
      <c r="T85" s="38">
        <f>T83*$B$78</f>
        <v>12.600000000000001</v>
      </c>
      <c r="U85" s="31" t="s">
        <v>17</v>
      </c>
      <c r="V85" s="38">
        <f>V83*$B$78</f>
        <v>12.600000000000001</v>
      </c>
      <c r="W85" s="29" t="s">
        <v>17</v>
      </c>
      <c r="X85" s="39">
        <f>X83*$B$78</f>
        <v>6.3000000000000007</v>
      </c>
      <c r="Y85" s="29" t="s">
        <v>17</v>
      </c>
      <c r="Z85" s="38">
        <f>Z83*$B$78</f>
        <v>6.3000000000000007</v>
      </c>
      <c r="AA85" s="27"/>
      <c r="AB85" s="19"/>
      <c r="AC85" s="19"/>
      <c r="AD85" s="19"/>
      <c r="AE85" s="21"/>
    </row>
    <row r="86" spans="1:31" s="1" customFormat="1" ht="51.75" customHeight="1">
      <c r="A86" s="40"/>
      <c r="B86" s="40"/>
      <c r="C86" s="41"/>
      <c r="D86" s="40"/>
      <c r="E86" s="42" t="s">
        <v>18</v>
      </c>
      <c r="F86" s="42" t="s">
        <v>19</v>
      </c>
      <c r="G86" s="42" t="s">
        <v>20</v>
      </c>
      <c r="H86" s="42" t="s">
        <v>21</v>
      </c>
      <c r="I86" s="42" t="s">
        <v>22</v>
      </c>
      <c r="J86" s="42" t="s">
        <v>23</v>
      </c>
      <c r="K86" s="42" t="s">
        <v>24</v>
      </c>
      <c r="L86" s="42" t="s">
        <v>25</v>
      </c>
      <c r="M86" s="43" t="s">
        <v>26</v>
      </c>
      <c r="N86" s="44" t="s">
        <v>27</v>
      </c>
      <c r="O86" s="43" t="s">
        <v>26</v>
      </c>
      <c r="P86" s="44" t="s">
        <v>27</v>
      </c>
      <c r="Q86" s="43" t="s">
        <v>26</v>
      </c>
      <c r="R86" s="44" t="s">
        <v>27</v>
      </c>
      <c r="S86" s="43" t="s">
        <v>26</v>
      </c>
      <c r="T86" s="44" t="s">
        <v>27</v>
      </c>
      <c r="U86" s="42" t="s">
        <v>26</v>
      </c>
      <c r="V86" s="44" t="s">
        <v>27</v>
      </c>
      <c r="W86" s="42" t="s">
        <v>26</v>
      </c>
      <c r="X86" s="42" t="s">
        <v>27</v>
      </c>
      <c r="Y86" s="43" t="s">
        <v>26</v>
      </c>
      <c r="Z86" s="44" t="s">
        <v>27</v>
      </c>
      <c r="AA86" s="45"/>
      <c r="AB86" s="46" t="s">
        <v>28</v>
      </c>
      <c r="AC86" s="46" t="s">
        <v>26</v>
      </c>
      <c r="AD86" s="46" t="s">
        <v>27</v>
      </c>
      <c r="AE86" s="47"/>
    </row>
    <row r="87" spans="1:31" s="1" customFormat="1" ht="26.25" customHeight="1">
      <c r="A87" s="48" t="s">
        <v>29</v>
      </c>
      <c r="B87" s="48" t="s">
        <v>30</v>
      </c>
      <c r="C87" s="48" t="s">
        <v>31</v>
      </c>
      <c r="D87" s="48" t="s">
        <v>32</v>
      </c>
      <c r="E87" s="48" t="s">
        <v>33</v>
      </c>
      <c r="F87" s="48" t="s">
        <v>34</v>
      </c>
      <c r="G87" s="48" t="s">
        <v>34</v>
      </c>
      <c r="H87" s="48" t="s">
        <v>34</v>
      </c>
      <c r="I87" s="48" t="s">
        <v>34</v>
      </c>
      <c r="J87" s="48" t="s">
        <v>34</v>
      </c>
      <c r="K87" s="48" t="s">
        <v>34</v>
      </c>
      <c r="L87" s="48" t="s">
        <v>34</v>
      </c>
      <c r="M87" s="49" t="s">
        <v>34</v>
      </c>
      <c r="N87" s="50" t="s">
        <v>34</v>
      </c>
      <c r="O87" s="49" t="s">
        <v>34</v>
      </c>
      <c r="P87" s="50" t="s">
        <v>34</v>
      </c>
      <c r="Q87" s="49" t="s">
        <v>34</v>
      </c>
      <c r="R87" s="50" t="s">
        <v>34</v>
      </c>
      <c r="S87" s="49" t="s">
        <v>34</v>
      </c>
      <c r="T87" s="50" t="s">
        <v>34</v>
      </c>
      <c r="U87" s="48" t="s">
        <v>34</v>
      </c>
      <c r="V87" s="50" t="s">
        <v>34</v>
      </c>
      <c r="W87" s="48" t="s">
        <v>34</v>
      </c>
      <c r="X87" s="48" t="s">
        <v>34</v>
      </c>
      <c r="Y87" s="51" t="s">
        <v>34</v>
      </c>
      <c r="Z87" s="52" t="s">
        <v>34</v>
      </c>
      <c r="AA87" s="27"/>
      <c r="AB87" s="53" t="s">
        <v>33</v>
      </c>
      <c r="AC87" s="53" t="s">
        <v>34</v>
      </c>
      <c r="AD87" s="53" t="s">
        <v>34</v>
      </c>
      <c r="AE87" s="21"/>
    </row>
    <row r="88" spans="1:31">
      <c r="A88" s="2"/>
      <c r="B88" s="2"/>
      <c r="C88" s="3"/>
      <c r="D88" s="2"/>
      <c r="E88" s="2"/>
      <c r="F88" s="2"/>
      <c r="G88" s="2"/>
      <c r="H88" s="2"/>
      <c r="I88" s="2"/>
      <c r="J88" s="2"/>
      <c r="M88" s="25"/>
      <c r="N88" s="26"/>
      <c r="O88" s="25"/>
      <c r="P88" s="26"/>
      <c r="Q88" s="25"/>
      <c r="R88" s="26"/>
      <c r="S88" s="25"/>
      <c r="T88" s="26"/>
      <c r="U88" s="2"/>
      <c r="V88" s="26"/>
      <c r="W88" s="2"/>
      <c r="X88" s="26"/>
      <c r="Y88" s="2"/>
      <c r="Z88" s="2"/>
      <c r="AA88" s="27"/>
      <c r="AB88" s="19"/>
      <c r="AC88" s="19"/>
      <c r="AD88" s="19"/>
      <c r="AE88" s="21"/>
    </row>
    <row r="89" spans="1:31">
      <c r="A89" s="54" t="s">
        <v>35</v>
      </c>
      <c r="B89" s="54"/>
      <c r="C89" s="55"/>
      <c r="D89" s="54"/>
      <c r="E89" s="56">
        <f>IFERROR(SUMIFS(E91:E110,D91:D110,"Produit Vente"),"Non trouvé")</f>
        <v>32</v>
      </c>
      <c r="F89" s="57"/>
      <c r="G89" s="57">
        <f>IFERROR(SUM(G91:G110),"Non Trouvé")</f>
        <v>505.98</v>
      </c>
      <c r="H89" s="57"/>
      <c r="I89" s="58"/>
      <c r="J89" s="57"/>
      <c r="K89" s="57"/>
      <c r="L89" s="57"/>
      <c r="M89" s="59">
        <f t="shared" ref="M89:Z89" si="37">SUM(M91:M110)</f>
        <v>57993.793199999993</v>
      </c>
      <c r="N89" s="60">
        <f t="shared" si="37"/>
        <v>26117.053199999991</v>
      </c>
      <c r="O89" s="59">
        <f t="shared" si="37"/>
        <v>12157.734959999998</v>
      </c>
      <c r="P89" s="60">
        <f t="shared" si="37"/>
        <v>5782.3869599999998</v>
      </c>
      <c r="Q89" s="59">
        <f t="shared" si="37"/>
        <v>12856.45536</v>
      </c>
      <c r="R89" s="60">
        <f t="shared" si="37"/>
        <v>6481.10736</v>
      </c>
      <c r="S89" s="59">
        <f t="shared" si="37"/>
        <v>9432.7253999999975</v>
      </c>
      <c r="T89" s="60">
        <f t="shared" si="37"/>
        <v>3057.3773999999999</v>
      </c>
      <c r="U89" s="61">
        <f t="shared" si="37"/>
        <v>9782.0856000000003</v>
      </c>
      <c r="V89" s="60">
        <f t="shared" si="37"/>
        <v>3406.7375999999986</v>
      </c>
      <c r="W89" s="61">
        <f t="shared" si="37"/>
        <v>5030.7868799999997</v>
      </c>
      <c r="X89" s="60">
        <f t="shared" si="37"/>
        <v>1843.1128799999999</v>
      </c>
      <c r="Y89" s="61">
        <f t="shared" si="37"/>
        <v>5240.4030000000002</v>
      </c>
      <c r="Z89" s="62">
        <f t="shared" si="37"/>
        <v>2052.7290000000003</v>
      </c>
      <c r="AA89" s="63"/>
      <c r="AB89" s="64">
        <f>B78</f>
        <v>126</v>
      </c>
      <c r="AC89" s="65">
        <f>Y89+W89+U89+S89+O89+M89+Q89</f>
        <v>112493.98439999999</v>
      </c>
      <c r="AD89" s="66">
        <f>Z89+X89+V89+T89+P89+N89+R89</f>
        <v>48740.504399999991</v>
      </c>
      <c r="AE89" s="67"/>
    </row>
    <row r="90" spans="1:31">
      <c r="A90" s="2"/>
      <c r="B90" s="2"/>
      <c r="C90" s="3"/>
      <c r="D90" s="2"/>
      <c r="E90" s="2"/>
      <c r="F90" s="2"/>
      <c r="G90" s="2"/>
      <c r="H90" s="2"/>
      <c r="I90" s="2"/>
      <c r="J90" s="2"/>
      <c r="M90" s="25"/>
      <c r="N90" s="26"/>
      <c r="O90" s="25"/>
      <c r="P90" s="26"/>
      <c r="Q90" s="25"/>
      <c r="R90" s="26"/>
      <c r="S90" s="25"/>
      <c r="T90" s="26"/>
      <c r="U90" s="2"/>
      <c r="V90" s="26"/>
      <c r="W90" s="2"/>
      <c r="X90" s="26"/>
      <c r="Y90" s="2"/>
      <c r="Z90" s="2"/>
      <c r="AA90" s="27"/>
      <c r="AB90" s="19"/>
      <c r="AC90" s="19"/>
      <c r="AD90" s="19"/>
      <c r="AE90" s="21"/>
    </row>
    <row r="91" spans="1:31" s="1" customFormat="1" ht="15.75" customHeight="1">
      <c r="A91" s="68" t="s">
        <v>36</v>
      </c>
      <c r="B91" s="69" t="s">
        <v>37</v>
      </c>
      <c r="C91" s="70" t="s">
        <v>38</v>
      </c>
      <c r="D91" s="71" t="s">
        <v>39</v>
      </c>
      <c r="E91" s="72">
        <v>6</v>
      </c>
      <c r="F91" s="73">
        <v>17.190000000000001</v>
      </c>
      <c r="G91" s="74">
        <f t="shared" ref="G91:G110" si="38">E91*F91</f>
        <v>103.14000000000001</v>
      </c>
      <c r="H91" s="73">
        <v>44.65</v>
      </c>
      <c r="I91" s="75">
        <v>0.15</v>
      </c>
      <c r="J91" s="73">
        <v>75.900000000000006</v>
      </c>
      <c r="K91" s="76">
        <f t="shared" ref="K91:K103" si="39">J91*(1-I91)</f>
        <v>64.515000000000001</v>
      </c>
      <c r="L91" s="77">
        <f t="shared" ref="L91:L110" si="40">IFERROR(J91-K91,"")</f>
        <v>11.385000000000005</v>
      </c>
      <c r="M91" s="78">
        <f t="shared" ref="M91:M103" si="41">E91*H91*(1-I91)*$N$85*(1-$N$84)</f>
        <v>11907.217349999997</v>
      </c>
      <c r="N91" s="26">
        <f t="shared" ref="N91:N103" si="42">M91-E91*F91*$N$85</f>
        <v>5409.3973499999965</v>
      </c>
      <c r="O91" s="78">
        <f t="shared" ref="O91:O103" si="43">E91*H91*(1-I91)*$P$85*(1-$P$84)</f>
        <v>2496.2118299999997</v>
      </c>
      <c r="P91" s="26">
        <f t="shared" ref="P91:P103" si="44">O91-E91*F91*$P$85</f>
        <v>1196.6478299999994</v>
      </c>
      <c r="Q91" s="78">
        <f t="shared" ref="Q91:Q103" si="45">E91*H91*(1-I91)*$R$85*(1-$R$84)</f>
        <v>2639.6722799999998</v>
      </c>
      <c r="R91" s="26">
        <f t="shared" ref="R91:R103" si="46">Q91-E91*F91*$R$85</f>
        <v>1340.1082799999995</v>
      </c>
      <c r="S91" s="78">
        <f t="shared" ref="S91:S103" si="47">E91*H91*(1-I91)*$T$85*(1-$T$84)</f>
        <v>1936.716075</v>
      </c>
      <c r="T91" s="26">
        <f t="shared" ref="T91:T103" si="48">S91-E91*F91*$T$85</f>
        <v>637.15207499999974</v>
      </c>
      <c r="U91" s="79">
        <f t="shared" ref="U91:U103" si="49">E91*H91*(1-I91)*$V$85*(1-$V$84)</f>
        <v>2008.4462999999998</v>
      </c>
      <c r="V91" s="26">
        <f t="shared" ref="V91:V103" si="50">U91-E91*F91*$V$85</f>
        <v>708.88229999999953</v>
      </c>
      <c r="W91" s="76">
        <f t="shared" ref="W91:W103" si="51">E91*H91*(1-I91)*$X$85*(1-$X$84)</f>
        <v>1032.9152399999998</v>
      </c>
      <c r="X91" s="26">
        <f t="shared" ref="X91:X103" si="52">W91-E91*F91*$X$85</f>
        <v>383.13323999999966</v>
      </c>
      <c r="Y91" s="77">
        <f t="shared" ref="Y91:Y103" si="53">E91*H91*(1-I91)*$Z$85*(1-$Z$84)</f>
        <v>1075.9533750000001</v>
      </c>
      <c r="Z91" s="2">
        <f t="shared" ref="Z91:Z103" si="54">Y91-E91*F91*$Z$85</f>
        <v>426.1713749999999</v>
      </c>
      <c r="AA91" s="80"/>
      <c r="AB91" s="81"/>
      <c r="AC91" s="82"/>
      <c r="AD91" s="82"/>
      <c r="AE91" s="83"/>
    </row>
    <row r="92" spans="1:31" s="1" customFormat="1" ht="15.75" customHeight="1">
      <c r="A92" s="68" t="s">
        <v>40</v>
      </c>
      <c r="B92" s="69" t="s">
        <v>41</v>
      </c>
      <c r="C92" s="70" t="s">
        <v>42</v>
      </c>
      <c r="D92" s="71" t="s">
        <v>39</v>
      </c>
      <c r="E92" s="72">
        <v>5</v>
      </c>
      <c r="F92" s="73">
        <v>15.84</v>
      </c>
      <c r="G92" s="74">
        <f t="shared" si="38"/>
        <v>79.2</v>
      </c>
      <c r="H92" s="73">
        <v>41.12</v>
      </c>
      <c r="I92" s="75">
        <v>0.15</v>
      </c>
      <c r="J92" s="73">
        <v>69.900000000000006</v>
      </c>
      <c r="K92" s="76">
        <f t="shared" si="39"/>
        <v>59.415000000000006</v>
      </c>
      <c r="L92" s="77">
        <f t="shared" si="40"/>
        <v>10.484999999999999</v>
      </c>
      <c r="M92" s="78">
        <f t="shared" si="41"/>
        <v>9138.2003999999997</v>
      </c>
      <c r="N92" s="26">
        <f t="shared" si="42"/>
        <v>4148.6003999999994</v>
      </c>
      <c r="O92" s="78">
        <f t="shared" si="43"/>
        <v>1915.71912</v>
      </c>
      <c r="P92" s="26">
        <f t="shared" si="44"/>
        <v>917.79911999999979</v>
      </c>
      <c r="Q92" s="78">
        <f t="shared" si="45"/>
        <v>2025.8179200000002</v>
      </c>
      <c r="R92" s="26">
        <f t="shared" si="46"/>
        <v>1027.8979199999999</v>
      </c>
      <c r="S92" s="78">
        <f t="shared" si="47"/>
        <v>1486.3338000000001</v>
      </c>
      <c r="T92" s="26">
        <f t="shared" si="48"/>
        <v>488.41379999999992</v>
      </c>
      <c r="U92" s="79">
        <f t="shared" si="49"/>
        <v>1541.3832</v>
      </c>
      <c r="V92" s="26">
        <f t="shared" si="50"/>
        <v>543.4631999999998</v>
      </c>
      <c r="W92" s="76">
        <f t="shared" si="51"/>
        <v>792.71136000000001</v>
      </c>
      <c r="X92" s="26">
        <f t="shared" si="52"/>
        <v>293.75135999999992</v>
      </c>
      <c r="Y92" s="77">
        <f t="shared" si="53"/>
        <v>825.74099999999999</v>
      </c>
      <c r="Z92" s="2">
        <f t="shared" si="54"/>
        <v>326.78099999999989</v>
      </c>
      <c r="AA92" s="84"/>
      <c r="AB92" s="85"/>
      <c r="AC92" s="86" t="s">
        <v>43</v>
      </c>
      <c r="AD92" s="87">
        <f>AC89/AB89</f>
        <v>892.80939999999987</v>
      </c>
      <c r="AE92" s="83"/>
    </row>
    <row r="93" spans="1:31" s="1" customFormat="1" ht="15.75" customHeight="1">
      <c r="A93" s="68" t="s">
        <v>48</v>
      </c>
      <c r="B93" s="69" t="s">
        <v>49</v>
      </c>
      <c r="C93" s="70" t="s">
        <v>50</v>
      </c>
      <c r="D93" s="71" t="s">
        <v>39</v>
      </c>
      <c r="E93" s="72">
        <v>4</v>
      </c>
      <c r="F93" s="73">
        <v>18.28</v>
      </c>
      <c r="G93" s="74">
        <f t="shared" si="38"/>
        <v>73.12</v>
      </c>
      <c r="H93" s="73">
        <v>46.76</v>
      </c>
      <c r="I93" s="75">
        <v>0.15</v>
      </c>
      <c r="J93" s="73">
        <v>79.5</v>
      </c>
      <c r="K93" s="76">
        <f t="shared" si="39"/>
        <v>67.575000000000003</v>
      </c>
      <c r="L93" s="77">
        <f t="shared" si="40"/>
        <v>11.924999999999997</v>
      </c>
      <c r="M93" s="78">
        <f t="shared" si="41"/>
        <v>8313.2733599999974</v>
      </c>
      <c r="N93" s="26">
        <f t="shared" si="42"/>
        <v>3706.713359999997</v>
      </c>
      <c r="O93" s="78">
        <f t="shared" si="43"/>
        <v>1742.782608</v>
      </c>
      <c r="P93" s="26">
        <f t="shared" si="44"/>
        <v>821.47060799999986</v>
      </c>
      <c r="Q93" s="78">
        <f t="shared" si="45"/>
        <v>1842.942528</v>
      </c>
      <c r="R93" s="26">
        <f t="shared" si="46"/>
        <v>921.63052799999991</v>
      </c>
      <c r="S93" s="78">
        <f t="shared" si="47"/>
        <v>1352.1589200000001</v>
      </c>
      <c r="T93" s="26">
        <f t="shared" si="48"/>
        <v>430.84691999999995</v>
      </c>
      <c r="U93" s="79">
        <f t="shared" si="49"/>
        <v>1402.2388799999999</v>
      </c>
      <c r="V93" s="26">
        <f t="shared" si="50"/>
        <v>480.92687999999976</v>
      </c>
      <c r="W93" s="76">
        <f t="shared" si="51"/>
        <v>721.15142400000002</v>
      </c>
      <c r="X93" s="26">
        <f t="shared" si="52"/>
        <v>260.49542399999996</v>
      </c>
      <c r="Y93" s="77">
        <f t="shared" si="53"/>
        <v>751.19939999999997</v>
      </c>
      <c r="Z93" s="2">
        <f t="shared" si="54"/>
        <v>290.54339999999991</v>
      </c>
      <c r="AA93" s="84"/>
      <c r="AB93" s="85"/>
      <c r="AC93" s="86" t="s">
        <v>47</v>
      </c>
      <c r="AD93" s="88">
        <f>SUM(AD95:AD98)</f>
        <v>0</v>
      </c>
      <c r="AE93" s="83"/>
    </row>
    <row r="94" spans="1:31">
      <c r="A94" s="68" t="s">
        <v>44</v>
      </c>
      <c r="B94" s="69" t="s">
        <v>45</v>
      </c>
      <c r="C94" s="70" t="s">
        <v>46</v>
      </c>
      <c r="D94" s="71" t="s">
        <v>39</v>
      </c>
      <c r="E94" s="72">
        <v>5</v>
      </c>
      <c r="F94" s="73">
        <v>14.8</v>
      </c>
      <c r="G94" s="74">
        <f t="shared" si="38"/>
        <v>74</v>
      </c>
      <c r="H94" s="73">
        <v>38.53</v>
      </c>
      <c r="I94" s="75">
        <v>0.15</v>
      </c>
      <c r="J94" s="73">
        <v>65.5</v>
      </c>
      <c r="K94" s="76">
        <f t="shared" si="39"/>
        <v>55.674999999999997</v>
      </c>
      <c r="L94" s="77">
        <f t="shared" si="40"/>
        <v>9.8250000000000028</v>
      </c>
      <c r="M94" s="78">
        <f t="shared" si="41"/>
        <v>8562.6182249999983</v>
      </c>
      <c r="N94" s="26">
        <f t="shared" si="42"/>
        <v>3900.6182249999983</v>
      </c>
      <c r="O94" s="78">
        <f t="shared" si="43"/>
        <v>1795.054905</v>
      </c>
      <c r="P94" s="26">
        <f t="shared" si="44"/>
        <v>862.65490499999987</v>
      </c>
      <c r="Q94" s="78">
        <f t="shared" si="45"/>
        <v>1898.2189800000001</v>
      </c>
      <c r="R94" s="26">
        <f t="shared" si="46"/>
        <v>965.81898000000001</v>
      </c>
      <c r="S94" s="78">
        <f t="shared" si="47"/>
        <v>1392.7150125000001</v>
      </c>
      <c r="T94" s="26">
        <f t="shared" si="48"/>
        <v>460.31501249999997</v>
      </c>
      <c r="U94" s="79">
        <f t="shared" si="49"/>
        <v>1444.2970499999999</v>
      </c>
      <c r="V94" s="26">
        <f t="shared" si="50"/>
        <v>511.89704999999981</v>
      </c>
      <c r="W94" s="76">
        <f t="shared" si="51"/>
        <v>742.78134</v>
      </c>
      <c r="X94" s="26">
        <f t="shared" si="52"/>
        <v>276.58133999999995</v>
      </c>
      <c r="Y94" s="77">
        <f t="shared" si="53"/>
        <v>773.73056250000002</v>
      </c>
      <c r="Z94" s="2">
        <f t="shared" si="54"/>
        <v>307.53056249999997</v>
      </c>
      <c r="AA94" s="80"/>
      <c r="AB94" s="81"/>
      <c r="AC94" s="82"/>
      <c r="AD94" s="82"/>
      <c r="AE94" s="83"/>
    </row>
    <row r="95" spans="1:31">
      <c r="A95" s="68" t="s">
        <v>51</v>
      </c>
      <c r="B95" s="69" t="s">
        <v>52</v>
      </c>
      <c r="C95" s="70" t="s">
        <v>53</v>
      </c>
      <c r="D95" s="71" t="s">
        <v>39</v>
      </c>
      <c r="E95" s="72">
        <v>3</v>
      </c>
      <c r="F95" s="73">
        <v>15.34</v>
      </c>
      <c r="G95" s="74">
        <f t="shared" si="38"/>
        <v>46.019999999999996</v>
      </c>
      <c r="H95" s="73">
        <v>39.71</v>
      </c>
      <c r="I95" s="75">
        <v>0.15</v>
      </c>
      <c r="J95" s="73">
        <v>67.5</v>
      </c>
      <c r="K95" s="76">
        <f t="shared" si="39"/>
        <v>57.375</v>
      </c>
      <c r="L95" s="77">
        <f t="shared" si="40"/>
        <v>10.125</v>
      </c>
      <c r="M95" s="78">
        <f t="shared" si="41"/>
        <v>5294.911544999999</v>
      </c>
      <c r="N95" s="26">
        <f t="shared" si="42"/>
        <v>2395.6515449999993</v>
      </c>
      <c r="O95" s="78">
        <f t="shared" si="43"/>
        <v>1110.017601</v>
      </c>
      <c r="P95" s="26">
        <f t="shared" si="44"/>
        <v>530.16560100000004</v>
      </c>
      <c r="Q95" s="78">
        <f t="shared" si="45"/>
        <v>1173.8117159999999</v>
      </c>
      <c r="R95" s="26">
        <f t="shared" si="46"/>
        <v>593.95971599999996</v>
      </c>
      <c r="S95" s="78">
        <f t="shared" si="47"/>
        <v>861.22055250000005</v>
      </c>
      <c r="T95" s="26">
        <f t="shared" si="48"/>
        <v>281.36855250000008</v>
      </c>
      <c r="U95" s="79">
        <f t="shared" si="49"/>
        <v>893.1176099999999</v>
      </c>
      <c r="V95" s="26">
        <f t="shared" si="50"/>
        <v>313.26560999999992</v>
      </c>
      <c r="W95" s="76">
        <f t="shared" si="51"/>
        <v>459.31762799999996</v>
      </c>
      <c r="X95" s="26">
        <f t="shared" si="52"/>
        <v>169.39162799999997</v>
      </c>
      <c r="Y95" s="77">
        <f t="shared" si="53"/>
        <v>478.45586249999997</v>
      </c>
      <c r="Z95" s="2">
        <f t="shared" si="54"/>
        <v>188.52986249999998</v>
      </c>
      <c r="AA95" s="80"/>
      <c r="AB95" s="81"/>
      <c r="AC95" s="89" t="s">
        <v>54</v>
      </c>
      <c r="AD95" s="90">
        <f>SUMIF($D$91:$D$101,AC95,$G$91:$G$101)/$AC$89</f>
        <v>0</v>
      </c>
      <c r="AE95" s="83"/>
    </row>
    <row r="96" spans="1:31">
      <c r="A96" s="68" t="s">
        <v>59</v>
      </c>
      <c r="B96" s="69" t="s">
        <v>60</v>
      </c>
      <c r="C96" s="70" t="s">
        <v>61</v>
      </c>
      <c r="D96" s="71" t="s">
        <v>39</v>
      </c>
      <c r="E96" s="72">
        <v>2</v>
      </c>
      <c r="F96" s="73">
        <v>17.64</v>
      </c>
      <c r="G96" s="74">
        <f t="shared" si="38"/>
        <v>35.28</v>
      </c>
      <c r="H96" s="73">
        <v>44.12</v>
      </c>
      <c r="I96" s="75">
        <v>0.15</v>
      </c>
      <c r="J96" s="73">
        <v>75</v>
      </c>
      <c r="K96" s="76">
        <f t="shared" si="39"/>
        <v>63.75</v>
      </c>
      <c r="L96" s="77">
        <f t="shared" si="40"/>
        <v>11.25</v>
      </c>
      <c r="M96" s="78">
        <f t="shared" si="41"/>
        <v>3921.9591599999994</v>
      </c>
      <c r="N96" s="26">
        <f t="shared" si="42"/>
        <v>1699.3191599999996</v>
      </c>
      <c r="O96" s="78">
        <f t="shared" si="43"/>
        <v>822.193848</v>
      </c>
      <c r="P96" s="26">
        <f t="shared" si="44"/>
        <v>377.66584799999993</v>
      </c>
      <c r="Q96" s="78">
        <f t="shared" si="45"/>
        <v>869.44636800000001</v>
      </c>
      <c r="R96" s="26">
        <f t="shared" si="46"/>
        <v>424.91836799999993</v>
      </c>
      <c r="S96" s="78">
        <f t="shared" si="47"/>
        <v>637.90902000000006</v>
      </c>
      <c r="T96" s="26">
        <f t="shared" si="48"/>
        <v>193.38101999999998</v>
      </c>
      <c r="U96" s="79">
        <f t="shared" si="49"/>
        <v>661.53527999999994</v>
      </c>
      <c r="V96" s="26">
        <f t="shared" si="50"/>
        <v>217.00727999999987</v>
      </c>
      <c r="W96" s="76">
        <f t="shared" si="51"/>
        <v>340.218144</v>
      </c>
      <c r="X96" s="26">
        <f t="shared" si="52"/>
        <v>117.95414399999996</v>
      </c>
      <c r="Y96" s="77">
        <f t="shared" si="53"/>
        <v>354.39389999999997</v>
      </c>
      <c r="Z96" s="2">
        <f t="shared" si="54"/>
        <v>132.12989999999994</v>
      </c>
      <c r="AA96" s="80"/>
      <c r="AB96" s="81"/>
      <c r="AC96" s="89" t="s">
        <v>58</v>
      </c>
      <c r="AD96" s="90">
        <f t="shared" ref="AD96:AD98" si="55">SUMIF($D$91:$D$101,AC96,$G$91:$G$101)/$AC$89</f>
        <v>0</v>
      </c>
      <c r="AE96" s="83"/>
    </row>
    <row r="97" spans="1:35">
      <c r="A97" s="68" t="s">
        <v>55</v>
      </c>
      <c r="B97" s="69" t="s">
        <v>56</v>
      </c>
      <c r="C97" s="70" t="s">
        <v>57</v>
      </c>
      <c r="D97" s="71" t="s">
        <v>39</v>
      </c>
      <c r="E97" s="72">
        <v>2</v>
      </c>
      <c r="F97" s="73">
        <v>16.22</v>
      </c>
      <c r="G97" s="74">
        <f t="shared" si="38"/>
        <v>32.44</v>
      </c>
      <c r="H97" s="73">
        <v>41.12</v>
      </c>
      <c r="I97" s="75">
        <v>0.15</v>
      </c>
      <c r="J97" s="73">
        <v>69.900000000000006</v>
      </c>
      <c r="K97" s="76">
        <f t="shared" si="39"/>
        <v>59.415000000000006</v>
      </c>
      <c r="L97" s="77">
        <f t="shared" si="40"/>
        <v>10.484999999999999</v>
      </c>
      <c r="M97" s="78">
        <f t="shared" si="41"/>
        <v>3655.2801599999993</v>
      </c>
      <c r="N97" s="26">
        <f t="shared" si="42"/>
        <v>1611.5601599999995</v>
      </c>
      <c r="O97" s="78">
        <f t="shared" si="43"/>
        <v>766.2876480000001</v>
      </c>
      <c r="P97" s="26">
        <f t="shared" si="44"/>
        <v>357.54364800000008</v>
      </c>
      <c r="Q97" s="78">
        <f t="shared" si="45"/>
        <v>810.32716800000014</v>
      </c>
      <c r="R97" s="26">
        <f t="shared" si="46"/>
        <v>401.58316800000011</v>
      </c>
      <c r="S97" s="78">
        <f t="shared" si="47"/>
        <v>594.53352000000007</v>
      </c>
      <c r="T97" s="26">
        <f t="shared" si="48"/>
        <v>185.78952000000004</v>
      </c>
      <c r="U97" s="79">
        <f t="shared" si="49"/>
        <v>616.55327999999997</v>
      </c>
      <c r="V97" s="26">
        <f t="shared" si="50"/>
        <v>207.80927999999994</v>
      </c>
      <c r="W97" s="76">
        <f t="shared" si="51"/>
        <v>317.08454399999999</v>
      </c>
      <c r="X97" s="26">
        <f t="shared" si="52"/>
        <v>112.71254399999998</v>
      </c>
      <c r="Y97" s="77">
        <f t="shared" si="53"/>
        <v>330.29640000000006</v>
      </c>
      <c r="Z97" s="2">
        <f t="shared" si="54"/>
        <v>125.92440000000005</v>
      </c>
      <c r="AA97" s="80"/>
      <c r="AB97" s="81"/>
      <c r="AC97" s="89" t="s">
        <v>62</v>
      </c>
      <c r="AD97" s="90">
        <f t="shared" si="55"/>
        <v>0</v>
      </c>
      <c r="AE97" s="83"/>
    </row>
    <row r="98" spans="1:35">
      <c r="A98" s="68" t="s">
        <v>67</v>
      </c>
      <c r="B98" s="69" t="s">
        <v>68</v>
      </c>
      <c r="C98" s="70" t="s">
        <v>69</v>
      </c>
      <c r="D98" s="71" t="s">
        <v>39</v>
      </c>
      <c r="E98" s="72">
        <v>2</v>
      </c>
      <c r="F98" s="73">
        <v>13.77</v>
      </c>
      <c r="G98" s="74">
        <f t="shared" si="38"/>
        <v>27.54</v>
      </c>
      <c r="H98" s="73">
        <v>35.880000000000003</v>
      </c>
      <c r="I98" s="75">
        <v>0.15</v>
      </c>
      <c r="J98" s="73">
        <v>61</v>
      </c>
      <c r="K98" s="76">
        <f t="shared" si="39"/>
        <v>51.85</v>
      </c>
      <c r="L98" s="77">
        <f t="shared" si="40"/>
        <v>9.1499999999999986</v>
      </c>
      <c r="M98" s="78">
        <f t="shared" si="41"/>
        <v>3189.4808399999997</v>
      </c>
      <c r="N98" s="26">
        <f t="shared" si="42"/>
        <v>1454.4608399999997</v>
      </c>
      <c r="O98" s="78">
        <f t="shared" si="43"/>
        <v>668.6381520000001</v>
      </c>
      <c r="P98" s="26">
        <f t="shared" si="44"/>
        <v>321.63415200000009</v>
      </c>
      <c r="Q98" s="78">
        <f t="shared" si="45"/>
        <v>707.06563200000016</v>
      </c>
      <c r="R98" s="26">
        <f t="shared" si="46"/>
        <v>360.06163200000015</v>
      </c>
      <c r="S98" s="78">
        <f t="shared" si="47"/>
        <v>518.77098000000012</v>
      </c>
      <c r="T98" s="26">
        <f t="shared" si="48"/>
        <v>171.7669800000001</v>
      </c>
      <c r="U98" s="79">
        <f t="shared" si="49"/>
        <v>537.98472000000004</v>
      </c>
      <c r="V98" s="26">
        <f t="shared" si="50"/>
        <v>190.98072000000002</v>
      </c>
      <c r="W98" s="76">
        <f t="shared" si="51"/>
        <v>276.67785600000008</v>
      </c>
      <c r="X98" s="26">
        <f t="shared" si="52"/>
        <v>103.17585600000007</v>
      </c>
      <c r="Y98" s="77">
        <f t="shared" si="53"/>
        <v>288.20610000000005</v>
      </c>
      <c r="Z98" s="2">
        <f t="shared" si="54"/>
        <v>114.70410000000004</v>
      </c>
      <c r="AA98" s="80"/>
      <c r="AB98" s="81"/>
      <c r="AC98" s="89" t="s">
        <v>66</v>
      </c>
      <c r="AD98" s="90">
        <f t="shared" si="55"/>
        <v>0</v>
      </c>
      <c r="AE98" s="83"/>
    </row>
    <row r="99" spans="1:35">
      <c r="A99" s="68" t="s">
        <v>63</v>
      </c>
      <c r="B99" s="69" t="s">
        <v>64</v>
      </c>
      <c r="C99" s="70" t="s">
        <v>65</v>
      </c>
      <c r="D99" s="71" t="s">
        <v>39</v>
      </c>
      <c r="E99" s="72">
        <v>1</v>
      </c>
      <c r="F99" s="73">
        <v>18.420000000000002</v>
      </c>
      <c r="G99" s="74">
        <f t="shared" si="38"/>
        <v>18.420000000000002</v>
      </c>
      <c r="H99" s="73">
        <v>46.77</v>
      </c>
      <c r="I99" s="75">
        <v>0.15</v>
      </c>
      <c r="J99" s="73">
        <v>79.5</v>
      </c>
      <c r="K99" s="76">
        <f t="shared" si="39"/>
        <v>67.575000000000003</v>
      </c>
      <c r="L99" s="77">
        <f t="shared" si="40"/>
        <v>11.924999999999997</v>
      </c>
      <c r="M99" s="78">
        <f t="shared" si="41"/>
        <v>2078.7628049999998</v>
      </c>
      <c r="N99" s="26">
        <f t="shared" si="42"/>
        <v>918.30280499999981</v>
      </c>
      <c r="O99" s="78">
        <f t="shared" si="43"/>
        <v>435.78882900000002</v>
      </c>
      <c r="P99" s="26">
        <f t="shared" si="44"/>
        <v>203.69682899999998</v>
      </c>
      <c r="Q99" s="78">
        <f t="shared" si="45"/>
        <v>460.8341640000001</v>
      </c>
      <c r="R99" s="26">
        <f t="shared" si="46"/>
        <v>228.74216400000006</v>
      </c>
      <c r="S99" s="78">
        <f t="shared" si="47"/>
        <v>338.11202250000008</v>
      </c>
      <c r="T99" s="26">
        <f t="shared" si="48"/>
        <v>106.02002250000004</v>
      </c>
      <c r="U99" s="79">
        <f t="shared" si="49"/>
        <v>350.63469000000003</v>
      </c>
      <c r="V99" s="26">
        <f t="shared" si="50"/>
        <v>118.54268999999999</v>
      </c>
      <c r="W99" s="76">
        <f t="shared" si="51"/>
        <v>180.326412</v>
      </c>
      <c r="X99" s="26">
        <f t="shared" si="52"/>
        <v>64.280411999999984</v>
      </c>
      <c r="Y99" s="77">
        <f t="shared" si="53"/>
        <v>187.84001250000003</v>
      </c>
      <c r="Z99" s="2">
        <f t="shared" si="54"/>
        <v>71.794012500000008</v>
      </c>
      <c r="AA99" s="80"/>
      <c r="AB99" s="81"/>
      <c r="AC99" s="82"/>
      <c r="AD99" s="82"/>
      <c r="AE99" s="83"/>
    </row>
    <row r="100" spans="1:35">
      <c r="A100" s="68" t="s">
        <v>70</v>
      </c>
      <c r="B100" s="69" t="s">
        <v>71</v>
      </c>
      <c r="C100" s="70" t="s">
        <v>72</v>
      </c>
      <c r="D100" s="71" t="s">
        <v>39</v>
      </c>
      <c r="E100" s="72">
        <v>1</v>
      </c>
      <c r="F100" s="73">
        <v>10.34</v>
      </c>
      <c r="G100" s="74">
        <f t="shared" si="38"/>
        <v>10.34</v>
      </c>
      <c r="H100" s="73">
        <v>26.12</v>
      </c>
      <c r="I100" s="75">
        <v>0.15</v>
      </c>
      <c r="J100" s="73">
        <v>44.4</v>
      </c>
      <c r="K100" s="76">
        <f t="shared" si="39"/>
        <v>37.739999999999995</v>
      </c>
      <c r="L100" s="77">
        <f t="shared" si="40"/>
        <v>6.6600000000000037</v>
      </c>
      <c r="M100" s="78">
        <f t="shared" si="41"/>
        <v>1160.9425800000001</v>
      </c>
      <c r="N100" s="26">
        <f t="shared" si="42"/>
        <v>509.52258000000018</v>
      </c>
      <c r="O100" s="78">
        <f t="shared" si="43"/>
        <v>243.37832400000005</v>
      </c>
      <c r="P100" s="26">
        <f t="shared" si="44"/>
        <v>113.09432400000003</v>
      </c>
      <c r="Q100" s="78">
        <f t="shared" si="45"/>
        <v>257.36558400000007</v>
      </c>
      <c r="R100" s="26">
        <f t="shared" si="46"/>
        <v>127.08158400000005</v>
      </c>
      <c r="S100" s="78">
        <f t="shared" si="47"/>
        <v>188.82801000000006</v>
      </c>
      <c r="T100" s="26">
        <f t="shared" si="48"/>
        <v>58.544010000000043</v>
      </c>
      <c r="U100" s="79">
        <f t="shared" si="49"/>
        <v>195.82164000000003</v>
      </c>
      <c r="V100" s="26">
        <f t="shared" si="50"/>
        <v>65.53764000000001</v>
      </c>
      <c r="W100" s="76">
        <f t="shared" si="51"/>
        <v>100.70827200000002</v>
      </c>
      <c r="X100" s="26">
        <f t="shared" si="52"/>
        <v>35.566272000000012</v>
      </c>
      <c r="Y100" s="77">
        <f t="shared" si="53"/>
        <v>104.90445000000003</v>
      </c>
      <c r="Z100" s="2">
        <f t="shared" si="54"/>
        <v>39.762450000000015</v>
      </c>
      <c r="AA100" s="80"/>
      <c r="AB100" s="81"/>
      <c r="AC100" s="82"/>
      <c r="AD100" s="82"/>
      <c r="AE100" s="83"/>
    </row>
    <row r="101" spans="1:35">
      <c r="A101" s="68" t="s">
        <v>79</v>
      </c>
      <c r="B101" s="69" t="s">
        <v>80</v>
      </c>
      <c r="C101" s="70" t="s">
        <v>81</v>
      </c>
      <c r="D101" s="71" t="s">
        <v>39</v>
      </c>
      <c r="E101" s="72">
        <v>1</v>
      </c>
      <c r="F101" s="73">
        <v>6.48</v>
      </c>
      <c r="G101" s="74">
        <f t="shared" si="38"/>
        <v>6.48</v>
      </c>
      <c r="H101" s="73">
        <v>17.350000000000001</v>
      </c>
      <c r="I101" s="75">
        <v>0.15</v>
      </c>
      <c r="J101" s="73">
        <v>29.5</v>
      </c>
      <c r="K101" s="76">
        <f t="shared" si="39"/>
        <v>25.074999999999999</v>
      </c>
      <c r="L101" s="77">
        <f t="shared" si="40"/>
        <v>4.4250000000000007</v>
      </c>
      <c r="M101" s="78">
        <f t="shared" si="41"/>
        <v>771.14677500000005</v>
      </c>
      <c r="N101" s="26">
        <f t="shared" si="42"/>
        <v>362.90677500000004</v>
      </c>
      <c r="O101" s="78">
        <f t="shared" si="43"/>
        <v>161.66209500000002</v>
      </c>
      <c r="P101" s="26">
        <f t="shared" si="44"/>
        <v>80.014095000000012</v>
      </c>
      <c r="Q101" s="78">
        <f t="shared" si="45"/>
        <v>170.95302000000004</v>
      </c>
      <c r="R101" s="26">
        <f t="shared" si="46"/>
        <v>89.305020000000027</v>
      </c>
      <c r="S101" s="78">
        <f t="shared" si="47"/>
        <v>125.42748750000003</v>
      </c>
      <c r="T101" s="26">
        <f t="shared" si="48"/>
        <v>43.779487500000016</v>
      </c>
      <c r="U101" s="79">
        <f t="shared" si="49"/>
        <v>130.07295000000002</v>
      </c>
      <c r="V101" s="26">
        <f t="shared" si="50"/>
        <v>48.42495000000001</v>
      </c>
      <c r="W101" s="76">
        <f t="shared" si="51"/>
        <v>66.894660000000002</v>
      </c>
      <c r="X101" s="26">
        <f t="shared" si="52"/>
        <v>26.070659999999997</v>
      </c>
      <c r="Y101" s="77">
        <f t="shared" si="53"/>
        <v>69.681937500000004</v>
      </c>
      <c r="Z101" s="2">
        <f t="shared" si="54"/>
        <v>28.857937499999998</v>
      </c>
      <c r="AA101" s="80"/>
      <c r="AB101" s="81"/>
      <c r="AC101" s="82"/>
      <c r="AD101" s="82"/>
      <c r="AE101" s="83"/>
    </row>
    <row r="102" spans="1:35">
      <c r="A102" s="68" t="s">
        <v>73</v>
      </c>
      <c r="B102" s="69" t="s">
        <v>74</v>
      </c>
      <c r="C102" s="70" t="s">
        <v>75</v>
      </c>
      <c r="D102" s="71" t="s">
        <v>39</v>
      </c>
      <c r="E102" s="72">
        <v>0</v>
      </c>
      <c r="F102" s="73">
        <v>16.71</v>
      </c>
      <c r="G102" s="74">
        <f t="shared" si="38"/>
        <v>0</v>
      </c>
      <c r="H102" s="73">
        <v>42.88</v>
      </c>
      <c r="I102" s="75">
        <v>0.15</v>
      </c>
      <c r="J102" s="73">
        <v>72.900000000000006</v>
      </c>
      <c r="K102" s="76">
        <f t="shared" si="39"/>
        <v>61.965000000000003</v>
      </c>
      <c r="L102" s="77">
        <f t="shared" si="40"/>
        <v>10.935000000000002</v>
      </c>
      <c r="M102" s="78">
        <f t="shared" si="41"/>
        <v>0</v>
      </c>
      <c r="N102" s="26">
        <f t="shared" si="42"/>
        <v>0</v>
      </c>
      <c r="O102" s="78">
        <f t="shared" si="43"/>
        <v>0</v>
      </c>
      <c r="P102" s="26">
        <f t="shared" si="44"/>
        <v>0</v>
      </c>
      <c r="Q102" s="78">
        <f t="shared" si="45"/>
        <v>0</v>
      </c>
      <c r="R102" s="26">
        <f t="shared" si="46"/>
        <v>0</v>
      </c>
      <c r="S102" s="78">
        <f t="shared" si="47"/>
        <v>0</v>
      </c>
      <c r="T102" s="26">
        <f t="shared" si="48"/>
        <v>0</v>
      </c>
      <c r="U102" s="79">
        <f t="shared" si="49"/>
        <v>0</v>
      </c>
      <c r="V102" s="26">
        <f t="shared" si="50"/>
        <v>0</v>
      </c>
      <c r="W102" s="76">
        <f t="shared" si="51"/>
        <v>0</v>
      </c>
      <c r="X102" s="26">
        <f t="shared" si="52"/>
        <v>0</v>
      </c>
      <c r="Y102" s="77">
        <f t="shared" si="53"/>
        <v>0</v>
      </c>
      <c r="Z102" s="2">
        <f t="shared" si="54"/>
        <v>0</v>
      </c>
      <c r="AA102" s="80"/>
      <c r="AB102" s="81"/>
      <c r="AC102" s="82"/>
      <c r="AD102" s="82"/>
      <c r="AE102" s="83"/>
    </row>
    <row r="103" spans="1:35">
      <c r="A103" s="68" t="s">
        <v>76</v>
      </c>
      <c r="B103" s="69" t="s">
        <v>77</v>
      </c>
      <c r="C103" s="70" t="s">
        <v>78</v>
      </c>
      <c r="D103" s="71" t="s">
        <v>39</v>
      </c>
      <c r="E103" s="72">
        <v>0</v>
      </c>
      <c r="F103" s="73">
        <v>16.71</v>
      </c>
      <c r="G103" s="74">
        <f t="shared" si="38"/>
        <v>0</v>
      </c>
      <c r="H103" s="73">
        <v>42.88</v>
      </c>
      <c r="I103" s="75">
        <v>0.15</v>
      </c>
      <c r="J103" s="73">
        <v>72.900000000000006</v>
      </c>
      <c r="K103" s="76">
        <f t="shared" si="39"/>
        <v>61.965000000000003</v>
      </c>
      <c r="L103" s="77">
        <f t="shared" si="40"/>
        <v>10.935000000000002</v>
      </c>
      <c r="M103" s="78">
        <f t="shared" si="41"/>
        <v>0</v>
      </c>
      <c r="N103" s="26">
        <f t="shared" si="42"/>
        <v>0</v>
      </c>
      <c r="O103" s="78">
        <f t="shared" si="43"/>
        <v>0</v>
      </c>
      <c r="P103" s="26">
        <f t="shared" si="44"/>
        <v>0</v>
      </c>
      <c r="Q103" s="78">
        <f t="shared" si="45"/>
        <v>0</v>
      </c>
      <c r="R103" s="26">
        <f t="shared" si="46"/>
        <v>0</v>
      </c>
      <c r="S103" s="78">
        <f t="shared" si="47"/>
        <v>0</v>
      </c>
      <c r="T103" s="26">
        <f t="shared" si="48"/>
        <v>0</v>
      </c>
      <c r="U103" s="79">
        <f t="shared" si="49"/>
        <v>0</v>
      </c>
      <c r="V103" s="26">
        <f t="shared" si="50"/>
        <v>0</v>
      </c>
      <c r="W103" s="76">
        <f t="shared" si="51"/>
        <v>0</v>
      </c>
      <c r="X103" s="26">
        <f t="shared" si="52"/>
        <v>0</v>
      </c>
      <c r="Y103" s="77">
        <f t="shared" si="53"/>
        <v>0</v>
      </c>
      <c r="Z103" s="2">
        <f t="shared" si="54"/>
        <v>0</v>
      </c>
      <c r="AA103" s="80"/>
      <c r="AB103" s="81"/>
      <c r="AC103" s="91"/>
      <c r="AD103" s="82"/>
      <c r="AE103" s="83"/>
    </row>
    <row r="104" spans="1:35">
      <c r="A104" s="92" t="s">
        <v>82</v>
      </c>
      <c r="B104" s="93"/>
      <c r="C104" s="94"/>
      <c r="D104" s="95" t="s">
        <v>58</v>
      </c>
      <c r="E104" s="96">
        <v>1</v>
      </c>
      <c r="F104" s="73"/>
      <c r="G104" s="74">
        <f t="shared" si="38"/>
        <v>0</v>
      </c>
      <c r="H104" s="97"/>
      <c r="I104" s="75"/>
      <c r="J104" s="73"/>
      <c r="K104" s="76"/>
      <c r="L104" s="77">
        <f t="shared" si="40"/>
        <v>0</v>
      </c>
      <c r="M104" s="78"/>
      <c r="N104" s="26"/>
      <c r="O104" s="78"/>
      <c r="P104" s="26"/>
      <c r="Q104" s="78"/>
      <c r="R104" s="26"/>
      <c r="S104" s="78"/>
      <c r="T104" s="26"/>
      <c r="U104" s="79"/>
      <c r="V104" s="26"/>
      <c r="W104" s="76"/>
      <c r="X104" s="26"/>
      <c r="Y104" s="77"/>
      <c r="Z104" s="2"/>
      <c r="AA104" s="80"/>
      <c r="AB104" s="81"/>
      <c r="AC104" s="82"/>
      <c r="AD104" s="98"/>
      <c r="AE104" s="83"/>
    </row>
    <row r="105" spans="1:35">
      <c r="A105" s="92" t="s">
        <v>83</v>
      </c>
      <c r="B105" s="93"/>
      <c r="C105" s="94"/>
      <c r="D105" s="95" t="s">
        <v>58</v>
      </c>
      <c r="E105" s="96">
        <v>1</v>
      </c>
      <c r="F105" s="73"/>
      <c r="G105" s="74">
        <f t="shared" si="38"/>
        <v>0</v>
      </c>
      <c r="H105" s="97"/>
      <c r="I105" s="75"/>
      <c r="J105" s="73"/>
      <c r="K105" s="76"/>
      <c r="L105" s="77">
        <f t="shared" si="40"/>
        <v>0</v>
      </c>
      <c r="M105" s="78"/>
      <c r="N105" s="26"/>
      <c r="O105" s="78"/>
      <c r="P105" s="26"/>
      <c r="Q105" s="78"/>
      <c r="R105" s="26"/>
      <c r="S105" s="78"/>
      <c r="T105" s="26"/>
      <c r="U105" s="79"/>
      <c r="V105" s="26"/>
      <c r="W105" s="76"/>
      <c r="X105" s="26"/>
      <c r="Y105" s="77"/>
      <c r="Z105" s="2"/>
      <c r="AA105" s="80"/>
      <c r="AB105" s="81"/>
      <c r="AC105" s="82"/>
      <c r="AD105" s="99"/>
      <c r="AE105" s="83"/>
    </row>
    <row r="106" spans="1:35">
      <c r="A106" s="92">
        <v>3020202</v>
      </c>
      <c r="B106" s="93"/>
      <c r="C106" s="94"/>
      <c r="D106" s="95" t="s">
        <v>66</v>
      </c>
      <c r="E106" s="96">
        <v>1</v>
      </c>
      <c r="F106" s="73"/>
      <c r="G106" s="74">
        <f t="shared" si="38"/>
        <v>0</v>
      </c>
      <c r="H106" s="97"/>
      <c r="I106" s="75"/>
      <c r="J106" s="73"/>
      <c r="K106" s="76"/>
      <c r="L106" s="77">
        <f t="shared" si="40"/>
        <v>0</v>
      </c>
      <c r="M106" s="78"/>
      <c r="N106" s="26"/>
      <c r="O106" s="78"/>
      <c r="P106" s="26"/>
      <c r="Q106" s="78"/>
      <c r="R106" s="26"/>
      <c r="S106" s="78"/>
      <c r="T106" s="26"/>
      <c r="U106" s="79"/>
      <c r="V106" s="26"/>
      <c r="W106" s="76"/>
      <c r="X106" s="26"/>
      <c r="Y106" s="77"/>
      <c r="Z106" s="2"/>
      <c r="AA106" s="80"/>
      <c r="AB106" s="81"/>
      <c r="AC106" s="82"/>
      <c r="AD106" s="100"/>
      <c r="AE106" s="83"/>
    </row>
    <row r="107" spans="1:35">
      <c r="A107" s="92">
        <v>3020301</v>
      </c>
      <c r="B107" s="93"/>
      <c r="C107" s="94"/>
      <c r="D107" s="95" t="s">
        <v>66</v>
      </c>
      <c r="E107" s="96">
        <v>1</v>
      </c>
      <c r="F107" s="73"/>
      <c r="G107" s="74">
        <f t="shared" si="38"/>
        <v>0</v>
      </c>
      <c r="H107" s="97"/>
      <c r="I107" s="75"/>
      <c r="J107" s="73"/>
      <c r="K107" s="76"/>
      <c r="L107" s="77">
        <f t="shared" si="40"/>
        <v>0</v>
      </c>
      <c r="M107" s="78"/>
      <c r="N107" s="26"/>
      <c r="O107" s="78"/>
      <c r="P107" s="26"/>
      <c r="Q107" s="78"/>
      <c r="R107" s="26"/>
      <c r="S107" s="78"/>
      <c r="T107" s="26"/>
      <c r="U107" s="79"/>
      <c r="V107" s="26"/>
      <c r="W107" s="76"/>
      <c r="X107" s="26"/>
      <c r="Y107" s="77"/>
      <c r="Z107" s="2"/>
      <c r="AA107" s="80"/>
      <c r="AB107" s="81"/>
      <c r="AC107" s="82"/>
      <c r="AD107" s="99"/>
      <c r="AE107" s="83"/>
    </row>
    <row r="108" spans="1:35">
      <c r="A108" s="92">
        <v>3020720</v>
      </c>
      <c r="B108" s="93"/>
      <c r="C108" s="94"/>
      <c r="D108" s="95" t="s">
        <v>66</v>
      </c>
      <c r="E108" s="96">
        <v>1</v>
      </c>
      <c r="F108" s="73"/>
      <c r="G108" s="74">
        <f t="shared" si="38"/>
        <v>0</v>
      </c>
      <c r="H108" s="97"/>
      <c r="I108" s="75"/>
      <c r="J108" s="73"/>
      <c r="K108" s="76"/>
      <c r="L108" s="77">
        <f t="shared" si="40"/>
        <v>0</v>
      </c>
      <c r="M108" s="78"/>
      <c r="N108" s="26"/>
      <c r="O108" s="78"/>
      <c r="P108" s="26"/>
      <c r="Q108" s="78"/>
      <c r="R108" s="26"/>
      <c r="S108" s="78"/>
      <c r="T108" s="26"/>
      <c r="U108" s="79"/>
      <c r="V108" s="26"/>
      <c r="W108" s="76"/>
      <c r="X108" s="26"/>
      <c r="Y108" s="77"/>
      <c r="Z108" s="2"/>
      <c r="AA108" s="80"/>
      <c r="AB108" s="81"/>
      <c r="AC108" s="81"/>
      <c r="AD108" s="81"/>
      <c r="AE108" s="83"/>
    </row>
    <row r="109" spans="1:35">
      <c r="A109" s="92">
        <v>3020718</v>
      </c>
      <c r="B109" s="93"/>
      <c r="C109" s="94"/>
      <c r="D109" s="95" t="s">
        <v>66</v>
      </c>
      <c r="E109" s="96">
        <v>1</v>
      </c>
      <c r="F109" s="73"/>
      <c r="G109" s="74">
        <f t="shared" si="38"/>
        <v>0</v>
      </c>
      <c r="H109" s="97"/>
      <c r="I109" s="75"/>
      <c r="J109" s="73"/>
      <c r="K109" s="76"/>
      <c r="L109" s="77">
        <f t="shared" si="40"/>
        <v>0</v>
      </c>
      <c r="M109" s="78"/>
      <c r="N109" s="26"/>
      <c r="O109" s="78"/>
      <c r="P109" s="26"/>
      <c r="Q109" s="78"/>
      <c r="R109" s="26"/>
      <c r="S109" s="78"/>
      <c r="T109" s="26"/>
      <c r="U109" s="79"/>
      <c r="V109" s="26"/>
      <c r="W109" s="76"/>
      <c r="X109" s="26"/>
      <c r="Y109" s="77"/>
      <c r="Z109" s="2"/>
      <c r="AA109" s="80"/>
      <c r="AB109" s="81"/>
      <c r="AC109" s="91"/>
      <c r="AD109" s="81"/>
      <c r="AE109" s="83"/>
    </row>
    <row r="110" spans="1:35" s="1" customFormat="1" ht="15.75" customHeight="1">
      <c r="A110" s="92" t="s">
        <v>84</v>
      </c>
      <c r="B110" s="93"/>
      <c r="C110" s="94"/>
      <c r="D110" s="95" t="s">
        <v>58</v>
      </c>
      <c r="E110" s="96">
        <v>1</v>
      </c>
      <c r="F110" s="73"/>
      <c r="G110" s="74">
        <f t="shared" si="38"/>
        <v>0</v>
      </c>
      <c r="H110" s="97"/>
      <c r="I110" s="75"/>
      <c r="J110" s="73"/>
      <c r="K110" s="76"/>
      <c r="L110" s="77">
        <f t="shared" si="40"/>
        <v>0</v>
      </c>
      <c r="M110" s="101"/>
      <c r="N110" s="102"/>
      <c r="O110" s="101"/>
      <c r="P110" s="102"/>
      <c r="Q110" s="101"/>
      <c r="R110" s="102"/>
      <c r="S110" s="101"/>
      <c r="T110" s="102"/>
      <c r="U110" s="103"/>
      <c r="V110" s="102"/>
      <c r="W110" s="104"/>
      <c r="X110" s="102"/>
      <c r="Y110" s="105"/>
      <c r="Z110" s="106"/>
      <c r="AA110" s="107"/>
      <c r="AB110" s="108"/>
      <c r="AC110" s="109"/>
      <c r="AD110" s="110"/>
      <c r="AE110" s="111"/>
    </row>
    <row r="111" spans="1:35" ht="15" thickBot="1"/>
    <row r="112" spans="1:35">
      <c r="AE112" s="13"/>
      <c r="AF112" s="14"/>
      <c r="AG112" s="14"/>
      <c r="AH112" s="14"/>
      <c r="AI112" s="15"/>
    </row>
    <row r="113" spans="1:35">
      <c r="A113" s="6" t="s">
        <v>89</v>
      </c>
      <c r="B113" s="7"/>
      <c r="C113" s="8"/>
      <c r="D113" s="9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19"/>
      <c r="AF113" s="20" t="s">
        <v>102</v>
      </c>
      <c r="AG113" s="20"/>
      <c r="AH113" s="20"/>
      <c r="AI113" s="21"/>
    </row>
    <row r="114" spans="1:35" s="1" customFormat="1" ht="15.75" customHeight="1" thickBot="1">
      <c r="M114" s="115" t="s">
        <v>90</v>
      </c>
      <c r="N114" s="116"/>
      <c r="O114" s="116"/>
      <c r="P114" s="117" t="s">
        <v>91</v>
      </c>
      <c r="Q114" s="118"/>
      <c r="R114" s="118"/>
      <c r="S114" s="163" t="s">
        <v>92</v>
      </c>
      <c r="T114" s="164"/>
      <c r="U114" s="164"/>
      <c r="V114" s="164"/>
      <c r="W114" s="164"/>
      <c r="X114" s="164"/>
      <c r="Y114" s="165" t="s">
        <v>93</v>
      </c>
      <c r="Z114" s="164"/>
      <c r="AA114" s="164"/>
      <c r="AB114" s="164"/>
      <c r="AC114" s="164"/>
      <c r="AD114" s="164"/>
      <c r="AE114" s="27"/>
      <c r="AF114" s="19"/>
      <c r="AG114" s="19"/>
      <c r="AH114" s="19"/>
      <c r="AI114" s="21"/>
    </row>
    <row r="115" spans="1:35">
      <c r="M115" s="24"/>
      <c r="N115" s="24"/>
      <c r="O115" s="23"/>
      <c r="P115" s="24"/>
      <c r="Q115" s="24"/>
      <c r="R115" s="23"/>
      <c r="S115" s="24"/>
      <c r="T115" s="24"/>
      <c r="U115" s="23"/>
      <c r="V115" s="24"/>
      <c r="W115" s="24"/>
      <c r="X115" s="23"/>
      <c r="Y115" s="24"/>
      <c r="Z115" s="24"/>
      <c r="AA115" s="23"/>
      <c r="AB115" s="24"/>
      <c r="AC115" s="24"/>
      <c r="AD115" s="23"/>
      <c r="AE115" s="27"/>
      <c r="AF115" s="28" t="s">
        <v>14</v>
      </c>
      <c r="AG115" s="28"/>
      <c r="AH115" s="28"/>
      <c r="AI115" s="21"/>
    </row>
    <row r="116" spans="1:35">
      <c r="M116" s="119" t="s">
        <v>94</v>
      </c>
      <c r="N116" s="120"/>
      <c r="O116" s="121"/>
      <c r="P116" s="122" t="s">
        <v>95</v>
      </c>
      <c r="Q116" s="123"/>
      <c r="R116" s="124"/>
      <c r="S116" s="125" t="s">
        <v>96</v>
      </c>
      <c r="T116" s="126"/>
      <c r="U116" s="127"/>
      <c r="V116" s="125" t="s">
        <v>97</v>
      </c>
      <c r="W116" s="128"/>
      <c r="X116" s="129"/>
      <c r="Y116" s="119" t="s">
        <v>98</v>
      </c>
      <c r="Z116" s="130"/>
      <c r="AA116" s="131"/>
      <c r="AB116" s="119" t="s">
        <v>99</v>
      </c>
      <c r="AC116" s="130"/>
      <c r="AD116" s="131"/>
      <c r="AE116" s="25"/>
      <c r="AF116" s="34"/>
      <c r="AG116" s="34"/>
      <c r="AH116" s="34"/>
      <c r="AI116" s="26"/>
    </row>
    <row r="117" spans="1:35">
      <c r="M117" s="10" t="s">
        <v>16</v>
      </c>
      <c r="N117" s="10"/>
      <c r="O117" s="132">
        <v>0.25</v>
      </c>
      <c r="P117" s="10" t="s">
        <v>16</v>
      </c>
      <c r="Q117" s="10"/>
      <c r="R117" s="132">
        <v>0.2</v>
      </c>
      <c r="S117" s="10" t="s">
        <v>16</v>
      </c>
      <c r="T117" s="10"/>
      <c r="U117" s="132">
        <v>0.16</v>
      </c>
      <c r="V117" s="10" t="s">
        <v>16</v>
      </c>
      <c r="W117" s="10"/>
      <c r="X117" s="133">
        <v>0.185</v>
      </c>
      <c r="Y117" s="10" t="s">
        <v>16</v>
      </c>
      <c r="Z117" s="10"/>
      <c r="AA117" s="132">
        <v>0.15</v>
      </c>
      <c r="AB117" s="10" t="s">
        <v>16</v>
      </c>
      <c r="AC117" s="10"/>
      <c r="AD117" s="132">
        <v>0.2</v>
      </c>
      <c r="AE117" s="27"/>
      <c r="AF117" s="150"/>
      <c r="AG117" s="19"/>
      <c r="AH117" s="19"/>
      <c r="AI117" s="21"/>
    </row>
    <row r="118" spans="1:35" s="1" customFormat="1" ht="39" customHeight="1">
      <c r="A118" s="40"/>
      <c r="B118" s="40"/>
      <c r="C118" s="41"/>
      <c r="D118" s="40"/>
      <c r="E118" s="42"/>
      <c r="F118" s="42" t="s">
        <v>19</v>
      </c>
      <c r="H118" s="42" t="s">
        <v>21</v>
      </c>
      <c r="I118" s="42" t="s">
        <v>22</v>
      </c>
      <c r="J118" s="42" t="s">
        <v>23</v>
      </c>
      <c r="K118" s="42" t="s">
        <v>24</v>
      </c>
      <c r="L118" s="42" t="s">
        <v>25</v>
      </c>
      <c r="M118" s="42" t="s">
        <v>100</v>
      </c>
      <c r="N118" s="42" t="s">
        <v>26</v>
      </c>
      <c r="O118" s="44" t="s">
        <v>27</v>
      </c>
      <c r="P118" s="42" t="s">
        <v>100</v>
      </c>
      <c r="Q118" s="42" t="s">
        <v>26</v>
      </c>
      <c r="R118" s="44" t="s">
        <v>27</v>
      </c>
      <c r="S118" s="42" t="s">
        <v>100</v>
      </c>
      <c r="T118" s="42" t="s">
        <v>26</v>
      </c>
      <c r="U118" s="44" t="s">
        <v>27</v>
      </c>
      <c r="V118" s="42" t="s">
        <v>100</v>
      </c>
      <c r="W118" s="42" t="s">
        <v>26</v>
      </c>
      <c r="X118" s="44" t="s">
        <v>27</v>
      </c>
      <c r="Y118" s="42" t="s">
        <v>100</v>
      </c>
      <c r="Z118" s="42" t="s">
        <v>26</v>
      </c>
      <c r="AA118" s="44" t="s">
        <v>27</v>
      </c>
      <c r="AB118" s="42" t="s">
        <v>100</v>
      </c>
      <c r="AC118" s="42" t="s">
        <v>26</v>
      </c>
      <c r="AD118" s="44" t="s">
        <v>27</v>
      </c>
      <c r="AE118" s="45"/>
      <c r="AF118" s="150"/>
      <c r="AG118" s="46" t="s">
        <v>26</v>
      </c>
      <c r="AH118" s="46" t="s">
        <v>27</v>
      </c>
      <c r="AI118" s="47"/>
    </row>
    <row r="119" spans="1:35" s="1" customFormat="1" ht="26.25" customHeight="1" thickBot="1">
      <c r="A119" s="48" t="s">
        <v>29</v>
      </c>
      <c r="B119" s="48" t="s">
        <v>30</v>
      </c>
      <c r="C119" s="48" t="s">
        <v>31</v>
      </c>
      <c r="D119" s="48" t="s">
        <v>32</v>
      </c>
      <c r="E119" s="48" t="s">
        <v>101</v>
      </c>
      <c r="F119" s="48" t="s">
        <v>34</v>
      </c>
      <c r="H119" s="48" t="s">
        <v>34</v>
      </c>
      <c r="I119" s="48" t="s">
        <v>34</v>
      </c>
      <c r="J119" s="48" t="s">
        <v>34</v>
      </c>
      <c r="K119" s="48" t="s">
        <v>34</v>
      </c>
      <c r="L119" s="48" t="s">
        <v>34</v>
      </c>
      <c r="M119" s="48" t="s">
        <v>33</v>
      </c>
      <c r="N119" s="48" t="s">
        <v>34</v>
      </c>
      <c r="O119" s="50" t="s">
        <v>34</v>
      </c>
      <c r="P119" s="48" t="s">
        <v>33</v>
      </c>
      <c r="Q119" s="48" t="s">
        <v>34</v>
      </c>
      <c r="R119" s="50" t="s">
        <v>34</v>
      </c>
      <c r="S119" s="48" t="s">
        <v>33</v>
      </c>
      <c r="T119" s="48" t="s">
        <v>34</v>
      </c>
      <c r="U119" s="50" t="s">
        <v>34</v>
      </c>
      <c r="V119" s="48" t="s">
        <v>33</v>
      </c>
      <c r="W119" s="48" t="s">
        <v>34</v>
      </c>
      <c r="X119" s="50" t="s">
        <v>34</v>
      </c>
      <c r="Y119" s="48" t="s">
        <v>33</v>
      </c>
      <c r="Z119" s="48" t="s">
        <v>34</v>
      </c>
      <c r="AA119" s="50" t="s">
        <v>34</v>
      </c>
      <c r="AB119" s="48" t="s">
        <v>33</v>
      </c>
      <c r="AC119" s="48" t="s">
        <v>34</v>
      </c>
      <c r="AD119" s="50" t="s">
        <v>34</v>
      </c>
      <c r="AE119" s="27"/>
      <c r="AF119" s="150"/>
      <c r="AG119" s="53" t="s">
        <v>34</v>
      </c>
      <c r="AH119" s="53" t="s">
        <v>34</v>
      </c>
      <c r="AI119" s="21"/>
    </row>
    <row r="120" spans="1:35">
      <c r="A120" s="2"/>
      <c r="B120" s="2"/>
      <c r="C120" s="3"/>
      <c r="D120" s="2"/>
      <c r="E120" s="2"/>
      <c r="F120" s="2"/>
      <c r="H120" s="2"/>
      <c r="I120" s="2"/>
      <c r="J120" s="2"/>
      <c r="M120" s="2"/>
      <c r="N120" s="2"/>
      <c r="O120" s="26"/>
      <c r="P120" s="2"/>
      <c r="Q120" s="2"/>
      <c r="R120" s="26"/>
      <c r="S120" s="2"/>
      <c r="T120" s="2"/>
      <c r="U120" s="26"/>
      <c r="V120" s="2"/>
      <c r="W120" s="2"/>
      <c r="X120" s="26"/>
      <c r="Y120" s="2"/>
      <c r="Z120" s="2"/>
      <c r="AA120" s="26"/>
      <c r="AB120" s="2"/>
      <c r="AC120" s="2"/>
      <c r="AD120" s="26"/>
      <c r="AE120" s="27"/>
      <c r="AF120" s="150"/>
      <c r="AG120" s="19"/>
      <c r="AH120" s="19"/>
      <c r="AI120" s="21"/>
    </row>
    <row r="121" spans="1:35">
      <c r="A121" s="54" t="s">
        <v>35</v>
      </c>
      <c r="B121" s="54"/>
      <c r="C121" s="55"/>
      <c r="D121" s="54"/>
      <c r="E121" s="134">
        <f>SUM(E123:E142)</f>
        <v>40</v>
      </c>
      <c r="F121" s="57"/>
      <c r="H121" s="57"/>
      <c r="I121" s="58"/>
      <c r="J121" s="57"/>
      <c r="K121" s="57"/>
      <c r="L121" s="57"/>
      <c r="M121" s="134">
        <f>SUM(M123:M142)</f>
        <v>40</v>
      </c>
      <c r="N121" s="61">
        <f>SUM(N123:N142)</f>
        <v>1286.55</v>
      </c>
      <c r="O121" s="60">
        <f>SUM(O123:O142)</f>
        <v>625.94999999999993</v>
      </c>
      <c r="P121" s="134"/>
      <c r="Q121" s="61"/>
      <c r="R121" s="60"/>
      <c r="S121" s="134"/>
      <c r="T121" s="61"/>
      <c r="U121" s="60"/>
      <c r="V121" s="134"/>
      <c r="W121" s="61"/>
      <c r="X121" s="60"/>
      <c r="Y121" s="134"/>
      <c r="Z121" s="61"/>
      <c r="AA121" s="60"/>
      <c r="AB121" s="134"/>
      <c r="AC121" s="61"/>
      <c r="AD121" s="60"/>
      <c r="AE121" s="63"/>
      <c r="AF121" s="150"/>
      <c r="AG121" s="65">
        <f>N121+Q121+T121+W121+Z121+AC121</f>
        <v>1286.55</v>
      </c>
      <c r="AH121" s="65">
        <f>O121+R121+U121+X121+AA121+AD121</f>
        <v>625.94999999999993</v>
      </c>
      <c r="AI121" s="67"/>
    </row>
    <row r="122" spans="1:35">
      <c r="A122" s="2"/>
      <c r="B122" s="2"/>
      <c r="C122" s="3"/>
      <c r="D122" s="2"/>
      <c r="E122" s="2"/>
      <c r="F122" s="2"/>
      <c r="H122" s="2"/>
      <c r="I122" s="2"/>
      <c r="J122" s="2"/>
      <c r="M122" s="2"/>
      <c r="N122" s="2"/>
      <c r="O122" s="26"/>
      <c r="P122" s="2"/>
      <c r="Q122" s="2"/>
      <c r="R122" s="26"/>
      <c r="S122" s="2"/>
      <c r="T122" s="2"/>
      <c r="U122" s="26"/>
      <c r="V122" s="2"/>
      <c r="W122" s="2"/>
      <c r="X122" s="26"/>
      <c r="Y122" s="2"/>
      <c r="Z122" s="2"/>
      <c r="AA122" s="26"/>
      <c r="AB122" s="2"/>
      <c r="AC122" s="2"/>
      <c r="AD122" s="26"/>
      <c r="AE122" s="27"/>
      <c r="AF122" s="19"/>
      <c r="AG122" s="19"/>
      <c r="AH122" s="19"/>
      <c r="AI122" s="21"/>
    </row>
    <row r="123" spans="1:35">
      <c r="A123" s="68">
        <v>1020202</v>
      </c>
      <c r="B123" s="69" t="s">
        <v>37</v>
      </c>
      <c r="C123" s="70"/>
      <c r="D123" s="71" t="s">
        <v>39</v>
      </c>
      <c r="E123" s="135">
        <f t="shared" ref="E123:E142" si="56">M123+P123+S123+V123+Y123+AB123</f>
        <v>20</v>
      </c>
      <c r="F123" s="73">
        <v>17.190000000000001</v>
      </c>
      <c r="H123" s="73">
        <v>44.65</v>
      </c>
      <c r="I123" s="75"/>
      <c r="J123" s="73">
        <v>75.900000000000006</v>
      </c>
      <c r="K123" s="76">
        <f t="shared" ref="K123:K135" si="57">J123*(1-I123)</f>
        <v>75.900000000000006</v>
      </c>
      <c r="L123" s="77">
        <f t="shared" ref="L123:L142" si="58">IFERROR(J123-K123,"")</f>
        <v>0</v>
      </c>
      <c r="M123" s="166">
        <v>20</v>
      </c>
      <c r="N123" s="77">
        <f t="shared" ref="N123:N142" si="59">M123*H123*(1-I123)*(1-$O$117)</f>
        <v>669.75</v>
      </c>
      <c r="O123" s="137">
        <f t="shared" ref="O123:O142" si="60">N123-(F123*M123)</f>
        <v>325.95</v>
      </c>
      <c r="P123" s="136"/>
      <c r="Q123" s="77"/>
      <c r="R123" s="26"/>
      <c r="S123" s="136"/>
      <c r="T123" s="77"/>
      <c r="U123" s="26"/>
      <c r="V123" s="136"/>
      <c r="W123" s="77"/>
      <c r="X123" s="26"/>
      <c r="Y123" s="136"/>
      <c r="Z123" s="77"/>
      <c r="AA123" s="26"/>
      <c r="AB123" s="136"/>
      <c r="AC123" s="77"/>
      <c r="AD123" s="26"/>
      <c r="AE123" s="80"/>
      <c r="AF123" s="81"/>
      <c r="AG123" s="82"/>
      <c r="AH123" s="82"/>
      <c r="AI123" s="83"/>
    </row>
    <row r="124" spans="1:35" ht="15" thickBot="1">
      <c r="A124" s="68">
        <v>1020310</v>
      </c>
      <c r="B124" s="69" t="s">
        <v>41</v>
      </c>
      <c r="C124" s="70"/>
      <c r="D124" s="71" t="s">
        <v>39</v>
      </c>
      <c r="E124" s="135">
        <f t="shared" si="56"/>
        <v>20</v>
      </c>
      <c r="F124" s="73">
        <v>15.84</v>
      </c>
      <c r="H124" s="73">
        <v>41.12</v>
      </c>
      <c r="I124" s="75"/>
      <c r="J124" s="73">
        <v>69.900000000000006</v>
      </c>
      <c r="K124" s="76">
        <f t="shared" si="57"/>
        <v>69.900000000000006</v>
      </c>
      <c r="L124" s="77">
        <f t="shared" si="58"/>
        <v>0</v>
      </c>
      <c r="M124" s="166">
        <v>20</v>
      </c>
      <c r="N124" s="77">
        <f t="shared" si="59"/>
        <v>616.79999999999995</v>
      </c>
      <c r="O124" s="137">
        <f t="shared" si="60"/>
        <v>299.99999999999994</v>
      </c>
      <c r="P124" s="136"/>
      <c r="Q124" s="77"/>
      <c r="R124" s="26"/>
      <c r="S124" s="136"/>
      <c r="T124" s="77"/>
      <c r="U124" s="26"/>
      <c r="V124" s="136"/>
      <c r="W124" s="77"/>
      <c r="X124" s="26"/>
      <c r="Y124" s="136"/>
      <c r="Z124" s="77"/>
      <c r="AA124" s="26"/>
      <c r="AB124" s="136"/>
      <c r="AC124" s="77"/>
      <c r="AD124" s="26"/>
      <c r="AE124" s="80"/>
      <c r="AF124" s="81"/>
      <c r="AG124" s="82"/>
      <c r="AH124" s="82"/>
      <c r="AI124" s="83"/>
    </row>
    <row r="125" spans="1:35" ht="15" thickBot="1">
      <c r="A125" s="68">
        <v>1020401</v>
      </c>
      <c r="B125" s="69" t="s">
        <v>45</v>
      </c>
      <c r="C125" s="70"/>
      <c r="D125" s="71" t="s">
        <v>39</v>
      </c>
      <c r="E125" s="135">
        <f t="shared" si="56"/>
        <v>0</v>
      </c>
      <c r="F125" s="73">
        <v>14.8</v>
      </c>
      <c r="H125" s="73">
        <v>38.53</v>
      </c>
      <c r="I125" s="75"/>
      <c r="J125" s="73">
        <v>65.5</v>
      </c>
      <c r="K125" s="76">
        <f t="shared" si="57"/>
        <v>65.5</v>
      </c>
      <c r="L125" s="77">
        <f t="shared" si="58"/>
        <v>0</v>
      </c>
      <c r="M125" s="166"/>
      <c r="N125" s="77">
        <f t="shared" si="59"/>
        <v>0</v>
      </c>
      <c r="O125" s="137">
        <f t="shared" si="60"/>
        <v>0</v>
      </c>
      <c r="P125" s="136"/>
      <c r="Q125" s="77"/>
      <c r="R125" s="26"/>
      <c r="S125" s="136"/>
      <c r="T125" s="77"/>
      <c r="U125" s="26"/>
      <c r="V125" s="136"/>
      <c r="W125" s="77"/>
      <c r="X125" s="26"/>
      <c r="Y125" s="136"/>
      <c r="Z125" s="77"/>
      <c r="AA125" s="26"/>
      <c r="AB125" s="136"/>
      <c r="AC125" s="77"/>
      <c r="AD125" s="26"/>
      <c r="AE125" s="84"/>
      <c r="AF125" s="85"/>
      <c r="AG125" s="86" t="s">
        <v>47</v>
      </c>
      <c r="AH125" s="88">
        <f>SUM(AH127:AH130)</f>
        <v>0</v>
      </c>
      <c r="AI125" s="83"/>
    </row>
    <row r="126" spans="1:35">
      <c r="A126" s="68">
        <v>1020302</v>
      </c>
      <c r="B126" s="69" t="s">
        <v>49</v>
      </c>
      <c r="C126" s="70"/>
      <c r="D126" s="71" t="s">
        <v>39</v>
      </c>
      <c r="E126" s="135">
        <f t="shared" si="56"/>
        <v>0</v>
      </c>
      <c r="F126" s="73">
        <v>18.28</v>
      </c>
      <c r="H126" s="73">
        <v>46.76</v>
      </c>
      <c r="I126" s="75"/>
      <c r="J126" s="73">
        <v>79.5</v>
      </c>
      <c r="K126" s="76">
        <f t="shared" si="57"/>
        <v>79.5</v>
      </c>
      <c r="L126" s="77">
        <f t="shared" si="58"/>
        <v>0</v>
      </c>
      <c r="M126" s="166"/>
      <c r="N126" s="77">
        <f t="shared" si="59"/>
        <v>0</v>
      </c>
      <c r="O126" s="137">
        <f t="shared" si="60"/>
        <v>0</v>
      </c>
      <c r="P126" s="136"/>
      <c r="Q126" s="77"/>
      <c r="R126" s="26"/>
      <c r="S126" s="136"/>
      <c r="T126" s="77"/>
      <c r="U126" s="26"/>
      <c r="V126" s="136"/>
      <c r="W126" s="77"/>
      <c r="X126" s="26"/>
      <c r="Y126" s="136"/>
      <c r="Z126" s="77"/>
      <c r="AA126" s="26"/>
      <c r="AB126" s="136"/>
      <c r="AC126" s="77"/>
      <c r="AD126" s="26"/>
      <c r="AE126" s="80"/>
      <c r="AF126" s="81"/>
      <c r="AG126" s="82"/>
      <c r="AH126" s="82"/>
      <c r="AI126" s="83"/>
    </row>
    <row r="127" spans="1:35">
      <c r="A127" s="68">
        <v>1020721</v>
      </c>
      <c r="B127" s="69" t="s">
        <v>52</v>
      </c>
      <c r="C127" s="70"/>
      <c r="D127" s="71" t="s">
        <v>39</v>
      </c>
      <c r="E127" s="135">
        <f t="shared" si="56"/>
        <v>0</v>
      </c>
      <c r="F127" s="73">
        <v>15.34</v>
      </c>
      <c r="H127" s="73">
        <v>39.71</v>
      </c>
      <c r="I127" s="75"/>
      <c r="J127" s="73">
        <v>67.5</v>
      </c>
      <c r="K127" s="76">
        <f t="shared" si="57"/>
        <v>67.5</v>
      </c>
      <c r="L127" s="77">
        <f t="shared" si="58"/>
        <v>0</v>
      </c>
      <c r="M127" s="166"/>
      <c r="N127" s="77">
        <f t="shared" si="59"/>
        <v>0</v>
      </c>
      <c r="O127" s="137">
        <f t="shared" si="60"/>
        <v>0</v>
      </c>
      <c r="P127" s="136"/>
      <c r="Q127" s="77"/>
      <c r="R127" s="26"/>
      <c r="S127" s="136"/>
      <c r="T127" s="77"/>
      <c r="U127" s="26"/>
      <c r="V127" s="136"/>
      <c r="W127" s="77"/>
      <c r="X127" s="26"/>
      <c r="Y127" s="136"/>
      <c r="Z127" s="77"/>
      <c r="AA127" s="26"/>
      <c r="AB127" s="136"/>
      <c r="AC127" s="77"/>
      <c r="AD127" s="26"/>
      <c r="AE127" s="80"/>
      <c r="AF127" s="81"/>
      <c r="AG127" s="89" t="s">
        <v>54</v>
      </c>
      <c r="AH127" s="151">
        <f>SUMIF($D$123:$D$142,AG127,$G$123:$G$142)/$AG$121</f>
        <v>0</v>
      </c>
      <c r="AI127" s="83"/>
    </row>
    <row r="128" spans="1:35">
      <c r="A128" s="68">
        <v>1020107</v>
      </c>
      <c r="B128" s="69" t="s">
        <v>56</v>
      </c>
      <c r="C128" s="70"/>
      <c r="D128" s="71" t="s">
        <v>39</v>
      </c>
      <c r="E128" s="135">
        <f t="shared" si="56"/>
        <v>0</v>
      </c>
      <c r="F128" s="73">
        <v>16.22</v>
      </c>
      <c r="H128" s="73">
        <v>41.12</v>
      </c>
      <c r="I128" s="75"/>
      <c r="J128" s="73">
        <v>69.900000000000006</v>
      </c>
      <c r="K128" s="76">
        <f t="shared" si="57"/>
        <v>69.900000000000006</v>
      </c>
      <c r="L128" s="77">
        <f t="shared" si="58"/>
        <v>0</v>
      </c>
      <c r="M128" s="166"/>
      <c r="N128" s="77">
        <f t="shared" si="59"/>
        <v>0</v>
      </c>
      <c r="O128" s="137">
        <f t="shared" si="60"/>
        <v>0</v>
      </c>
      <c r="P128" s="136"/>
      <c r="Q128" s="77"/>
      <c r="R128" s="26"/>
      <c r="S128" s="136"/>
      <c r="T128" s="77"/>
      <c r="U128" s="26"/>
      <c r="V128" s="136"/>
      <c r="W128" s="77"/>
      <c r="X128" s="26"/>
      <c r="Y128" s="136"/>
      <c r="Z128" s="77"/>
      <c r="AA128" s="26"/>
      <c r="AB128" s="136"/>
      <c r="AC128" s="77"/>
      <c r="AD128" s="26"/>
      <c r="AE128" s="80"/>
      <c r="AF128" s="81"/>
      <c r="AG128" s="89" t="s">
        <v>58</v>
      </c>
      <c r="AH128" s="151">
        <f t="shared" ref="AH128:AH130" si="61">SUMIF($D$123:$D$142,AG128,$G$123:$G$142)/$AG$121</f>
        <v>0</v>
      </c>
      <c r="AI128" s="83"/>
    </row>
    <row r="129" spans="1:35">
      <c r="A129" s="68">
        <v>1020102</v>
      </c>
      <c r="B129" s="69" t="s">
        <v>60</v>
      </c>
      <c r="C129" s="70"/>
      <c r="D129" s="71" t="s">
        <v>39</v>
      </c>
      <c r="E129" s="135">
        <f t="shared" si="56"/>
        <v>0</v>
      </c>
      <c r="F129" s="73">
        <v>17.64</v>
      </c>
      <c r="H129" s="73">
        <v>44.12</v>
      </c>
      <c r="I129" s="75"/>
      <c r="J129" s="73">
        <v>75</v>
      </c>
      <c r="K129" s="76">
        <f t="shared" si="57"/>
        <v>75</v>
      </c>
      <c r="L129" s="77">
        <f t="shared" si="58"/>
        <v>0</v>
      </c>
      <c r="M129" s="166"/>
      <c r="N129" s="77">
        <f t="shared" si="59"/>
        <v>0</v>
      </c>
      <c r="O129" s="137">
        <f t="shared" si="60"/>
        <v>0</v>
      </c>
      <c r="P129" s="136"/>
      <c r="Q129" s="77"/>
      <c r="R129" s="26"/>
      <c r="S129" s="136"/>
      <c r="T129" s="77"/>
      <c r="U129" s="26"/>
      <c r="V129" s="136"/>
      <c r="W129" s="77"/>
      <c r="X129" s="26"/>
      <c r="Y129" s="136"/>
      <c r="Z129" s="77"/>
      <c r="AA129" s="26"/>
      <c r="AB129" s="136"/>
      <c r="AC129" s="77"/>
      <c r="AD129" s="26"/>
      <c r="AE129" s="80"/>
      <c r="AF129" s="81"/>
      <c r="AG129" s="89" t="s">
        <v>62</v>
      </c>
      <c r="AH129" s="151">
        <f t="shared" si="61"/>
        <v>0</v>
      </c>
      <c r="AI129" s="83"/>
    </row>
    <row r="130" spans="1:35">
      <c r="A130" s="68">
        <v>1020722</v>
      </c>
      <c r="B130" s="69" t="s">
        <v>64</v>
      </c>
      <c r="C130" s="70"/>
      <c r="D130" s="71" t="s">
        <v>39</v>
      </c>
      <c r="E130" s="135">
        <f t="shared" si="56"/>
        <v>0</v>
      </c>
      <c r="F130" s="73">
        <v>18.420000000000002</v>
      </c>
      <c r="H130" s="73">
        <v>46.77</v>
      </c>
      <c r="I130" s="75"/>
      <c r="J130" s="73">
        <v>79.5</v>
      </c>
      <c r="K130" s="76">
        <f t="shared" si="57"/>
        <v>79.5</v>
      </c>
      <c r="L130" s="77">
        <f t="shared" si="58"/>
        <v>0</v>
      </c>
      <c r="M130" s="166"/>
      <c r="N130" s="77">
        <f t="shared" si="59"/>
        <v>0</v>
      </c>
      <c r="O130" s="137">
        <f t="shared" si="60"/>
        <v>0</v>
      </c>
      <c r="P130" s="136"/>
      <c r="Q130" s="77"/>
      <c r="R130" s="26"/>
      <c r="S130" s="136"/>
      <c r="T130" s="77"/>
      <c r="U130" s="26"/>
      <c r="V130" s="136"/>
      <c r="W130" s="77"/>
      <c r="X130" s="26"/>
      <c r="Y130" s="136"/>
      <c r="Z130" s="77"/>
      <c r="AA130" s="26"/>
      <c r="AB130" s="136"/>
      <c r="AC130" s="77"/>
      <c r="AD130" s="26"/>
      <c r="AE130" s="80"/>
      <c r="AF130" s="81"/>
      <c r="AG130" s="89" t="s">
        <v>66</v>
      </c>
      <c r="AH130" s="151">
        <f t="shared" si="61"/>
        <v>0</v>
      </c>
      <c r="AI130" s="83"/>
    </row>
    <row r="131" spans="1:35">
      <c r="A131" s="68">
        <v>1020719</v>
      </c>
      <c r="B131" s="69" t="s">
        <v>68</v>
      </c>
      <c r="C131" s="70"/>
      <c r="D131" s="71" t="s">
        <v>39</v>
      </c>
      <c r="E131" s="135">
        <f t="shared" si="56"/>
        <v>0</v>
      </c>
      <c r="F131" s="73">
        <v>13.77</v>
      </c>
      <c r="H131" s="73">
        <v>35.880000000000003</v>
      </c>
      <c r="I131" s="75"/>
      <c r="J131" s="73">
        <v>61</v>
      </c>
      <c r="K131" s="76">
        <f t="shared" si="57"/>
        <v>61</v>
      </c>
      <c r="L131" s="77">
        <f t="shared" si="58"/>
        <v>0</v>
      </c>
      <c r="M131" s="166"/>
      <c r="N131" s="77">
        <f t="shared" si="59"/>
        <v>0</v>
      </c>
      <c r="O131" s="137">
        <f t="shared" si="60"/>
        <v>0</v>
      </c>
      <c r="P131" s="136"/>
      <c r="Q131" s="77"/>
      <c r="R131" s="26"/>
      <c r="S131" s="136"/>
      <c r="T131" s="77"/>
      <c r="U131" s="26"/>
      <c r="V131" s="136"/>
      <c r="W131" s="77"/>
      <c r="X131" s="26"/>
      <c r="Y131" s="136"/>
      <c r="Z131" s="77"/>
      <c r="AA131" s="26"/>
      <c r="AB131" s="136"/>
      <c r="AC131" s="77"/>
      <c r="AD131" s="26"/>
      <c r="AE131" s="80"/>
      <c r="AF131" s="81"/>
      <c r="AG131" s="82"/>
      <c r="AH131" s="82"/>
      <c r="AI131" s="83"/>
    </row>
    <row r="132" spans="1:35">
      <c r="A132" s="68">
        <v>1020717</v>
      </c>
      <c r="B132" s="69" t="s">
        <v>71</v>
      </c>
      <c r="C132" s="70"/>
      <c r="D132" s="71" t="s">
        <v>39</v>
      </c>
      <c r="E132" s="135">
        <f t="shared" si="56"/>
        <v>0</v>
      </c>
      <c r="F132" s="73">
        <v>10.34</v>
      </c>
      <c r="H132" s="73">
        <v>26.12</v>
      </c>
      <c r="I132" s="75"/>
      <c r="J132" s="73">
        <v>44.4</v>
      </c>
      <c r="K132" s="76">
        <f t="shared" si="57"/>
        <v>44.4</v>
      </c>
      <c r="L132" s="77">
        <f t="shared" si="58"/>
        <v>0</v>
      </c>
      <c r="M132" s="166"/>
      <c r="N132" s="77">
        <f t="shared" si="59"/>
        <v>0</v>
      </c>
      <c r="O132" s="137">
        <f t="shared" si="60"/>
        <v>0</v>
      </c>
      <c r="P132" s="136"/>
      <c r="Q132" s="77"/>
      <c r="R132" s="26"/>
      <c r="S132" s="136"/>
      <c r="T132" s="77"/>
      <c r="U132" s="26"/>
      <c r="V132" s="136"/>
      <c r="W132" s="77"/>
      <c r="X132" s="26"/>
      <c r="Y132" s="136"/>
      <c r="Z132" s="77"/>
      <c r="AA132" s="26"/>
      <c r="AB132" s="136"/>
      <c r="AC132" s="77"/>
      <c r="AD132" s="26"/>
      <c r="AE132" s="80"/>
      <c r="AF132" s="81"/>
      <c r="AG132" s="82"/>
      <c r="AH132" s="82"/>
      <c r="AI132" s="83"/>
    </row>
    <row r="133" spans="1:35">
      <c r="A133" s="68">
        <v>1020718</v>
      </c>
      <c r="B133" s="69" t="s">
        <v>74</v>
      </c>
      <c r="C133" s="70"/>
      <c r="D133" s="71" t="s">
        <v>39</v>
      </c>
      <c r="E133" s="135">
        <f t="shared" si="56"/>
        <v>0</v>
      </c>
      <c r="F133" s="73">
        <v>16.71</v>
      </c>
      <c r="H133" s="73">
        <v>42.88</v>
      </c>
      <c r="I133" s="75"/>
      <c r="J133" s="73">
        <v>72.900000000000006</v>
      </c>
      <c r="K133" s="76">
        <f t="shared" si="57"/>
        <v>72.900000000000006</v>
      </c>
      <c r="L133" s="77">
        <f t="shared" si="58"/>
        <v>0</v>
      </c>
      <c r="M133" s="166"/>
      <c r="N133" s="77">
        <f t="shared" si="59"/>
        <v>0</v>
      </c>
      <c r="O133" s="137">
        <f t="shared" si="60"/>
        <v>0</v>
      </c>
      <c r="P133" s="136"/>
      <c r="Q133" s="77"/>
      <c r="R133" s="26"/>
      <c r="S133" s="136"/>
      <c r="T133" s="77"/>
      <c r="U133" s="26"/>
      <c r="V133" s="136"/>
      <c r="W133" s="77"/>
      <c r="X133" s="26"/>
      <c r="Y133" s="136"/>
      <c r="Z133" s="77"/>
      <c r="AA133" s="26"/>
      <c r="AB133" s="136"/>
      <c r="AC133" s="77"/>
      <c r="AD133" s="26"/>
      <c r="AE133" s="80"/>
      <c r="AF133" s="81"/>
      <c r="AG133" s="82"/>
      <c r="AH133" s="82"/>
      <c r="AI133" s="83"/>
    </row>
    <row r="134" spans="1:35">
      <c r="A134" s="68">
        <v>1020301</v>
      </c>
      <c r="B134" s="69" t="s">
        <v>77</v>
      </c>
      <c r="C134" s="70"/>
      <c r="D134" s="71" t="s">
        <v>39</v>
      </c>
      <c r="E134" s="135">
        <f t="shared" si="56"/>
        <v>0</v>
      </c>
      <c r="F134" s="73">
        <v>16.71</v>
      </c>
      <c r="H134" s="73">
        <v>42.88</v>
      </c>
      <c r="I134" s="75"/>
      <c r="J134" s="73">
        <v>72.900000000000006</v>
      </c>
      <c r="K134" s="76">
        <f t="shared" si="57"/>
        <v>72.900000000000006</v>
      </c>
      <c r="L134" s="77">
        <f t="shared" si="58"/>
        <v>0</v>
      </c>
      <c r="M134" s="166"/>
      <c r="N134" s="77">
        <f t="shared" si="59"/>
        <v>0</v>
      </c>
      <c r="O134" s="137">
        <f t="shared" si="60"/>
        <v>0</v>
      </c>
      <c r="P134" s="136"/>
      <c r="Q134" s="77"/>
      <c r="R134" s="26"/>
      <c r="S134" s="136"/>
      <c r="T134" s="77"/>
      <c r="U134" s="26"/>
      <c r="V134" s="136"/>
      <c r="W134" s="77"/>
      <c r="X134" s="26"/>
      <c r="Y134" s="136"/>
      <c r="Z134" s="77"/>
      <c r="AA134" s="26"/>
      <c r="AB134" s="136"/>
      <c r="AC134" s="77"/>
      <c r="AD134" s="26"/>
      <c r="AE134" s="80"/>
      <c r="AF134" s="81"/>
      <c r="AG134" s="82"/>
      <c r="AH134" s="82"/>
      <c r="AI134" s="83"/>
    </row>
    <row r="135" spans="1:35">
      <c r="A135" s="68">
        <v>1020720</v>
      </c>
      <c r="B135" s="69" t="s">
        <v>80</v>
      </c>
      <c r="C135" s="70"/>
      <c r="D135" s="71" t="s">
        <v>39</v>
      </c>
      <c r="E135" s="135">
        <f t="shared" si="56"/>
        <v>0</v>
      </c>
      <c r="F135" s="73">
        <v>6.48</v>
      </c>
      <c r="H135" s="73">
        <v>17.350000000000001</v>
      </c>
      <c r="I135" s="75"/>
      <c r="J135" s="73">
        <v>29.5</v>
      </c>
      <c r="K135" s="76">
        <f t="shared" si="57"/>
        <v>29.5</v>
      </c>
      <c r="L135" s="77">
        <f t="shared" si="58"/>
        <v>0</v>
      </c>
      <c r="M135" s="166"/>
      <c r="N135" s="77">
        <f t="shared" si="59"/>
        <v>0</v>
      </c>
      <c r="O135" s="137">
        <f t="shared" si="60"/>
        <v>0</v>
      </c>
      <c r="P135" s="136"/>
      <c r="Q135" s="77"/>
      <c r="R135" s="26"/>
      <c r="S135" s="136"/>
      <c r="T135" s="77"/>
      <c r="U135" s="26"/>
      <c r="V135" s="136"/>
      <c r="W135" s="77"/>
      <c r="X135" s="26"/>
      <c r="Y135" s="136"/>
      <c r="Z135" s="77"/>
      <c r="AA135" s="26"/>
      <c r="AB135" s="136"/>
      <c r="AC135" s="77"/>
      <c r="AD135" s="26"/>
      <c r="AE135" s="80"/>
      <c r="AF135" s="81"/>
      <c r="AG135" s="91"/>
      <c r="AH135" s="82"/>
      <c r="AI135" s="83"/>
    </row>
    <row r="136" spans="1:35">
      <c r="A136" s="92" t="s">
        <v>82</v>
      </c>
      <c r="B136" s="93"/>
      <c r="C136" s="94"/>
      <c r="D136" s="95" t="s">
        <v>58</v>
      </c>
      <c r="E136" s="135">
        <f t="shared" si="56"/>
        <v>0</v>
      </c>
      <c r="F136" s="73"/>
      <c r="H136" s="97"/>
      <c r="I136" s="75"/>
      <c r="J136" s="73"/>
      <c r="K136" s="76"/>
      <c r="L136" s="77">
        <f t="shared" si="58"/>
        <v>0</v>
      </c>
      <c r="M136" s="166"/>
      <c r="N136" s="77">
        <f t="shared" si="59"/>
        <v>0</v>
      </c>
      <c r="O136" s="137">
        <f t="shared" si="60"/>
        <v>0</v>
      </c>
      <c r="P136" s="136"/>
      <c r="Q136" s="77"/>
      <c r="R136" s="26"/>
      <c r="S136" s="136"/>
      <c r="T136" s="77"/>
      <c r="U136" s="26"/>
      <c r="V136" s="136"/>
      <c r="W136" s="77"/>
      <c r="X136" s="26"/>
      <c r="Y136" s="136"/>
      <c r="Z136" s="77"/>
      <c r="AA136" s="26"/>
      <c r="AB136" s="136"/>
      <c r="AC136" s="77"/>
      <c r="AD136" s="26"/>
      <c r="AE136" s="80"/>
      <c r="AF136" s="81"/>
      <c r="AG136" s="82"/>
      <c r="AH136" s="98"/>
      <c r="AI136" s="83"/>
    </row>
    <row r="137" spans="1:35">
      <c r="A137" s="92" t="s">
        <v>83</v>
      </c>
      <c r="B137" s="93"/>
      <c r="C137" s="94"/>
      <c r="D137" s="95" t="s">
        <v>58</v>
      </c>
      <c r="E137" s="135">
        <f t="shared" si="56"/>
        <v>0</v>
      </c>
      <c r="F137" s="73"/>
      <c r="H137" s="97"/>
      <c r="I137" s="75"/>
      <c r="J137" s="73"/>
      <c r="K137" s="76"/>
      <c r="L137" s="77">
        <f t="shared" si="58"/>
        <v>0</v>
      </c>
      <c r="M137" s="166"/>
      <c r="N137" s="77">
        <f t="shared" si="59"/>
        <v>0</v>
      </c>
      <c r="O137" s="137">
        <f t="shared" si="60"/>
        <v>0</v>
      </c>
      <c r="P137" s="136"/>
      <c r="Q137" s="77"/>
      <c r="R137" s="26"/>
      <c r="S137" s="136"/>
      <c r="T137" s="77"/>
      <c r="U137" s="26"/>
      <c r="V137" s="136"/>
      <c r="W137" s="77"/>
      <c r="X137" s="26"/>
      <c r="Y137" s="136"/>
      <c r="Z137" s="77"/>
      <c r="AA137" s="26"/>
      <c r="AB137" s="136"/>
      <c r="AC137" s="77"/>
      <c r="AD137" s="26"/>
      <c r="AE137" s="80"/>
      <c r="AF137" s="81"/>
      <c r="AG137" s="82"/>
      <c r="AH137" s="99"/>
      <c r="AI137" s="83"/>
    </row>
    <row r="138" spans="1:35">
      <c r="A138" s="92">
        <v>3020202</v>
      </c>
      <c r="B138" s="93"/>
      <c r="C138" s="94"/>
      <c r="D138" s="95" t="s">
        <v>66</v>
      </c>
      <c r="E138" s="135">
        <f t="shared" si="56"/>
        <v>0</v>
      </c>
      <c r="F138" s="73"/>
      <c r="H138" s="97"/>
      <c r="I138" s="75"/>
      <c r="J138" s="73"/>
      <c r="K138" s="76"/>
      <c r="L138" s="77">
        <f t="shared" si="58"/>
        <v>0</v>
      </c>
      <c r="M138" s="166"/>
      <c r="N138" s="77">
        <f t="shared" si="59"/>
        <v>0</v>
      </c>
      <c r="O138" s="137">
        <f t="shared" si="60"/>
        <v>0</v>
      </c>
      <c r="P138" s="136"/>
      <c r="Q138" s="77"/>
      <c r="R138" s="26"/>
      <c r="S138" s="136"/>
      <c r="T138" s="77"/>
      <c r="U138" s="26"/>
      <c r="V138" s="136"/>
      <c r="W138" s="77"/>
      <c r="X138" s="26"/>
      <c r="Y138" s="136"/>
      <c r="Z138" s="77"/>
      <c r="AA138" s="26"/>
      <c r="AB138" s="136"/>
      <c r="AC138" s="77"/>
      <c r="AD138" s="26"/>
      <c r="AE138" s="80"/>
      <c r="AF138" s="81"/>
      <c r="AG138" s="82"/>
      <c r="AH138" s="100"/>
      <c r="AI138" s="83"/>
    </row>
    <row r="139" spans="1:35">
      <c r="A139" s="92">
        <v>3020301</v>
      </c>
      <c r="B139" s="93"/>
      <c r="C139" s="94"/>
      <c r="D139" s="95" t="s">
        <v>66</v>
      </c>
      <c r="E139" s="135">
        <f t="shared" si="56"/>
        <v>0</v>
      </c>
      <c r="F139" s="73"/>
      <c r="H139" s="97"/>
      <c r="I139" s="75"/>
      <c r="J139" s="73"/>
      <c r="K139" s="76"/>
      <c r="L139" s="77">
        <f t="shared" si="58"/>
        <v>0</v>
      </c>
      <c r="M139" s="166"/>
      <c r="N139" s="77">
        <f t="shared" si="59"/>
        <v>0</v>
      </c>
      <c r="O139" s="137">
        <f t="shared" si="60"/>
        <v>0</v>
      </c>
      <c r="P139" s="136"/>
      <c r="Q139" s="77"/>
      <c r="R139" s="26"/>
      <c r="S139" s="136"/>
      <c r="T139" s="77"/>
      <c r="U139" s="26"/>
      <c r="V139" s="136"/>
      <c r="W139" s="77"/>
      <c r="X139" s="26"/>
      <c r="Y139" s="136"/>
      <c r="Z139" s="77"/>
      <c r="AA139" s="26"/>
      <c r="AB139" s="136"/>
      <c r="AC139" s="77"/>
      <c r="AD139" s="26"/>
      <c r="AE139" s="80"/>
      <c r="AF139" s="81"/>
      <c r="AG139" s="82"/>
      <c r="AH139" s="99"/>
      <c r="AI139" s="83"/>
    </row>
    <row r="140" spans="1:35">
      <c r="A140" s="92">
        <v>3020720</v>
      </c>
      <c r="B140" s="93"/>
      <c r="C140" s="94"/>
      <c r="D140" s="95" t="s">
        <v>66</v>
      </c>
      <c r="E140" s="135">
        <f t="shared" si="56"/>
        <v>0</v>
      </c>
      <c r="F140" s="73"/>
      <c r="H140" s="97"/>
      <c r="I140" s="75"/>
      <c r="J140" s="73"/>
      <c r="K140" s="76"/>
      <c r="L140" s="77">
        <f t="shared" si="58"/>
        <v>0</v>
      </c>
      <c r="M140" s="166"/>
      <c r="N140" s="77">
        <f t="shared" si="59"/>
        <v>0</v>
      </c>
      <c r="O140" s="137">
        <f t="shared" si="60"/>
        <v>0</v>
      </c>
      <c r="P140" s="136"/>
      <c r="Q140" s="77"/>
      <c r="R140" s="26"/>
      <c r="S140" s="136"/>
      <c r="T140" s="77"/>
      <c r="U140" s="26"/>
      <c r="V140" s="136"/>
      <c r="W140" s="77"/>
      <c r="X140" s="26"/>
      <c r="Y140" s="136"/>
      <c r="Z140" s="77"/>
      <c r="AA140" s="26"/>
      <c r="AB140" s="136"/>
      <c r="AC140" s="77"/>
      <c r="AD140" s="26"/>
      <c r="AE140" s="80"/>
      <c r="AF140" s="81"/>
      <c r="AG140" s="81"/>
      <c r="AH140" s="81"/>
      <c r="AI140" s="83"/>
    </row>
    <row r="141" spans="1:35">
      <c r="A141" s="92">
        <v>3020718</v>
      </c>
      <c r="B141" s="93"/>
      <c r="C141" s="94"/>
      <c r="D141" s="95" t="s">
        <v>66</v>
      </c>
      <c r="E141" s="135">
        <f t="shared" si="56"/>
        <v>0</v>
      </c>
      <c r="F141" s="73"/>
      <c r="H141" s="97"/>
      <c r="I141" s="75"/>
      <c r="J141" s="73"/>
      <c r="K141" s="76"/>
      <c r="L141" s="77">
        <f t="shared" si="58"/>
        <v>0</v>
      </c>
      <c r="M141" s="166"/>
      <c r="N141" s="77">
        <f t="shared" si="59"/>
        <v>0</v>
      </c>
      <c r="O141" s="137">
        <f t="shared" si="60"/>
        <v>0</v>
      </c>
      <c r="P141" s="136"/>
      <c r="Q141" s="77"/>
      <c r="R141" s="26"/>
      <c r="S141" s="136"/>
      <c r="T141" s="77"/>
      <c r="U141" s="26"/>
      <c r="V141" s="136"/>
      <c r="W141" s="77"/>
      <c r="X141" s="26"/>
      <c r="Y141" s="136"/>
      <c r="Z141" s="77"/>
      <c r="AA141" s="26"/>
      <c r="AB141" s="136"/>
      <c r="AC141" s="77"/>
      <c r="AD141" s="26"/>
      <c r="AE141" s="80"/>
      <c r="AF141" s="81"/>
      <c r="AG141" s="91"/>
      <c r="AH141" s="81"/>
      <c r="AI141" s="83"/>
    </row>
    <row r="142" spans="1:35" s="1" customFormat="1" ht="15.75" customHeight="1" thickBot="1">
      <c r="A142" s="92" t="s">
        <v>84</v>
      </c>
      <c r="B142" s="93"/>
      <c r="C142" s="94"/>
      <c r="D142" s="95" t="s">
        <v>58</v>
      </c>
      <c r="E142" s="135">
        <f t="shared" si="56"/>
        <v>0</v>
      </c>
      <c r="F142" s="73"/>
      <c r="H142" s="97"/>
      <c r="I142" s="75"/>
      <c r="J142" s="73"/>
      <c r="K142" s="76"/>
      <c r="L142" s="77">
        <f t="shared" si="58"/>
        <v>0</v>
      </c>
      <c r="M142" s="138"/>
      <c r="N142" s="105">
        <f t="shared" si="59"/>
        <v>0</v>
      </c>
      <c r="O142" s="139">
        <f t="shared" si="60"/>
        <v>0</v>
      </c>
      <c r="P142" s="138"/>
      <c r="Q142" s="105"/>
      <c r="R142" s="102"/>
      <c r="S142" s="138"/>
      <c r="T142" s="105"/>
      <c r="U142" s="102"/>
      <c r="V142" s="138"/>
      <c r="W142" s="105"/>
      <c r="X142" s="102"/>
      <c r="Y142" s="138"/>
      <c r="Z142" s="105"/>
      <c r="AA142" s="102"/>
      <c r="AB142" s="138"/>
      <c r="AC142" s="105"/>
      <c r="AD142" s="102"/>
      <c r="AE142" s="107"/>
      <c r="AF142" s="108"/>
      <c r="AG142" s="109"/>
      <c r="AH142" s="110"/>
      <c r="AI142" s="111"/>
    </row>
    <row r="146" spans="1:15" s="1" customFormat="1" ht="15.75" customHeight="1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</row>
    <row r="147" spans="1:15" s="1" customFormat="1" ht="40.5" customHeight="1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</row>
    <row r="148" spans="1:15" s="1" customFormat="1" ht="16.5" customHeight="1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</row>
    <row r="149" spans="1:15">
      <c r="A149"/>
      <c r="B149"/>
      <c r="C149"/>
      <c r="D149"/>
      <c r="E149"/>
      <c r="F149"/>
      <c r="H149"/>
      <c r="L149"/>
    </row>
    <row r="150" spans="1:15">
      <c r="A150"/>
      <c r="B150"/>
      <c r="C150"/>
      <c r="D150"/>
      <c r="E150"/>
      <c r="F150"/>
      <c r="H150"/>
      <c r="L150"/>
    </row>
    <row r="151" spans="1:15">
      <c r="A151"/>
      <c r="B151"/>
      <c r="C151"/>
      <c r="D151"/>
      <c r="E151"/>
      <c r="F151"/>
      <c r="H151"/>
      <c r="L151"/>
    </row>
    <row r="152" spans="1:15">
      <c r="A152"/>
      <c r="B152"/>
      <c r="C152"/>
      <c r="D152"/>
      <c r="E152"/>
      <c r="F152"/>
      <c r="H152"/>
      <c r="L152"/>
    </row>
    <row r="153" spans="1:15">
      <c r="A153"/>
      <c r="B153"/>
      <c r="C153"/>
      <c r="D153"/>
      <c r="E153"/>
      <c r="F153"/>
      <c r="H153"/>
      <c r="L153"/>
    </row>
    <row r="154" spans="1:15">
      <c r="A154"/>
      <c r="B154"/>
      <c r="C154"/>
      <c r="D154"/>
      <c r="E154"/>
      <c r="F154"/>
      <c r="H154"/>
      <c r="L154"/>
    </row>
    <row r="155" spans="1:15">
      <c r="A155"/>
      <c r="B155"/>
      <c r="C155"/>
      <c r="D155"/>
      <c r="E155"/>
      <c r="F155"/>
      <c r="H155"/>
      <c r="L155"/>
    </row>
    <row r="156" spans="1:15">
      <c r="A156"/>
      <c r="B156"/>
      <c r="C156"/>
      <c r="D156"/>
      <c r="E156"/>
      <c r="F156"/>
      <c r="H156"/>
      <c r="L156"/>
    </row>
    <row r="157" spans="1:15">
      <c r="A157"/>
      <c r="B157"/>
      <c r="C157"/>
      <c r="D157"/>
      <c r="E157"/>
      <c r="F157"/>
      <c r="H157"/>
      <c r="L157"/>
    </row>
    <row r="158" spans="1:15">
      <c r="A158"/>
      <c r="B158"/>
      <c r="C158"/>
      <c r="D158"/>
      <c r="E158"/>
      <c r="F158"/>
      <c r="H158"/>
      <c r="L158"/>
    </row>
    <row r="159" spans="1:15">
      <c r="A159"/>
      <c r="B159"/>
      <c r="C159"/>
      <c r="D159"/>
      <c r="E159"/>
      <c r="F159"/>
      <c r="H159"/>
      <c r="L159"/>
    </row>
    <row r="160" spans="1:15">
      <c r="A160"/>
      <c r="B160"/>
      <c r="C160"/>
      <c r="D160"/>
      <c r="E160"/>
      <c r="F160"/>
      <c r="H160"/>
      <c r="L160"/>
    </row>
    <row r="161" spans="1:15">
      <c r="A161"/>
      <c r="B161"/>
      <c r="C161"/>
      <c r="D161"/>
      <c r="E161"/>
      <c r="F161"/>
      <c r="H161"/>
      <c r="L161"/>
    </row>
    <row r="162" spans="1:15">
      <c r="A162"/>
      <c r="B162"/>
      <c r="C162"/>
      <c r="D162"/>
      <c r="E162"/>
      <c r="F162"/>
      <c r="H162"/>
      <c r="L162"/>
    </row>
    <row r="163" spans="1:15">
      <c r="A163"/>
      <c r="B163"/>
      <c r="C163"/>
      <c r="D163"/>
      <c r="E163"/>
      <c r="F163"/>
      <c r="H163"/>
      <c r="L163"/>
    </row>
    <row r="164" spans="1:15">
      <c r="A164"/>
      <c r="B164"/>
      <c r="C164"/>
      <c r="D164"/>
      <c r="E164"/>
      <c r="F164"/>
      <c r="H164"/>
      <c r="L164"/>
    </row>
    <row r="165" spans="1:15">
      <c r="A165"/>
      <c r="B165"/>
      <c r="C165"/>
      <c r="D165"/>
      <c r="E165"/>
      <c r="F165"/>
      <c r="H165"/>
      <c r="L165"/>
    </row>
    <row r="166" spans="1:15">
      <c r="A166"/>
      <c r="B166"/>
      <c r="C166"/>
      <c r="D166"/>
      <c r="E166"/>
      <c r="F166"/>
      <c r="H166"/>
      <c r="L166"/>
    </row>
    <row r="167" spans="1:15">
      <c r="A167"/>
      <c r="B167"/>
      <c r="C167"/>
      <c r="D167"/>
      <c r="E167"/>
      <c r="F167"/>
      <c r="H167"/>
      <c r="L167"/>
    </row>
    <row r="168" spans="1:15" s="1" customFormat="1" ht="15.75" customHeight="1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</row>
    <row r="169" spans="1:15">
      <c r="A169"/>
      <c r="B169"/>
      <c r="C169"/>
      <c r="D169"/>
      <c r="E169"/>
      <c r="F169"/>
      <c r="H169"/>
      <c r="L169"/>
    </row>
    <row r="170" spans="1:15">
      <c r="A170"/>
      <c r="B170"/>
      <c r="C170"/>
      <c r="D170"/>
      <c r="E170"/>
      <c r="F170"/>
      <c r="H170"/>
      <c r="L170"/>
    </row>
    <row r="171" spans="1:15">
      <c r="A171"/>
      <c r="B171"/>
      <c r="C171"/>
      <c r="D171"/>
      <c r="E171"/>
      <c r="F171"/>
      <c r="H171"/>
      <c r="L171"/>
    </row>
  </sheetData>
  <mergeCells count="26">
    <mergeCell ref="U82:V82"/>
    <mergeCell ref="W82:X82"/>
    <mergeCell ref="Y82:Z82"/>
    <mergeCell ref="S114:X114"/>
    <mergeCell ref="Y114:AD114"/>
    <mergeCell ref="M80:R80"/>
    <mergeCell ref="M82:N82"/>
    <mergeCell ref="O82:P82"/>
    <mergeCell ref="Q82:R82"/>
    <mergeCell ref="S82:T82"/>
    <mergeCell ref="U8:V8"/>
    <mergeCell ref="W8:X8"/>
    <mergeCell ref="Y8:Z8"/>
    <mergeCell ref="M44:R44"/>
    <mergeCell ref="M46:N46"/>
    <mergeCell ref="O46:P46"/>
    <mergeCell ref="Q46:R46"/>
    <mergeCell ref="S46:T46"/>
    <mergeCell ref="U46:V46"/>
    <mergeCell ref="W46:X46"/>
    <mergeCell ref="Y46:Z46"/>
    <mergeCell ref="M6:R6"/>
    <mergeCell ref="M8:N8"/>
    <mergeCell ref="O8:P8"/>
    <mergeCell ref="Q8:R8"/>
    <mergeCell ref="S8:T8"/>
  </mergeCells>
  <conditionalFormatting sqref="B17:C36 J17:L36">
    <cfRule type="cellIs" dxfId="34" priority="183" operator="equal">
      <formula>"Non trouvé"</formula>
    </cfRule>
  </conditionalFormatting>
  <conditionalFormatting sqref="F17:G36">
    <cfRule type="cellIs" dxfId="33" priority="182" operator="equal">
      <formula>"Non trouvé"</formula>
    </cfRule>
  </conditionalFormatting>
  <conditionalFormatting sqref="M17:M36">
    <cfRule type="cellIs" dxfId="32" priority="148" operator="equal">
      <formula>"Non trouvé"</formula>
    </cfRule>
  </conditionalFormatting>
  <conditionalFormatting sqref="O17:O36">
    <cfRule type="cellIs" dxfId="31" priority="147" operator="equal">
      <formula>"Non trouvé"</formula>
    </cfRule>
  </conditionalFormatting>
  <conditionalFormatting sqref="S17:S36">
    <cfRule type="cellIs" dxfId="30" priority="144" operator="equal">
      <formula>"Non trouvé"</formula>
    </cfRule>
  </conditionalFormatting>
  <conditionalFormatting sqref="U17:U36">
    <cfRule type="cellIs" dxfId="29" priority="143" operator="equal">
      <formula>"Non trouvé"</formula>
    </cfRule>
  </conditionalFormatting>
  <conditionalFormatting sqref="W17:W36">
    <cfRule type="cellIs" dxfId="28" priority="142" operator="equal">
      <formula>"Non trouvé"</formula>
    </cfRule>
  </conditionalFormatting>
  <conditionalFormatting sqref="Y17:Y36">
    <cfRule type="cellIs" dxfId="27" priority="141" operator="equal">
      <formula>"Non trouvé"</formula>
    </cfRule>
  </conditionalFormatting>
  <conditionalFormatting sqref="Q17:Q36">
    <cfRule type="cellIs" dxfId="26" priority="31" operator="equal">
      <formula>"Non trouvé"</formula>
    </cfRule>
  </conditionalFormatting>
  <conditionalFormatting sqref="B55:C74 J55:L74">
    <cfRule type="cellIs" dxfId="25" priority="30" operator="equal">
      <formula>"Non trouvé"</formula>
    </cfRule>
  </conditionalFormatting>
  <conditionalFormatting sqref="F55:G74">
    <cfRule type="cellIs" dxfId="24" priority="29" operator="equal">
      <formula>"Non trouvé"</formula>
    </cfRule>
  </conditionalFormatting>
  <conditionalFormatting sqref="M55:M74">
    <cfRule type="cellIs" dxfId="23" priority="28" operator="equal">
      <formula>"Non trouvé"</formula>
    </cfRule>
  </conditionalFormatting>
  <conditionalFormatting sqref="O55:O74">
    <cfRule type="cellIs" dxfId="22" priority="27" operator="equal">
      <formula>"Non trouvé"</formula>
    </cfRule>
  </conditionalFormatting>
  <conditionalFormatting sqref="S55:S74">
    <cfRule type="cellIs" dxfId="21" priority="26" operator="equal">
      <formula>"Non trouvé"</formula>
    </cfRule>
  </conditionalFormatting>
  <conditionalFormatting sqref="U55:U74">
    <cfRule type="cellIs" dxfId="20" priority="25" operator="equal">
      <formula>"Non trouvé"</formula>
    </cfRule>
  </conditionalFormatting>
  <conditionalFormatting sqref="W55:W74">
    <cfRule type="cellIs" dxfId="19" priority="24" operator="equal">
      <formula>"Non trouvé"</formula>
    </cfRule>
  </conditionalFormatting>
  <conditionalFormatting sqref="Y55:Y74">
    <cfRule type="cellIs" dxfId="18" priority="23" operator="equal">
      <formula>"Non trouvé"</formula>
    </cfRule>
  </conditionalFormatting>
  <conditionalFormatting sqref="Q55:Q74">
    <cfRule type="cellIs" dxfId="17" priority="22" operator="equal">
      <formula>"Non trouvé"</formula>
    </cfRule>
  </conditionalFormatting>
  <conditionalFormatting sqref="B91:C110 J91:L110">
    <cfRule type="cellIs" dxfId="16" priority="21" operator="equal">
      <formula>"Non trouvé"</formula>
    </cfRule>
  </conditionalFormatting>
  <conditionalFormatting sqref="F91:G110">
    <cfRule type="cellIs" dxfId="15" priority="20" operator="equal">
      <formula>"Non trouvé"</formula>
    </cfRule>
  </conditionalFormatting>
  <conditionalFormatting sqref="M91:M110">
    <cfRule type="cellIs" dxfId="14" priority="19" operator="equal">
      <formula>"Non trouvé"</formula>
    </cfRule>
  </conditionalFormatting>
  <conditionalFormatting sqref="O91:O110">
    <cfRule type="cellIs" dxfId="13" priority="18" operator="equal">
      <formula>"Non trouvé"</formula>
    </cfRule>
  </conditionalFormatting>
  <conditionalFormatting sqref="S91:S110">
    <cfRule type="cellIs" dxfId="12" priority="17" operator="equal">
      <formula>"Non trouvé"</formula>
    </cfRule>
  </conditionalFormatting>
  <conditionalFormatting sqref="U91:U110">
    <cfRule type="cellIs" dxfId="11" priority="16" operator="equal">
      <formula>"Non trouvé"</formula>
    </cfRule>
  </conditionalFormatting>
  <conditionalFormatting sqref="W91:W110">
    <cfRule type="cellIs" dxfId="10" priority="15" operator="equal">
      <formula>"Non trouvé"</formula>
    </cfRule>
  </conditionalFormatting>
  <conditionalFormatting sqref="Y91:Y110">
    <cfRule type="cellIs" dxfId="9" priority="14" operator="equal">
      <formula>"Non trouvé"</formula>
    </cfRule>
  </conditionalFormatting>
  <conditionalFormatting sqref="Q91:Q110">
    <cfRule type="cellIs" dxfId="8" priority="13" operator="equal">
      <formula>"Non trouvé"</formula>
    </cfRule>
  </conditionalFormatting>
  <conditionalFormatting sqref="N123:N142">
    <cfRule type="cellIs" dxfId="7" priority="12" operator="equal">
      <formula>"Non trouvé"</formula>
    </cfRule>
  </conditionalFormatting>
  <conditionalFormatting sqref="Q123:Q142">
    <cfRule type="cellIs" dxfId="6" priority="11" operator="equal">
      <formula>"Non trouvé"</formula>
    </cfRule>
  </conditionalFormatting>
  <conditionalFormatting sqref="T123:T142">
    <cfRule type="cellIs" dxfId="5" priority="10" operator="equal">
      <formula>"Non trouvé"</formula>
    </cfRule>
  </conditionalFormatting>
  <conditionalFormatting sqref="W123:W142">
    <cfRule type="cellIs" dxfId="4" priority="7" operator="equal">
      <formula>"Non trouvé"</formula>
    </cfRule>
  </conditionalFormatting>
  <conditionalFormatting sqref="Z123:Z142">
    <cfRule type="cellIs" dxfId="3" priority="6" operator="equal">
      <formula>"Non trouvé"</formula>
    </cfRule>
  </conditionalFormatting>
  <conditionalFormatting sqref="B123:C142 J123:L142">
    <cfRule type="cellIs" dxfId="2" priority="5" operator="equal">
      <formula>"Non trouvé"</formula>
    </cfRule>
  </conditionalFormatting>
  <conditionalFormatting sqref="F123:F142">
    <cfRule type="cellIs" dxfId="1" priority="4" operator="equal">
      <formula>"Non trouvé"</formula>
    </cfRule>
  </conditionalFormatting>
  <conditionalFormatting sqref="AC123:AC142">
    <cfRule type="cellIs" dxfId="0" priority="3" operator="equal">
      <formula>"Non trouvé"</formula>
    </cfRule>
  </conditionalFormatting>
  <pageMargins left="0.7" right="0.7" top="0.75" bottom="0.75" header="0.3" footer="0.3"/>
  <pageSetup paperSize="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1D602-2001-46EC-9456-47D5ED9E4B9E}">
  <dimension ref="A1"/>
  <sheetViews>
    <sheetView workbookViewId="0"/>
  </sheetViews>
  <sheetFormatPr defaultRowHeight="14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Synthese</vt:lpstr>
      <vt:lpstr>Proposition template</vt:lpstr>
      <vt:lpstr>Mapping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2026-06-19T13:39:57Z</dcterms:created>
  <dcterms:modified xsi:type="dcterms:W3CDTF">2026-06-29T15:20:08Z</dcterms:modified>
  <cp:category/>
  <cp:contentStatus/>
</cp:coreProperties>
</file>