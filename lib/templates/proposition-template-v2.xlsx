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Proposition template" state="visible" r:id="rId4"/>
    <sheet sheetId="3" name="Mapping" state="visible" r:id="rId5"/>
    <sheet sheetId="4" name="Synthèse logistique" state="visible" r:id="rId6"/>
  </sheets>
  <calcPr calcId="171027"/>
</workbook>
</file>

<file path=xl/sharedStrings.xml><?xml version="1.0" encoding="utf-8"?>
<sst xmlns="http://schemas.openxmlformats.org/spreadsheetml/2006/main" count="4613" uniqueCount="3521">
  <si>
    <t>TG VIP</t>
  </si>
  <si>
    <t>Nombre d'offres</t>
  </si>
  <si>
    <t>Nombre de produits</t>
  </si>
  <si>
    <t>RETAIL</t>
  </si>
  <si>
    <t>INSTITUT</t>
  </si>
  <si>
    <t>Retail + Institut</t>
  </si>
  <si>
    <t>Ambassadeur</t>
  </si>
  <si>
    <t>Compagnon</t>
  </si>
  <si>
    <t>Challenger</t>
  </si>
  <si>
    <t>Rose</t>
  </si>
  <si>
    <t>Prunelier</t>
  </si>
  <si>
    <t>Anthylide</t>
  </si>
  <si>
    <t>Calendula</t>
  </si>
  <si>
    <t>Total</t>
  </si>
  <si>
    <t>% Offres</t>
  </si>
  <si>
    <t>Remise</t>
  </si>
  <si>
    <t>Nb Offres</t>
  </si>
  <si>
    <t>Pdt dans offre</t>
  </si>
  <si>
    <t>Coût achat unitaire</t>
  </si>
  <si>
    <t>Coûts achats total</t>
  </si>
  <si>
    <t>Tarif revendeur unitaire</t>
  </si>
  <si>
    <t>Remise additionnelle</t>
  </si>
  <si>
    <t>PPC</t>
  </si>
  <si>
    <t>PPC Remisé</t>
  </si>
  <si>
    <t>Montant BRI</t>
  </si>
  <si>
    <t>CA</t>
  </si>
  <si>
    <t>Marges</t>
  </si>
  <si>
    <t>Nbrs Offres planifiées</t>
  </si>
  <si>
    <t>Code article</t>
  </si>
  <si>
    <t>Libellé article</t>
  </si>
  <si>
    <t>Code à barres (EAN)</t>
  </si>
  <si>
    <t>Typ. Prod</t>
  </si>
  <si>
    <t>'#</t>
  </si>
  <si>
    <t>'€</t>
  </si>
  <si>
    <t>Synthèse</t>
  </si>
  <si>
    <t>Prix Offre Moy. Remisé :</t>
  </si>
  <si>
    <t>Poids Gratuités achats :</t>
  </si>
  <si>
    <t>UG</t>
  </si>
  <si>
    <t>PLV</t>
  </si>
  <si>
    <t>Echantillon</t>
  </si>
  <si>
    <t>Testeur</t>
  </si>
  <si>
    <t>PREMIUM</t>
  </si>
  <si>
    <t>STANDARD</t>
  </si>
  <si>
    <t>%  offres</t>
  </si>
  <si>
    <t>ESSENTIEL</t>
  </si>
  <si>
    <t>% offres</t>
  </si>
  <si>
    <t>GRANDS COMPTES</t>
  </si>
  <si>
    <t>Grands Comptes</t>
  </si>
  <si>
    <t>BIO</t>
  </si>
  <si>
    <t>Non-Alimentaire</t>
  </si>
  <si>
    <t>Grands Magasins</t>
  </si>
  <si>
    <t>PURE PLAYERS</t>
  </si>
  <si>
    <t>BIOCOOP</t>
  </si>
  <si>
    <t>Mlle Bio</t>
  </si>
  <si>
    <t>Galeries Lafayette</t>
  </si>
  <si>
    <t>Printemps</t>
  </si>
  <si>
    <t>Place des tendances</t>
  </si>
  <si>
    <t>NewPharma</t>
  </si>
  <si>
    <t>Qtités</t>
  </si>
  <si>
    <t>Qtités totale</t>
  </si>
  <si>
    <t>1010101</t>
  </si>
  <si>
    <t>Crème Purifiante pour le Visage - 50 ml</t>
  </si>
  <si>
    <t>4020829005181</t>
  </si>
  <si>
    <t>1010102</t>
  </si>
  <si>
    <t>Lait Démaquillant et Nettoyant - 145 ml</t>
  </si>
  <si>
    <t>4020829006041</t>
  </si>
  <si>
    <t>1010110</t>
  </si>
  <si>
    <t>Démaquillant pour les Yeux - 75 ml</t>
  </si>
  <si>
    <t>4020829063143</t>
  </si>
  <si>
    <t>1010115</t>
  </si>
  <si>
    <t>Lait Démaquillant et Nettoyant - 30 ml</t>
  </si>
  <si>
    <t>4020829066441</t>
  </si>
  <si>
    <t>1010116</t>
  </si>
  <si>
    <t>Baume Lacté Nettoyant - 75 ml</t>
  </si>
  <si>
    <t>4020829094048</t>
  </si>
  <si>
    <t>1010120</t>
  </si>
  <si>
    <t>Baume Lacté Nettoyant - 20 ml</t>
  </si>
  <si>
    <t>4020829101838</t>
  </si>
  <si>
    <t>1010121</t>
  </si>
  <si>
    <t>Crème Purifiante pour le Visage - 20 ml</t>
  </si>
  <si>
    <t>4020829101821</t>
  </si>
  <si>
    <t>1010122</t>
  </si>
  <si>
    <t>Baume Lacté Nettoyant 20ml Édition spéciale 2025</t>
  </si>
  <si>
    <t>4020829111776</t>
  </si>
  <si>
    <t>1010201</t>
  </si>
  <si>
    <t>Lotion Tonifiante - 100 ml</t>
  </si>
  <si>
    <t>4020829005235</t>
  </si>
  <si>
    <t>1010202</t>
  </si>
  <si>
    <t>Lotion Clarifiante - 100 ml</t>
  </si>
  <si>
    <t>4020829005297</t>
  </si>
  <si>
    <t>1010205</t>
  </si>
  <si>
    <t>Lotion Tonifiante - 30 ml</t>
  </si>
  <si>
    <t>4020829066465</t>
  </si>
  <si>
    <t>1010206</t>
  </si>
  <si>
    <t>Lotion Clarifiante - 30 ml</t>
  </si>
  <si>
    <t>4020829114241</t>
  </si>
  <si>
    <t>1010209</t>
  </si>
  <si>
    <t xml:space="preserve">Sérum Tonifiant Nuit - 20 ml </t>
  </si>
  <si>
    <t>4020829065437</t>
  </si>
  <si>
    <t>1010214</t>
  </si>
  <si>
    <t>Sérum Hydratant Plus - 30 ml</t>
  </si>
  <si>
    <t>4020829118140</t>
  </si>
  <si>
    <t>1010302</t>
  </si>
  <si>
    <t>Crème de Jour Légère à la Rose - 30 ml</t>
  </si>
  <si>
    <t>4020829006713</t>
  </si>
  <si>
    <t>1010305</t>
  </si>
  <si>
    <t>Crème de Jour au Coing - 30 ml</t>
  </si>
  <si>
    <t>4020829005747</t>
  </si>
  <si>
    <t>1010306</t>
  </si>
  <si>
    <t xml:space="preserve">Crème de Jour à la Mélisse - 30 ml </t>
  </si>
  <si>
    <t>4020829008793</t>
  </si>
  <si>
    <t>1010310</t>
  </si>
  <si>
    <t>Crème de Jour à la Rose - 30 ml</t>
  </si>
  <si>
    <t>4020829006249</t>
  </si>
  <si>
    <t>1010320</t>
  </si>
  <si>
    <t>Crème de Jour Teintée - 30 ml</t>
  </si>
  <si>
    <t>4020829039056</t>
  </si>
  <si>
    <t>1010352</t>
  </si>
  <si>
    <t>Huile Equilibrante pour le visage -18 ml</t>
  </si>
  <si>
    <t>4020829071421</t>
  </si>
  <si>
    <t>1010353</t>
  </si>
  <si>
    <t>Emulsion Teintée - 18 ml</t>
  </si>
  <si>
    <t>4020829072817</t>
  </si>
  <si>
    <t>1010359</t>
  </si>
  <si>
    <t>Fluide de Jour Revitalisant - 50 ml</t>
  </si>
  <si>
    <t>4020829080508</t>
  </si>
  <si>
    <t>1010360</t>
  </si>
  <si>
    <t>Fluide de Jour Apaisant - 50 ml</t>
  </si>
  <si>
    <t>4020829080553</t>
  </si>
  <si>
    <t>1010361</t>
  </si>
  <si>
    <t>Fluide de Jour Equilibrant - 50 ml</t>
  </si>
  <si>
    <t>4020829080621</t>
  </si>
  <si>
    <t>1010377</t>
  </si>
  <si>
    <t>Crème de Jour à l'Abricot - 30 ml</t>
  </si>
  <si>
    <t>4020829100640</t>
  </si>
  <si>
    <t>1010384</t>
  </si>
  <si>
    <t>Crème de Jour Légère à la Rose 30 ml Edition Limitée 2025</t>
  </si>
  <si>
    <t>4020829109377</t>
  </si>
  <si>
    <t>1010385</t>
  </si>
  <si>
    <t>Onpack Crème de Jour à la Rose 30 ml + Émulsion Teintée 2,5 ml</t>
  </si>
  <si>
    <t>4020829116863</t>
  </si>
  <si>
    <t>1010386</t>
  </si>
  <si>
    <t>Onpack Crème de Jour Légère à la Rose 30 ml + Émulsion Teintée 2,5 ml</t>
  </si>
  <si>
    <t>4020829116559</t>
  </si>
  <si>
    <t>1010387</t>
  </si>
  <si>
    <t>Onpack Crème de Jour à l'Abricot 30 ml + Émulsion Teintée 2,5 ml</t>
  </si>
  <si>
    <t>4020829116627</t>
  </si>
  <si>
    <t>1010388</t>
  </si>
  <si>
    <t>Onpack Crème de Jour au Coing 30 ml + Émulsion Teintée 2,5 ml</t>
  </si>
  <si>
    <t>4020829116719</t>
  </si>
  <si>
    <t>1010389</t>
  </si>
  <si>
    <t>Onpack Crème de Jour à la Mélisse 30 ml + Émulsion Teintée 2,5 ml</t>
  </si>
  <si>
    <t>4020829116795</t>
  </si>
  <si>
    <t>1010390</t>
  </si>
  <si>
    <t>Fluide de Jour Revitalisant 75 ml - Édition Limitée 2026</t>
  </si>
  <si>
    <t>4020829115866</t>
  </si>
  <si>
    <t>1010391</t>
  </si>
  <si>
    <t>Crème Purifiante pour le Visage 75 ml - Édition Limitée 2026</t>
  </si>
  <si>
    <t>4020829115903</t>
  </si>
  <si>
    <t>1010392</t>
  </si>
  <si>
    <t>Crème pour les Mains 75 ml - Édition Limitée 2026</t>
  </si>
  <si>
    <t>4020829115941</t>
  </si>
  <si>
    <t>1010406</t>
  </si>
  <si>
    <t>Stick Correcteur 01 - 1.9 g</t>
  </si>
  <si>
    <t>4020829095014</t>
  </si>
  <si>
    <t>1010407</t>
  </si>
  <si>
    <t>Stick Correcteur 02 - 1.9 g</t>
  </si>
  <si>
    <t>4020829095021</t>
  </si>
  <si>
    <t>1010501</t>
  </si>
  <si>
    <t>Baume Contour des Yeux - 10 ml</t>
  </si>
  <si>
    <t>4020829006454</t>
  </si>
  <si>
    <t>1010503</t>
  </si>
  <si>
    <t xml:space="preserve">Crème Fluide Contour des Yeux - 12,5 ml </t>
  </si>
  <si>
    <t>4020829006416</t>
  </si>
  <si>
    <t>1010505</t>
  </si>
  <si>
    <t>Lotion Fraîcheur pour les Yeux - 10 x 5 ml</t>
  </si>
  <si>
    <t>4020829077058</t>
  </si>
  <si>
    <t>1010601</t>
  </si>
  <si>
    <t>Stick Eclat des Lèvres - 4,9 g</t>
  </si>
  <si>
    <t>4020829014374</t>
  </si>
  <si>
    <t>1010602</t>
  </si>
  <si>
    <t>Baume pour les Lèvres - 4,5 ml</t>
  </si>
  <si>
    <t>000422395432</t>
  </si>
  <si>
    <t>1010701</t>
  </si>
  <si>
    <t>Cure Intensive pour la Nuit 50 amp.</t>
  </si>
  <si>
    <t>4020829005358</t>
  </si>
  <si>
    <t>1010702</t>
  </si>
  <si>
    <t>Cure Intensive pour la Nuit 10 amp.</t>
  </si>
  <si>
    <t>4020829005327</t>
  </si>
  <si>
    <t>1010703</t>
  </si>
  <si>
    <t>Cure Intensive Jour/Nuit pour Peaux Sensibles 50 amp.</t>
  </si>
  <si>
    <t>4020829005402</t>
  </si>
  <si>
    <t>1010704</t>
  </si>
  <si>
    <t>Cure Intensive Jour/Nuit pour Peaux Sensibles 10 amp.</t>
  </si>
  <si>
    <t>4020829005433</t>
  </si>
  <si>
    <t>1010705</t>
  </si>
  <si>
    <t>Bain de Vapeur pour le Visage - 100 ml</t>
  </si>
  <si>
    <t>4020829005020</t>
  </si>
  <si>
    <t>1010706</t>
  </si>
  <si>
    <t>Masque Purifiant - 90 g</t>
  </si>
  <si>
    <t>4020829004962</t>
  </si>
  <si>
    <t>1010707</t>
  </si>
  <si>
    <t>Masque Revitalisant - 30 ml</t>
  </si>
  <si>
    <t>4020829007192</t>
  </si>
  <si>
    <t>1010709</t>
  </si>
  <si>
    <t>Masque Apaisant - 30 ml</t>
  </si>
  <si>
    <t>4020829007314</t>
  </si>
  <si>
    <t>1010710</t>
  </si>
  <si>
    <t>Masque Restructurant - 30 ml</t>
  </si>
  <si>
    <t>4020829007253</t>
  </si>
  <si>
    <t>1010717</t>
  </si>
  <si>
    <t>Masque Crème Nourrissant - 30 ml</t>
  </si>
  <si>
    <t>4020829041356</t>
  </si>
  <si>
    <t>1010725</t>
  </si>
  <si>
    <t>Cure Intensive Clarifiante (à partir de 25 ans) - 40 ml*Nouveau packaging*</t>
  </si>
  <si>
    <t>4020829097575</t>
  </si>
  <si>
    <t>1010726</t>
  </si>
  <si>
    <t>Cure Intensive pour Peaux Réactives - 40 ml*Nouveau packaging*</t>
  </si>
  <si>
    <t>4020829097636</t>
  </si>
  <si>
    <t>1010727</t>
  </si>
  <si>
    <t>Cure Revitalisante &amp; Stimulante 28 ampoules x 2ml</t>
  </si>
  <si>
    <t>4020829115712</t>
  </si>
  <si>
    <t>1010728</t>
  </si>
  <si>
    <t>Cure Apaisante &amp; Équilibrante 28 ampoules x 2 ml</t>
  </si>
  <si>
    <t>4020829115637</t>
  </si>
  <si>
    <t>1010729</t>
  </si>
  <si>
    <t>Cure Apaisante &amp; Équilibrante 7 ampoules x 2 ml</t>
  </si>
  <si>
    <t>4020829115675</t>
  </si>
  <si>
    <t>1011043</t>
  </si>
  <si>
    <t>Coffret Rituel de Rose* DLV 01/2026*</t>
  </si>
  <si>
    <t>4020829105973</t>
  </si>
  <si>
    <t>1011045</t>
  </si>
  <si>
    <t>Coffret Noël Rituel Fraîcheur &amp; Éclat 2025</t>
  </si>
  <si>
    <t>3770026497487</t>
  </si>
  <si>
    <t>1011047</t>
  </si>
  <si>
    <t>Duo Émotion Sensorielle - Éclat Gourmand</t>
  </si>
  <si>
    <t>3770026497494</t>
  </si>
  <si>
    <t>1011048</t>
  </si>
  <si>
    <t>Duo Émotion Sensorielle - Douceur Florale -20%</t>
  </si>
  <si>
    <t>3770026497500</t>
  </si>
  <si>
    <t>1011049</t>
  </si>
  <si>
    <t>Calendrier de l'Avent 2025</t>
  </si>
  <si>
    <t>4020829113602</t>
  </si>
  <si>
    <t>1011050</t>
  </si>
  <si>
    <t>Coffret Rituel de Rose* DLV 01/2026* (copie)</t>
  </si>
  <si>
    <t>1011050999999</t>
  </si>
  <si>
    <t>1011054</t>
  </si>
  <si>
    <t>Coffret de noël rituel soin 2025 (copie)</t>
  </si>
  <si>
    <t/>
  </si>
  <si>
    <t>1011055</t>
  </si>
  <si>
    <t>Mon rituel Apaisant 2026</t>
  </si>
  <si>
    <t>3770026497562</t>
  </si>
  <si>
    <t>1011056</t>
  </si>
  <si>
    <t>Mon rituel Éclat 2026</t>
  </si>
  <si>
    <t>3770026497579</t>
  </si>
  <si>
    <t>1011057</t>
  </si>
  <si>
    <t>Coffret Les Essentiels Éclat 2026</t>
  </si>
  <si>
    <t>3770026497586</t>
  </si>
  <si>
    <t>1011058</t>
  </si>
  <si>
    <t>Duo Baume Lacté Nettoyant 2026</t>
  </si>
  <si>
    <t>3770026497593</t>
  </si>
  <si>
    <t>1011059</t>
  </si>
  <si>
    <t>Coffret Noël 2026 Rituel de Roses</t>
  </si>
  <si>
    <t>3770026497623</t>
  </si>
  <si>
    <t>1011060</t>
  </si>
  <si>
    <t>Coffret Noël 2026 Rituel Éclat</t>
  </si>
  <si>
    <t>3770026497630</t>
  </si>
  <si>
    <t>1011061</t>
  </si>
  <si>
    <t>Coffret Noël 2026 Duo Mains &amp; Lèvres</t>
  </si>
  <si>
    <t>3770026497654</t>
  </si>
  <si>
    <t>1011062</t>
  </si>
  <si>
    <t>Calendrier de l’Avent 2026</t>
  </si>
  <si>
    <t>1011063</t>
  </si>
  <si>
    <t>Duo Stick Éclat des Lèvres 2026</t>
  </si>
  <si>
    <t>3770026497609</t>
  </si>
  <si>
    <t>1020101</t>
  </si>
  <si>
    <t>Lait pour le Corps Régénérant - 150 ml</t>
  </si>
  <si>
    <t>4020829008410</t>
  </si>
  <si>
    <t>1020102</t>
  </si>
  <si>
    <t>Crème pour les Mains - Régénérant - 50 ml</t>
  </si>
  <si>
    <t>4020829049666</t>
  </si>
  <si>
    <t>1020107</t>
  </si>
  <si>
    <t>Lait pour le Corps - Régénérant - 150 ml</t>
  </si>
  <si>
    <t>4020829103160</t>
  </si>
  <si>
    <t>1020202</t>
  </si>
  <si>
    <t>Sérum Jour/Nuit - Régénérant - 30 ml</t>
  </si>
  <si>
    <t>4020829103115</t>
  </si>
  <si>
    <t>1020301</t>
  </si>
  <si>
    <t>Crème de Jour - Régénérant - 40 ml</t>
  </si>
  <si>
    <t>4020829007383</t>
  </si>
  <si>
    <t>1020302</t>
  </si>
  <si>
    <t>Crème Cou et Décolleté - Régénérant - 40 ml</t>
  </si>
  <si>
    <t>4020829008366</t>
  </si>
  <si>
    <t>1020310</t>
  </si>
  <si>
    <t>Crème de Jour Eclat du Teint - Régénérant - 40 ml</t>
  </si>
  <si>
    <t>4020829060999</t>
  </si>
  <si>
    <t>1020401</t>
  </si>
  <si>
    <t>Crème Contour des Yeux - Régénérant - 15 ml</t>
  </si>
  <si>
    <t>4020829013919</t>
  </si>
  <si>
    <t>1020704</t>
  </si>
  <si>
    <t>Sérum Huile Régénérant Intensif - 20 ml</t>
  </si>
  <si>
    <t>4020829074101</t>
  </si>
  <si>
    <t>1020717</t>
  </si>
  <si>
    <t>Sérum Contour des Yeux - Régénérant Intensif -15 ml</t>
  </si>
  <si>
    <t>4020829101067</t>
  </si>
  <si>
    <t>1020718</t>
  </si>
  <si>
    <t>Sérum de Nuit - Régénérant Intensif - 30 ml</t>
  </si>
  <si>
    <t>4020829101111</t>
  </si>
  <si>
    <t>1020719</t>
  </si>
  <si>
    <t>Huile Fortifiante - Régénérant Intensif - 20ml</t>
  </si>
  <si>
    <t>4020829103030</t>
  </si>
  <si>
    <t>1020720</t>
  </si>
  <si>
    <t>Crème de Jour - Régénérant Intensif - 40ml</t>
  </si>
  <si>
    <t>4020829102972</t>
  </si>
  <si>
    <t>1020721</t>
  </si>
  <si>
    <t>Cure Intensive Fortifiante - Régénérant - 40ml</t>
  </si>
  <si>
    <t>4020829102941</t>
  </si>
  <si>
    <t>1020722</t>
  </si>
  <si>
    <t>Cure Intensive Rééquilibrante - Régénérant Intensif - 40ml</t>
  </si>
  <si>
    <t>4020829102934</t>
  </si>
  <si>
    <t>1021046</t>
  </si>
  <si>
    <t>Coffret Noël Éclat Intemporel 2025</t>
  </si>
  <si>
    <t>4020829113572</t>
  </si>
  <si>
    <t>1021062</t>
  </si>
  <si>
    <t>Le Rituel de Soin Éclat et Fermeté</t>
  </si>
  <si>
    <t>3770026497616</t>
  </si>
  <si>
    <t>1030101</t>
  </si>
  <si>
    <t>Lait Crème pour le Corps Rose - 145 ml</t>
  </si>
  <si>
    <t>4020829006751</t>
  </si>
  <si>
    <t>1030102</t>
  </si>
  <si>
    <t>Lait Crème pour le Corps Lavande Bois de Santal - 145 ml</t>
  </si>
  <si>
    <t>4020829009080</t>
  </si>
  <si>
    <t>1030104</t>
  </si>
  <si>
    <t>Lait Crème pour le Corps Amande - 145 ml</t>
  </si>
  <si>
    <t>4020829009110</t>
  </si>
  <si>
    <t>1030105</t>
  </si>
  <si>
    <t>Lait pour le Corps Coing - 145 ml</t>
  </si>
  <si>
    <t>4020829009035</t>
  </si>
  <si>
    <t>1030114</t>
  </si>
  <si>
    <t>Lait Crème pour le Corps Rose Taille Spéciale 30 ml</t>
  </si>
  <si>
    <t>4020829090316</t>
  </si>
  <si>
    <t>1030125</t>
  </si>
  <si>
    <t>Lait pour le Corps Bergamote Citronnelle - 145 ml</t>
  </si>
  <si>
    <t>4020829100176</t>
  </si>
  <si>
    <t>1030128</t>
  </si>
  <si>
    <t>Lait Crème pour le Corps Rose - 145 ml version Anglaise* DLV 06/26*- 30%*</t>
  </si>
  <si>
    <t>4020829006720</t>
  </si>
  <si>
    <t>1030201</t>
  </si>
  <si>
    <t>Huile de Soin Rose - 75 ml</t>
  </si>
  <si>
    <t>4020829007864</t>
  </si>
  <si>
    <t>1030202</t>
  </si>
  <si>
    <t xml:space="preserve">Huile de Soin Prunelle - 75 ml   </t>
  </si>
  <si>
    <t>4020829007901</t>
  </si>
  <si>
    <t>1030203</t>
  </si>
  <si>
    <t>Huile de Soin Citron Citronnelle - 75 ml</t>
  </si>
  <si>
    <t>4020829007710</t>
  </si>
  <si>
    <t>1030204</t>
  </si>
  <si>
    <t>Huile de Soin Bouleau Arnica - 75 ml</t>
  </si>
  <si>
    <t>4020829007741</t>
  </si>
  <si>
    <t>1030206</t>
  </si>
  <si>
    <t>Huile de Soin Moor Lavande - 75 ml</t>
  </si>
  <si>
    <t>4020829007833</t>
  </si>
  <si>
    <t>1030222</t>
  </si>
  <si>
    <t>Huile de Soin Moor Lavande - 30 ml</t>
  </si>
  <si>
    <t>4020829097803</t>
  </si>
  <si>
    <t>1030226</t>
  </si>
  <si>
    <t>Huile de Soin Rose 75 ml Édition Limitée 2025</t>
  </si>
  <si>
    <t>4020829109124</t>
  </si>
  <si>
    <t>1030301</t>
  </si>
  <si>
    <t>Crème pour les Mains - 50 ml</t>
  </si>
  <si>
    <t>4020829005709</t>
  </si>
  <si>
    <t>1030303</t>
  </si>
  <si>
    <t>Applicateur Huile au Neem pour les Ongles - 3 ml</t>
  </si>
  <si>
    <t>4020829015999</t>
  </si>
  <si>
    <t>1030308</t>
  </si>
  <si>
    <t>Huile au Neem pour les Ongles - 18 ml</t>
  </si>
  <si>
    <t>4020829071384</t>
  </si>
  <si>
    <t>1030310</t>
  </si>
  <si>
    <t xml:space="preserve">Crème pour les Mains 50 ml Edition Limitée 2024 </t>
  </si>
  <si>
    <t>4020829104426</t>
  </si>
  <si>
    <t>1030311</t>
  </si>
  <si>
    <t>Crème pour les Mains 50ml Edition Limitée Noël 2024</t>
  </si>
  <si>
    <t>4020829106536</t>
  </si>
  <si>
    <t>1030312</t>
  </si>
  <si>
    <t>Crème pour les Mains - 20 ml</t>
  </si>
  <si>
    <t>4020829101845</t>
  </si>
  <si>
    <t>1030402</t>
  </si>
  <si>
    <t>Lotion Tonifiante pour les Jambes - 100 ml</t>
  </si>
  <si>
    <t>4020829006171</t>
  </si>
  <si>
    <t>1030403</t>
  </si>
  <si>
    <t>Crème Hydratante pour les Pieds - 75 ml</t>
  </si>
  <si>
    <t>4020829006294</t>
  </si>
  <si>
    <t>1030408</t>
  </si>
  <si>
    <t>Crème Déodorante pour les Pieds - 30 ml - nouvelle</t>
  </si>
  <si>
    <t>4020829079601</t>
  </si>
  <si>
    <t>1030502</t>
  </si>
  <si>
    <t>Après-Soleil - 150 ml</t>
  </si>
  <si>
    <t>4020829087408</t>
  </si>
  <si>
    <t>1030503</t>
  </si>
  <si>
    <t>Crème Solaire pour le Visage Teintée SPF 30 - 40ml</t>
  </si>
  <si>
    <t>4020829088962</t>
  </si>
  <si>
    <t>1030504</t>
  </si>
  <si>
    <t>Après-Soleil 30ml</t>
  </si>
  <si>
    <t>4020829087446</t>
  </si>
  <si>
    <t>1030601</t>
  </si>
  <si>
    <t>Poudre de Soie - 50 g</t>
  </si>
  <si>
    <t>1030602</t>
  </si>
  <si>
    <t>Poudre de Soie - 50 g - DLV -20%</t>
  </si>
  <si>
    <t>4020829005631</t>
  </si>
  <si>
    <t>1030703</t>
  </si>
  <si>
    <t>Déodorant Rose - 50 ml</t>
  </si>
  <si>
    <t>4020829025332</t>
  </si>
  <si>
    <t>1030704</t>
  </si>
  <si>
    <t>Déodorant Sauge Menthe - 50 ml</t>
  </si>
  <si>
    <t>4020829025370</t>
  </si>
  <si>
    <t>1040115</t>
  </si>
  <si>
    <t>Crème Douche - 150 ml</t>
  </si>
  <si>
    <t>4020829066540</t>
  </si>
  <si>
    <t>1040201</t>
  </si>
  <si>
    <t>Bain Rose - 100 ml</t>
  </si>
  <si>
    <t>4020829005914</t>
  </si>
  <si>
    <t>1040202</t>
  </si>
  <si>
    <t xml:space="preserve">Bain Moor Lavande - 100 ml </t>
  </si>
  <si>
    <t>4020829005877</t>
  </si>
  <si>
    <t>1040205</t>
  </si>
  <si>
    <t>Bain Sauge - 100 ml</t>
  </si>
  <si>
    <t>4020829011403</t>
  </si>
  <si>
    <t>1040221</t>
  </si>
  <si>
    <t xml:space="preserve">Bain Caprices des saisons - 100 ml </t>
  </si>
  <si>
    <t>4020829088436</t>
  </si>
  <si>
    <t>1040224</t>
  </si>
  <si>
    <t>Bain Moor Lavande 100ml Edition Limitée Noël 2023</t>
  </si>
  <si>
    <t>4020829100114</t>
  </si>
  <si>
    <t>1040305</t>
  </si>
  <si>
    <t>Après-Shampooing - 150 ml</t>
  </si>
  <si>
    <t>4020829077478</t>
  </si>
  <si>
    <t>1040306</t>
  </si>
  <si>
    <t>Lotion pour les Cheveux - 100 ml</t>
  </si>
  <si>
    <t>4020829077515</t>
  </si>
  <si>
    <t>1040307</t>
  </si>
  <si>
    <t>Huile pour les Cheveux - 75 ml</t>
  </si>
  <si>
    <t>4020829077553</t>
  </si>
  <si>
    <t>1040308</t>
  </si>
  <si>
    <t>Shampooing - 150 ml</t>
  </si>
  <si>
    <t>4020829077430</t>
  </si>
  <si>
    <t>1041101</t>
  </si>
  <si>
    <t>Coffret Harmonie de Lavande</t>
  </si>
  <si>
    <t>4020829106048</t>
  </si>
  <si>
    <t>1050103</t>
  </si>
  <si>
    <t>Crème pour les Mains à la Ficoïde à Cristaux - 50 ml</t>
  </si>
  <si>
    <t>4020829069794</t>
  </si>
  <si>
    <t>1050104</t>
  </si>
  <si>
    <t>Lait pour le Corps à la Ficoïde à Cristaux - 145 ml</t>
  </si>
  <si>
    <t>4020829092068</t>
  </si>
  <si>
    <t>1050202</t>
  </si>
  <si>
    <t>Crème pour le visage à la Ficoïde à Cristaux - 40 ml</t>
  </si>
  <si>
    <t>4020829080065</t>
  </si>
  <si>
    <t>1050203</t>
  </si>
  <si>
    <t>Crème Potentilla Ultra-Apaisante - 20 ml</t>
  </si>
  <si>
    <t>4020829069282</t>
  </si>
  <si>
    <t>1050204</t>
  </si>
  <si>
    <t>Crème Intensive à la Ficoïde à Cristaux - 50 ml</t>
  </si>
  <si>
    <t>4020829092037</t>
  </si>
  <si>
    <t>1050301</t>
  </si>
  <si>
    <t>Soin des Lèvres - 5 ml</t>
  </si>
  <si>
    <t>4020829069329</t>
  </si>
  <si>
    <t>1050403</t>
  </si>
  <si>
    <t>Bain de Bouche à la Sauge - 300 ml</t>
  </si>
  <si>
    <t>4020829069350</t>
  </si>
  <si>
    <t>1050406</t>
  </si>
  <si>
    <t>Dentifrice Salin Sensitivité - 75 ml *nouvelle formule*</t>
  </si>
  <si>
    <t>4020829103542</t>
  </si>
  <si>
    <t>1050407</t>
  </si>
  <si>
    <t>Dentifrice Fortifiant à la Menthe - 75 ml</t>
  </si>
  <si>
    <t>4020829103511</t>
  </si>
  <si>
    <t>1050502</t>
  </si>
  <si>
    <t>Shampooing-Crème au Rhassoul - 150 ml</t>
  </si>
  <si>
    <t>4020829085787</t>
  </si>
  <si>
    <t>1050503</t>
  </si>
  <si>
    <t>Masque pour le Cuir Chevelu aux Graines de Courge - 25 ml</t>
  </si>
  <si>
    <t>4020829085817</t>
  </si>
  <si>
    <t>1060121</t>
  </si>
  <si>
    <t>Mascara volume 01 noir</t>
  </si>
  <si>
    <t>4020829099128</t>
  </si>
  <si>
    <t>1060122</t>
  </si>
  <si>
    <t>Mascara volume 02 brun</t>
  </si>
  <si>
    <t>4020829099142</t>
  </si>
  <si>
    <t>1060123</t>
  </si>
  <si>
    <t>Mascara Longue Tenue 01 noir</t>
  </si>
  <si>
    <t>4020829112292</t>
  </si>
  <si>
    <t>1060124</t>
  </si>
  <si>
    <t>Mascara Longue Tenue 02 brun</t>
  </si>
  <si>
    <t>4020829112308</t>
  </si>
  <si>
    <t>1060125</t>
  </si>
  <si>
    <t>Mascara Longue Tenue 03 Prune</t>
  </si>
  <si>
    <t>4020829116207</t>
  </si>
  <si>
    <t>1060130</t>
  </si>
  <si>
    <t>Gel Cils &amp; Sourcils 00 transparent</t>
  </si>
  <si>
    <t>4020829098626</t>
  </si>
  <si>
    <t>1060131</t>
  </si>
  <si>
    <t>Mascara Précision 01 noir</t>
  </si>
  <si>
    <t>4020829098718</t>
  </si>
  <si>
    <t>1060132</t>
  </si>
  <si>
    <t>Mascara Précision 02 brun</t>
  </si>
  <si>
    <t>4020829098725</t>
  </si>
  <si>
    <t>1060250</t>
  </si>
  <si>
    <t>Rouge à Lèvres 02 mandevilla</t>
  </si>
  <si>
    <t>4020829098909</t>
  </si>
  <si>
    <t>1060251</t>
  </si>
  <si>
    <t>Rouge à Lèvres 03 camellia</t>
  </si>
  <si>
    <t>4020829098923</t>
  </si>
  <si>
    <t>1060252</t>
  </si>
  <si>
    <t>Rouge à Lèvres 06 azalea</t>
  </si>
  <si>
    <t>4020829098947</t>
  </si>
  <si>
    <t>1060253</t>
  </si>
  <si>
    <t>Rouge à Lèvres 07 orphin</t>
  </si>
  <si>
    <t>4020829098961</t>
  </si>
  <si>
    <t>1060254</t>
  </si>
  <si>
    <t>Rouge à Lèvres 10 dahlia</t>
  </si>
  <si>
    <t>4020829098985</t>
  </si>
  <si>
    <t>1060255</t>
  </si>
  <si>
    <t>Rouge à Lèvres 11 amaryllis</t>
  </si>
  <si>
    <t>4020829099005</t>
  </si>
  <si>
    <t>1060256</t>
  </si>
  <si>
    <t>Rouge à Lèvres 13 bromelia</t>
  </si>
  <si>
    <t>4020829099029</t>
  </si>
  <si>
    <t>1060257</t>
  </si>
  <si>
    <t>Rouge à Lèvres 14 caralluma</t>
  </si>
  <si>
    <t>4020829099043</t>
  </si>
  <si>
    <t>1060258</t>
  </si>
  <si>
    <t>Rouge à Lèvres 22 Calibrachoa</t>
  </si>
  <si>
    <t>4020829099067</t>
  </si>
  <si>
    <t>1060259</t>
  </si>
  <si>
    <t>Rouge à Lèvres 26 Hibiscus</t>
  </si>
  <si>
    <t>4020829099081</t>
  </si>
  <si>
    <t>1060260</t>
  </si>
  <si>
    <t>Rouge à Lèvres 02 mandevilla Édition Limitée 2025</t>
  </si>
  <si>
    <t>4020829111073</t>
  </si>
  <si>
    <t>1060411</t>
  </si>
  <si>
    <t>Crayon à Lèvres Precision 00 transparent</t>
  </si>
  <si>
    <t>4020829098879</t>
  </si>
  <si>
    <t>1060412</t>
  </si>
  <si>
    <t>Crayon à Lèvres 01 liriodendron</t>
  </si>
  <si>
    <t>4020829098886</t>
  </si>
  <si>
    <t>1060413</t>
  </si>
  <si>
    <t>Crayon à Lèvres 04 cumaru</t>
  </si>
  <si>
    <t>4020829098893</t>
  </si>
  <si>
    <t>1060414</t>
  </si>
  <si>
    <t>Crayon à Lèvres 01 pêche - Édition Limitée 2026</t>
  </si>
  <si>
    <t>4020829116047</t>
  </si>
  <si>
    <t>1060415</t>
  </si>
  <si>
    <t>Crayon à Lèvres 02 cerise - Édition Limitée 2026</t>
  </si>
  <si>
    <t>4020829116054</t>
  </si>
  <si>
    <t>1060416</t>
  </si>
  <si>
    <t>Crayon à Lèvres 03 pamplemousse - Édition Limitée 2026</t>
  </si>
  <si>
    <t>4020829116061</t>
  </si>
  <si>
    <t>1060417</t>
  </si>
  <si>
    <t>Crayon à Lèvres 04 litchi - Édition Limitée 2026</t>
  </si>
  <si>
    <t>4020829116078</t>
  </si>
  <si>
    <t>1060521</t>
  </si>
  <si>
    <t>Crayon Contour des Yeux 01 noir</t>
  </si>
  <si>
    <t>4020829098756</t>
  </si>
  <si>
    <t>1060522</t>
  </si>
  <si>
    <t>Crayon Contour des Yeux 02 brun</t>
  </si>
  <si>
    <t>4020829098763</t>
  </si>
  <si>
    <t>1060523</t>
  </si>
  <si>
    <t>Crayon Contour des Yeux 05 taupe</t>
  </si>
  <si>
    <t>4020829098770</t>
  </si>
  <si>
    <t>1060531</t>
  </si>
  <si>
    <t>Crayon à Sourcils 01 brun clair</t>
  </si>
  <si>
    <t>4020829097018</t>
  </si>
  <si>
    <t>1060532</t>
  </si>
  <si>
    <t>Crayon à Sourcils 02 brun foncé</t>
  </si>
  <si>
    <t>4020829097032</t>
  </si>
  <si>
    <t>1060605</t>
  </si>
  <si>
    <t>Eyeliner liquide 01 noir</t>
  </si>
  <si>
    <t>4020829099104</t>
  </si>
  <si>
    <t>1060712</t>
  </si>
  <si>
    <t>Blush 02 - Abricot - 12/2026*</t>
  </si>
  <si>
    <t>4020829083844</t>
  </si>
  <si>
    <t>1060720</t>
  </si>
  <si>
    <t>Highlighter 01 - Illuminant</t>
  </si>
  <si>
    <t>4020829098848</t>
  </si>
  <si>
    <t>1060721</t>
  </si>
  <si>
    <t>Blush 01 - Framboise</t>
  </si>
  <si>
    <t>4020829098565</t>
  </si>
  <si>
    <t>1060722</t>
  </si>
  <si>
    <t>Blush 02 - Abricot</t>
  </si>
  <si>
    <t>4020829098589</t>
  </si>
  <si>
    <t>1060731</t>
  </si>
  <si>
    <t>Baume Stick Lèvres et Joues 01 pêche</t>
  </si>
  <si>
    <t>4020829102866</t>
  </si>
  <si>
    <t>1060732</t>
  </si>
  <si>
    <t>Baume Stick Lèvres et Joues 03 bois de rose</t>
  </si>
  <si>
    <t>4020829102880</t>
  </si>
  <si>
    <t>1060733</t>
  </si>
  <si>
    <t>Baume Stick Lèvres et Joues 04 doré</t>
  </si>
  <si>
    <t>4020829102897</t>
  </si>
  <si>
    <t>1060804</t>
  </si>
  <si>
    <t>Poudre Compacte Correctrice 00 transparente</t>
  </si>
  <si>
    <t>4020829098633</t>
  </si>
  <si>
    <t>1060805</t>
  </si>
  <si>
    <t>Poudre Compacte Correctrice - 01 vivifiante</t>
  </si>
  <si>
    <t>4020829098657</t>
  </si>
  <si>
    <t>1060806</t>
  </si>
  <si>
    <t>Poudre Compacte Correctrice - 02 apaisante</t>
  </si>
  <si>
    <t>4020829098671</t>
  </si>
  <si>
    <t>1060807</t>
  </si>
  <si>
    <t>Poudre Compacte 00 transparente</t>
  </si>
  <si>
    <t>4020829099159</t>
  </si>
  <si>
    <t>1060822</t>
  </si>
  <si>
    <t>Poudre Libre 00 transparente</t>
  </si>
  <si>
    <t>4020829099111</t>
  </si>
  <si>
    <t>1060823</t>
  </si>
  <si>
    <t>Poudre Bronzante 01 bronze</t>
  </si>
  <si>
    <t>4020829099197</t>
  </si>
  <si>
    <t>1060910</t>
  </si>
  <si>
    <t>Concealer éclat 00 transparent</t>
  </si>
  <si>
    <t>4020829098862</t>
  </si>
  <si>
    <t>1060911</t>
  </si>
  <si>
    <t>Concealer 01 macadamia</t>
  </si>
  <si>
    <t>4020829098695</t>
  </si>
  <si>
    <t>1060912</t>
  </si>
  <si>
    <t>Concealer 02 châtaigne</t>
  </si>
  <si>
    <t>4020829098701</t>
  </si>
  <si>
    <t>1061002</t>
  </si>
  <si>
    <t>Fond de Teint 02 amande - Dernières unités avant retour Oct 23</t>
  </si>
  <si>
    <t>4020829045125</t>
  </si>
  <si>
    <t>1061003</t>
  </si>
  <si>
    <t>Fond de Teint 03 châtaigne - Dernières unités avant retour Oct 23</t>
  </si>
  <si>
    <t>4020829045149</t>
  </si>
  <si>
    <t>1061005</t>
  </si>
  <si>
    <t>Fond de Teint 05 muscade - Dernières unités avant retour Oct 23</t>
  </si>
  <si>
    <t>4020829045187</t>
  </si>
  <si>
    <t>1061006</t>
  </si>
  <si>
    <t>Fond de Teint 06 noix</t>
  </si>
  <si>
    <t>4020829045200</t>
  </si>
  <si>
    <t>1061012</t>
  </si>
  <si>
    <t>Fond de teint - 001 cajou - Dernières unités avant retour Oct 23</t>
  </si>
  <si>
    <t>4020829075641</t>
  </si>
  <si>
    <t>1061021</t>
  </si>
  <si>
    <t>Fond de Teint 01 macadamia</t>
  </si>
  <si>
    <t>4020829098374</t>
  </si>
  <si>
    <t>1061022</t>
  </si>
  <si>
    <t>Fond de Teint 02 amande</t>
  </si>
  <si>
    <t>4020829098398</t>
  </si>
  <si>
    <t>1061023</t>
  </si>
  <si>
    <t>Fond de Teint 03 châtaigne</t>
  </si>
  <si>
    <t>4020829098411</t>
  </si>
  <si>
    <t>1061024</t>
  </si>
  <si>
    <t>Fond de Teint 04 noisette</t>
  </si>
  <si>
    <t>4020829098435</t>
  </si>
  <si>
    <t>1061025</t>
  </si>
  <si>
    <t>Fond de Teint 05 muscade</t>
  </si>
  <si>
    <t>4020829098459</t>
  </si>
  <si>
    <t>1061026</t>
  </si>
  <si>
    <t>4020829098473</t>
  </si>
  <si>
    <t>1061027</t>
  </si>
  <si>
    <t>Fond de teint - 001 cajou</t>
  </si>
  <si>
    <t>4020829098336</t>
  </si>
  <si>
    <t>1061028</t>
  </si>
  <si>
    <t>Fond de teint - 002 pignon de pin</t>
  </si>
  <si>
    <t>4020829098350</t>
  </si>
  <si>
    <t>1061029</t>
  </si>
  <si>
    <t>Fluide Eclat</t>
  </si>
  <si>
    <t>4020829099173</t>
  </si>
  <si>
    <t>1061101</t>
  </si>
  <si>
    <t>Trio Ombres à Paupières 01 saphir</t>
  </si>
  <si>
    <t>4020829045026</t>
  </si>
  <si>
    <t>1061102</t>
  </si>
  <si>
    <t>Trio Ombres à Paupières 02 jade - DLV 05/2026*</t>
  </si>
  <si>
    <t>4020829045040</t>
  </si>
  <si>
    <t>1061103</t>
  </si>
  <si>
    <t>Trio Ombres à Paupières 03 amétrine - DLV 11/2025*</t>
  </si>
  <si>
    <t>4020829045064</t>
  </si>
  <si>
    <t>1061104</t>
  </si>
  <si>
    <t>Trio Ombres à Paupières 04 pierre de soleil - DLV 06/2026*</t>
  </si>
  <si>
    <t>4020829045088</t>
  </si>
  <si>
    <t>1061114</t>
  </si>
  <si>
    <t>Ombre à Paupière 04 verdélite - Dernières unités avant retour Oct 23</t>
  </si>
  <si>
    <t>4020829044982</t>
  </si>
  <si>
    <t>1061120</t>
  </si>
  <si>
    <t>Palette Yeux &amp; Sourcils 01 caillou - DLV 07/2026*</t>
  </si>
  <si>
    <t>4020829044869</t>
  </si>
  <si>
    <t>1061121</t>
  </si>
  <si>
    <t>Ombre à Paupière 04 verdélite</t>
  </si>
  <si>
    <t>4020829098787</t>
  </si>
  <si>
    <t>1061122</t>
  </si>
  <si>
    <t>Ombre à paupières 07 aigue-marine</t>
  </si>
  <si>
    <t>4020829098800</t>
  </si>
  <si>
    <t>1061123</t>
  </si>
  <si>
    <t>Ombre à paupières 08 topaze dorée</t>
  </si>
  <si>
    <t>4020829098824</t>
  </si>
  <si>
    <t>1061133</t>
  </si>
  <si>
    <t>Palette Yeux &amp; Sourcils 01 caillou</t>
  </si>
  <si>
    <t>4020829098732</t>
  </si>
  <si>
    <t>1061200</t>
  </si>
  <si>
    <t>Palette maquillage complète</t>
  </si>
  <si>
    <t>9999991061200</t>
  </si>
  <si>
    <t>1061201</t>
  </si>
  <si>
    <t>Pinceau Fond de teint</t>
  </si>
  <si>
    <t>4020829042384</t>
  </si>
  <si>
    <t>1061202</t>
  </si>
  <si>
    <t>Pinceau Blush</t>
  </si>
  <si>
    <t>4020829042407</t>
  </si>
  <si>
    <t>1061203</t>
  </si>
  <si>
    <t>Pinceau poudre</t>
  </si>
  <si>
    <t>4020829042421</t>
  </si>
  <si>
    <t>1061204</t>
  </si>
  <si>
    <t>Pinceau Ombre à Paupières</t>
  </si>
  <si>
    <t>4020829042445</t>
  </si>
  <si>
    <t>1061205</t>
  </si>
  <si>
    <t>Pinceau Yeux Précision</t>
  </si>
  <si>
    <t>4020829042476</t>
  </si>
  <si>
    <t>1061206</t>
  </si>
  <si>
    <t>Pinceau Lèvres</t>
  </si>
  <si>
    <t>4020829042490</t>
  </si>
  <si>
    <t>1061207</t>
  </si>
  <si>
    <t>Taille crayon</t>
  </si>
  <si>
    <t>4020829047815</t>
  </si>
  <si>
    <t>1061209</t>
  </si>
  <si>
    <t>Taille crayon High Spirit</t>
  </si>
  <si>
    <t>4020829071827</t>
  </si>
  <si>
    <t>1061210</t>
  </si>
  <si>
    <t>Taille-crayon - Édition Limitée 2026</t>
  </si>
  <si>
    <t>4020829117990</t>
  </si>
  <si>
    <t>1061301</t>
  </si>
  <si>
    <t>Coffret Noël 2026 Regard de Fête</t>
  </si>
  <si>
    <t>3770026497647</t>
  </si>
  <si>
    <t>1080105</t>
  </si>
  <si>
    <t>Bassine pour bains de pieds prune</t>
  </si>
  <si>
    <t>9999991080105</t>
  </si>
  <si>
    <t>1080112</t>
  </si>
  <si>
    <t>Bol pour masque purifiant Prune</t>
  </si>
  <si>
    <t>9999991080112</t>
  </si>
  <si>
    <t>1080118</t>
  </si>
  <si>
    <t>Eponge Cosmétique Dr. Hauschka</t>
  </si>
  <si>
    <t>4020829080119</t>
  </si>
  <si>
    <t>1810120</t>
  </si>
  <si>
    <t>OP Baume Lacté Nettoyant - 20 ml</t>
  </si>
  <si>
    <t>1810120999999</t>
  </si>
  <si>
    <t>1810205</t>
  </si>
  <si>
    <t>9999991810205</t>
  </si>
  <si>
    <t>1810306</t>
  </si>
  <si>
    <t>Crème de Jour à la Mélisse - 30 ml*DLV 05/2025(remise 20 % incluse)</t>
  </si>
  <si>
    <t>9999991810306</t>
  </si>
  <si>
    <t>1810353</t>
  </si>
  <si>
    <t>Emulsion Teintée - 18 ml*DLV 10/2025* - 10 %*</t>
  </si>
  <si>
    <t>9999991810353</t>
  </si>
  <si>
    <t>1810361</t>
  </si>
  <si>
    <t>Fluide de Jour Equilibrant - 50 ml*DLV 03/2025*</t>
  </si>
  <si>
    <t>9999991810361</t>
  </si>
  <si>
    <t>1810601</t>
  </si>
  <si>
    <t>9999991810601</t>
  </si>
  <si>
    <t>1820105</t>
  </si>
  <si>
    <t>Crème pour les Mains Régénérante - 50 ml*DLV 09/24* - 25 %*</t>
  </si>
  <si>
    <t>18201059999</t>
  </si>
  <si>
    <t>1820310</t>
  </si>
  <si>
    <t>Crème de Jour Régénérante Eclat du Teint - 40 ml</t>
  </si>
  <si>
    <t>1820704</t>
  </si>
  <si>
    <t>Sérum Huile Régénérant Intensif - 20 ml*DLV 05/25*-20%*</t>
  </si>
  <si>
    <t>1820717</t>
  </si>
  <si>
    <t>Sérum Contour des Yeux - Régénérant Intensif -15 ml*DLV 07/25*-10%*</t>
  </si>
  <si>
    <t>1820718</t>
  </si>
  <si>
    <t>Sérum de Nuit - Régénérant Intensif - 30 ml*DLV 06/2025*-20%*</t>
  </si>
  <si>
    <t>182071899999</t>
  </si>
  <si>
    <t>1820719</t>
  </si>
  <si>
    <t>Huile Fortifiante - Régénérant Intensif - 20ml -20% DLV 03/2027</t>
  </si>
  <si>
    <t>1830102</t>
  </si>
  <si>
    <t>Lait Crème pour le Corps Lavande Bois de Santal - 145 ml*DLV 11/24* - 15 %*</t>
  </si>
  <si>
    <t>18301029999</t>
  </si>
  <si>
    <t>1830123</t>
  </si>
  <si>
    <t>Lait Crème pour le Corps Lavande Bois de Santal - 50 ml*DLV 01/25*</t>
  </si>
  <si>
    <t>4020829095793</t>
  </si>
  <si>
    <t>1830125</t>
  </si>
  <si>
    <t>Lait Crème pour le Corps Rose - 50 ml</t>
  </si>
  <si>
    <t>4020829100367</t>
  </si>
  <si>
    <t>1830126</t>
  </si>
  <si>
    <t>Lait Crème pour le Corps Lavande Bois de Santal - 30 ml</t>
  </si>
  <si>
    <t>4020829100381</t>
  </si>
  <si>
    <t>1830127</t>
  </si>
  <si>
    <t>Lait Crème pour le Corps Amande - 50 ml</t>
  </si>
  <si>
    <t>4020829100374</t>
  </si>
  <si>
    <t>1830308</t>
  </si>
  <si>
    <t>Huile au Neem pour les Ongles - 18 ml*DLV 08/25* - 15 %*</t>
  </si>
  <si>
    <t>1830502</t>
  </si>
  <si>
    <t>Lait Après-Soleil 150 ml*DLV 06/2025*- 30%*</t>
  </si>
  <si>
    <t>183050299999</t>
  </si>
  <si>
    <t>1830601</t>
  </si>
  <si>
    <t>9999991830601</t>
  </si>
  <si>
    <t>1840202</t>
  </si>
  <si>
    <t>Bain Moor Lavande - 100 ml*DLV 11/25* - 10 %*</t>
  </si>
  <si>
    <t>184020299999</t>
  </si>
  <si>
    <t>1840205</t>
  </si>
  <si>
    <t>Bain Sauge - 100 ml (copie)</t>
  </si>
  <si>
    <t>1840205999999</t>
  </si>
  <si>
    <t>1840221</t>
  </si>
  <si>
    <t>Bain Caprices des saisons - 100 ml*DLV 01/2026*- 10%*</t>
  </si>
  <si>
    <t>1840221999999</t>
  </si>
  <si>
    <t>1840225</t>
  </si>
  <si>
    <t>Bain Rose - 100 ml * DLV 01/2026* - 10%*</t>
  </si>
  <si>
    <t>184022599999</t>
  </si>
  <si>
    <t>1850502</t>
  </si>
  <si>
    <t>Shampooing à la Ficoïde à Cristaux - 150 ml*DLV 11/24*-15 %*</t>
  </si>
  <si>
    <t>105050299999</t>
  </si>
  <si>
    <t>1850506</t>
  </si>
  <si>
    <t>Masque pour le Cuir Chevelu aux Graines de Courge - 25 ml*DLV 09/24* - 25%*</t>
  </si>
  <si>
    <t>185050699999</t>
  </si>
  <si>
    <t>1860124</t>
  </si>
  <si>
    <t>Mascara Longue Tenue 02 brun -20% DLV 03/2027</t>
  </si>
  <si>
    <t>1860531</t>
  </si>
  <si>
    <t>Crayon à Sourcils 01 brun clair *DLV 11/26*</t>
  </si>
  <si>
    <t>1860733</t>
  </si>
  <si>
    <t>Baume Stick Lèvres et Joues 04 doré *DLV 11/26* -10%</t>
  </si>
  <si>
    <t>1861026</t>
  </si>
  <si>
    <t>Fond de Teint 06 noix*DLV 11/25*- 20%*</t>
  </si>
  <si>
    <t>1861026999999</t>
  </si>
  <si>
    <t>1861027</t>
  </si>
  <si>
    <t>Fond de teint - 001 cajou*DLV 01/26*- 20%</t>
  </si>
  <si>
    <t>1861027999999</t>
  </si>
  <si>
    <t>2010101</t>
  </si>
  <si>
    <t>Cabine - Crème Purifiante - 100 ml</t>
  </si>
  <si>
    <t>4020829005143</t>
  </si>
  <si>
    <t>2010352</t>
  </si>
  <si>
    <t>Cabine - Huile Equilibrante pour le visage -18 ml</t>
  </si>
  <si>
    <t>9999992010352</t>
  </si>
  <si>
    <t>2010501</t>
  </si>
  <si>
    <t>Cabine - Baume Contour des Yeux - 10 ml</t>
  </si>
  <si>
    <t>9999992010501</t>
  </si>
  <si>
    <t>2010505</t>
  </si>
  <si>
    <t>Cabine - Lotion Fraîcheur pour les Yeux - 50 x 5 ml</t>
  </si>
  <si>
    <t>4020829077072</t>
  </si>
  <si>
    <t>2010602</t>
  </si>
  <si>
    <t>Cabine - Baume pour les Lèvres - 4,5 ml</t>
  </si>
  <si>
    <t>9999992010602</t>
  </si>
  <si>
    <t>2010701</t>
  </si>
  <si>
    <t>Cabine - Cure Intensive pour la Nuit 50 amp.</t>
  </si>
  <si>
    <t>9999992010701</t>
  </si>
  <si>
    <t>2010703</t>
  </si>
  <si>
    <t>Cabine - Cure Intensive Jour/Nuit pour Peaux Sensibles 50 amp.</t>
  </si>
  <si>
    <t>9999992010703</t>
  </si>
  <si>
    <t>2010705</t>
  </si>
  <si>
    <t>Cabine - Bain de Vapeur pour le Visage - 100 ml</t>
  </si>
  <si>
    <t>9999992010705</t>
  </si>
  <si>
    <t>2010706</t>
  </si>
  <si>
    <t>Cabine - Masque Purifiant - 5 x 90 g</t>
  </si>
  <si>
    <t>4020829004955</t>
  </si>
  <si>
    <t>2010707</t>
  </si>
  <si>
    <t>Cabine - Masque Revitalisant - 100 ml</t>
  </si>
  <si>
    <t>4020829004726</t>
  </si>
  <si>
    <t>2010709</t>
  </si>
  <si>
    <t>Cabine - Masque Apaisant - 100 ml</t>
  </si>
  <si>
    <t>4020829004719</t>
  </si>
  <si>
    <t>2010710</t>
  </si>
  <si>
    <t>Cabine - Masque Restructurant - 100 ml</t>
  </si>
  <si>
    <t>4020829004702</t>
  </si>
  <si>
    <t>2010717</t>
  </si>
  <si>
    <t>Cabine - Masque Crème Nourrissant - 100 ml</t>
  </si>
  <si>
    <t>4020829041325</t>
  </si>
  <si>
    <t>2010727</t>
  </si>
  <si>
    <t>Cabine - Cure Revitalisante &amp; Stimulante 28 ampoules x 2ml</t>
  </si>
  <si>
    <t>2010728</t>
  </si>
  <si>
    <t>Cabine - Cure Apaisante &amp; Équilibrante 28 ampoules x 2 ml</t>
  </si>
  <si>
    <t>2030201</t>
  </si>
  <si>
    <t>Cabine - Huile de Soin Rose - 75 ml</t>
  </si>
  <si>
    <t>9999992030201</t>
  </si>
  <si>
    <t>2030202</t>
  </si>
  <si>
    <t xml:space="preserve">Cabine - Huile de Soin Prunelle - 75 ml   </t>
  </si>
  <si>
    <t>9999992030202</t>
  </si>
  <si>
    <t>2030203</t>
  </si>
  <si>
    <t>Cabine - Huile de Soin Citron Citronnelle - 75 ml</t>
  </si>
  <si>
    <t>9999992030203</t>
  </si>
  <si>
    <t>2030204</t>
  </si>
  <si>
    <t>Cabine - Huile de Soin Bouleau Arnica - 75 ml</t>
  </si>
  <si>
    <t>9999992030204</t>
  </si>
  <si>
    <t>2030206</t>
  </si>
  <si>
    <t>Cabine - Huile de Soin Moor Lavande - 75 ml</t>
  </si>
  <si>
    <t>9999992030206</t>
  </si>
  <si>
    <t>2030301</t>
  </si>
  <si>
    <t>Cabine - Crème pour les Mains - 100 ml</t>
  </si>
  <si>
    <t>4020829005693</t>
  </si>
  <si>
    <t>2030308</t>
  </si>
  <si>
    <t>Cabine - Huile au Neem pour les Ongles - 18 ml</t>
  </si>
  <si>
    <t>9999992030308</t>
  </si>
  <si>
    <t>2030408</t>
  </si>
  <si>
    <t>Cabine - Crème Déodorante pour les Pieds - 30 ml - nouvelle</t>
  </si>
  <si>
    <t>2040201</t>
  </si>
  <si>
    <t>Cabine - Bain Rose - 100 ml</t>
  </si>
  <si>
    <t>9999992040201</t>
  </si>
  <si>
    <t>2040202</t>
  </si>
  <si>
    <t xml:space="preserve">Cabine - Bain Moor Lavande - 100 ml </t>
  </si>
  <si>
    <t>9999992040202</t>
  </si>
  <si>
    <t>2040205</t>
  </si>
  <si>
    <t>Cabine - Bain à la Sauge - 100 ml</t>
  </si>
  <si>
    <t>9999992040205</t>
  </si>
  <si>
    <t>2040221</t>
  </si>
  <si>
    <t xml:space="preserve">Cabine - Bain Caprice des saisons - 100 ml </t>
  </si>
  <si>
    <t>9999992040221</t>
  </si>
  <si>
    <t>2050103</t>
  </si>
  <si>
    <t>Cabine - Crème pour les Mains à la Ficoïde à Cristaux - 50 ml</t>
  </si>
  <si>
    <t>9999992050103</t>
  </si>
  <si>
    <t>2050104</t>
  </si>
  <si>
    <t>Cabine - Lait Corporel à la Ficoïde à Cristaux - 145 ml</t>
  </si>
  <si>
    <t>2050202</t>
  </si>
  <si>
    <t>Cabine - Crème pour le visage à la Ficoïde à Cristaux - 40 ml</t>
  </si>
  <si>
    <t>9999992050202</t>
  </si>
  <si>
    <t>2050203</t>
  </si>
  <si>
    <t>Cabine - Crème Potentilla Ultra-Apaisante - 20 ml</t>
  </si>
  <si>
    <t>9999992050203</t>
  </si>
  <si>
    <t>2050204</t>
  </si>
  <si>
    <t>Cabine - Crème Intensive à la Ficoïde à Cristaux - 50 ml</t>
  </si>
  <si>
    <t>2080401</t>
  </si>
  <si>
    <t>T-Shirt Dr. Hauschka Blanc - taille S</t>
  </si>
  <si>
    <t>9999992080401</t>
  </si>
  <si>
    <t>2080402</t>
  </si>
  <si>
    <t>T-Shirt Dr. Hauschka Blanc - taille M</t>
  </si>
  <si>
    <t>9999992080402</t>
  </si>
  <si>
    <t>2080403</t>
  </si>
  <si>
    <t>T-Shirt Dr. Hauschka Blanc - taille L</t>
  </si>
  <si>
    <t>9999992080403</t>
  </si>
  <si>
    <t>2080404</t>
  </si>
  <si>
    <t>T-Shirt Dr. Hauschka Blanc - taille XS</t>
  </si>
  <si>
    <t>9999992080404</t>
  </si>
  <si>
    <t>2080405</t>
  </si>
  <si>
    <t>T-Shirt Dr. Hauschka Blanc - taille XL</t>
  </si>
  <si>
    <t>9999992080405</t>
  </si>
  <si>
    <t>2080408</t>
  </si>
  <si>
    <t>T-Shirt Dr. Hauschka Noir - taille L</t>
  </si>
  <si>
    <t>9999992080408</t>
  </si>
  <si>
    <t>2080410</t>
  </si>
  <si>
    <t>T-Shirt Dr. Hauschka Noir - taille XL</t>
  </si>
  <si>
    <t>9999992080410</t>
  </si>
  <si>
    <t>2080415</t>
  </si>
  <si>
    <t>Blouse esthéticienne - taille M</t>
  </si>
  <si>
    <t>9999992080415</t>
  </si>
  <si>
    <t>2080416</t>
  </si>
  <si>
    <t>Blouse esthéticienne - taille L</t>
  </si>
  <si>
    <t>9999992080416</t>
  </si>
  <si>
    <t>2080417</t>
  </si>
  <si>
    <t>Blouse esthéticienne - taille XS</t>
  </si>
  <si>
    <t>9999992080417</t>
  </si>
  <si>
    <t>2080418</t>
  </si>
  <si>
    <t>Blouse esthéticienne - taille XL</t>
  </si>
  <si>
    <t>9999992080418</t>
  </si>
  <si>
    <t>2080421</t>
  </si>
  <si>
    <t>T-Shirt Dr. Hauschka Maquillage 2017 - taille L</t>
  </si>
  <si>
    <t>9999992080421</t>
  </si>
  <si>
    <t>2080422</t>
  </si>
  <si>
    <t>T-Shirt Dr. Hauschka Maquillage 2017 - taille XL</t>
  </si>
  <si>
    <t>9999992080422</t>
  </si>
  <si>
    <t>2080423</t>
  </si>
  <si>
    <t>T-Shirt Dr. Hauschka Maquillage 2017 - taille XS</t>
  </si>
  <si>
    <t>9999992080423</t>
  </si>
  <si>
    <t>2080425</t>
  </si>
  <si>
    <t>Drap de douche 70 x 140 cm</t>
  </si>
  <si>
    <t>9999992080425</t>
  </si>
  <si>
    <t>2080426</t>
  </si>
  <si>
    <t>Serviette de toilette 50 x 100 cm</t>
  </si>
  <si>
    <t>9999992080426</t>
  </si>
  <si>
    <t>2080427</t>
  </si>
  <si>
    <t>Carré mains 30 x 30 cm</t>
  </si>
  <si>
    <t>9999992080427</t>
  </si>
  <si>
    <t>2080428</t>
  </si>
  <si>
    <t>Tshirt institut - taille 36</t>
  </si>
  <si>
    <t>208042899999</t>
  </si>
  <si>
    <t>2080429</t>
  </si>
  <si>
    <t>Tshirt institut - taille 38</t>
  </si>
  <si>
    <t>208042999999</t>
  </si>
  <si>
    <t>2080430</t>
  </si>
  <si>
    <t>Tshirt institut - taille 40</t>
  </si>
  <si>
    <t>208043099999</t>
  </si>
  <si>
    <t>2080431</t>
  </si>
  <si>
    <t>Tshirt institut - taille 42</t>
  </si>
  <si>
    <t>208043199999</t>
  </si>
  <si>
    <t>2080432</t>
  </si>
  <si>
    <t>Tshirt institut - taille 44</t>
  </si>
  <si>
    <t>208043299999</t>
  </si>
  <si>
    <t>2080433</t>
  </si>
  <si>
    <t>Tshirt institut - taille 46</t>
  </si>
  <si>
    <t>208043399999</t>
  </si>
  <si>
    <t>2080434</t>
  </si>
  <si>
    <t>Tshirt institut - taille 50</t>
  </si>
  <si>
    <t>208043499999</t>
  </si>
  <si>
    <t>3010101</t>
  </si>
  <si>
    <t>Testeur - Crème Purifiante pour le Visage 50 ml - 15% comprise</t>
  </si>
  <si>
    <t>4020829004610</t>
  </si>
  <si>
    <t>3010102</t>
  </si>
  <si>
    <t>Testeur - Lait Démaquillant et Nettoyant 145 ml - 15% comprise</t>
  </si>
  <si>
    <t>4020829006072</t>
  </si>
  <si>
    <t>3010110</t>
  </si>
  <si>
    <t>Testeur - Démaquillant pour les Yeux 75 ml - 15% comprise</t>
  </si>
  <si>
    <t>4020829063174</t>
  </si>
  <si>
    <t>3010116</t>
  </si>
  <si>
    <t>Testeur - Baume Lacté Nettoyant - 75 ml - 15% comprise</t>
  </si>
  <si>
    <t>4020829094079</t>
  </si>
  <si>
    <t>3010117</t>
  </si>
  <si>
    <t>Testeur - Baume Lacté Nettoyant - 30 ml</t>
  </si>
  <si>
    <t>4020829094208</t>
  </si>
  <si>
    <t>3010119</t>
  </si>
  <si>
    <t>Testeur - Crème Purifiante pour le Visage 50 ml Edition Limitée 2024 - 15% comprise</t>
  </si>
  <si>
    <t>4020829104495</t>
  </si>
  <si>
    <t>3010201</t>
  </si>
  <si>
    <t>Testeur - Lotion Tonifiante 100 ml - 15% comprise</t>
  </si>
  <si>
    <t>4020829005204</t>
  </si>
  <si>
    <t>3010202</t>
  </si>
  <si>
    <t>Testeur - Lotion Clarifiante 100 ml - 15% comprise</t>
  </si>
  <si>
    <t>4020829004603</t>
  </si>
  <si>
    <t>3010209</t>
  </si>
  <si>
    <t>Testeur - Sérum Tonifiant Nuit 20 ml  - 15% comprise</t>
  </si>
  <si>
    <t>4020829062658</t>
  </si>
  <si>
    <t>3010213</t>
  </si>
  <si>
    <t>Testeur - Lotion Tonifiante 100 ml Edition Limitée 2024 - 15% comprise</t>
  </si>
  <si>
    <t>4020829104518</t>
  </si>
  <si>
    <t>3010214</t>
  </si>
  <si>
    <t>Testeur - Sérum Hydratant Plus - 30 ml</t>
  </si>
  <si>
    <t>3010302</t>
  </si>
  <si>
    <t>Testeur - Crème de Jour Légère à la Rose 30 ml - 15% comprise</t>
  </si>
  <si>
    <t>4020829006775</t>
  </si>
  <si>
    <t>3010305</t>
  </si>
  <si>
    <t>Testeur - Crème de Jour au Coing 30 ml - 15% comprise</t>
  </si>
  <si>
    <t>4020829005761</t>
  </si>
  <si>
    <t>3010306</t>
  </si>
  <si>
    <t>Testeur - Crème de Jour à la Mélisse 30 ml  - 15% comprise</t>
  </si>
  <si>
    <t>4020829008809</t>
  </si>
  <si>
    <t>3010310</t>
  </si>
  <si>
    <t>Testeur - Crème de Jour à la Rose 30 ml - 15% comprise</t>
  </si>
  <si>
    <t>4020829006225</t>
  </si>
  <si>
    <t>3010320</t>
  </si>
  <si>
    <t>Testeur - Crème de Jour Teintée 30 ml - 15% comprise</t>
  </si>
  <si>
    <t>4020829039087</t>
  </si>
  <si>
    <t>3010353</t>
  </si>
  <si>
    <t>Testeur - Emulsion Teintée - 18 ml - 15 % comprise</t>
  </si>
  <si>
    <t>4020829072831</t>
  </si>
  <si>
    <t>3010359</t>
  </si>
  <si>
    <t>Testeur - Fluide de Jour Revitalisant - 50 ml - 15% compris</t>
  </si>
  <si>
    <t>4020829080591</t>
  </si>
  <si>
    <t>3010360</t>
  </si>
  <si>
    <t>Testeur - Fluide de Jour Apaisant - 50 ml - 15% compris</t>
  </si>
  <si>
    <t>4020829080607</t>
  </si>
  <si>
    <t>3010361</t>
  </si>
  <si>
    <t>Testeur - Fluide de Jour Equilibrant  - 50 ml -15% compris</t>
  </si>
  <si>
    <t>4020829080652</t>
  </si>
  <si>
    <t>3010374</t>
  </si>
  <si>
    <t>Testeur - Fluide Apaisant 50ml Edition Limitée 2023</t>
  </si>
  <si>
    <t>4020829097148</t>
  </si>
  <si>
    <t>3010375</t>
  </si>
  <si>
    <t>Testeur - Crème de Jour Légère à la Rose 30ml Edition Limitée 2023</t>
  </si>
  <si>
    <t>4020829097131</t>
  </si>
  <si>
    <t>3010377</t>
  </si>
  <si>
    <t>Testeur - Crème de Jour à l'Abricot - 30 ml - 15% comprise</t>
  </si>
  <si>
    <t>4020829100671</t>
  </si>
  <si>
    <t>3010382</t>
  </si>
  <si>
    <t>Testeur - Crème de Jour Légère à la Rose Edition Limitée 30 ml 2024 - 15% comprise</t>
  </si>
  <si>
    <t>4020829104488</t>
  </si>
  <si>
    <t>3010384</t>
  </si>
  <si>
    <t>Testeur - Crème de Jour Légère à la Rose 30 ml Édition Limitée 2025 - 15% comprise</t>
  </si>
  <si>
    <t>4020829109391</t>
  </si>
  <si>
    <t>3010390</t>
  </si>
  <si>
    <t>Testeur - Fluide de Jour Revitalisant 75 ml - Édition Limitée 2026</t>
  </si>
  <si>
    <t>4020829115972</t>
  </si>
  <si>
    <t>3010391</t>
  </si>
  <si>
    <t>Testeur - Crème Purifiante pour le Visage 75 ml - Édition Limitée 2026</t>
  </si>
  <si>
    <t>4020829115989</t>
  </si>
  <si>
    <t>3010392</t>
  </si>
  <si>
    <t>Testeur - Crème pour les Mains 75 ml - Édition Limitée 2026</t>
  </si>
  <si>
    <t>4020829115996</t>
  </si>
  <si>
    <t>3010406</t>
  </si>
  <si>
    <t>Testeur - Stick Correcteur 01 - 1.9 g - 15% comprise</t>
  </si>
  <si>
    <t>4020829095038</t>
  </si>
  <si>
    <t>3010407</t>
  </si>
  <si>
    <t>Testeur - Stick Correcteur 02 - 1.9 g - 15% comprise</t>
  </si>
  <si>
    <t>4020829095045</t>
  </si>
  <si>
    <t>3010503</t>
  </si>
  <si>
    <t>Testeur - Crème Fluide Contour des Yeux 12,5 ml - 15% comprise</t>
  </si>
  <si>
    <t>4020829006461</t>
  </si>
  <si>
    <t>3010707</t>
  </si>
  <si>
    <t>Testeur - Masque Revitalisant 30 ml - 15% comprise</t>
  </si>
  <si>
    <t>4020829007208</t>
  </si>
  <si>
    <t>3010709</t>
  </si>
  <si>
    <t>Testeur - Masque Apaisant 30 ml - 15% comprise</t>
  </si>
  <si>
    <t>4020829007321</t>
  </si>
  <si>
    <t>3010710</t>
  </si>
  <si>
    <t>Testeur - Masque Restructurant 30 ml - 15% comprise</t>
  </si>
  <si>
    <t>4020829007260</t>
  </si>
  <si>
    <t>3010711</t>
  </si>
  <si>
    <t>Testeur - Cure Intensive Clarifiante (avant 25 ans) 40 ml - 15% comprise</t>
  </si>
  <si>
    <t>4020829007017</t>
  </si>
  <si>
    <t>3010717</t>
  </si>
  <si>
    <t>Testeur - Masque Crème Nourrissant 30 ml - 15% comprise</t>
  </si>
  <si>
    <t>4020829041301</t>
  </si>
  <si>
    <t>3010724</t>
  </si>
  <si>
    <t>Testeur - Cure Intensive Clarifiante (avant 25 ans) - 40 ml - 15% comprise</t>
  </si>
  <si>
    <t>4020829097674</t>
  </si>
  <si>
    <t>3010725</t>
  </si>
  <si>
    <t>Testeur - Cure Intensive Clarifiante (à partir de 25 ans) - 40 ml - 15% comprise</t>
  </si>
  <si>
    <t>4020829097667</t>
  </si>
  <si>
    <t>3010726</t>
  </si>
  <si>
    <t>Testeur- - Cure Intensive pour Peaux Réactives - 40 ml - 15% comprise</t>
  </si>
  <si>
    <t>4020829097698</t>
  </si>
  <si>
    <t>3020101</t>
  </si>
  <si>
    <t>Testeur - Lait pour le Corps Régénérant 150 ml - 15% comprise</t>
  </si>
  <si>
    <t>4020829008458</t>
  </si>
  <si>
    <t>3020102</t>
  </si>
  <si>
    <t>Testeur - Crème Mains Régénérante 50 ml - 15% comprise</t>
  </si>
  <si>
    <t>4020829051270</t>
  </si>
  <si>
    <t>3020107</t>
  </si>
  <si>
    <t>Testeur - Lait pour le Corps - Régénérant - 150ml - 15% comprise</t>
  </si>
  <si>
    <t>4020829103191</t>
  </si>
  <si>
    <t>3020201</t>
  </si>
  <si>
    <t>Testeur - Sérum Régénérant Jour/Nuit 30 ml - 15% comprise</t>
  </si>
  <si>
    <t>4020829007093</t>
  </si>
  <si>
    <t>3020202</t>
  </si>
  <si>
    <t>Testeur - Sérum Jour / Nuit - Régénérant 30ml - 15% comprise</t>
  </si>
  <si>
    <t>4020829103146</t>
  </si>
  <si>
    <t>3020301</t>
  </si>
  <si>
    <t>Testeur - Crème de Jour Régénérante 40 ml - 15% comprise</t>
  </si>
  <si>
    <t>4020829007123</t>
  </si>
  <si>
    <t>3020302</t>
  </si>
  <si>
    <t>Testeur - Crème Régénérante Cou et Décolleté 40 ml - 15% comprise</t>
  </si>
  <si>
    <t>4020829008397</t>
  </si>
  <si>
    <t>3020310</t>
  </si>
  <si>
    <t>Testeur - Crème de Jour Régénérante Eclat du Teint 40 ml - 15% comprise</t>
  </si>
  <si>
    <t>4020829061026</t>
  </si>
  <si>
    <t>3020401</t>
  </si>
  <si>
    <t>Testeur - Crème Régénérante Contour des Yeux 15 ml - 15% comprise</t>
  </si>
  <si>
    <t>4020829013940</t>
  </si>
  <si>
    <t>3020717</t>
  </si>
  <si>
    <t>Testeur - Sérum Contour des Yeux - Régénérant Intensif -15 ml - 15% comprise</t>
  </si>
  <si>
    <t>4020829101098</t>
  </si>
  <si>
    <t>3020718</t>
  </si>
  <si>
    <t>Testeur - Sérum de Nuit - Régénérant Intensif 30ml - 15% comprise</t>
  </si>
  <si>
    <t>4020829101142</t>
  </si>
  <si>
    <t>3020719</t>
  </si>
  <si>
    <t>Testeur - Huile Fortifiante - Régénérant Intensif - 20ml - 15% comprise</t>
  </si>
  <si>
    <t>4020829103061</t>
  </si>
  <si>
    <t>3020720</t>
  </si>
  <si>
    <t>Testeur - Crème de Jour - Régénérant Intensif - 40ml - 15 % comprise</t>
  </si>
  <si>
    <t>4020829103207</t>
  </si>
  <si>
    <t>3020721</t>
  </si>
  <si>
    <t>Testeur - Cure Fortifiante - Régénérant - 40ml - 15% comprise</t>
  </si>
  <si>
    <t>4020829103016</t>
  </si>
  <si>
    <t>3020722</t>
  </si>
  <si>
    <t>Testeur - Cure Intensive Rééquilibrante - Régénérant Intensif 40ml - 15% comprise</t>
  </si>
  <si>
    <t>4020829103009</t>
  </si>
  <si>
    <t>3030101</t>
  </si>
  <si>
    <t>Testeur - Lait Crème pour le Corps Rose 145 ml - 15% comprise</t>
  </si>
  <si>
    <t>4020829006782</t>
  </si>
  <si>
    <t>3030102</t>
  </si>
  <si>
    <t>Testeur - Lait Crème pour le Corps Lavande Bois de Santal 145 ml - 15% comprise</t>
  </si>
  <si>
    <t>4020829009189</t>
  </si>
  <si>
    <t>3030104</t>
  </si>
  <si>
    <t>Testeur - Lait Crème pour le Corps Amande 145 ml - 15% comprise</t>
  </si>
  <si>
    <t>4020829009196</t>
  </si>
  <si>
    <t>3030105</t>
  </si>
  <si>
    <t>Testeur - Lait pour le Corps Coing 145 ml - 15% comprise</t>
  </si>
  <si>
    <t>4020829009172</t>
  </si>
  <si>
    <t>3030124</t>
  </si>
  <si>
    <t>Testeur - Lait Crème pour le Corps Lavande Bois de Santal 145ml Ed Limitée 2023</t>
  </si>
  <si>
    <t>4020829097728</t>
  </si>
  <si>
    <t>3030125</t>
  </si>
  <si>
    <t>Testeur - Lait pour le Corps Bergamote Citronnelle - 145 ml - 15% comprise</t>
  </si>
  <si>
    <t>4020829100213</t>
  </si>
  <si>
    <t>3030129</t>
  </si>
  <si>
    <t>Testeur - Lait Crème pour le Corps Rose 145 ml Édition Limitée 2025 - 15% comprise</t>
  </si>
  <si>
    <t>4020829109414</t>
  </si>
  <si>
    <t>3030218</t>
  </si>
  <si>
    <t>Testeur - Huile de Soin Rose 30 ml - 15% comprise</t>
  </si>
  <si>
    <t>4020829033436</t>
  </si>
  <si>
    <t>3030219</t>
  </si>
  <si>
    <t>Testeur - Huile de Soin Prunelle 30 ml - 15% comprise</t>
  </si>
  <si>
    <t>4020829049147</t>
  </si>
  <si>
    <t>3030220</t>
  </si>
  <si>
    <t>Testeur - Huile de Soin Citron Citronnelle 30 ml - 15% comprise</t>
  </si>
  <si>
    <t>4020829036659</t>
  </si>
  <si>
    <t>3030221</t>
  </si>
  <si>
    <t>Testeur - Huile de Soin Bouleau Arnica 30 ml - 15% comprise</t>
  </si>
  <si>
    <t>4020829049130</t>
  </si>
  <si>
    <t>3030223</t>
  </si>
  <si>
    <t>Testeur - Huile de Soin Moor Lavande 30 ml - 15% comprise</t>
  </si>
  <si>
    <t>4020829036680</t>
  </si>
  <si>
    <t>3030226</t>
  </si>
  <si>
    <t>Testeur - Huile de Soin Rose 30 ml Édition Limitée 2025 - 15% comprise</t>
  </si>
  <si>
    <t>4020829109407</t>
  </si>
  <si>
    <t>3030301</t>
  </si>
  <si>
    <t>Testeur - Crème pour les Mains 50 ml - 15% comprise</t>
  </si>
  <si>
    <t>4020829005679</t>
  </si>
  <si>
    <t>3030310</t>
  </si>
  <si>
    <t>Testeur - Crème pour les Mains 50 ml Edition Limitée 2024 - 15% comprise</t>
  </si>
  <si>
    <t>4020829104501</t>
  </si>
  <si>
    <t>3030311</t>
  </si>
  <si>
    <t>Testeur - Crème pour les Mains 50ml Edition Limitée Noël - 15% comprise 2024</t>
  </si>
  <si>
    <t>4020829106567</t>
  </si>
  <si>
    <t>3030402</t>
  </si>
  <si>
    <t>Testeur - Lotion Tonifiante pour les Jambes 100 ml - 15% comprise</t>
  </si>
  <si>
    <t>4020829004641</t>
  </si>
  <si>
    <t>3030403</t>
  </si>
  <si>
    <t>Testeur - Crème Hydratante pour les Pieds 75 ml - 15% comprise</t>
  </si>
  <si>
    <t>4020829004634</t>
  </si>
  <si>
    <t>3030502</t>
  </si>
  <si>
    <t>Testeur - Lait Après-Soleil 150 ml - 15% comprise</t>
  </si>
  <si>
    <t>4020829087439</t>
  </si>
  <si>
    <t>3030503</t>
  </si>
  <si>
    <t>Testeur - Crème Solaire pour le Visage Teintée SPF 30 - 40ml - 15% comprise</t>
  </si>
  <si>
    <t>4020829088986</t>
  </si>
  <si>
    <t>3030601</t>
  </si>
  <si>
    <t>Testeur - Poudre de Soie 50 g - 15% comprise</t>
  </si>
  <si>
    <t>4020829004665</t>
  </si>
  <si>
    <t>3030703</t>
  </si>
  <si>
    <t>Testeur - Déodorant Rose - 50 ml</t>
  </si>
  <si>
    <t>3030704000000</t>
  </si>
  <si>
    <t>3030704</t>
  </si>
  <si>
    <t>Testeur - Déodorant Sauge Menthe - 50 ml</t>
  </si>
  <si>
    <t>3040224</t>
  </si>
  <si>
    <t>Testeur Bain Moor Lavande 30ml Edition Limitée Noël 2023</t>
  </si>
  <si>
    <t>4020829100145</t>
  </si>
  <si>
    <t>3060121</t>
  </si>
  <si>
    <t>Testeur - Mascara volume 01 noir - 15% comprise</t>
  </si>
  <si>
    <t>4020829099135</t>
  </si>
  <si>
    <t>3060122</t>
  </si>
  <si>
    <t>Testeur - Mascara volume 02 brun - 15% comprise</t>
  </si>
  <si>
    <t>4020829098558</t>
  </si>
  <si>
    <t>3060123</t>
  </si>
  <si>
    <t>Testeur - Mascara Longue Tenue 01 noir - 15% comprise</t>
  </si>
  <si>
    <t>4020829112315</t>
  </si>
  <si>
    <t>3060124</t>
  </si>
  <si>
    <t>Testeur - Mascara Longue Tenue 02 brun - 15% comprise</t>
  </si>
  <si>
    <t>4020829112322</t>
  </si>
  <si>
    <t>3060125</t>
  </si>
  <si>
    <t>Testeur - Mascara Longue Tenue 03 Prune</t>
  </si>
  <si>
    <t>3060130</t>
  </si>
  <si>
    <t>Testeur - Gel Cils &amp; Sourcils 00 transparent - 15% comprise</t>
  </si>
  <si>
    <t>4020829098251</t>
  </si>
  <si>
    <t>3060131</t>
  </si>
  <si>
    <t>Testeur - Mascara Précision 01 noir - 15% comprise</t>
  </si>
  <si>
    <t>4020829098282</t>
  </si>
  <si>
    <t>3060132</t>
  </si>
  <si>
    <t>Testeur - Mascara Précision 02 brun - 15% comprise</t>
  </si>
  <si>
    <t>4020829098299</t>
  </si>
  <si>
    <t>3060250</t>
  </si>
  <si>
    <t>Testeur - Rouge à Lèvres 02 mandevilla - 15% comprise</t>
  </si>
  <si>
    <t>4020829098916</t>
  </si>
  <si>
    <t>3060251</t>
  </si>
  <si>
    <t>Testeur - Rouge à Lèvres 03 camellia - 15% comprise</t>
  </si>
  <si>
    <t>4020829098930</t>
  </si>
  <si>
    <t>3060252</t>
  </si>
  <si>
    <t>Testeur - Rouge à Lèvres 06 azalea - 15% comprise</t>
  </si>
  <si>
    <t>4020829098954</t>
  </si>
  <si>
    <t>3060253</t>
  </si>
  <si>
    <t>Testeur - Rouge à Lèvres 07 orphin - 15% comprise</t>
  </si>
  <si>
    <t>4020829098978</t>
  </si>
  <si>
    <t>3060254</t>
  </si>
  <si>
    <t>Testeur - Rouge à Lèvres 10 dahlia - 15% comprise</t>
  </si>
  <si>
    <t>4020829098992</t>
  </si>
  <si>
    <t>3060255</t>
  </si>
  <si>
    <t>Testeur - Rouge à Lèvres 11 amaryllis - 15% comprise</t>
  </si>
  <si>
    <t>4020829099012</t>
  </si>
  <si>
    <t>3060256</t>
  </si>
  <si>
    <t>Testeur - Rouge à Lèvres 13 bromelia - 15% comprise</t>
  </si>
  <si>
    <t>4020829099036</t>
  </si>
  <si>
    <t>3060257</t>
  </si>
  <si>
    <t>Testeur - Rouge à Lèvres 14 caralluma - 15% comprise</t>
  </si>
  <si>
    <t>4020829099050</t>
  </si>
  <si>
    <t>3060258</t>
  </si>
  <si>
    <t>Testeur - Rouge à Lèvres 22 Calibrachoa - 15% compris</t>
  </si>
  <si>
    <t>4020829099074</t>
  </si>
  <si>
    <t>3060259</t>
  </si>
  <si>
    <t>Testeur - Rouge à Lèvres 26 Hibiscus - 15% compris</t>
  </si>
  <si>
    <t>4020829099098</t>
  </si>
  <si>
    <t>3060260</t>
  </si>
  <si>
    <t>Testeur - Rouge à Lèvres 02 mandevilla Édition Limitée 2025 - 15% comprise</t>
  </si>
  <si>
    <t>4020829111080</t>
  </si>
  <si>
    <t>3060411</t>
  </si>
  <si>
    <t>Testeur - Crayon à Lèvres Precision 00 transparent - 15% comprise</t>
  </si>
  <si>
    <t>4020829098503</t>
  </si>
  <si>
    <t>3060412</t>
  </si>
  <si>
    <t>Testeur - Crayon à Lèvres Precision 01 liriodendron - 15% comprise</t>
  </si>
  <si>
    <t>4020829098510</t>
  </si>
  <si>
    <t>3060413</t>
  </si>
  <si>
    <t>Testeur - Crayon à Lèvres Precision 04 cumaru - 15% comprise</t>
  </si>
  <si>
    <t>4020829098527</t>
  </si>
  <si>
    <t>3060414</t>
  </si>
  <si>
    <t>Testeur - Crayon à Lèvres 01 pêche - Édition Limitée 2026 - 15% comprise</t>
  </si>
  <si>
    <t>4020829116085</t>
  </si>
  <si>
    <t>3060415</t>
  </si>
  <si>
    <t>Testeur - Crayon à Lèvres 02 cerise - Édition Limitée 2026 - 15% comprise</t>
  </si>
  <si>
    <t>4020829116115</t>
  </si>
  <si>
    <t>3060416</t>
  </si>
  <si>
    <t>Testeur - Crayon à Lèvres 03 pamplemousse - Édition Limitée 2026 - 15% comprise</t>
  </si>
  <si>
    <t>4020829116092</t>
  </si>
  <si>
    <t>3060417</t>
  </si>
  <si>
    <t>Testeur - Crayon à Lèvres 04 litchi - Édition Limitée 2026 - 15% comprise</t>
  </si>
  <si>
    <t>4020829116108</t>
  </si>
  <si>
    <t>3060521</t>
  </si>
  <si>
    <t>Testeur - Crayon Contour des Yeux 01 noir - 15% comprise</t>
  </si>
  <si>
    <t>4020829098305</t>
  </si>
  <si>
    <t>3060522</t>
  </si>
  <si>
    <t>Testeur - Crayon Contour des Yeux 02 brun - 15% comprise</t>
  </si>
  <si>
    <t>4020829098312</t>
  </si>
  <si>
    <t>3060523</t>
  </si>
  <si>
    <t>Testeur - Crayon Contour des Yeux 05 taupe - 15% comprise</t>
  </si>
  <si>
    <t>4020829098329</t>
  </si>
  <si>
    <t>3060531</t>
  </si>
  <si>
    <t>Testeur - Crayon à Sourcils 01 brun clair - 15% comprise</t>
  </si>
  <si>
    <t>4020829097025</t>
  </si>
  <si>
    <t>3060532</t>
  </si>
  <si>
    <t>Testeur - Crayon à Sourcils 02 brun foncé - 15% comprise</t>
  </si>
  <si>
    <t>4020829097049</t>
  </si>
  <si>
    <t>3060605</t>
  </si>
  <si>
    <t>Testeur - Eyeliner liquide 01 noir - 15% comprise</t>
  </si>
  <si>
    <t>4020829098534</t>
  </si>
  <si>
    <t>3060720</t>
  </si>
  <si>
    <t>Testeur - Highlighter 01 - Illuminant -15% inclus</t>
  </si>
  <si>
    <t>4020829098855</t>
  </si>
  <si>
    <t>3060721</t>
  </si>
  <si>
    <t>Testeur - Blush 01 - Framboise -15% inclus</t>
  </si>
  <si>
    <t>4020829098572</t>
  </si>
  <si>
    <t>3060722</t>
  </si>
  <si>
    <t>Testeur - Blush 02 - Abricot -15% inclus</t>
  </si>
  <si>
    <t>4020829098596</t>
  </si>
  <si>
    <t>3060731</t>
  </si>
  <si>
    <t>Testeur - Baume Stick Lèvres et Joues 01 pêche</t>
  </si>
  <si>
    <t>4020829102903</t>
  </si>
  <si>
    <t>3060732</t>
  </si>
  <si>
    <t>Testeur - Baume Stick Lèvres et Joues 03 bois de rose</t>
  </si>
  <si>
    <t>4020829102958</t>
  </si>
  <si>
    <t>3060733</t>
  </si>
  <si>
    <t>Testeur - Baume Stick Lèvres et Joues 04 doré</t>
  </si>
  <si>
    <t>4020829102927</t>
  </si>
  <si>
    <t>3060804</t>
  </si>
  <si>
    <t>Testeur - Poudre Compacte Correctrice 00 transparente - 15% comprise</t>
  </si>
  <si>
    <t>4020829098640</t>
  </si>
  <si>
    <t>3060805</t>
  </si>
  <si>
    <t>Testeur - Poudre Compacte Correctrice - 01 vivifiante - 15 % comprise*</t>
  </si>
  <si>
    <t>4020829098664</t>
  </si>
  <si>
    <t>3060806</t>
  </si>
  <si>
    <t>Testeur - Poudre Compacte Correctrice - 02 apaisante - 15 % comprise*</t>
  </si>
  <si>
    <t>4020829098688</t>
  </si>
  <si>
    <t>3060807</t>
  </si>
  <si>
    <t>Testeur - Poudre Compacte 00 transparente - 15% comprise</t>
  </si>
  <si>
    <t>4020829099166</t>
  </si>
  <si>
    <t>3060822</t>
  </si>
  <si>
    <t>Testeur - Poudre Libre 00 transparente - 15% comprise</t>
  </si>
  <si>
    <t>4020829098541</t>
  </si>
  <si>
    <t>3060823</t>
  </si>
  <si>
    <t>Testeur - Poudre Bronzante 01 bronze - 15% comprise</t>
  </si>
  <si>
    <t>4020829098619</t>
  </si>
  <si>
    <t>3060910</t>
  </si>
  <si>
    <t>Testeur - Concealer éclat 00 transparent - 15% comprise</t>
  </si>
  <si>
    <t>4020829098497</t>
  </si>
  <si>
    <t>3060911</t>
  </si>
  <si>
    <t>Testeur - Concealer 01 macadamia - 15% comprise</t>
  </si>
  <si>
    <t>4020829098268</t>
  </si>
  <si>
    <t>3060912</t>
  </si>
  <si>
    <t>Testeur - Concealer 02 châtaigne - 15% comprise</t>
  </si>
  <si>
    <t>4020829098275</t>
  </si>
  <si>
    <t>3061021</t>
  </si>
  <si>
    <t>Testeur - Fond de Teint 01 macadamia - 15% comprise</t>
  </si>
  <si>
    <t>4020829098381</t>
  </si>
  <si>
    <t>3061022</t>
  </si>
  <si>
    <t>Testeur - Fond de Teint 02 amande - 15% comprise</t>
  </si>
  <si>
    <t>4020829098404</t>
  </si>
  <si>
    <t>3061023</t>
  </si>
  <si>
    <t>Testeur - Fond de Teint 03 châtaigne - 15% comprise</t>
  </si>
  <si>
    <t>4020829098428</t>
  </si>
  <si>
    <t>3061024</t>
  </si>
  <si>
    <t>Testeur - Fond de Teint 04 noisette - 15% comprise</t>
  </si>
  <si>
    <t>4020829098442</t>
  </si>
  <si>
    <t>3061025</t>
  </si>
  <si>
    <t>Testeur - Fond de Teint 05 muscade - 15% comprise</t>
  </si>
  <si>
    <t>4020829098466</t>
  </si>
  <si>
    <t>3061026</t>
  </si>
  <si>
    <t>Testeur - Fond de Teint 06 noix - 15% comprise</t>
  </si>
  <si>
    <t>4020829098480</t>
  </si>
  <si>
    <t>3061027</t>
  </si>
  <si>
    <t>Testeur - Fond de teint - 001 cajou - 15 % comprise*</t>
  </si>
  <si>
    <t>4020829098343</t>
  </si>
  <si>
    <t>3061028</t>
  </si>
  <si>
    <t>Testeur - Fond de teint - 002 pignon de pin - 15 % comprise*</t>
  </si>
  <si>
    <t>4020829098367</t>
  </si>
  <si>
    <t>3061029</t>
  </si>
  <si>
    <t>Testeur - Fluide Eclat - 15% comprise</t>
  </si>
  <si>
    <t>4020829099180</t>
  </si>
  <si>
    <t>3061121</t>
  </si>
  <si>
    <t>Testeur - Ombre à paupières 04 verdélite - 15% comprise</t>
  </si>
  <si>
    <t>4020829098794</t>
  </si>
  <si>
    <t>3061122</t>
  </si>
  <si>
    <t>Testeur - Ombre à paupières 07 aigue-marine - 15% comprise</t>
  </si>
  <si>
    <t>4020829098817</t>
  </si>
  <si>
    <t>3061123</t>
  </si>
  <si>
    <t>Testeur - Ombre à paupières 08 topaze dorée - 15% comprise</t>
  </si>
  <si>
    <t>4020829098831</t>
  </si>
  <si>
    <t>3061133</t>
  </si>
  <si>
    <t>Testeur - Palette Yeux &amp; Sourcils 01 caillou - 15% comprise</t>
  </si>
  <si>
    <t>4020829098749</t>
  </si>
  <si>
    <t>3061200</t>
  </si>
  <si>
    <t>Testeurs - Palette Maquillage</t>
  </si>
  <si>
    <t>4010101</t>
  </si>
  <si>
    <t>Miniature - Crème Purifiante pour le Visage - 10 ml</t>
  </si>
  <si>
    <t>4020829005150</t>
  </si>
  <si>
    <t>4010102</t>
  </si>
  <si>
    <t>Miniature - Lait Démaquillant et Nettoyant - 10 ml</t>
  </si>
  <si>
    <t>4020829006034</t>
  </si>
  <si>
    <t>4010201</t>
  </si>
  <si>
    <t>Miniature - Lotion Tonifiante avec spray - 10 ml</t>
  </si>
  <si>
    <t>4020829038844</t>
  </si>
  <si>
    <t>4010202</t>
  </si>
  <si>
    <t>Miniature - Lotion Clarifiante avec spray - 10 ml</t>
  </si>
  <si>
    <t>4020829038851</t>
  </si>
  <si>
    <t>4010203</t>
  </si>
  <si>
    <t xml:space="preserve">Miniature - Sérum Tonifiant Nuit - 2,5 ml </t>
  </si>
  <si>
    <t>4020829026681</t>
  </si>
  <si>
    <t>4010302</t>
  </si>
  <si>
    <t>Miniature - Crème de Jour Légère à la Rose - 5 ml</t>
  </si>
  <si>
    <t>4020829008144</t>
  </si>
  <si>
    <t>4010305</t>
  </si>
  <si>
    <t>Miniature - Crème de Jour au Coing - 5 ml</t>
  </si>
  <si>
    <t>4020829005655</t>
  </si>
  <si>
    <t>4010306</t>
  </si>
  <si>
    <t>Miniature - Crème de Jour à la Mélisse - 5 ml</t>
  </si>
  <si>
    <t>4020829008939</t>
  </si>
  <si>
    <t>4010307</t>
  </si>
  <si>
    <t>Miniature - Huile Équilibrante pour le Visage - 5 ml</t>
  </si>
  <si>
    <t>4020829006362</t>
  </si>
  <si>
    <t>4010310</t>
  </si>
  <si>
    <t>Miniature - Crème de Jour à la Rose - 5 ml</t>
  </si>
  <si>
    <t>4020829006232</t>
  </si>
  <si>
    <t>4010320</t>
  </si>
  <si>
    <t>Miniature - Crème de Jour Teintée - 5 ml</t>
  </si>
  <si>
    <t>4020829039094</t>
  </si>
  <si>
    <t>4010353</t>
  </si>
  <si>
    <t>Miniature - Emulsion Teintée - 2,5 ml</t>
  </si>
  <si>
    <t>4020829072848</t>
  </si>
  <si>
    <t>4010359</t>
  </si>
  <si>
    <t>Miniature - Fluide de Jour Revitalisant - 5 ml</t>
  </si>
  <si>
    <t>4020829080539</t>
  </si>
  <si>
    <t>4010361</t>
  </si>
  <si>
    <t>Miniature - Fluide de Jour Equilibrant - 5 ml</t>
  </si>
  <si>
    <t>4020829080669</t>
  </si>
  <si>
    <t>4010377</t>
  </si>
  <si>
    <t>Miniature - Crème de Jour à l'Abricot - 5 ml</t>
  </si>
  <si>
    <t>4020829100688</t>
  </si>
  <si>
    <t>4010505</t>
  </si>
  <si>
    <t>Miniature - Lotion Fraîcheur pour les Yeux - 5 ml</t>
  </si>
  <si>
    <t>4020829077089</t>
  </si>
  <si>
    <t>4010710</t>
  </si>
  <si>
    <t>Miniature - Masque Restructurant - 5 ml</t>
  </si>
  <si>
    <t>4020829007277</t>
  </si>
  <si>
    <t>4010717</t>
  </si>
  <si>
    <t>Miniature - Masque Crème Nourrissant - 5 ml</t>
  </si>
  <si>
    <t>4020829041417</t>
  </si>
  <si>
    <t>4020717</t>
  </si>
  <si>
    <t>Miniature - Sérum Contour des Yeux - Régénérant Intensif 2,5ml</t>
  </si>
  <si>
    <t>4020829101159</t>
  </si>
  <si>
    <t>4020718</t>
  </si>
  <si>
    <t>Miniature - Sérum de Nuit - Régénérant Intensif 30ml 2,5ml</t>
  </si>
  <si>
    <t>4020829101166</t>
  </si>
  <si>
    <t>4030201</t>
  </si>
  <si>
    <t>Miniature - Huile de Soin Rose - 10 ml</t>
  </si>
  <si>
    <t>4020829007949</t>
  </si>
  <si>
    <t>4030202</t>
  </si>
  <si>
    <t>Miniature - Huile de Soin Prunelle - 10 ml</t>
  </si>
  <si>
    <t>4020829007956</t>
  </si>
  <si>
    <t>4030204</t>
  </si>
  <si>
    <t>Miniature - Huile de Soin Bouleau Arnica - 10 ml</t>
  </si>
  <si>
    <t>4020829007932</t>
  </si>
  <si>
    <t>4030206</t>
  </si>
  <si>
    <t>Miniature - Huile de Soin Moor Lavande - 10 ml</t>
  </si>
  <si>
    <t>4020829034570</t>
  </si>
  <si>
    <t>4030301</t>
  </si>
  <si>
    <t>Miniature - Crème pour les Mains - 10 ml</t>
  </si>
  <si>
    <t>4020829005686</t>
  </si>
  <si>
    <t>4050203</t>
  </si>
  <si>
    <t>Miniature - Crème Potentilla Ultra-Apaisante - 3 ml</t>
  </si>
  <si>
    <t>4020829069305</t>
  </si>
  <si>
    <t>4050506</t>
  </si>
  <si>
    <t>Miniature - Masque pour le Cuir Chevelu aux Graines de Courge - 4ml</t>
  </si>
  <si>
    <t>4020829085855</t>
  </si>
  <si>
    <t>4060101</t>
  </si>
  <si>
    <t>Miniature Mascara volume 01 Noir 3ml</t>
  </si>
  <si>
    <t>4020829061866</t>
  </si>
  <si>
    <t>4061029</t>
  </si>
  <si>
    <t>Miniature Fluide Éclat 5 ml</t>
  </si>
  <si>
    <t>4020829102187</t>
  </si>
  <si>
    <t>410004348</t>
  </si>
  <si>
    <t>Cache pour présentoir à maquillage</t>
  </si>
  <si>
    <t>4020829064645</t>
  </si>
  <si>
    <t>410004425</t>
  </si>
  <si>
    <t>Custom Modular Display 1 Module (Limited Edition)</t>
  </si>
  <si>
    <t>999999410004425</t>
  </si>
  <si>
    <t>410004427</t>
  </si>
  <si>
    <t>Custom Modular Display Module Face</t>
  </si>
  <si>
    <t>999999410004427</t>
  </si>
  <si>
    <t>410004428</t>
  </si>
  <si>
    <t>Custom Modular Display Module Lips</t>
  </si>
  <si>
    <t>999999410004428</t>
  </si>
  <si>
    <t>410004429</t>
  </si>
  <si>
    <t>Custom Modular Display Module Eyes</t>
  </si>
  <si>
    <t>999999410004429</t>
  </si>
  <si>
    <t>411433</t>
  </si>
  <si>
    <t>Mouchoirs en papier</t>
  </si>
  <si>
    <t>4020829107458</t>
  </si>
  <si>
    <t>420006090</t>
  </si>
  <si>
    <t>Regenerating Serum 12,5 ml small size (copie)</t>
  </si>
  <si>
    <t>4020829100398</t>
  </si>
  <si>
    <t>420006677</t>
  </si>
  <si>
    <t>Miniature - Sérum de Nuit - Régénérant Intensif 30ml 2,5ml (copie)</t>
  </si>
  <si>
    <t>4020829114364</t>
  </si>
  <si>
    <t>421440</t>
  </si>
  <si>
    <t>Compresses visage pack de 5</t>
  </si>
  <si>
    <t>4020829063617</t>
  </si>
  <si>
    <t>431460</t>
  </si>
  <si>
    <t>Pinceaux pour Stimulation Lymphatique (2)</t>
  </si>
  <si>
    <t>999999431460</t>
  </si>
  <si>
    <t>4810353</t>
  </si>
  <si>
    <t>Miniature - Émulsion Teintée - 2,5 ml édition onpacks 2026</t>
  </si>
  <si>
    <t>4020829116771</t>
  </si>
  <si>
    <t>5000000</t>
  </si>
  <si>
    <t>Kit auto-animation Crème Purifiante pour le Visage</t>
  </si>
  <si>
    <t>500000099999</t>
  </si>
  <si>
    <t>5010102</t>
  </si>
  <si>
    <t>Echantillon - Lait Démaquillant et Nettoyant - 5 ml</t>
  </si>
  <si>
    <t>4020829081253</t>
  </si>
  <si>
    <t>5010116</t>
  </si>
  <si>
    <t>Echantillon - Baume Lacté Nettoyant - 1,5 ml</t>
  </si>
  <si>
    <t>4020829094109</t>
  </si>
  <si>
    <t>5010214</t>
  </si>
  <si>
    <t>Échantillon - Sérum Hydra+ 1,5 ml</t>
  </si>
  <si>
    <t>5010302</t>
  </si>
  <si>
    <t>Echantillon - Crème de Jour Légère à la Rose - 1,5 ml</t>
  </si>
  <si>
    <t>4020829081635</t>
  </si>
  <si>
    <t>5010305</t>
  </si>
  <si>
    <t>Echantillon - Crème de Jour au Coing - 1,5 ml</t>
  </si>
  <si>
    <t>4020829081482</t>
  </si>
  <si>
    <t>5010306</t>
  </si>
  <si>
    <t>Echantillon - Crème de Jour à la Mélisse - 1,5 ml</t>
  </si>
  <si>
    <t>4020829081406</t>
  </si>
  <si>
    <t>5010310</t>
  </si>
  <si>
    <t>Echantillon - Crème de Jour à la Rose - 1,5 ml</t>
  </si>
  <si>
    <t>4020829081550</t>
  </si>
  <si>
    <t>5010311</t>
  </si>
  <si>
    <t>4020829081574</t>
  </si>
  <si>
    <t>5010359</t>
  </si>
  <si>
    <t>Echantillon - Fluide de Jour Revitalisant - 1,5 ml</t>
  </si>
  <si>
    <t>4020829080706</t>
  </si>
  <si>
    <t>5010360</t>
  </si>
  <si>
    <t>Echantillon - Fluide de Jour Apaisant - 1,5 ml</t>
  </si>
  <si>
    <t>4020829080782</t>
  </si>
  <si>
    <t>5010361</t>
  </si>
  <si>
    <t>Echantillon - Fluide de Jour Equilibrant  - 1,5 ml</t>
  </si>
  <si>
    <t>4020829080867</t>
  </si>
  <si>
    <t>5010377</t>
  </si>
  <si>
    <t>Echantillon - Crème de Jour à l'Abricot - 1,5ml</t>
  </si>
  <si>
    <t>4020829100718</t>
  </si>
  <si>
    <t>5010378</t>
  </si>
  <si>
    <t>Echantillon - Crème de Jour à l'Abricot - 1,5ml (Sans Flyer)</t>
  </si>
  <si>
    <t>4020829100695</t>
  </si>
  <si>
    <t>5010503</t>
  </si>
  <si>
    <t>Echantillon - Crème Fluide Contour des Yeux avec fly - 1,5 ml</t>
  </si>
  <si>
    <t>4020829081321</t>
  </si>
  <si>
    <t>5010707</t>
  </si>
  <si>
    <t>Echantillon - Masque Revitalisant - 2,5 ml</t>
  </si>
  <si>
    <t>4020829090866</t>
  </si>
  <si>
    <t>5010710</t>
  </si>
  <si>
    <t>Echantillon - Masque Restructurant avec fly - 2,5 ml</t>
  </si>
  <si>
    <t>9999995010710</t>
  </si>
  <si>
    <t>5020201</t>
  </si>
  <si>
    <t>Echantillon - Sérum Régénérant Jour / Nuit avec fly - 1,5 ml</t>
  </si>
  <si>
    <t>4020829104556</t>
  </si>
  <si>
    <t>5020302</t>
  </si>
  <si>
    <t>Echantillon - Crème de Jour Régénérante  avec fly - 1,5 ml</t>
  </si>
  <si>
    <t>4020829090903</t>
  </si>
  <si>
    <t>5020310</t>
  </si>
  <si>
    <t>Echantillon - Crème de Jour Régénérante Eclat du Teint - 1,5 ml</t>
  </si>
  <si>
    <t>4020829111370</t>
  </si>
  <si>
    <t>5020401</t>
  </si>
  <si>
    <t>Echantillon - Crème Régénérante Contour des Yeux - 1,5 ml</t>
  </si>
  <si>
    <t>4020829081857</t>
  </si>
  <si>
    <t>5020703</t>
  </si>
  <si>
    <t>Echantillon - Crème de Jour Régénérante Intensive - 1,5 ml</t>
  </si>
  <si>
    <t>4020829104600</t>
  </si>
  <si>
    <t>5020704</t>
  </si>
  <si>
    <t xml:space="preserve">Echantillon - Sérum Huile Régénérant Intensif - 1,5 ml </t>
  </si>
  <si>
    <t>4020829074286</t>
  </si>
  <si>
    <t>5020717</t>
  </si>
  <si>
    <t>Echantillon - Sérum Contour des Yeux - Régénérant Intensif 1,5ml</t>
  </si>
  <si>
    <t>4020829100923</t>
  </si>
  <si>
    <t>5020718</t>
  </si>
  <si>
    <t>Echantillon - Sérum de Nuit - Régénérant Intensif 30ml 1,5ml</t>
  </si>
  <si>
    <t>4020829100978</t>
  </si>
  <si>
    <t>5020719</t>
  </si>
  <si>
    <t>Échantillon – Huile Fortifiante – Régénérant Intensif – 1,5 ml</t>
  </si>
  <si>
    <t>4020829104655</t>
  </si>
  <si>
    <t>5030101</t>
  </si>
  <si>
    <t>Echantillon - Lait Crème pour le Corps Rose - 5 ml</t>
  </si>
  <si>
    <t>4020829097919</t>
  </si>
  <si>
    <t>5030125</t>
  </si>
  <si>
    <t>Echantillon - Lait pour le Corps Bergamote Citronnelle - 5 ml</t>
  </si>
  <si>
    <t>4020829100268</t>
  </si>
  <si>
    <t>5030301</t>
  </si>
  <si>
    <t>Echantillon - Crème pour les Mains avec Fly - 2,5 ML</t>
  </si>
  <si>
    <t>4020829082229</t>
  </si>
  <si>
    <t>5030503</t>
  </si>
  <si>
    <t>Echantillon - Crème Solaire pour le Visage Teintée SPF 30 - 1,5 ML</t>
  </si>
  <si>
    <t>4020829089099</t>
  </si>
  <si>
    <t>5050101</t>
  </si>
  <si>
    <t>Echantillon - Lait pour le corps à la Ficoïde à Cristaux - 5 ml + Flyer</t>
  </si>
  <si>
    <t>4020829076266</t>
  </si>
  <si>
    <t>5050103</t>
  </si>
  <si>
    <t>Echantillon - Crème pour les Mains à la Ficoïde à Cristaux - 2,5 ml</t>
  </si>
  <si>
    <t>4020829069879</t>
  </si>
  <si>
    <t>5050201</t>
  </si>
  <si>
    <t>Echantillon - Crème Intensive à la Ficoïde à Cristaux - 1,5 ml</t>
  </si>
  <si>
    <t>4020829092341</t>
  </si>
  <si>
    <t>5050202</t>
  </si>
  <si>
    <t>Echantillon - Crème pour le visage à la Ficoïde à Cristaux - 1.5 ml</t>
  </si>
  <si>
    <t>4020829076297</t>
  </si>
  <si>
    <t>5050501</t>
  </si>
  <si>
    <t>Echantillon Shampooing à la Ficoïde à Cristaux - 10 ml</t>
  </si>
  <si>
    <t>4020829085909</t>
  </si>
  <si>
    <t>5050503</t>
  </si>
  <si>
    <t>Echantillon Masque pour le Cuir Chevelu aux Graines de Courge - 2 ml</t>
  </si>
  <si>
    <t>4020829086050</t>
  </si>
  <si>
    <t>6070101</t>
  </si>
  <si>
    <t>Trousses vide Dr.Hauschka orange/rose</t>
  </si>
  <si>
    <t>6100001</t>
  </si>
  <si>
    <t>Présentoir Soin de Nuit vide</t>
  </si>
  <si>
    <t>4020829024465</t>
  </si>
  <si>
    <t>6100045</t>
  </si>
  <si>
    <t>Présentoir Stick Correcteur vide</t>
  </si>
  <si>
    <t>4020829072749</t>
  </si>
  <si>
    <t>6100048</t>
  </si>
  <si>
    <t xml:space="preserve">Présentoir Soins des Ongles vide </t>
  </si>
  <si>
    <t>4020829072763</t>
  </si>
  <si>
    <t>6100060</t>
  </si>
  <si>
    <t>Présentoir Crème de jour - support vide</t>
  </si>
  <si>
    <t>4020829084650</t>
  </si>
  <si>
    <t>6100077</t>
  </si>
  <si>
    <t>Boîte de présentation -  Baume Lacté Nettoyant 2022</t>
  </si>
  <si>
    <t>99996100077</t>
  </si>
  <si>
    <t>6100078</t>
  </si>
  <si>
    <t>Présentoir de comptoir - Alice in Food pour Dr. Hauschka</t>
  </si>
  <si>
    <t>9999996100078</t>
  </si>
  <si>
    <t>6100079</t>
  </si>
  <si>
    <t>Présentoir Edition Limitée 2023</t>
  </si>
  <si>
    <t>4020829099661</t>
  </si>
  <si>
    <t>6100080</t>
  </si>
  <si>
    <t>Modules pour Testeurs Edition Limitée 2023</t>
  </si>
  <si>
    <t>9999996100080</t>
  </si>
  <si>
    <t>6100081</t>
  </si>
  <si>
    <t>Présentoir Crème de Jour à l'Abricot</t>
  </si>
  <si>
    <t>9999996100181</t>
  </si>
  <si>
    <t>6100082</t>
  </si>
  <si>
    <t>Présentoir Bain Moor Lavande Edition Limitée Noël 2023</t>
  </si>
  <si>
    <t>4020829102088</t>
  </si>
  <si>
    <t>6100084</t>
  </si>
  <si>
    <t>Présentoir Mains &amp; Lèvres 2023</t>
  </si>
  <si>
    <t>9999996100084</t>
  </si>
  <si>
    <t>6100085</t>
  </si>
  <si>
    <t>Présentoir Régénérants Intensifs recto/verso 2024</t>
  </si>
  <si>
    <t>4020829105720</t>
  </si>
  <si>
    <t>6100086</t>
  </si>
  <si>
    <t>Présentoir Edition Limitée 2024</t>
  </si>
  <si>
    <t>4020829105560</t>
  </si>
  <si>
    <t>6100087</t>
  </si>
  <si>
    <t>Présentoir Solaires 2024</t>
  </si>
  <si>
    <t>4020829104808</t>
  </si>
  <si>
    <t>6100088</t>
  </si>
  <si>
    <t>Présentoir lancement Baumes Sticks Lèvres et Joues</t>
  </si>
  <si>
    <t>610008899999</t>
  </si>
  <si>
    <t>6100089</t>
  </si>
  <si>
    <t>Présentoir Essentiels de l'été 2024</t>
  </si>
  <si>
    <t>610008999999</t>
  </si>
  <si>
    <t>6100090</t>
  </si>
  <si>
    <t>Présentoir Crème pour les Mains Édition Limitée Noël 2024</t>
  </si>
  <si>
    <t>4020829107328</t>
  </si>
  <si>
    <t>6100091</t>
  </si>
  <si>
    <t>Présentoir Maquillage Teint Parfait</t>
  </si>
  <si>
    <t>4020829108820</t>
  </si>
  <si>
    <t>6100092</t>
  </si>
  <si>
    <t>Présentoir Édition Limitée 2025</t>
  </si>
  <si>
    <t>4020829111127</t>
  </si>
  <si>
    <t>6100093</t>
  </si>
  <si>
    <t>Présentoir Solaires 2025</t>
  </si>
  <si>
    <t>6100093999999</t>
  </si>
  <si>
    <t>6100094</t>
  </si>
  <si>
    <t>Présentoir Mascaras Longue Tenue 2025</t>
  </si>
  <si>
    <t>4020829117884</t>
  </si>
  <si>
    <t>6100095</t>
  </si>
  <si>
    <t>Présentoir Rose vs Abricot + 2 cubes</t>
  </si>
  <si>
    <t>6100095999999</t>
  </si>
  <si>
    <t>6100096</t>
  </si>
  <si>
    <t>Présentoir offre découverte Dr. Hauschka</t>
  </si>
  <si>
    <t>6100096999999</t>
  </si>
  <si>
    <t>6100097</t>
  </si>
  <si>
    <t>Présentoir Régénérants 2026</t>
  </si>
  <si>
    <t>6100097999999</t>
  </si>
  <si>
    <t>6100098</t>
  </si>
  <si>
    <t>Présentoir déodorants 2026</t>
  </si>
  <si>
    <t>6100098000000</t>
  </si>
  <si>
    <t>6100099</t>
  </si>
  <si>
    <t>Présentoir maquillage best-sellers 2026</t>
  </si>
  <si>
    <t>6100099000000</t>
  </si>
  <si>
    <t>6100100</t>
  </si>
  <si>
    <t>Présentoirs onpacks 2026</t>
  </si>
  <si>
    <t>4020829117402</t>
  </si>
  <si>
    <t>6100101</t>
  </si>
  <si>
    <t>Présentoir Crayons à Lèvres - Édition Limitée 2026</t>
  </si>
  <si>
    <t>4020829117716</t>
  </si>
  <si>
    <t>6100102</t>
  </si>
  <si>
    <t>Présentoir Édition Limitée 2026</t>
  </si>
  <si>
    <t>4020829116313</t>
  </si>
  <si>
    <t>6100182</t>
  </si>
  <si>
    <t>9999996100182</t>
  </si>
  <si>
    <t>6120101</t>
  </si>
  <si>
    <t>Plaquette TOP 20</t>
  </si>
  <si>
    <t>6200001</t>
  </si>
  <si>
    <t>Meuble Présentoir Maquillage Classique</t>
  </si>
  <si>
    <t>620000199999</t>
  </si>
  <si>
    <t>6200002</t>
  </si>
  <si>
    <t>Pied de Présentoir Maquillage Classique</t>
  </si>
  <si>
    <t>620000299999</t>
  </si>
  <si>
    <t>6200003</t>
  </si>
  <si>
    <t>Support pour présentoir étagère</t>
  </si>
  <si>
    <t>9999996200003</t>
  </si>
  <si>
    <t>6200006</t>
  </si>
  <si>
    <t>Module pinceaux</t>
  </si>
  <si>
    <t>9999996200006</t>
  </si>
  <si>
    <t>6200016</t>
  </si>
  <si>
    <t>Module Logo pour présentoir maquillage</t>
  </si>
  <si>
    <t>4020829083721</t>
  </si>
  <si>
    <t>6200017</t>
  </si>
  <si>
    <t>Module-Conseil testeur - socle</t>
  </si>
  <si>
    <t>4020829084070</t>
  </si>
  <si>
    <t>6200019</t>
  </si>
  <si>
    <t xml:space="preserve">Meuble Routine Dr. Hauschka </t>
  </si>
  <si>
    <t>9999996200019</t>
  </si>
  <si>
    <t>6200020</t>
  </si>
  <si>
    <t>Modules Mise à Jour Maquillage</t>
  </si>
  <si>
    <t>4020829103597</t>
  </si>
  <si>
    <t>6200021</t>
  </si>
  <si>
    <t>Présentoir Maquillage Rétroéclairé</t>
  </si>
  <si>
    <t>4020829103566</t>
  </si>
  <si>
    <t>6200022</t>
  </si>
  <si>
    <t>Présentoir sur pied Maquillage</t>
  </si>
  <si>
    <t>4020829103573</t>
  </si>
  <si>
    <t>6200023</t>
  </si>
  <si>
    <t>Pied Présentoir Maquillage Rétroéclairé</t>
  </si>
  <si>
    <t>4020829105102</t>
  </si>
  <si>
    <t>6200024</t>
  </si>
  <si>
    <t>Façade de tiroir Teints</t>
  </si>
  <si>
    <t>4020829061927</t>
  </si>
  <si>
    <t>6200025</t>
  </si>
  <si>
    <t>Façade de tiroir Yeux</t>
  </si>
  <si>
    <t>4020829061903</t>
  </si>
  <si>
    <t>6200026</t>
  </si>
  <si>
    <t>Façade de tiroir Accessoires</t>
  </si>
  <si>
    <t>4020829061934</t>
  </si>
  <si>
    <t>6200027</t>
  </si>
  <si>
    <t>Façade de tiroir Lèvres</t>
  </si>
  <si>
    <t>4020829061910</t>
  </si>
  <si>
    <t>6200028</t>
  </si>
  <si>
    <t>Présentoir Crème Purifiante pour le Visage 2024</t>
  </si>
  <si>
    <t>620002899999</t>
  </si>
  <si>
    <t>6200029</t>
  </si>
  <si>
    <t>Présentoir de sol Rituel de Soin 2025 *PRE-COMMANDE*</t>
  </si>
  <si>
    <t>4020829112483</t>
  </si>
  <si>
    <t>6300127</t>
  </si>
  <si>
    <t>Set emballages vides Visage</t>
  </si>
  <si>
    <t>9999996300127</t>
  </si>
  <si>
    <t>6300132</t>
  </si>
  <si>
    <t>Poster A1 - Soin de Jour</t>
  </si>
  <si>
    <t>4020829083547</t>
  </si>
  <si>
    <t>6300137</t>
  </si>
  <si>
    <t>Emballage vide Shampooing</t>
  </si>
  <si>
    <t>9999996300137</t>
  </si>
  <si>
    <t>6300138</t>
  </si>
  <si>
    <t>Emballage vide Après-Shampooing</t>
  </si>
  <si>
    <t>9999996300138</t>
  </si>
  <si>
    <t>6300144</t>
  </si>
  <si>
    <t>Insert Présentoir-Vendeur - Crème de jour à la Rose</t>
  </si>
  <si>
    <t>4020829084698</t>
  </si>
  <si>
    <t>6300145</t>
  </si>
  <si>
    <t>Insert Présentoir-Vendeur - Crème de jour Légère à la Rose</t>
  </si>
  <si>
    <t>4020829084681</t>
  </si>
  <si>
    <t>6300146</t>
  </si>
  <si>
    <t>Dos Module-Conseil pour testeur - Crème de jour</t>
  </si>
  <si>
    <t>4020829084063</t>
  </si>
  <si>
    <t>6300147</t>
  </si>
  <si>
    <t>Insert Présentoir-Vendeur - Crème de jour à la Mélisse</t>
  </si>
  <si>
    <t>4020829084667</t>
  </si>
  <si>
    <t>6300148</t>
  </si>
  <si>
    <t>Insert Présentoir-Vendeur - Crème de jour au Coing</t>
  </si>
  <si>
    <t>4020829084674</t>
  </si>
  <si>
    <t>6300150</t>
  </si>
  <si>
    <t>Dos Module-Conseil pour testeur - Agir Ensemble</t>
  </si>
  <si>
    <t>4020829084780</t>
  </si>
  <si>
    <t>6300154</t>
  </si>
  <si>
    <t xml:space="preserve">Dos Module-Conseil pour testeur - Fluide de jour </t>
  </si>
  <si>
    <t>4020829088214</t>
  </si>
  <si>
    <t>6300167</t>
  </si>
  <si>
    <t>Dos Module-Conseil – Masques</t>
  </si>
  <si>
    <t>4020829093010</t>
  </si>
  <si>
    <t>6300170</t>
  </si>
  <si>
    <t>Panneau Vitrine Institutionnel</t>
  </si>
  <si>
    <t>4020829115125</t>
  </si>
  <si>
    <t>6300171</t>
  </si>
  <si>
    <t>Kit PLV institutionnel Dr. Hauschka</t>
  </si>
  <si>
    <t>6300176</t>
  </si>
  <si>
    <t>Set de couvertures présentoir sur pied Maquillage</t>
  </si>
  <si>
    <t>99996300176</t>
  </si>
  <si>
    <t>6300181</t>
  </si>
  <si>
    <t>Poster Edition Limitée 2023</t>
  </si>
  <si>
    <t>4020829099579</t>
  </si>
  <si>
    <t>6300182</t>
  </si>
  <si>
    <t>Cube Hamamélis</t>
  </si>
  <si>
    <t>4020829102057</t>
  </si>
  <si>
    <t>6300183</t>
  </si>
  <si>
    <t>Bannière Textile Institutionnelle</t>
  </si>
  <si>
    <t>4020829115101</t>
  </si>
  <si>
    <t>6300185</t>
  </si>
  <si>
    <t>Panneau vitrine institut 2023</t>
  </si>
  <si>
    <t>9999996300185</t>
  </si>
  <si>
    <t>6300186</t>
  </si>
  <si>
    <t>Cadre en bois</t>
  </si>
  <si>
    <t>9999996300186</t>
  </si>
  <si>
    <t>6300187</t>
  </si>
  <si>
    <t>Panneau vitrine MEA Crème de Jour à l'Abricot</t>
  </si>
  <si>
    <t>9999996300187</t>
  </si>
  <si>
    <t>6300188</t>
  </si>
  <si>
    <t>Lot de 2 cubes Noël 2023</t>
  </si>
  <si>
    <t>9999996300188</t>
  </si>
  <si>
    <t>6300189</t>
  </si>
  <si>
    <t>Panneau vitrine Noël 2023</t>
  </si>
  <si>
    <t>9999996300189</t>
  </si>
  <si>
    <t>6300190</t>
  </si>
  <si>
    <t>Poster Noël 2023</t>
  </si>
  <si>
    <t>9999996300190</t>
  </si>
  <si>
    <t>6300191</t>
  </si>
  <si>
    <t>Kit intercomptoir Rituel Pureté</t>
  </si>
  <si>
    <t>9999996300191</t>
  </si>
  <si>
    <t>6300192</t>
  </si>
  <si>
    <t>Bannière Textile Maquillage</t>
  </si>
  <si>
    <t>4020829105379</t>
  </si>
  <si>
    <t>6300194</t>
  </si>
  <si>
    <t>Panneau Vitrine Maquillage</t>
  </si>
  <si>
    <t>4020829105294</t>
  </si>
  <si>
    <t>6300195</t>
  </si>
  <si>
    <t>Cube Institutionnel Maquillage</t>
  </si>
  <si>
    <t>4020829105317</t>
  </si>
  <si>
    <t>6300196</t>
  </si>
  <si>
    <t>Panneau vitrine Régénérants Intensifs 2024</t>
  </si>
  <si>
    <t>4020829105867</t>
  </si>
  <si>
    <t>6300197</t>
  </si>
  <si>
    <t>Kit réglette de linéaire + cube Régénérants 2024</t>
  </si>
  <si>
    <t>9999996300197</t>
  </si>
  <si>
    <t>6300198</t>
  </si>
  <si>
    <t>Panneau vitrine OnPacks 2024</t>
  </si>
  <si>
    <t>9999996500198</t>
  </si>
  <si>
    <t>6300199</t>
  </si>
  <si>
    <t>Kit TG OnPacks 2024</t>
  </si>
  <si>
    <t>9999996300199</t>
  </si>
  <si>
    <t>6300200</t>
  </si>
  <si>
    <t>Kit Inter-comptoir OnPacks 2024</t>
  </si>
  <si>
    <t>9999996300200</t>
  </si>
  <si>
    <t>6300201</t>
  </si>
  <si>
    <t>Lot de 2 posters A1 Edition Limitée 2024</t>
  </si>
  <si>
    <t>4020829105607</t>
  </si>
  <si>
    <t>6300202</t>
  </si>
  <si>
    <t>Panneau vitrine Solaires 2024</t>
  </si>
  <si>
    <t>4020829104754</t>
  </si>
  <si>
    <t>6300203</t>
  </si>
  <si>
    <t>Panneau vitrine Edition Limitée 2024</t>
  </si>
  <si>
    <t>630020399999</t>
  </si>
  <si>
    <t>6300204</t>
  </si>
  <si>
    <t>Panneau vitrine Baumes Sticks Lèvres et Joues</t>
  </si>
  <si>
    <t>4020829105218</t>
  </si>
  <si>
    <t>6300205</t>
  </si>
  <si>
    <t>Panneau vitrine Noël 2024</t>
  </si>
  <si>
    <t>630020599999</t>
  </si>
  <si>
    <t>6300206</t>
  </si>
  <si>
    <t>Kit linéaire et vitrine Noël 2024</t>
  </si>
  <si>
    <t>630020699999</t>
  </si>
  <si>
    <t>6300207</t>
  </si>
  <si>
    <t>Kit TG Crème Purifiante pour le Visage 2024</t>
  </si>
  <si>
    <t>630020799999</t>
  </si>
  <si>
    <t>6300208</t>
  </si>
  <si>
    <t>Panneau vitrine Crème Purifiante pour le Visage 2024</t>
  </si>
  <si>
    <t>630020899999</t>
  </si>
  <si>
    <t>6300209</t>
  </si>
  <si>
    <t>Panneau vitrine Régénérants 2025</t>
  </si>
  <si>
    <t>630020999999</t>
  </si>
  <si>
    <t>6300210</t>
  </si>
  <si>
    <t>Cube vitrine institutionnel 2025</t>
  </si>
  <si>
    <t>4020829115163</t>
  </si>
  <si>
    <t>6300211</t>
  </si>
  <si>
    <t>Lot de posters A1 Édition Limitée 2025</t>
  </si>
  <si>
    <t>4020829111189</t>
  </si>
  <si>
    <t>6300212</t>
  </si>
  <si>
    <t>Set emballages vides Régénérant</t>
  </si>
  <si>
    <t>6300212999999</t>
  </si>
  <si>
    <t>6300213</t>
  </si>
  <si>
    <t>Set emballages vides Corps</t>
  </si>
  <si>
    <t>6300213999999</t>
  </si>
  <si>
    <t>6300214</t>
  </si>
  <si>
    <t>Panneau Mascaras longue Tenue 2025</t>
  </si>
  <si>
    <t>4020829113138</t>
  </si>
  <si>
    <t>6300215</t>
  </si>
  <si>
    <t>Panneau vitrine Rose vs Abricot 2025</t>
  </si>
  <si>
    <t>630021599999</t>
  </si>
  <si>
    <t>6300216</t>
  </si>
  <si>
    <t>Set emballages vides Med</t>
  </si>
  <si>
    <t>6300216999999</t>
  </si>
  <si>
    <t>6300217</t>
  </si>
  <si>
    <t>Cube Soin Visage</t>
  </si>
  <si>
    <t>6300217999999</t>
  </si>
  <si>
    <t>6300218</t>
  </si>
  <si>
    <t>Lot 2 cubes Soin Visage</t>
  </si>
  <si>
    <t>6300218999999</t>
  </si>
  <si>
    <t>6300219</t>
  </si>
  <si>
    <t>Panneau vitrine Régénérants 2026</t>
  </si>
  <si>
    <t>6300219999999</t>
  </si>
  <si>
    <t>6300220</t>
  </si>
  <si>
    <t>Panneau vitrine soin 2026</t>
  </si>
  <si>
    <t>6300220999999</t>
  </si>
  <si>
    <t>6300221</t>
  </si>
  <si>
    <t>Panneau vitrine onpacks 2026</t>
  </si>
  <si>
    <t>4020829116511</t>
  </si>
  <si>
    <t>6300222</t>
  </si>
  <si>
    <t>Panneau vitrine Crème Purifiante pour le Visage 2026</t>
  </si>
  <si>
    <t>6300223</t>
  </si>
  <si>
    <t>Panneau Vitrine Sérum Hydratant Plus 2026</t>
  </si>
  <si>
    <t>6500057</t>
  </si>
  <si>
    <t>Masque de nuit en soie - Dr.Hauschka X Emily's Pillow</t>
  </si>
  <si>
    <t>6500057000000</t>
  </si>
  <si>
    <t>6500063</t>
  </si>
  <si>
    <t>Réglette pour étagère vide avec insert</t>
  </si>
  <si>
    <t>9999996500063</t>
  </si>
  <si>
    <t>6500064</t>
  </si>
  <si>
    <t>Réglette pédagogique Cures 2026</t>
  </si>
  <si>
    <t>6500069</t>
  </si>
  <si>
    <t>Stop Rayon Dr. Hauschka Institutionnel</t>
  </si>
  <si>
    <t>9999996500069</t>
  </si>
  <si>
    <t>6500079</t>
  </si>
  <si>
    <t>Stop-Rayon Beauté Stars</t>
  </si>
  <si>
    <t>9999996500079</t>
  </si>
  <si>
    <t>6500084</t>
  </si>
  <si>
    <t>Stop Rayon pour Testeur</t>
  </si>
  <si>
    <t>9999996500084</t>
  </si>
  <si>
    <t>6500101</t>
  </si>
  <si>
    <t>Lot Balises Linéaire Routine</t>
  </si>
  <si>
    <t>9999996500101</t>
  </si>
  <si>
    <t>6500103</t>
  </si>
  <si>
    <t xml:space="preserve">Réglette Ajustable Gamme Med </t>
  </si>
  <si>
    <t>9999996500103</t>
  </si>
  <si>
    <t>6500105</t>
  </si>
  <si>
    <t>Sticker institutionnel</t>
  </si>
  <si>
    <t>9999996500105</t>
  </si>
  <si>
    <t>6500106</t>
  </si>
  <si>
    <t>Stop-Rayon - Prix Découverte</t>
  </si>
  <si>
    <t>9999996500106</t>
  </si>
  <si>
    <t>6500107</t>
  </si>
  <si>
    <t>Stop-Rayon - Certifiés</t>
  </si>
  <si>
    <t>9999996500107</t>
  </si>
  <si>
    <t>6500108</t>
  </si>
  <si>
    <t>Stop-Rayon - Diagnostic</t>
  </si>
  <si>
    <t>9999996500108</t>
  </si>
  <si>
    <t>6500110</t>
  </si>
  <si>
    <t>Stop-Rayon - Vierge</t>
  </si>
  <si>
    <t>9999996500110</t>
  </si>
  <si>
    <t>6500116</t>
  </si>
  <si>
    <t>Chevalet Rituel Pureté</t>
  </si>
  <si>
    <t>9999996500116</t>
  </si>
  <si>
    <t>6500117</t>
  </si>
  <si>
    <t>Stop-Rayon - Rituel Pureté</t>
  </si>
  <si>
    <t>9999996500117</t>
  </si>
  <si>
    <t>6500118</t>
  </si>
  <si>
    <t>PLV Spécifique Grade 1 par 2</t>
  </si>
  <si>
    <t>9999996500118</t>
  </si>
  <si>
    <t>6500120</t>
  </si>
  <si>
    <t>Stop-Rayon – Trousse Rituel Découverte</t>
  </si>
  <si>
    <t>9999996500120</t>
  </si>
  <si>
    <t>6500122</t>
  </si>
  <si>
    <t>Affiche A4 Offre contre achat Baume</t>
  </si>
  <si>
    <t>9999996500122</t>
  </si>
  <si>
    <t>6500123</t>
  </si>
  <si>
    <t>Stop-Rayon - Alice in Food pour Dr. Hauschka par 2</t>
  </si>
  <si>
    <t>9999996500123</t>
  </si>
  <si>
    <t>6500124</t>
  </si>
  <si>
    <t>Affiche A4 Offre Compagnons Naturels</t>
  </si>
  <si>
    <t>6500127</t>
  </si>
  <si>
    <t>Cube Institutionnel</t>
  </si>
  <si>
    <t>9999996500127</t>
  </si>
  <si>
    <t>6500128</t>
  </si>
  <si>
    <t>Kit TG - OnPack Routine 2023</t>
  </si>
  <si>
    <t>9999996500128</t>
  </si>
  <si>
    <t>6500129</t>
  </si>
  <si>
    <t>Stop-Rayon - Alice in Food pour Dr. Hauschka</t>
  </si>
  <si>
    <t>9999996500129</t>
  </si>
  <si>
    <t>6500131</t>
  </si>
  <si>
    <t>Stop-rayon MEA Crème de Jour à l'Abricot</t>
  </si>
  <si>
    <t>9999996500131</t>
  </si>
  <si>
    <t>6500132</t>
  </si>
  <si>
    <t>Lot de 3 mini stop-rayons</t>
  </si>
  <si>
    <t>9999996500132</t>
  </si>
  <si>
    <t>6500134</t>
  </si>
  <si>
    <t>Affiche OPCA Rituel Pureté</t>
  </si>
  <si>
    <t>9999996500134</t>
  </si>
  <si>
    <t>6500136</t>
  </si>
  <si>
    <t>Insert Réglette prix Présentoir sur Pied Maquillage</t>
  </si>
  <si>
    <t>9999996500136</t>
  </si>
  <si>
    <t>6500137</t>
  </si>
  <si>
    <t>Insert Réglette prix Présentoir Maquillage Rétroéclairé</t>
  </si>
  <si>
    <t>9999996500137</t>
  </si>
  <si>
    <t>6500138</t>
  </si>
  <si>
    <t>Réglette tiroir pour présentoir actuel mis à jour</t>
  </si>
  <si>
    <t>9999996500138</t>
  </si>
  <si>
    <t>6500139</t>
  </si>
  <si>
    <t>Tirette pour présentoir actuel</t>
  </si>
  <si>
    <t>9999996500139</t>
  </si>
  <si>
    <t>6500140</t>
  </si>
  <si>
    <t>Affiche journées privilèges instituts</t>
  </si>
  <si>
    <t>6500141</t>
  </si>
  <si>
    <t>Sticker vitrine Régénérants Intensifs 2024</t>
  </si>
  <si>
    <t>4020829105898</t>
  </si>
  <si>
    <t>6500142</t>
  </si>
  <si>
    <t>Fronton glorifier Régénérants/Solaires recto/verso 2024</t>
  </si>
  <si>
    <t>4020829105836</t>
  </si>
  <si>
    <t>6500143</t>
  </si>
  <si>
    <t>Stop-rayon nouveautés Régénérants Intensifs 2024</t>
  </si>
  <si>
    <t>6500143999999</t>
  </si>
  <si>
    <t>6500144</t>
  </si>
  <si>
    <t>Encart de com. nouveauté maquillage 2024 - kit mise à jour</t>
  </si>
  <si>
    <t>650014499999</t>
  </si>
  <si>
    <t>6500145</t>
  </si>
  <si>
    <t>Encart de com. nouveauté maquillage 2024 - meubles</t>
  </si>
  <si>
    <t>650014599999</t>
  </si>
  <si>
    <t>6500146</t>
  </si>
  <si>
    <t>Kit mini stop-rayons essentiels de l'été</t>
  </si>
  <si>
    <t>650014699999</t>
  </si>
  <si>
    <t>6500147</t>
  </si>
  <si>
    <t>Stop-rayon collaboration Laure de Sagazan</t>
  </si>
  <si>
    <t>650014799999</t>
  </si>
  <si>
    <t>6500148</t>
  </si>
  <si>
    <t>Insert tirette mise à jour nouveauté maquillage 2024 ancien présentoir</t>
  </si>
  <si>
    <t>650014899999</t>
  </si>
  <si>
    <t>6500149</t>
  </si>
  <si>
    <t>Insert réglette mise à jour nouveauté maquillage 2024 présentoir rétro-éclairé</t>
  </si>
  <si>
    <t>650014999999</t>
  </si>
  <si>
    <t>6500150</t>
  </si>
  <si>
    <t>Insert réglette mise à jour nouveauté maquillage 2024 présentoir sur pied</t>
  </si>
  <si>
    <t>650015099999</t>
  </si>
  <si>
    <t>6500151</t>
  </si>
  <si>
    <t>Stop-rayon OPCA Huiles et Laits</t>
  </si>
  <si>
    <t>650015199999</t>
  </si>
  <si>
    <t>6500152</t>
  </si>
  <si>
    <t>Kit visibilité linéaire Huiles et Laits</t>
  </si>
  <si>
    <t>650015299999</t>
  </si>
  <si>
    <t>6500153</t>
  </si>
  <si>
    <t>Stop-rayon OPCA Teint Parfait</t>
  </si>
  <si>
    <t>650015399999</t>
  </si>
  <si>
    <t>6500154</t>
  </si>
  <si>
    <t>Rouleau de stickers QR code Crème Purifiante pour le Visage</t>
  </si>
  <si>
    <t>650015499999</t>
  </si>
  <si>
    <t>6500156</t>
  </si>
  <si>
    <t>Kit intercomptoir Régénérants 2025</t>
  </si>
  <si>
    <t>650015699999</t>
  </si>
  <si>
    <t>6500157</t>
  </si>
  <si>
    <t>Stop-rayon OPCA Régénérants 2025</t>
  </si>
  <si>
    <t>650015799999</t>
  </si>
  <si>
    <t>6500158</t>
  </si>
  <si>
    <t>Kit linéaire Rituel de Soin 2025</t>
  </si>
  <si>
    <t>4020829112414</t>
  </si>
  <si>
    <t>6500159</t>
  </si>
  <si>
    <t>Stop-rayon OPCA Maquillage Printemps 2025</t>
  </si>
  <si>
    <t>6500159999999</t>
  </si>
  <si>
    <t>6500160</t>
  </si>
  <si>
    <t>Encarts de communication nouveaux meubles Maquillage Printemps 2025</t>
  </si>
  <si>
    <t>4020829115569</t>
  </si>
  <si>
    <t>6500161</t>
  </si>
  <si>
    <t>Encarts de communication ancien meuble Maquillage Printemps 2025</t>
  </si>
  <si>
    <t>4020829115545</t>
  </si>
  <si>
    <t>6500162</t>
  </si>
  <si>
    <t>Stop-rayon OPCA estivale 2025</t>
  </si>
  <si>
    <t>6500162999999</t>
  </si>
  <si>
    <t>6500163</t>
  </si>
  <si>
    <t>Stop-rayon nouveauté Crème Solaire pour le Visage Teintée SPF 30</t>
  </si>
  <si>
    <t>6500163999999</t>
  </si>
  <si>
    <t>6500164</t>
  </si>
  <si>
    <t>Stop-rayon prix Elle Sérum de Nuit - Régénérant Intensif 2025</t>
  </si>
  <si>
    <t>6500164999999</t>
  </si>
  <si>
    <t>6500165</t>
  </si>
  <si>
    <t>Encarts de communication ancien meuble Mascaras Longue Tenue 2025</t>
  </si>
  <si>
    <t>4020829115781</t>
  </si>
  <si>
    <t>6500166</t>
  </si>
  <si>
    <t>Encarts de communication meubles rétro/sur pied Mascaras Longue Tenue 2025</t>
  </si>
  <si>
    <t>4020829115804</t>
  </si>
  <si>
    <t>6500167</t>
  </si>
  <si>
    <t>Stop-rayon Crème Purifiante pour le Visage 2025</t>
  </si>
  <si>
    <t>6500167999999</t>
  </si>
  <si>
    <t>6500168</t>
  </si>
  <si>
    <t>Chevalet Noël 2025</t>
  </si>
  <si>
    <t>6500168999999</t>
  </si>
  <si>
    <t>6500169</t>
  </si>
  <si>
    <t>Rouleau de 1000 Stickers OFFERT</t>
  </si>
  <si>
    <t>6500169999999</t>
  </si>
  <si>
    <t>6500170</t>
  </si>
  <si>
    <t>Rouleau de 1000 Stickers  PRODUIT OFFERT</t>
  </si>
  <si>
    <t>6500170999999</t>
  </si>
  <si>
    <t>6500171</t>
  </si>
  <si>
    <t>Intérieur Coffret cadeau vide</t>
  </si>
  <si>
    <t>4020829114333</t>
  </si>
  <si>
    <t>6500172</t>
  </si>
  <si>
    <t>Coffret Noël personnalisable vide 2025</t>
  </si>
  <si>
    <t>6500172999999</t>
  </si>
  <si>
    <t>6500173</t>
  </si>
  <si>
    <t>Stop-rayon OPCA corps 2025</t>
  </si>
  <si>
    <t>6500173999999</t>
  </si>
  <si>
    <t>6500174</t>
  </si>
  <si>
    <t>Stop-rayon promo -10€ Régénérants 2026</t>
  </si>
  <si>
    <t>6500175</t>
  </si>
  <si>
    <t>Stop-rayon promo vierge Régénérants 2026</t>
  </si>
  <si>
    <t>6500175999999</t>
  </si>
  <si>
    <t>6500176</t>
  </si>
  <si>
    <t>Chevalet triangle Édition Limitée 2026</t>
  </si>
  <si>
    <t>4020829116399</t>
  </si>
  <si>
    <t>6500177</t>
  </si>
  <si>
    <t>Stop-rayon onpacks 2026</t>
  </si>
  <si>
    <t>9999996500177</t>
  </si>
  <si>
    <t>6500178</t>
  </si>
  <si>
    <t>Stop-rayon PDC Édition Limitée 2026</t>
  </si>
  <si>
    <t>6500178000000</t>
  </si>
  <si>
    <t>6500179</t>
  </si>
  <si>
    <t>Fronton porte-testeur Émulsion Teintée</t>
  </si>
  <si>
    <t>4020829119413</t>
  </si>
  <si>
    <t>6500180</t>
  </si>
  <si>
    <t>Fronton porte-testeur Sérum Hydratant Plus</t>
  </si>
  <si>
    <t>6500181</t>
  </si>
  <si>
    <t>Stop-rayon Cures 2026</t>
  </si>
  <si>
    <t>6500181000000</t>
  </si>
  <si>
    <t>6600001</t>
  </si>
  <si>
    <t>Sac Dr.Hauschka grand modèle</t>
  </si>
  <si>
    <t>4020829073623</t>
  </si>
  <si>
    <t>6600002</t>
  </si>
  <si>
    <t>Sac Dr.Hauschka petit modèle</t>
  </si>
  <si>
    <t>4020829073630</t>
  </si>
  <si>
    <t>6600003</t>
  </si>
  <si>
    <t>Sac Luxe Dr.Hauschka</t>
  </si>
  <si>
    <t>6600015</t>
  </si>
  <si>
    <t>Trousse Orange Cosmétiques Tailles Spéciales</t>
  </si>
  <si>
    <t>4020829090583</t>
  </si>
  <si>
    <t>6600019</t>
  </si>
  <si>
    <t>Boîte vide Trio Ombres à Paupière</t>
  </si>
  <si>
    <t>9999996600019</t>
  </si>
  <si>
    <t>6600020</t>
  </si>
  <si>
    <t>Boîte vide Ombres à Paupière Solo</t>
  </si>
  <si>
    <t>9999996600020</t>
  </si>
  <si>
    <t>6600022</t>
  </si>
  <si>
    <t>Pochette Dr. Hauschka 2019</t>
  </si>
  <si>
    <t>9999996600022</t>
  </si>
  <si>
    <t>6600023</t>
  </si>
  <si>
    <t>Bon Cadeau Institut et Détaillant Femme</t>
  </si>
  <si>
    <t>9999996600023</t>
  </si>
  <si>
    <t>6600026</t>
  </si>
  <si>
    <t>Pince à épiler Dr. Hauschka</t>
  </si>
  <si>
    <t>9999996600026</t>
  </si>
  <si>
    <t>6600034</t>
  </si>
  <si>
    <t>Bon cadeau Institut et Détaillant Homme</t>
  </si>
  <si>
    <t>9999996600034</t>
  </si>
  <si>
    <t>6600035</t>
  </si>
  <si>
    <t>Lot de 5 Furoshikis Alice in Food pour Dr. Hauschka</t>
  </si>
  <si>
    <t>9999996600035</t>
  </si>
  <si>
    <t>6600037</t>
  </si>
  <si>
    <t>Furoshikis Alice in Food pour Dr. Hauschka</t>
  </si>
  <si>
    <t>660003799999</t>
  </si>
  <si>
    <t>6600038</t>
  </si>
  <si>
    <t>Trousse vide rayures orange</t>
  </si>
  <si>
    <t>9999996600038</t>
  </si>
  <si>
    <t>6600041</t>
  </si>
  <si>
    <t>Trousse vide en gaze de coton blanche</t>
  </si>
  <si>
    <t>660004199999</t>
  </si>
  <si>
    <t>6600042</t>
  </si>
  <si>
    <t>Boîte cadeau Noël 2024</t>
  </si>
  <si>
    <t>4020829107274</t>
  </si>
  <si>
    <t>6600043</t>
  </si>
  <si>
    <t>Sac cadeau Noël 2024</t>
  </si>
  <si>
    <t>4020829107281</t>
  </si>
  <si>
    <t>6600044</t>
  </si>
  <si>
    <t>Foulard Régénérants 2025</t>
  </si>
  <si>
    <t>660004499999</t>
  </si>
  <si>
    <t>6600045</t>
  </si>
  <si>
    <t>Sac vide Laure de Sagazan</t>
  </si>
  <si>
    <t>66000459999</t>
  </si>
  <si>
    <t>6600046</t>
  </si>
  <si>
    <t>Cabas estival Dr. Hauschka</t>
  </si>
  <si>
    <t>3770026497470</t>
  </si>
  <si>
    <t>6600047</t>
  </si>
  <si>
    <t>Pochette cadeau vide</t>
  </si>
  <si>
    <t>4020829072329</t>
  </si>
  <si>
    <t>6600048</t>
  </si>
  <si>
    <t>Coffret cadeau vide</t>
  </si>
  <si>
    <t>6600049</t>
  </si>
  <si>
    <t>Pochon kit de prospection vide</t>
  </si>
  <si>
    <t>6600049999999</t>
  </si>
  <si>
    <t>6600050</t>
  </si>
  <si>
    <t>Fourreau Coffret Noël Éclat Intemporel 2025</t>
  </si>
  <si>
    <t>6600050999999</t>
  </si>
  <si>
    <t>6600051</t>
  </si>
  <si>
    <t>Fourreau Coffret Noël Rituel Fraîcheur &amp; Éclat 2025</t>
  </si>
  <si>
    <t>6600051999999</t>
  </si>
  <si>
    <t>6600052</t>
  </si>
  <si>
    <t>Pochon coton bio 10x16,5cm (copie)</t>
  </si>
  <si>
    <t>6600052999999</t>
  </si>
  <si>
    <t>6600053</t>
  </si>
  <si>
    <t>Pochon coton bio + 2 mini huiles de soin 10 ml (copie)</t>
  </si>
  <si>
    <t>6600053999999</t>
  </si>
  <si>
    <t>6600054</t>
  </si>
  <si>
    <t>Pochon coton bio 10x16,5cm</t>
  </si>
  <si>
    <t>6600054999999</t>
  </si>
  <si>
    <t>6600055</t>
  </si>
  <si>
    <t>Sac cadeau Noël 2025</t>
  </si>
  <si>
    <t>4020829118058</t>
  </si>
  <si>
    <t>6600056</t>
  </si>
  <si>
    <t>Pochon de prospection + produits 2026</t>
  </si>
  <si>
    <t>6600057</t>
  </si>
  <si>
    <t>Étuis Duo sticks lèvres</t>
  </si>
  <si>
    <t>6600058</t>
  </si>
  <si>
    <t>Trousse blanche</t>
  </si>
  <si>
    <t>4020829119826</t>
  </si>
  <si>
    <t>6600059</t>
  </si>
  <si>
    <t>Platine maquillage GL/DrHauschka</t>
  </si>
  <si>
    <t>6601200</t>
  </si>
  <si>
    <t>Palette Maquillage Vide</t>
  </si>
  <si>
    <t>4020829056589</t>
  </si>
  <si>
    <t>661645</t>
  </si>
  <si>
    <t>Papier de soie Dr.Hauschka</t>
  </si>
  <si>
    <t>999999661645</t>
  </si>
  <si>
    <t>6700005</t>
  </si>
  <si>
    <t>Carte prise de RV</t>
  </si>
  <si>
    <t>9999996700005</t>
  </si>
  <si>
    <t>6700070</t>
  </si>
  <si>
    <t>Brochure Tarifs Pro 2025</t>
  </si>
  <si>
    <t>9999996700070</t>
  </si>
  <si>
    <t>6700071</t>
  </si>
  <si>
    <t>Brochure Tarifs 2026</t>
  </si>
  <si>
    <t>9999996700071</t>
  </si>
  <si>
    <t>6700076</t>
  </si>
  <si>
    <t>Flyer institutionnel Dr. Hauschka</t>
  </si>
  <si>
    <t>4020829093324</t>
  </si>
  <si>
    <t>6700077</t>
  </si>
  <si>
    <t>Guide Cosmétiques</t>
  </si>
  <si>
    <t>6700081</t>
  </si>
  <si>
    <t>Fiche conseil peaux matures</t>
  </si>
  <si>
    <t>9999996700081</t>
  </si>
  <si>
    <t>6700083</t>
  </si>
  <si>
    <t xml:space="preserve">Enveloppe 1ère Commande Biocoop grade 1 + dossier des composants </t>
  </si>
  <si>
    <t>6700084</t>
  </si>
  <si>
    <t xml:space="preserve">Enveloppe 1ère Commande Biocoop grade 2 + dossier des composants </t>
  </si>
  <si>
    <t>6700085</t>
  </si>
  <si>
    <t xml:space="preserve">Enveloppe 1ère Commande Biocoop grade 3 + dossier des composants </t>
  </si>
  <si>
    <t>6700086</t>
  </si>
  <si>
    <t>Carte de Consultation Soins de Jour 2023</t>
  </si>
  <si>
    <t>4020829096585</t>
  </si>
  <si>
    <t>6700087</t>
  </si>
  <si>
    <t>Plaquette prospection pharmacie 2023</t>
  </si>
  <si>
    <t>9999996700087</t>
  </si>
  <si>
    <t>6700088</t>
  </si>
  <si>
    <t>Plaquette prospection institut 2023</t>
  </si>
  <si>
    <t>9999996700088</t>
  </si>
  <si>
    <t>6700089</t>
  </si>
  <si>
    <t>Carte postale 2024</t>
  </si>
  <si>
    <t>9999996700089</t>
  </si>
  <si>
    <t>6700090</t>
  </si>
  <si>
    <t>Plaquette de soin institut 2023</t>
  </si>
  <si>
    <t>9999996700090</t>
  </si>
  <si>
    <t>6700091</t>
  </si>
  <si>
    <t>Fiche Conseil Beauté</t>
  </si>
  <si>
    <t>9999996700091</t>
  </si>
  <si>
    <t>6700092</t>
  </si>
  <si>
    <t>Carte de Bienvenue Ambassadrice</t>
  </si>
  <si>
    <t>9999996700092</t>
  </si>
  <si>
    <t>6700093</t>
  </si>
  <si>
    <t>Diplôme Ambassadrice</t>
  </si>
  <si>
    <t>9999996700093</t>
  </si>
  <si>
    <t>6700094</t>
  </si>
  <si>
    <t>Brochure Maquillage Nouvel Assortiment 2023</t>
  </si>
  <si>
    <t>4020829105195</t>
  </si>
  <si>
    <t>6700096</t>
  </si>
  <si>
    <t>Brochure Baumes Sticks Lèvres et Joues</t>
  </si>
  <si>
    <t>4020829105041</t>
  </si>
  <si>
    <t>6700097</t>
  </si>
  <si>
    <t>4020829092716</t>
  </si>
  <si>
    <t>6700099</t>
  </si>
  <si>
    <t>Brochure Rituel de Soin 2025</t>
  </si>
  <si>
    <t>4020829112339</t>
  </si>
  <si>
    <t>6700100</t>
  </si>
  <si>
    <t>Brochure Mascaras Longue Tenue 2025</t>
  </si>
  <si>
    <t>4020829113169</t>
  </si>
  <si>
    <t>6700101</t>
  </si>
  <si>
    <t>Leaflet huiles corps 2025</t>
  </si>
  <si>
    <t>6700101999999</t>
  </si>
  <si>
    <t>6700102</t>
  </si>
  <si>
    <t>Brochure prospection 2026</t>
  </si>
  <si>
    <t>6700102000000</t>
  </si>
  <si>
    <t>6700103</t>
  </si>
  <si>
    <t>Brochure prospection institut 2026</t>
  </si>
  <si>
    <t>671685</t>
  </si>
  <si>
    <t>Fiche Diagnostique</t>
  </si>
  <si>
    <t>999999671685</t>
  </si>
  <si>
    <t>6810101</t>
  </si>
  <si>
    <t>Vanity vide mon rituel éclat fermete</t>
  </si>
  <si>
    <t>6810102</t>
  </si>
  <si>
    <t>Sleeve pour vanity mon rituel éclat fermete</t>
  </si>
  <si>
    <t>7000362</t>
  </si>
  <si>
    <t>Premium - MEA Crème Purifiante pour le Visage</t>
  </si>
  <si>
    <t>7000363</t>
  </si>
  <si>
    <t>Premium - MEA Crème Purifiante pour le Visage *sans PLV volumineuse* *PRE-COMMANDE*</t>
  </si>
  <si>
    <t>7000364</t>
  </si>
  <si>
    <t>Essentiel - MEA Crème Purifiante pour le Visage</t>
  </si>
  <si>
    <t>7000365</t>
  </si>
  <si>
    <t>Essentiel - MEA Crème Purifiante pour le Visage *sans PLV volumineuse*</t>
  </si>
  <si>
    <t>7000368</t>
  </si>
  <si>
    <t>Essentiel - MEA Noël 2024</t>
  </si>
  <si>
    <t>7000369</t>
  </si>
  <si>
    <t>Essentiel - MEA Noël 2024 *sans panneau vitrine</t>
  </si>
  <si>
    <t>7000424</t>
  </si>
  <si>
    <t>Premium - MEA Crème Purifiante pour le Visage *sans PLV volumineuse* *PRE-COMMANDE* (copie)</t>
  </si>
  <si>
    <t>7000431</t>
  </si>
  <si>
    <t>Présentoir Régénérants 2026 vide + 4 testeurs</t>
  </si>
  <si>
    <t>7000436</t>
  </si>
  <si>
    <t>Lot 4 testeurs Kit TG VIP Retail Régénérants 2026</t>
  </si>
  <si>
    <t>7000466</t>
  </si>
  <si>
    <t>Présentoir déodorants 2026 + 2 testeurs</t>
  </si>
  <si>
    <t>7000467</t>
  </si>
  <si>
    <t>Présentoir onpacks 2026 + 5 testeurs</t>
  </si>
  <si>
    <t>7000468</t>
  </si>
  <si>
    <t>Présentoir Édition Limitée 2026 + 3 testeurs</t>
  </si>
  <si>
    <t>7000470</t>
  </si>
  <si>
    <t>Présentoir Crayons à Lèvres - Édition Limitée 2026 + 4 testeurs</t>
  </si>
  <si>
    <t>7000471</t>
  </si>
  <si>
    <t xml:space="preserve">Présentoir Sérum Hydratant Plus 2026 </t>
  </si>
  <si>
    <t>7000472</t>
  </si>
  <si>
    <t xml:space="preserve">Sleeve Sérum Hydratant Plus 2026 </t>
  </si>
  <si>
    <t>7021252</t>
  </si>
  <si>
    <t>Kit Offert -  Offre par 15 - Toujours plus rayonnante</t>
  </si>
  <si>
    <t>7021253</t>
  </si>
  <si>
    <t>Kit Offert -  Offre par 30 - Toujours plus rayonnante</t>
  </si>
  <si>
    <t>7021263</t>
  </si>
  <si>
    <t>Kit Offert - Offre par 10 - Toujours plus rayonnante</t>
  </si>
  <si>
    <t>7021332</t>
  </si>
  <si>
    <t>Premium - MEA Régénérants 2024</t>
  </si>
  <si>
    <t>7021333</t>
  </si>
  <si>
    <t>Premium - MEA Régénérants 2024 *sans PLV volumineuse*</t>
  </si>
  <si>
    <t>7021334</t>
  </si>
  <si>
    <t>Essentiel - MEA Régénérants 2024</t>
  </si>
  <si>
    <t>7021335</t>
  </si>
  <si>
    <t>Essentiel - MEA Régénérants 2024 *sans PLV volumineuse*</t>
  </si>
  <si>
    <t>7021336</t>
  </si>
  <si>
    <t>Référencement - Régénérants Intensifs 2024</t>
  </si>
  <si>
    <t>7021337</t>
  </si>
  <si>
    <t>Référencement - Nouveautés Régénérants Intensifs 2024 *sans PLV volumineuse*</t>
  </si>
  <si>
    <t>7021338</t>
  </si>
  <si>
    <t>Réassort - Nouveautés Régénérants Intensifs 2024</t>
  </si>
  <si>
    <t>7021381</t>
  </si>
  <si>
    <t>MEA Régénérants - Premium 2025 *PRÉ-COMMANDE*</t>
  </si>
  <si>
    <t>7021382</t>
  </si>
  <si>
    <t>MEA Régénérants - Premium 2025 *sans PLV* *PRÉ-COMMANDE*</t>
  </si>
  <si>
    <t>7021383</t>
  </si>
  <si>
    <t>MEA Régénérants - Essentiel 2025 *PRE-COMMANDE*</t>
  </si>
  <si>
    <t>7021432</t>
  </si>
  <si>
    <t>MEA Régénérants 2026 - TG VIP Retail (copie)</t>
  </si>
  <si>
    <t>7021433</t>
  </si>
  <si>
    <t>MEA Régénérants 2026 - Premium (copie)</t>
  </si>
  <si>
    <t>7021434</t>
  </si>
  <si>
    <t>MEA Régénérants 2026 - Standard (copie)</t>
  </si>
  <si>
    <t>7021435</t>
  </si>
  <si>
    <t>7024476</t>
  </si>
  <si>
    <t>MEA Régénérants 2026 - Service client (copie)</t>
  </si>
  <si>
    <t>7031259</t>
  </si>
  <si>
    <t>OF0322 Promotion Déodorants</t>
  </si>
  <si>
    <t>7031289</t>
  </si>
  <si>
    <t>Offre Alice in Food pour Dr. Hauschka - Dès 15 unités</t>
  </si>
  <si>
    <t>7031290</t>
  </si>
  <si>
    <t>Offre Alice in Food pour Dr. Hauschka - Dès 10 unités</t>
  </si>
  <si>
    <t>7031301</t>
  </si>
  <si>
    <t>Offre Alice in Food pour Dr. Hauschka - Dès 15 unités sans PLV</t>
  </si>
  <si>
    <t>7031302</t>
  </si>
  <si>
    <t>Offre Alice in Food pour Dr. Hauschka - Dès 10 unités sans PLV</t>
  </si>
  <si>
    <t>7031309</t>
  </si>
  <si>
    <t>Implantation - Offre Alice in Food pour Dr. Hauschka</t>
  </si>
  <si>
    <t>7031330</t>
  </si>
  <si>
    <t>MEA Compagnons Naturels</t>
  </si>
  <si>
    <t>7031346</t>
  </si>
  <si>
    <t>Exclusivité Institut OPCA 400€ - St Valentin 2024</t>
  </si>
  <si>
    <t>7031366</t>
  </si>
  <si>
    <t>Premium - MEA Noël 2024</t>
  </si>
  <si>
    <t>7031367</t>
  </si>
  <si>
    <t>Premium - MEA Noël 2024 *sans panneau vitrine</t>
  </si>
  <si>
    <t>7031370</t>
  </si>
  <si>
    <t>MEA Edition Limitée Crème pour les Mains Noël 2024</t>
  </si>
  <si>
    <t>7031371</t>
  </si>
  <si>
    <t>MEA Offre Crèmes Solaire pour le Visage Teintée 2026 PREMIUM</t>
  </si>
  <si>
    <t>7031372</t>
  </si>
  <si>
    <t>MEA Offre Crèmes Solaire pour le Visage Teintée 2026 STANDARD</t>
  </si>
  <si>
    <t>7031373</t>
  </si>
  <si>
    <t>MEA Offre Crèmes Solaire pour le Visage Teintée 2026 ESSENTIEL</t>
  </si>
  <si>
    <t>7031375</t>
  </si>
  <si>
    <t>Premium - MEA Corps 2024</t>
  </si>
  <si>
    <t>7031376</t>
  </si>
  <si>
    <t>Essentiel - MEA Corps 2024</t>
  </si>
  <si>
    <t>7031380</t>
  </si>
  <si>
    <t>Premium spécial retail - MEA Corps 2024</t>
  </si>
  <si>
    <t>7031393</t>
  </si>
  <si>
    <t>OPCA Institut St Valentin 2025 - 500€</t>
  </si>
  <si>
    <t>7031394</t>
  </si>
  <si>
    <t>OPCA Instituts Juin 2025</t>
  </si>
  <si>
    <t>7031400</t>
  </si>
  <si>
    <t>MEA Déodorants 2025</t>
  </si>
  <si>
    <t>7031428</t>
  </si>
  <si>
    <t>MEA Corps 2025 - Premium (copie)</t>
  </si>
  <si>
    <t>7031429</t>
  </si>
  <si>
    <t>MEA Corps 2025 - Essentiel</t>
  </si>
  <si>
    <t>7031440</t>
  </si>
  <si>
    <t>MEA Déodorants 2026 - Premium</t>
  </si>
  <si>
    <t>7031441</t>
  </si>
  <si>
    <t>MEA Déodorants 2026 - Standard</t>
  </si>
  <si>
    <t>7031464</t>
  </si>
  <si>
    <t xml:space="preserve">MEA Corps 2026 - Standard </t>
  </si>
  <si>
    <t>7031465</t>
  </si>
  <si>
    <t>MEA Corps 2026 - Essentiel</t>
  </si>
  <si>
    <t>7041329</t>
  </si>
  <si>
    <t>Exclusivité Institut - MEA2 Noël 2023</t>
  </si>
  <si>
    <t>7041390</t>
  </si>
  <si>
    <t>OP Bains</t>
  </si>
  <si>
    <t>7061201</t>
  </si>
  <si>
    <t>Offre de référencement pinceaux</t>
  </si>
  <si>
    <t>9999997061201</t>
  </si>
  <si>
    <t>7061376</t>
  </si>
  <si>
    <t>MEA Maquillage Teint Parfait 2024</t>
  </si>
  <si>
    <t>7061396</t>
  </si>
  <si>
    <t>MEA Maquillage Printanier 2025 *PRE-COMMANDE*</t>
  </si>
  <si>
    <t>7061397</t>
  </si>
  <si>
    <t>Offre référencement Baumes Stick Lèvres et Joues</t>
  </si>
  <si>
    <t>7061401</t>
  </si>
  <si>
    <t>Offre maquillage look - client non MUP *PRE-COMMANDE*</t>
  </si>
  <si>
    <t>7061402</t>
  </si>
  <si>
    <t>Offre maquillage teint - client non MUP *PRE-COMMANDE*</t>
  </si>
  <si>
    <t>7061406</t>
  </si>
  <si>
    <t>MEA Mascara Longue Tenue 2025</t>
  </si>
  <si>
    <t>7061407</t>
  </si>
  <si>
    <t>MEA Mascara - Référencement 2025</t>
  </si>
  <si>
    <t>7061444</t>
  </si>
  <si>
    <t>MEA Éd. Limitée 2026 Maq. - Standard</t>
  </si>
  <si>
    <t>7061469</t>
  </si>
  <si>
    <t>Présentoir maquillage best-sellers 2026 + 5 testeurs</t>
  </si>
  <si>
    <t>7061469000000</t>
  </si>
  <si>
    <t>7131247</t>
  </si>
  <si>
    <t>Un bronzage Sublime</t>
  </si>
  <si>
    <t>9999997131247</t>
  </si>
  <si>
    <t>7131285</t>
  </si>
  <si>
    <t>Offre Rituel Pure clarté - offre 1 DH3085</t>
  </si>
  <si>
    <t>3770026497128</t>
  </si>
  <si>
    <t>7131286</t>
  </si>
  <si>
    <t>Offre Rituel Pure clarté - offre 2 DH3086</t>
  </si>
  <si>
    <t>3770026497135</t>
  </si>
  <si>
    <t>7131287</t>
  </si>
  <si>
    <t>Offre autour de la Rose - offre 1</t>
  </si>
  <si>
    <t>3770026497142</t>
  </si>
  <si>
    <t>7131288</t>
  </si>
  <si>
    <t>Offre autour de la Rose - offre 2</t>
  </si>
  <si>
    <t>3770026497159</t>
  </si>
  <si>
    <t>7131298</t>
  </si>
  <si>
    <t>Kit Offert Référencement - MEA OnPack Rituel 2023</t>
  </si>
  <si>
    <t>7131300</t>
  </si>
  <si>
    <t>Essentiel - MEA Partenariat Kenya Édition Limitée 2023</t>
  </si>
  <si>
    <t>7131306</t>
  </si>
  <si>
    <t>Kit Offert Essentiel - MEA OnPack Rituel 2023 *sans PLV*</t>
  </si>
  <si>
    <t>7131312</t>
  </si>
  <si>
    <t>Pack cadeau pour Formation Joli Moi</t>
  </si>
  <si>
    <t>3770026497203</t>
  </si>
  <si>
    <t>7131314</t>
  </si>
  <si>
    <t>Kit Offert Premium - MEA OnPack Rituel 2023</t>
  </si>
  <si>
    <t>7131317</t>
  </si>
  <si>
    <t>Réassort - MEA Crème de Jour à l'Abricot</t>
  </si>
  <si>
    <t>7131318</t>
  </si>
  <si>
    <t>Premium - MEA Rituel Pureté</t>
  </si>
  <si>
    <t>7131319</t>
  </si>
  <si>
    <t>Essentiel - MEA Rituel Pureté</t>
  </si>
  <si>
    <t>7131339</t>
  </si>
  <si>
    <t>Premium - MEA OnPacks 2024</t>
  </si>
  <si>
    <t>7131340</t>
  </si>
  <si>
    <t>Premium - MEA OnPacks 2024 *sans PLV volumineuse*</t>
  </si>
  <si>
    <t>7131341</t>
  </si>
  <si>
    <t>Essentiel - MEA OnPacks 2024</t>
  </si>
  <si>
    <t>7131342</t>
  </si>
  <si>
    <t>Essentiel - MEA OnPacks 2024 *sans PLV volumineuse*</t>
  </si>
  <si>
    <t>7131343</t>
  </si>
  <si>
    <t>Référencement - MEA OnPacks 2024</t>
  </si>
  <si>
    <t>7131347</t>
  </si>
  <si>
    <t>Exclusivité Institut OPCA 400€ - Fête des Mères 2024</t>
  </si>
  <si>
    <t>7131348</t>
  </si>
  <si>
    <t>Premium - MEA Solaires 2024</t>
  </si>
  <si>
    <t>7131349</t>
  </si>
  <si>
    <t>Essentiel - MEA Solaires 2024</t>
  </si>
  <si>
    <t>7131350</t>
  </si>
  <si>
    <t>Offre inter comptoir - MEA Rituels Pureté 2024</t>
  </si>
  <si>
    <t>7131351</t>
  </si>
  <si>
    <t>Offre linéaire - MEA Rituels Pureté 2024</t>
  </si>
  <si>
    <t>7131352</t>
  </si>
  <si>
    <t>Premium - Édition Limitée Anthyllide 2024</t>
  </si>
  <si>
    <t>7131353</t>
  </si>
  <si>
    <t>Premium - Édition Limitée Anthyllide 2024 *sans panneau* vitrine*</t>
  </si>
  <si>
    <t>7131354</t>
  </si>
  <si>
    <t>Essentiel - Édition Limitée Anthyllide 2024</t>
  </si>
  <si>
    <t>7131355</t>
  </si>
  <si>
    <t>MEA Essentiels de l'été</t>
  </si>
  <si>
    <t>7131356</t>
  </si>
  <si>
    <t>Référencement - MEA Essentiels de l'été</t>
  </si>
  <si>
    <t>7131357</t>
  </si>
  <si>
    <t>Lancement Baumes Stick Lèvres et Joues - offre Look</t>
  </si>
  <si>
    <t>7131358</t>
  </si>
  <si>
    <t>Lancement Baumes Stick Lèvres et Joues - offre Look *sans panneau*</t>
  </si>
  <si>
    <t>7131359</t>
  </si>
  <si>
    <t>Référencement - Lancement Baumes Stick Lèvres et Joues</t>
  </si>
  <si>
    <t>7131360</t>
  </si>
  <si>
    <t>Référencement - Lancement Baumes Stick Lèvres et Joues *sans panneau vitrine*</t>
  </si>
  <si>
    <t>7131361</t>
  </si>
  <si>
    <t>Offre On Pack Soins de Jour 2024</t>
  </si>
  <si>
    <t>3770026497012</t>
  </si>
  <si>
    <t>7131371</t>
  </si>
  <si>
    <t>Offre contre achat - Exclusif Institut 1000€</t>
  </si>
  <si>
    <t>7131372</t>
  </si>
  <si>
    <t>Offre contre achat - Exclusif Institut 500€</t>
  </si>
  <si>
    <t>7131373</t>
  </si>
  <si>
    <t>Compagnons Naturels - MEA Mains &amp; Lèvres</t>
  </si>
  <si>
    <t>7131374</t>
  </si>
  <si>
    <t>MEA Essentiels de l'été V2</t>
  </si>
  <si>
    <t>7131384</t>
  </si>
  <si>
    <t>MEA Rituel de Soin - Premium 2025 *PRE-COMMANDE*</t>
  </si>
  <si>
    <t>7131385</t>
  </si>
  <si>
    <t>MEA Rituel de Soin - Essentiel 2025 *PRE-COMMANDE*</t>
  </si>
  <si>
    <t>7131386</t>
  </si>
  <si>
    <t>MEA Régénérants - Essentiel 2025 *sans PLV* *PRE-COMMANDE*</t>
  </si>
  <si>
    <t>7131387</t>
  </si>
  <si>
    <t>MEA Rituel de Soin - Référencement 2025</t>
  </si>
  <si>
    <t>7131388</t>
  </si>
  <si>
    <t>Offre contre achat - Exclusif Institut 500€ V2</t>
  </si>
  <si>
    <t>7131389</t>
  </si>
  <si>
    <t>7131391</t>
  </si>
  <si>
    <t>Offre contre achat Noël 2024 - 500€</t>
  </si>
  <si>
    <t>7131392</t>
  </si>
  <si>
    <t>Offre contre achat Noël 2024 - 1000€</t>
  </si>
  <si>
    <t>7131395</t>
  </si>
  <si>
    <t>MEA Édition Limitée Rose 2025</t>
  </si>
  <si>
    <t>7131398</t>
  </si>
  <si>
    <t>MEA Solaires 2025 *PRÉ-COMMANDE*</t>
  </si>
  <si>
    <t>7131399</t>
  </si>
  <si>
    <t>Offre référencement Crème Solaire pour le Visage Teintée SPF30</t>
  </si>
  <si>
    <t>7131403</t>
  </si>
  <si>
    <t>MEA Solaires 2025 - 10% remise *PRE-COMMANDE*</t>
  </si>
  <si>
    <t>7131403B</t>
  </si>
  <si>
    <t>MEA Solaires 2025 - 10% remise *Sans Testeur Après Soleil*</t>
  </si>
  <si>
    <t>7131404</t>
  </si>
  <si>
    <t>OPCA 300€ SC</t>
  </si>
  <si>
    <t>7131405</t>
  </si>
  <si>
    <t>OPCA 250€ SC</t>
  </si>
  <si>
    <t>7131408</t>
  </si>
  <si>
    <t>MEA Rose/Abricot - TG VIP</t>
  </si>
  <si>
    <t>7131409</t>
  </si>
  <si>
    <t>MEA Rose/Abricot - Premium+</t>
  </si>
  <si>
    <t>7131410</t>
  </si>
  <si>
    <t>MEA Rose/Abricot - Premium</t>
  </si>
  <si>
    <t>7131411</t>
  </si>
  <si>
    <t>MEA Rose/Abricot - Essentiel</t>
  </si>
  <si>
    <t>7131412</t>
  </si>
  <si>
    <t>MEA Rose/Abricot - Premium Bio Indépendant</t>
  </si>
  <si>
    <t>7131413</t>
  </si>
  <si>
    <t>MEA Noël - Premium</t>
  </si>
  <si>
    <t>7131414</t>
  </si>
  <si>
    <t>MEA Noël - Essentiel</t>
  </si>
  <si>
    <t>7131415</t>
  </si>
  <si>
    <t>MEA Noël - Personnalisable</t>
  </si>
  <si>
    <t>7131416</t>
  </si>
  <si>
    <t>MEA Noël - OPCA Institut 1000€</t>
  </si>
  <si>
    <t>7131417</t>
  </si>
  <si>
    <t>MEA Noël - OPCA Institut 500€</t>
  </si>
  <si>
    <t>7131418</t>
  </si>
  <si>
    <t>MEA Crème Purifiante pour le Visage - Premium</t>
  </si>
  <si>
    <t>7131419</t>
  </si>
  <si>
    <t>MEA Crème Purifiante pour le Visage - Essentiel</t>
  </si>
  <si>
    <t>7131420</t>
  </si>
  <si>
    <t>MEA Crème Purifiante pour le Visage - Premium+</t>
  </si>
  <si>
    <t>7131421</t>
  </si>
  <si>
    <t>MEA Rose/Abricot - Premium M&amp;F (copie)</t>
  </si>
  <si>
    <t>7131422</t>
  </si>
  <si>
    <t>MEA Rose/Abricot - Essentiel M&amp;F (copie)</t>
  </si>
  <si>
    <t>7131423</t>
  </si>
  <si>
    <t>MEA Noël - Référencement (copie)</t>
  </si>
  <si>
    <t>7131425</t>
  </si>
  <si>
    <t>MEA Compagnons Naturels 2025 - Premium (copie)</t>
  </si>
  <si>
    <t>7131426</t>
  </si>
  <si>
    <t>MEA Compagnons Naturels 2025 - Standard (copie)</t>
  </si>
  <si>
    <t>7131427</t>
  </si>
  <si>
    <t>MEA Compagnons Naturels 2025 - Essentiel (copie)</t>
  </si>
  <si>
    <t>7131430</t>
  </si>
  <si>
    <t>Pack découverte prospection 2025</t>
  </si>
  <si>
    <t>7131437</t>
  </si>
  <si>
    <t>MEA Onpacks 2026 - Premium</t>
  </si>
  <si>
    <t>7131438</t>
  </si>
  <si>
    <t>MEA Onpacks 2026 - Standard</t>
  </si>
  <si>
    <t>7131439</t>
  </si>
  <si>
    <t>MEA Onpacks 2026 - Essentiel</t>
  </si>
  <si>
    <t>7131442</t>
  </si>
  <si>
    <t>MEA Éd. Limitée 2026 Grands formats - Premium</t>
  </si>
  <si>
    <t>7131443</t>
  </si>
  <si>
    <t>MEA Éd. Limitée 2026 Grands formats - Standard</t>
  </si>
  <si>
    <t>7131445</t>
  </si>
  <si>
    <t>MEA Crème Purifiante 2026 - TG VIP</t>
  </si>
  <si>
    <t>7131446</t>
  </si>
  <si>
    <t>MEA Crème Purifiante 2026 - Premium RETAIL</t>
  </si>
  <si>
    <t>7131447</t>
  </si>
  <si>
    <t>MEA Crème Purifiante 2026 - Standard RETAIL</t>
  </si>
  <si>
    <t>7131448</t>
  </si>
  <si>
    <t>MEA Crème Purifiante 2026 - Essentiel RETAIL</t>
  </si>
  <si>
    <t>7131449</t>
  </si>
  <si>
    <t>MEA Crème Purifiante 2026 - Exclusif RETAIL</t>
  </si>
  <si>
    <t>7131450</t>
  </si>
  <si>
    <t>MEA Crème Purifiante 2026 - Premium INSTITUT</t>
  </si>
  <si>
    <t>7131451</t>
  </si>
  <si>
    <t>MEA Crème Purifiante 2026 - Standard INSTITUT</t>
  </si>
  <si>
    <t>7131452</t>
  </si>
  <si>
    <t>MEA Crème Purifiante 2026 - Essentiel INSTITUT</t>
  </si>
  <si>
    <t>7131453</t>
  </si>
  <si>
    <t>MEA Cures 2026 - Premium</t>
  </si>
  <si>
    <t>7131454</t>
  </si>
  <si>
    <t>MEA Cures 2026 - Standard</t>
  </si>
  <si>
    <t>7131455</t>
  </si>
  <si>
    <t>MEA Cures 2026 - Essentiel</t>
  </si>
  <si>
    <t>7131456</t>
  </si>
  <si>
    <t>MEA Essentiels du quotidien 2026 - Premium</t>
  </si>
  <si>
    <t>7131457</t>
  </si>
  <si>
    <t>MEA Essentiels du quotidien 2026 - Standard</t>
  </si>
  <si>
    <t>7131458</t>
  </si>
  <si>
    <t>MEA Essentiels du quotidien 2026 - Essentiel</t>
  </si>
  <si>
    <t>7131459</t>
  </si>
  <si>
    <t>MEA Sérum Hydratant Plus 2026 - TG VIP</t>
  </si>
  <si>
    <t>7131460</t>
  </si>
  <si>
    <t>MEA Sérum Hydratant Plus 2026 - Premium</t>
  </si>
  <si>
    <t>7131461</t>
  </si>
  <si>
    <t>MEA Sérum Hydratant Plus 2026 - Standard</t>
  </si>
  <si>
    <t>7131462</t>
  </si>
  <si>
    <t>MEA Sérum Hydratant Plus 2026 - Essentiel</t>
  </si>
  <si>
    <t>7131463</t>
  </si>
  <si>
    <t>MEA Sérum Hydratant Plus 2026 - Référencement</t>
  </si>
  <si>
    <t>7131471</t>
  </si>
  <si>
    <t>MEA Éd. Limitée 2026 Grands formats - Essentiel (copie)</t>
  </si>
  <si>
    <t>7131472</t>
  </si>
  <si>
    <t>OPCA Institut Février Lilas 500€ (copie)</t>
  </si>
  <si>
    <t>7131473</t>
  </si>
  <si>
    <t>MEA Onpacks 2026 - Premium ELSIE</t>
  </si>
  <si>
    <t>7131474</t>
  </si>
  <si>
    <t>MEA Onpacks 2026 - Standard ELSIE (copie)</t>
  </si>
  <si>
    <t>7131475</t>
  </si>
  <si>
    <t>MEA Éd. Limitée 2026 Grands formats - Premium ELSIE (copie)</t>
  </si>
  <si>
    <t>7131477</t>
  </si>
  <si>
    <t>MEA Compagnons Naturels 2026 - Service client (copie)</t>
  </si>
  <si>
    <t>7131478</t>
  </si>
  <si>
    <t>MEA Éd. Limitée 2026 Grands formats - Standard 2 REFS</t>
  </si>
  <si>
    <t>7131479</t>
  </si>
  <si>
    <t>MEA Éd. Limitée 2026 Grands formats - Essentiel 2 REFS</t>
  </si>
  <si>
    <t>7131480</t>
  </si>
  <si>
    <t>MEA Éd. Limitée 2026 Grands formats - Essentiel 6 unités</t>
  </si>
  <si>
    <t>7131481</t>
  </si>
  <si>
    <t>MEA Essentiels du quotidien 2026 - Groupement (Ambassadeurs Elsie)</t>
  </si>
  <si>
    <t>7131482</t>
  </si>
  <si>
    <t>MEA Noël 2026 - Premium - Exclusif retail</t>
  </si>
  <si>
    <t>7131483</t>
  </si>
  <si>
    <t>MEA Noël 2026 - Essentiel - Exclusif retail</t>
  </si>
  <si>
    <t>7131484</t>
  </si>
  <si>
    <t>MEA Noël 2026 - Essentiel - Exclusif institut</t>
  </si>
  <si>
    <t>7131485</t>
  </si>
  <si>
    <t>OPCA Institut Noël 2026 500€</t>
  </si>
  <si>
    <t>7131486</t>
  </si>
  <si>
    <t>OPCA Institut Noël 2026 1000€</t>
  </si>
  <si>
    <t>7131487</t>
  </si>
  <si>
    <t>OPCA Institut Été 2026 600€</t>
  </si>
  <si>
    <t>7131488</t>
  </si>
  <si>
    <t>Trousses découverte 2026</t>
  </si>
  <si>
    <t>7131489</t>
  </si>
  <si>
    <t xml:space="preserve">Vanity Régénérants Intensifs 2026	</t>
  </si>
  <si>
    <t>7131490</t>
  </si>
  <si>
    <t>"MEA Essentiels du quotidien 2026 - Groupement  (Kare Santé - Anton &amp; Willem - Pharmo Naturel + Cercle des 15 + gros faiseurs)"</t>
  </si>
  <si>
    <t>7201378</t>
  </si>
  <si>
    <t>MEA Habillage cabine - Linge et accessoires *PRE-COMMANDE*</t>
  </si>
  <si>
    <t>7201379</t>
  </si>
  <si>
    <t>MEA Lot de linge cabine *PRE-COMMANDE*</t>
  </si>
  <si>
    <t>7XXX</t>
  </si>
  <si>
    <t>Essentiel - MEA Huiles et Laits 2023 (copie)</t>
  </si>
  <si>
    <t>8010102</t>
  </si>
  <si>
    <t>9999998010102</t>
  </si>
  <si>
    <t>8010110</t>
  </si>
  <si>
    <t>9999998010110</t>
  </si>
  <si>
    <t>8010115</t>
  </si>
  <si>
    <t>8010115999999</t>
  </si>
  <si>
    <t>8010116</t>
  </si>
  <si>
    <t>8010201</t>
  </si>
  <si>
    <t>9999998010201</t>
  </si>
  <si>
    <t>8010214</t>
  </si>
  <si>
    <t>Sérum Hydratant Plus - 30 ml *PRE-SERIE*</t>
  </si>
  <si>
    <t>8010353</t>
  </si>
  <si>
    <t>9999998010353</t>
  </si>
  <si>
    <t>8010368</t>
  </si>
  <si>
    <t>Crème de Jour Légère à la Rose 30 ml - Edition limitée 2022</t>
  </si>
  <si>
    <t>99998010368</t>
  </si>
  <si>
    <t>8010369</t>
  </si>
  <si>
    <t>Crème de Jour au Coing 30 ml - Edition limitée 2022</t>
  </si>
  <si>
    <t>99998010369</t>
  </si>
  <si>
    <t>8010384</t>
  </si>
  <si>
    <t>Crème de Jour Légère à la Rose 30 ml Edition Limitée 2025 *PRE-SERIE*</t>
  </si>
  <si>
    <t>4020829109186</t>
  </si>
  <si>
    <t>8010385</t>
  </si>
  <si>
    <t>4020829116849</t>
  </si>
  <si>
    <t>8010386</t>
  </si>
  <si>
    <t>4020829116535</t>
  </si>
  <si>
    <t>8010387</t>
  </si>
  <si>
    <t>4020829116603</t>
  </si>
  <si>
    <t>8010388</t>
  </si>
  <si>
    <t>4020829116696</t>
  </si>
  <si>
    <t>8010389</t>
  </si>
  <si>
    <t>4020829116764</t>
  </si>
  <si>
    <t>8010390</t>
  </si>
  <si>
    <t>8010390000000</t>
  </si>
  <si>
    <t>8010391</t>
  </si>
  <si>
    <t>8010391000000</t>
  </si>
  <si>
    <t>8010392</t>
  </si>
  <si>
    <t>8010392000000</t>
  </si>
  <si>
    <t>8010501</t>
  </si>
  <si>
    <t>8010501999999</t>
  </si>
  <si>
    <t>8010601</t>
  </si>
  <si>
    <t>42239598</t>
  </si>
  <si>
    <t>8010602</t>
  </si>
  <si>
    <t xml:space="preserve">Baume pour les Lèvres - 4,5 ml </t>
  </si>
  <si>
    <t>8010610</t>
  </si>
  <si>
    <t>Stick Eclat des Lèvres - 4,9 g*Version Anglaise*</t>
  </si>
  <si>
    <t>42239574</t>
  </si>
  <si>
    <t>8010704</t>
  </si>
  <si>
    <t>Cure Intensive Jour/Nuit pour Peaux Sensibles 10 amp</t>
  </si>
  <si>
    <t>8010706</t>
  </si>
  <si>
    <t>8010706999999</t>
  </si>
  <si>
    <t>8010725</t>
  </si>
  <si>
    <t>Cure Intensive Clarifiante (à partir de 25 ans) - 40 ml*DLV 07/2026*</t>
  </si>
  <si>
    <t>8010725999999</t>
  </si>
  <si>
    <t>8010727</t>
  </si>
  <si>
    <t>Cure Revitalisante &amp; Stimulante 28 ampoules x 2ml (copie)</t>
  </si>
  <si>
    <t>8010728</t>
  </si>
  <si>
    <t>Cure Apaisante &amp; Équilibrante 28 ampoules x 2 ml *PRE-SERIE*</t>
  </si>
  <si>
    <t>8010729</t>
  </si>
  <si>
    <t>Cure Apaisante &amp; Équilibrante 7 ampoules x 2 ml (copie)</t>
  </si>
  <si>
    <t>8011037</t>
  </si>
  <si>
    <t>Calendrier de l'Avent Noël 2023</t>
  </si>
  <si>
    <t>9999998011037</t>
  </si>
  <si>
    <t>8011049</t>
  </si>
  <si>
    <t>8011049999999</t>
  </si>
  <si>
    <t>8011062</t>
  </si>
  <si>
    <t xml:space="preserve">Calendrier de l’Avent 2026 Pré série </t>
  </si>
  <si>
    <t>4020829118744</t>
  </si>
  <si>
    <t>8020201</t>
  </si>
  <si>
    <t>Sérum Régénérant Jour/Nuit - 30 ml</t>
  </si>
  <si>
    <t>8020201999999</t>
  </si>
  <si>
    <t>8020310</t>
  </si>
  <si>
    <t>8020702</t>
  </si>
  <si>
    <t>Cure Intensive Rééquilibrante - 40 ml</t>
  </si>
  <si>
    <t>8020702999999</t>
  </si>
  <si>
    <t>8020717</t>
  </si>
  <si>
    <t>9999998020717</t>
  </si>
  <si>
    <t>8020718</t>
  </si>
  <si>
    <t>9999998020718</t>
  </si>
  <si>
    <t>8021046</t>
  </si>
  <si>
    <t>4020829113565</t>
  </si>
  <si>
    <t>8030125</t>
  </si>
  <si>
    <t>9999998030125</t>
  </si>
  <si>
    <t>8030129</t>
  </si>
  <si>
    <t>Lait Crème pour le Corps Rose 145 ml Édition Limitée 2025 *PRE-SERIE*</t>
  </si>
  <si>
    <t>4020829109148</t>
  </si>
  <si>
    <t>8030226</t>
  </si>
  <si>
    <t>Huile de Soin Rose 75 ml Édition Limitée 2025 *PRE-SERIE*</t>
  </si>
  <si>
    <t>4020829109117</t>
  </si>
  <si>
    <t>8030303</t>
  </si>
  <si>
    <t>Applicateur Huile au Neem pour les Ongles - 3 ml*DLV 12/25*</t>
  </si>
  <si>
    <t>8030303999999</t>
  </si>
  <si>
    <t>8030308</t>
  </si>
  <si>
    <t>9999998030308</t>
  </si>
  <si>
    <t>8030402</t>
  </si>
  <si>
    <t>Lotion Tonifiante pour les Jambes - 100 ml (copie)</t>
  </si>
  <si>
    <t>8030402999999</t>
  </si>
  <si>
    <t>8030503</t>
  </si>
  <si>
    <t>8030503999999</t>
  </si>
  <si>
    <t>8030601</t>
  </si>
  <si>
    <t>8030601999999</t>
  </si>
  <si>
    <t>8040201</t>
  </si>
  <si>
    <t>9999998040201</t>
  </si>
  <si>
    <t>8040202</t>
  </si>
  <si>
    <t>Bain Moor Lavande - 100 ml</t>
  </si>
  <si>
    <t>8040205</t>
  </si>
  <si>
    <t>Bain Sauge - 100 ml*DLV 07/2026*</t>
  </si>
  <si>
    <t>8040205999999</t>
  </si>
  <si>
    <t>8040225</t>
  </si>
  <si>
    <t>Bain Rose - 100 ml * DLV 01/2026* - 25%* (copie)</t>
  </si>
  <si>
    <t>8040225999999</t>
  </si>
  <si>
    <t>8040305</t>
  </si>
  <si>
    <t>9999998040305</t>
  </si>
  <si>
    <t>8060123</t>
  </si>
  <si>
    <t>Mascara Longue Tenue 01 noir - pré-série</t>
  </si>
  <si>
    <t>8060123999999</t>
  </si>
  <si>
    <t>8060124</t>
  </si>
  <si>
    <t>Mascara Longue Tenue 02 brun - pré-série</t>
  </si>
  <si>
    <t>8060124999999</t>
  </si>
  <si>
    <t>8060131</t>
  </si>
  <si>
    <t xml:space="preserve">Mascara Précision 01 noir </t>
  </si>
  <si>
    <t>8060260</t>
  </si>
  <si>
    <t>Rouge à Lèvres 02 mandevilla Édition Limitée 2025 *PRE-SERIE*</t>
  </si>
  <si>
    <t>8060260999999</t>
  </si>
  <si>
    <t>8060414</t>
  </si>
  <si>
    <t>Crayon à Lèvres 01 pêche - Édition Limitée 2026 *PRE-SERIE*</t>
  </si>
  <si>
    <t>8060415</t>
  </si>
  <si>
    <t>Crayon à Lèvres 02 cerise - Édition Limitée 2026 *PRE-SERIE*</t>
  </si>
  <si>
    <t>8060416</t>
  </si>
  <si>
    <t>Crayon à Lèvres 03 pamplemousse - Édition Limitée 2026 *PRE-SERIE*</t>
  </si>
  <si>
    <t>8060417</t>
  </si>
  <si>
    <t>Crayon à Lèvres 04 litchi - Édition Limitée 2026 *PRE-SERIE*</t>
  </si>
  <si>
    <t>8060531</t>
  </si>
  <si>
    <t>8060531000000</t>
  </si>
  <si>
    <t>8061029</t>
  </si>
  <si>
    <t>9999998061029</t>
  </si>
  <si>
    <t>8401030</t>
  </si>
  <si>
    <t>Miniature - Crème de Jour au Coing - 5 ml DLV 11/26</t>
  </si>
  <si>
    <t>84010306</t>
  </si>
  <si>
    <t>Miniature - Crème de Jour à la Mélisse - 5 ml 09/27</t>
  </si>
  <si>
    <t>8403020</t>
  </si>
  <si>
    <t>Miniature - Huile de Soin Rose - 10 ml 11/27</t>
  </si>
  <si>
    <t>8410203</t>
  </si>
  <si>
    <t>Miniature - Sérum Tonifiant Nuit - 2,5 ml</t>
  </si>
  <si>
    <t>8410203999999</t>
  </si>
  <si>
    <t>8811114</t>
  </si>
  <si>
    <t>Brume Thermale 50 ml Eau Thermale Jonzac</t>
  </si>
  <si>
    <t>881111499999</t>
  </si>
  <si>
    <t>9000000</t>
  </si>
  <si>
    <t>Echantillon de parfum</t>
  </si>
  <si>
    <t>9000000999999</t>
  </si>
  <si>
    <t>9010002</t>
  </si>
  <si>
    <t>Présentoir Soins de Nuit plein - remise 5% comprise</t>
  </si>
  <si>
    <t>9999999010002</t>
  </si>
  <si>
    <t>90120101</t>
  </si>
  <si>
    <t>Etiquette code-barres pour le réétiquetage du Duo Baume Lacté</t>
  </si>
  <si>
    <t>901904</t>
  </si>
  <si>
    <t>Lot de 10 Charlottes</t>
  </si>
  <si>
    <t>999999901904</t>
  </si>
  <si>
    <t>901914</t>
  </si>
  <si>
    <t>Fiche technique</t>
  </si>
  <si>
    <t>999999901914</t>
  </si>
  <si>
    <t>901940</t>
  </si>
  <si>
    <t>Etui pour pinceaux</t>
  </si>
  <si>
    <t>999999901940</t>
  </si>
  <si>
    <t>901941</t>
  </si>
  <si>
    <t>Goupillon Mascara avec manche</t>
  </si>
  <si>
    <t>999999901941</t>
  </si>
  <si>
    <t>901943</t>
  </si>
  <si>
    <t>Pinceau Concealer</t>
  </si>
  <si>
    <t>999999901943</t>
  </si>
  <si>
    <t>901947</t>
  </si>
  <si>
    <t>Eponges Maquillage  « Goutte »</t>
  </si>
  <si>
    <t>999999901947</t>
  </si>
  <si>
    <t>9110001</t>
  </si>
  <si>
    <t>Miroir sur pied</t>
  </si>
  <si>
    <t>9999999110001</t>
  </si>
  <si>
    <t>9110002</t>
  </si>
  <si>
    <t>Présentoirs produits pour animation maquillage</t>
  </si>
  <si>
    <t>4020829068803</t>
  </si>
  <si>
    <t>9110004</t>
  </si>
  <si>
    <t>Sous mains pour animation maquillage</t>
  </si>
  <si>
    <t>4020829068797</t>
  </si>
  <si>
    <t>9120001</t>
  </si>
  <si>
    <t>Classeur Manuel de formation</t>
  </si>
  <si>
    <t>9999999120001</t>
  </si>
  <si>
    <t>982020</t>
  </si>
  <si>
    <t>AVOIR SUR REMISE</t>
  </si>
  <si>
    <t>999999982020</t>
  </si>
  <si>
    <t>982022</t>
  </si>
  <si>
    <t>NOTE DE DEBOURS</t>
  </si>
  <si>
    <t>999999982022</t>
  </si>
  <si>
    <t>982023</t>
  </si>
  <si>
    <t>Divers Comptablité</t>
  </si>
  <si>
    <t>999999982023</t>
  </si>
  <si>
    <t>982024</t>
  </si>
  <si>
    <t>Frais d'inscription séminaire Allemagne</t>
  </si>
  <si>
    <t>999999982024</t>
  </si>
  <si>
    <t>982025</t>
  </si>
  <si>
    <t>refacturation hébergement</t>
  </si>
  <si>
    <t>999999982025</t>
  </si>
  <si>
    <t>982027</t>
  </si>
  <si>
    <t>9999982027</t>
  </si>
  <si>
    <t>982027_0</t>
  </si>
  <si>
    <t xml:space="preserve">Remise </t>
  </si>
  <si>
    <t>999999982027</t>
  </si>
  <si>
    <t>982028</t>
  </si>
  <si>
    <t>Régularisation remise</t>
  </si>
  <si>
    <t>999999982028</t>
  </si>
  <si>
    <t>982029</t>
  </si>
  <si>
    <t>RÉGULARISATION TVA 19,60%</t>
  </si>
  <si>
    <t>999999982029</t>
  </si>
  <si>
    <t>982030</t>
  </si>
  <si>
    <t>Frais de chèque impayé</t>
  </si>
  <si>
    <t>999999982030</t>
  </si>
  <si>
    <t>982031</t>
  </si>
  <si>
    <t>Frais de LCR impayée</t>
  </si>
  <si>
    <t>999999982031</t>
  </si>
  <si>
    <t>982036</t>
  </si>
  <si>
    <t>HOTEL</t>
  </si>
  <si>
    <t>999999982036</t>
  </si>
  <si>
    <t>982038</t>
  </si>
  <si>
    <t>Frais de port - La Poste</t>
  </si>
  <si>
    <t>999999982038</t>
  </si>
  <si>
    <t>982040</t>
  </si>
  <si>
    <t>Frais de port - Transporteurs</t>
  </si>
  <si>
    <t>982041</t>
  </si>
  <si>
    <t>Divers Vente Article Caisse TVA 19,6%</t>
  </si>
  <si>
    <t>999999982041</t>
  </si>
  <si>
    <t>982042</t>
  </si>
  <si>
    <t>Frais de Douane</t>
  </si>
  <si>
    <t>982043</t>
  </si>
  <si>
    <t>Avoir sur produits Maquillages - Geste commercial</t>
  </si>
  <si>
    <t>982044</t>
  </si>
  <si>
    <t>Avoir sur produits arrivés à expiration – geste commercial</t>
  </si>
  <si>
    <t>982045</t>
  </si>
  <si>
    <t>Compensation animation</t>
  </si>
  <si>
    <t>982046</t>
  </si>
  <si>
    <t>Frais de transports retour marchandise</t>
  </si>
  <si>
    <t>982047</t>
  </si>
  <si>
    <t>Prestation à la bulle Dr. Hauschka</t>
  </si>
  <si>
    <t>982048</t>
  </si>
  <si>
    <t>Remise exceptionnelle sur implantation Maquillage</t>
  </si>
  <si>
    <t>982049</t>
  </si>
  <si>
    <t>Avoir sur retour produits Maquillage</t>
  </si>
  <si>
    <t>982050</t>
  </si>
  <si>
    <t>Prestation de service Installation pour Maquillage</t>
  </si>
  <si>
    <t>982051</t>
  </si>
  <si>
    <t>Prestation de service Livraison &amp; Installation pour Maquillage</t>
  </si>
  <si>
    <t>982052</t>
  </si>
  <si>
    <t>Reprise de gamme</t>
  </si>
  <si>
    <t>982060</t>
  </si>
  <si>
    <t>Remboursement Transporteurs</t>
  </si>
  <si>
    <t>982273</t>
  </si>
  <si>
    <t>Divers Facturations TVA 19,6%</t>
  </si>
  <si>
    <t>99-420003790</t>
  </si>
  <si>
    <t>99-429000071</t>
  </si>
  <si>
    <t>992053</t>
  </si>
  <si>
    <t>Sacoche marmotte de prospection</t>
  </si>
  <si>
    <t>992053999999</t>
  </si>
  <si>
    <t>992238</t>
  </si>
  <si>
    <t>RFA</t>
  </si>
  <si>
    <t>992736</t>
  </si>
  <si>
    <t>Miroir de poche Dr. Hauschka</t>
  </si>
  <si>
    <t>4020829064485</t>
  </si>
  <si>
    <t>9F04</t>
  </si>
  <si>
    <t>Soin du Visage Dr. Hauschka - 1ère personne</t>
  </si>
  <si>
    <t>999741887</t>
  </si>
  <si>
    <t>9F04-2</t>
  </si>
  <si>
    <t>Soin du Visage Dr. Hauschka - 2ème personne</t>
  </si>
  <si>
    <t>9F34</t>
  </si>
  <si>
    <t>Soin Relaxant pour le Corps Dr. Hauschka - 1ère personne</t>
  </si>
  <si>
    <t>9F34-3</t>
  </si>
  <si>
    <t>Soin Relaxant pour le Corps Dr. Hauschka - 2ème personne</t>
  </si>
  <si>
    <t>9F36</t>
  </si>
  <si>
    <t>Soin Légèreté de la Tête</t>
  </si>
  <si>
    <t>9F37</t>
  </si>
  <si>
    <t>Soin Future Maman</t>
  </si>
  <si>
    <t>9F38</t>
  </si>
  <si>
    <t>Soin Signature Maison Elle</t>
  </si>
  <si>
    <t>ACOMPTE</t>
  </si>
  <si>
    <t>Acompte</t>
  </si>
  <si>
    <t>AV2000000</t>
  </si>
  <si>
    <t>Kit Auto-animation</t>
  </si>
  <si>
    <t>9999992000000</t>
  </si>
  <si>
    <t>AV4000000</t>
  </si>
  <si>
    <t>Kit animation</t>
  </si>
  <si>
    <t>9999994000000</t>
  </si>
  <si>
    <t>AV5000000</t>
  </si>
  <si>
    <t>AV6131318</t>
  </si>
  <si>
    <t>AV6131319</t>
  </si>
  <si>
    <t>AV6300171</t>
  </si>
  <si>
    <t>Kit PLV Institutionnel Dr. Hauschka</t>
  </si>
  <si>
    <t>AV7000362</t>
  </si>
  <si>
    <t>AV7000363</t>
  </si>
  <si>
    <t>AV7000364</t>
  </si>
  <si>
    <t>AV7000365</t>
  </si>
  <si>
    <t>AV7000368</t>
  </si>
  <si>
    <t>AV7000369</t>
  </si>
  <si>
    <t>Essentiel - MEA Noël 2024 *sans panneau vitrine*</t>
  </si>
  <si>
    <t>AV7021332</t>
  </si>
  <si>
    <t>AV7021333</t>
  </si>
  <si>
    <t>AV7021334</t>
  </si>
  <si>
    <t>AV7021335</t>
  </si>
  <si>
    <t>AV7021336</t>
  </si>
  <si>
    <t>AV7021337</t>
  </si>
  <si>
    <t>AV7021338</t>
  </si>
  <si>
    <t>AV7021381</t>
  </si>
  <si>
    <t>MEA Régénérants - Premium 2025</t>
  </si>
  <si>
    <t>AV7021382</t>
  </si>
  <si>
    <t>MEA Régénérants - Premium 2025 *sans PLV*</t>
  </si>
  <si>
    <t>AV7021383</t>
  </si>
  <si>
    <t>MEA Régénérants - Essentiel 2025</t>
  </si>
  <si>
    <t>AV7021432</t>
  </si>
  <si>
    <t>MEA Régénérants - Essentiel 2025 (copie)</t>
  </si>
  <si>
    <t>AV7021433</t>
  </si>
  <si>
    <t>AV7021434</t>
  </si>
  <si>
    <t>AV7021435</t>
  </si>
  <si>
    <t>AV7024476</t>
  </si>
  <si>
    <t>AV7031259</t>
  </si>
  <si>
    <t>OF0323 Promotion Déodorants</t>
  </si>
  <si>
    <t>AV7031289</t>
  </si>
  <si>
    <t>OF1122 - Offre Alice in Food pour Dr. Hauschka - Dès 15 unités</t>
  </si>
  <si>
    <t>AV7031290</t>
  </si>
  <si>
    <t>OF1122 - Offre Alice in Food pour Dr. Hauschka - Dès 10 unités</t>
  </si>
  <si>
    <t>AV7031327</t>
  </si>
  <si>
    <t>Référencement Lait pour le Corps Bergamote Citronnelle</t>
  </si>
  <si>
    <t>AV7031330</t>
  </si>
  <si>
    <t>AV7031346</t>
  </si>
  <si>
    <t>AV7031366</t>
  </si>
  <si>
    <t>AV7031367</t>
  </si>
  <si>
    <t>Premium - MEA Noël 2024 *sans panneau vitrine*</t>
  </si>
  <si>
    <t>AV7031370</t>
  </si>
  <si>
    <t>AV7031371</t>
  </si>
  <si>
    <t>AV7031372</t>
  </si>
  <si>
    <t>AV7031373</t>
  </si>
  <si>
    <t>AV7031375</t>
  </si>
  <si>
    <t>AV7031376</t>
  </si>
  <si>
    <t>AV7031380</t>
  </si>
  <si>
    <t>AV7031393</t>
  </si>
  <si>
    <t>AV7031394</t>
  </si>
  <si>
    <t>AV7031400</t>
  </si>
  <si>
    <t>AV7031428</t>
  </si>
  <si>
    <t>AV7031429</t>
  </si>
  <si>
    <t>AV7031440</t>
  </si>
  <si>
    <t>AV7031441</t>
  </si>
  <si>
    <t>MEA Déodorants 2026 - Standard (copie)</t>
  </si>
  <si>
    <t>AV7031464</t>
  </si>
  <si>
    <t>MEA Corps 2026 - Standard</t>
  </si>
  <si>
    <t>AV7031465</t>
  </si>
  <si>
    <t>AV7041323</t>
  </si>
  <si>
    <t>Exclusivité Institut - MEA Noël 2023</t>
  </si>
  <si>
    <t>AV7041329</t>
  </si>
  <si>
    <t>AV7041390</t>
  </si>
  <si>
    <t>AV7061376</t>
  </si>
  <si>
    <t>AV7061396</t>
  </si>
  <si>
    <t>AV7061397</t>
  </si>
  <si>
    <t>AV7061401</t>
  </si>
  <si>
    <t>Offre maquillage look - client non MUP</t>
  </si>
  <si>
    <t>AV7061402</t>
  </si>
  <si>
    <t>Offre maquillage teint - client non MUP</t>
  </si>
  <si>
    <t>AV7061406</t>
  </si>
  <si>
    <t>AV7061407</t>
  </si>
  <si>
    <t>AV7061444</t>
  </si>
  <si>
    <t>AV7061469</t>
  </si>
  <si>
    <t>Offre découverte maquillage best-sellers (copie)</t>
  </si>
  <si>
    <t>AV7131242</t>
  </si>
  <si>
    <t>Offre Le temps d'une pause par 4 - remise 10%</t>
  </si>
  <si>
    <t>AV7131243</t>
  </si>
  <si>
    <t>Offre Le temps d'une pause par 2 - remise 5%</t>
  </si>
  <si>
    <t>AV7131297</t>
  </si>
  <si>
    <t>OF0223 Kit Offert Essentiel - MEA OnPack Rituel 2023</t>
  </si>
  <si>
    <t>AV7131298</t>
  </si>
  <si>
    <t>OF0223 Kit Offert Référencement - MEA OnPack Rituel 2023</t>
  </si>
  <si>
    <t>AV7131299</t>
  </si>
  <si>
    <t>OF0423 Premium - MEA Partenariat Kenya Édition Limitée 2023</t>
  </si>
  <si>
    <t>AV7131300</t>
  </si>
  <si>
    <t>OF0423 Essentiel - MEA Partenariat Kenya Édition Limitée 2023</t>
  </si>
  <si>
    <t>AV7131307</t>
  </si>
  <si>
    <t>Offre Premium - MEA Partenariat Kenya Édition Limitée 2023 sans PLV</t>
  </si>
  <si>
    <t>AV7131308</t>
  </si>
  <si>
    <t>Essentiel - MEA Partenariat Kenya Édition Limitée 2023 sans PLV</t>
  </si>
  <si>
    <t>AV7131314</t>
  </si>
  <si>
    <t>OF0223 Kit Offert Premium - MEA OnPack Rituel 2023</t>
  </si>
  <si>
    <t>AV7131315</t>
  </si>
  <si>
    <t>Kit Premium - MEA Crème de Jour à l'Abricot</t>
  </si>
  <si>
    <t>AV7131317</t>
  </si>
  <si>
    <t>AV7131320</t>
  </si>
  <si>
    <t>Exclusivité Institut - MEA Rituel Pureté</t>
  </si>
  <si>
    <t>AV7131322</t>
  </si>
  <si>
    <t>Essentiel - MEA Noël 2023</t>
  </si>
  <si>
    <t>AV7131324</t>
  </si>
  <si>
    <t>Exclusivité Institut OPCA 800€ - MEA Noël 2023</t>
  </si>
  <si>
    <t>AV7131325</t>
  </si>
  <si>
    <t>Kit Premium - MEA Crème de Jour à l'Abricot *sans panneau*</t>
  </si>
  <si>
    <t>AV7131326</t>
  </si>
  <si>
    <t>Premium - MEA Noël 2023*sans panneau vitrine*</t>
  </si>
  <si>
    <t>AV7131339</t>
  </si>
  <si>
    <t>AV7131340</t>
  </si>
  <si>
    <t>AV7131341</t>
  </si>
  <si>
    <t>AV7131342</t>
  </si>
  <si>
    <t>AV7131343</t>
  </si>
  <si>
    <t>AV7131344</t>
  </si>
  <si>
    <t>OPCA 1 Noël 2023</t>
  </si>
  <si>
    <t>AV7131345</t>
  </si>
  <si>
    <t>OPCA 2 Noël 2023</t>
  </si>
  <si>
    <t>AV7131347</t>
  </si>
  <si>
    <t>AV7131348</t>
  </si>
  <si>
    <t>AV7131349</t>
  </si>
  <si>
    <t>AV7131350</t>
  </si>
  <si>
    <t>AV7131351</t>
  </si>
  <si>
    <t>AV7131352</t>
  </si>
  <si>
    <t>AV7131353</t>
  </si>
  <si>
    <t>Premium - Édition Limitée Anthyllide 2024 *sans panneau vitrine*</t>
  </si>
  <si>
    <t>AV7131354</t>
  </si>
  <si>
    <t>AV7131355</t>
  </si>
  <si>
    <t>AV7131356</t>
  </si>
  <si>
    <t>AV7131357</t>
  </si>
  <si>
    <t>AV7131358</t>
  </si>
  <si>
    <t>Lancement Baumes Stick Lèvres et Joues - offre Look *sans Panneau*</t>
  </si>
  <si>
    <t>AV7131359</t>
  </si>
  <si>
    <t>AV7131360</t>
  </si>
  <si>
    <t>AV7131361</t>
  </si>
  <si>
    <t>AV7131371</t>
  </si>
  <si>
    <t>AV7131372</t>
  </si>
  <si>
    <t>AV7131373</t>
  </si>
  <si>
    <t>AV7131374</t>
  </si>
  <si>
    <t>AV7131384</t>
  </si>
  <si>
    <t>MEA Rituel de Soin - Premium 2025</t>
  </si>
  <si>
    <t>AV7131385</t>
  </si>
  <si>
    <t>MEA Rituel de Soin - Essentiel 2025</t>
  </si>
  <si>
    <t>AV7131386</t>
  </si>
  <si>
    <t>MEA Régénérants - Essentiel 2025 *sans PLV*</t>
  </si>
  <si>
    <t>AV7131387</t>
  </si>
  <si>
    <t>AV7131388</t>
  </si>
  <si>
    <t>AV7131389</t>
  </si>
  <si>
    <t>Offre contre achat - Exclusif Institut 1000€ V2</t>
  </si>
  <si>
    <t>AV7131391</t>
  </si>
  <si>
    <t>AV7131392</t>
  </si>
  <si>
    <t>AV7131395</t>
  </si>
  <si>
    <t>AV7131398</t>
  </si>
  <si>
    <t>MEA Solaires 2025</t>
  </si>
  <si>
    <t>AV7131399</t>
  </si>
  <si>
    <t>AV7131403</t>
  </si>
  <si>
    <t>MEA Solaires 2025 - 10% remise</t>
  </si>
  <si>
    <t>AV7131408</t>
  </si>
  <si>
    <t>AV7131409</t>
  </si>
  <si>
    <t>AV7131410</t>
  </si>
  <si>
    <t>AV7131411</t>
  </si>
  <si>
    <t>AV7131412</t>
  </si>
  <si>
    <t>AV7131413</t>
  </si>
  <si>
    <t>AV7131414</t>
  </si>
  <si>
    <t>AV7131415</t>
  </si>
  <si>
    <t>AV7131416</t>
  </si>
  <si>
    <t>AV7131417</t>
  </si>
  <si>
    <t>MEA Noël 2025 - OPCA Institut 500€</t>
  </si>
  <si>
    <t>AV7131418</t>
  </si>
  <si>
    <t>AV7131419</t>
  </si>
  <si>
    <t>AV7131420</t>
  </si>
  <si>
    <t>AV7131421</t>
  </si>
  <si>
    <t>MEA Rose/Abricot - Essentiel (copie)</t>
  </si>
  <si>
    <t>AV7131422</t>
  </si>
  <si>
    <t>AV7131423</t>
  </si>
  <si>
    <t>MEA Noël - Premium (copie)</t>
  </si>
  <si>
    <t>AV7131425</t>
  </si>
  <si>
    <t>AV7131426</t>
  </si>
  <si>
    <t>AV7131427</t>
  </si>
  <si>
    <t>AV7131430</t>
  </si>
  <si>
    <t>AV7131437</t>
  </si>
  <si>
    <t>AV7131438</t>
  </si>
  <si>
    <t>AV7131439</t>
  </si>
  <si>
    <t>AV7131442</t>
  </si>
  <si>
    <t>AV7131443</t>
  </si>
  <si>
    <t>AV7131445</t>
  </si>
  <si>
    <t>AV7131446</t>
  </si>
  <si>
    <t>AV7131447</t>
  </si>
  <si>
    <t>AV7131448</t>
  </si>
  <si>
    <t>AV7131449</t>
  </si>
  <si>
    <t>AV7131450</t>
  </si>
  <si>
    <t>MEA Crème Purifiante 2026 - Exclusif RETAIL (copie)</t>
  </si>
  <si>
    <t>AV7131451</t>
  </si>
  <si>
    <t>AV7131452</t>
  </si>
  <si>
    <t>AV7131453</t>
  </si>
  <si>
    <t>AV7131454</t>
  </si>
  <si>
    <t>AV7131455</t>
  </si>
  <si>
    <t>AV7131456</t>
  </si>
  <si>
    <t>AV7131457</t>
  </si>
  <si>
    <t>AV7131458</t>
  </si>
  <si>
    <t>AV7131459</t>
  </si>
  <si>
    <t>AV7131460</t>
  </si>
  <si>
    <t>AV7131461</t>
  </si>
  <si>
    <t>AV7131462</t>
  </si>
  <si>
    <t>AV7131463</t>
  </si>
  <si>
    <t>AV7131471</t>
  </si>
  <si>
    <t>MEA Éd. Limitée 2026 Grands formats - Standard (copie)</t>
  </si>
  <si>
    <t>AV7131472</t>
  </si>
  <si>
    <t>AV7131473</t>
  </si>
  <si>
    <t>MEA Onpacks 2026 - Essentiel (copie)</t>
  </si>
  <si>
    <t>AV7131474</t>
  </si>
  <si>
    <t>MEA Onpacks 2026 - Premium ELSIE (copie)</t>
  </si>
  <si>
    <t>AV7131475</t>
  </si>
  <si>
    <t>AV7131477</t>
  </si>
  <si>
    <t>AV7131478</t>
  </si>
  <si>
    <t>AV7131479</t>
  </si>
  <si>
    <t>AV7131480</t>
  </si>
  <si>
    <t>AV7131481</t>
  </si>
  <si>
    <t>AV7131482</t>
  </si>
  <si>
    <t>AV7131483</t>
  </si>
  <si>
    <t>AV7131484</t>
  </si>
  <si>
    <t>AV7131485</t>
  </si>
  <si>
    <t>AV7131486</t>
  </si>
  <si>
    <t>AV7131487</t>
  </si>
  <si>
    <t>AV7131488</t>
  </si>
  <si>
    <t>AV7131489</t>
  </si>
  <si>
    <t>Vanity Régénérants Intensifs 2026</t>
  </si>
  <si>
    <t>AV7131490</t>
  </si>
  <si>
    <t>AV7201378</t>
  </si>
  <si>
    <t>AV7201379</t>
  </si>
  <si>
    <t>AV7XXX</t>
  </si>
  <si>
    <t>XXX Essentiel - MEA Noël 2023 (copie)</t>
  </si>
  <si>
    <t>AVMEA Printemps</t>
  </si>
  <si>
    <t>Matériel installation MEA Printemps</t>
  </si>
  <si>
    <t>BP1011054</t>
  </si>
  <si>
    <t>Le Rituel Soin Dr. Hauschka</t>
  </si>
  <si>
    <t>3770026497531</t>
  </si>
  <si>
    <t>CADEAU</t>
  </si>
  <si>
    <t>Cadeau contre achat</t>
  </si>
  <si>
    <t>CASSAMP</t>
  </si>
  <si>
    <t>Casse Ampoule 50</t>
  </si>
  <si>
    <t>9999991010701</t>
  </si>
  <si>
    <t>CBLUSH</t>
  </si>
  <si>
    <t>Cache Blush</t>
  </si>
  <si>
    <t>9999CBLUSH</t>
  </si>
  <si>
    <t>CDE1</t>
  </si>
  <si>
    <t>Votre commande N° par COURRIEL ou TELECOPIE ou COURRIER du xx mois année</t>
  </si>
  <si>
    <t>CDE2</t>
  </si>
  <si>
    <t>Votre commande N° par COURRIEL ou TELECOPIE ou COURRIER du xx mois année via vot</t>
  </si>
  <si>
    <t>COAP</t>
  </si>
  <si>
    <t>Cache Ombres à Paupières</t>
  </si>
  <si>
    <t>4020829057296</t>
  </si>
  <si>
    <t>COAPTRIO</t>
  </si>
  <si>
    <t>Cache Trio Ombres à Paupières</t>
  </si>
  <si>
    <t>9999COAPTRIO</t>
  </si>
  <si>
    <t>CPOUDRE</t>
  </si>
  <si>
    <t>Cache Poudre</t>
  </si>
  <si>
    <t>9999CPOUDRE</t>
  </si>
  <si>
    <t>DISC</t>
  </si>
  <si>
    <t>DOCF</t>
  </si>
  <si>
    <t>Document Formation à joindre à la commande</t>
  </si>
  <si>
    <t>9999DOCF</t>
  </si>
  <si>
    <t>DOSSREV</t>
  </si>
  <si>
    <t>Dossier de formation Revendeur sur Place</t>
  </si>
  <si>
    <t>Delivery_007</t>
  </si>
  <si>
    <t>Frais de port</t>
  </si>
  <si>
    <t>EPU10_S</t>
  </si>
  <si>
    <t>Offert : Cure Peau Repulpée d'un mois Epycure (33€)</t>
  </si>
  <si>
    <t>EvtCo10</t>
  </si>
  <si>
    <t>10% sur votre commande</t>
  </si>
  <si>
    <t>EvtCo10Portail</t>
  </si>
  <si>
    <t>EvtCo15</t>
  </si>
  <si>
    <t>A l’occasion de votre événement en magasin, une remise de 15% supplémentaire vous est accordée sur cette commande.</t>
  </si>
  <si>
    <t>EvtCo15Portail</t>
  </si>
  <si>
    <t>15% sur votre commande.</t>
  </si>
  <si>
    <t>FBAINSINST</t>
  </si>
  <si>
    <t>Fiche produit Bains Institut</t>
  </si>
  <si>
    <t>9999FBAINSINST</t>
  </si>
  <si>
    <t>FBAINSREV</t>
  </si>
  <si>
    <t>Fiche produit Bains Revendeur</t>
  </si>
  <si>
    <t>9999FBAINSREV</t>
  </si>
  <si>
    <t>FG</t>
  </si>
  <si>
    <t>Frais de gestion</t>
  </si>
  <si>
    <t>FINFO</t>
  </si>
  <si>
    <t>Fiche Info Clients - Offre de mise en place Nvx Packagings</t>
  </si>
  <si>
    <t>9999FINFO</t>
  </si>
  <si>
    <t>G5030103</t>
  </si>
  <si>
    <t>Echantillon - Lait pour le Corps Citron Citronnelle - 5 ml</t>
  </si>
  <si>
    <t>GDFOR</t>
  </si>
  <si>
    <t>Guide Formation Dr. Hauschka</t>
  </si>
  <si>
    <t>9999992345678</t>
  </si>
  <si>
    <t>IMPLCHALLENGER</t>
  </si>
  <si>
    <t>Pack Implantation Biocoop Challenger 36 ref</t>
  </si>
  <si>
    <t>3770026497432</t>
  </si>
  <si>
    <t>IMPLCHALLENGERC1</t>
  </si>
  <si>
    <t>Pack Implantation Biocoop Challenger 34 ref C1</t>
  </si>
  <si>
    <t>3770026497272</t>
  </si>
  <si>
    <t>IMPLCOMPAGNON</t>
  </si>
  <si>
    <t>Pack Implantation Biocoop Compagnon 49 ref</t>
  </si>
  <si>
    <t>377002649722</t>
  </si>
  <si>
    <t>IMPLCOMPAGNONC1</t>
  </si>
  <si>
    <t>Pack Implantation Biocoop Compagnon 52 ref C1</t>
  </si>
  <si>
    <t>3770026497449</t>
  </si>
  <si>
    <t>IMPLCOMPAGNONC2</t>
  </si>
  <si>
    <t>Pack Implantation Biocoop Compagnon 52 ref C2</t>
  </si>
  <si>
    <t>3770026497456</t>
  </si>
  <si>
    <t>IMPLMAQ23BC1</t>
  </si>
  <si>
    <t>Pack Implantation Maquillage Biocoop colis 1</t>
  </si>
  <si>
    <t>3770026497357</t>
  </si>
  <si>
    <t>IMPLMAQ23BC2</t>
  </si>
  <si>
    <t>Pack Implantation Maquillage Biocoop colis 2</t>
  </si>
  <si>
    <t>3770026497364</t>
  </si>
  <si>
    <t>INFO</t>
  </si>
  <si>
    <t>INFORMATION</t>
  </si>
  <si>
    <t>INFO LAIT 30 ml</t>
  </si>
  <si>
    <t>Lait Démaquillant 30 ml *DVL 06/2024*</t>
  </si>
  <si>
    <t>INFO LOTION 30 ml</t>
  </si>
  <si>
    <t>Lotion Tonifiante 30 ml *DLV 06/2024*</t>
  </si>
  <si>
    <t>INFO1</t>
  </si>
  <si>
    <t>Offre marketing - Nom de l'offre à compléter</t>
  </si>
  <si>
    <t>9999INFO1</t>
  </si>
  <si>
    <t>INFODIV</t>
  </si>
  <si>
    <t>Libellé ligne à modifier</t>
  </si>
  <si>
    <t>KITANIM</t>
  </si>
  <si>
    <t>KITAUTOA</t>
  </si>
  <si>
    <t>L4010101</t>
  </si>
  <si>
    <t>Lot 5 x Miniature - Crème Purifiante pour le Visage 10 ml - 15% comprise</t>
  </si>
  <si>
    <t>999999L4010101</t>
  </si>
  <si>
    <t>L4010102</t>
  </si>
  <si>
    <t>Lot 5 x Miniature - Lait Démaquillant et Nettoyant 10 ml - 15% comprise</t>
  </si>
  <si>
    <t>999999L4010102</t>
  </si>
  <si>
    <t>L4010201</t>
  </si>
  <si>
    <t>Lot 5 x Miniature - Lotion Tonifiante avec spray - 10 ml - 15% comprise</t>
  </si>
  <si>
    <t>999999L4010201</t>
  </si>
  <si>
    <t>L4010202</t>
  </si>
  <si>
    <t>Lot 5 x Miniature - Lotion Clarifiante avec spray 10 ml - 15% comprise</t>
  </si>
  <si>
    <t>999999L4010202</t>
  </si>
  <si>
    <t>L4010203</t>
  </si>
  <si>
    <t>Lot 5 x Miniature - Sérum Tonifiant Nuit 2,5ml  - 15% comprise</t>
  </si>
  <si>
    <t>999999L4010203</t>
  </si>
  <si>
    <t>L4010302</t>
  </si>
  <si>
    <t>Lot 5 x Miniature - Crème de Jour Légère à la Rose 5 ml  - 15% comprise</t>
  </si>
  <si>
    <t>999999L4010302</t>
  </si>
  <si>
    <t>L4010305</t>
  </si>
  <si>
    <t>Lot 5 x Miniature - Crème de Jour au Coing - 15% comprise</t>
  </si>
  <si>
    <t>999999L4010305</t>
  </si>
  <si>
    <t>L4010306</t>
  </si>
  <si>
    <t>Lot 5 x Miniature - Crème de Jour à la Mélisse 5 ml - 15% comprise</t>
  </si>
  <si>
    <t>999999L4010306</t>
  </si>
  <si>
    <t>L4010307</t>
  </si>
  <si>
    <t>Lot 5 x Miniature - Huile Équilibrante pour le Visage 5 ml - 15% comprise</t>
  </si>
  <si>
    <t>999999L4010307</t>
  </si>
  <si>
    <t>L4010310</t>
  </si>
  <si>
    <t>Lot 5 x Miniature - Crème de Jour à la Rose 5 ml - 15% comprise</t>
  </si>
  <si>
    <t>999999L4010310</t>
  </si>
  <si>
    <t>L4010320</t>
  </si>
  <si>
    <t>Lot 5 x Miniature - Crème de Jour Teintée 5 ml - 15% comprise</t>
  </si>
  <si>
    <t>999999L4010320</t>
  </si>
  <si>
    <t>L4010359</t>
  </si>
  <si>
    <t>Lot de 5 x Miniature - Fluide de Jour Revitalisant - 5ml - 15 % comprise</t>
  </si>
  <si>
    <t>999999L4010359</t>
  </si>
  <si>
    <t>L4010360</t>
  </si>
  <si>
    <t>Lot de 5 x Miniature - Fluide de Jour Apaisant - 5 ml - 15% comprise</t>
  </si>
  <si>
    <t>999999L4010360</t>
  </si>
  <si>
    <t>L4010361</t>
  </si>
  <si>
    <t>Lot de 5 x Miniature - Fluide de Jour Equilibrant - 5 ml - 15% comprise</t>
  </si>
  <si>
    <t>999999L4010361</t>
  </si>
  <si>
    <t>L4010377</t>
  </si>
  <si>
    <t>Lot x 5 Miniature - Crème de Jour à l'Abricot - 5 ml</t>
  </si>
  <si>
    <t>L4010505</t>
  </si>
  <si>
    <t>Lot de 5 x Miniature - Lotion Fraîcheur pour les Yeux 5 ml - 15% comprise</t>
  </si>
  <si>
    <t>999999L4010505</t>
  </si>
  <si>
    <t>L4010706</t>
  </si>
  <si>
    <t>Présentoir Miniature - Masque Purifiant 10 x 10  g - 15% comprise</t>
  </si>
  <si>
    <t>4020829007000</t>
  </si>
  <si>
    <t>L4010707</t>
  </si>
  <si>
    <t>Lot 5 x Miniature - Masque Revitalisant 5 ml - 15% comprise</t>
  </si>
  <si>
    <t>999999L4010707</t>
  </si>
  <si>
    <t>L4010709</t>
  </si>
  <si>
    <t>Lot 5 x Miniature - Masque Apaisant 5 ml - 15% comprise</t>
  </si>
  <si>
    <t>999999L4010709</t>
  </si>
  <si>
    <t>L4010710</t>
  </si>
  <si>
    <t>Lot de 5 x Miniature - Masque Restructurant 5 ml - 15% comprise</t>
  </si>
  <si>
    <t>999999L4010710</t>
  </si>
  <si>
    <t>L4010717</t>
  </si>
  <si>
    <t>Lot 5 x Miniature - Masque Crème Nourrissant 5 ml - 15% comprise</t>
  </si>
  <si>
    <t>999999L4010717</t>
  </si>
  <si>
    <t>L4020717</t>
  </si>
  <si>
    <t>Lot de 5 x Miniature - Sérum Contour des Yeux - Régénérant Intensif 2,5ml</t>
  </si>
  <si>
    <t>L4020718</t>
  </si>
  <si>
    <t>Lot de 5 x Miniature - Sérum de Nuit - Régénérant Intensif 30ml 2,5ml</t>
  </si>
  <si>
    <t>L4030103</t>
  </si>
  <si>
    <t>Lot 5 x Miniature - Lait pour le Corps Citron Citronnelle 10 ml - 15% comprise</t>
  </si>
  <si>
    <t>999999L4030103</t>
  </si>
  <si>
    <t>L4030201</t>
  </si>
  <si>
    <t>Lot 5 x Miniature - Huile de Soin Rose 10 ml - 15% comprise</t>
  </si>
  <si>
    <t>999999L4030201</t>
  </si>
  <si>
    <t>L4030202</t>
  </si>
  <si>
    <t>Lot 5 x Miniature - Huile de Soin Prunelle 10 ml - 15% comprise</t>
  </si>
  <si>
    <t>999999L4030202</t>
  </si>
  <si>
    <t>L4030206</t>
  </si>
  <si>
    <t>Lot de 5 x Miniature - Huile de Soin Moor Lavande - 10 ml</t>
  </si>
  <si>
    <t>L4050203</t>
  </si>
  <si>
    <t>Lot de 5 x Miniature - Crème Potentilla Ultra-Apaisante - 3 ml 15% comprise</t>
  </si>
  <si>
    <t>L5010116</t>
  </si>
  <si>
    <t>Lot de 10 x Echantillon - Baume Lacté Nettoyant - 1,5 ml</t>
  </si>
  <si>
    <t>9999L5010116</t>
  </si>
  <si>
    <t>L5010214</t>
  </si>
  <si>
    <t>Lot de 10 x Échantillon - Sérum Hydra+ 1,5 ml</t>
  </si>
  <si>
    <t>L5010302</t>
  </si>
  <si>
    <t>Lot de 10 Echantillons - Crème de Jour Légère à la Rose - 1,5 ml</t>
  </si>
  <si>
    <t>999999P5010302</t>
  </si>
  <si>
    <t>L5010311</t>
  </si>
  <si>
    <t>Lot de 10 Echantillons - Crème de Jour à la Rose - 1,5 ml (Sans Flyer))</t>
  </si>
  <si>
    <t>L5010360</t>
  </si>
  <si>
    <t>Lot de 10 x Echantillon - Fluide de Jour Apaisant -1,5 ml</t>
  </si>
  <si>
    <t>999999L5010360</t>
  </si>
  <si>
    <t>L5010361</t>
  </si>
  <si>
    <t>Lot de 10 x Echantillon - Fluide de Jour Equilibrant - 1,5ml</t>
  </si>
  <si>
    <t>999999L5010361</t>
  </si>
  <si>
    <t>L5010377</t>
  </si>
  <si>
    <t>Lot de 10 Echantillons - Crème de Jour à l'Abricot - 1,5ml</t>
  </si>
  <si>
    <t>L5010378</t>
  </si>
  <si>
    <t>Lot de 10 Echantillons - Crème de Jour à l'Abricot - 1,5ml (copie)</t>
  </si>
  <si>
    <t>L5020201</t>
  </si>
  <si>
    <t>Lot de 10 x Echantillon - Sérum Régénérant Jour / Nuit avec fly - 1,5 ml</t>
  </si>
  <si>
    <t>999999P5020201</t>
  </si>
  <si>
    <t>L5020302</t>
  </si>
  <si>
    <t>Lot de 10 x Echantillon - Crème de Jour Régénérante -1,5 ml</t>
  </si>
  <si>
    <t>999999P5020302</t>
  </si>
  <si>
    <t>L5020310</t>
  </si>
  <si>
    <t>Lot de 10 x Echantillon - Crème de Jour Régénérante Eclat du Teint - 1,5 ml</t>
  </si>
  <si>
    <t>999999P5020310</t>
  </si>
  <si>
    <t>L5020703</t>
  </si>
  <si>
    <t>Lot de 10 x Echantillon Crème de Jour Régénérante Intensive - 1,5 ml</t>
  </si>
  <si>
    <t>999999P5020703</t>
  </si>
  <si>
    <t>L5020717</t>
  </si>
  <si>
    <t>Lot de 10 x Echantillon - Sérum Contour des Yeux - Régénérant Intensif 1,5ml</t>
  </si>
  <si>
    <t>L5020718</t>
  </si>
  <si>
    <t>Lot de 10 x Echantillon - Sérum de Nuit - Régénérant Intensif 30ml 1,5ml</t>
  </si>
  <si>
    <t>9999L5020718</t>
  </si>
  <si>
    <t>L5020719</t>
  </si>
  <si>
    <t>Lot de 10 x Échantillon – Huile Fortifiante – Régénérant Intensif – 1,5 ml</t>
  </si>
  <si>
    <t>L5030125</t>
  </si>
  <si>
    <t>Lot de 10 Echantillon - Lait pour le Corps Bergamote Citronnelle - 5 ml</t>
  </si>
  <si>
    <t>L5030301</t>
  </si>
  <si>
    <t>Lot de 10 x Echantillon - Crème pour les Mains avec Fly - 2,5 ML</t>
  </si>
  <si>
    <t>999999L5030301</t>
  </si>
  <si>
    <t>L5030503</t>
  </si>
  <si>
    <t>Lot de 10 Echantillon - Crème Solaire pour le Visage Teintée SPF 30 - 1,5 ML</t>
  </si>
  <si>
    <t>L5050201</t>
  </si>
  <si>
    <t>Lot de 10 x Echantillon - Crème Intensive à la Ficoïde à Cristaux - 1,5 ml</t>
  </si>
  <si>
    <t>999999P5050201</t>
  </si>
  <si>
    <t>L8010706</t>
  </si>
  <si>
    <t>Présentoir Miniature - Masque Purifiant 10 x 10  g</t>
  </si>
  <si>
    <t>L801070699999</t>
  </si>
  <si>
    <t>P5010102</t>
  </si>
  <si>
    <t>Lot de 10 x Echantillons - Lait Démaquillant et Nettoyant - 5 ml</t>
  </si>
  <si>
    <t>999999P5010102</t>
  </si>
  <si>
    <t>P5010305</t>
  </si>
  <si>
    <t>Lot de 10 Echantillons - Crème de Jour au Coing - 1,5 ml</t>
  </si>
  <si>
    <t>999999P5010305</t>
  </si>
  <si>
    <t>P5010306</t>
  </si>
  <si>
    <t>Lot de 10 Echantillons - Crème de Jour à la Mélisse - 1,5 ml</t>
  </si>
  <si>
    <t>999999P5010306</t>
  </si>
  <si>
    <t>P5010310</t>
  </si>
  <si>
    <t>Lot de 10 Echantillons - Crème de Jour à la Rose - 1,5 ml</t>
  </si>
  <si>
    <t>999999L5010310</t>
  </si>
  <si>
    <t>P5010359</t>
  </si>
  <si>
    <t>Lot de 10 x Echantillon - Fluide de Jour Revitalisant - 1,5 ml</t>
  </si>
  <si>
    <t>999999P5010359</t>
  </si>
  <si>
    <t>P5010710</t>
  </si>
  <si>
    <t>Lot du 10 x Echantillon - Masque Restructurant avec fly - 2,5 ml</t>
  </si>
  <si>
    <t>999999P5010710</t>
  </si>
  <si>
    <t>P5020401</t>
  </si>
  <si>
    <t>Lot de 10 x Echantillon - Crème Régénérante Contour des Yeux - 1,5 ml</t>
  </si>
  <si>
    <t>999999P5020401</t>
  </si>
  <si>
    <t>P5050101</t>
  </si>
  <si>
    <t>Lot de 10 Echantillon Lait pour le corps à la Ficoïde à Cristaux - 5 ml + Flyer</t>
  </si>
  <si>
    <t>999999L5050101</t>
  </si>
  <si>
    <t>P5050103</t>
  </si>
  <si>
    <t>Lot de 10 x Echantillon - Crème pour les Mains à la Ficoïde à Cristaux - 2,5 ml</t>
  </si>
  <si>
    <t>999999L5050103</t>
  </si>
  <si>
    <t>P5050503</t>
  </si>
  <si>
    <t>Lot de 10 x Echantillon Masque pour le Cuir Chevelu aux Graines de Courge - 2 ml</t>
  </si>
  <si>
    <t>9999L5050503</t>
  </si>
  <si>
    <t>PLD</t>
  </si>
  <si>
    <t>Divers produits à saisir</t>
  </si>
  <si>
    <t>RECMAQ</t>
  </si>
  <si>
    <t>Cause :  Module Yeux reçu en double sur l'implantation</t>
  </si>
  <si>
    <t>SETANIM</t>
  </si>
  <si>
    <t>Set Animation Fluide</t>
  </si>
  <si>
    <t>ServiceExterne</t>
  </si>
  <si>
    <t>Service Externe</t>
  </si>
  <si>
    <t>TIPS</t>
  </si>
  <si>
    <t>Pourboires</t>
  </si>
  <si>
    <t>TT</t>
  </si>
  <si>
    <t>Total facture</t>
  </si>
  <si>
    <t>sg01</t>
  </si>
  <si>
    <t>----- Eléments de PLV optionnels : ----- (copie)</t>
  </si>
  <si>
    <t>sm1</t>
  </si>
  <si>
    <t>---------- Teint ----------</t>
  </si>
  <si>
    <t>sm2</t>
  </si>
  <si>
    <t>---------- Yeux ----------</t>
  </si>
  <si>
    <t>sm3</t>
  </si>
  <si>
    <t>---------- Lèvres ----------</t>
  </si>
  <si>
    <t>sm4</t>
  </si>
  <si>
    <t>---------- Baumes Stick Lèvres et Joues ----------</t>
  </si>
  <si>
    <t>sm5</t>
  </si>
  <si>
    <t>---------- Accessoires ----------</t>
  </si>
  <si>
    <t>sm6</t>
  </si>
  <si>
    <t>---------- PLV ----------</t>
  </si>
  <si>
    <t>sm8</t>
  </si>
  <si>
    <t>---------- Meuble Maquillage ---------- (copie)</t>
  </si>
  <si>
    <t>so1</t>
  </si>
  <si>
    <t>----- OPTIONNEL : Articles supplémentaires : ----- (copie)</t>
  </si>
  <si>
    <t>so2</t>
  </si>
  <si>
    <t>sr1</t>
  </si>
  <si>
    <t>---------- Best sellers ----------</t>
  </si>
  <si>
    <t>sr2</t>
  </si>
  <si>
    <t>---------- Module Soins Intensifs ----------</t>
  </si>
  <si>
    <t>sr3</t>
  </si>
  <si>
    <t>---------- Module Cures ----------</t>
  </si>
  <si>
    <t>sr4</t>
  </si>
  <si>
    <t>---------- Module Corps ----------</t>
  </si>
  <si>
    <t>sr5</t>
  </si>
  <si>
    <t>---------- Module Capillaires ----------</t>
  </si>
  <si>
    <t>sr6</t>
  </si>
  <si>
    <t>---------- Module Régénérants ----------</t>
  </si>
  <si>
    <t>sr7</t>
  </si>
  <si>
    <t>---------- Module Med ----------</t>
  </si>
  <si>
    <t>sr8</t>
  </si>
  <si>
    <t>---------- Module Med Bucco dentaire ----------</t>
  </si>
  <si>
    <t>sr9</t>
  </si>
  <si>
    <t>---------- Accesoires &amp; PLV ----------</t>
  </si>
  <si>
    <t>STOP RAYON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</si>
</sst>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.0 &quot;€&quot;;(#,##0.0) &quot;€&quot;;&quot; - &quot;"/>
    <numFmt numFmtId="165" formatCode="#,##0;(#,##0);&quot; - &quot;"/>
    <numFmt numFmtId="166" formatCode="#,##0.0;(#,##0.0);&quot; - &quot;"/>
    <numFmt numFmtId="167" formatCode="#,##0.0%;(#,##0.0)%;&quot; - &quot;"/>
    <numFmt numFmtId="168" formatCode="#,##0.00;(#,##0.00);&quot; - &quot;"/>
    <numFmt numFmtId="169" formatCode="0.0%"/>
    <numFmt numFmtId="170" formatCode="#,##0.00 &quot;€&quot;"/>
  </numFmts>
  <fonts count="20" x14ac:knownFonts="1">
    <font>
      <color theme="1"/>
      <family val="2"/>
      <scheme val="minor"/>
      <sz val="11"/>
      <name val="Calibri"/>
    </font>
    <font>
      <color rgb="FF354A5D"/>
      <sz val="10"/>
      <name val="Viacultura-Normal"/>
    </font>
    <font>
      <b/>
      <color theme="0"/>
      <sz val="10"/>
      <name val="Viacultura-Normal"/>
    </font>
    <font>
      <color theme="0"/>
      <sz val="10"/>
      <name val="Viacultura-Normal"/>
    </font>
    <font>
      <b/>
      <color rgb="FF354A5D"/>
      <sz val="10"/>
      <name val="Viacultura-Normal"/>
    </font>
    <font>
      <b/>
      <color theme="7"/>
      <sz val="10"/>
      <name val="Viacultura-Normal"/>
    </font>
    <font>
      <b/>
      <color theme="8"/>
      <sz val="10"/>
      <name val="Viacultura-Normal"/>
    </font>
    <font>
      <b/>
      <color rgb="FFC00000"/>
      <sz val="10"/>
      <name val="Viacultura-Normal"/>
    </font>
    <font>
      <b/>
      <color theme="3"/>
      <sz val="10"/>
      <name val="Viacultura-Normal"/>
    </font>
    <font>
      <b/>
      <i/>
      <color rgb="FF354A5D"/>
      <sz val="10"/>
      <name val="Viacultura-Normal"/>
    </font>
    <font>
      <i/>
      <color rgb="FF354A5D"/>
      <sz val="10"/>
      <name val="Viacultura-Normal"/>
    </font>
    <font>
      <b/>
      <color theme="4" tint="-0.499984740745262"/>
      <sz val="10"/>
      <name val="Viacultura-Normal"/>
    </font>
    <font>
      <color theme="4" tint="-0.499984740745262"/>
      <sz val="10"/>
      <name val="Viacultura-Normal"/>
    </font>
    <font>
      <b/>
      <sz val="11"/>
      <name val="Calibri"/>
    </font>
    <font>
      <b/>
      <color rgb="FFFFFFFF"/>
      <sz val="13"/>
      <name val="Calibri"/>
    </font>
    <font>
      <b/>
      <color rgb="FFFFFFFF"/>
      <sz val="10"/>
      <name val="Calibri"/>
    </font>
    <font>
      <color rgb="FF1A1A2E"/>
      <sz val="10"/>
      <name val="Consolas"/>
    </font>
    <font>
      <color rgb="FF1A1A2E"/>
      <sz val="10"/>
      <name val="Calibri"/>
    </font>
    <font>
      <b/>
      <color rgb="FF1A1A2E"/>
      <sz val="10"/>
      <name val="Calibri"/>
    </font>
    <font>
      <i/>
      <color rgb="FF6B7280"/>
      <sz val="9"/>
      <name val="Calibri"/>
    </font>
  </fonts>
  <fills count="1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D9488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rgb="FF354A5D"/>
      </bottom>
      <diagonal/>
    </border>
    <border>
      <left style="medium">
        <color indexed="64"/>
      </left>
      <right/>
      <top/>
      <bottom style="medium">
        <color rgb="FF354A5D"/>
      </bottom>
      <diagonal/>
    </border>
    <border>
      <left/>
      <right style="medium">
        <color indexed="64"/>
      </right>
      <top/>
      <bottom style="medium">
        <color rgb="FF354A5D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354A5D"/>
      </left>
      <right style="hair">
        <color rgb="FF354A5D"/>
      </right>
      <top style="hair">
        <color rgb="FF354A5D"/>
      </top>
      <bottom style="hair">
        <color rgb="FF354A5D"/>
      </bottom>
      <diagonal/>
    </border>
    <border>
      <left style="hair">
        <color rgb="FF354A5D"/>
      </left>
      <right style="hair">
        <color theme="3"/>
      </right>
      <top style="hair">
        <color rgb="FF354A5D"/>
      </top>
      <bottom style="hair">
        <color rgb="FF354A5D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hair">
        <color theme="3"/>
      </left>
      <right/>
      <top style="hair">
        <color theme="3"/>
      </top>
      <bottom style="hair">
        <color theme="3"/>
      </bottom>
      <diagonal/>
    </border>
    <border>
      <left style="medium">
        <color indexed="64"/>
      </left>
      <right style="hair">
        <color theme="3"/>
      </right>
      <top style="hair">
        <color theme="3"/>
      </top>
      <bottom style="hair">
        <color theme="3"/>
      </bottom>
      <diagonal/>
    </border>
    <border>
      <left/>
      <right style="hair">
        <color theme="3"/>
      </right>
      <top style="hair">
        <color theme="3"/>
      </top>
      <bottom style="hair">
        <color theme="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hair">
        <color theme="3"/>
      </right>
      <top style="hair">
        <color theme="3"/>
      </top>
      <bottom style="medium">
        <color indexed="64"/>
      </bottom>
      <diagonal/>
    </border>
    <border>
      <left/>
      <right style="hair">
        <color theme="3"/>
      </right>
      <top style="hair">
        <color theme="3"/>
      </top>
      <bottom style="medium">
        <color indexed="64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medium">
        <color indexed="64"/>
      </bottom>
      <diagonal/>
    </border>
    <border>
      <left style="hair">
        <color theme="3"/>
      </left>
      <right/>
      <top style="hair">
        <color theme="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theme="3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theme="3"/>
      </right>
      <top style="hair">
        <color indexed="64"/>
      </top>
      <bottom style="hair">
        <color indexed="64"/>
      </bottom>
      <diagonal/>
    </border>
    <border>
      <left style="hair">
        <color theme="3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theme="3"/>
      </right>
      <top style="hair">
        <color indexed="64"/>
      </top>
      <bottom style="medium">
        <color indexed="64"/>
      </bottom>
      <diagonal/>
    </border>
    <border>
      <left style="hair">
        <color theme="3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83">
    <xf numFmtId="0" fontId="0" fillId="0" borderId="0" xfId="0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5" fontId="1" fillId="0" borderId="0" xfId="0" applyNumberFormat="1" applyFont="1"/>
    <xf numFmtId="0" fontId="2" fillId="2" borderId="0" xfId="0" applyFont="1" applyFill="1" applyAlignment="1">
      <alignment horizontal="left" indent="2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/>
    <xf numFmtId="0" fontId="4" fillId="0" borderId="0" xfId="0" applyFont="1"/>
    <xf numFmtId="0" fontId="1" fillId="3" borderId="0" xfId="0" applyFont="1" applyFill="1"/>
    <xf numFmtId="9" fontId="1" fillId="0" borderId="0" xfId="0" applyNumberFormat="1" applyFont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2" fillId="5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2" fillId="6" borderId="7" xfId="0" applyFont="1" applyFill="1" applyBorder="1" applyAlignment="1">
      <alignment horizontal="centerContinuous" vertical="center"/>
    </xf>
    <xf numFmtId="0" fontId="2" fillId="6" borderId="6" xfId="0" applyFont="1" applyFill="1" applyBorder="1" applyAlignment="1">
      <alignment horizontal="centerContinuous" vertical="center"/>
    </xf>
    <xf numFmtId="0" fontId="2" fillId="6" borderId="5" xfId="0" applyFont="1" applyFill="1" applyBorder="1" applyAlignment="1">
      <alignment horizontal="centerContinuous" vertical="center"/>
    </xf>
    <xf numFmtId="0" fontId="1" fillId="4" borderId="0" xfId="0" applyFont="1" applyFill="1"/>
    <xf numFmtId="0" fontId="2" fillId="7" borderId="0" xfId="0" applyFont="1" applyFill="1" applyAlignment="1">
      <alignment horizontal="centerContinuous" vertical="center"/>
    </xf>
    <xf numFmtId="0" fontId="1" fillId="4" borderId="8" xfId="0" applyFont="1" applyFill="1" applyBorder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9" xfId="0" applyFont="1" applyBorder="1"/>
    <xf numFmtId="164" fontId="1" fillId="0" borderId="8" xfId="0" applyNumberFormat="1" applyFont="1" applyBorder="1"/>
    <xf numFmtId="0" fontId="1" fillId="4" borderId="9" xfId="0" applyFont="1" applyFill="1" applyBorder="1"/>
    <xf numFmtId="0" fontId="5" fillId="3" borderId="10" xfId="0" applyFont="1" applyFill="1" applyBorder="1" applyAlignment="1">
      <alignment horizontal="center" vertical="center"/>
    </xf>
    <xf numFmtId="0" fontId="0" fillId="0" borderId="8" xfId="0" applyBorder="1"/>
    <xf numFmtId="0" fontId="6" fillId="8" borderId="10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Continuous" vertical="center"/>
    </xf>
    <xf numFmtId="0" fontId="4" fillId="0" borderId="9" xfId="0" applyFont="1" applyBorder="1" applyAlignment="1">
      <alignment horizontal="left"/>
    </xf>
    <xf numFmtId="9" fontId="8" fillId="0" borderId="8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9" fontId="8" fillId="0" borderId="0" xfId="0" applyNumberFormat="1" applyFont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0" xfId="0" applyFont="1" applyAlignment="1">
      <alignment horizontal="centerContinuous" vertical="center"/>
    </xf>
    <xf numFmtId="9" fontId="4" fillId="0" borderId="8" xfId="0" applyNumberFormat="1" applyFont="1" applyBorder="1" applyAlignment="1">
      <alignment horizontal="left"/>
    </xf>
    <xf numFmtId="10" fontId="4" fillId="0" borderId="8" xfId="0" applyNumberFormat="1" applyFont="1" applyBorder="1" applyAlignment="1">
      <alignment horizontal="left"/>
    </xf>
    <xf numFmtId="9" fontId="4" fillId="0" borderId="0" xfId="0" applyNumberFormat="1" applyFont="1" applyAlignment="1">
      <alignment horizontal="left"/>
    </xf>
    <xf numFmtId="165" fontId="4" fillId="0" borderId="8" xfId="0" applyNumberFormat="1" applyFont="1" applyBorder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1" fillId="4" borderId="9" xfId="0" applyFont="1" applyFill="1" applyBorder="1" applyAlignment="1">
      <alignment wrapText="1"/>
    </xf>
    <xf numFmtId="0" fontId="4" fillId="4" borderId="0" xfId="0" applyFont="1" applyFill="1" applyAlignment="1">
      <alignment horizontal="center" wrapText="1"/>
    </xf>
    <xf numFmtId="0" fontId="1" fillId="4" borderId="8" xfId="0" applyFont="1" applyFill="1" applyBorder="1" applyAlignment="1">
      <alignment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10" borderId="16" xfId="0" applyFont="1" applyFill="1" applyBorder="1"/>
    <xf numFmtId="0" fontId="4" fillId="10" borderId="16" xfId="0" applyFont="1" applyFill="1" applyBorder="1" applyAlignment="1">
      <alignment horizontal="right"/>
    </xf>
    <xf numFmtId="166" fontId="4" fillId="10" borderId="16" xfId="0" applyNumberFormat="1" applyFont="1" applyFill="1" applyBorder="1" applyAlignment="1">
      <alignment horizontal="right" vertical="center"/>
    </xf>
    <xf numFmtId="167" fontId="9" fillId="10" borderId="16" xfId="0" applyNumberFormat="1" applyFont="1" applyFill="1" applyBorder="1" applyAlignment="1">
      <alignment horizontal="right" vertical="center"/>
    </xf>
    <xf numFmtId="164" fontId="4" fillId="3" borderId="17" xfId="0" applyNumberFormat="1" applyFont="1" applyFill="1" applyBorder="1" applyAlignment="1">
      <alignment horizontal="right" vertical="center"/>
    </xf>
    <xf numFmtId="164" fontId="9" fillId="3" borderId="18" xfId="0" applyNumberFormat="1" applyFont="1" applyFill="1" applyBorder="1" applyAlignment="1">
      <alignment horizontal="right" vertical="center"/>
    </xf>
    <xf numFmtId="164" fontId="4" fillId="3" borderId="16" xfId="0" applyNumberFormat="1" applyFont="1" applyFill="1" applyBorder="1" applyAlignment="1">
      <alignment horizontal="right" vertical="center"/>
    </xf>
    <xf numFmtId="164" fontId="9" fillId="3" borderId="16" xfId="0" applyNumberFormat="1" applyFont="1" applyFill="1" applyBorder="1" applyAlignment="1">
      <alignment horizontal="right" vertical="center"/>
    </xf>
    <xf numFmtId="0" fontId="4" fillId="4" borderId="9" xfId="0" applyFont="1" applyFill="1" applyBorder="1"/>
    <xf numFmtId="165" fontId="4" fillId="10" borderId="16" xfId="0" applyNumberFormat="1" applyFont="1" applyFill="1" applyBorder="1" applyAlignment="1">
      <alignment horizontal="right" vertical="center"/>
    </xf>
    <xf numFmtId="164" fontId="4" fillId="10" borderId="16" xfId="0" applyNumberFormat="1" applyFont="1" applyFill="1" applyBorder="1" applyAlignment="1">
      <alignment horizontal="right" vertical="center"/>
    </xf>
    <xf numFmtId="164" fontId="9" fillId="4" borderId="16" xfId="0" applyNumberFormat="1" applyFont="1" applyFill="1" applyBorder="1" applyAlignment="1">
      <alignment horizontal="right" vertical="center"/>
    </xf>
    <xf numFmtId="0" fontId="4" fillId="4" borderId="8" xfId="0" applyFont="1" applyFill="1" applyBorder="1"/>
    <xf numFmtId="49" fontId="1" fillId="3" borderId="19" xfId="0" applyNumberFormat="1" applyFont="1" applyFill="1" applyBorder="1" applyAlignment="1">
      <alignment horizontal="left"/>
    </xf>
    <xf numFmtId="0" fontId="1" fillId="3" borderId="19" xfId="0" applyFont="1" applyFill="1" applyBorder="1" applyAlignment="1">
      <alignment horizontal="left" indent="1"/>
    </xf>
    <xf numFmtId="1" fontId="1" fillId="3" borderId="20" xfId="0" applyNumberFormat="1" applyFont="1" applyFill="1" applyBorder="1" applyAlignment="1">
      <alignment horizontal="right" vertical="center"/>
    </xf>
    <xf numFmtId="165" fontId="1" fillId="3" borderId="21" xfId="0" applyNumberFormat="1" applyFont="1" applyFill="1" applyBorder="1" applyAlignment="1">
      <alignment horizontal="center" vertical="center"/>
    </xf>
    <xf numFmtId="166" fontId="4" fillId="3" borderId="21" xfId="0" applyNumberFormat="1" applyFont="1" applyFill="1" applyBorder="1" applyAlignment="1">
      <alignment horizontal="right" vertical="center"/>
    </xf>
    <xf numFmtId="168" fontId="1" fillId="3" borderId="21" xfId="0" applyNumberFormat="1" applyFont="1" applyFill="1" applyBorder="1" applyAlignment="1">
      <alignment horizontal="right" vertical="center"/>
    </xf>
    <xf numFmtId="2" fontId="1" fillId="3" borderId="21" xfId="0" applyNumberFormat="1" applyFont="1" applyFill="1" applyBorder="1" applyAlignment="1">
      <alignment horizontal="right" vertical="center"/>
    </xf>
    <xf numFmtId="167" fontId="10" fillId="3" borderId="21" xfId="0" applyNumberFormat="1" applyFont="1" applyFill="1" applyBorder="1" applyAlignment="1">
      <alignment horizontal="right" vertical="center"/>
    </xf>
    <xf numFmtId="164" fontId="1" fillId="3" borderId="21" xfId="0" applyNumberFormat="1" applyFont="1" applyFill="1" applyBorder="1" applyAlignment="1">
      <alignment horizontal="right" vertical="center"/>
    </xf>
    <xf numFmtId="164" fontId="1" fillId="3" borderId="22" xfId="0" applyNumberFormat="1" applyFont="1" applyFill="1" applyBorder="1" applyAlignment="1">
      <alignment horizontal="right" vertical="center"/>
    </xf>
    <xf numFmtId="164" fontId="1" fillId="3" borderId="23" xfId="0" applyNumberFormat="1" applyFont="1" applyFill="1" applyBorder="1" applyAlignment="1">
      <alignment horizontal="right" vertical="center"/>
    </xf>
    <xf numFmtId="164" fontId="1" fillId="3" borderId="24" xfId="0" applyNumberFormat="1" applyFont="1" applyFill="1" applyBorder="1" applyAlignment="1">
      <alignment horizontal="right" vertical="center"/>
    </xf>
    <xf numFmtId="0" fontId="1" fillId="10" borderId="9" xfId="0" applyFont="1" applyFill="1" applyBorder="1"/>
    <xf numFmtId="9" fontId="3" fillId="10" borderId="0" xfId="0" applyNumberFormat="1" applyFont="1" applyFill="1"/>
    <xf numFmtId="0" fontId="1" fillId="10" borderId="0" xfId="0" applyFont="1" applyFill="1"/>
    <xf numFmtId="0" fontId="1" fillId="10" borderId="8" xfId="0" applyFont="1" applyFill="1" applyBorder="1"/>
    <xf numFmtId="0" fontId="1" fillId="11" borderId="9" xfId="0" applyFont="1" applyFill="1" applyBorder="1"/>
    <xf numFmtId="9" fontId="8" fillId="11" borderId="25" xfId="0" applyNumberFormat="1" applyFont="1" applyFill="1" applyBorder="1"/>
    <xf numFmtId="9" fontId="8" fillId="11" borderId="26" xfId="0" applyNumberFormat="1" applyFont="1" applyFill="1" applyBorder="1" applyAlignment="1">
      <alignment horizontal="right" indent="1"/>
    </xf>
    <xf numFmtId="166" fontId="4" fillId="11" borderId="27" xfId="0" applyNumberFormat="1" applyFont="1" applyFill="1" applyBorder="1" applyAlignment="1">
      <alignment horizontal="center" vertical="center"/>
    </xf>
    <xf numFmtId="167" fontId="9" fillId="11" borderId="27" xfId="0" applyNumberFormat="1" applyFont="1" applyFill="1" applyBorder="1" applyAlignment="1">
      <alignment horizontal="center" vertical="center"/>
    </xf>
    <xf numFmtId="165" fontId="1" fillId="12" borderId="21" xfId="0" applyNumberFormat="1" applyFont="1" applyFill="1" applyBorder="1" applyAlignment="1">
      <alignment horizontal="center" vertical="center"/>
    </xf>
    <xf numFmtId="169" fontId="10" fillId="10" borderId="0" xfId="0" applyNumberFormat="1" applyFont="1" applyFill="1"/>
    <xf numFmtId="0" fontId="4" fillId="10" borderId="0" xfId="0" applyFont="1" applyFill="1"/>
    <xf numFmtId="49" fontId="10" fillId="3" borderId="19" xfId="0" applyNumberFormat="1" applyFont="1" applyFill="1" applyBorder="1" applyAlignment="1">
      <alignment horizontal="left"/>
    </xf>
    <xf numFmtId="0" fontId="10" fillId="3" borderId="19" xfId="0" applyFont="1" applyFill="1" applyBorder="1" applyAlignment="1">
      <alignment horizontal="left" indent="1"/>
    </xf>
    <xf numFmtId="1" fontId="10" fillId="3" borderId="20" xfId="0" applyNumberFormat="1" applyFont="1" applyFill="1" applyBorder="1" applyAlignment="1">
      <alignment horizontal="right" vertical="center"/>
    </xf>
    <xf numFmtId="165" fontId="10" fillId="3" borderId="21" xfId="0" applyNumberFormat="1" applyFont="1" applyFill="1" applyBorder="1" applyAlignment="1">
      <alignment horizontal="center" vertical="center"/>
    </xf>
    <xf numFmtId="166" fontId="10" fillId="3" borderId="21" xfId="0" applyNumberFormat="1" applyFont="1" applyFill="1" applyBorder="1" applyAlignment="1">
      <alignment horizontal="right" vertical="center"/>
    </xf>
    <xf numFmtId="166" fontId="1" fillId="3" borderId="21" xfId="0" applyNumberFormat="1" applyFont="1" applyFill="1" applyBorder="1" applyAlignment="1">
      <alignment horizontal="right" vertical="center"/>
    </xf>
    <xf numFmtId="165" fontId="1" fillId="10" borderId="0" xfId="0" applyNumberFormat="1" applyFont="1" applyFill="1"/>
    <xf numFmtId="165" fontId="1" fillId="10" borderId="0" xfId="0" applyNumberFormat="1" applyFont="1" applyFill="1" applyAlignment="1">
      <alignment horizontal="right" vertical="center"/>
    </xf>
    <xf numFmtId="169" fontId="1" fillId="10" borderId="0" xfId="0" applyNumberFormat="1" applyFont="1" applyFill="1"/>
    <xf numFmtId="164" fontId="1" fillId="3" borderId="28" xfId="0" applyNumberFormat="1" applyFont="1" applyFill="1" applyBorder="1" applyAlignment="1">
      <alignment horizontal="right" vertical="center"/>
    </xf>
    <xf numFmtId="164" fontId="1" fillId="0" borderId="15" xfId="0" applyNumberFormat="1" applyFont="1" applyBorder="1"/>
    <xf numFmtId="164" fontId="1" fillId="3" borderId="29" xfId="0" applyNumberFormat="1" applyFont="1" applyFill="1" applyBorder="1" applyAlignment="1">
      <alignment horizontal="right" vertical="center"/>
    </xf>
    <xf numFmtId="164" fontId="1" fillId="3" borderId="30" xfId="0" applyNumberFormat="1" applyFont="1" applyFill="1" applyBorder="1" applyAlignment="1">
      <alignment horizontal="right" vertical="center"/>
    </xf>
    <xf numFmtId="164" fontId="1" fillId="3" borderId="31" xfId="0" applyNumberFormat="1" applyFont="1" applyFill="1" applyBorder="1" applyAlignment="1">
      <alignment horizontal="right" vertical="center"/>
    </xf>
    <xf numFmtId="164" fontId="1" fillId="0" borderId="32" xfId="0" applyNumberFormat="1" applyFont="1" applyBorder="1"/>
    <xf numFmtId="0" fontId="1" fillId="10" borderId="14" xfId="0" applyFont="1" applyFill="1" applyBorder="1"/>
    <xf numFmtId="9" fontId="3" fillId="10" borderId="32" xfId="0" applyNumberFormat="1" applyFont="1" applyFill="1" applyBorder="1"/>
    <xf numFmtId="0" fontId="1" fillId="10" borderId="32" xfId="0" applyFont="1" applyFill="1" applyBorder="1"/>
    <xf numFmtId="165" fontId="1" fillId="10" borderId="32" xfId="0" applyNumberFormat="1" applyFont="1" applyFill="1" applyBorder="1"/>
    <xf numFmtId="0" fontId="1" fillId="10" borderId="15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165" fontId="1" fillId="0" borderId="0" xfId="0" applyNumberFormat="1" applyFont="1" applyAlignment="1">
      <alignment horizontal="right" vertical="center"/>
    </xf>
    <xf numFmtId="0" fontId="1" fillId="0" borderId="9" xfId="0" applyFont="1" applyBorder="1" applyAlignment="1">
      <alignment horizontal="left"/>
    </xf>
    <xf numFmtId="9" fontId="8" fillId="13" borderId="8" xfId="0" applyNumberFormat="1" applyFont="1" applyFill="1" applyBorder="1" applyAlignment="1">
      <alignment horizontal="left" vertical="center"/>
    </xf>
    <xf numFmtId="0" fontId="1" fillId="13" borderId="9" xfId="0" applyFont="1" applyFill="1" applyBorder="1" applyAlignment="1">
      <alignment horizontal="left"/>
    </xf>
    <xf numFmtId="0" fontId="1" fillId="13" borderId="0" xfId="0" applyFont="1" applyFill="1" applyAlignment="1">
      <alignment horizontal="left"/>
    </xf>
    <xf numFmtId="9" fontId="8" fillId="13" borderId="0" xfId="0" applyNumberFormat="1" applyFont="1" applyFill="1" applyAlignment="1">
      <alignment horizontal="left" vertical="center"/>
    </xf>
    <xf numFmtId="9" fontId="1" fillId="13" borderId="8" xfId="0" applyNumberFormat="1" applyFont="1" applyFill="1" applyBorder="1" applyAlignment="1">
      <alignment horizontal="left"/>
    </xf>
    <xf numFmtId="10" fontId="1" fillId="13" borderId="8" xfId="0" applyNumberFormat="1" applyFont="1" applyFill="1" applyBorder="1" applyAlignment="1">
      <alignment horizontal="left"/>
    </xf>
    <xf numFmtId="9" fontId="1" fillId="13" borderId="0" xfId="0" applyNumberFormat="1" applyFont="1" applyFill="1" applyAlignment="1">
      <alignment horizontal="left"/>
    </xf>
    <xf numFmtId="165" fontId="4" fillId="13" borderId="8" xfId="0" applyNumberFormat="1" applyFont="1" applyFill="1" applyBorder="1" applyAlignment="1">
      <alignment horizontal="left" vertical="center"/>
    </xf>
    <xf numFmtId="165" fontId="4" fillId="13" borderId="0" xfId="0" applyNumberFormat="1" applyFont="1" applyFill="1" applyAlignment="1">
      <alignment horizontal="left" vertical="center"/>
    </xf>
    <xf numFmtId="0" fontId="2" fillId="14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centerContinuous" vertical="center"/>
    </xf>
    <xf numFmtId="0" fontId="2" fillId="14" borderId="32" xfId="0" applyFont="1" applyFill="1" applyBorder="1" applyAlignment="1">
      <alignment horizontal="center" vertical="center"/>
    </xf>
    <xf numFmtId="0" fontId="0" fillId="14" borderId="32" xfId="0" applyFill="1" applyBorder="1"/>
    <xf numFmtId="0" fontId="11" fillId="15" borderId="9" xfId="0" applyFont="1" applyFill="1" applyBorder="1" applyAlignment="1">
      <alignment vertical="center"/>
    </xf>
    <xf numFmtId="0" fontId="11" fillId="15" borderId="0" xfId="0" applyFont="1" applyFill="1" applyAlignment="1">
      <alignment horizontal="centerContinuous" vertical="center"/>
    </xf>
    <xf numFmtId="0" fontId="11" fillId="15" borderId="8" xfId="0" applyFont="1" applyFill="1" applyBorder="1" applyAlignment="1">
      <alignment horizontal="centerContinuous" vertical="center"/>
    </xf>
    <xf numFmtId="0" fontId="11" fillId="15" borderId="0" xfId="0" applyFont="1" applyFill="1" applyAlignment="1">
      <alignment vertical="center"/>
    </xf>
    <xf numFmtId="0" fontId="11" fillId="0" borderId="9" xfId="0" applyFont="1" applyBorder="1"/>
    <xf numFmtId="0" fontId="11" fillId="0" borderId="0" xfId="0" applyFont="1"/>
    <xf numFmtId="9" fontId="11" fillId="0" borderId="0" xfId="0" applyNumberFormat="1" applyFont="1"/>
    <xf numFmtId="9" fontId="11" fillId="0" borderId="8" xfId="0" applyNumberFormat="1" applyFont="1" applyBorder="1"/>
    <xf numFmtId="0" fontId="0" fillId="10" borderId="0" xfId="0" applyFill="1"/>
    <xf numFmtId="164" fontId="1" fillId="0" borderId="9" xfId="0" applyNumberFormat="1" applyFont="1" applyBorder="1"/>
    <xf numFmtId="165" fontId="4" fillId="3" borderId="17" xfId="0" applyNumberFormat="1" applyFont="1" applyFill="1" applyBorder="1" applyAlignment="1">
      <alignment horizontal="right" vertical="center"/>
    </xf>
    <xf numFmtId="165" fontId="4" fillId="3" borderId="16" xfId="0" applyNumberFormat="1" applyFont="1" applyFill="1" applyBorder="1" applyAlignment="1">
      <alignment horizontal="right" vertical="center"/>
    </xf>
    <xf numFmtId="0" fontId="0" fillId="3" borderId="0" xfId="0" applyFill="1"/>
    <xf numFmtId="2" fontId="12" fillId="3" borderId="33" xfId="0" applyNumberFormat="1" applyFont="1" applyFill="1" applyBorder="1"/>
    <xf numFmtId="164" fontId="1" fillId="3" borderId="34" xfId="0" applyNumberFormat="1" applyFont="1" applyFill="1" applyBorder="1" applyAlignment="1">
      <alignment horizontal="right" vertical="center"/>
    </xf>
    <xf numFmtId="170" fontId="1" fillId="3" borderId="35" xfId="0" applyNumberFormat="1" applyFont="1" applyFill="1" applyBorder="1"/>
    <xf numFmtId="9" fontId="3" fillId="3" borderId="36" xfId="0" applyNumberFormat="1" applyFont="1" applyFill="1" applyBorder="1"/>
    <xf numFmtId="170" fontId="1" fillId="3" borderId="37" xfId="0" applyNumberFormat="1" applyFont="1" applyFill="1" applyBorder="1"/>
    <xf numFmtId="9" fontId="3" fillId="3" borderId="33" xfId="0" applyNumberFormat="1" applyFont="1" applyFill="1" applyBorder="1"/>
    <xf numFmtId="164" fontId="1" fillId="3" borderId="37" xfId="0" applyNumberFormat="1" applyFont="1" applyFill="1" applyBorder="1"/>
    <xf numFmtId="9" fontId="3" fillId="3" borderId="38" xfId="0" applyNumberFormat="1" applyFont="1" applyFill="1" applyBorder="1"/>
    <xf numFmtId="2" fontId="12" fillId="3" borderId="39" xfId="0" applyNumberFormat="1" applyFont="1" applyFill="1" applyBorder="1"/>
    <xf numFmtId="164" fontId="1" fillId="3" borderId="40" xfId="0" applyNumberFormat="1" applyFont="1" applyFill="1" applyBorder="1" applyAlignment="1">
      <alignment horizontal="right" vertical="center"/>
    </xf>
    <xf numFmtId="0" fontId="1" fillId="3" borderId="41" xfId="0" applyFont="1" applyFill="1" applyBorder="1"/>
    <xf numFmtId="9" fontId="3" fillId="3" borderId="42" xfId="0" applyNumberFormat="1" applyFont="1" applyFill="1" applyBorder="1"/>
    <xf numFmtId="164" fontId="1" fillId="3" borderId="43" xfId="0" applyNumberFormat="1" applyFont="1" applyFill="1" applyBorder="1" applyAlignment="1">
      <alignment horizontal="right" vertical="center"/>
    </xf>
    <xf numFmtId="164" fontId="1" fillId="3" borderId="44" xfId="0" applyNumberFormat="1" applyFont="1" applyFill="1" applyBorder="1"/>
    <xf numFmtId="9" fontId="3" fillId="3" borderId="39" xfId="0" applyNumberFormat="1" applyFont="1" applyFill="1" applyBorder="1"/>
    <xf numFmtId="9" fontId="3" fillId="3" borderId="45" xfId="0" applyNumberFormat="1" applyFont="1" applyFill="1" applyBorder="1"/>
    <xf numFmtId="0" fontId="1" fillId="11" borderId="0" xfId="0" applyFont="1" applyFill="1"/>
    <xf numFmtId="0" fontId="10" fillId="10" borderId="0" xfId="0" applyFont="1" applyFill="1"/>
    <xf numFmtId="9" fontId="12" fillId="3" borderId="46" xfId="0" applyNumberFormat="1" applyFont="1" applyFill="1" applyBorder="1"/>
    <xf numFmtId="164" fontId="1" fillId="3" borderId="47" xfId="0" applyNumberFormat="1" applyFont="1" applyFill="1" applyBorder="1" applyAlignment="1">
      <alignment horizontal="right" vertical="center"/>
    </xf>
    <xf numFmtId="0" fontId="1" fillId="3" borderId="48" xfId="0" applyFont="1" applyFill="1" applyBorder="1"/>
    <xf numFmtId="9" fontId="3" fillId="3" borderId="49" xfId="0" applyNumberFormat="1" applyFont="1" applyFill="1" applyBorder="1"/>
    <xf numFmtId="164" fontId="1" fillId="3" borderId="50" xfId="0" applyNumberFormat="1" applyFont="1" applyFill="1" applyBorder="1" applyAlignment="1">
      <alignment horizontal="right" vertical="center"/>
    </xf>
    <xf numFmtId="164" fontId="1" fillId="3" borderId="51" xfId="0" applyNumberFormat="1" applyFont="1" applyFill="1" applyBorder="1"/>
    <xf numFmtId="9" fontId="3" fillId="3" borderId="46" xfId="0" applyNumberFormat="1" applyFont="1" applyFill="1" applyBorder="1"/>
    <xf numFmtId="9" fontId="3" fillId="3" borderId="52" xfId="0" applyNumberFormat="1" applyFont="1" applyFill="1" applyBorder="1"/>
    <xf numFmtId="49" fontId="0" fillId="0" borderId="0" xfId="0" applyNumberFormat="1"/>
    <xf numFmtId="0" fontId="13" fillId="0" borderId="0" xfId="0" applyFont="1"/>
    <xf numFmtId="0" fontId="14" fillId="16" borderId="0" xfId="0" applyFont="1" applyFill="1" applyAlignment="1">
      <alignment horizontal="left" vertical="center" indent="1"/>
    </xf>
    <xf numFmtId="0" fontId="15" fillId="16" borderId="0" xfId="0" applyFont="1" applyFill="1" applyAlignment="1">
      <alignment horizontal="center" vertical="center"/>
    </xf>
    <xf numFmtId="0" fontId="16" fillId="0" borderId="53" xfId="0" applyFont="1" applyBorder="1"/>
    <xf numFmtId="0" fontId="17" fillId="0" borderId="53" xfId="0" applyFont="1" applyBorder="1"/>
    <xf numFmtId="3" fontId="17" fillId="0" borderId="53" xfId="0" applyNumberFormat="1" applyFont="1" applyBorder="1" applyAlignment="1">
      <alignment horizontal="right"/>
    </xf>
    <xf numFmtId="3" fontId="18" fillId="0" borderId="53" xfId="0" applyNumberFormat="1" applyFont="1" applyBorder="1" applyAlignment="1">
      <alignment horizontal="right"/>
    </xf>
    <xf numFmtId="0" fontId="15" fillId="16" borderId="0" xfId="0" applyFont="1" applyFill="1"/>
    <xf numFmtId="3" fontId="15" fillId="16" borderId="0" xfId="0" applyNumberFormat="1" applyFont="1" applyFill="1" applyAlignment="1">
      <alignment horizontal="right"/>
    </xf>
    <xf numFmtId="0" fontId="19" fillId="0" borderId="0" xfId="0" applyFont="1"/>
  </cellXfs>
  <cellStyles count="1">
    <cellStyle name="Normal" xfId="0" builtinId="0"/>
  </cellStyles>
  <dxfs count="49"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AI204"/>
  <sheetViews>
    <sheetView workbookViewId="0" showGridLines="0" zoomScale="90" zoomScaleNormal="90"/>
  </sheetViews>
  <sheetFormatPr defaultRowHeight="14.45" outlineLevelRow="0" outlineLevelCol="0" x14ac:dyDescent="0" customHeight="1"/>
  <cols>
    <col min="1" max="1" width="17.140625" customWidth="1"/>
    <col min="2" max="2" width="21.28515625" customWidth="1"/>
    <col min="3" max="3" width="15.140625" customWidth="1"/>
    <col min="4" max="4" width="12.28515625" customWidth="1"/>
    <col min="5" max="5" width="14.140625" customWidth="1"/>
    <col min="6" max="6" width="12.28515625" customWidth="1"/>
    <col min="7" max="7" hidden="1" customWidth="1"/>
    <col min="8" max="8" width="15.140625" customWidth="1"/>
    <col min="12" max="12" width="12.28515625" customWidth="1"/>
    <col min="13" max="13" width="18" customWidth="1"/>
    <col min="14" max="14" width="14" customWidth="1"/>
    <col min="15" max="15" width="13.140625" customWidth="1"/>
    <col min="29" max="29" width="12.5703125" customWidth="1"/>
    <col min="30" max="30" width="13.42578125" customWidth="1"/>
  </cols>
  <sheetData>
    <row r="1" ht="15" customHeight="1" spans="1:32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3"/>
    </row>
    <row r="2" ht="15" customHeight="1" spans="1:32" x14ac:dyDescent="0.25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"/>
    </row>
    <row r="3" ht="15" customHeight="1" spans="1:32" x14ac:dyDescent="0.25">
      <c r="A3" s="5" t="s">
        <v>0</v>
      </c>
      <c r="B3" s="6"/>
      <c r="C3" s="7"/>
      <c r="D3" s="8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4"/>
    </row>
    <row r="4" ht="15.75" customHeight="1" spans="1:32" x14ac:dyDescent="0.25">
      <c r="A4" s="9" t="s">
        <v>1</v>
      </c>
      <c r="B4" s="10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.75" customHeight="1" spans="1:32" x14ac:dyDescent="0.25">
      <c r="A5" s="9" t="s">
        <v>2</v>
      </c>
      <c r="B5" s="10">
        <f>SUM(E17:E29)</f>
        <v>0</v>
      </c>
      <c r="C5" s="2"/>
      <c r="D5" s="1"/>
      <c r="E5" s="1"/>
      <c r="F5" s="1"/>
      <c r="G5" s="1"/>
      <c r="H5" s="1"/>
      <c r="I5" s="1"/>
      <c r="J5" s="1"/>
      <c r="K5" s="1"/>
      <c r="L5" s="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  <c r="AC5" s="13"/>
      <c r="AD5" s="13"/>
      <c r="AE5" s="14"/>
      <c r="AF5" s="1"/>
    </row>
    <row r="6" ht="15.75" customHeight="1" spans="1:32" x14ac:dyDescent="0.2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5" t="s">
        <v>3</v>
      </c>
      <c r="N6" s="16"/>
      <c r="O6" s="16"/>
      <c r="P6" s="16"/>
      <c r="Q6" s="16"/>
      <c r="R6" s="17"/>
      <c r="S6" s="18" t="s">
        <v>4</v>
      </c>
      <c r="T6" s="19"/>
      <c r="U6" s="20"/>
      <c r="V6" s="20"/>
      <c r="W6" s="20"/>
      <c r="X6" s="20"/>
      <c r="Y6" s="18"/>
      <c r="Z6" s="19"/>
      <c r="AA6" s="21"/>
      <c r="AB6" s="22" t="s">
        <v>5</v>
      </c>
      <c r="AC6" s="22"/>
      <c r="AD6" s="22"/>
      <c r="AE6" s="23"/>
      <c r="AF6" s="1"/>
    </row>
    <row r="7" ht="15" customHeight="1" spans="1:32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24"/>
      <c r="N7" s="25"/>
      <c r="O7" s="24"/>
      <c r="P7" s="25"/>
      <c r="Q7" s="26"/>
      <c r="R7" s="26"/>
      <c r="S7" s="24"/>
      <c r="T7" s="25"/>
      <c r="U7" s="26"/>
      <c r="V7" s="25"/>
      <c r="W7" s="26"/>
      <c r="X7" s="26"/>
      <c r="Y7" s="27"/>
      <c r="Z7" s="28"/>
      <c r="AA7" s="29"/>
      <c r="AB7" s="21"/>
      <c r="AC7" s="21"/>
      <c r="AD7" s="21"/>
      <c r="AE7" s="23"/>
      <c r="AF7" s="1"/>
    </row>
    <row r="8" ht="15" customHeight="1" spans="1:32" x14ac:dyDescent="0.25">
      <c r="A8" s="1"/>
      <c r="B8" s="1"/>
      <c r="C8" s="2"/>
      <c r="D8" s="1"/>
      <c r="E8" s="1"/>
      <c r="F8" s="1"/>
      <c r="G8" s="1"/>
      <c r="H8" s="1"/>
      <c r="J8" s="1"/>
      <c r="K8" s="1"/>
      <c r="L8" s="1"/>
      <c r="M8" s="30" t="s">
        <v>6</v>
      </c>
      <c r="N8" s="31"/>
      <c r="O8" s="30" t="s">
        <v>7</v>
      </c>
      <c r="P8" s="31"/>
      <c r="Q8" s="30" t="s">
        <v>8</v>
      </c>
      <c r="R8" s="31"/>
      <c r="S8" s="32" t="s">
        <v>9</v>
      </c>
      <c r="T8" s="31"/>
      <c r="U8" s="32" t="s">
        <v>10</v>
      </c>
      <c r="V8" s="31"/>
      <c r="W8" s="32" t="s">
        <v>11</v>
      </c>
      <c r="X8" s="31"/>
      <c r="Y8" s="32" t="s">
        <v>12</v>
      </c>
      <c r="Z8" s="31"/>
      <c r="AA8" s="29"/>
      <c r="AB8" s="33" t="s">
        <v>13</v>
      </c>
      <c r="AC8" s="33"/>
      <c r="AD8" s="33"/>
      <c r="AE8" s="23"/>
      <c r="AF8" s="1"/>
    </row>
    <row r="9" ht="15" customHeight="1" spans="1:32" x14ac:dyDescent="0.25">
      <c r="A9" s="1"/>
      <c r="B9" s="1"/>
      <c r="C9" s="2"/>
      <c r="D9" s="1"/>
      <c r="E9" s="1"/>
      <c r="F9" s="1"/>
      <c r="G9" s="1"/>
      <c r="H9" s="1"/>
      <c r="J9" s="1"/>
      <c r="K9" s="1"/>
      <c r="L9" s="1"/>
      <c r="M9" s="34" t="s">
        <v>14</v>
      </c>
      <c r="N9" s="35"/>
      <c r="O9" s="34" t="s">
        <v>14</v>
      </c>
      <c r="P9" s="35"/>
      <c r="Q9" s="34" t="s">
        <v>14</v>
      </c>
      <c r="R9" s="35"/>
      <c r="S9" s="34" t="s">
        <v>14</v>
      </c>
      <c r="T9" s="35"/>
      <c r="U9" s="36" t="s">
        <v>14</v>
      </c>
      <c r="V9" s="37"/>
      <c r="W9" s="34" t="s">
        <v>14</v>
      </c>
      <c r="X9" s="37"/>
      <c r="Y9" s="38"/>
      <c r="Z9" s="35"/>
      <c r="AA9" s="27"/>
      <c r="AB9" s="39"/>
      <c r="AC9" s="39"/>
      <c r="AD9" s="39"/>
      <c r="AE9" s="28"/>
      <c r="AF9" s="1"/>
    </row>
    <row r="10" ht="15" customHeight="1" spans="1:32" x14ac:dyDescent="0.25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34" t="s">
        <v>15</v>
      </c>
      <c r="N10" s="40">
        <v>0.17</v>
      </c>
      <c r="O10" s="34" t="s">
        <v>15</v>
      </c>
      <c r="P10" s="40">
        <v>0.13</v>
      </c>
      <c r="Q10" s="34" t="s">
        <v>15</v>
      </c>
      <c r="R10" s="40">
        <v>0.08</v>
      </c>
      <c r="S10" s="34" t="s">
        <v>15</v>
      </c>
      <c r="T10" s="41">
        <v>0.325</v>
      </c>
      <c r="U10" s="36" t="s">
        <v>15</v>
      </c>
      <c r="V10" s="42">
        <v>0.3</v>
      </c>
      <c r="W10" s="34" t="s">
        <v>15</v>
      </c>
      <c r="X10" s="42">
        <v>0.28</v>
      </c>
      <c r="Y10" s="34" t="s">
        <v>15</v>
      </c>
      <c r="Z10" s="40">
        <v>0.25</v>
      </c>
      <c r="AA10" s="29"/>
      <c r="AB10" s="21"/>
      <c r="AC10" s="21"/>
      <c r="AD10" s="21"/>
      <c r="AE10" s="23"/>
      <c r="AF10" s="1"/>
    </row>
    <row r="11" ht="15" customHeight="1" spans="1:32" x14ac:dyDescent="0.2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34" t="s">
        <v>16</v>
      </c>
      <c r="N11" s="43">
        <f>N9*$B$4</f>
        <v>0</v>
      </c>
      <c r="O11" s="34" t="s">
        <v>16</v>
      </c>
      <c r="P11" s="43">
        <f>P9*$B$4</f>
        <v>0</v>
      </c>
      <c r="Q11" s="34" t="s">
        <v>16</v>
      </c>
      <c r="R11" s="43">
        <f>R9*$B$4</f>
        <v>0</v>
      </c>
      <c r="S11" s="34" t="s">
        <v>16</v>
      </c>
      <c r="T11" s="43">
        <f>T9*$B$4</f>
        <v>0</v>
      </c>
      <c r="U11" s="36" t="s">
        <v>16</v>
      </c>
      <c r="V11" s="43">
        <f>V9*$B$4</f>
        <v>0</v>
      </c>
      <c r="W11" s="34" t="s">
        <v>16</v>
      </c>
      <c r="X11" s="44">
        <f>X9*$B$4</f>
        <v>0</v>
      </c>
      <c r="Y11" s="34" t="s">
        <v>16</v>
      </c>
      <c r="Z11" s="43">
        <f>Z9*$B$4</f>
        <v>0</v>
      </c>
      <c r="AA11" s="29"/>
      <c r="AB11" s="21"/>
      <c r="AC11" s="21"/>
      <c r="AD11" s="21"/>
      <c r="AE11" s="23"/>
      <c r="AF11" s="1"/>
    </row>
    <row r="12" ht="51.75" customHeight="1" spans="1:31" x14ac:dyDescent="0.25">
      <c r="A12" s="45"/>
      <c r="B12" s="45"/>
      <c r="C12" s="46"/>
      <c r="D12" s="45"/>
      <c r="E12" s="47" t="s">
        <v>17</v>
      </c>
      <c r="F12" s="47" t="s">
        <v>18</v>
      </c>
      <c r="G12" s="47" t="s">
        <v>19</v>
      </c>
      <c r="H12" s="47" t="s">
        <v>20</v>
      </c>
      <c r="I12" s="47" t="s">
        <v>21</v>
      </c>
      <c r="J12" s="47" t="s">
        <v>22</v>
      </c>
      <c r="K12" s="47" t="s">
        <v>23</v>
      </c>
      <c r="L12" s="47" t="s">
        <v>24</v>
      </c>
      <c r="M12" s="48" t="s">
        <v>25</v>
      </c>
      <c r="N12" s="49" t="s">
        <v>26</v>
      </c>
      <c r="O12" s="48" t="s">
        <v>25</v>
      </c>
      <c r="P12" s="49" t="s">
        <v>26</v>
      </c>
      <c r="Q12" s="48" t="s">
        <v>25</v>
      </c>
      <c r="R12" s="49" t="s">
        <v>26</v>
      </c>
      <c r="S12" s="48" t="s">
        <v>25</v>
      </c>
      <c r="T12" s="49" t="s">
        <v>26</v>
      </c>
      <c r="U12" s="47" t="s">
        <v>25</v>
      </c>
      <c r="V12" s="49" t="s">
        <v>26</v>
      </c>
      <c r="W12" s="47" t="s">
        <v>25</v>
      </c>
      <c r="X12" s="47" t="s">
        <v>26</v>
      </c>
      <c r="Y12" s="48" t="s">
        <v>25</v>
      </c>
      <c r="Z12" s="49" t="s">
        <v>26</v>
      </c>
      <c r="AA12" s="50"/>
      <c r="AB12" s="51" t="s">
        <v>27</v>
      </c>
      <c r="AC12" s="51" t="s">
        <v>25</v>
      </c>
      <c r="AD12" s="51" t="s">
        <v>26</v>
      </c>
      <c r="AE12" s="52"/>
    </row>
    <row r="13" ht="26.25" customHeight="1" spans="1:31" x14ac:dyDescent="0.25">
      <c r="A13" s="53" t="s">
        <v>28</v>
      </c>
      <c r="B13" s="53" t="s">
        <v>29</v>
      </c>
      <c r="C13" s="53" t="s">
        <v>30</v>
      </c>
      <c r="D13" s="53" t="s">
        <v>31</v>
      </c>
      <c r="E13" s="53" t="s">
        <v>32</v>
      </c>
      <c r="F13" s="53" t="s">
        <v>33</v>
      </c>
      <c r="G13" s="53" t="s">
        <v>33</v>
      </c>
      <c r="H13" s="53" t="s">
        <v>33</v>
      </c>
      <c r="I13" s="53" t="s">
        <v>33</v>
      </c>
      <c r="J13" s="53" t="s">
        <v>33</v>
      </c>
      <c r="K13" s="53" t="s">
        <v>33</v>
      </c>
      <c r="L13" s="53" t="s">
        <v>33</v>
      </c>
      <c r="M13" s="54" t="s">
        <v>33</v>
      </c>
      <c r="N13" s="55" t="s">
        <v>33</v>
      </c>
      <c r="O13" s="54" t="s">
        <v>33</v>
      </c>
      <c r="P13" s="55" t="s">
        <v>33</v>
      </c>
      <c r="Q13" s="54" t="s">
        <v>33</v>
      </c>
      <c r="R13" s="55" t="s">
        <v>33</v>
      </c>
      <c r="S13" s="54" t="s">
        <v>33</v>
      </c>
      <c r="T13" s="55" t="s">
        <v>33</v>
      </c>
      <c r="U13" s="53" t="s">
        <v>33</v>
      </c>
      <c r="V13" s="55" t="s">
        <v>33</v>
      </c>
      <c r="W13" s="53" t="s">
        <v>33</v>
      </c>
      <c r="X13" s="53" t="s">
        <v>33</v>
      </c>
      <c r="Y13" s="56" t="s">
        <v>33</v>
      </c>
      <c r="Z13" s="57" t="s">
        <v>33</v>
      </c>
      <c r="AA13" s="29"/>
      <c r="AB13" s="58" t="s">
        <v>32</v>
      </c>
      <c r="AC13" s="58" t="s">
        <v>33</v>
      </c>
      <c r="AD13" s="58" t="s">
        <v>33</v>
      </c>
      <c r="AE13" s="23"/>
    </row>
    <row r="14" ht="15" customHeight="1" spans="1:31" x14ac:dyDescent="0.25">
      <c r="A14" s="1"/>
      <c r="B14" s="1"/>
      <c r="C14" s="2"/>
      <c r="D14" s="1"/>
      <c r="E14" s="1"/>
      <c r="F14" s="1"/>
      <c r="G14" s="1"/>
      <c r="H14" s="1"/>
      <c r="I14" s="1"/>
      <c r="J14" s="1"/>
      <c r="M14" s="27"/>
      <c r="N14" s="28"/>
      <c r="O14" s="27"/>
      <c r="P14" s="28"/>
      <c r="Q14" s="27"/>
      <c r="R14" s="28"/>
      <c r="S14" s="27"/>
      <c r="T14" s="28"/>
      <c r="U14" s="1"/>
      <c r="V14" s="28"/>
      <c r="W14" s="1"/>
      <c r="X14" s="28"/>
      <c r="Y14" s="1"/>
      <c r="Z14" s="1"/>
      <c r="AA14" s="29"/>
      <c r="AB14" s="21"/>
      <c r="AC14" s="21"/>
      <c r="AD14" s="21"/>
      <c r="AE14" s="23"/>
    </row>
    <row r="15" ht="23.1" customHeight="1" spans="1:31" x14ac:dyDescent="0.25">
      <c r="A15" s="59" t="s">
        <v>34</v>
      </c>
      <c r="B15" s="59"/>
      <c r="C15" s="60"/>
      <c r="D15" s="59"/>
      <c r="E15" s="59">
        <f>IFERROR(SUMIFS(E17:E36,D17:D36,"Produit Vente"),"Non trouvé")</f>
        <v>0</v>
      </c>
      <c r="F15" s="61"/>
      <c r="G15" s="61">
        <f>IFERROR(SUM(G17:G36),"Non Trouvé")</f>
        <v>0</v>
      </c>
      <c r="H15" s="61"/>
      <c r="I15" s="62"/>
      <c r="J15" s="61"/>
      <c r="K15" s="61"/>
      <c r="L15" s="61"/>
      <c r="M15" s="63">
        <f t="shared" ref="M15:Z15" si="0">SUM(M17:M36)</f>
        <v>0</v>
      </c>
      <c r="N15" s="64">
        <f t="shared" si="0"/>
        <v>0</v>
      </c>
      <c r="O15" s="63">
        <f t="shared" si="0"/>
        <v>0</v>
      </c>
      <c r="P15" s="64">
        <f t="shared" si="0"/>
        <v>0</v>
      </c>
      <c r="Q15" s="63">
        <f t="shared" si="0"/>
        <v>0</v>
      </c>
      <c r="R15" s="64">
        <f t="shared" si="0"/>
        <v>0</v>
      </c>
      <c r="S15" s="63">
        <f t="shared" si="0"/>
        <v>0</v>
      </c>
      <c r="T15" s="64">
        <f t="shared" si="0"/>
        <v>0</v>
      </c>
      <c r="U15" s="65">
        <f t="shared" si="0"/>
        <v>0</v>
      </c>
      <c r="V15" s="64">
        <f t="shared" si="0"/>
        <v>0</v>
      </c>
      <c r="W15" s="65">
        <f t="shared" si="0"/>
        <v>0</v>
      </c>
      <c r="X15" s="64">
        <f t="shared" si="0"/>
        <v>0</v>
      </c>
      <c r="Y15" s="65">
        <f t="shared" si="0"/>
        <v>0</v>
      </c>
      <c r="Z15" s="66">
        <f t="shared" si="0"/>
        <v>0</v>
      </c>
      <c r="AA15" s="67"/>
      <c r="AB15" s="68">
        <f>B4</f>
        <v>0</v>
      </c>
      <c r="AC15" s="69">
        <f>Y15+W15+U15+S15+O15+M15+Q15</f>
        <v>0</v>
      </c>
      <c r="AD15" s="70">
        <f>Z15+X15+V15+T15+P15+N15+R15</f>
        <v>0</v>
      </c>
      <c r="AE15" s="71"/>
    </row>
    <row r="16" ht="15" customHeight="1" spans="1:31" x14ac:dyDescent="0.25">
      <c r="A16" s="1"/>
      <c r="B16" s="1"/>
      <c r="C16" s="2"/>
      <c r="D16" s="1"/>
      <c r="E16" s="1"/>
      <c r="F16" s="1"/>
      <c r="G16" s="1"/>
      <c r="H16" s="1"/>
      <c r="I16" s="1"/>
      <c r="J16" s="1"/>
      <c r="M16" s="27"/>
      <c r="N16" s="28"/>
      <c r="O16" s="27"/>
      <c r="P16" s="28"/>
      <c r="Q16" s="27"/>
      <c r="R16" s="28"/>
      <c r="S16" s="27"/>
      <c r="T16" s="28"/>
      <c r="U16" s="1"/>
      <c r="V16" s="28"/>
      <c r="W16" s="1"/>
      <c r="X16" s="28"/>
      <c r="Y16" s="1"/>
      <c r="Z16" s="1"/>
      <c r="AA16" s="29"/>
      <c r="AB16" s="21"/>
      <c r="AC16" s="21"/>
      <c r="AD16" s="21"/>
      <c r="AE16" s="23"/>
    </row>
    <row r="17" ht="15.75" customHeight="1" spans="1:31" x14ac:dyDescent="0.25">
      <c r="A17" s="72"/>
      <c r="B17" s="73">
        <f>IFERROR(VLOOKUP(A17,Mapping!$A:$F,2,FALSE),"")</f>
      </c>
      <c r="C17" s="74">
        <f>IFERROR(VLOOKUP(A17,Mapping!$A:$F,3,FALSE),"")</f>
      </c>
      <c r="D17" s="75"/>
      <c r="E17" s="76"/>
      <c r="F17" s="77">
        <f>IFERROR(VLOOKUP(A17,Mapping!$A:$F,4,FALSE),0)</f>
        <v>0</v>
      </c>
      <c r="G17" s="78">
        <f t="shared" ref="G17:G36" si="1">E17*F17</f>
        <v>0</v>
      </c>
      <c r="H17" s="77">
        <f>IFERROR(VLOOKUP(A17,Mapping!$A:$F,5,FALSE),0)</f>
        <v>0</v>
      </c>
      <c r="I17" s="79"/>
      <c r="J17" s="77">
        <f>IFERROR(VLOOKUP(A17,Mapping!$A:$F,6,FALSE),0)</f>
        <v>0</v>
      </c>
      <c r="K17" s="80">
        <f t="shared" ref="K17:K29" si="2">J17*(1-I17)</f>
        <v>0</v>
      </c>
      <c r="L17" s="81">
        <f t="shared" ref="L17:L29" si="3">IFERROR(J17-K17,"")</f>
        <v>0</v>
      </c>
      <c r="M17" s="82">
        <f t="shared" ref="M17:M36" si="4">E17*H17*(1-I17)*$N$11*(1-$N$10)</f>
        <v>0</v>
      </c>
      <c r="N17" s="28">
        <f t="shared" ref="N17:N36" si="5">M17-E17*F17*$N$11</f>
        <v>0</v>
      </c>
      <c r="O17" s="82">
        <f t="shared" ref="O17:O36" si="6">E17*H17*(1-I17)*$P$11*(1-$P$10)</f>
        <v>0</v>
      </c>
      <c r="P17" s="28">
        <f t="shared" ref="P17:P36" si="7">O17-E17*F17*$P$11</f>
        <v>0</v>
      </c>
      <c r="Q17" s="82">
        <f t="shared" ref="Q17:Q36" si="8">E17*H17*(1-I17)*$R$11*(1-$R$10)</f>
        <v>0</v>
      </c>
      <c r="R17" s="28">
        <f t="shared" ref="R17:R36" si="9">Q17-E17*F17*$R$11</f>
        <v>0</v>
      </c>
      <c r="S17" s="82">
        <f t="shared" ref="S17:S36" si="10">E17*H17*(1-I17)*$T$11*(1-$T$10)</f>
        <v>0</v>
      </c>
      <c r="T17" s="28">
        <f t="shared" ref="T17:T36" si="11">S17-E17*F17*$T$11</f>
        <v>0</v>
      </c>
      <c r="U17" s="83">
        <f t="shared" ref="U17:U36" si="12">E17*H17*(1-I17)*$V$11*(1-$V$10)</f>
        <v>0</v>
      </c>
      <c r="V17" s="28">
        <f t="shared" ref="V17:V36" si="13">U17-E17*F17*$V$11</f>
        <v>0</v>
      </c>
      <c r="W17" s="80">
        <f t="shared" ref="W17:W36" si="14">E17*H17*(1-I17)*$X$11*(1-$X$10)</f>
        <v>0</v>
      </c>
      <c r="X17" s="28">
        <f t="shared" ref="X17:X36" si="15">W17-E17*F17*$X$11</f>
        <v>0</v>
      </c>
      <c r="Y17" s="81">
        <f t="shared" ref="Y17:Y36" si="16">E17*H17*(1-I17)*$Z$11*(1-$Z$10)</f>
        <v>0</v>
      </c>
      <c r="Z17" s="1">
        <f t="shared" ref="Z17:Z36" si="17">Y17-E17*F17*$Z$11</f>
        <v>0</v>
      </c>
      <c r="AA17" s="84"/>
      <c r="AB17" s="85"/>
      <c r="AC17" s="86"/>
      <c r="AD17" s="86"/>
      <c r="AE17" s="87"/>
    </row>
    <row r="18" ht="15.75" customHeight="1" spans="1:31" x14ac:dyDescent="0.25">
      <c r="A18" s="72"/>
      <c r="B18" s="73">
        <f>IFERROR(VLOOKUP(A18,Mapping!$A:$F,2,FALSE),"")</f>
      </c>
      <c r="C18" s="74">
        <f>IFERROR(VLOOKUP(A18,Mapping!$A:$F,3,FALSE),"")</f>
      </c>
      <c r="D18" s="75"/>
      <c r="E18" s="76"/>
      <c r="F18" s="77">
        <f>IFERROR(VLOOKUP(A18,Mapping!$A:$F,4,FALSE),0)</f>
        <v>0</v>
      </c>
      <c r="G18" s="78">
        <f t="shared" si="1"/>
        <v>0</v>
      </c>
      <c r="H18" s="77">
        <f>IFERROR(VLOOKUP(A18,Mapping!$A:$F,5,FALSE),0)</f>
        <v>0</v>
      </c>
      <c r="I18" s="79"/>
      <c r="J18" s="77">
        <f>IFERROR(VLOOKUP(A18,Mapping!$A:$F,6,FALSE),0)</f>
        <v>0</v>
      </c>
      <c r="K18" s="80">
        <f t="shared" si="2"/>
        <v>0</v>
      </c>
      <c r="L18" s="81">
        <f t="shared" si="3"/>
        <v>0</v>
      </c>
      <c r="M18" s="82">
        <f t="shared" si="4"/>
        <v>0</v>
      </c>
      <c r="N18" s="28">
        <f t="shared" si="5"/>
        <v>0</v>
      </c>
      <c r="O18" s="82">
        <f t="shared" si="6"/>
        <v>0</v>
      </c>
      <c r="P18" s="28">
        <f t="shared" si="7"/>
        <v>0</v>
      </c>
      <c r="Q18" s="82">
        <f t="shared" si="8"/>
        <v>0</v>
      </c>
      <c r="R18" s="28">
        <f t="shared" si="9"/>
        <v>0</v>
      </c>
      <c r="S18" s="82">
        <f t="shared" si="10"/>
        <v>0</v>
      </c>
      <c r="T18" s="28">
        <f t="shared" si="11"/>
        <v>0</v>
      </c>
      <c r="U18" s="83">
        <f t="shared" si="12"/>
        <v>0</v>
      </c>
      <c r="V18" s="28">
        <f t="shared" si="13"/>
        <v>0</v>
      </c>
      <c r="W18" s="80">
        <f t="shared" si="14"/>
        <v>0</v>
      </c>
      <c r="X18" s="28">
        <f t="shared" si="15"/>
        <v>0</v>
      </c>
      <c r="Y18" s="81">
        <f t="shared" si="16"/>
        <v>0</v>
      </c>
      <c r="Z18" s="1">
        <f t="shared" si="17"/>
        <v>0</v>
      </c>
      <c r="AA18" s="88"/>
      <c r="AB18" s="89"/>
      <c r="AC18" s="90" t="s">
        <v>35</v>
      </c>
      <c r="AD18" s="91" t="e">
        <f>AC15/AB15</f>
        <v>#DIV/0!</v>
      </c>
      <c r="AE18" s="87"/>
    </row>
    <row r="19" ht="15.75" customHeight="1" spans="1:31" x14ac:dyDescent="0.25">
      <c r="A19" s="72"/>
      <c r="B19" s="73">
        <f>IFERROR(VLOOKUP(A19,Mapping!$A:$F,2,FALSE),"")</f>
      </c>
      <c r="C19" s="74">
        <f>IFERROR(VLOOKUP(A19,Mapping!$A:$F,3,FALSE),"")</f>
      </c>
      <c r="D19" s="75"/>
      <c r="E19" s="76"/>
      <c r="F19" s="77">
        <f>IFERROR(VLOOKUP(A19,Mapping!$A:$F,4,FALSE),0)</f>
        <v>0</v>
      </c>
      <c r="G19" s="78">
        <f t="shared" si="1"/>
        <v>0</v>
      </c>
      <c r="H19" s="77">
        <f>IFERROR(VLOOKUP(A19,Mapping!$A:$F,5,FALSE),0)</f>
        <v>0</v>
      </c>
      <c r="I19" s="79"/>
      <c r="J19" s="77">
        <f>IFERROR(VLOOKUP(A19,Mapping!$A:$F,6,FALSE),0)</f>
        <v>0</v>
      </c>
      <c r="K19" s="80">
        <f t="shared" si="2"/>
        <v>0</v>
      </c>
      <c r="L19" s="81">
        <f t="shared" si="3"/>
        <v>0</v>
      </c>
      <c r="M19" s="82">
        <f t="shared" si="4"/>
        <v>0</v>
      </c>
      <c r="N19" s="28">
        <f t="shared" si="5"/>
        <v>0</v>
      </c>
      <c r="O19" s="82">
        <f t="shared" si="6"/>
        <v>0</v>
      </c>
      <c r="P19" s="28">
        <f t="shared" si="7"/>
        <v>0</v>
      </c>
      <c r="Q19" s="82">
        <f t="shared" si="8"/>
        <v>0</v>
      </c>
      <c r="R19" s="28">
        <f t="shared" si="9"/>
        <v>0</v>
      </c>
      <c r="S19" s="82">
        <f t="shared" si="10"/>
        <v>0</v>
      </c>
      <c r="T19" s="28">
        <f t="shared" si="11"/>
        <v>0</v>
      </c>
      <c r="U19" s="83">
        <f t="shared" si="12"/>
        <v>0</v>
      </c>
      <c r="V19" s="28">
        <f t="shared" si="13"/>
        <v>0</v>
      </c>
      <c r="W19" s="80">
        <f t="shared" si="14"/>
        <v>0</v>
      </c>
      <c r="X19" s="28">
        <f t="shared" si="15"/>
        <v>0</v>
      </c>
      <c r="Y19" s="81">
        <f t="shared" si="16"/>
        <v>0</v>
      </c>
      <c r="Z19" s="1">
        <f t="shared" si="17"/>
        <v>0</v>
      </c>
      <c r="AA19" s="88"/>
      <c r="AB19" s="89"/>
      <c r="AC19" s="90" t="s">
        <v>36</v>
      </c>
      <c r="AD19" s="92" t="e">
        <f>SUM(AD21:AD24)</f>
        <v>#DIV/0!</v>
      </c>
      <c r="AE19" s="87"/>
    </row>
    <row r="20" ht="15" customHeight="1" spans="1:31" x14ac:dyDescent="0.25">
      <c r="A20" s="72"/>
      <c r="B20" s="73">
        <f>IFERROR(VLOOKUP(A20,Mapping!$A:$F,2,FALSE),"")</f>
      </c>
      <c r="C20" s="74">
        <f>IFERROR(VLOOKUP(A20,Mapping!$A:$F,3,FALSE),"")</f>
      </c>
      <c r="D20" s="75"/>
      <c r="E20" s="76"/>
      <c r="F20" s="77">
        <f>IFERROR(VLOOKUP(A20,Mapping!$A:$F,4,FALSE),0)</f>
        <v>0</v>
      </c>
      <c r="G20" s="78">
        <f t="shared" si="1"/>
        <v>0</v>
      </c>
      <c r="H20" s="77">
        <f>IFERROR(VLOOKUP(A20,Mapping!$A:$F,5,FALSE),0)</f>
        <v>0</v>
      </c>
      <c r="I20" s="79"/>
      <c r="J20" s="77">
        <f>IFERROR(VLOOKUP(A20,Mapping!$A:$F,6,FALSE),0)</f>
        <v>0</v>
      </c>
      <c r="K20" s="80">
        <f t="shared" si="2"/>
        <v>0</v>
      </c>
      <c r="L20" s="81">
        <f t="shared" si="3"/>
        <v>0</v>
      </c>
      <c r="M20" s="82">
        <f t="shared" si="4"/>
        <v>0</v>
      </c>
      <c r="N20" s="28">
        <f t="shared" si="5"/>
        <v>0</v>
      </c>
      <c r="O20" s="82">
        <f t="shared" si="6"/>
        <v>0</v>
      </c>
      <c r="P20" s="28">
        <f t="shared" si="7"/>
        <v>0</v>
      </c>
      <c r="Q20" s="82">
        <f t="shared" si="8"/>
        <v>0</v>
      </c>
      <c r="R20" s="28">
        <f t="shared" si="9"/>
        <v>0</v>
      </c>
      <c r="S20" s="82">
        <f t="shared" si="10"/>
        <v>0</v>
      </c>
      <c r="T20" s="28">
        <f t="shared" si="11"/>
        <v>0</v>
      </c>
      <c r="U20" s="83">
        <f t="shared" si="12"/>
        <v>0</v>
      </c>
      <c r="V20" s="28">
        <f t="shared" si="13"/>
        <v>0</v>
      </c>
      <c r="W20" s="80">
        <f t="shared" si="14"/>
        <v>0</v>
      </c>
      <c r="X20" s="28">
        <f t="shared" si="15"/>
        <v>0</v>
      </c>
      <c r="Y20" s="81">
        <f t="shared" si="16"/>
        <v>0</v>
      </c>
      <c r="Z20" s="1">
        <f t="shared" si="17"/>
        <v>0</v>
      </c>
      <c r="AA20" s="84"/>
      <c r="AB20" s="85"/>
      <c r="AC20" s="86"/>
      <c r="AD20" s="86"/>
      <c r="AE20" s="87"/>
    </row>
    <row r="21" ht="15" customHeight="1" spans="1:31" x14ac:dyDescent="0.25">
      <c r="A21" s="72"/>
      <c r="B21" s="73">
        <f>IFERROR(VLOOKUP(A21,Mapping!$A:$F,2,FALSE),"")</f>
      </c>
      <c r="C21" s="74">
        <f>IFERROR(VLOOKUP(A21,Mapping!$A:$F,3,FALSE),"")</f>
      </c>
      <c r="D21" s="75"/>
      <c r="E21" s="76"/>
      <c r="F21" s="77">
        <f>IFERROR(VLOOKUP(A21,Mapping!$A:$F,4,FALSE),0)</f>
        <v>0</v>
      </c>
      <c r="G21" s="78">
        <f t="shared" si="1"/>
        <v>0</v>
      </c>
      <c r="H21" s="77">
        <f>IFERROR(VLOOKUP(A21,Mapping!$A:$F,5,FALSE),0)</f>
        <v>0</v>
      </c>
      <c r="I21" s="79"/>
      <c r="J21" s="77">
        <f>IFERROR(VLOOKUP(A21,Mapping!$A:$F,6,FALSE),0)</f>
        <v>0</v>
      </c>
      <c r="K21" s="80">
        <f t="shared" si="2"/>
        <v>0</v>
      </c>
      <c r="L21" s="81">
        <f t="shared" si="3"/>
        <v>0</v>
      </c>
      <c r="M21" s="82">
        <f t="shared" si="4"/>
        <v>0</v>
      </c>
      <c r="N21" s="28">
        <f t="shared" si="5"/>
        <v>0</v>
      </c>
      <c r="O21" s="82">
        <f t="shared" si="6"/>
        <v>0</v>
      </c>
      <c r="P21" s="28">
        <f t="shared" si="7"/>
        <v>0</v>
      </c>
      <c r="Q21" s="82">
        <f t="shared" si="8"/>
        <v>0</v>
      </c>
      <c r="R21" s="28">
        <f t="shared" si="9"/>
        <v>0</v>
      </c>
      <c r="S21" s="82">
        <f t="shared" si="10"/>
        <v>0</v>
      </c>
      <c r="T21" s="28">
        <f t="shared" si="11"/>
        <v>0</v>
      </c>
      <c r="U21" s="83">
        <f t="shared" si="12"/>
        <v>0</v>
      </c>
      <c r="V21" s="28">
        <f t="shared" si="13"/>
        <v>0</v>
      </c>
      <c r="W21" s="80">
        <f t="shared" si="14"/>
        <v>0</v>
      </c>
      <c r="X21" s="28">
        <f t="shared" si="15"/>
        <v>0</v>
      </c>
      <c r="Y21" s="81">
        <f t="shared" si="16"/>
        <v>0</v>
      </c>
      <c r="Z21" s="1">
        <f t="shared" si="17"/>
        <v>0</v>
      </c>
      <c r="AA21" s="84"/>
      <c r="AB21" s="85"/>
      <c r="AC21" s="93" t="s">
        <v>37</v>
      </c>
      <c r="AD21" s="94" t="e">
        <f>SUMIF($D$16:$D$36,AC21,$G$16:$G$36)/$AC$15</f>
        <v>#DIV/0!</v>
      </c>
      <c r="AE21" s="87"/>
    </row>
    <row r="22" ht="15" customHeight="1" spans="1:31" x14ac:dyDescent="0.25">
      <c r="A22" s="72"/>
      <c r="B22" s="73">
        <f>IFERROR(VLOOKUP(A22,Mapping!$A:$F,2,FALSE),"")</f>
      </c>
      <c r="C22" s="74">
        <f>IFERROR(VLOOKUP(A22,Mapping!$A:$F,3,FALSE),"")</f>
      </c>
      <c r="D22" s="75"/>
      <c r="E22" s="76"/>
      <c r="F22" s="77">
        <f>IFERROR(VLOOKUP(A22,Mapping!$A:$F,4,FALSE),0)</f>
        <v>0</v>
      </c>
      <c r="G22" s="78">
        <f t="shared" si="1"/>
        <v>0</v>
      </c>
      <c r="H22" s="77">
        <f>IFERROR(VLOOKUP(A22,Mapping!$A:$F,5,FALSE),0)</f>
        <v>0</v>
      </c>
      <c r="I22" s="79"/>
      <c r="J22" s="77">
        <f>IFERROR(VLOOKUP(A22,Mapping!$A:$F,6,FALSE),0)</f>
        <v>0</v>
      </c>
      <c r="K22" s="80">
        <f t="shared" si="2"/>
        <v>0</v>
      </c>
      <c r="L22" s="81">
        <f t="shared" si="3"/>
        <v>0</v>
      </c>
      <c r="M22" s="82">
        <f t="shared" si="4"/>
        <v>0</v>
      </c>
      <c r="N22" s="28">
        <f t="shared" si="5"/>
        <v>0</v>
      </c>
      <c r="O22" s="82">
        <f t="shared" si="6"/>
        <v>0</v>
      </c>
      <c r="P22" s="28">
        <f t="shared" si="7"/>
        <v>0</v>
      </c>
      <c r="Q22" s="82">
        <f t="shared" si="8"/>
        <v>0</v>
      </c>
      <c r="R22" s="28">
        <f t="shared" si="9"/>
        <v>0</v>
      </c>
      <c r="S22" s="82">
        <f t="shared" si="10"/>
        <v>0</v>
      </c>
      <c r="T22" s="28">
        <f t="shared" si="11"/>
        <v>0</v>
      </c>
      <c r="U22" s="83">
        <f t="shared" si="12"/>
        <v>0</v>
      </c>
      <c r="V22" s="28">
        <f t="shared" si="13"/>
        <v>0</v>
      </c>
      <c r="W22" s="80">
        <f t="shared" si="14"/>
        <v>0</v>
      </c>
      <c r="X22" s="28">
        <f t="shared" si="15"/>
        <v>0</v>
      </c>
      <c r="Y22" s="81">
        <f t="shared" si="16"/>
        <v>0</v>
      </c>
      <c r="Z22" s="1">
        <f t="shared" si="17"/>
        <v>0</v>
      </c>
      <c r="AA22" s="84"/>
      <c r="AB22" s="85"/>
      <c r="AC22" s="93" t="s">
        <v>38</v>
      </c>
      <c r="AD22" s="94" t="e">
        <f>SUMIF($D$16:$D$36,AC22,$G$16:$G$36)/$AC$15</f>
        <v>#DIV/0!</v>
      </c>
      <c r="AE22" s="87"/>
    </row>
    <row r="23" ht="15" customHeight="1" spans="1:31" x14ac:dyDescent="0.25">
      <c r="A23" s="72"/>
      <c r="B23" s="73">
        <f>IFERROR(VLOOKUP(A23,Mapping!$A:$F,2,FALSE),"")</f>
      </c>
      <c r="C23" s="74">
        <f>IFERROR(VLOOKUP(A23,Mapping!$A:$F,3,FALSE),"")</f>
      </c>
      <c r="D23" s="75"/>
      <c r="E23" s="76"/>
      <c r="F23" s="77">
        <f>IFERROR(VLOOKUP(A23,Mapping!$A:$F,4,FALSE),0)</f>
        <v>0</v>
      </c>
      <c r="G23" s="78">
        <f t="shared" si="1"/>
        <v>0</v>
      </c>
      <c r="H23" s="77">
        <f>IFERROR(VLOOKUP(A23,Mapping!$A:$F,5,FALSE),0)</f>
        <v>0</v>
      </c>
      <c r="I23" s="79"/>
      <c r="J23" s="77">
        <f>IFERROR(VLOOKUP(A23,Mapping!$A:$F,6,FALSE),0)</f>
        <v>0</v>
      </c>
      <c r="K23" s="80">
        <f t="shared" si="2"/>
        <v>0</v>
      </c>
      <c r="L23" s="81">
        <f t="shared" si="3"/>
        <v>0</v>
      </c>
      <c r="M23" s="82">
        <f t="shared" si="4"/>
        <v>0</v>
      </c>
      <c r="N23" s="28">
        <f t="shared" si="5"/>
        <v>0</v>
      </c>
      <c r="O23" s="82">
        <f t="shared" si="6"/>
        <v>0</v>
      </c>
      <c r="P23" s="28">
        <f t="shared" si="7"/>
        <v>0</v>
      </c>
      <c r="Q23" s="82">
        <f t="shared" si="8"/>
        <v>0</v>
      </c>
      <c r="R23" s="28">
        <f t="shared" si="9"/>
        <v>0</v>
      </c>
      <c r="S23" s="82">
        <f t="shared" si="10"/>
        <v>0</v>
      </c>
      <c r="T23" s="28">
        <f t="shared" si="11"/>
        <v>0</v>
      </c>
      <c r="U23" s="83">
        <f t="shared" si="12"/>
        <v>0</v>
      </c>
      <c r="V23" s="28">
        <f t="shared" si="13"/>
        <v>0</v>
      </c>
      <c r="W23" s="80">
        <f t="shared" si="14"/>
        <v>0</v>
      </c>
      <c r="X23" s="28">
        <f t="shared" si="15"/>
        <v>0</v>
      </c>
      <c r="Y23" s="81">
        <f t="shared" si="16"/>
        <v>0</v>
      </c>
      <c r="Z23" s="1">
        <f t="shared" si="17"/>
        <v>0</v>
      </c>
      <c r="AA23" s="84"/>
      <c r="AB23" s="85"/>
      <c r="AC23" s="93" t="s">
        <v>39</v>
      </c>
      <c r="AD23" s="94" t="e">
        <f>SUMIF($D$16:$D$36,AC23,$G$16:$G$36)/$AC$15</f>
        <v>#DIV/0!</v>
      </c>
      <c r="AE23" s="87"/>
    </row>
    <row r="24" ht="15" customHeight="1" spans="1:31" x14ac:dyDescent="0.25">
      <c r="A24" s="72"/>
      <c r="B24" s="73">
        <f>IFERROR(VLOOKUP(A24,Mapping!$A:$F,2,FALSE),"")</f>
      </c>
      <c r="C24" s="74">
        <f>IFERROR(VLOOKUP(A24,Mapping!$A:$F,3,FALSE),"")</f>
      </c>
      <c r="D24" s="75"/>
      <c r="E24" s="76"/>
      <c r="F24" s="77">
        <f>IFERROR(VLOOKUP(A24,Mapping!$A:$F,4,FALSE),0)</f>
        <v>0</v>
      </c>
      <c r="G24" s="78">
        <f t="shared" si="1"/>
        <v>0</v>
      </c>
      <c r="H24" s="77">
        <f>IFERROR(VLOOKUP(A24,Mapping!$A:$F,5,FALSE),0)</f>
        <v>0</v>
      </c>
      <c r="I24" s="79"/>
      <c r="J24" s="77">
        <f>IFERROR(VLOOKUP(A24,Mapping!$A:$F,6,FALSE),0)</f>
        <v>0</v>
      </c>
      <c r="K24" s="80">
        <f t="shared" si="2"/>
        <v>0</v>
      </c>
      <c r="L24" s="81">
        <f t="shared" si="3"/>
        <v>0</v>
      </c>
      <c r="M24" s="82">
        <f t="shared" si="4"/>
        <v>0</v>
      </c>
      <c r="N24" s="28">
        <f t="shared" si="5"/>
        <v>0</v>
      </c>
      <c r="O24" s="82">
        <f t="shared" si="6"/>
        <v>0</v>
      </c>
      <c r="P24" s="28">
        <f t="shared" si="7"/>
        <v>0</v>
      </c>
      <c r="Q24" s="82">
        <f t="shared" si="8"/>
        <v>0</v>
      </c>
      <c r="R24" s="28">
        <f t="shared" si="9"/>
        <v>0</v>
      </c>
      <c r="S24" s="82">
        <f t="shared" si="10"/>
        <v>0</v>
      </c>
      <c r="T24" s="28">
        <f t="shared" si="11"/>
        <v>0</v>
      </c>
      <c r="U24" s="83">
        <f t="shared" si="12"/>
        <v>0</v>
      </c>
      <c r="V24" s="28">
        <f t="shared" si="13"/>
        <v>0</v>
      </c>
      <c r="W24" s="80">
        <f t="shared" si="14"/>
        <v>0</v>
      </c>
      <c r="X24" s="28">
        <f t="shared" si="15"/>
        <v>0</v>
      </c>
      <c r="Y24" s="81">
        <f t="shared" si="16"/>
        <v>0</v>
      </c>
      <c r="Z24" s="1">
        <f t="shared" si="17"/>
        <v>0</v>
      </c>
      <c r="AA24" s="84"/>
      <c r="AB24" s="85"/>
      <c r="AC24" s="93" t="s">
        <v>40</v>
      </c>
      <c r="AD24" s="94" t="e">
        <f>SUMIF($D$16:$D$36,AC24,$G$16:$G$36)/$AC$15</f>
        <v>#DIV/0!</v>
      </c>
      <c r="AE24" s="87"/>
    </row>
    <row r="25" ht="15" customHeight="1" spans="1:31" x14ac:dyDescent="0.25">
      <c r="A25" s="72"/>
      <c r="B25" s="73">
        <f>IFERROR(VLOOKUP(A25,Mapping!$A:$F,2,FALSE),"")</f>
      </c>
      <c r="C25" s="74">
        <f>IFERROR(VLOOKUP(A25,Mapping!$A:$F,3,FALSE),"")</f>
      </c>
      <c r="D25" s="75"/>
      <c r="E25" s="76"/>
      <c r="F25" s="77">
        <f>IFERROR(VLOOKUP(A25,Mapping!$A:$F,4,FALSE),0)</f>
        <v>0</v>
      </c>
      <c r="G25" s="78">
        <f t="shared" si="1"/>
        <v>0</v>
      </c>
      <c r="H25" s="77">
        <f>IFERROR(VLOOKUP(A25,Mapping!$A:$F,5,FALSE),0)</f>
        <v>0</v>
      </c>
      <c r="I25" s="79"/>
      <c r="J25" s="77">
        <f>IFERROR(VLOOKUP(A25,Mapping!$A:$F,6,FALSE),0)</f>
        <v>0</v>
      </c>
      <c r="K25" s="80">
        <f t="shared" si="2"/>
        <v>0</v>
      </c>
      <c r="L25" s="81">
        <f t="shared" si="3"/>
        <v>0</v>
      </c>
      <c r="M25" s="82">
        <f t="shared" si="4"/>
        <v>0</v>
      </c>
      <c r="N25" s="28">
        <f t="shared" si="5"/>
        <v>0</v>
      </c>
      <c r="O25" s="82">
        <f t="shared" si="6"/>
        <v>0</v>
      </c>
      <c r="P25" s="28">
        <f t="shared" si="7"/>
        <v>0</v>
      </c>
      <c r="Q25" s="82">
        <f t="shared" si="8"/>
        <v>0</v>
      </c>
      <c r="R25" s="28">
        <f t="shared" si="9"/>
        <v>0</v>
      </c>
      <c r="S25" s="82">
        <f t="shared" si="10"/>
        <v>0</v>
      </c>
      <c r="T25" s="28">
        <f t="shared" si="11"/>
        <v>0</v>
      </c>
      <c r="U25" s="83">
        <f t="shared" si="12"/>
        <v>0</v>
      </c>
      <c r="V25" s="28">
        <f t="shared" si="13"/>
        <v>0</v>
      </c>
      <c r="W25" s="80">
        <f t="shared" si="14"/>
        <v>0</v>
      </c>
      <c r="X25" s="28">
        <f t="shared" si="15"/>
        <v>0</v>
      </c>
      <c r="Y25" s="81">
        <f t="shared" si="16"/>
        <v>0</v>
      </c>
      <c r="Z25" s="1">
        <f t="shared" si="17"/>
        <v>0</v>
      </c>
      <c r="AA25" s="84"/>
      <c r="AB25" s="85"/>
      <c r="AC25" s="86"/>
      <c r="AD25" s="86"/>
      <c r="AE25" s="87"/>
    </row>
    <row r="26" ht="15" customHeight="1" spans="1:31" x14ac:dyDescent="0.25">
      <c r="A26" s="72"/>
      <c r="B26" s="73">
        <f>IFERROR(VLOOKUP(A26,Mapping!$A:$F,2,FALSE),"")</f>
      </c>
      <c r="C26" s="74">
        <f>IFERROR(VLOOKUP(A26,Mapping!$A:$F,3,FALSE),"")</f>
      </c>
      <c r="D26" s="75"/>
      <c r="E26" s="76"/>
      <c r="F26" s="77">
        <f>IFERROR(VLOOKUP(A26,Mapping!$A:$F,4,FALSE),0)</f>
        <v>0</v>
      </c>
      <c r="G26" s="78">
        <f t="shared" si="1"/>
        <v>0</v>
      </c>
      <c r="H26" s="77">
        <f>IFERROR(VLOOKUP(A26,Mapping!$A:$F,5,FALSE),0)</f>
        <v>0</v>
      </c>
      <c r="I26" s="79"/>
      <c r="J26" s="77">
        <f>IFERROR(VLOOKUP(A26,Mapping!$A:$F,6,FALSE),0)</f>
        <v>0</v>
      </c>
      <c r="K26" s="80">
        <f t="shared" si="2"/>
        <v>0</v>
      </c>
      <c r="L26" s="81">
        <f t="shared" si="3"/>
        <v>0</v>
      </c>
      <c r="M26" s="82">
        <f t="shared" si="4"/>
        <v>0</v>
      </c>
      <c r="N26" s="28">
        <f t="shared" si="5"/>
        <v>0</v>
      </c>
      <c r="O26" s="82">
        <f t="shared" si="6"/>
        <v>0</v>
      </c>
      <c r="P26" s="28">
        <f t="shared" si="7"/>
        <v>0</v>
      </c>
      <c r="Q26" s="82">
        <f t="shared" si="8"/>
        <v>0</v>
      </c>
      <c r="R26" s="28">
        <f t="shared" si="9"/>
        <v>0</v>
      </c>
      <c r="S26" s="82">
        <f t="shared" si="10"/>
        <v>0</v>
      </c>
      <c r="T26" s="28">
        <f t="shared" si="11"/>
        <v>0</v>
      </c>
      <c r="U26" s="83">
        <f t="shared" si="12"/>
        <v>0</v>
      </c>
      <c r="V26" s="28">
        <f t="shared" si="13"/>
        <v>0</v>
      </c>
      <c r="W26" s="80">
        <f t="shared" si="14"/>
        <v>0</v>
      </c>
      <c r="X26" s="28">
        <f t="shared" si="15"/>
        <v>0</v>
      </c>
      <c r="Y26" s="81">
        <f t="shared" si="16"/>
        <v>0</v>
      </c>
      <c r="Z26" s="1">
        <f t="shared" si="17"/>
        <v>0</v>
      </c>
      <c r="AA26" s="84"/>
      <c r="AB26" s="85"/>
      <c r="AC26" s="86"/>
      <c r="AD26" s="86"/>
      <c r="AE26" s="87"/>
    </row>
    <row r="27" ht="15" customHeight="1" spans="1:31" x14ac:dyDescent="0.25">
      <c r="A27" s="72"/>
      <c r="B27" s="73">
        <f>IFERROR(VLOOKUP(A27,Mapping!$A:$F,2,FALSE),"")</f>
      </c>
      <c r="C27" s="74">
        <f>IFERROR(VLOOKUP(A27,Mapping!$A:$F,3,FALSE),"")</f>
      </c>
      <c r="D27" s="75"/>
      <c r="E27" s="76"/>
      <c r="F27" s="77">
        <f>IFERROR(VLOOKUP(A27,Mapping!$A:$F,4,FALSE),0)</f>
        <v>0</v>
      </c>
      <c r="G27" s="78">
        <f t="shared" si="1"/>
        <v>0</v>
      </c>
      <c r="H27" s="77">
        <f>IFERROR(VLOOKUP(A27,Mapping!$A:$F,5,FALSE),0)</f>
        <v>0</v>
      </c>
      <c r="I27" s="79"/>
      <c r="J27" s="77">
        <f>IFERROR(VLOOKUP(A27,Mapping!$A:$F,6,FALSE),0)</f>
        <v>0</v>
      </c>
      <c r="K27" s="80">
        <f t="shared" si="2"/>
        <v>0</v>
      </c>
      <c r="L27" s="81">
        <f t="shared" si="3"/>
        <v>0</v>
      </c>
      <c r="M27" s="82">
        <f t="shared" si="4"/>
        <v>0</v>
      </c>
      <c r="N27" s="28">
        <f t="shared" si="5"/>
        <v>0</v>
      </c>
      <c r="O27" s="82">
        <f t="shared" si="6"/>
        <v>0</v>
      </c>
      <c r="P27" s="28">
        <f t="shared" si="7"/>
        <v>0</v>
      </c>
      <c r="Q27" s="82">
        <f t="shared" si="8"/>
        <v>0</v>
      </c>
      <c r="R27" s="28">
        <f t="shared" si="9"/>
        <v>0</v>
      </c>
      <c r="S27" s="82">
        <f t="shared" si="10"/>
        <v>0</v>
      </c>
      <c r="T27" s="28">
        <f t="shared" si="11"/>
        <v>0</v>
      </c>
      <c r="U27" s="83">
        <f t="shared" si="12"/>
        <v>0</v>
      </c>
      <c r="V27" s="28">
        <f t="shared" si="13"/>
        <v>0</v>
      </c>
      <c r="W27" s="80">
        <f t="shared" si="14"/>
        <v>0</v>
      </c>
      <c r="X27" s="28">
        <f t="shared" si="15"/>
        <v>0</v>
      </c>
      <c r="Y27" s="81">
        <f t="shared" si="16"/>
        <v>0</v>
      </c>
      <c r="Z27" s="1">
        <f t="shared" si="17"/>
        <v>0</v>
      </c>
      <c r="AA27" s="84"/>
      <c r="AB27" s="85"/>
      <c r="AC27" s="86"/>
      <c r="AD27" s="86"/>
      <c r="AE27" s="87"/>
    </row>
    <row r="28" ht="15" customHeight="1" spans="1:31" x14ac:dyDescent="0.25">
      <c r="A28" s="72"/>
      <c r="B28" s="73">
        <f>IFERROR(VLOOKUP(A28,Mapping!$A:$F,2,FALSE),"")</f>
      </c>
      <c r="C28" s="74">
        <f>IFERROR(VLOOKUP(A28,Mapping!$A:$F,3,FALSE),"")</f>
      </c>
      <c r="D28" s="75"/>
      <c r="E28" s="76"/>
      <c r="F28" s="77">
        <f>IFERROR(VLOOKUP(A28,Mapping!$A:$F,4,FALSE),0)</f>
        <v>0</v>
      </c>
      <c r="G28" s="78">
        <f t="shared" si="1"/>
        <v>0</v>
      </c>
      <c r="H28" s="77">
        <f>IFERROR(VLOOKUP(A28,Mapping!$A:$F,5,FALSE),0)</f>
        <v>0</v>
      </c>
      <c r="I28" s="79"/>
      <c r="J28" s="77">
        <f>IFERROR(VLOOKUP(A28,Mapping!$A:$F,6,FALSE),0)</f>
        <v>0</v>
      </c>
      <c r="K28" s="80">
        <f t="shared" si="2"/>
        <v>0</v>
      </c>
      <c r="L28" s="81">
        <f t="shared" si="3"/>
        <v>0</v>
      </c>
      <c r="M28" s="82">
        <f t="shared" si="4"/>
        <v>0</v>
      </c>
      <c r="N28" s="28">
        <f t="shared" si="5"/>
        <v>0</v>
      </c>
      <c r="O28" s="82">
        <f t="shared" si="6"/>
        <v>0</v>
      </c>
      <c r="P28" s="28">
        <f t="shared" si="7"/>
        <v>0</v>
      </c>
      <c r="Q28" s="82">
        <f t="shared" si="8"/>
        <v>0</v>
      </c>
      <c r="R28" s="28">
        <f t="shared" si="9"/>
        <v>0</v>
      </c>
      <c r="S28" s="82">
        <f t="shared" si="10"/>
        <v>0</v>
      </c>
      <c r="T28" s="28">
        <f t="shared" si="11"/>
        <v>0</v>
      </c>
      <c r="U28" s="83">
        <f t="shared" si="12"/>
        <v>0</v>
      </c>
      <c r="V28" s="28">
        <f t="shared" si="13"/>
        <v>0</v>
      </c>
      <c r="W28" s="80">
        <f t="shared" si="14"/>
        <v>0</v>
      </c>
      <c r="X28" s="28">
        <f t="shared" si="15"/>
        <v>0</v>
      </c>
      <c r="Y28" s="81">
        <f t="shared" si="16"/>
        <v>0</v>
      </c>
      <c r="Z28" s="1">
        <f t="shared" si="17"/>
        <v>0</v>
      </c>
      <c r="AA28" s="84"/>
      <c r="AB28" s="85"/>
      <c r="AC28" s="86"/>
      <c r="AD28" s="86"/>
      <c r="AE28" s="87"/>
    </row>
    <row r="29" ht="15" customHeight="1" spans="1:31" x14ac:dyDescent="0.25">
      <c r="A29" s="72"/>
      <c r="B29" s="73">
        <f>IFERROR(VLOOKUP(A29,Mapping!$A:$F,2,FALSE),"")</f>
      </c>
      <c r="C29" s="74">
        <f>IFERROR(VLOOKUP(A29,Mapping!$A:$F,3,FALSE),"")</f>
      </c>
      <c r="D29" s="75"/>
      <c r="E29" s="76"/>
      <c r="F29" s="77">
        <f>IFERROR(VLOOKUP(A29,Mapping!$A:$F,4,FALSE),0)</f>
        <v>0</v>
      </c>
      <c r="G29" s="78">
        <f t="shared" si="1"/>
        <v>0</v>
      </c>
      <c r="H29" s="77">
        <f>IFERROR(VLOOKUP(A29,Mapping!$A:$F,5,FALSE),0)</f>
        <v>0</v>
      </c>
      <c r="I29" s="79"/>
      <c r="J29" s="77">
        <f>IFERROR(VLOOKUP(A29,Mapping!$A:$F,6,FALSE),0)</f>
        <v>0</v>
      </c>
      <c r="K29" s="80">
        <f t="shared" si="2"/>
        <v>0</v>
      </c>
      <c r="L29" s="81">
        <f t="shared" si="3"/>
        <v>0</v>
      </c>
      <c r="M29" s="82">
        <f t="shared" si="4"/>
        <v>0</v>
      </c>
      <c r="N29" s="28">
        <f t="shared" si="5"/>
        <v>0</v>
      </c>
      <c r="O29" s="82">
        <f t="shared" si="6"/>
        <v>0</v>
      </c>
      <c r="P29" s="28">
        <f t="shared" si="7"/>
        <v>0</v>
      </c>
      <c r="Q29" s="82">
        <f t="shared" si="8"/>
        <v>0</v>
      </c>
      <c r="R29" s="28">
        <f t="shared" si="9"/>
        <v>0</v>
      </c>
      <c r="S29" s="82">
        <f t="shared" si="10"/>
        <v>0</v>
      </c>
      <c r="T29" s="28">
        <f t="shared" si="11"/>
        <v>0</v>
      </c>
      <c r="U29" s="83">
        <f t="shared" si="12"/>
        <v>0</v>
      </c>
      <c r="V29" s="28">
        <f t="shared" si="13"/>
        <v>0</v>
      </c>
      <c r="W29" s="80">
        <f t="shared" si="14"/>
        <v>0</v>
      </c>
      <c r="X29" s="28">
        <f t="shared" si="15"/>
        <v>0</v>
      </c>
      <c r="Y29" s="81">
        <f t="shared" si="16"/>
        <v>0</v>
      </c>
      <c r="Z29" s="1">
        <f t="shared" si="17"/>
        <v>0</v>
      </c>
      <c r="AA29" s="84"/>
      <c r="AB29" s="85"/>
      <c r="AC29" s="95"/>
      <c r="AD29" s="86"/>
      <c r="AE29" s="87"/>
    </row>
    <row r="30" ht="15" customHeight="1" spans="1:31" x14ac:dyDescent="0.25">
      <c r="A30" s="96"/>
      <c r="B30" s="97">
        <f>IFERROR(VLOOKUP(A30,Mapping!$A:$F,2,FALSE),"")</f>
      </c>
      <c r="C30" s="98">
        <f>IFERROR(VLOOKUP(A30,Mapping!$A:$F,3,FALSE),"")</f>
      </c>
      <c r="D30" s="99"/>
      <c r="E30" s="100"/>
      <c r="F30" s="77">
        <f>IFERROR(VLOOKUP(A30,Mapping!$A:$F,4,FALSE),0)</f>
        <v>0</v>
      </c>
      <c r="G30" s="78">
        <f t="shared" si="1"/>
        <v>0</v>
      </c>
      <c r="H30" s="101">
        <f>IFERROR(VLOOKUP(A30,Mapping!$A:$F,5,FALSE),0)</f>
        <v>0</v>
      </c>
      <c r="I30" s="79"/>
      <c r="J30" s="77">
        <f>IFERROR(VLOOKUP(A30,Mapping!$A:$F,6,FALSE),0)</f>
        <v>0</v>
      </c>
      <c r="K30" s="80">
        <f t="shared" ref="K30:K36" si="18">J30*(1-I30)</f>
        <v>0</v>
      </c>
      <c r="L30" s="81">
        <f t="shared" ref="L30:L36" si="19">IFERROR(J30-K30,"")</f>
        <v>0</v>
      </c>
      <c r="M30" s="82">
        <f t="shared" si="4"/>
        <v>0</v>
      </c>
      <c r="N30" s="28">
        <f t="shared" si="5"/>
        <v>0</v>
      </c>
      <c r="O30" s="82">
        <f t="shared" si="6"/>
        <v>0</v>
      </c>
      <c r="P30" s="28">
        <f t="shared" si="7"/>
        <v>0</v>
      </c>
      <c r="Q30" s="82">
        <f t="shared" si="8"/>
        <v>0</v>
      </c>
      <c r="R30" s="28">
        <f t="shared" si="9"/>
        <v>0</v>
      </c>
      <c r="S30" s="82">
        <f t="shared" si="10"/>
        <v>0</v>
      </c>
      <c r="T30" s="28">
        <f t="shared" si="11"/>
        <v>0</v>
      </c>
      <c r="U30" s="83">
        <f t="shared" si="12"/>
        <v>0</v>
      </c>
      <c r="V30" s="28">
        <f t="shared" si="13"/>
        <v>0</v>
      </c>
      <c r="W30" s="80">
        <f t="shared" si="14"/>
        <v>0</v>
      </c>
      <c r="X30" s="28">
        <f t="shared" si="15"/>
        <v>0</v>
      </c>
      <c r="Y30" s="81">
        <f t="shared" si="16"/>
        <v>0</v>
      </c>
      <c r="Z30" s="1">
        <f t="shared" si="17"/>
        <v>0</v>
      </c>
      <c r="AA30" s="84"/>
      <c r="AB30" s="85"/>
      <c r="AC30" s="86"/>
      <c r="AD30" s="102"/>
      <c r="AE30" s="87"/>
    </row>
    <row r="31" ht="14.45" customHeight="1" spans="1:31" x14ac:dyDescent="0.25">
      <c r="A31" s="96"/>
      <c r="B31" s="97">
        <f>IFERROR(VLOOKUP(A31,Mapping!$A:$F,2,FALSE),"")</f>
      </c>
      <c r="C31" s="98">
        <f>IFERROR(VLOOKUP(A31,Mapping!$A:$F,3,FALSE),"")</f>
      </c>
      <c r="D31" s="99"/>
      <c r="E31" s="100"/>
      <c r="F31" s="77">
        <f>IFERROR(VLOOKUP(A31,Mapping!$A:$F,4,FALSE),0)</f>
        <v>0</v>
      </c>
      <c r="G31" s="78">
        <f t="shared" si="1"/>
        <v>0</v>
      </c>
      <c r="H31" s="101">
        <f>IFERROR(VLOOKUP(A31,Mapping!$A:$F,5,FALSE),0)</f>
        <v>0</v>
      </c>
      <c r="I31" s="79"/>
      <c r="J31" s="77">
        <f>IFERROR(VLOOKUP(A31,Mapping!$A:$F,6,FALSE),0)</f>
        <v>0</v>
      </c>
      <c r="K31" s="80">
        <f t="shared" si="18"/>
        <v>0</v>
      </c>
      <c r="L31" s="81">
        <f t="shared" si="19"/>
        <v>0</v>
      </c>
      <c r="M31" s="82">
        <f t="shared" si="4"/>
        <v>0</v>
      </c>
      <c r="N31" s="28">
        <f t="shared" si="5"/>
        <v>0</v>
      </c>
      <c r="O31" s="82">
        <f t="shared" si="6"/>
        <v>0</v>
      </c>
      <c r="P31" s="28">
        <f t="shared" si="7"/>
        <v>0</v>
      </c>
      <c r="Q31" s="82">
        <f t="shared" si="8"/>
        <v>0</v>
      </c>
      <c r="R31" s="28">
        <f t="shared" si="9"/>
        <v>0</v>
      </c>
      <c r="S31" s="82">
        <f t="shared" si="10"/>
        <v>0</v>
      </c>
      <c r="T31" s="28">
        <f t="shared" si="11"/>
        <v>0</v>
      </c>
      <c r="U31" s="83">
        <f t="shared" si="12"/>
        <v>0</v>
      </c>
      <c r="V31" s="28">
        <f t="shared" si="13"/>
        <v>0</v>
      </c>
      <c r="W31" s="80">
        <f t="shared" si="14"/>
        <v>0</v>
      </c>
      <c r="X31" s="28">
        <f t="shared" si="15"/>
        <v>0</v>
      </c>
      <c r="Y31" s="81">
        <f t="shared" si="16"/>
        <v>0</v>
      </c>
      <c r="Z31" s="1">
        <f t="shared" si="17"/>
        <v>0</v>
      </c>
      <c r="AA31" s="84"/>
      <c r="AB31" s="85"/>
      <c r="AC31" s="86"/>
      <c r="AD31" s="103"/>
      <c r="AE31" s="87"/>
    </row>
    <row r="32" ht="14.45" customHeight="1" spans="1:31" x14ac:dyDescent="0.25">
      <c r="A32" s="96"/>
      <c r="B32" s="97">
        <f>IFERROR(VLOOKUP(A32,Mapping!$A:$F,2,FALSE),"")</f>
      </c>
      <c r="C32" s="98">
        <f>IFERROR(VLOOKUP(A32,Mapping!$A:$F,3,FALSE),"")</f>
      </c>
      <c r="D32" s="99"/>
      <c r="E32" s="100"/>
      <c r="F32" s="77">
        <f>IFERROR(VLOOKUP(A32,Mapping!$A:$F,4,FALSE),0)</f>
        <v>0</v>
      </c>
      <c r="G32" s="78">
        <f t="shared" si="1"/>
        <v>0</v>
      </c>
      <c r="H32" s="101">
        <f>IFERROR(VLOOKUP(A32,Mapping!$A:$F,5,FALSE),0)</f>
        <v>0</v>
      </c>
      <c r="I32" s="79"/>
      <c r="J32" s="77">
        <f>IFERROR(VLOOKUP(A32,Mapping!$A:$F,6,FALSE),0)</f>
        <v>0</v>
      </c>
      <c r="K32" s="80">
        <f t="shared" si="18"/>
        <v>0</v>
      </c>
      <c r="L32" s="81">
        <f t="shared" si="19"/>
        <v>0</v>
      </c>
      <c r="M32" s="82">
        <f t="shared" si="4"/>
        <v>0</v>
      </c>
      <c r="N32" s="28">
        <f t="shared" si="5"/>
        <v>0</v>
      </c>
      <c r="O32" s="82">
        <f t="shared" si="6"/>
        <v>0</v>
      </c>
      <c r="P32" s="28">
        <f t="shared" si="7"/>
        <v>0</v>
      </c>
      <c r="Q32" s="82">
        <f t="shared" si="8"/>
        <v>0</v>
      </c>
      <c r="R32" s="28">
        <f t="shared" si="9"/>
        <v>0</v>
      </c>
      <c r="S32" s="82">
        <f t="shared" si="10"/>
        <v>0</v>
      </c>
      <c r="T32" s="28">
        <f t="shared" si="11"/>
        <v>0</v>
      </c>
      <c r="U32" s="83">
        <f t="shared" si="12"/>
        <v>0</v>
      </c>
      <c r="V32" s="28">
        <f t="shared" si="13"/>
        <v>0</v>
      </c>
      <c r="W32" s="80">
        <f t="shared" si="14"/>
        <v>0</v>
      </c>
      <c r="X32" s="28">
        <f t="shared" si="15"/>
        <v>0</v>
      </c>
      <c r="Y32" s="81">
        <f t="shared" si="16"/>
        <v>0</v>
      </c>
      <c r="Z32" s="1">
        <f t="shared" si="17"/>
        <v>0</v>
      </c>
      <c r="AA32" s="84"/>
      <c r="AB32" s="85"/>
      <c r="AC32" s="86"/>
      <c r="AD32" s="104"/>
      <c r="AE32" s="87"/>
    </row>
    <row r="33" ht="15" customHeight="1" spans="1:31" x14ac:dyDescent="0.25">
      <c r="A33" s="96"/>
      <c r="B33" s="97">
        <f>IFERROR(VLOOKUP(A33,Mapping!$A:$F,2,FALSE),"")</f>
      </c>
      <c r="C33" s="98">
        <f>IFERROR(VLOOKUP(A33,Mapping!$A:$F,3,FALSE),"")</f>
      </c>
      <c r="D33" s="99"/>
      <c r="E33" s="100"/>
      <c r="F33" s="77">
        <f>IFERROR(VLOOKUP(A33,Mapping!$A:$F,4,FALSE),0)</f>
        <v>0</v>
      </c>
      <c r="G33" s="78">
        <f t="shared" si="1"/>
        <v>0</v>
      </c>
      <c r="H33" s="101">
        <f>IFERROR(VLOOKUP(A33,Mapping!$A:$F,5,FALSE),0)</f>
        <v>0</v>
      </c>
      <c r="I33" s="79"/>
      <c r="J33" s="77">
        <f>IFERROR(VLOOKUP(A33,Mapping!$A:$F,6,FALSE),0)</f>
        <v>0</v>
      </c>
      <c r="K33" s="80">
        <f t="shared" si="18"/>
        <v>0</v>
      </c>
      <c r="L33" s="81">
        <f t="shared" si="19"/>
        <v>0</v>
      </c>
      <c r="M33" s="82">
        <f t="shared" si="4"/>
        <v>0</v>
      </c>
      <c r="N33" s="28">
        <f t="shared" si="5"/>
        <v>0</v>
      </c>
      <c r="O33" s="82">
        <f t="shared" si="6"/>
        <v>0</v>
      </c>
      <c r="P33" s="28">
        <f t="shared" si="7"/>
        <v>0</v>
      </c>
      <c r="Q33" s="82">
        <f t="shared" si="8"/>
        <v>0</v>
      </c>
      <c r="R33" s="28">
        <f t="shared" si="9"/>
        <v>0</v>
      </c>
      <c r="S33" s="82">
        <f t="shared" si="10"/>
        <v>0</v>
      </c>
      <c r="T33" s="28">
        <f t="shared" si="11"/>
        <v>0</v>
      </c>
      <c r="U33" s="83">
        <f t="shared" si="12"/>
        <v>0</v>
      </c>
      <c r="V33" s="28">
        <f t="shared" si="13"/>
        <v>0</v>
      </c>
      <c r="W33" s="80">
        <f t="shared" si="14"/>
        <v>0</v>
      </c>
      <c r="X33" s="28">
        <f t="shared" si="15"/>
        <v>0</v>
      </c>
      <c r="Y33" s="81">
        <f t="shared" si="16"/>
        <v>0</v>
      </c>
      <c r="Z33" s="1">
        <f t="shared" si="17"/>
        <v>0</v>
      </c>
      <c r="AA33" s="84"/>
      <c r="AB33" s="85"/>
      <c r="AC33" s="86"/>
      <c r="AD33" s="103"/>
      <c r="AE33" s="87"/>
    </row>
    <row r="34" ht="15" customHeight="1" spans="1:31" x14ac:dyDescent="0.25">
      <c r="A34" s="96"/>
      <c r="B34" s="97">
        <f>IFERROR(VLOOKUP(A34,Mapping!$A:$F,2,FALSE),"")</f>
      </c>
      <c r="C34" s="98">
        <f>IFERROR(VLOOKUP(A34,Mapping!$A:$F,3,FALSE),"")</f>
      </c>
      <c r="D34" s="99"/>
      <c r="E34" s="100"/>
      <c r="F34" s="77">
        <f>IFERROR(VLOOKUP(A34,Mapping!$A:$F,4,FALSE),0)</f>
        <v>0</v>
      </c>
      <c r="G34" s="78">
        <f t="shared" si="1"/>
        <v>0</v>
      </c>
      <c r="H34" s="101">
        <f>IFERROR(VLOOKUP(A34,Mapping!$A:$F,5,FALSE),0)</f>
        <v>0</v>
      </c>
      <c r="I34" s="79"/>
      <c r="J34" s="77">
        <f>IFERROR(VLOOKUP(A34,Mapping!$A:$F,6,FALSE),0)</f>
        <v>0</v>
      </c>
      <c r="K34" s="80">
        <f t="shared" si="18"/>
        <v>0</v>
      </c>
      <c r="L34" s="81">
        <f t="shared" si="19"/>
        <v>0</v>
      </c>
      <c r="M34" s="82">
        <f t="shared" si="4"/>
        <v>0</v>
      </c>
      <c r="N34" s="28">
        <f t="shared" si="5"/>
        <v>0</v>
      </c>
      <c r="O34" s="82">
        <f t="shared" si="6"/>
        <v>0</v>
      </c>
      <c r="P34" s="28">
        <f t="shared" si="7"/>
        <v>0</v>
      </c>
      <c r="Q34" s="82">
        <f t="shared" si="8"/>
        <v>0</v>
      </c>
      <c r="R34" s="28">
        <f t="shared" si="9"/>
        <v>0</v>
      </c>
      <c r="S34" s="82">
        <f t="shared" si="10"/>
        <v>0</v>
      </c>
      <c r="T34" s="28">
        <f t="shared" si="11"/>
        <v>0</v>
      </c>
      <c r="U34" s="83">
        <f t="shared" si="12"/>
        <v>0</v>
      </c>
      <c r="V34" s="28">
        <f t="shared" si="13"/>
        <v>0</v>
      </c>
      <c r="W34" s="80">
        <f t="shared" si="14"/>
        <v>0</v>
      </c>
      <c r="X34" s="28">
        <f t="shared" si="15"/>
        <v>0</v>
      </c>
      <c r="Y34" s="81">
        <f t="shared" si="16"/>
        <v>0</v>
      </c>
      <c r="Z34" s="1">
        <f t="shared" si="17"/>
        <v>0</v>
      </c>
      <c r="AA34" s="84"/>
      <c r="AB34" s="85"/>
      <c r="AC34" s="85"/>
      <c r="AD34" s="85"/>
      <c r="AE34" s="87"/>
    </row>
    <row r="35" ht="15" customHeight="1" spans="1:31" x14ac:dyDescent="0.25">
      <c r="A35" s="96"/>
      <c r="B35" s="97">
        <f>IFERROR(VLOOKUP(A35,Mapping!$A:$F,2,FALSE),"")</f>
      </c>
      <c r="C35" s="98">
        <f>IFERROR(VLOOKUP(A35,Mapping!$A:$F,3,FALSE),"")</f>
      </c>
      <c r="D35" s="99"/>
      <c r="E35" s="100"/>
      <c r="F35" s="77">
        <f>IFERROR(VLOOKUP(A35,Mapping!$A:$F,4,FALSE),0)</f>
        <v>0</v>
      </c>
      <c r="G35" s="78">
        <f t="shared" si="1"/>
        <v>0</v>
      </c>
      <c r="H35" s="101">
        <f>IFERROR(VLOOKUP(A35,Mapping!$A:$F,5,FALSE),0)</f>
        <v>0</v>
      </c>
      <c r="I35" s="79"/>
      <c r="J35" s="77">
        <f>IFERROR(VLOOKUP(A35,Mapping!$A:$F,6,FALSE),0)</f>
        <v>0</v>
      </c>
      <c r="K35" s="80">
        <f t="shared" si="18"/>
        <v>0</v>
      </c>
      <c r="L35" s="81">
        <f t="shared" si="19"/>
        <v>0</v>
      </c>
      <c r="M35" s="82">
        <f t="shared" si="4"/>
        <v>0</v>
      </c>
      <c r="N35" s="28">
        <f t="shared" si="5"/>
        <v>0</v>
      </c>
      <c r="O35" s="82">
        <f t="shared" si="6"/>
        <v>0</v>
      </c>
      <c r="P35" s="28">
        <f t="shared" si="7"/>
        <v>0</v>
      </c>
      <c r="Q35" s="82">
        <f t="shared" si="8"/>
        <v>0</v>
      </c>
      <c r="R35" s="28">
        <f t="shared" si="9"/>
        <v>0</v>
      </c>
      <c r="S35" s="82">
        <f t="shared" si="10"/>
        <v>0</v>
      </c>
      <c r="T35" s="28">
        <f t="shared" si="11"/>
        <v>0</v>
      </c>
      <c r="U35" s="83">
        <f t="shared" si="12"/>
        <v>0</v>
      </c>
      <c r="V35" s="28">
        <f t="shared" si="13"/>
        <v>0</v>
      </c>
      <c r="W35" s="80">
        <f t="shared" si="14"/>
        <v>0</v>
      </c>
      <c r="X35" s="28">
        <f t="shared" si="15"/>
        <v>0</v>
      </c>
      <c r="Y35" s="81">
        <f t="shared" si="16"/>
        <v>0</v>
      </c>
      <c r="Z35" s="1">
        <f t="shared" si="17"/>
        <v>0</v>
      </c>
      <c r="AA35" s="84"/>
      <c r="AB35" s="85"/>
      <c r="AC35" s="95"/>
      <c r="AD35" s="85"/>
      <c r="AE35" s="87"/>
    </row>
    <row r="36" ht="15.75" customHeight="1" spans="1:31" x14ac:dyDescent="0.25">
      <c r="A36" s="96"/>
      <c r="B36" s="97">
        <f>IFERROR(VLOOKUP(A36,Mapping!$A:$F,2,FALSE),"")</f>
      </c>
      <c r="C36" s="98">
        <f>IFERROR(VLOOKUP(A36,Mapping!$A:$F,3,FALSE),"")</f>
      </c>
      <c r="D36" s="99"/>
      <c r="E36" s="100"/>
      <c r="F36" s="77">
        <f>IFERROR(VLOOKUP(A36,Mapping!$A:$F,4,FALSE),0)</f>
        <v>0</v>
      </c>
      <c r="G36" s="78">
        <f t="shared" si="1"/>
        <v>0</v>
      </c>
      <c r="H36" s="101">
        <f>IFERROR(VLOOKUP(A36,Mapping!$A:$F,5,FALSE),0)</f>
        <v>0</v>
      </c>
      <c r="I36" s="79"/>
      <c r="J36" s="77">
        <f>IFERROR(VLOOKUP(A36,Mapping!$A:$F,6,FALSE),0)</f>
        <v>0</v>
      </c>
      <c r="K36" s="80">
        <f t="shared" si="18"/>
        <v>0</v>
      </c>
      <c r="L36" s="81">
        <f t="shared" si="19"/>
        <v>0</v>
      </c>
      <c r="M36" s="105">
        <f t="shared" si="4"/>
        <v>0</v>
      </c>
      <c r="N36" s="106">
        <f t="shared" si="5"/>
        <v>0</v>
      </c>
      <c r="O36" s="105">
        <f t="shared" si="6"/>
        <v>0</v>
      </c>
      <c r="P36" s="106">
        <f t="shared" si="7"/>
        <v>0</v>
      </c>
      <c r="Q36" s="105">
        <f t="shared" si="8"/>
        <v>0</v>
      </c>
      <c r="R36" s="106">
        <f t="shared" si="9"/>
        <v>0</v>
      </c>
      <c r="S36" s="105">
        <f t="shared" si="10"/>
        <v>0</v>
      </c>
      <c r="T36" s="106">
        <f t="shared" si="11"/>
        <v>0</v>
      </c>
      <c r="U36" s="107">
        <f t="shared" si="12"/>
        <v>0</v>
      </c>
      <c r="V36" s="106">
        <f t="shared" si="13"/>
        <v>0</v>
      </c>
      <c r="W36" s="108">
        <f t="shared" si="14"/>
        <v>0</v>
      </c>
      <c r="X36" s="106">
        <f t="shared" si="15"/>
        <v>0</v>
      </c>
      <c r="Y36" s="109">
        <f t="shared" si="16"/>
        <v>0</v>
      </c>
      <c r="Z36" s="110">
        <f t="shared" si="17"/>
        <v>0</v>
      </c>
      <c r="AA36" s="111"/>
      <c r="AB36" s="112"/>
      <c r="AC36" s="113"/>
      <c r="AD36" s="114"/>
      <c r="AE36" s="115"/>
    </row>
    <row r="37" ht="15.75" customHeight="1" x14ac:dyDescent="0.25"/>
    <row r="39" ht="14.45" customHeight="1" spans="1:31" x14ac:dyDescent="0.25">
      <c r="A39" s="5" t="s">
        <v>41</v>
      </c>
      <c r="B39" s="6"/>
      <c r="C39" s="7"/>
      <c r="D39" s="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4.45" customHeight="1" spans="1:31" x14ac:dyDescent="0.25">
      <c r="A40" s="9" t="s">
        <v>1</v>
      </c>
      <c r="B40" s="10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4.45" customHeight="1" spans="1:31" x14ac:dyDescent="0.25">
      <c r="A41" s="9" t="s">
        <v>2</v>
      </c>
      <c r="B41" s="10">
        <f>SUM(E53:E65)</f>
        <v>0</v>
      </c>
      <c r="C41" s="2"/>
      <c r="D41" s="1"/>
      <c r="E41" s="1"/>
      <c r="F41" s="1"/>
      <c r="G41" s="1"/>
      <c r="H41" s="1"/>
      <c r="I41" s="1"/>
      <c r="J41" s="1"/>
      <c r="K41" s="1"/>
      <c r="L41" s="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3"/>
      <c r="AC41" s="13"/>
      <c r="AD41" s="13"/>
      <c r="AE41" s="14"/>
    </row>
    <row r="42" ht="14.45" customHeight="1" spans="1:31" x14ac:dyDescent="0.2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5" t="s">
        <v>3</v>
      </c>
      <c r="N42" s="16"/>
      <c r="O42" s="16"/>
      <c r="P42" s="16"/>
      <c r="Q42" s="16"/>
      <c r="R42" s="17"/>
      <c r="S42" s="18" t="s">
        <v>4</v>
      </c>
      <c r="T42" s="19"/>
      <c r="U42" s="20"/>
      <c r="V42" s="20"/>
      <c r="W42" s="20"/>
      <c r="X42" s="20"/>
      <c r="Y42" s="18"/>
      <c r="Z42" s="19"/>
      <c r="AA42" s="21"/>
      <c r="AB42" s="22" t="s">
        <v>5</v>
      </c>
      <c r="AC42" s="22"/>
      <c r="AD42" s="22"/>
      <c r="AE42" s="23"/>
    </row>
    <row r="43" ht="14.45" customHeight="1" spans="1:31" x14ac:dyDescent="0.2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24"/>
      <c r="N43" s="25"/>
      <c r="O43" s="24"/>
      <c r="P43" s="25"/>
      <c r="Q43" s="26"/>
      <c r="R43" s="26"/>
      <c r="S43" s="24"/>
      <c r="T43" s="25"/>
      <c r="U43" s="26"/>
      <c r="V43" s="25"/>
      <c r="W43" s="26"/>
      <c r="X43" s="26"/>
      <c r="Y43" s="27"/>
      <c r="Z43" s="28"/>
      <c r="AA43" s="29"/>
      <c r="AB43" s="21"/>
      <c r="AC43" s="21"/>
      <c r="AD43" s="21"/>
      <c r="AE43" s="23"/>
    </row>
    <row r="44" ht="14.45" customHeight="1" spans="1:31" x14ac:dyDescent="0.25">
      <c r="A44" s="1"/>
      <c r="B44" s="1"/>
      <c r="C44" s="2"/>
      <c r="D44" s="1"/>
      <c r="E44" s="1"/>
      <c r="F44" s="1"/>
      <c r="G44" s="1"/>
      <c r="H44" s="1"/>
      <c r="J44" s="1"/>
      <c r="K44" s="1"/>
      <c r="L44" s="1"/>
      <c r="M44" s="30" t="s">
        <v>6</v>
      </c>
      <c r="N44" s="31"/>
      <c r="O44" s="30" t="s">
        <v>7</v>
      </c>
      <c r="P44" s="31"/>
      <c r="Q44" s="30" t="s">
        <v>8</v>
      </c>
      <c r="R44" s="31"/>
      <c r="S44" s="32" t="s">
        <v>9</v>
      </c>
      <c r="T44" s="31"/>
      <c r="U44" s="32" t="s">
        <v>10</v>
      </c>
      <c r="V44" s="31"/>
      <c r="W44" s="32" t="s">
        <v>11</v>
      </c>
      <c r="X44" s="31"/>
      <c r="Y44" s="32" t="s">
        <v>12</v>
      </c>
      <c r="Z44" s="31"/>
      <c r="AA44" s="29"/>
      <c r="AB44" s="33" t="s">
        <v>13</v>
      </c>
      <c r="AC44" s="33"/>
      <c r="AD44" s="33"/>
      <c r="AE44" s="23"/>
    </row>
    <row r="45" ht="14.45" customHeight="1" spans="1:31" x14ac:dyDescent="0.25">
      <c r="A45" s="1"/>
      <c r="B45" s="1"/>
      <c r="C45" s="2"/>
      <c r="D45" s="1"/>
      <c r="E45" s="1"/>
      <c r="F45" s="1"/>
      <c r="G45" s="1"/>
      <c r="H45" s="1"/>
      <c r="J45" s="1"/>
      <c r="K45" s="1"/>
      <c r="L45" s="1"/>
      <c r="M45" s="34" t="s">
        <v>14</v>
      </c>
      <c r="N45" s="35"/>
      <c r="O45" s="34" t="s">
        <v>14</v>
      </c>
      <c r="P45" s="35"/>
      <c r="Q45" s="34" t="s">
        <v>14</v>
      </c>
      <c r="R45" s="35"/>
      <c r="S45" s="34" t="s">
        <v>14</v>
      </c>
      <c r="T45" s="35"/>
      <c r="U45" s="36" t="s">
        <v>14</v>
      </c>
      <c r="V45" s="37"/>
      <c r="W45" s="34" t="s">
        <v>14</v>
      </c>
      <c r="X45" s="37"/>
      <c r="Y45" s="38"/>
      <c r="Z45" s="35"/>
      <c r="AA45" s="27"/>
      <c r="AB45" s="39"/>
      <c r="AC45" s="39"/>
      <c r="AD45" s="39"/>
      <c r="AE45" s="28"/>
    </row>
    <row r="46" ht="14.45" customHeight="1" spans="1:31" x14ac:dyDescent="0.2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34" t="s">
        <v>15</v>
      </c>
      <c r="N46" s="40">
        <v>0.17</v>
      </c>
      <c r="O46" s="34" t="s">
        <v>15</v>
      </c>
      <c r="P46" s="40">
        <v>0.13</v>
      </c>
      <c r="Q46" s="34" t="s">
        <v>15</v>
      </c>
      <c r="R46" s="40">
        <v>0.08</v>
      </c>
      <c r="S46" s="34" t="s">
        <v>15</v>
      </c>
      <c r="T46" s="41">
        <v>0.325</v>
      </c>
      <c r="U46" s="36" t="s">
        <v>15</v>
      </c>
      <c r="V46" s="42">
        <v>0.3</v>
      </c>
      <c r="W46" s="34" t="s">
        <v>15</v>
      </c>
      <c r="X46" s="42">
        <v>0.28</v>
      </c>
      <c r="Y46" s="34" t="s">
        <v>15</v>
      </c>
      <c r="Z46" s="40">
        <v>0.25</v>
      </c>
      <c r="AA46" s="29"/>
      <c r="AB46" s="21"/>
      <c r="AC46" s="21"/>
      <c r="AD46" s="21"/>
      <c r="AE46" s="23"/>
    </row>
    <row r="47" ht="14.45" customHeight="1" spans="1:31" x14ac:dyDescent="0.2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34" t="s">
        <v>16</v>
      </c>
      <c r="N47" s="43">
        <f>N45*$B$4</f>
        <v>0</v>
      </c>
      <c r="O47" s="34" t="s">
        <v>16</v>
      </c>
      <c r="P47" s="43">
        <f>P45*$B$4</f>
        <v>0</v>
      </c>
      <c r="Q47" s="34" t="s">
        <v>16</v>
      </c>
      <c r="R47" s="43">
        <f>R45*$B$4</f>
        <v>0</v>
      </c>
      <c r="S47" s="34" t="s">
        <v>16</v>
      </c>
      <c r="T47" s="43">
        <f>T45*$B$4</f>
        <v>0</v>
      </c>
      <c r="U47" s="36" t="s">
        <v>16</v>
      </c>
      <c r="V47" s="43">
        <f>V45*$B$4</f>
        <v>0</v>
      </c>
      <c r="W47" s="34" t="s">
        <v>16</v>
      </c>
      <c r="X47" s="44">
        <f>X45*$B$4</f>
        <v>0</v>
      </c>
      <c r="Y47" s="34" t="s">
        <v>16</v>
      </c>
      <c r="Z47" s="43">
        <f>Z45*$B$4</f>
        <v>0</v>
      </c>
      <c r="AA47" s="29"/>
      <c r="AB47" s="21"/>
      <c r="AC47" s="21"/>
      <c r="AD47" s="21"/>
      <c r="AE47" s="23"/>
    </row>
    <row r="48" ht="14.45" customHeight="1" spans="1:31" x14ac:dyDescent="0.25">
      <c r="A48" s="45"/>
      <c r="B48" s="45"/>
      <c r="C48" s="46"/>
      <c r="D48" s="45"/>
      <c r="E48" s="47" t="s">
        <v>17</v>
      </c>
      <c r="F48" s="47" t="s">
        <v>18</v>
      </c>
      <c r="G48" s="47" t="s">
        <v>19</v>
      </c>
      <c r="H48" s="47" t="s">
        <v>20</v>
      </c>
      <c r="I48" s="47" t="s">
        <v>21</v>
      </c>
      <c r="J48" s="47" t="s">
        <v>22</v>
      </c>
      <c r="K48" s="47" t="s">
        <v>23</v>
      </c>
      <c r="L48" s="47" t="s">
        <v>24</v>
      </c>
      <c r="M48" s="48" t="s">
        <v>25</v>
      </c>
      <c r="N48" s="49" t="s">
        <v>26</v>
      </c>
      <c r="O48" s="48" t="s">
        <v>25</v>
      </c>
      <c r="P48" s="49" t="s">
        <v>26</v>
      </c>
      <c r="Q48" s="48" t="s">
        <v>25</v>
      </c>
      <c r="R48" s="49" t="s">
        <v>26</v>
      </c>
      <c r="S48" s="48" t="s">
        <v>25</v>
      </c>
      <c r="T48" s="49" t="s">
        <v>26</v>
      </c>
      <c r="U48" s="47" t="s">
        <v>25</v>
      </c>
      <c r="V48" s="49" t="s">
        <v>26</v>
      </c>
      <c r="W48" s="47" t="s">
        <v>25</v>
      </c>
      <c r="X48" s="47" t="s">
        <v>26</v>
      </c>
      <c r="Y48" s="48" t="s">
        <v>25</v>
      </c>
      <c r="Z48" s="49" t="s">
        <v>26</v>
      </c>
      <c r="AA48" s="50"/>
      <c r="AB48" s="51" t="s">
        <v>27</v>
      </c>
      <c r="AC48" s="51" t="s">
        <v>25</v>
      </c>
      <c r="AD48" s="51" t="s">
        <v>26</v>
      </c>
      <c r="AE48" s="52"/>
    </row>
    <row r="49" ht="14.45" customHeight="1" spans="1:31" x14ac:dyDescent="0.25">
      <c r="A49" s="53" t="s">
        <v>28</v>
      </c>
      <c r="B49" s="53" t="s">
        <v>29</v>
      </c>
      <c r="C49" s="53" t="s">
        <v>30</v>
      </c>
      <c r="D49" s="53" t="s">
        <v>31</v>
      </c>
      <c r="E49" s="53" t="s">
        <v>32</v>
      </c>
      <c r="F49" s="53" t="s">
        <v>33</v>
      </c>
      <c r="G49" s="53" t="s">
        <v>33</v>
      </c>
      <c r="H49" s="53" t="s">
        <v>33</v>
      </c>
      <c r="I49" s="53" t="s">
        <v>33</v>
      </c>
      <c r="J49" s="53" t="s">
        <v>33</v>
      </c>
      <c r="K49" s="53" t="s">
        <v>33</v>
      </c>
      <c r="L49" s="53" t="s">
        <v>33</v>
      </c>
      <c r="M49" s="54" t="s">
        <v>33</v>
      </c>
      <c r="N49" s="55" t="s">
        <v>33</v>
      </c>
      <c r="O49" s="54" t="s">
        <v>33</v>
      </c>
      <c r="P49" s="55" t="s">
        <v>33</v>
      </c>
      <c r="Q49" s="54" t="s">
        <v>33</v>
      </c>
      <c r="R49" s="55" t="s">
        <v>33</v>
      </c>
      <c r="S49" s="54" t="s">
        <v>33</v>
      </c>
      <c r="T49" s="55" t="s">
        <v>33</v>
      </c>
      <c r="U49" s="53" t="s">
        <v>33</v>
      </c>
      <c r="V49" s="55" t="s">
        <v>33</v>
      </c>
      <c r="W49" s="53" t="s">
        <v>33</v>
      </c>
      <c r="X49" s="53" t="s">
        <v>33</v>
      </c>
      <c r="Y49" s="56" t="s">
        <v>33</v>
      </c>
      <c r="Z49" s="57" t="s">
        <v>33</v>
      </c>
      <c r="AA49" s="29"/>
      <c r="AB49" s="58" t="s">
        <v>32</v>
      </c>
      <c r="AC49" s="58" t="s">
        <v>33</v>
      </c>
      <c r="AD49" s="58" t="s">
        <v>33</v>
      </c>
      <c r="AE49" s="23"/>
    </row>
    <row r="50" ht="14.45" customHeight="1" spans="1:31" x14ac:dyDescent="0.25">
      <c r="A50" s="1"/>
      <c r="B50" s="1"/>
      <c r="C50" s="2"/>
      <c r="D50" s="1"/>
      <c r="E50" s="1"/>
      <c r="F50" s="1"/>
      <c r="G50" s="1"/>
      <c r="H50" s="1"/>
      <c r="I50" s="1"/>
      <c r="J50" s="1"/>
      <c r="M50" s="27"/>
      <c r="N50" s="28"/>
      <c r="O50" s="27"/>
      <c r="P50" s="28"/>
      <c r="Q50" s="27"/>
      <c r="R50" s="28"/>
      <c r="S50" s="27"/>
      <c r="T50" s="28"/>
      <c r="U50" s="1"/>
      <c r="V50" s="28"/>
      <c r="W50" s="1"/>
      <c r="X50" s="28"/>
      <c r="Y50" s="1"/>
      <c r="Z50" s="1"/>
      <c r="AA50" s="29"/>
      <c r="AB50" s="21"/>
      <c r="AC50" s="21"/>
      <c r="AD50" s="21"/>
      <c r="AE50" s="23"/>
    </row>
    <row r="51" ht="14.45" customHeight="1" spans="1:31" x14ac:dyDescent="0.25">
      <c r="A51" s="59" t="s">
        <v>34</v>
      </c>
      <c r="B51" s="59"/>
      <c r="C51" s="60"/>
      <c r="D51" s="59"/>
      <c r="E51" s="59">
        <f>IFERROR(SUMIFS(E53:E72,D53:D72,"Produit Vente"),"Non trouvé")</f>
        <v>0</v>
      </c>
      <c r="F51" s="61"/>
      <c r="G51" s="61">
        <f>IFERROR(SUM(G53:G72),"Non Trouvé")</f>
        <v>0</v>
      </c>
      <c r="H51" s="61"/>
      <c r="I51" s="62"/>
      <c r="J51" s="61"/>
      <c r="K51" s="61"/>
      <c r="L51" s="61"/>
      <c r="M51" s="63">
        <f t="shared" ref="M51:Z51" si="20">SUM(M53:M72)</f>
        <v>0</v>
      </c>
      <c r="N51" s="64">
        <f t="shared" si="20"/>
        <v>0</v>
      </c>
      <c r="O51" s="63">
        <f t="shared" si="20"/>
        <v>0</v>
      </c>
      <c r="P51" s="64">
        <f t="shared" si="20"/>
        <v>0</v>
      </c>
      <c r="Q51" s="63">
        <f t="shared" si="20"/>
        <v>0</v>
      </c>
      <c r="R51" s="64">
        <f t="shared" si="20"/>
        <v>0</v>
      </c>
      <c r="S51" s="63">
        <f t="shared" si="20"/>
        <v>0</v>
      </c>
      <c r="T51" s="64">
        <f t="shared" si="20"/>
        <v>0</v>
      </c>
      <c r="U51" s="65">
        <f t="shared" si="20"/>
        <v>0</v>
      </c>
      <c r="V51" s="64">
        <f t="shared" si="20"/>
        <v>0</v>
      </c>
      <c r="W51" s="65">
        <f t="shared" si="20"/>
        <v>0</v>
      </c>
      <c r="X51" s="64">
        <f t="shared" si="20"/>
        <v>0</v>
      </c>
      <c r="Y51" s="65">
        <f t="shared" si="20"/>
        <v>0</v>
      </c>
      <c r="Z51" s="66">
        <f t="shared" si="20"/>
        <v>0</v>
      </c>
      <c r="AA51" s="67"/>
      <c r="AB51" s="68">
        <f>B40</f>
        <v>0</v>
      </c>
      <c r="AC51" s="69">
        <f>Y51+W51+U51+S51+O51+M51+Q51</f>
        <v>0</v>
      </c>
      <c r="AD51" s="70">
        <f>Z51+X51+V51+T51+P51+N51+R51</f>
        <v>0</v>
      </c>
      <c r="AE51" s="71"/>
    </row>
    <row r="52" ht="14.45" customHeight="1" spans="1:31" x14ac:dyDescent="0.25">
      <c r="A52" s="1"/>
      <c r="B52" s="1"/>
      <c r="C52" s="2"/>
      <c r="D52" s="1"/>
      <c r="E52" s="1"/>
      <c r="F52" s="1"/>
      <c r="G52" s="1"/>
      <c r="H52" s="1"/>
      <c r="I52" s="1"/>
      <c r="J52" s="1"/>
      <c r="M52" s="27"/>
      <c r="N52" s="28"/>
      <c r="O52" s="27"/>
      <c r="P52" s="28"/>
      <c r="Q52" s="27"/>
      <c r="R52" s="28"/>
      <c r="S52" s="27"/>
      <c r="T52" s="28"/>
      <c r="U52" s="1"/>
      <c r="V52" s="28"/>
      <c r="W52" s="1"/>
      <c r="X52" s="28"/>
      <c r="Y52" s="1"/>
      <c r="Z52" s="1"/>
      <c r="AA52" s="29"/>
      <c r="AB52" s="21"/>
      <c r="AC52" s="21"/>
      <c r="AD52" s="21"/>
      <c r="AE52" s="23"/>
    </row>
    <row r="53" ht="14.45" customHeight="1" spans="1:31" x14ac:dyDescent="0.25">
      <c r="A53" s="72"/>
      <c r="B53" s="73">
        <f>IFERROR(VLOOKUP(A53,Mapping!$A:$F,2,FALSE),"")</f>
      </c>
      <c r="C53" s="74">
        <f>IFERROR(VLOOKUP(A53,Mapping!$A:$F,3,FALSE),"")</f>
      </c>
      <c r="D53" s="75"/>
      <c r="E53" s="76"/>
      <c r="F53" s="77">
        <f>IFERROR(VLOOKUP(A53,Mapping!$A:$F,4,FALSE),0)</f>
        <v>0</v>
      </c>
      <c r="G53" s="78">
        <f t="shared" ref="G53:G72" si="21">E53*F53</f>
        <v>0</v>
      </c>
      <c r="H53" s="77">
        <f>IFERROR(VLOOKUP(A53,Mapping!$A:$F,5,FALSE),0)</f>
        <v>0</v>
      </c>
      <c r="I53" s="79"/>
      <c r="J53" s="77">
        <f>IFERROR(VLOOKUP(A53,Mapping!$A:$F,6,FALSE),0)</f>
        <v>0</v>
      </c>
      <c r="K53" s="80">
        <f t="shared" ref="K53:K72" si="22">J53*(1-I53)</f>
        <v>0</v>
      </c>
      <c r="L53" s="81">
        <f t="shared" ref="L53:L72" si="23">IFERROR(J53-K53,"")</f>
        <v>0</v>
      </c>
      <c r="M53" s="82">
        <f t="shared" ref="M53:M72" si="24">E53*H53*(1-I53)*$N$11*(1-$N$10)</f>
        <v>0</v>
      </c>
      <c r="N53" s="28">
        <f t="shared" ref="N53:N72" si="25">M53-E53*F53*$N$11</f>
        <v>0</v>
      </c>
      <c r="O53" s="82">
        <f t="shared" ref="O53:O72" si="26">E53*H53*(1-I53)*$P$11*(1-$P$10)</f>
        <v>0</v>
      </c>
      <c r="P53" s="28">
        <f t="shared" ref="P53:P72" si="27">O53-E53*F53*$P$11</f>
        <v>0</v>
      </c>
      <c r="Q53" s="82">
        <f t="shared" ref="Q53:Q72" si="28">E53*H53*(1-I53)*$R$11*(1-$R$10)</f>
        <v>0</v>
      </c>
      <c r="R53" s="28">
        <f t="shared" ref="R53:R72" si="29">Q53-E53*F53*$R$11</f>
        <v>0</v>
      </c>
      <c r="S53" s="82">
        <f t="shared" ref="S53:S72" si="30">E53*H53*(1-I53)*$T$11*(1-$T$10)</f>
        <v>0</v>
      </c>
      <c r="T53" s="28">
        <f t="shared" ref="T53:T72" si="31">S53-E53*F53*$T$11</f>
        <v>0</v>
      </c>
      <c r="U53" s="83">
        <f t="shared" ref="U53:U72" si="32">E53*H53*(1-I53)*$V$11*(1-$V$10)</f>
        <v>0</v>
      </c>
      <c r="V53" s="28">
        <f t="shared" ref="V53:V72" si="33">U53-E53*F53*$V$11</f>
        <v>0</v>
      </c>
      <c r="W53" s="80">
        <f t="shared" ref="W53:W72" si="34">E53*H53*(1-I53)*$X$11*(1-$X$10)</f>
        <v>0</v>
      </c>
      <c r="X53" s="28">
        <f t="shared" ref="X53:X72" si="35">W53-E53*F53*$X$11</f>
        <v>0</v>
      </c>
      <c r="Y53" s="81">
        <f t="shared" ref="Y53:Y72" si="36">E53*H53*(1-I53)*$Z$11*(1-$Z$10)</f>
        <v>0</v>
      </c>
      <c r="Z53" s="1">
        <f t="shared" ref="Z53:Z72" si="37">Y53-E53*F53*$Z$11</f>
        <v>0</v>
      </c>
      <c r="AA53" s="84"/>
      <c r="AB53" s="85"/>
      <c r="AC53" s="86"/>
      <c r="AD53" s="86"/>
      <c r="AE53" s="87"/>
    </row>
    <row r="54" ht="14.45" customHeight="1" spans="1:31" x14ac:dyDescent="0.25">
      <c r="A54" s="72"/>
      <c r="B54" s="73">
        <f>IFERROR(VLOOKUP(A54,Mapping!$A:$F,2,FALSE),"")</f>
      </c>
      <c r="C54" s="74">
        <f>IFERROR(VLOOKUP(A54,Mapping!$A:$F,3,FALSE),"")</f>
      </c>
      <c r="D54" s="75"/>
      <c r="E54" s="76"/>
      <c r="F54" s="77">
        <f>IFERROR(VLOOKUP(A54,Mapping!$A:$F,4,FALSE),0)</f>
        <v>0</v>
      </c>
      <c r="G54" s="78">
        <f t="shared" si="21"/>
        <v>0</v>
      </c>
      <c r="H54" s="77">
        <f>IFERROR(VLOOKUP(A54,Mapping!$A:$F,5,FALSE),0)</f>
        <v>0</v>
      </c>
      <c r="I54" s="79"/>
      <c r="J54" s="77">
        <f>IFERROR(VLOOKUP(A54,Mapping!$A:$F,6,FALSE),0)</f>
        <v>0</v>
      </c>
      <c r="K54" s="80">
        <f t="shared" si="22"/>
        <v>0</v>
      </c>
      <c r="L54" s="81">
        <f t="shared" si="23"/>
        <v>0</v>
      </c>
      <c r="M54" s="82">
        <f t="shared" si="24"/>
        <v>0</v>
      </c>
      <c r="N54" s="28">
        <f t="shared" si="25"/>
        <v>0</v>
      </c>
      <c r="O54" s="82">
        <f t="shared" si="26"/>
        <v>0</v>
      </c>
      <c r="P54" s="28">
        <f t="shared" si="27"/>
        <v>0</v>
      </c>
      <c r="Q54" s="82">
        <f t="shared" si="28"/>
        <v>0</v>
      </c>
      <c r="R54" s="28">
        <f t="shared" si="29"/>
        <v>0</v>
      </c>
      <c r="S54" s="82">
        <f t="shared" si="30"/>
        <v>0</v>
      </c>
      <c r="T54" s="28">
        <f t="shared" si="31"/>
        <v>0</v>
      </c>
      <c r="U54" s="83">
        <f t="shared" si="32"/>
        <v>0</v>
      </c>
      <c r="V54" s="28">
        <f t="shared" si="33"/>
        <v>0</v>
      </c>
      <c r="W54" s="80">
        <f t="shared" si="34"/>
        <v>0</v>
      </c>
      <c r="X54" s="28">
        <f t="shared" si="35"/>
        <v>0</v>
      </c>
      <c r="Y54" s="81">
        <f t="shared" si="36"/>
        <v>0</v>
      </c>
      <c r="Z54" s="1">
        <f t="shared" si="37"/>
        <v>0</v>
      </c>
      <c r="AA54" s="88"/>
      <c r="AB54" s="89"/>
      <c r="AC54" s="90" t="s">
        <v>35</v>
      </c>
      <c r="AD54" s="91" t="e">
        <f>AC51/AB51</f>
        <v>#DIV/0!</v>
      </c>
      <c r="AE54" s="87"/>
    </row>
    <row r="55" ht="14.45" customHeight="1" spans="1:31" x14ac:dyDescent="0.25">
      <c r="A55" s="72"/>
      <c r="B55" s="73">
        <f>IFERROR(VLOOKUP(A55,Mapping!$A:$F,2,FALSE),"")</f>
      </c>
      <c r="C55" s="74">
        <f>IFERROR(VLOOKUP(A55,Mapping!$A:$F,3,FALSE),"")</f>
      </c>
      <c r="D55" s="75"/>
      <c r="E55" s="76"/>
      <c r="F55" s="77">
        <f>IFERROR(VLOOKUP(A55,Mapping!$A:$F,4,FALSE),0)</f>
        <v>0</v>
      </c>
      <c r="G55" s="78">
        <f t="shared" si="21"/>
        <v>0</v>
      </c>
      <c r="H55" s="77">
        <f>IFERROR(VLOOKUP(A55,Mapping!$A:$F,5,FALSE),0)</f>
        <v>0</v>
      </c>
      <c r="I55" s="79"/>
      <c r="J55" s="77">
        <f>IFERROR(VLOOKUP(A55,Mapping!$A:$F,6,FALSE),0)</f>
        <v>0</v>
      </c>
      <c r="K55" s="80">
        <f t="shared" si="22"/>
        <v>0</v>
      </c>
      <c r="L55" s="81">
        <f t="shared" si="23"/>
        <v>0</v>
      </c>
      <c r="M55" s="82">
        <f t="shared" si="24"/>
        <v>0</v>
      </c>
      <c r="N55" s="28">
        <f t="shared" si="25"/>
        <v>0</v>
      </c>
      <c r="O55" s="82">
        <f t="shared" si="26"/>
        <v>0</v>
      </c>
      <c r="P55" s="28">
        <f t="shared" si="27"/>
        <v>0</v>
      </c>
      <c r="Q55" s="82">
        <f t="shared" si="28"/>
        <v>0</v>
      </c>
      <c r="R55" s="28">
        <f t="shared" si="29"/>
        <v>0</v>
      </c>
      <c r="S55" s="82">
        <f t="shared" si="30"/>
        <v>0</v>
      </c>
      <c r="T55" s="28">
        <f t="shared" si="31"/>
        <v>0</v>
      </c>
      <c r="U55" s="83">
        <f t="shared" si="32"/>
        <v>0</v>
      </c>
      <c r="V55" s="28">
        <f t="shared" si="33"/>
        <v>0</v>
      </c>
      <c r="W55" s="80">
        <f t="shared" si="34"/>
        <v>0</v>
      </c>
      <c r="X55" s="28">
        <f t="shared" si="35"/>
        <v>0</v>
      </c>
      <c r="Y55" s="81">
        <f t="shared" si="36"/>
        <v>0</v>
      </c>
      <c r="Z55" s="1">
        <f t="shared" si="37"/>
        <v>0</v>
      </c>
      <c r="AA55" s="88"/>
      <c r="AB55" s="89"/>
      <c r="AC55" s="90" t="s">
        <v>36</v>
      </c>
      <c r="AD55" s="92" t="e">
        <f>SUM(AD57:AD60)</f>
        <v>#DIV/0!</v>
      </c>
      <c r="AE55" s="87"/>
    </row>
    <row r="56" ht="14.45" customHeight="1" spans="1:31" x14ac:dyDescent="0.25">
      <c r="A56" s="72"/>
      <c r="B56" s="73">
        <f>IFERROR(VLOOKUP(A56,Mapping!$A:$F,2,FALSE),"")</f>
      </c>
      <c r="C56" s="74">
        <f>IFERROR(VLOOKUP(A56,Mapping!$A:$F,3,FALSE),"")</f>
      </c>
      <c r="D56" s="75"/>
      <c r="E56" s="76"/>
      <c r="F56" s="77">
        <f>IFERROR(VLOOKUP(A56,Mapping!$A:$F,4,FALSE),0)</f>
        <v>0</v>
      </c>
      <c r="G56" s="78">
        <f t="shared" si="21"/>
        <v>0</v>
      </c>
      <c r="H56" s="77">
        <f>IFERROR(VLOOKUP(A56,Mapping!$A:$F,5,FALSE),0)</f>
        <v>0</v>
      </c>
      <c r="I56" s="79"/>
      <c r="J56" s="77">
        <f>IFERROR(VLOOKUP(A56,Mapping!$A:$F,6,FALSE),0)</f>
        <v>0</v>
      </c>
      <c r="K56" s="80">
        <f t="shared" si="22"/>
        <v>0</v>
      </c>
      <c r="L56" s="81">
        <f t="shared" si="23"/>
        <v>0</v>
      </c>
      <c r="M56" s="82">
        <f t="shared" si="24"/>
        <v>0</v>
      </c>
      <c r="N56" s="28">
        <f t="shared" si="25"/>
        <v>0</v>
      </c>
      <c r="O56" s="82">
        <f t="shared" si="26"/>
        <v>0</v>
      </c>
      <c r="P56" s="28">
        <f t="shared" si="27"/>
        <v>0</v>
      </c>
      <c r="Q56" s="82">
        <f t="shared" si="28"/>
        <v>0</v>
      </c>
      <c r="R56" s="28">
        <f t="shared" si="29"/>
        <v>0</v>
      </c>
      <c r="S56" s="82">
        <f t="shared" si="30"/>
        <v>0</v>
      </c>
      <c r="T56" s="28">
        <f t="shared" si="31"/>
        <v>0</v>
      </c>
      <c r="U56" s="83">
        <f t="shared" si="32"/>
        <v>0</v>
      </c>
      <c r="V56" s="28">
        <f t="shared" si="33"/>
        <v>0</v>
      </c>
      <c r="W56" s="80">
        <f t="shared" si="34"/>
        <v>0</v>
      </c>
      <c r="X56" s="28">
        <f t="shared" si="35"/>
        <v>0</v>
      </c>
      <c r="Y56" s="81">
        <f t="shared" si="36"/>
        <v>0</v>
      </c>
      <c r="Z56" s="1">
        <f t="shared" si="37"/>
        <v>0</v>
      </c>
      <c r="AA56" s="84"/>
      <c r="AB56" s="85"/>
      <c r="AC56" s="86"/>
      <c r="AD56" s="86"/>
      <c r="AE56" s="87"/>
    </row>
    <row r="57" ht="14.45" customHeight="1" spans="1:31" x14ac:dyDescent="0.25">
      <c r="A57" s="72"/>
      <c r="B57" s="73">
        <f>IFERROR(VLOOKUP(A57,Mapping!$A:$F,2,FALSE),"")</f>
      </c>
      <c r="C57" s="74">
        <f>IFERROR(VLOOKUP(A57,Mapping!$A:$F,3,FALSE),"")</f>
      </c>
      <c r="D57" s="75"/>
      <c r="E57" s="76"/>
      <c r="F57" s="77">
        <f>IFERROR(VLOOKUP(A57,Mapping!$A:$F,4,FALSE),0)</f>
        <v>0</v>
      </c>
      <c r="G57" s="78">
        <f t="shared" si="21"/>
        <v>0</v>
      </c>
      <c r="H57" s="77">
        <f>IFERROR(VLOOKUP(A57,Mapping!$A:$F,5,FALSE),0)</f>
        <v>0</v>
      </c>
      <c r="I57" s="79"/>
      <c r="J57" s="77">
        <f>IFERROR(VLOOKUP(A57,Mapping!$A:$F,6,FALSE),0)</f>
        <v>0</v>
      </c>
      <c r="K57" s="80">
        <f t="shared" si="22"/>
        <v>0</v>
      </c>
      <c r="L57" s="81">
        <f t="shared" si="23"/>
        <v>0</v>
      </c>
      <c r="M57" s="82">
        <f t="shared" si="24"/>
        <v>0</v>
      </c>
      <c r="N57" s="28">
        <f t="shared" si="25"/>
        <v>0</v>
      </c>
      <c r="O57" s="82">
        <f t="shared" si="26"/>
        <v>0</v>
      </c>
      <c r="P57" s="28">
        <f t="shared" si="27"/>
        <v>0</v>
      </c>
      <c r="Q57" s="82">
        <f t="shared" si="28"/>
        <v>0</v>
      </c>
      <c r="R57" s="28">
        <f t="shared" si="29"/>
        <v>0</v>
      </c>
      <c r="S57" s="82">
        <f t="shared" si="30"/>
        <v>0</v>
      </c>
      <c r="T57" s="28">
        <f t="shared" si="31"/>
        <v>0</v>
      </c>
      <c r="U57" s="83">
        <f t="shared" si="32"/>
        <v>0</v>
      </c>
      <c r="V57" s="28">
        <f t="shared" si="33"/>
        <v>0</v>
      </c>
      <c r="W57" s="80">
        <f t="shared" si="34"/>
        <v>0</v>
      </c>
      <c r="X57" s="28">
        <f t="shared" si="35"/>
        <v>0</v>
      </c>
      <c r="Y57" s="81">
        <f t="shared" si="36"/>
        <v>0</v>
      </c>
      <c r="Z57" s="1">
        <f t="shared" si="37"/>
        <v>0</v>
      </c>
      <c r="AA57" s="84"/>
      <c r="AB57" s="85"/>
      <c r="AC57" s="93" t="s">
        <v>37</v>
      </c>
      <c r="AD57" s="94" t="e">
        <f>SUMIF($D$16:$D$36,AC57,$G$16:$G$36)/$AC$15</f>
        <v>#DIV/0!</v>
      </c>
      <c r="AE57" s="87"/>
    </row>
    <row r="58" ht="14.45" customHeight="1" spans="1:31" x14ac:dyDescent="0.25">
      <c r="A58" s="72"/>
      <c r="B58" s="73">
        <f>IFERROR(VLOOKUP(A58,Mapping!$A:$F,2,FALSE),"")</f>
      </c>
      <c r="C58" s="74">
        <f>IFERROR(VLOOKUP(A58,Mapping!$A:$F,3,FALSE),"")</f>
      </c>
      <c r="D58" s="75"/>
      <c r="E58" s="76"/>
      <c r="F58" s="77">
        <f>IFERROR(VLOOKUP(A58,Mapping!$A:$F,4,FALSE),0)</f>
        <v>0</v>
      </c>
      <c r="G58" s="78">
        <f t="shared" si="21"/>
        <v>0</v>
      </c>
      <c r="H58" s="77">
        <f>IFERROR(VLOOKUP(A58,Mapping!$A:$F,5,FALSE),0)</f>
        <v>0</v>
      </c>
      <c r="I58" s="79"/>
      <c r="J58" s="77">
        <f>IFERROR(VLOOKUP(A58,Mapping!$A:$F,6,FALSE),0)</f>
        <v>0</v>
      </c>
      <c r="K58" s="80">
        <f t="shared" si="22"/>
        <v>0</v>
      </c>
      <c r="L58" s="81">
        <f t="shared" si="23"/>
        <v>0</v>
      </c>
      <c r="M58" s="82">
        <f t="shared" si="24"/>
        <v>0</v>
      </c>
      <c r="N58" s="28">
        <f t="shared" si="25"/>
        <v>0</v>
      </c>
      <c r="O58" s="82">
        <f t="shared" si="26"/>
        <v>0</v>
      </c>
      <c r="P58" s="28">
        <f t="shared" si="27"/>
        <v>0</v>
      </c>
      <c r="Q58" s="82">
        <f t="shared" si="28"/>
        <v>0</v>
      </c>
      <c r="R58" s="28">
        <f t="shared" si="29"/>
        <v>0</v>
      </c>
      <c r="S58" s="82">
        <f t="shared" si="30"/>
        <v>0</v>
      </c>
      <c r="T58" s="28">
        <f t="shared" si="31"/>
        <v>0</v>
      </c>
      <c r="U58" s="83">
        <f t="shared" si="32"/>
        <v>0</v>
      </c>
      <c r="V58" s="28">
        <f t="shared" si="33"/>
        <v>0</v>
      </c>
      <c r="W58" s="80">
        <f t="shared" si="34"/>
        <v>0</v>
      </c>
      <c r="X58" s="28">
        <f t="shared" si="35"/>
        <v>0</v>
      </c>
      <c r="Y58" s="81">
        <f t="shared" si="36"/>
        <v>0</v>
      </c>
      <c r="Z58" s="1">
        <f t="shared" si="37"/>
        <v>0</v>
      </c>
      <c r="AA58" s="84"/>
      <c r="AB58" s="85"/>
      <c r="AC58" s="93" t="s">
        <v>38</v>
      </c>
      <c r="AD58" s="94" t="e">
        <f>SUMIF($D$16:$D$36,AC58,$G$16:$G$36)/$AC$15</f>
        <v>#DIV/0!</v>
      </c>
      <c r="AE58" s="87"/>
    </row>
    <row r="59" ht="14.45" customHeight="1" spans="1:31" x14ac:dyDescent="0.25">
      <c r="A59" s="72"/>
      <c r="B59" s="73">
        <f>IFERROR(VLOOKUP(A59,Mapping!$A:$F,2,FALSE),"")</f>
      </c>
      <c r="C59" s="74">
        <f>IFERROR(VLOOKUP(A59,Mapping!$A:$F,3,FALSE),"")</f>
      </c>
      <c r="D59" s="75"/>
      <c r="E59" s="76"/>
      <c r="F59" s="77">
        <f>IFERROR(VLOOKUP(A59,Mapping!$A:$F,4,FALSE),0)</f>
        <v>0</v>
      </c>
      <c r="G59" s="78">
        <f t="shared" si="21"/>
        <v>0</v>
      </c>
      <c r="H59" s="77">
        <f>IFERROR(VLOOKUP(A59,Mapping!$A:$F,5,FALSE),0)</f>
        <v>0</v>
      </c>
      <c r="I59" s="79"/>
      <c r="J59" s="77">
        <f>IFERROR(VLOOKUP(A59,Mapping!$A:$F,6,FALSE),0)</f>
        <v>0</v>
      </c>
      <c r="K59" s="80">
        <f t="shared" si="22"/>
        <v>0</v>
      </c>
      <c r="L59" s="81">
        <f t="shared" si="23"/>
        <v>0</v>
      </c>
      <c r="M59" s="82">
        <f t="shared" si="24"/>
        <v>0</v>
      </c>
      <c r="N59" s="28">
        <f t="shared" si="25"/>
        <v>0</v>
      </c>
      <c r="O59" s="82">
        <f t="shared" si="26"/>
        <v>0</v>
      </c>
      <c r="P59" s="28">
        <f t="shared" si="27"/>
        <v>0</v>
      </c>
      <c r="Q59" s="82">
        <f t="shared" si="28"/>
        <v>0</v>
      </c>
      <c r="R59" s="28">
        <f t="shared" si="29"/>
        <v>0</v>
      </c>
      <c r="S59" s="82">
        <f t="shared" si="30"/>
        <v>0</v>
      </c>
      <c r="T59" s="28">
        <f t="shared" si="31"/>
        <v>0</v>
      </c>
      <c r="U59" s="83">
        <f t="shared" si="32"/>
        <v>0</v>
      </c>
      <c r="V59" s="28">
        <f t="shared" si="33"/>
        <v>0</v>
      </c>
      <c r="W59" s="80">
        <f t="shared" si="34"/>
        <v>0</v>
      </c>
      <c r="X59" s="28">
        <f t="shared" si="35"/>
        <v>0</v>
      </c>
      <c r="Y59" s="81">
        <f t="shared" si="36"/>
        <v>0</v>
      </c>
      <c r="Z59" s="1">
        <f t="shared" si="37"/>
        <v>0</v>
      </c>
      <c r="AA59" s="84"/>
      <c r="AB59" s="85"/>
      <c r="AC59" s="93" t="s">
        <v>39</v>
      </c>
      <c r="AD59" s="94" t="e">
        <f>SUMIF($D$16:$D$36,AC59,$G$16:$G$36)/$AC$15</f>
        <v>#DIV/0!</v>
      </c>
      <c r="AE59" s="87"/>
    </row>
    <row r="60" ht="14.45" customHeight="1" spans="1:31" x14ac:dyDescent="0.25">
      <c r="A60" s="72"/>
      <c r="B60" s="73">
        <f>IFERROR(VLOOKUP(A60,Mapping!$A:$F,2,FALSE),"")</f>
      </c>
      <c r="C60" s="74">
        <f>IFERROR(VLOOKUP(A60,Mapping!$A:$F,3,FALSE),"")</f>
      </c>
      <c r="D60" s="75"/>
      <c r="E60" s="76"/>
      <c r="F60" s="77">
        <f>IFERROR(VLOOKUP(A60,Mapping!$A:$F,4,FALSE),0)</f>
        <v>0</v>
      </c>
      <c r="G60" s="78">
        <f t="shared" si="21"/>
        <v>0</v>
      </c>
      <c r="H60" s="77">
        <f>IFERROR(VLOOKUP(A60,Mapping!$A:$F,5,FALSE),0)</f>
        <v>0</v>
      </c>
      <c r="I60" s="79"/>
      <c r="J60" s="77">
        <f>IFERROR(VLOOKUP(A60,Mapping!$A:$F,6,FALSE),0)</f>
        <v>0</v>
      </c>
      <c r="K60" s="80">
        <f t="shared" si="22"/>
        <v>0</v>
      </c>
      <c r="L60" s="81">
        <f t="shared" si="23"/>
        <v>0</v>
      </c>
      <c r="M60" s="82">
        <f t="shared" si="24"/>
        <v>0</v>
      </c>
      <c r="N60" s="28">
        <f t="shared" si="25"/>
        <v>0</v>
      </c>
      <c r="O60" s="82">
        <f t="shared" si="26"/>
        <v>0</v>
      </c>
      <c r="P60" s="28">
        <f t="shared" si="27"/>
        <v>0</v>
      </c>
      <c r="Q60" s="82">
        <f t="shared" si="28"/>
        <v>0</v>
      </c>
      <c r="R60" s="28">
        <f t="shared" si="29"/>
        <v>0</v>
      </c>
      <c r="S60" s="82">
        <f t="shared" si="30"/>
        <v>0</v>
      </c>
      <c r="T60" s="28">
        <f t="shared" si="31"/>
        <v>0</v>
      </c>
      <c r="U60" s="83">
        <f t="shared" si="32"/>
        <v>0</v>
      </c>
      <c r="V60" s="28">
        <f t="shared" si="33"/>
        <v>0</v>
      </c>
      <c r="W60" s="80">
        <f t="shared" si="34"/>
        <v>0</v>
      </c>
      <c r="X60" s="28">
        <f t="shared" si="35"/>
        <v>0</v>
      </c>
      <c r="Y60" s="81">
        <f t="shared" si="36"/>
        <v>0</v>
      </c>
      <c r="Z60" s="1">
        <f t="shared" si="37"/>
        <v>0</v>
      </c>
      <c r="AA60" s="84"/>
      <c r="AB60" s="85"/>
      <c r="AC60" s="93" t="s">
        <v>40</v>
      </c>
      <c r="AD60" s="94" t="e">
        <f>SUMIF($D$16:$D$36,AC60,$G$16:$G$36)/$AC$15</f>
        <v>#DIV/0!</v>
      </c>
      <c r="AE60" s="87"/>
    </row>
    <row r="61" ht="14.45" customHeight="1" spans="1:31" x14ac:dyDescent="0.25">
      <c r="A61" s="72"/>
      <c r="B61" s="73">
        <f>IFERROR(VLOOKUP(A61,Mapping!$A:$F,2,FALSE),"")</f>
      </c>
      <c r="C61" s="74">
        <f>IFERROR(VLOOKUP(A61,Mapping!$A:$F,3,FALSE),"")</f>
      </c>
      <c r="D61" s="75"/>
      <c r="E61" s="76"/>
      <c r="F61" s="77">
        <f>IFERROR(VLOOKUP(A61,Mapping!$A:$F,4,FALSE),0)</f>
        <v>0</v>
      </c>
      <c r="G61" s="78">
        <f t="shared" si="21"/>
        <v>0</v>
      </c>
      <c r="H61" s="77">
        <f>IFERROR(VLOOKUP(A61,Mapping!$A:$F,5,FALSE),0)</f>
        <v>0</v>
      </c>
      <c r="I61" s="79"/>
      <c r="J61" s="77">
        <f>IFERROR(VLOOKUP(A61,Mapping!$A:$F,6,FALSE),0)</f>
        <v>0</v>
      </c>
      <c r="K61" s="80">
        <f t="shared" si="22"/>
        <v>0</v>
      </c>
      <c r="L61" s="81">
        <f t="shared" si="23"/>
        <v>0</v>
      </c>
      <c r="M61" s="82">
        <f t="shared" si="24"/>
        <v>0</v>
      </c>
      <c r="N61" s="28">
        <f t="shared" si="25"/>
        <v>0</v>
      </c>
      <c r="O61" s="82">
        <f t="shared" si="26"/>
        <v>0</v>
      </c>
      <c r="P61" s="28">
        <f t="shared" si="27"/>
        <v>0</v>
      </c>
      <c r="Q61" s="82">
        <f t="shared" si="28"/>
        <v>0</v>
      </c>
      <c r="R61" s="28">
        <f t="shared" si="29"/>
        <v>0</v>
      </c>
      <c r="S61" s="82">
        <f t="shared" si="30"/>
        <v>0</v>
      </c>
      <c r="T61" s="28">
        <f t="shared" si="31"/>
        <v>0</v>
      </c>
      <c r="U61" s="83">
        <f t="shared" si="32"/>
        <v>0</v>
      </c>
      <c r="V61" s="28">
        <f t="shared" si="33"/>
        <v>0</v>
      </c>
      <c r="W61" s="80">
        <f t="shared" si="34"/>
        <v>0</v>
      </c>
      <c r="X61" s="28">
        <f t="shared" si="35"/>
        <v>0</v>
      </c>
      <c r="Y61" s="81">
        <f t="shared" si="36"/>
        <v>0</v>
      </c>
      <c r="Z61" s="1">
        <f t="shared" si="37"/>
        <v>0</v>
      </c>
      <c r="AA61" s="84"/>
      <c r="AB61" s="85"/>
      <c r="AC61" s="86"/>
      <c r="AD61" s="86"/>
      <c r="AE61" s="87"/>
    </row>
    <row r="62" ht="14.45" customHeight="1" spans="1:31" x14ac:dyDescent="0.25">
      <c r="A62" s="72"/>
      <c r="B62" s="73">
        <f>IFERROR(VLOOKUP(A62,Mapping!$A:$F,2,FALSE),"")</f>
      </c>
      <c r="C62" s="74">
        <f>IFERROR(VLOOKUP(A62,Mapping!$A:$F,3,FALSE),"")</f>
      </c>
      <c r="D62" s="75"/>
      <c r="E62" s="76"/>
      <c r="F62" s="77">
        <f>IFERROR(VLOOKUP(A62,Mapping!$A:$F,4,FALSE),0)</f>
        <v>0</v>
      </c>
      <c r="G62" s="78">
        <f t="shared" si="21"/>
        <v>0</v>
      </c>
      <c r="H62" s="77">
        <f>IFERROR(VLOOKUP(A62,Mapping!$A:$F,5,FALSE),0)</f>
        <v>0</v>
      </c>
      <c r="I62" s="79"/>
      <c r="J62" s="77">
        <f>IFERROR(VLOOKUP(A62,Mapping!$A:$F,6,FALSE),0)</f>
        <v>0</v>
      </c>
      <c r="K62" s="80">
        <f t="shared" si="22"/>
        <v>0</v>
      </c>
      <c r="L62" s="81">
        <f t="shared" si="23"/>
        <v>0</v>
      </c>
      <c r="M62" s="82">
        <f t="shared" si="24"/>
        <v>0</v>
      </c>
      <c r="N62" s="28">
        <f t="shared" si="25"/>
        <v>0</v>
      </c>
      <c r="O62" s="82">
        <f t="shared" si="26"/>
        <v>0</v>
      </c>
      <c r="P62" s="28">
        <f t="shared" si="27"/>
        <v>0</v>
      </c>
      <c r="Q62" s="82">
        <f t="shared" si="28"/>
        <v>0</v>
      </c>
      <c r="R62" s="28">
        <f t="shared" si="29"/>
        <v>0</v>
      </c>
      <c r="S62" s="82">
        <f t="shared" si="30"/>
        <v>0</v>
      </c>
      <c r="T62" s="28">
        <f t="shared" si="31"/>
        <v>0</v>
      </c>
      <c r="U62" s="83">
        <f t="shared" si="32"/>
        <v>0</v>
      </c>
      <c r="V62" s="28">
        <f t="shared" si="33"/>
        <v>0</v>
      </c>
      <c r="W62" s="80">
        <f t="shared" si="34"/>
        <v>0</v>
      </c>
      <c r="X62" s="28">
        <f t="shared" si="35"/>
        <v>0</v>
      </c>
      <c r="Y62" s="81">
        <f t="shared" si="36"/>
        <v>0</v>
      </c>
      <c r="Z62" s="1">
        <f t="shared" si="37"/>
        <v>0</v>
      </c>
      <c r="AA62" s="84"/>
      <c r="AB62" s="85"/>
      <c r="AC62" s="86"/>
      <c r="AD62" s="86"/>
      <c r="AE62" s="87"/>
    </row>
    <row r="63" ht="14.45" customHeight="1" spans="1:31" x14ac:dyDescent="0.25">
      <c r="A63" s="72"/>
      <c r="B63" s="73">
        <f>IFERROR(VLOOKUP(A63,Mapping!$A:$F,2,FALSE),"")</f>
      </c>
      <c r="C63" s="74">
        <f>IFERROR(VLOOKUP(A63,Mapping!$A:$F,3,FALSE),"")</f>
      </c>
      <c r="D63" s="75"/>
      <c r="E63" s="76"/>
      <c r="F63" s="77">
        <f>IFERROR(VLOOKUP(A63,Mapping!$A:$F,4,FALSE),0)</f>
        <v>0</v>
      </c>
      <c r="G63" s="78">
        <f t="shared" si="21"/>
        <v>0</v>
      </c>
      <c r="H63" s="77">
        <f>IFERROR(VLOOKUP(A63,Mapping!$A:$F,5,FALSE),0)</f>
        <v>0</v>
      </c>
      <c r="I63" s="79"/>
      <c r="J63" s="77">
        <f>IFERROR(VLOOKUP(A63,Mapping!$A:$F,6,FALSE),0)</f>
        <v>0</v>
      </c>
      <c r="K63" s="80">
        <f t="shared" si="22"/>
        <v>0</v>
      </c>
      <c r="L63" s="81">
        <f t="shared" si="23"/>
        <v>0</v>
      </c>
      <c r="M63" s="82">
        <f t="shared" si="24"/>
        <v>0</v>
      </c>
      <c r="N63" s="28">
        <f t="shared" si="25"/>
        <v>0</v>
      </c>
      <c r="O63" s="82">
        <f t="shared" si="26"/>
        <v>0</v>
      </c>
      <c r="P63" s="28">
        <f t="shared" si="27"/>
        <v>0</v>
      </c>
      <c r="Q63" s="82">
        <f t="shared" si="28"/>
        <v>0</v>
      </c>
      <c r="R63" s="28">
        <f t="shared" si="29"/>
        <v>0</v>
      </c>
      <c r="S63" s="82">
        <f t="shared" si="30"/>
        <v>0</v>
      </c>
      <c r="T63" s="28">
        <f t="shared" si="31"/>
        <v>0</v>
      </c>
      <c r="U63" s="83">
        <f t="shared" si="32"/>
        <v>0</v>
      </c>
      <c r="V63" s="28">
        <f t="shared" si="33"/>
        <v>0</v>
      </c>
      <c r="W63" s="80">
        <f t="shared" si="34"/>
        <v>0</v>
      </c>
      <c r="X63" s="28">
        <f t="shared" si="35"/>
        <v>0</v>
      </c>
      <c r="Y63" s="81">
        <f t="shared" si="36"/>
        <v>0</v>
      </c>
      <c r="Z63" s="1">
        <f t="shared" si="37"/>
        <v>0</v>
      </c>
      <c r="AA63" s="84"/>
      <c r="AB63" s="85"/>
      <c r="AC63" s="86"/>
      <c r="AD63" s="86"/>
      <c r="AE63" s="87"/>
    </row>
    <row r="64" ht="14.45" customHeight="1" spans="1:31" x14ac:dyDescent="0.25">
      <c r="A64" s="72"/>
      <c r="B64" s="73">
        <f>IFERROR(VLOOKUP(A64,Mapping!$A:$F,2,FALSE),"")</f>
      </c>
      <c r="C64" s="74">
        <f>IFERROR(VLOOKUP(A64,Mapping!$A:$F,3,FALSE),"")</f>
      </c>
      <c r="D64" s="75"/>
      <c r="E64" s="76"/>
      <c r="F64" s="77">
        <f>IFERROR(VLOOKUP(A64,Mapping!$A:$F,4,FALSE),0)</f>
        <v>0</v>
      </c>
      <c r="G64" s="78">
        <f t="shared" si="21"/>
        <v>0</v>
      </c>
      <c r="H64" s="77">
        <f>IFERROR(VLOOKUP(A64,Mapping!$A:$F,5,FALSE),0)</f>
        <v>0</v>
      </c>
      <c r="I64" s="79"/>
      <c r="J64" s="77">
        <f>IFERROR(VLOOKUP(A64,Mapping!$A:$F,6,FALSE),0)</f>
        <v>0</v>
      </c>
      <c r="K64" s="80">
        <f t="shared" si="22"/>
        <v>0</v>
      </c>
      <c r="L64" s="81">
        <f t="shared" si="23"/>
        <v>0</v>
      </c>
      <c r="M64" s="82">
        <f t="shared" si="24"/>
        <v>0</v>
      </c>
      <c r="N64" s="28">
        <f t="shared" si="25"/>
        <v>0</v>
      </c>
      <c r="O64" s="82">
        <f t="shared" si="26"/>
        <v>0</v>
      </c>
      <c r="P64" s="28">
        <f t="shared" si="27"/>
        <v>0</v>
      </c>
      <c r="Q64" s="82">
        <f t="shared" si="28"/>
        <v>0</v>
      </c>
      <c r="R64" s="28">
        <f t="shared" si="29"/>
        <v>0</v>
      </c>
      <c r="S64" s="82">
        <f t="shared" si="30"/>
        <v>0</v>
      </c>
      <c r="T64" s="28">
        <f t="shared" si="31"/>
        <v>0</v>
      </c>
      <c r="U64" s="83">
        <f t="shared" si="32"/>
        <v>0</v>
      </c>
      <c r="V64" s="28">
        <f t="shared" si="33"/>
        <v>0</v>
      </c>
      <c r="W64" s="80">
        <f t="shared" si="34"/>
        <v>0</v>
      </c>
      <c r="X64" s="28">
        <f t="shared" si="35"/>
        <v>0</v>
      </c>
      <c r="Y64" s="81">
        <f t="shared" si="36"/>
        <v>0</v>
      </c>
      <c r="Z64" s="1">
        <f t="shared" si="37"/>
        <v>0</v>
      </c>
      <c r="AA64" s="84"/>
      <c r="AB64" s="85"/>
      <c r="AC64" s="86"/>
      <c r="AD64" s="86"/>
      <c r="AE64" s="87"/>
    </row>
    <row r="65" ht="14.45" customHeight="1" spans="1:31" x14ac:dyDescent="0.25">
      <c r="A65" s="72"/>
      <c r="B65" s="73">
        <f>IFERROR(VLOOKUP(A65,Mapping!$A:$F,2,FALSE),"")</f>
      </c>
      <c r="C65" s="74">
        <f>IFERROR(VLOOKUP(A65,Mapping!$A:$F,3,FALSE),"")</f>
      </c>
      <c r="D65" s="75"/>
      <c r="E65" s="76"/>
      <c r="F65" s="77">
        <f>IFERROR(VLOOKUP(A65,Mapping!$A:$F,4,FALSE),0)</f>
        <v>0</v>
      </c>
      <c r="G65" s="78">
        <f t="shared" si="21"/>
        <v>0</v>
      </c>
      <c r="H65" s="77">
        <f>IFERROR(VLOOKUP(A65,Mapping!$A:$F,5,FALSE),0)</f>
        <v>0</v>
      </c>
      <c r="I65" s="79"/>
      <c r="J65" s="77">
        <f>IFERROR(VLOOKUP(A65,Mapping!$A:$F,6,FALSE),0)</f>
        <v>0</v>
      </c>
      <c r="K65" s="80">
        <f t="shared" si="22"/>
        <v>0</v>
      </c>
      <c r="L65" s="81">
        <f t="shared" si="23"/>
        <v>0</v>
      </c>
      <c r="M65" s="82">
        <f t="shared" si="24"/>
        <v>0</v>
      </c>
      <c r="N65" s="28">
        <f t="shared" si="25"/>
        <v>0</v>
      </c>
      <c r="O65" s="82">
        <f t="shared" si="26"/>
        <v>0</v>
      </c>
      <c r="P65" s="28">
        <f t="shared" si="27"/>
        <v>0</v>
      </c>
      <c r="Q65" s="82">
        <f t="shared" si="28"/>
        <v>0</v>
      </c>
      <c r="R65" s="28">
        <f t="shared" si="29"/>
        <v>0</v>
      </c>
      <c r="S65" s="82">
        <f t="shared" si="30"/>
        <v>0</v>
      </c>
      <c r="T65" s="28">
        <f t="shared" si="31"/>
        <v>0</v>
      </c>
      <c r="U65" s="83">
        <f t="shared" si="32"/>
        <v>0</v>
      </c>
      <c r="V65" s="28">
        <f t="shared" si="33"/>
        <v>0</v>
      </c>
      <c r="W65" s="80">
        <f t="shared" si="34"/>
        <v>0</v>
      </c>
      <c r="X65" s="28">
        <f t="shared" si="35"/>
        <v>0</v>
      </c>
      <c r="Y65" s="81">
        <f t="shared" si="36"/>
        <v>0</v>
      </c>
      <c r="Z65" s="1">
        <f t="shared" si="37"/>
        <v>0</v>
      </c>
      <c r="AA65" s="84"/>
      <c r="AB65" s="85"/>
      <c r="AC65" s="95"/>
      <c r="AD65" s="86"/>
      <c r="AE65" s="87"/>
    </row>
    <row r="66" ht="14.45" customHeight="1" spans="1:31" x14ac:dyDescent="0.25">
      <c r="A66" s="96"/>
      <c r="B66" s="97">
        <f>IFERROR(VLOOKUP(A66,Mapping!$A:$F,2,FALSE),"")</f>
      </c>
      <c r="C66" s="98">
        <f>IFERROR(VLOOKUP(A66,Mapping!$A:$F,3,FALSE),"")</f>
      </c>
      <c r="D66" s="99"/>
      <c r="E66" s="100"/>
      <c r="F66" s="77">
        <f>IFERROR(VLOOKUP(A66,Mapping!$A:$F,4,FALSE),0)</f>
        <v>0</v>
      </c>
      <c r="G66" s="78">
        <f t="shared" si="21"/>
        <v>0</v>
      </c>
      <c r="H66" s="101">
        <f>IFERROR(VLOOKUP(A66,Mapping!$A:$F,5,FALSE),0)</f>
        <v>0</v>
      </c>
      <c r="I66" s="79"/>
      <c r="J66" s="77">
        <f>IFERROR(VLOOKUP(A66,Mapping!$A:$F,6,FALSE),0)</f>
        <v>0</v>
      </c>
      <c r="K66" s="80">
        <f t="shared" si="22"/>
        <v>0</v>
      </c>
      <c r="L66" s="81">
        <f t="shared" si="23"/>
        <v>0</v>
      </c>
      <c r="M66" s="82">
        <f t="shared" si="24"/>
        <v>0</v>
      </c>
      <c r="N66" s="28">
        <f t="shared" si="25"/>
        <v>0</v>
      </c>
      <c r="O66" s="82">
        <f t="shared" si="26"/>
        <v>0</v>
      </c>
      <c r="P66" s="28">
        <f t="shared" si="27"/>
        <v>0</v>
      </c>
      <c r="Q66" s="82">
        <f t="shared" si="28"/>
        <v>0</v>
      </c>
      <c r="R66" s="28">
        <f t="shared" si="29"/>
        <v>0</v>
      </c>
      <c r="S66" s="82">
        <f t="shared" si="30"/>
        <v>0</v>
      </c>
      <c r="T66" s="28">
        <f t="shared" si="31"/>
        <v>0</v>
      </c>
      <c r="U66" s="83">
        <f t="shared" si="32"/>
        <v>0</v>
      </c>
      <c r="V66" s="28">
        <f t="shared" si="33"/>
        <v>0</v>
      </c>
      <c r="W66" s="80">
        <f t="shared" si="34"/>
        <v>0</v>
      </c>
      <c r="X66" s="28">
        <f t="shared" si="35"/>
        <v>0</v>
      </c>
      <c r="Y66" s="81">
        <f t="shared" si="36"/>
        <v>0</v>
      </c>
      <c r="Z66" s="1">
        <f t="shared" si="37"/>
        <v>0</v>
      </c>
      <c r="AA66" s="84"/>
      <c r="AB66" s="85"/>
      <c r="AC66" s="86"/>
      <c r="AD66" s="102"/>
      <c r="AE66" s="87"/>
    </row>
    <row r="67" ht="14.45" customHeight="1" spans="1:31" x14ac:dyDescent="0.25">
      <c r="A67" s="96"/>
      <c r="B67" s="97">
        <f>IFERROR(VLOOKUP(A67,Mapping!$A:$F,2,FALSE),"")</f>
      </c>
      <c r="C67" s="98">
        <f>IFERROR(VLOOKUP(A67,Mapping!$A:$F,3,FALSE),"")</f>
      </c>
      <c r="D67" s="99"/>
      <c r="E67" s="100"/>
      <c r="F67" s="77">
        <f>IFERROR(VLOOKUP(A67,Mapping!$A:$F,4,FALSE),0)</f>
        <v>0</v>
      </c>
      <c r="G67" s="78">
        <f t="shared" si="21"/>
        <v>0</v>
      </c>
      <c r="H67" s="101">
        <f>IFERROR(VLOOKUP(A67,Mapping!$A:$F,5,FALSE),0)</f>
        <v>0</v>
      </c>
      <c r="I67" s="79"/>
      <c r="J67" s="77">
        <f>IFERROR(VLOOKUP(A67,Mapping!$A:$F,6,FALSE),0)</f>
        <v>0</v>
      </c>
      <c r="K67" s="80">
        <f t="shared" si="22"/>
        <v>0</v>
      </c>
      <c r="L67" s="81">
        <f t="shared" si="23"/>
        <v>0</v>
      </c>
      <c r="M67" s="82">
        <f t="shared" si="24"/>
        <v>0</v>
      </c>
      <c r="N67" s="28">
        <f t="shared" si="25"/>
        <v>0</v>
      </c>
      <c r="O67" s="82">
        <f t="shared" si="26"/>
        <v>0</v>
      </c>
      <c r="P67" s="28">
        <f t="shared" si="27"/>
        <v>0</v>
      </c>
      <c r="Q67" s="82">
        <f t="shared" si="28"/>
        <v>0</v>
      </c>
      <c r="R67" s="28">
        <f t="shared" si="29"/>
        <v>0</v>
      </c>
      <c r="S67" s="82">
        <f t="shared" si="30"/>
        <v>0</v>
      </c>
      <c r="T67" s="28">
        <f t="shared" si="31"/>
        <v>0</v>
      </c>
      <c r="U67" s="83">
        <f t="shared" si="32"/>
        <v>0</v>
      </c>
      <c r="V67" s="28">
        <f t="shared" si="33"/>
        <v>0</v>
      </c>
      <c r="W67" s="80">
        <f t="shared" si="34"/>
        <v>0</v>
      </c>
      <c r="X67" s="28">
        <f t="shared" si="35"/>
        <v>0</v>
      </c>
      <c r="Y67" s="81">
        <f t="shared" si="36"/>
        <v>0</v>
      </c>
      <c r="Z67" s="1">
        <f t="shared" si="37"/>
        <v>0</v>
      </c>
      <c r="AA67" s="84"/>
      <c r="AB67" s="85"/>
      <c r="AC67" s="86"/>
      <c r="AD67" s="103"/>
      <c r="AE67" s="87"/>
    </row>
    <row r="68" ht="14.45" customHeight="1" spans="1:31" x14ac:dyDescent="0.25">
      <c r="A68" s="96"/>
      <c r="B68" s="97">
        <f>IFERROR(VLOOKUP(A68,Mapping!$A:$F,2,FALSE),"")</f>
      </c>
      <c r="C68" s="98">
        <f>IFERROR(VLOOKUP(A68,Mapping!$A:$F,3,FALSE),"")</f>
      </c>
      <c r="D68" s="99"/>
      <c r="E68" s="100"/>
      <c r="F68" s="77">
        <f>IFERROR(VLOOKUP(A68,Mapping!$A:$F,4,FALSE),0)</f>
        <v>0</v>
      </c>
      <c r="G68" s="78">
        <f t="shared" si="21"/>
        <v>0</v>
      </c>
      <c r="H68" s="101">
        <f>IFERROR(VLOOKUP(A68,Mapping!$A:$F,5,FALSE),0)</f>
        <v>0</v>
      </c>
      <c r="I68" s="79"/>
      <c r="J68" s="77">
        <f>IFERROR(VLOOKUP(A68,Mapping!$A:$F,6,FALSE),0)</f>
        <v>0</v>
      </c>
      <c r="K68" s="80">
        <f t="shared" si="22"/>
        <v>0</v>
      </c>
      <c r="L68" s="81">
        <f t="shared" si="23"/>
        <v>0</v>
      </c>
      <c r="M68" s="82">
        <f t="shared" si="24"/>
        <v>0</v>
      </c>
      <c r="N68" s="28">
        <f t="shared" si="25"/>
        <v>0</v>
      </c>
      <c r="O68" s="82">
        <f t="shared" si="26"/>
        <v>0</v>
      </c>
      <c r="P68" s="28">
        <f t="shared" si="27"/>
        <v>0</v>
      </c>
      <c r="Q68" s="82">
        <f t="shared" si="28"/>
        <v>0</v>
      </c>
      <c r="R68" s="28">
        <f t="shared" si="29"/>
        <v>0</v>
      </c>
      <c r="S68" s="82">
        <f t="shared" si="30"/>
        <v>0</v>
      </c>
      <c r="T68" s="28">
        <f t="shared" si="31"/>
        <v>0</v>
      </c>
      <c r="U68" s="83">
        <f t="shared" si="32"/>
        <v>0</v>
      </c>
      <c r="V68" s="28">
        <f t="shared" si="33"/>
        <v>0</v>
      </c>
      <c r="W68" s="80">
        <f t="shared" si="34"/>
        <v>0</v>
      </c>
      <c r="X68" s="28">
        <f t="shared" si="35"/>
        <v>0</v>
      </c>
      <c r="Y68" s="81">
        <f t="shared" si="36"/>
        <v>0</v>
      </c>
      <c r="Z68" s="1">
        <f t="shared" si="37"/>
        <v>0</v>
      </c>
      <c r="AA68" s="84"/>
      <c r="AB68" s="85"/>
      <c r="AC68" s="86"/>
      <c r="AD68" s="104"/>
      <c r="AE68" s="87"/>
    </row>
    <row r="69" ht="14.45" customHeight="1" spans="1:31" x14ac:dyDescent="0.25">
      <c r="A69" s="96"/>
      <c r="B69" s="97">
        <f>IFERROR(VLOOKUP(A69,Mapping!$A:$F,2,FALSE),"")</f>
      </c>
      <c r="C69" s="98">
        <f>IFERROR(VLOOKUP(A69,Mapping!$A:$F,3,FALSE),"")</f>
      </c>
      <c r="D69" s="99"/>
      <c r="E69" s="100"/>
      <c r="F69" s="77">
        <f>IFERROR(VLOOKUP(A69,Mapping!$A:$F,4,FALSE),0)</f>
        <v>0</v>
      </c>
      <c r="G69" s="78">
        <f t="shared" si="21"/>
        <v>0</v>
      </c>
      <c r="H69" s="101">
        <f>IFERROR(VLOOKUP(A69,Mapping!$A:$F,5,FALSE),0)</f>
        <v>0</v>
      </c>
      <c r="I69" s="79"/>
      <c r="J69" s="77">
        <f>IFERROR(VLOOKUP(A69,Mapping!$A:$F,6,FALSE),0)</f>
        <v>0</v>
      </c>
      <c r="K69" s="80">
        <f t="shared" si="22"/>
        <v>0</v>
      </c>
      <c r="L69" s="81">
        <f t="shared" si="23"/>
        <v>0</v>
      </c>
      <c r="M69" s="82">
        <f t="shared" si="24"/>
        <v>0</v>
      </c>
      <c r="N69" s="28">
        <f t="shared" si="25"/>
        <v>0</v>
      </c>
      <c r="O69" s="82">
        <f t="shared" si="26"/>
        <v>0</v>
      </c>
      <c r="P69" s="28">
        <f t="shared" si="27"/>
        <v>0</v>
      </c>
      <c r="Q69" s="82">
        <f t="shared" si="28"/>
        <v>0</v>
      </c>
      <c r="R69" s="28">
        <f t="shared" si="29"/>
        <v>0</v>
      </c>
      <c r="S69" s="82">
        <f t="shared" si="30"/>
        <v>0</v>
      </c>
      <c r="T69" s="28">
        <f t="shared" si="31"/>
        <v>0</v>
      </c>
      <c r="U69" s="83">
        <f t="shared" si="32"/>
        <v>0</v>
      </c>
      <c r="V69" s="28">
        <f t="shared" si="33"/>
        <v>0</v>
      </c>
      <c r="W69" s="80">
        <f t="shared" si="34"/>
        <v>0</v>
      </c>
      <c r="X69" s="28">
        <f t="shared" si="35"/>
        <v>0</v>
      </c>
      <c r="Y69" s="81">
        <f t="shared" si="36"/>
        <v>0</v>
      </c>
      <c r="Z69" s="1">
        <f t="shared" si="37"/>
        <v>0</v>
      </c>
      <c r="AA69" s="84"/>
      <c r="AB69" s="85"/>
      <c r="AC69" s="86"/>
      <c r="AD69" s="103"/>
      <c r="AE69" s="87"/>
    </row>
    <row r="70" ht="14.45" customHeight="1" spans="1:31" x14ac:dyDescent="0.25">
      <c r="A70" s="96"/>
      <c r="B70" s="97">
        <f>IFERROR(VLOOKUP(A70,Mapping!$A:$F,2,FALSE),"")</f>
      </c>
      <c r="C70" s="98">
        <f>IFERROR(VLOOKUP(A70,Mapping!$A:$F,3,FALSE),"")</f>
      </c>
      <c r="D70" s="99"/>
      <c r="E70" s="100"/>
      <c r="F70" s="77">
        <f>IFERROR(VLOOKUP(A70,Mapping!$A:$F,4,FALSE),0)</f>
        <v>0</v>
      </c>
      <c r="G70" s="78">
        <f t="shared" si="21"/>
        <v>0</v>
      </c>
      <c r="H70" s="101">
        <f>IFERROR(VLOOKUP(A70,Mapping!$A:$F,5,FALSE),0)</f>
        <v>0</v>
      </c>
      <c r="I70" s="79"/>
      <c r="J70" s="77">
        <f>IFERROR(VLOOKUP(A70,Mapping!$A:$F,6,FALSE),0)</f>
        <v>0</v>
      </c>
      <c r="K70" s="80">
        <f t="shared" si="22"/>
        <v>0</v>
      </c>
      <c r="L70" s="81">
        <f t="shared" si="23"/>
        <v>0</v>
      </c>
      <c r="M70" s="82">
        <f t="shared" si="24"/>
        <v>0</v>
      </c>
      <c r="N70" s="28">
        <f t="shared" si="25"/>
        <v>0</v>
      </c>
      <c r="O70" s="82">
        <f t="shared" si="26"/>
        <v>0</v>
      </c>
      <c r="P70" s="28">
        <f t="shared" si="27"/>
        <v>0</v>
      </c>
      <c r="Q70" s="82">
        <f t="shared" si="28"/>
        <v>0</v>
      </c>
      <c r="R70" s="28">
        <f t="shared" si="29"/>
        <v>0</v>
      </c>
      <c r="S70" s="82">
        <f t="shared" si="30"/>
        <v>0</v>
      </c>
      <c r="T70" s="28">
        <f t="shared" si="31"/>
        <v>0</v>
      </c>
      <c r="U70" s="83">
        <f t="shared" si="32"/>
        <v>0</v>
      </c>
      <c r="V70" s="28">
        <f t="shared" si="33"/>
        <v>0</v>
      </c>
      <c r="W70" s="80">
        <f t="shared" si="34"/>
        <v>0</v>
      </c>
      <c r="X70" s="28">
        <f t="shared" si="35"/>
        <v>0</v>
      </c>
      <c r="Y70" s="81">
        <f t="shared" si="36"/>
        <v>0</v>
      </c>
      <c r="Z70" s="1">
        <f t="shared" si="37"/>
        <v>0</v>
      </c>
      <c r="AA70" s="84"/>
      <c r="AB70" s="85"/>
      <c r="AC70" s="85"/>
      <c r="AD70" s="85"/>
      <c r="AE70" s="87"/>
    </row>
    <row r="71" ht="14.45" customHeight="1" spans="1:31" x14ac:dyDescent="0.25">
      <c r="A71" s="96"/>
      <c r="B71" s="97">
        <f>IFERROR(VLOOKUP(A71,Mapping!$A:$F,2,FALSE),"")</f>
      </c>
      <c r="C71" s="98">
        <f>IFERROR(VLOOKUP(A71,Mapping!$A:$F,3,FALSE),"")</f>
      </c>
      <c r="D71" s="99"/>
      <c r="E71" s="100"/>
      <c r="F71" s="77">
        <f>IFERROR(VLOOKUP(A71,Mapping!$A:$F,4,FALSE),0)</f>
        <v>0</v>
      </c>
      <c r="G71" s="78">
        <f t="shared" si="21"/>
        <v>0</v>
      </c>
      <c r="H71" s="101">
        <f>IFERROR(VLOOKUP(A71,Mapping!$A:$F,5,FALSE),0)</f>
        <v>0</v>
      </c>
      <c r="I71" s="79"/>
      <c r="J71" s="77">
        <f>IFERROR(VLOOKUP(A71,Mapping!$A:$F,6,FALSE),0)</f>
        <v>0</v>
      </c>
      <c r="K71" s="80">
        <f t="shared" si="22"/>
        <v>0</v>
      </c>
      <c r="L71" s="81">
        <f t="shared" si="23"/>
        <v>0</v>
      </c>
      <c r="M71" s="82">
        <f t="shared" si="24"/>
        <v>0</v>
      </c>
      <c r="N71" s="28">
        <f t="shared" si="25"/>
        <v>0</v>
      </c>
      <c r="O71" s="82">
        <f t="shared" si="26"/>
        <v>0</v>
      </c>
      <c r="P71" s="28">
        <f t="shared" si="27"/>
        <v>0</v>
      </c>
      <c r="Q71" s="82">
        <f t="shared" si="28"/>
        <v>0</v>
      </c>
      <c r="R71" s="28">
        <f t="shared" si="29"/>
        <v>0</v>
      </c>
      <c r="S71" s="82">
        <f t="shared" si="30"/>
        <v>0</v>
      </c>
      <c r="T71" s="28">
        <f t="shared" si="31"/>
        <v>0</v>
      </c>
      <c r="U71" s="83">
        <f t="shared" si="32"/>
        <v>0</v>
      </c>
      <c r="V71" s="28">
        <f t="shared" si="33"/>
        <v>0</v>
      </c>
      <c r="W71" s="80">
        <f t="shared" si="34"/>
        <v>0</v>
      </c>
      <c r="X71" s="28">
        <f t="shared" si="35"/>
        <v>0</v>
      </c>
      <c r="Y71" s="81">
        <f t="shared" si="36"/>
        <v>0</v>
      </c>
      <c r="Z71" s="1">
        <f t="shared" si="37"/>
        <v>0</v>
      </c>
      <c r="AA71" s="84"/>
      <c r="AB71" s="85"/>
      <c r="AC71" s="95"/>
      <c r="AD71" s="85"/>
      <c r="AE71" s="87"/>
    </row>
    <row r="72" ht="14.45" customHeight="1" spans="1:31" x14ac:dyDescent="0.25">
      <c r="A72" s="96"/>
      <c r="B72" s="97">
        <f>IFERROR(VLOOKUP(A72,Mapping!$A:$F,2,FALSE),"")</f>
      </c>
      <c r="C72" s="98">
        <f>IFERROR(VLOOKUP(A72,Mapping!$A:$F,3,FALSE),"")</f>
      </c>
      <c r="D72" s="99"/>
      <c r="E72" s="100"/>
      <c r="F72" s="77">
        <f>IFERROR(VLOOKUP(A72,Mapping!$A:$F,4,FALSE),0)</f>
        <v>0</v>
      </c>
      <c r="G72" s="78">
        <f t="shared" si="21"/>
        <v>0</v>
      </c>
      <c r="H72" s="101">
        <f>IFERROR(VLOOKUP(A72,Mapping!$A:$F,5,FALSE),0)</f>
        <v>0</v>
      </c>
      <c r="I72" s="79"/>
      <c r="J72" s="77">
        <f>IFERROR(VLOOKUP(A72,Mapping!$A:$F,6,FALSE),0)</f>
        <v>0</v>
      </c>
      <c r="K72" s="80">
        <f t="shared" si="22"/>
        <v>0</v>
      </c>
      <c r="L72" s="81">
        <f t="shared" si="23"/>
        <v>0</v>
      </c>
      <c r="M72" s="105">
        <f t="shared" si="24"/>
        <v>0</v>
      </c>
      <c r="N72" s="106">
        <f t="shared" si="25"/>
        <v>0</v>
      </c>
      <c r="O72" s="105">
        <f t="shared" si="26"/>
        <v>0</v>
      </c>
      <c r="P72" s="106">
        <f t="shared" si="27"/>
        <v>0</v>
      </c>
      <c r="Q72" s="105">
        <f t="shared" si="28"/>
        <v>0</v>
      </c>
      <c r="R72" s="106">
        <f t="shared" si="29"/>
        <v>0</v>
      </c>
      <c r="S72" s="105">
        <f t="shared" si="30"/>
        <v>0</v>
      </c>
      <c r="T72" s="106">
        <f t="shared" si="31"/>
        <v>0</v>
      </c>
      <c r="U72" s="107">
        <f t="shared" si="32"/>
        <v>0</v>
      </c>
      <c r="V72" s="106">
        <f t="shared" si="33"/>
        <v>0</v>
      </c>
      <c r="W72" s="108">
        <f t="shared" si="34"/>
        <v>0</v>
      </c>
      <c r="X72" s="106">
        <f t="shared" si="35"/>
        <v>0</v>
      </c>
      <c r="Y72" s="109">
        <f t="shared" si="36"/>
        <v>0</v>
      </c>
      <c r="Z72" s="110">
        <f t="shared" si="37"/>
        <v>0</v>
      </c>
      <c r="AA72" s="111"/>
      <c r="AB72" s="112"/>
      <c r="AC72" s="113"/>
      <c r="AD72" s="114"/>
      <c r="AE72" s="115"/>
    </row>
    <row r="75" ht="15" customHeight="1" spans="1:32" x14ac:dyDescent="0.25">
      <c r="A75" s="5" t="s">
        <v>42</v>
      </c>
      <c r="B75" s="6"/>
      <c r="C75" s="7"/>
      <c r="D75" s="8"/>
      <c r="E75" s="6"/>
      <c r="F75" s="6"/>
      <c r="G75" s="6"/>
      <c r="H75" s="6"/>
      <c r="I75" s="6"/>
      <c r="J75" s="6"/>
      <c r="K75" s="6"/>
      <c r="L75" s="6"/>
      <c r="M75" s="116"/>
      <c r="N75" s="117"/>
      <c r="O75" s="116"/>
      <c r="P75" s="117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118"/>
    </row>
    <row r="77" ht="15.75" customHeight="1" spans="1:31" x14ac:dyDescent="0.25">
      <c r="A77" s="9" t="s">
        <v>1</v>
      </c>
      <c r="B77" s="10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5.75" customHeight="1" spans="1:31" x14ac:dyDescent="0.25">
      <c r="A78" s="9" t="s">
        <v>2</v>
      </c>
      <c r="B78" s="10">
        <f>SUM(E90:E102)</f>
        <v>0</v>
      </c>
      <c r="C78" s="2"/>
      <c r="D78" s="1"/>
      <c r="E78" s="1"/>
      <c r="F78" s="1"/>
      <c r="G78" s="1"/>
      <c r="H78" s="1"/>
      <c r="I78" s="1"/>
      <c r="J78" s="1"/>
      <c r="K78" s="1"/>
      <c r="L78" s="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3"/>
      <c r="AC78" s="13"/>
      <c r="AD78" s="13"/>
      <c r="AE78" s="14"/>
    </row>
    <row r="79" ht="15.75" customHeight="1" spans="1:31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5" t="s">
        <v>3</v>
      </c>
      <c r="N79" s="16"/>
      <c r="O79" s="16"/>
      <c r="P79" s="16"/>
      <c r="Q79" s="16"/>
      <c r="R79" s="17"/>
      <c r="S79" s="18" t="s">
        <v>4</v>
      </c>
      <c r="T79" s="19"/>
      <c r="U79" s="20"/>
      <c r="V79" s="20"/>
      <c r="W79" s="20"/>
      <c r="X79" s="20"/>
      <c r="Y79" s="18"/>
      <c r="Z79" s="19"/>
      <c r="AA79" s="21"/>
      <c r="AB79" s="22" t="s">
        <v>5</v>
      </c>
      <c r="AC79" s="22"/>
      <c r="AD79" s="22"/>
      <c r="AE79" s="23"/>
    </row>
    <row r="80" ht="15" customHeight="1" spans="1:31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24"/>
      <c r="N80" s="25"/>
      <c r="O80" s="24"/>
      <c r="P80" s="25"/>
      <c r="Q80" s="26"/>
      <c r="R80" s="26"/>
      <c r="S80" s="24"/>
      <c r="T80" s="25"/>
      <c r="U80" s="26"/>
      <c r="V80" s="25"/>
      <c r="W80" s="26"/>
      <c r="X80" s="26"/>
      <c r="Y80" s="27"/>
      <c r="Z80" s="28"/>
      <c r="AA80" s="29"/>
      <c r="AB80" s="21"/>
      <c r="AC80" s="21"/>
      <c r="AD80" s="21"/>
      <c r="AE80" s="23"/>
    </row>
    <row r="81" ht="15" customHeight="1" spans="1:31" x14ac:dyDescent="0.25">
      <c r="A81" s="1"/>
      <c r="B81" s="1"/>
      <c r="C81" s="2"/>
      <c r="D81" s="1"/>
      <c r="E81" s="1"/>
      <c r="F81" s="1"/>
      <c r="G81" s="1"/>
      <c r="H81" s="1"/>
      <c r="J81" s="1"/>
      <c r="K81" s="1"/>
      <c r="L81" s="1"/>
      <c r="M81" s="30" t="s">
        <v>6</v>
      </c>
      <c r="N81" s="31"/>
      <c r="O81" s="30" t="s">
        <v>7</v>
      </c>
      <c r="P81" s="31"/>
      <c r="Q81" s="30" t="s">
        <v>8</v>
      </c>
      <c r="R81" s="31"/>
      <c r="S81" s="32" t="s">
        <v>9</v>
      </c>
      <c r="T81" s="31"/>
      <c r="U81" s="32" t="s">
        <v>10</v>
      </c>
      <c r="V81" s="31"/>
      <c r="W81" s="32" t="s">
        <v>11</v>
      </c>
      <c r="X81" s="31"/>
      <c r="Y81" s="32" t="s">
        <v>12</v>
      </c>
      <c r="Z81" s="31"/>
      <c r="AA81" s="29"/>
      <c r="AB81" s="33" t="s">
        <v>13</v>
      </c>
      <c r="AC81" s="33"/>
      <c r="AD81" s="33"/>
      <c r="AE81" s="23"/>
    </row>
    <row r="82" ht="15" customHeight="1" spans="1:31" x14ac:dyDescent="0.25">
      <c r="A82" s="1"/>
      <c r="B82" s="1"/>
      <c r="C82" s="2"/>
      <c r="D82" s="1"/>
      <c r="E82" s="1"/>
      <c r="F82" s="1"/>
      <c r="G82" s="1"/>
      <c r="H82" s="1"/>
      <c r="J82" s="1"/>
      <c r="K82" s="1"/>
      <c r="L82" s="1"/>
      <c r="M82" s="34" t="s">
        <v>14</v>
      </c>
      <c r="N82" s="35"/>
      <c r="O82" s="34" t="s">
        <v>14</v>
      </c>
      <c r="P82" s="35"/>
      <c r="Q82" s="34" t="s">
        <v>14</v>
      </c>
      <c r="R82" s="35"/>
      <c r="S82" s="34" t="s">
        <v>14</v>
      </c>
      <c r="T82" s="35"/>
      <c r="U82" s="36" t="s">
        <v>14</v>
      </c>
      <c r="V82" s="37"/>
      <c r="W82" s="34" t="s">
        <v>14</v>
      </c>
      <c r="X82" s="37"/>
      <c r="Y82" s="34" t="s">
        <v>43</v>
      </c>
      <c r="Z82" s="35"/>
      <c r="AA82" s="27"/>
      <c r="AB82" s="39"/>
      <c r="AC82" s="39"/>
      <c r="AD82" s="39"/>
      <c r="AE82" s="28"/>
    </row>
    <row r="83" ht="15" customHeight="1" spans="1:31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34" t="s">
        <v>15</v>
      </c>
      <c r="N83" s="40">
        <v>0.17</v>
      </c>
      <c r="O83" s="34" t="s">
        <v>15</v>
      </c>
      <c r="P83" s="40">
        <v>0.13</v>
      </c>
      <c r="Q83" s="34" t="s">
        <v>15</v>
      </c>
      <c r="R83" s="40">
        <v>0.08</v>
      </c>
      <c r="S83" s="34" t="s">
        <v>15</v>
      </c>
      <c r="T83" s="41">
        <v>0.325</v>
      </c>
      <c r="U83" s="36" t="s">
        <v>15</v>
      </c>
      <c r="V83" s="42">
        <v>0.3</v>
      </c>
      <c r="W83" s="34" t="s">
        <v>15</v>
      </c>
      <c r="X83" s="42">
        <v>0.28</v>
      </c>
      <c r="Y83" s="34" t="s">
        <v>15</v>
      </c>
      <c r="Z83" s="40">
        <v>0.25</v>
      </c>
      <c r="AA83" s="29"/>
      <c r="AB83" s="21"/>
      <c r="AC83" s="21"/>
      <c r="AD83" s="21"/>
      <c r="AE83" s="23"/>
    </row>
    <row r="84" ht="15" customHeight="1" spans="1:31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34" t="s">
        <v>16</v>
      </c>
      <c r="N84" s="43">
        <f>N82*$B$77</f>
        <v>0</v>
      </c>
      <c r="O84" s="34" t="s">
        <v>16</v>
      </c>
      <c r="P84" s="43">
        <f>P82*$B$77</f>
        <v>0</v>
      </c>
      <c r="Q84" s="34" t="s">
        <v>16</v>
      </c>
      <c r="R84" s="43">
        <f>R82*$B$77</f>
        <v>0</v>
      </c>
      <c r="S84" s="34" t="s">
        <v>16</v>
      </c>
      <c r="T84" s="43">
        <f>T82*$B$77</f>
        <v>0</v>
      </c>
      <c r="U84" s="36" t="s">
        <v>16</v>
      </c>
      <c r="V84" s="43">
        <f>V82*$B$77</f>
        <v>0</v>
      </c>
      <c r="W84" s="34" t="s">
        <v>16</v>
      </c>
      <c r="X84" s="44">
        <f>X82*$B$77</f>
        <v>0</v>
      </c>
      <c r="Y84" s="34" t="s">
        <v>16</v>
      </c>
      <c r="Z84" s="43">
        <f>Z82*$B$77</f>
        <v>0</v>
      </c>
      <c r="AA84" s="29"/>
      <c r="AB84" s="21"/>
      <c r="AC84" s="21"/>
      <c r="AD84" s="21"/>
      <c r="AE84" s="23"/>
    </row>
    <row r="85" ht="51.75" customHeight="1" spans="1:31" x14ac:dyDescent="0.25">
      <c r="A85" s="45"/>
      <c r="B85" s="45"/>
      <c r="C85" s="46"/>
      <c r="D85" s="45"/>
      <c r="E85" s="47" t="s">
        <v>17</v>
      </c>
      <c r="F85" s="47" t="s">
        <v>18</v>
      </c>
      <c r="G85" s="47" t="s">
        <v>19</v>
      </c>
      <c r="H85" s="47" t="s">
        <v>20</v>
      </c>
      <c r="I85" s="47" t="s">
        <v>21</v>
      </c>
      <c r="J85" s="47" t="s">
        <v>22</v>
      </c>
      <c r="K85" s="47" t="s">
        <v>23</v>
      </c>
      <c r="L85" s="47" t="s">
        <v>24</v>
      </c>
      <c r="M85" s="48" t="s">
        <v>25</v>
      </c>
      <c r="N85" s="49" t="s">
        <v>26</v>
      </c>
      <c r="O85" s="48" t="s">
        <v>25</v>
      </c>
      <c r="P85" s="49" t="s">
        <v>26</v>
      </c>
      <c r="Q85" s="48" t="s">
        <v>25</v>
      </c>
      <c r="R85" s="49" t="s">
        <v>26</v>
      </c>
      <c r="S85" s="48" t="s">
        <v>25</v>
      </c>
      <c r="T85" s="49" t="s">
        <v>26</v>
      </c>
      <c r="U85" s="47" t="s">
        <v>25</v>
      </c>
      <c r="V85" s="49" t="s">
        <v>26</v>
      </c>
      <c r="W85" s="47" t="s">
        <v>25</v>
      </c>
      <c r="X85" s="47" t="s">
        <v>26</v>
      </c>
      <c r="Y85" s="48" t="s">
        <v>25</v>
      </c>
      <c r="Z85" s="49" t="s">
        <v>26</v>
      </c>
      <c r="AA85" s="50"/>
      <c r="AB85" s="51" t="s">
        <v>27</v>
      </c>
      <c r="AC85" s="51" t="s">
        <v>25</v>
      </c>
      <c r="AD85" s="51" t="s">
        <v>26</v>
      </c>
      <c r="AE85" s="52"/>
    </row>
    <row r="86" ht="26.25" customHeight="1" spans="1:31" x14ac:dyDescent="0.25">
      <c r="A86" s="53" t="s">
        <v>28</v>
      </c>
      <c r="B86" s="53" t="s">
        <v>29</v>
      </c>
      <c r="C86" s="53" t="s">
        <v>30</v>
      </c>
      <c r="D86" s="53" t="s">
        <v>31</v>
      </c>
      <c r="E86" s="53" t="s">
        <v>32</v>
      </c>
      <c r="F86" s="53" t="s">
        <v>33</v>
      </c>
      <c r="G86" s="53" t="s">
        <v>33</v>
      </c>
      <c r="H86" s="53" t="s">
        <v>33</v>
      </c>
      <c r="I86" s="53" t="s">
        <v>33</v>
      </c>
      <c r="J86" s="53" t="s">
        <v>33</v>
      </c>
      <c r="K86" s="53" t="s">
        <v>33</v>
      </c>
      <c r="L86" s="53" t="s">
        <v>33</v>
      </c>
      <c r="M86" s="54" t="s">
        <v>33</v>
      </c>
      <c r="N86" s="55" t="s">
        <v>33</v>
      </c>
      <c r="O86" s="54" t="s">
        <v>33</v>
      </c>
      <c r="P86" s="55" t="s">
        <v>33</v>
      </c>
      <c r="Q86" s="54" t="s">
        <v>33</v>
      </c>
      <c r="R86" s="55" t="s">
        <v>33</v>
      </c>
      <c r="S86" s="54" t="s">
        <v>33</v>
      </c>
      <c r="T86" s="55" t="s">
        <v>33</v>
      </c>
      <c r="U86" s="53" t="s">
        <v>33</v>
      </c>
      <c r="V86" s="55" t="s">
        <v>33</v>
      </c>
      <c r="W86" s="53" t="s">
        <v>33</v>
      </c>
      <c r="X86" s="53" t="s">
        <v>33</v>
      </c>
      <c r="Y86" s="56" t="s">
        <v>33</v>
      </c>
      <c r="Z86" s="57" t="s">
        <v>33</v>
      </c>
      <c r="AA86" s="29"/>
      <c r="AB86" s="58" t="s">
        <v>32</v>
      </c>
      <c r="AC86" s="58" t="s">
        <v>33</v>
      </c>
      <c r="AD86" s="58" t="s">
        <v>33</v>
      </c>
      <c r="AE86" s="23"/>
    </row>
    <row r="87" ht="15" customHeight="1" spans="1:31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M87" s="27"/>
      <c r="N87" s="28"/>
      <c r="O87" s="27"/>
      <c r="P87" s="28"/>
      <c r="Q87" s="27"/>
      <c r="R87" s="28"/>
      <c r="S87" s="27"/>
      <c r="T87" s="28"/>
      <c r="U87" s="1"/>
      <c r="V87" s="28"/>
      <c r="W87" s="1"/>
      <c r="X87" s="28"/>
      <c r="Y87" s="1"/>
      <c r="Z87" s="1"/>
      <c r="AA87" s="29"/>
      <c r="AB87" s="21"/>
      <c r="AC87" s="21"/>
      <c r="AD87" s="21"/>
      <c r="AE87" s="23"/>
    </row>
    <row r="88" ht="15" customHeight="1" spans="1:31" x14ac:dyDescent="0.25">
      <c r="A88" s="59" t="s">
        <v>34</v>
      </c>
      <c r="B88" s="59"/>
      <c r="C88" s="60"/>
      <c r="D88" s="59"/>
      <c r="E88" s="59">
        <f>IFERROR(SUMIFS(E90:E109,D90:D109,"Produit Vente"),"Non trouvé")</f>
        <v>0</v>
      </c>
      <c r="F88" s="61"/>
      <c r="G88" s="61">
        <f>IFERROR(SUM(G90:G109),"Non Trouvé")</f>
        <v>0</v>
      </c>
      <c r="H88" s="61"/>
      <c r="I88" s="62"/>
      <c r="J88" s="61"/>
      <c r="K88" s="61"/>
      <c r="L88" s="61"/>
      <c r="M88" s="63">
        <f t="shared" ref="M88:Z88" si="38">SUM(M90:M109)</f>
        <v>0</v>
      </c>
      <c r="N88" s="64">
        <f t="shared" si="38"/>
        <v>0</v>
      </c>
      <c r="O88" s="63">
        <f t="shared" si="38"/>
        <v>0</v>
      </c>
      <c r="P88" s="64">
        <f t="shared" si="38"/>
        <v>0</v>
      </c>
      <c r="Q88" s="63">
        <f t="shared" si="38"/>
        <v>0</v>
      </c>
      <c r="R88" s="64">
        <f t="shared" si="38"/>
        <v>0</v>
      </c>
      <c r="S88" s="63">
        <f t="shared" si="38"/>
        <v>0</v>
      </c>
      <c r="T88" s="64">
        <f t="shared" si="38"/>
        <v>0</v>
      </c>
      <c r="U88" s="65">
        <f t="shared" si="38"/>
        <v>0</v>
      </c>
      <c r="V88" s="64">
        <f t="shared" si="38"/>
        <v>0</v>
      </c>
      <c r="W88" s="65">
        <f t="shared" si="38"/>
        <v>0</v>
      </c>
      <c r="X88" s="64">
        <f t="shared" si="38"/>
        <v>0</v>
      </c>
      <c r="Y88" s="65">
        <f t="shared" si="38"/>
        <v>0</v>
      </c>
      <c r="Z88" s="66">
        <f t="shared" si="38"/>
        <v>0</v>
      </c>
      <c r="AA88" s="67"/>
      <c r="AB88" s="68">
        <f>B77</f>
        <v>0</v>
      </c>
      <c r="AC88" s="69">
        <f>Y88+W88+U88+S88+O88+M88+Q88</f>
        <v>0</v>
      </c>
      <c r="AD88" s="70">
        <f>Z88+X88+V88+T88+P88+N88+R88</f>
        <v>0</v>
      </c>
      <c r="AE88" s="71"/>
    </row>
    <row r="89" ht="15" customHeight="1" spans="1:31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M89" s="27"/>
      <c r="N89" s="28"/>
      <c r="O89" s="27"/>
      <c r="P89" s="28"/>
      <c r="Q89" s="27"/>
      <c r="R89" s="28"/>
      <c r="S89" s="27"/>
      <c r="T89" s="28"/>
      <c r="U89" s="1"/>
      <c r="V89" s="28"/>
      <c r="W89" s="1"/>
      <c r="X89" s="28"/>
      <c r="Y89" s="1"/>
      <c r="Z89" s="1"/>
      <c r="AA89" s="29"/>
      <c r="AB89" s="21"/>
      <c r="AC89" s="21"/>
      <c r="AD89" s="21"/>
      <c r="AE89" s="23"/>
    </row>
    <row r="90" ht="15.75" customHeight="1" spans="1:31" x14ac:dyDescent="0.25">
      <c r="A90" s="72"/>
      <c r="B90" s="73">
        <f>IFERROR(VLOOKUP(A90,Mapping!$A:$F,2,FALSE),"")</f>
      </c>
      <c r="C90" s="74">
        <f>IFERROR(VLOOKUP(A90,Mapping!$A:$F,3,FALSE),"")</f>
      </c>
      <c r="D90" s="75"/>
      <c r="E90" s="76"/>
      <c r="F90" s="77">
        <f>IFERROR(VLOOKUP(A90,Mapping!$A:$F,4,FALSE),0)</f>
        <v>0</v>
      </c>
      <c r="G90" s="78">
        <f t="shared" ref="G90:G109" si="39">E90*F90</f>
        <v>0</v>
      </c>
      <c r="H90" s="77">
        <f>IFERROR(VLOOKUP(A90,Mapping!$A:$F,5,FALSE),0)</f>
        <v>0</v>
      </c>
      <c r="I90" s="79"/>
      <c r="J90" s="77">
        <f>IFERROR(VLOOKUP(A90,Mapping!$A:$F,6,FALSE),0)</f>
        <v>0</v>
      </c>
      <c r="K90" s="80">
        <f t="shared" ref="K90:K102" si="40">J90*(1-I90)</f>
        <v>0</v>
      </c>
      <c r="L90" s="81">
        <f t="shared" ref="L90:L102" si="41">IFERROR(J90-K90,"")</f>
        <v>0</v>
      </c>
      <c r="M90" s="82">
        <f t="shared" ref="M90:M109" si="42">E90*H90*(1-I90)*$N$84*(1-$N$83)</f>
        <v>0</v>
      </c>
      <c r="N90" s="28">
        <f t="shared" ref="N90:N109" si="43">M90-E90*F90*$N$84</f>
        <v>0</v>
      </c>
      <c r="O90" s="82">
        <f t="shared" ref="O90:O109" si="44">E90*H90*(1-I90)*$P$84*(1-$P$83)</f>
        <v>0</v>
      </c>
      <c r="P90" s="28">
        <f t="shared" ref="P90:P109" si="45">O90-E90*F90*$P$84</f>
        <v>0</v>
      </c>
      <c r="Q90" s="82">
        <f t="shared" ref="Q90:Q109" si="46">E90*H90*(1-I90)*$R$84*(1-$R$83)</f>
        <v>0</v>
      </c>
      <c r="R90" s="28">
        <f t="shared" ref="R90:R109" si="47">Q90-E90*F90*$R$84</f>
        <v>0</v>
      </c>
      <c r="S90" s="82">
        <f t="shared" ref="S90:S109" si="48">E90*H90*(1-I90)*$T$84*(1-$T$83)</f>
        <v>0</v>
      </c>
      <c r="T90" s="28">
        <f t="shared" ref="T90:T109" si="49">S90-E90*F90*$T$84</f>
        <v>0</v>
      </c>
      <c r="U90" s="83">
        <f t="shared" ref="U90:U109" si="50">E90*H90*(1-I90)*$V$84*(1-$V$83)</f>
        <v>0</v>
      </c>
      <c r="V90" s="28">
        <f t="shared" ref="V90:V109" si="51">U90-E90*F90*$V$84</f>
        <v>0</v>
      </c>
      <c r="W90" s="80">
        <f t="shared" ref="W90:W109" si="52">E90*H90*(1-I90)*$X$84*(1-$X$83)</f>
        <v>0</v>
      </c>
      <c r="X90" s="28">
        <f t="shared" ref="X90:X109" si="53">W90-E90*F90*$X$84</f>
        <v>0</v>
      </c>
      <c r="Y90" s="81">
        <f t="shared" ref="Y90:Y109" si="54">E90*H90*(1-I90)*$Z$84*(1-$Z$83)</f>
        <v>0</v>
      </c>
      <c r="Z90" s="1">
        <f t="shared" ref="Z90:Z109" si="55">Y90-E90*F90*$Z$84</f>
        <v>0</v>
      </c>
      <c r="AA90" s="84"/>
      <c r="AB90" s="85"/>
      <c r="AC90" s="86"/>
      <c r="AD90" s="86"/>
      <c r="AE90" s="87"/>
    </row>
    <row r="91" ht="15.75" customHeight="1" spans="1:31" x14ac:dyDescent="0.25">
      <c r="A91" s="72"/>
      <c r="B91" s="73">
        <f>IFERROR(VLOOKUP(A91,Mapping!$A:$F,2,FALSE),"")</f>
      </c>
      <c r="C91" s="74">
        <f>IFERROR(VLOOKUP(A91,Mapping!$A:$F,3,FALSE),"")</f>
      </c>
      <c r="D91" s="75"/>
      <c r="E91" s="76"/>
      <c r="F91" s="77">
        <f>IFERROR(VLOOKUP(A91,Mapping!$A:$F,4,FALSE),0)</f>
        <v>0</v>
      </c>
      <c r="G91" s="78">
        <f t="shared" si="39"/>
        <v>0</v>
      </c>
      <c r="H91" s="77">
        <f>IFERROR(VLOOKUP(A91,Mapping!$A:$F,5,FALSE),0)</f>
        <v>0</v>
      </c>
      <c r="I91" s="79"/>
      <c r="J91" s="77">
        <f>IFERROR(VLOOKUP(A91,Mapping!$A:$F,6,FALSE),0)</f>
        <v>0</v>
      </c>
      <c r="K91" s="80">
        <f t="shared" si="40"/>
        <v>0</v>
      </c>
      <c r="L91" s="81">
        <f t="shared" si="41"/>
        <v>0</v>
      </c>
      <c r="M91" s="82">
        <f t="shared" si="42"/>
        <v>0</v>
      </c>
      <c r="N91" s="28">
        <f t="shared" si="43"/>
        <v>0</v>
      </c>
      <c r="O91" s="82">
        <f t="shared" si="44"/>
        <v>0</v>
      </c>
      <c r="P91" s="28">
        <f t="shared" si="45"/>
        <v>0</v>
      </c>
      <c r="Q91" s="82">
        <f t="shared" si="46"/>
        <v>0</v>
      </c>
      <c r="R91" s="28">
        <f t="shared" si="47"/>
        <v>0</v>
      </c>
      <c r="S91" s="82">
        <f t="shared" si="48"/>
        <v>0</v>
      </c>
      <c r="T91" s="28">
        <f t="shared" si="49"/>
        <v>0</v>
      </c>
      <c r="U91" s="83">
        <f t="shared" si="50"/>
        <v>0</v>
      </c>
      <c r="V91" s="28">
        <f t="shared" si="51"/>
        <v>0</v>
      </c>
      <c r="W91" s="80">
        <f t="shared" si="52"/>
        <v>0</v>
      </c>
      <c r="X91" s="28">
        <f t="shared" si="53"/>
        <v>0</v>
      </c>
      <c r="Y91" s="81">
        <f t="shared" si="54"/>
        <v>0</v>
      </c>
      <c r="Z91" s="1">
        <f t="shared" si="55"/>
        <v>0</v>
      </c>
      <c r="AA91" s="88"/>
      <c r="AB91" s="89"/>
      <c r="AC91" s="90" t="s">
        <v>35</v>
      </c>
      <c r="AD91" s="91" t="e">
        <f>AC88/AB88</f>
        <v>#DIV/0!</v>
      </c>
      <c r="AE91" s="87"/>
    </row>
    <row r="92" ht="15.75" customHeight="1" spans="1:31" x14ac:dyDescent="0.25">
      <c r="A92" s="72"/>
      <c r="B92" s="73">
        <f>IFERROR(VLOOKUP(A92,Mapping!$A:$F,2,FALSE),"")</f>
      </c>
      <c r="C92" s="74">
        <f>IFERROR(VLOOKUP(A92,Mapping!$A:$F,3,FALSE),"")</f>
      </c>
      <c r="D92" s="75"/>
      <c r="E92" s="76"/>
      <c r="F92" s="77">
        <f>IFERROR(VLOOKUP(A92,Mapping!$A:$F,4,FALSE),0)</f>
        <v>0</v>
      </c>
      <c r="G92" s="78">
        <f t="shared" si="39"/>
        <v>0</v>
      </c>
      <c r="H92" s="77">
        <f>IFERROR(VLOOKUP(A92,Mapping!$A:$F,5,FALSE),0)</f>
        <v>0</v>
      </c>
      <c r="I92" s="79"/>
      <c r="J92" s="77">
        <f>IFERROR(VLOOKUP(A92,Mapping!$A:$F,6,FALSE),0)</f>
        <v>0</v>
      </c>
      <c r="K92" s="80">
        <f t="shared" si="40"/>
        <v>0</v>
      </c>
      <c r="L92" s="81">
        <f t="shared" si="41"/>
        <v>0</v>
      </c>
      <c r="M92" s="82">
        <f t="shared" si="42"/>
        <v>0</v>
      </c>
      <c r="N92" s="28">
        <f t="shared" si="43"/>
        <v>0</v>
      </c>
      <c r="O92" s="82">
        <f t="shared" si="44"/>
        <v>0</v>
      </c>
      <c r="P92" s="28">
        <f t="shared" si="45"/>
        <v>0</v>
      </c>
      <c r="Q92" s="82">
        <f t="shared" si="46"/>
        <v>0</v>
      </c>
      <c r="R92" s="28">
        <f t="shared" si="47"/>
        <v>0</v>
      </c>
      <c r="S92" s="82">
        <f t="shared" si="48"/>
        <v>0</v>
      </c>
      <c r="T92" s="28">
        <f t="shared" si="49"/>
        <v>0</v>
      </c>
      <c r="U92" s="83">
        <f t="shared" si="50"/>
        <v>0</v>
      </c>
      <c r="V92" s="28">
        <f t="shared" si="51"/>
        <v>0</v>
      </c>
      <c r="W92" s="80">
        <f t="shared" si="52"/>
        <v>0</v>
      </c>
      <c r="X92" s="28">
        <f t="shared" si="53"/>
        <v>0</v>
      </c>
      <c r="Y92" s="81">
        <f t="shared" si="54"/>
        <v>0</v>
      </c>
      <c r="Z92" s="1">
        <f t="shared" si="55"/>
        <v>0</v>
      </c>
      <c r="AA92" s="88"/>
      <c r="AB92" s="89"/>
      <c r="AC92" s="90" t="s">
        <v>36</v>
      </c>
      <c r="AD92" s="92" t="e">
        <f>SUM(AD94:AD97)</f>
        <v>#DIV/0!</v>
      </c>
      <c r="AE92" s="87"/>
    </row>
    <row r="93" ht="15" customHeight="1" spans="1:31" x14ac:dyDescent="0.25">
      <c r="A93" s="72"/>
      <c r="B93" s="73">
        <f>IFERROR(VLOOKUP(A93,Mapping!$A:$F,2,FALSE),"")</f>
      </c>
      <c r="C93" s="74">
        <f>IFERROR(VLOOKUP(A93,Mapping!$A:$F,3,FALSE),"")</f>
      </c>
      <c r="D93" s="75"/>
      <c r="E93" s="76"/>
      <c r="F93" s="77">
        <f>IFERROR(VLOOKUP(A93,Mapping!$A:$F,4,FALSE),0)</f>
        <v>0</v>
      </c>
      <c r="G93" s="78">
        <f t="shared" si="39"/>
        <v>0</v>
      </c>
      <c r="H93" s="77">
        <f>IFERROR(VLOOKUP(A93,Mapping!$A:$F,5,FALSE),0)</f>
        <v>0</v>
      </c>
      <c r="I93" s="79"/>
      <c r="J93" s="77">
        <f>IFERROR(VLOOKUP(A93,Mapping!$A:$F,6,FALSE),0)</f>
        <v>0</v>
      </c>
      <c r="K93" s="80">
        <f t="shared" si="40"/>
        <v>0</v>
      </c>
      <c r="L93" s="81">
        <f t="shared" si="41"/>
        <v>0</v>
      </c>
      <c r="M93" s="82">
        <f t="shared" si="42"/>
        <v>0</v>
      </c>
      <c r="N93" s="28">
        <f t="shared" si="43"/>
        <v>0</v>
      </c>
      <c r="O93" s="82">
        <f t="shared" si="44"/>
        <v>0</v>
      </c>
      <c r="P93" s="28">
        <f t="shared" si="45"/>
        <v>0</v>
      </c>
      <c r="Q93" s="82">
        <f t="shared" si="46"/>
        <v>0</v>
      </c>
      <c r="R93" s="28">
        <f t="shared" si="47"/>
        <v>0</v>
      </c>
      <c r="S93" s="82">
        <f t="shared" si="48"/>
        <v>0</v>
      </c>
      <c r="T93" s="28">
        <f t="shared" si="49"/>
        <v>0</v>
      </c>
      <c r="U93" s="83">
        <f t="shared" si="50"/>
        <v>0</v>
      </c>
      <c r="V93" s="28">
        <f t="shared" si="51"/>
        <v>0</v>
      </c>
      <c r="W93" s="80">
        <f t="shared" si="52"/>
        <v>0</v>
      </c>
      <c r="X93" s="28">
        <f t="shared" si="53"/>
        <v>0</v>
      </c>
      <c r="Y93" s="81">
        <f t="shared" si="54"/>
        <v>0</v>
      </c>
      <c r="Z93" s="1">
        <f t="shared" si="55"/>
        <v>0</v>
      </c>
      <c r="AA93" s="84"/>
      <c r="AB93" s="85"/>
      <c r="AC93" s="86"/>
      <c r="AD93" s="86"/>
      <c r="AE93" s="87"/>
    </row>
    <row r="94" ht="15" customHeight="1" spans="1:31" x14ac:dyDescent="0.25">
      <c r="A94" s="72"/>
      <c r="B94" s="73">
        <f>IFERROR(VLOOKUP(A94,Mapping!$A:$F,2,FALSE),"")</f>
      </c>
      <c r="C94" s="74">
        <f>IFERROR(VLOOKUP(A94,Mapping!$A:$F,3,FALSE),"")</f>
      </c>
      <c r="D94" s="75"/>
      <c r="E94" s="76"/>
      <c r="F94" s="77">
        <f>IFERROR(VLOOKUP(A94,Mapping!$A:$F,4,FALSE),0)</f>
        <v>0</v>
      </c>
      <c r="G94" s="78">
        <f t="shared" si="39"/>
        <v>0</v>
      </c>
      <c r="H94" s="77">
        <f>IFERROR(VLOOKUP(A94,Mapping!$A:$F,5,FALSE),0)</f>
        <v>0</v>
      </c>
      <c r="I94" s="79"/>
      <c r="J94" s="77">
        <f>IFERROR(VLOOKUP(A94,Mapping!$A:$F,6,FALSE),0)</f>
        <v>0</v>
      </c>
      <c r="K94" s="80">
        <f t="shared" si="40"/>
        <v>0</v>
      </c>
      <c r="L94" s="81">
        <f t="shared" si="41"/>
        <v>0</v>
      </c>
      <c r="M94" s="82">
        <f t="shared" si="42"/>
        <v>0</v>
      </c>
      <c r="N94" s="28">
        <f t="shared" si="43"/>
        <v>0</v>
      </c>
      <c r="O94" s="82">
        <f t="shared" si="44"/>
        <v>0</v>
      </c>
      <c r="P94" s="28">
        <f t="shared" si="45"/>
        <v>0</v>
      </c>
      <c r="Q94" s="82">
        <f t="shared" si="46"/>
        <v>0</v>
      </c>
      <c r="R94" s="28">
        <f t="shared" si="47"/>
        <v>0</v>
      </c>
      <c r="S94" s="82">
        <f t="shared" si="48"/>
        <v>0</v>
      </c>
      <c r="T94" s="28">
        <f t="shared" si="49"/>
        <v>0</v>
      </c>
      <c r="U94" s="83">
        <f t="shared" si="50"/>
        <v>0</v>
      </c>
      <c r="V94" s="28">
        <f t="shared" si="51"/>
        <v>0</v>
      </c>
      <c r="W94" s="80">
        <f t="shared" si="52"/>
        <v>0</v>
      </c>
      <c r="X94" s="28">
        <f t="shared" si="53"/>
        <v>0</v>
      </c>
      <c r="Y94" s="81">
        <f t="shared" si="54"/>
        <v>0</v>
      </c>
      <c r="Z94" s="1">
        <f t="shared" si="55"/>
        <v>0</v>
      </c>
      <c r="AA94" s="84"/>
      <c r="AB94" s="85"/>
      <c r="AC94" s="93" t="s">
        <v>37</v>
      </c>
      <c r="AD94" s="94" t="e">
        <f>SUMIF($D$90:$D$109,AC94,$G$90:$G$109)/$AC$88</f>
        <v>#DIV/0!</v>
      </c>
      <c r="AE94" s="87"/>
    </row>
    <row r="95" ht="15" customHeight="1" spans="1:31" x14ac:dyDescent="0.25">
      <c r="A95" s="72"/>
      <c r="B95" s="73">
        <f>IFERROR(VLOOKUP(A95,Mapping!$A:$F,2,FALSE),"")</f>
      </c>
      <c r="C95" s="74">
        <f>IFERROR(VLOOKUP(A95,Mapping!$A:$F,3,FALSE),"")</f>
      </c>
      <c r="D95" s="75"/>
      <c r="E95" s="76"/>
      <c r="F95" s="77">
        <f>IFERROR(VLOOKUP(A95,Mapping!$A:$F,4,FALSE),0)</f>
        <v>0</v>
      </c>
      <c r="G95" s="78">
        <f t="shared" si="39"/>
        <v>0</v>
      </c>
      <c r="H95" s="77">
        <f>IFERROR(VLOOKUP(A95,Mapping!$A:$F,5,FALSE),0)</f>
        <v>0</v>
      </c>
      <c r="I95" s="79"/>
      <c r="J95" s="77">
        <f>IFERROR(VLOOKUP(A95,Mapping!$A:$F,6,FALSE),0)</f>
        <v>0</v>
      </c>
      <c r="K95" s="80">
        <f t="shared" si="40"/>
        <v>0</v>
      </c>
      <c r="L95" s="81">
        <f t="shared" si="41"/>
        <v>0</v>
      </c>
      <c r="M95" s="82">
        <f t="shared" si="42"/>
        <v>0</v>
      </c>
      <c r="N95" s="28">
        <f t="shared" si="43"/>
        <v>0</v>
      </c>
      <c r="O95" s="82">
        <f t="shared" si="44"/>
        <v>0</v>
      </c>
      <c r="P95" s="28">
        <f t="shared" si="45"/>
        <v>0</v>
      </c>
      <c r="Q95" s="82">
        <f t="shared" si="46"/>
        <v>0</v>
      </c>
      <c r="R95" s="28">
        <f t="shared" si="47"/>
        <v>0</v>
      </c>
      <c r="S95" s="82">
        <f t="shared" si="48"/>
        <v>0</v>
      </c>
      <c r="T95" s="28">
        <f t="shared" si="49"/>
        <v>0</v>
      </c>
      <c r="U95" s="83">
        <f t="shared" si="50"/>
        <v>0</v>
      </c>
      <c r="V95" s="28">
        <f t="shared" si="51"/>
        <v>0</v>
      </c>
      <c r="W95" s="80">
        <f t="shared" si="52"/>
        <v>0</v>
      </c>
      <c r="X95" s="28">
        <f t="shared" si="53"/>
        <v>0</v>
      </c>
      <c r="Y95" s="81">
        <f t="shared" si="54"/>
        <v>0</v>
      </c>
      <c r="Z95" s="1">
        <f t="shared" si="55"/>
        <v>0</v>
      </c>
      <c r="AA95" s="84"/>
      <c r="AB95" s="85"/>
      <c r="AC95" s="93" t="s">
        <v>38</v>
      </c>
      <c r="AD95" s="94" t="e">
        <f t="shared" ref="AD95:AD97" si="56">SUMIF($D$90:$D$109,AC95,$G$90:$G$109)/$AC$88</f>
        <v>#DIV/0!</v>
      </c>
      <c r="AE95" s="87"/>
    </row>
    <row r="96" ht="15" customHeight="1" spans="1:31" x14ac:dyDescent="0.25">
      <c r="A96" s="72"/>
      <c r="B96" s="73">
        <f>IFERROR(VLOOKUP(A96,Mapping!$A:$F,2,FALSE),"")</f>
      </c>
      <c r="C96" s="74">
        <f>IFERROR(VLOOKUP(A96,Mapping!$A:$F,3,FALSE),"")</f>
      </c>
      <c r="D96" s="75"/>
      <c r="E96" s="76"/>
      <c r="F96" s="77">
        <f>IFERROR(VLOOKUP(A96,Mapping!$A:$F,4,FALSE),0)</f>
        <v>0</v>
      </c>
      <c r="G96" s="78">
        <f t="shared" si="39"/>
        <v>0</v>
      </c>
      <c r="H96" s="77">
        <f>IFERROR(VLOOKUP(A96,Mapping!$A:$F,5,FALSE),0)</f>
        <v>0</v>
      </c>
      <c r="I96" s="79"/>
      <c r="J96" s="77">
        <f>IFERROR(VLOOKUP(A96,Mapping!$A:$F,6,FALSE),0)</f>
        <v>0</v>
      </c>
      <c r="K96" s="80">
        <f t="shared" si="40"/>
        <v>0</v>
      </c>
      <c r="L96" s="81">
        <f t="shared" si="41"/>
        <v>0</v>
      </c>
      <c r="M96" s="82">
        <f t="shared" si="42"/>
        <v>0</v>
      </c>
      <c r="N96" s="28">
        <f t="shared" si="43"/>
        <v>0</v>
      </c>
      <c r="O96" s="82">
        <f t="shared" si="44"/>
        <v>0</v>
      </c>
      <c r="P96" s="28">
        <f t="shared" si="45"/>
        <v>0</v>
      </c>
      <c r="Q96" s="82">
        <f t="shared" si="46"/>
        <v>0</v>
      </c>
      <c r="R96" s="28">
        <f t="shared" si="47"/>
        <v>0</v>
      </c>
      <c r="S96" s="82">
        <f t="shared" si="48"/>
        <v>0</v>
      </c>
      <c r="T96" s="28">
        <f t="shared" si="49"/>
        <v>0</v>
      </c>
      <c r="U96" s="83">
        <f t="shared" si="50"/>
        <v>0</v>
      </c>
      <c r="V96" s="28">
        <f t="shared" si="51"/>
        <v>0</v>
      </c>
      <c r="W96" s="80">
        <f t="shared" si="52"/>
        <v>0</v>
      </c>
      <c r="X96" s="28">
        <f t="shared" si="53"/>
        <v>0</v>
      </c>
      <c r="Y96" s="81">
        <f t="shared" si="54"/>
        <v>0</v>
      </c>
      <c r="Z96" s="1">
        <f t="shared" si="55"/>
        <v>0</v>
      </c>
      <c r="AA96" s="84"/>
      <c r="AB96" s="85"/>
      <c r="AC96" s="93" t="s">
        <v>39</v>
      </c>
      <c r="AD96" s="94" t="e">
        <f t="shared" si="56"/>
        <v>#DIV/0!</v>
      </c>
      <c r="AE96" s="87"/>
    </row>
    <row r="97" ht="15" customHeight="1" spans="1:31" x14ac:dyDescent="0.25">
      <c r="A97" s="72"/>
      <c r="B97" s="73">
        <f>IFERROR(VLOOKUP(A97,Mapping!$A:$F,2,FALSE),"")</f>
      </c>
      <c r="C97" s="74">
        <f>IFERROR(VLOOKUP(A97,Mapping!$A:$F,3,FALSE),"")</f>
      </c>
      <c r="D97" s="75"/>
      <c r="E97" s="76"/>
      <c r="F97" s="77">
        <f>IFERROR(VLOOKUP(A97,Mapping!$A:$F,4,FALSE),0)</f>
        <v>0</v>
      </c>
      <c r="G97" s="78">
        <f t="shared" si="39"/>
        <v>0</v>
      </c>
      <c r="H97" s="77">
        <f>IFERROR(VLOOKUP(A97,Mapping!$A:$F,5,FALSE),0)</f>
        <v>0</v>
      </c>
      <c r="I97" s="79"/>
      <c r="J97" s="77">
        <f>IFERROR(VLOOKUP(A97,Mapping!$A:$F,6,FALSE),0)</f>
        <v>0</v>
      </c>
      <c r="K97" s="80">
        <f t="shared" si="40"/>
        <v>0</v>
      </c>
      <c r="L97" s="81">
        <f t="shared" si="41"/>
        <v>0</v>
      </c>
      <c r="M97" s="82">
        <f t="shared" si="42"/>
        <v>0</v>
      </c>
      <c r="N97" s="28">
        <f t="shared" si="43"/>
        <v>0</v>
      </c>
      <c r="O97" s="82">
        <f t="shared" si="44"/>
        <v>0</v>
      </c>
      <c r="P97" s="28">
        <f t="shared" si="45"/>
        <v>0</v>
      </c>
      <c r="Q97" s="82">
        <f t="shared" si="46"/>
        <v>0</v>
      </c>
      <c r="R97" s="28">
        <f t="shared" si="47"/>
        <v>0</v>
      </c>
      <c r="S97" s="82">
        <f t="shared" si="48"/>
        <v>0</v>
      </c>
      <c r="T97" s="28">
        <f t="shared" si="49"/>
        <v>0</v>
      </c>
      <c r="U97" s="83">
        <f t="shared" si="50"/>
        <v>0</v>
      </c>
      <c r="V97" s="28">
        <f t="shared" si="51"/>
        <v>0</v>
      </c>
      <c r="W97" s="80">
        <f t="shared" si="52"/>
        <v>0</v>
      </c>
      <c r="X97" s="28">
        <f t="shared" si="53"/>
        <v>0</v>
      </c>
      <c r="Y97" s="81">
        <f t="shared" si="54"/>
        <v>0</v>
      </c>
      <c r="Z97" s="1">
        <f t="shared" si="55"/>
        <v>0</v>
      </c>
      <c r="AA97" s="84"/>
      <c r="AB97" s="85"/>
      <c r="AC97" s="93" t="s">
        <v>40</v>
      </c>
      <c r="AD97" s="94" t="e">
        <f t="shared" si="56"/>
        <v>#DIV/0!</v>
      </c>
      <c r="AE97" s="87"/>
    </row>
    <row r="98" ht="15" customHeight="1" spans="1:31" x14ac:dyDescent="0.25">
      <c r="A98" s="72"/>
      <c r="B98" s="73">
        <f>IFERROR(VLOOKUP(A98,Mapping!$A:$F,2,FALSE),"")</f>
      </c>
      <c r="C98" s="74">
        <f>IFERROR(VLOOKUP(A98,Mapping!$A:$F,3,FALSE),"")</f>
      </c>
      <c r="D98" s="75"/>
      <c r="E98" s="76"/>
      <c r="F98" s="77">
        <f>IFERROR(VLOOKUP(A98,Mapping!$A:$F,4,FALSE),0)</f>
        <v>0</v>
      </c>
      <c r="G98" s="78">
        <f t="shared" si="39"/>
        <v>0</v>
      </c>
      <c r="H98" s="77">
        <f>IFERROR(VLOOKUP(A98,Mapping!$A:$F,5,FALSE),0)</f>
        <v>0</v>
      </c>
      <c r="I98" s="79"/>
      <c r="J98" s="77">
        <f>IFERROR(VLOOKUP(A98,Mapping!$A:$F,6,FALSE),0)</f>
        <v>0</v>
      </c>
      <c r="K98" s="80">
        <f t="shared" si="40"/>
        <v>0</v>
      </c>
      <c r="L98" s="81">
        <f t="shared" si="41"/>
        <v>0</v>
      </c>
      <c r="M98" s="82">
        <f t="shared" si="42"/>
        <v>0</v>
      </c>
      <c r="N98" s="28">
        <f t="shared" si="43"/>
        <v>0</v>
      </c>
      <c r="O98" s="82">
        <f t="shared" si="44"/>
        <v>0</v>
      </c>
      <c r="P98" s="28">
        <f t="shared" si="45"/>
        <v>0</v>
      </c>
      <c r="Q98" s="82">
        <f t="shared" si="46"/>
        <v>0</v>
      </c>
      <c r="R98" s="28">
        <f t="shared" si="47"/>
        <v>0</v>
      </c>
      <c r="S98" s="82">
        <f t="shared" si="48"/>
        <v>0</v>
      </c>
      <c r="T98" s="28">
        <f t="shared" si="49"/>
        <v>0</v>
      </c>
      <c r="U98" s="83">
        <f t="shared" si="50"/>
        <v>0</v>
      </c>
      <c r="V98" s="28">
        <f t="shared" si="51"/>
        <v>0</v>
      </c>
      <c r="W98" s="80">
        <f t="shared" si="52"/>
        <v>0</v>
      </c>
      <c r="X98" s="28">
        <f t="shared" si="53"/>
        <v>0</v>
      </c>
      <c r="Y98" s="81">
        <f t="shared" si="54"/>
        <v>0</v>
      </c>
      <c r="Z98" s="1">
        <f t="shared" si="55"/>
        <v>0</v>
      </c>
      <c r="AA98" s="84"/>
      <c r="AB98" s="85"/>
      <c r="AC98" s="86"/>
      <c r="AD98" s="86"/>
      <c r="AE98" s="87"/>
    </row>
    <row r="99" ht="15" customHeight="1" spans="1:31" x14ac:dyDescent="0.25">
      <c r="A99" s="72"/>
      <c r="B99" s="73">
        <f>IFERROR(VLOOKUP(A99,Mapping!$A:$F,2,FALSE),"")</f>
      </c>
      <c r="C99" s="74">
        <f>IFERROR(VLOOKUP(A99,Mapping!$A:$F,3,FALSE),"")</f>
      </c>
      <c r="D99" s="75"/>
      <c r="E99" s="76"/>
      <c r="F99" s="77">
        <f>IFERROR(VLOOKUP(A99,Mapping!$A:$F,4,FALSE),0)</f>
        <v>0</v>
      </c>
      <c r="G99" s="78">
        <f t="shared" si="39"/>
        <v>0</v>
      </c>
      <c r="H99" s="77">
        <f>IFERROR(VLOOKUP(A99,Mapping!$A:$F,5,FALSE),0)</f>
        <v>0</v>
      </c>
      <c r="I99" s="79"/>
      <c r="J99" s="77">
        <f>IFERROR(VLOOKUP(A99,Mapping!$A:$F,6,FALSE),0)</f>
        <v>0</v>
      </c>
      <c r="K99" s="80">
        <f t="shared" si="40"/>
        <v>0</v>
      </c>
      <c r="L99" s="81">
        <f t="shared" si="41"/>
        <v>0</v>
      </c>
      <c r="M99" s="82">
        <f t="shared" si="42"/>
        <v>0</v>
      </c>
      <c r="N99" s="28">
        <f t="shared" si="43"/>
        <v>0</v>
      </c>
      <c r="O99" s="82">
        <f t="shared" si="44"/>
        <v>0</v>
      </c>
      <c r="P99" s="28">
        <f t="shared" si="45"/>
        <v>0</v>
      </c>
      <c r="Q99" s="82">
        <f t="shared" si="46"/>
        <v>0</v>
      </c>
      <c r="R99" s="28">
        <f t="shared" si="47"/>
        <v>0</v>
      </c>
      <c r="S99" s="82">
        <f t="shared" si="48"/>
        <v>0</v>
      </c>
      <c r="T99" s="28">
        <f t="shared" si="49"/>
        <v>0</v>
      </c>
      <c r="U99" s="83">
        <f t="shared" si="50"/>
        <v>0</v>
      </c>
      <c r="V99" s="28">
        <f t="shared" si="51"/>
        <v>0</v>
      </c>
      <c r="W99" s="80">
        <f t="shared" si="52"/>
        <v>0</v>
      </c>
      <c r="X99" s="28">
        <f t="shared" si="53"/>
        <v>0</v>
      </c>
      <c r="Y99" s="81">
        <f t="shared" si="54"/>
        <v>0</v>
      </c>
      <c r="Z99" s="1">
        <f t="shared" si="55"/>
        <v>0</v>
      </c>
      <c r="AA99" s="84"/>
      <c r="AB99" s="85"/>
      <c r="AC99" s="86"/>
      <c r="AD99" s="86"/>
      <c r="AE99" s="87"/>
    </row>
    <row r="100" ht="15" customHeight="1" spans="1:31" x14ac:dyDescent="0.25">
      <c r="A100" s="72"/>
      <c r="B100" s="73">
        <f>IFERROR(VLOOKUP(A100,Mapping!$A:$F,2,FALSE),"")</f>
      </c>
      <c r="C100" s="74">
        <f>IFERROR(VLOOKUP(A100,Mapping!$A:$F,3,FALSE),"")</f>
      </c>
      <c r="D100" s="75"/>
      <c r="E100" s="76"/>
      <c r="F100" s="77">
        <f>IFERROR(VLOOKUP(A100,Mapping!$A:$F,4,FALSE),0)</f>
        <v>0</v>
      </c>
      <c r="G100" s="78">
        <f t="shared" si="39"/>
        <v>0</v>
      </c>
      <c r="H100" s="77">
        <f>IFERROR(VLOOKUP(A100,Mapping!$A:$F,5,FALSE),0)</f>
        <v>0</v>
      </c>
      <c r="I100" s="79"/>
      <c r="J100" s="77">
        <f>IFERROR(VLOOKUP(A100,Mapping!$A:$F,6,FALSE),0)</f>
        <v>0</v>
      </c>
      <c r="K100" s="80">
        <f t="shared" si="40"/>
        <v>0</v>
      </c>
      <c r="L100" s="81">
        <f t="shared" si="41"/>
        <v>0</v>
      </c>
      <c r="M100" s="82">
        <f t="shared" si="42"/>
        <v>0</v>
      </c>
      <c r="N100" s="28">
        <f t="shared" si="43"/>
        <v>0</v>
      </c>
      <c r="O100" s="82">
        <f t="shared" si="44"/>
        <v>0</v>
      </c>
      <c r="P100" s="28">
        <f t="shared" si="45"/>
        <v>0</v>
      </c>
      <c r="Q100" s="82">
        <f t="shared" si="46"/>
        <v>0</v>
      </c>
      <c r="R100" s="28">
        <f t="shared" si="47"/>
        <v>0</v>
      </c>
      <c r="S100" s="82">
        <f t="shared" si="48"/>
        <v>0</v>
      </c>
      <c r="T100" s="28">
        <f t="shared" si="49"/>
        <v>0</v>
      </c>
      <c r="U100" s="83">
        <f t="shared" si="50"/>
        <v>0</v>
      </c>
      <c r="V100" s="28">
        <f t="shared" si="51"/>
        <v>0</v>
      </c>
      <c r="W100" s="80">
        <f t="shared" si="52"/>
        <v>0</v>
      </c>
      <c r="X100" s="28">
        <f t="shared" si="53"/>
        <v>0</v>
      </c>
      <c r="Y100" s="81">
        <f t="shared" si="54"/>
        <v>0</v>
      </c>
      <c r="Z100" s="1">
        <f t="shared" si="55"/>
        <v>0</v>
      </c>
      <c r="AA100" s="84"/>
      <c r="AB100" s="85"/>
      <c r="AC100" s="86"/>
      <c r="AD100" s="86"/>
      <c r="AE100" s="87"/>
    </row>
    <row r="101" ht="15" customHeight="1" spans="1:31" x14ac:dyDescent="0.25">
      <c r="A101" s="72"/>
      <c r="B101" s="73">
        <f>IFERROR(VLOOKUP(A101,Mapping!$A:$F,2,FALSE),"")</f>
      </c>
      <c r="C101" s="74">
        <f>IFERROR(VLOOKUP(A101,Mapping!$A:$F,3,FALSE),"")</f>
      </c>
      <c r="D101" s="75"/>
      <c r="E101" s="76"/>
      <c r="F101" s="77">
        <f>IFERROR(VLOOKUP(A101,Mapping!$A:$F,4,FALSE),0)</f>
        <v>0</v>
      </c>
      <c r="G101" s="78">
        <f t="shared" si="39"/>
        <v>0</v>
      </c>
      <c r="H101" s="77">
        <f>IFERROR(VLOOKUP(A101,Mapping!$A:$F,5,FALSE),0)</f>
        <v>0</v>
      </c>
      <c r="I101" s="79"/>
      <c r="J101" s="77">
        <f>IFERROR(VLOOKUP(A101,Mapping!$A:$F,6,FALSE),0)</f>
        <v>0</v>
      </c>
      <c r="K101" s="80">
        <f t="shared" si="40"/>
        <v>0</v>
      </c>
      <c r="L101" s="81">
        <f t="shared" si="41"/>
        <v>0</v>
      </c>
      <c r="M101" s="82">
        <f t="shared" si="42"/>
        <v>0</v>
      </c>
      <c r="N101" s="28">
        <f t="shared" si="43"/>
        <v>0</v>
      </c>
      <c r="O101" s="82">
        <f t="shared" si="44"/>
        <v>0</v>
      </c>
      <c r="P101" s="28">
        <f t="shared" si="45"/>
        <v>0</v>
      </c>
      <c r="Q101" s="82">
        <f t="shared" si="46"/>
        <v>0</v>
      </c>
      <c r="R101" s="28">
        <f t="shared" si="47"/>
        <v>0</v>
      </c>
      <c r="S101" s="82">
        <f t="shared" si="48"/>
        <v>0</v>
      </c>
      <c r="T101" s="28">
        <f t="shared" si="49"/>
        <v>0</v>
      </c>
      <c r="U101" s="83">
        <f t="shared" si="50"/>
        <v>0</v>
      </c>
      <c r="V101" s="28">
        <f t="shared" si="51"/>
        <v>0</v>
      </c>
      <c r="W101" s="80">
        <f t="shared" si="52"/>
        <v>0</v>
      </c>
      <c r="X101" s="28">
        <f t="shared" si="53"/>
        <v>0</v>
      </c>
      <c r="Y101" s="81">
        <f t="shared" si="54"/>
        <v>0</v>
      </c>
      <c r="Z101" s="1">
        <f t="shared" si="55"/>
        <v>0</v>
      </c>
      <c r="AA101" s="84"/>
      <c r="AB101" s="85"/>
      <c r="AC101" s="86"/>
      <c r="AD101" s="86"/>
      <c r="AE101" s="87"/>
    </row>
    <row r="102" ht="15" customHeight="1" spans="1:31" x14ac:dyDescent="0.25">
      <c r="A102" s="72"/>
      <c r="B102" s="73">
        <f>IFERROR(VLOOKUP(A102,Mapping!$A:$F,2,FALSE),"")</f>
      </c>
      <c r="C102" s="74">
        <f>IFERROR(VLOOKUP(A102,Mapping!$A:$F,3,FALSE),"")</f>
      </c>
      <c r="D102" s="75"/>
      <c r="E102" s="76"/>
      <c r="F102" s="77">
        <f>IFERROR(VLOOKUP(A102,Mapping!$A:$F,4,FALSE),0)</f>
        <v>0</v>
      </c>
      <c r="G102" s="78">
        <f t="shared" si="39"/>
        <v>0</v>
      </c>
      <c r="H102" s="77">
        <f>IFERROR(VLOOKUP(A102,Mapping!$A:$F,5,FALSE),0)</f>
        <v>0</v>
      </c>
      <c r="I102" s="79"/>
      <c r="J102" s="77">
        <f>IFERROR(VLOOKUP(A102,Mapping!$A:$F,6,FALSE),0)</f>
        <v>0</v>
      </c>
      <c r="K102" s="80">
        <f t="shared" si="40"/>
        <v>0</v>
      </c>
      <c r="L102" s="81">
        <f t="shared" si="41"/>
        <v>0</v>
      </c>
      <c r="M102" s="82">
        <f t="shared" si="42"/>
        <v>0</v>
      </c>
      <c r="N102" s="28">
        <f t="shared" si="43"/>
        <v>0</v>
      </c>
      <c r="O102" s="82">
        <f t="shared" si="44"/>
        <v>0</v>
      </c>
      <c r="P102" s="28">
        <f t="shared" si="45"/>
        <v>0</v>
      </c>
      <c r="Q102" s="82">
        <f t="shared" si="46"/>
        <v>0</v>
      </c>
      <c r="R102" s="28">
        <f t="shared" si="47"/>
        <v>0</v>
      </c>
      <c r="S102" s="82">
        <f t="shared" si="48"/>
        <v>0</v>
      </c>
      <c r="T102" s="28">
        <f t="shared" si="49"/>
        <v>0</v>
      </c>
      <c r="U102" s="83">
        <f t="shared" si="50"/>
        <v>0</v>
      </c>
      <c r="V102" s="28">
        <f t="shared" si="51"/>
        <v>0</v>
      </c>
      <c r="W102" s="80">
        <f t="shared" si="52"/>
        <v>0</v>
      </c>
      <c r="X102" s="28">
        <f t="shared" si="53"/>
        <v>0</v>
      </c>
      <c r="Y102" s="81">
        <f t="shared" si="54"/>
        <v>0</v>
      </c>
      <c r="Z102" s="1">
        <f t="shared" si="55"/>
        <v>0</v>
      </c>
      <c r="AA102" s="84"/>
      <c r="AB102" s="85"/>
      <c r="AC102" s="95"/>
      <c r="AD102" s="86"/>
      <c r="AE102" s="87"/>
    </row>
    <row r="103" ht="15" customHeight="1" spans="1:31" x14ac:dyDescent="0.25">
      <c r="A103" s="96"/>
      <c r="B103" s="97">
        <f>IFERROR(VLOOKUP(A103,Mapping!$A:$F,2,FALSE),"")</f>
      </c>
      <c r="C103" s="98">
        <f>IFERROR(VLOOKUP(A103,Mapping!$A:$F,3,FALSE),"")</f>
      </c>
      <c r="D103" s="99"/>
      <c r="E103" s="100"/>
      <c r="F103" s="77">
        <f>IFERROR(VLOOKUP(A103,Mapping!$A:$F,4,FALSE),0)</f>
        <v>0</v>
      </c>
      <c r="G103" s="78">
        <f t="shared" si="39"/>
        <v>0</v>
      </c>
      <c r="H103" s="101">
        <f>IFERROR(VLOOKUP(A103,Mapping!$A:$F,5,FALSE),0)</f>
        <v>0</v>
      </c>
      <c r="I103" s="79"/>
      <c r="J103" s="77">
        <f>IFERROR(VLOOKUP(A103,Mapping!$A:$F,6,FALSE),0)</f>
        <v>0</v>
      </c>
      <c r="K103" s="80">
        <f t="shared" ref="K103:K109" si="57">J103*(1-I103)</f>
        <v>0</v>
      </c>
      <c r="L103" s="81">
        <f t="shared" ref="L103:L109" si="58">IFERROR(J103-K103,"")</f>
        <v>0</v>
      </c>
      <c r="M103" s="82">
        <f t="shared" si="42"/>
        <v>0</v>
      </c>
      <c r="N103" s="28">
        <f t="shared" si="43"/>
        <v>0</v>
      </c>
      <c r="O103" s="82">
        <f t="shared" si="44"/>
        <v>0</v>
      </c>
      <c r="P103" s="28">
        <f t="shared" si="45"/>
        <v>0</v>
      </c>
      <c r="Q103" s="82">
        <f t="shared" si="46"/>
        <v>0</v>
      </c>
      <c r="R103" s="28">
        <f t="shared" si="47"/>
        <v>0</v>
      </c>
      <c r="S103" s="82">
        <f t="shared" si="48"/>
        <v>0</v>
      </c>
      <c r="T103" s="28">
        <f t="shared" si="49"/>
        <v>0</v>
      </c>
      <c r="U103" s="83">
        <f t="shared" si="50"/>
        <v>0</v>
      </c>
      <c r="V103" s="28">
        <f t="shared" si="51"/>
        <v>0</v>
      </c>
      <c r="W103" s="80">
        <f t="shared" si="52"/>
        <v>0</v>
      </c>
      <c r="X103" s="28">
        <f t="shared" si="53"/>
        <v>0</v>
      </c>
      <c r="Y103" s="81">
        <f t="shared" si="54"/>
        <v>0</v>
      </c>
      <c r="Z103" s="1">
        <f t="shared" si="55"/>
        <v>0</v>
      </c>
      <c r="AA103" s="84"/>
      <c r="AB103" s="85"/>
      <c r="AC103" s="86"/>
      <c r="AD103" s="102"/>
      <c r="AE103" s="87"/>
    </row>
    <row r="104" ht="15" customHeight="1" spans="1:31" x14ac:dyDescent="0.25">
      <c r="A104" s="96"/>
      <c r="B104" s="97">
        <f>IFERROR(VLOOKUP(A104,Mapping!$A:$F,2,FALSE),"")</f>
      </c>
      <c r="C104" s="98">
        <f>IFERROR(VLOOKUP(A104,Mapping!$A:$F,3,FALSE),"")</f>
      </c>
      <c r="D104" s="99"/>
      <c r="E104" s="100"/>
      <c r="F104" s="77">
        <f>IFERROR(VLOOKUP(A104,Mapping!$A:$F,4,FALSE),0)</f>
        <v>0</v>
      </c>
      <c r="G104" s="78">
        <f t="shared" si="39"/>
        <v>0</v>
      </c>
      <c r="H104" s="101">
        <f>IFERROR(VLOOKUP(A104,Mapping!$A:$F,5,FALSE),0)</f>
        <v>0</v>
      </c>
      <c r="I104" s="79"/>
      <c r="J104" s="77">
        <f>IFERROR(VLOOKUP(A104,Mapping!$A:$F,6,FALSE),0)</f>
        <v>0</v>
      </c>
      <c r="K104" s="80">
        <f t="shared" si="57"/>
        <v>0</v>
      </c>
      <c r="L104" s="81">
        <f t="shared" si="58"/>
        <v>0</v>
      </c>
      <c r="M104" s="82">
        <f t="shared" si="42"/>
        <v>0</v>
      </c>
      <c r="N104" s="28">
        <f t="shared" si="43"/>
        <v>0</v>
      </c>
      <c r="O104" s="82">
        <f t="shared" si="44"/>
        <v>0</v>
      </c>
      <c r="P104" s="28">
        <f t="shared" si="45"/>
        <v>0</v>
      </c>
      <c r="Q104" s="82">
        <f t="shared" si="46"/>
        <v>0</v>
      </c>
      <c r="R104" s="28">
        <f t="shared" si="47"/>
        <v>0</v>
      </c>
      <c r="S104" s="82">
        <f t="shared" si="48"/>
        <v>0</v>
      </c>
      <c r="T104" s="28">
        <f t="shared" si="49"/>
        <v>0</v>
      </c>
      <c r="U104" s="83">
        <f t="shared" si="50"/>
        <v>0</v>
      </c>
      <c r="V104" s="28">
        <f t="shared" si="51"/>
        <v>0</v>
      </c>
      <c r="W104" s="80">
        <f t="shared" si="52"/>
        <v>0</v>
      </c>
      <c r="X104" s="28">
        <f t="shared" si="53"/>
        <v>0</v>
      </c>
      <c r="Y104" s="81">
        <f t="shared" si="54"/>
        <v>0</v>
      </c>
      <c r="Z104" s="1">
        <f t="shared" si="55"/>
        <v>0</v>
      </c>
      <c r="AA104" s="84"/>
      <c r="AB104" s="85"/>
      <c r="AC104" s="86"/>
      <c r="AD104" s="103"/>
      <c r="AE104" s="87"/>
    </row>
    <row r="105" ht="15" customHeight="1" spans="1:31" x14ac:dyDescent="0.25">
      <c r="A105" s="96"/>
      <c r="B105" s="97">
        <f>IFERROR(VLOOKUP(A105,Mapping!$A:$F,2,FALSE),"")</f>
      </c>
      <c r="C105" s="98">
        <f>IFERROR(VLOOKUP(A105,Mapping!$A:$F,3,FALSE),"")</f>
      </c>
      <c r="D105" s="99"/>
      <c r="E105" s="100"/>
      <c r="F105" s="77">
        <f>IFERROR(VLOOKUP(A105,Mapping!$A:$F,4,FALSE),0)</f>
        <v>0</v>
      </c>
      <c r="G105" s="78">
        <f t="shared" si="39"/>
        <v>0</v>
      </c>
      <c r="H105" s="101">
        <f>IFERROR(VLOOKUP(A105,Mapping!$A:$F,5,FALSE),0)</f>
        <v>0</v>
      </c>
      <c r="I105" s="79"/>
      <c r="J105" s="77">
        <f>IFERROR(VLOOKUP(A105,Mapping!$A:$F,6,FALSE),0)</f>
        <v>0</v>
      </c>
      <c r="K105" s="80">
        <f t="shared" si="57"/>
        <v>0</v>
      </c>
      <c r="L105" s="81">
        <f t="shared" si="58"/>
        <v>0</v>
      </c>
      <c r="M105" s="82">
        <f t="shared" si="42"/>
        <v>0</v>
      </c>
      <c r="N105" s="28">
        <f t="shared" si="43"/>
        <v>0</v>
      </c>
      <c r="O105" s="82">
        <f t="shared" si="44"/>
        <v>0</v>
      </c>
      <c r="P105" s="28">
        <f t="shared" si="45"/>
        <v>0</v>
      </c>
      <c r="Q105" s="82">
        <f t="shared" si="46"/>
        <v>0</v>
      </c>
      <c r="R105" s="28">
        <f t="shared" si="47"/>
        <v>0</v>
      </c>
      <c r="S105" s="82">
        <f t="shared" si="48"/>
        <v>0</v>
      </c>
      <c r="T105" s="28">
        <f t="shared" si="49"/>
        <v>0</v>
      </c>
      <c r="U105" s="83">
        <f t="shared" si="50"/>
        <v>0</v>
      </c>
      <c r="V105" s="28">
        <f t="shared" si="51"/>
        <v>0</v>
      </c>
      <c r="W105" s="80">
        <f t="shared" si="52"/>
        <v>0</v>
      </c>
      <c r="X105" s="28">
        <f t="shared" si="53"/>
        <v>0</v>
      </c>
      <c r="Y105" s="81">
        <f t="shared" si="54"/>
        <v>0</v>
      </c>
      <c r="Z105" s="1">
        <f t="shared" si="55"/>
        <v>0</v>
      </c>
      <c r="AA105" s="84"/>
      <c r="AB105" s="85"/>
      <c r="AC105" s="86"/>
      <c r="AD105" s="104"/>
      <c r="AE105" s="87"/>
    </row>
    <row r="106" ht="15" customHeight="1" spans="1:31" x14ac:dyDescent="0.25">
      <c r="A106" s="96"/>
      <c r="B106" s="97">
        <f>IFERROR(VLOOKUP(A106,Mapping!$A:$F,2,FALSE),"")</f>
      </c>
      <c r="C106" s="98">
        <f>IFERROR(VLOOKUP(A106,Mapping!$A:$F,3,FALSE),"")</f>
      </c>
      <c r="D106" s="99"/>
      <c r="E106" s="100"/>
      <c r="F106" s="77">
        <f>IFERROR(VLOOKUP(A106,Mapping!$A:$F,4,FALSE),0)</f>
        <v>0</v>
      </c>
      <c r="G106" s="78">
        <f t="shared" si="39"/>
        <v>0</v>
      </c>
      <c r="H106" s="101">
        <f>IFERROR(VLOOKUP(A106,Mapping!$A:$F,5,FALSE),0)</f>
        <v>0</v>
      </c>
      <c r="I106" s="79"/>
      <c r="J106" s="77">
        <f>IFERROR(VLOOKUP(A106,Mapping!$A:$F,6,FALSE),0)</f>
        <v>0</v>
      </c>
      <c r="K106" s="80">
        <f t="shared" si="57"/>
        <v>0</v>
      </c>
      <c r="L106" s="81">
        <f t="shared" si="58"/>
        <v>0</v>
      </c>
      <c r="M106" s="82">
        <f t="shared" si="42"/>
        <v>0</v>
      </c>
      <c r="N106" s="28">
        <f t="shared" si="43"/>
        <v>0</v>
      </c>
      <c r="O106" s="82">
        <f t="shared" si="44"/>
        <v>0</v>
      </c>
      <c r="P106" s="28">
        <f t="shared" si="45"/>
        <v>0</v>
      </c>
      <c r="Q106" s="82">
        <f t="shared" si="46"/>
        <v>0</v>
      </c>
      <c r="R106" s="28">
        <f t="shared" si="47"/>
        <v>0</v>
      </c>
      <c r="S106" s="82">
        <f t="shared" si="48"/>
        <v>0</v>
      </c>
      <c r="T106" s="28">
        <f t="shared" si="49"/>
        <v>0</v>
      </c>
      <c r="U106" s="83">
        <f t="shared" si="50"/>
        <v>0</v>
      </c>
      <c r="V106" s="28">
        <f t="shared" si="51"/>
        <v>0</v>
      </c>
      <c r="W106" s="80">
        <f t="shared" si="52"/>
        <v>0</v>
      </c>
      <c r="X106" s="28">
        <f t="shared" si="53"/>
        <v>0</v>
      </c>
      <c r="Y106" s="81">
        <f t="shared" si="54"/>
        <v>0</v>
      </c>
      <c r="Z106" s="1">
        <f t="shared" si="55"/>
        <v>0</v>
      </c>
      <c r="AA106" s="84"/>
      <c r="AB106" s="85"/>
      <c r="AC106" s="86"/>
      <c r="AD106" s="103"/>
      <c r="AE106" s="87"/>
    </row>
    <row r="107" ht="15" customHeight="1" spans="1:31" x14ac:dyDescent="0.25">
      <c r="A107" s="96"/>
      <c r="B107" s="97">
        <f>IFERROR(VLOOKUP(A107,Mapping!$A:$F,2,FALSE),"")</f>
      </c>
      <c r="C107" s="98">
        <f>IFERROR(VLOOKUP(A107,Mapping!$A:$F,3,FALSE),"")</f>
      </c>
      <c r="D107" s="99"/>
      <c r="E107" s="100"/>
      <c r="F107" s="77">
        <f>IFERROR(VLOOKUP(A107,Mapping!$A:$F,4,FALSE),0)</f>
        <v>0</v>
      </c>
      <c r="G107" s="78">
        <f t="shared" si="39"/>
        <v>0</v>
      </c>
      <c r="H107" s="101">
        <f>IFERROR(VLOOKUP(A107,Mapping!$A:$F,5,FALSE),0)</f>
        <v>0</v>
      </c>
      <c r="I107" s="79"/>
      <c r="J107" s="77">
        <f>IFERROR(VLOOKUP(A107,Mapping!$A:$F,6,FALSE),0)</f>
        <v>0</v>
      </c>
      <c r="K107" s="80">
        <f t="shared" si="57"/>
        <v>0</v>
      </c>
      <c r="L107" s="81">
        <f t="shared" si="58"/>
        <v>0</v>
      </c>
      <c r="M107" s="82">
        <f t="shared" si="42"/>
        <v>0</v>
      </c>
      <c r="N107" s="28">
        <f t="shared" si="43"/>
        <v>0</v>
      </c>
      <c r="O107" s="82">
        <f t="shared" si="44"/>
        <v>0</v>
      </c>
      <c r="P107" s="28">
        <f t="shared" si="45"/>
        <v>0</v>
      </c>
      <c r="Q107" s="82">
        <f t="shared" si="46"/>
        <v>0</v>
      </c>
      <c r="R107" s="28">
        <f t="shared" si="47"/>
        <v>0</v>
      </c>
      <c r="S107" s="82">
        <f t="shared" si="48"/>
        <v>0</v>
      </c>
      <c r="T107" s="28">
        <f t="shared" si="49"/>
        <v>0</v>
      </c>
      <c r="U107" s="83">
        <f t="shared" si="50"/>
        <v>0</v>
      </c>
      <c r="V107" s="28">
        <f t="shared" si="51"/>
        <v>0</v>
      </c>
      <c r="W107" s="80">
        <f t="shared" si="52"/>
        <v>0</v>
      </c>
      <c r="X107" s="28">
        <f t="shared" si="53"/>
        <v>0</v>
      </c>
      <c r="Y107" s="81">
        <f t="shared" si="54"/>
        <v>0</v>
      </c>
      <c r="Z107" s="1">
        <f t="shared" si="55"/>
        <v>0</v>
      </c>
      <c r="AA107" s="84"/>
      <c r="AB107" s="85"/>
      <c r="AC107" s="85"/>
      <c r="AD107" s="85"/>
      <c r="AE107" s="87"/>
    </row>
    <row r="108" ht="15" customHeight="1" spans="1:31" x14ac:dyDescent="0.25">
      <c r="A108" s="96"/>
      <c r="B108" s="97">
        <f>IFERROR(VLOOKUP(A108,Mapping!$A:$F,2,FALSE),"")</f>
      </c>
      <c r="C108" s="98">
        <f>IFERROR(VLOOKUP(A108,Mapping!$A:$F,3,FALSE),"")</f>
      </c>
      <c r="D108" s="99"/>
      <c r="E108" s="100"/>
      <c r="F108" s="77">
        <f>IFERROR(VLOOKUP(A108,Mapping!$A:$F,4,FALSE),0)</f>
        <v>0</v>
      </c>
      <c r="G108" s="78">
        <f t="shared" si="39"/>
        <v>0</v>
      </c>
      <c r="H108" s="101">
        <f>IFERROR(VLOOKUP(A108,Mapping!$A:$F,5,FALSE),0)</f>
        <v>0</v>
      </c>
      <c r="I108" s="79"/>
      <c r="J108" s="77">
        <f>IFERROR(VLOOKUP(A108,Mapping!$A:$F,6,FALSE),0)</f>
        <v>0</v>
      </c>
      <c r="K108" s="80">
        <f t="shared" si="57"/>
        <v>0</v>
      </c>
      <c r="L108" s="81">
        <f t="shared" si="58"/>
        <v>0</v>
      </c>
      <c r="M108" s="82">
        <f t="shared" si="42"/>
        <v>0</v>
      </c>
      <c r="N108" s="28">
        <f t="shared" si="43"/>
        <v>0</v>
      </c>
      <c r="O108" s="82">
        <f t="shared" si="44"/>
        <v>0</v>
      </c>
      <c r="P108" s="28">
        <f t="shared" si="45"/>
        <v>0</v>
      </c>
      <c r="Q108" s="82">
        <f t="shared" si="46"/>
        <v>0</v>
      </c>
      <c r="R108" s="28">
        <f t="shared" si="47"/>
        <v>0</v>
      </c>
      <c r="S108" s="82">
        <f t="shared" si="48"/>
        <v>0</v>
      </c>
      <c r="T108" s="28">
        <f t="shared" si="49"/>
        <v>0</v>
      </c>
      <c r="U108" s="83">
        <f t="shared" si="50"/>
        <v>0</v>
      </c>
      <c r="V108" s="28">
        <f t="shared" si="51"/>
        <v>0</v>
      </c>
      <c r="W108" s="80">
        <f t="shared" si="52"/>
        <v>0</v>
      </c>
      <c r="X108" s="28">
        <f t="shared" si="53"/>
        <v>0</v>
      </c>
      <c r="Y108" s="81">
        <f t="shared" si="54"/>
        <v>0</v>
      </c>
      <c r="Z108" s="1">
        <f t="shared" si="55"/>
        <v>0</v>
      </c>
      <c r="AA108" s="84"/>
      <c r="AB108" s="85"/>
      <c r="AC108" s="95"/>
      <c r="AD108" s="85"/>
      <c r="AE108" s="87"/>
    </row>
    <row r="109" ht="15.75" customHeight="1" spans="1:31" x14ac:dyDescent="0.25">
      <c r="A109" s="96"/>
      <c r="B109" s="97">
        <f>IFERROR(VLOOKUP(A109,Mapping!$A:$F,2,FALSE),"")</f>
      </c>
      <c r="C109" s="98">
        <f>IFERROR(VLOOKUP(A109,Mapping!$A:$F,3,FALSE),"")</f>
      </c>
      <c r="D109" s="99"/>
      <c r="E109" s="100"/>
      <c r="F109" s="77">
        <f>IFERROR(VLOOKUP(A109,Mapping!$A:$F,4,FALSE),0)</f>
        <v>0</v>
      </c>
      <c r="G109" s="78">
        <f t="shared" si="39"/>
        <v>0</v>
      </c>
      <c r="H109" s="101">
        <f>IFERROR(VLOOKUP(A109,Mapping!$A:$F,5,FALSE),0)</f>
        <v>0</v>
      </c>
      <c r="I109" s="79"/>
      <c r="J109" s="77">
        <f>IFERROR(VLOOKUP(A109,Mapping!$A:$F,6,FALSE),0)</f>
        <v>0</v>
      </c>
      <c r="K109" s="80">
        <f t="shared" si="57"/>
        <v>0</v>
      </c>
      <c r="L109" s="81">
        <f t="shared" si="58"/>
        <v>0</v>
      </c>
      <c r="M109" s="105">
        <f t="shared" si="42"/>
        <v>0</v>
      </c>
      <c r="N109" s="106">
        <f t="shared" si="43"/>
        <v>0</v>
      </c>
      <c r="O109" s="105">
        <f t="shared" si="44"/>
        <v>0</v>
      </c>
      <c r="P109" s="106">
        <f t="shared" si="45"/>
        <v>0</v>
      </c>
      <c r="Q109" s="105">
        <f t="shared" si="46"/>
        <v>0</v>
      </c>
      <c r="R109" s="106">
        <f t="shared" si="47"/>
        <v>0</v>
      </c>
      <c r="S109" s="105">
        <f t="shared" si="48"/>
        <v>0</v>
      </c>
      <c r="T109" s="106">
        <f t="shared" si="49"/>
        <v>0</v>
      </c>
      <c r="U109" s="107">
        <f t="shared" si="50"/>
        <v>0</v>
      </c>
      <c r="V109" s="106">
        <f t="shared" si="51"/>
        <v>0</v>
      </c>
      <c r="W109" s="108">
        <f t="shared" si="52"/>
        <v>0</v>
      </c>
      <c r="X109" s="106">
        <f t="shared" si="53"/>
        <v>0</v>
      </c>
      <c r="Y109" s="109">
        <f t="shared" si="54"/>
        <v>0</v>
      </c>
      <c r="Z109" s="110">
        <f t="shared" si="55"/>
        <v>0</v>
      </c>
      <c r="AA109" s="111"/>
      <c r="AB109" s="112"/>
      <c r="AC109" s="113"/>
      <c r="AD109" s="114"/>
      <c r="AE109" s="115"/>
    </row>
    <row r="110" ht="15.75" customHeight="1" x14ac:dyDescent="0.25"/>
    <row r="112" ht="15" customHeight="1" spans="1:31" x14ac:dyDescent="0.25">
      <c r="A112" s="5" t="s">
        <v>44</v>
      </c>
      <c r="B112" s="6"/>
      <c r="C112" s="7"/>
      <c r="D112" s="8"/>
      <c r="E112" s="6"/>
      <c r="F112" s="6"/>
      <c r="G112" s="6"/>
      <c r="H112" s="6"/>
      <c r="I112" s="6"/>
      <c r="J112" s="6"/>
      <c r="K112" s="6"/>
      <c r="L112" s="6"/>
      <c r="M112" s="116"/>
      <c r="N112" s="117"/>
      <c r="O112" s="116"/>
      <c r="P112" s="117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4" ht="15.75" customHeight="1" spans="1:31" x14ac:dyDescent="0.25">
      <c r="A114" s="9" t="s">
        <v>1</v>
      </c>
      <c r="B114" s="10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5.75" customHeight="1" spans="1:31" x14ac:dyDescent="0.25">
      <c r="A115" s="9" t="s">
        <v>2</v>
      </c>
      <c r="B115" s="10">
        <f>SUM(E127:E139)</f>
        <v>0</v>
      </c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3"/>
      <c r="AC115" s="13"/>
      <c r="AD115" s="13"/>
      <c r="AE115" s="14"/>
    </row>
    <row r="116" ht="15.75" customHeight="1" spans="1:31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5" t="s">
        <v>3</v>
      </c>
      <c r="N116" s="16"/>
      <c r="O116" s="16"/>
      <c r="P116" s="16"/>
      <c r="Q116" s="16"/>
      <c r="R116" s="17"/>
      <c r="S116" s="18" t="s">
        <v>4</v>
      </c>
      <c r="T116" s="19"/>
      <c r="U116" s="20"/>
      <c r="V116" s="20"/>
      <c r="W116" s="20"/>
      <c r="X116" s="20"/>
      <c r="Y116" s="18"/>
      <c r="Z116" s="19"/>
      <c r="AA116" s="21"/>
      <c r="AB116" s="22" t="s">
        <v>5</v>
      </c>
      <c r="AC116" s="22"/>
      <c r="AD116" s="22"/>
      <c r="AE116" s="23"/>
    </row>
    <row r="117" ht="15" customHeight="1" spans="1:31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24"/>
      <c r="N117" s="25"/>
      <c r="O117" s="24"/>
      <c r="P117" s="25"/>
      <c r="Q117" s="26"/>
      <c r="R117" s="26"/>
      <c r="S117" s="24"/>
      <c r="T117" s="25"/>
      <c r="U117" s="26"/>
      <c r="V117" s="25"/>
      <c r="W117" s="26"/>
      <c r="X117" s="26"/>
      <c r="Y117" s="27"/>
      <c r="Z117" s="28"/>
      <c r="AA117" s="29"/>
      <c r="AB117" s="21"/>
      <c r="AC117" s="21"/>
      <c r="AD117" s="21"/>
      <c r="AE117" s="23"/>
    </row>
    <row r="118" ht="15" customHeight="1" spans="1:31" x14ac:dyDescent="0.25">
      <c r="A118" s="1"/>
      <c r="B118" s="1"/>
      <c r="C118" s="2"/>
      <c r="D118" s="1"/>
      <c r="E118" s="1"/>
      <c r="F118" s="1"/>
      <c r="G118" s="1"/>
      <c r="H118" s="1"/>
      <c r="J118" s="1"/>
      <c r="K118" s="1"/>
      <c r="L118" s="1"/>
      <c r="M118" s="30" t="s">
        <v>6</v>
      </c>
      <c r="N118" s="31"/>
      <c r="O118" s="30" t="s">
        <v>7</v>
      </c>
      <c r="P118" s="31"/>
      <c r="Q118" s="30" t="s">
        <v>8</v>
      </c>
      <c r="R118" s="31"/>
      <c r="S118" s="32" t="s">
        <v>9</v>
      </c>
      <c r="T118" s="31"/>
      <c r="U118" s="32" t="s">
        <v>10</v>
      </c>
      <c r="V118" s="31"/>
      <c r="W118" s="32" t="s">
        <v>11</v>
      </c>
      <c r="X118" s="31"/>
      <c r="Y118" s="32" t="s">
        <v>12</v>
      </c>
      <c r="Z118" s="31"/>
      <c r="AA118" s="29"/>
      <c r="AB118" s="33" t="s">
        <v>13</v>
      </c>
      <c r="AC118" s="33"/>
      <c r="AD118" s="33"/>
      <c r="AE118" s="23"/>
    </row>
    <row r="119" ht="15" customHeight="1" spans="1:31" x14ac:dyDescent="0.25">
      <c r="A119" s="1"/>
      <c r="B119" s="1"/>
      <c r="C119" s="2"/>
      <c r="D119" s="1"/>
      <c r="E119" s="1"/>
      <c r="F119" s="1"/>
      <c r="G119" s="1"/>
      <c r="H119" s="1"/>
      <c r="J119" s="1"/>
      <c r="K119" s="1"/>
      <c r="L119" s="1"/>
      <c r="M119" s="119" t="s">
        <v>14</v>
      </c>
      <c r="N119" s="120"/>
      <c r="O119" s="121" t="s">
        <v>14</v>
      </c>
      <c r="P119" s="120"/>
      <c r="Q119" s="121" t="s">
        <v>14</v>
      </c>
      <c r="R119" s="120"/>
      <c r="S119" s="121" t="s">
        <v>14</v>
      </c>
      <c r="T119" s="120"/>
      <c r="U119" s="122" t="s">
        <v>14</v>
      </c>
      <c r="V119" s="123"/>
      <c r="W119" s="121" t="s">
        <v>14</v>
      </c>
      <c r="X119" s="123"/>
      <c r="Y119" s="121" t="s">
        <v>45</v>
      </c>
      <c r="Z119" s="120"/>
      <c r="AA119" s="27"/>
      <c r="AB119" s="39"/>
      <c r="AC119" s="39"/>
      <c r="AD119" s="39"/>
      <c r="AE119" s="28"/>
    </row>
    <row r="120" ht="15" customHeight="1" spans="1:31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19" t="s">
        <v>15</v>
      </c>
      <c r="N120" s="124">
        <v>0.17</v>
      </c>
      <c r="O120" s="121" t="s">
        <v>15</v>
      </c>
      <c r="P120" s="124">
        <v>0.13</v>
      </c>
      <c r="Q120" s="121" t="s">
        <v>15</v>
      </c>
      <c r="R120" s="124">
        <v>0.08</v>
      </c>
      <c r="S120" s="121" t="s">
        <v>15</v>
      </c>
      <c r="T120" s="125">
        <v>0.325</v>
      </c>
      <c r="U120" s="122" t="s">
        <v>15</v>
      </c>
      <c r="V120" s="126">
        <v>0.3</v>
      </c>
      <c r="W120" s="121" t="s">
        <v>15</v>
      </c>
      <c r="X120" s="126">
        <v>0.28</v>
      </c>
      <c r="Y120" s="121" t="s">
        <v>15</v>
      </c>
      <c r="Z120" s="124">
        <v>0.25</v>
      </c>
      <c r="AA120" s="29"/>
      <c r="AB120" s="21"/>
      <c r="AC120" s="21"/>
      <c r="AD120" s="21"/>
      <c r="AE120" s="23"/>
    </row>
    <row r="121" ht="15" customHeight="1" spans="1:31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19" t="s">
        <v>16</v>
      </c>
      <c r="N121" s="127">
        <f>N119*$B$114</f>
        <v>0</v>
      </c>
      <c r="O121" s="121" t="s">
        <v>16</v>
      </c>
      <c r="P121" s="127">
        <f>P119*$B$114</f>
        <v>0</v>
      </c>
      <c r="Q121" s="121" t="s">
        <v>16</v>
      </c>
      <c r="R121" s="127">
        <f>R119*$B$114</f>
        <v>0</v>
      </c>
      <c r="S121" s="121" t="s">
        <v>16</v>
      </c>
      <c r="T121" s="127">
        <f>T119*$B$114</f>
        <v>0</v>
      </c>
      <c r="U121" s="122" t="s">
        <v>16</v>
      </c>
      <c r="V121" s="127">
        <f>V119*$B$114</f>
        <v>0</v>
      </c>
      <c r="W121" s="121" t="s">
        <v>16</v>
      </c>
      <c r="X121" s="128">
        <f>X119*$B$114</f>
        <v>0</v>
      </c>
      <c r="Y121" s="121" t="s">
        <v>16</v>
      </c>
      <c r="Z121" s="127">
        <f>Z119*$B$114</f>
        <v>0</v>
      </c>
      <c r="AA121" s="29"/>
      <c r="AB121" s="21"/>
      <c r="AC121" s="21"/>
      <c r="AD121" s="21"/>
      <c r="AE121" s="23"/>
    </row>
    <row r="122" ht="51.75" customHeight="1" spans="1:31" x14ac:dyDescent="0.25">
      <c r="A122" s="45"/>
      <c r="B122" s="45"/>
      <c r="C122" s="46"/>
      <c r="D122" s="45"/>
      <c r="E122" s="47" t="s">
        <v>17</v>
      </c>
      <c r="F122" s="47" t="s">
        <v>18</v>
      </c>
      <c r="G122" s="47" t="s">
        <v>19</v>
      </c>
      <c r="H122" s="47" t="s">
        <v>20</v>
      </c>
      <c r="I122" s="47" t="s">
        <v>21</v>
      </c>
      <c r="J122" s="47" t="s">
        <v>22</v>
      </c>
      <c r="K122" s="47" t="s">
        <v>23</v>
      </c>
      <c r="L122" s="47" t="s">
        <v>24</v>
      </c>
      <c r="M122" s="48" t="s">
        <v>25</v>
      </c>
      <c r="N122" s="49" t="s">
        <v>26</v>
      </c>
      <c r="O122" s="48" t="s">
        <v>25</v>
      </c>
      <c r="P122" s="49" t="s">
        <v>26</v>
      </c>
      <c r="Q122" s="48" t="s">
        <v>25</v>
      </c>
      <c r="R122" s="49" t="s">
        <v>26</v>
      </c>
      <c r="S122" s="48" t="s">
        <v>25</v>
      </c>
      <c r="T122" s="49" t="s">
        <v>26</v>
      </c>
      <c r="U122" s="47" t="s">
        <v>25</v>
      </c>
      <c r="V122" s="49" t="s">
        <v>26</v>
      </c>
      <c r="W122" s="47" t="s">
        <v>25</v>
      </c>
      <c r="X122" s="47" t="s">
        <v>26</v>
      </c>
      <c r="Y122" s="48" t="s">
        <v>25</v>
      </c>
      <c r="Z122" s="49" t="s">
        <v>26</v>
      </c>
      <c r="AA122" s="50"/>
      <c r="AB122" s="51" t="s">
        <v>27</v>
      </c>
      <c r="AC122" s="51" t="s">
        <v>25</v>
      </c>
      <c r="AD122" s="51" t="s">
        <v>26</v>
      </c>
      <c r="AE122" s="52"/>
    </row>
    <row r="123" ht="26.25" customHeight="1" spans="1:31" x14ac:dyDescent="0.25">
      <c r="A123" s="53" t="s">
        <v>28</v>
      </c>
      <c r="B123" s="53" t="s">
        <v>29</v>
      </c>
      <c r="C123" s="53" t="s">
        <v>30</v>
      </c>
      <c r="D123" s="53" t="s">
        <v>31</v>
      </c>
      <c r="E123" s="53" t="s">
        <v>32</v>
      </c>
      <c r="F123" s="53" t="s">
        <v>33</v>
      </c>
      <c r="G123" s="53" t="s">
        <v>33</v>
      </c>
      <c r="H123" s="53" t="s">
        <v>33</v>
      </c>
      <c r="I123" s="53" t="s">
        <v>33</v>
      </c>
      <c r="J123" s="53" t="s">
        <v>33</v>
      </c>
      <c r="K123" s="53" t="s">
        <v>33</v>
      </c>
      <c r="L123" s="53" t="s">
        <v>33</v>
      </c>
      <c r="M123" s="54" t="s">
        <v>33</v>
      </c>
      <c r="N123" s="55" t="s">
        <v>33</v>
      </c>
      <c r="O123" s="54" t="s">
        <v>33</v>
      </c>
      <c r="P123" s="55" t="s">
        <v>33</v>
      </c>
      <c r="Q123" s="54" t="s">
        <v>33</v>
      </c>
      <c r="R123" s="55" t="s">
        <v>33</v>
      </c>
      <c r="S123" s="54" t="s">
        <v>33</v>
      </c>
      <c r="T123" s="55" t="s">
        <v>33</v>
      </c>
      <c r="U123" s="53" t="s">
        <v>33</v>
      </c>
      <c r="V123" s="55" t="s">
        <v>33</v>
      </c>
      <c r="W123" s="53" t="s">
        <v>33</v>
      </c>
      <c r="X123" s="53" t="s">
        <v>33</v>
      </c>
      <c r="Y123" s="56" t="s">
        <v>33</v>
      </c>
      <c r="Z123" s="57" t="s">
        <v>33</v>
      </c>
      <c r="AA123" s="29"/>
      <c r="AB123" s="58" t="s">
        <v>32</v>
      </c>
      <c r="AC123" s="58" t="s">
        <v>33</v>
      </c>
      <c r="AD123" s="58" t="s">
        <v>33</v>
      </c>
      <c r="AE123" s="23"/>
    </row>
    <row r="124" ht="15" customHeight="1" spans="1:31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M124" s="27"/>
      <c r="N124" s="28"/>
      <c r="O124" s="27"/>
      <c r="P124" s="28"/>
      <c r="Q124" s="27"/>
      <c r="R124" s="28"/>
      <c r="S124" s="27"/>
      <c r="T124" s="28"/>
      <c r="U124" s="1"/>
      <c r="V124" s="28"/>
      <c r="W124" s="1"/>
      <c r="X124" s="28"/>
      <c r="Y124" s="1"/>
      <c r="Z124" s="1"/>
      <c r="AA124" s="29"/>
      <c r="AB124" s="21"/>
      <c r="AC124" s="21"/>
      <c r="AD124" s="21"/>
      <c r="AE124" s="23"/>
    </row>
    <row r="125" ht="15" customHeight="1" spans="1:31" x14ac:dyDescent="0.25">
      <c r="A125" s="59" t="s">
        <v>34</v>
      </c>
      <c r="B125" s="59"/>
      <c r="C125" s="60"/>
      <c r="D125" s="59"/>
      <c r="E125" s="59">
        <f>IFERROR(SUMIFS(E127:E146,D127:D146,"Produit Vente"),"Non trouvé")</f>
        <v>0</v>
      </c>
      <c r="F125" s="61"/>
      <c r="G125" s="61">
        <f>IFERROR(SUM(G127:G146),"Non Trouvé")</f>
        <v>0</v>
      </c>
      <c r="H125" s="61"/>
      <c r="I125" s="62"/>
      <c r="J125" s="61"/>
      <c r="K125" s="61"/>
      <c r="L125" s="61"/>
      <c r="M125" s="63">
        <f t="shared" ref="M125:Z125" si="59">SUM(M127:M146)</f>
        <v>0</v>
      </c>
      <c r="N125" s="64">
        <f t="shared" si="59"/>
        <v>0</v>
      </c>
      <c r="O125" s="63">
        <f t="shared" si="59"/>
        <v>0</v>
      </c>
      <c r="P125" s="64">
        <f t="shared" si="59"/>
        <v>0</v>
      </c>
      <c r="Q125" s="63">
        <f t="shared" si="59"/>
        <v>0</v>
      </c>
      <c r="R125" s="64">
        <f t="shared" si="59"/>
        <v>0</v>
      </c>
      <c r="S125" s="63">
        <f t="shared" si="59"/>
        <v>0</v>
      </c>
      <c r="T125" s="64">
        <f t="shared" si="59"/>
        <v>0</v>
      </c>
      <c r="U125" s="65">
        <f t="shared" si="59"/>
        <v>0</v>
      </c>
      <c r="V125" s="64">
        <f t="shared" si="59"/>
        <v>0</v>
      </c>
      <c r="W125" s="65">
        <f t="shared" si="59"/>
        <v>0</v>
      </c>
      <c r="X125" s="64">
        <f t="shared" si="59"/>
        <v>0</v>
      </c>
      <c r="Y125" s="65">
        <f t="shared" si="59"/>
        <v>0</v>
      </c>
      <c r="Z125" s="66">
        <f t="shared" si="59"/>
        <v>0</v>
      </c>
      <c r="AA125" s="67"/>
      <c r="AB125" s="68">
        <f>B114</f>
        <v>0</v>
      </c>
      <c r="AC125" s="69">
        <f>Y125+W125+U125+S125+O125+M125+Q125</f>
        <v>0</v>
      </c>
      <c r="AD125" s="70">
        <f>Z125+X125+V125+T125+P125+N125+R125</f>
        <v>0</v>
      </c>
      <c r="AE125" s="71"/>
    </row>
    <row r="126" ht="15" customHeight="1" spans="1:31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M126" s="27"/>
      <c r="N126" s="28"/>
      <c r="O126" s="27"/>
      <c r="P126" s="28"/>
      <c r="Q126" s="27"/>
      <c r="R126" s="28"/>
      <c r="S126" s="27"/>
      <c r="T126" s="28"/>
      <c r="U126" s="1"/>
      <c r="V126" s="28"/>
      <c r="W126" s="1"/>
      <c r="X126" s="28"/>
      <c r="Y126" s="1"/>
      <c r="Z126" s="1"/>
      <c r="AA126" s="29"/>
      <c r="AB126" s="21"/>
      <c r="AC126" s="21"/>
      <c r="AD126" s="21"/>
      <c r="AE126" s="23"/>
    </row>
    <row r="127" ht="15.75" customHeight="1" spans="1:31" x14ac:dyDescent="0.25">
      <c r="A127" s="72"/>
      <c r="B127" s="73">
        <f>IFERROR(VLOOKUP(A127,Mapping!$A:$F,2,FALSE),"")</f>
      </c>
      <c r="C127" s="74">
        <f>IFERROR(VLOOKUP(A127,Mapping!$A:$F,3,FALSE),"")</f>
      </c>
      <c r="D127" s="75"/>
      <c r="E127" s="76"/>
      <c r="F127" s="77">
        <f>IFERROR(VLOOKUP(A127,Mapping!$A:$F,4,FALSE),0)</f>
        <v>0</v>
      </c>
      <c r="G127" s="78">
        <f t="shared" ref="G127:G146" si="60">E127*F127</f>
        <v>0</v>
      </c>
      <c r="H127" s="77">
        <f>IFERROR(VLOOKUP(A127,Mapping!$A:$F,5,FALSE),0)</f>
        <v>0</v>
      </c>
      <c r="I127" s="79"/>
      <c r="J127" s="77">
        <f>IFERROR(VLOOKUP(A127,Mapping!$A:$F,6,FALSE),0)</f>
        <v>0</v>
      </c>
      <c r="K127" s="80">
        <f t="shared" ref="K127:K139" si="61">J127*(1-I127)</f>
        <v>0</v>
      </c>
      <c r="L127" s="81">
        <f t="shared" ref="L127:L139" si="62">IFERROR(J127-K127,"")</f>
        <v>0</v>
      </c>
      <c r="M127" s="82">
        <f t="shared" ref="M127:M146" si="63">E127*H127*(1-I127)*$N$121*(1-$N$120)</f>
        <v>0</v>
      </c>
      <c r="N127" s="28">
        <f t="shared" ref="N127:N146" si="64">M127-E127*F127*$N$121</f>
        <v>0</v>
      </c>
      <c r="O127" s="82">
        <f t="shared" ref="O127:O146" si="65">E127*H127*(1-I127)*$P$121*(1-$P$120)</f>
        <v>0</v>
      </c>
      <c r="P127" s="28">
        <f t="shared" ref="P127:P146" si="66">O127-E127*F127*$P$121</f>
        <v>0</v>
      </c>
      <c r="Q127" s="82">
        <f t="shared" ref="Q127:Q146" si="67">E127*H127*(1-I127)*$R$121*(1-$R$120)</f>
        <v>0</v>
      </c>
      <c r="R127" s="28">
        <f t="shared" ref="R127:R146" si="68">Q127-E127*F127*$R$121</f>
        <v>0</v>
      </c>
      <c r="S127" s="82">
        <f t="shared" ref="S127:S146" si="69">E127*H127*(1-I127)*$T$121*(1-$T$120)</f>
        <v>0</v>
      </c>
      <c r="T127" s="28">
        <f t="shared" ref="T127:T146" si="70">S127-E127*F127*$T$121</f>
        <v>0</v>
      </c>
      <c r="U127" s="83">
        <f t="shared" ref="U127:U146" si="71">E127*H127*(1-I127)*$V$121*(1-$V$120)</f>
        <v>0</v>
      </c>
      <c r="V127" s="28">
        <f t="shared" ref="V127:V146" si="72">U127-E127*F127*$V$121</f>
        <v>0</v>
      </c>
      <c r="W127" s="80">
        <f t="shared" ref="W127:W146" si="73">E127*H127*(1-I127)*$X$121*(1-$X$120)</f>
        <v>0</v>
      </c>
      <c r="X127" s="28">
        <f t="shared" ref="X127:X146" si="74">W127-E127*F127*$X$121</f>
        <v>0</v>
      </c>
      <c r="Y127" s="81">
        <f t="shared" ref="Y127:Y146" si="75">E127*H127*(1-I127)*$Z$121*(1-$Z$120)</f>
        <v>0</v>
      </c>
      <c r="Z127" s="1">
        <f t="shared" ref="Z127:Z146" si="76">Y127-E127*F127*$Z$121</f>
        <v>0</v>
      </c>
      <c r="AA127" s="84"/>
      <c r="AB127" s="85"/>
      <c r="AC127" s="86"/>
      <c r="AD127" s="86"/>
      <c r="AE127" s="87"/>
    </row>
    <row r="128" ht="15.75" customHeight="1" spans="1:31" x14ac:dyDescent="0.25">
      <c r="A128" s="72"/>
      <c r="B128" s="73">
        <f>IFERROR(VLOOKUP(A128,Mapping!$A:$F,2,FALSE),"")</f>
      </c>
      <c r="C128" s="74">
        <f>IFERROR(VLOOKUP(A128,Mapping!$A:$F,3,FALSE),"")</f>
      </c>
      <c r="D128" s="75"/>
      <c r="E128" s="76"/>
      <c r="F128" s="77">
        <f>IFERROR(VLOOKUP(A128,Mapping!$A:$F,4,FALSE),0)</f>
        <v>0</v>
      </c>
      <c r="G128" s="78">
        <f t="shared" si="60"/>
        <v>0</v>
      </c>
      <c r="H128" s="77">
        <f>IFERROR(VLOOKUP(A128,Mapping!$A:$F,5,FALSE),0)</f>
        <v>0</v>
      </c>
      <c r="I128" s="79"/>
      <c r="J128" s="77">
        <f>IFERROR(VLOOKUP(A128,Mapping!$A:$F,6,FALSE),0)</f>
        <v>0</v>
      </c>
      <c r="K128" s="80">
        <f t="shared" si="61"/>
        <v>0</v>
      </c>
      <c r="L128" s="81">
        <f t="shared" si="62"/>
        <v>0</v>
      </c>
      <c r="M128" s="82">
        <f t="shared" si="63"/>
        <v>0</v>
      </c>
      <c r="N128" s="28">
        <f t="shared" si="64"/>
        <v>0</v>
      </c>
      <c r="O128" s="82">
        <f t="shared" si="65"/>
        <v>0</v>
      </c>
      <c r="P128" s="28">
        <f t="shared" si="66"/>
        <v>0</v>
      </c>
      <c r="Q128" s="82">
        <f t="shared" si="67"/>
        <v>0</v>
      </c>
      <c r="R128" s="28">
        <f t="shared" si="68"/>
        <v>0</v>
      </c>
      <c r="S128" s="82">
        <f t="shared" si="69"/>
        <v>0</v>
      </c>
      <c r="T128" s="28">
        <f t="shared" si="70"/>
        <v>0</v>
      </c>
      <c r="U128" s="83">
        <f t="shared" si="71"/>
        <v>0</v>
      </c>
      <c r="V128" s="28">
        <f t="shared" si="72"/>
        <v>0</v>
      </c>
      <c r="W128" s="80">
        <f t="shared" si="73"/>
        <v>0</v>
      </c>
      <c r="X128" s="28">
        <f t="shared" si="74"/>
        <v>0</v>
      </c>
      <c r="Y128" s="81">
        <f t="shared" si="75"/>
        <v>0</v>
      </c>
      <c r="Z128" s="1">
        <f t="shared" si="76"/>
        <v>0</v>
      </c>
      <c r="AA128" s="88"/>
      <c r="AB128" s="89"/>
      <c r="AC128" s="90" t="s">
        <v>35</v>
      </c>
      <c r="AD128" s="91" t="e">
        <f>AC125/AB125</f>
        <v>#DIV/0!</v>
      </c>
      <c r="AE128" s="87"/>
    </row>
    <row r="129" ht="15.75" customHeight="1" spans="1:31" x14ac:dyDescent="0.25">
      <c r="A129" s="72"/>
      <c r="B129" s="73">
        <f>IFERROR(VLOOKUP(A129,Mapping!$A:$F,2,FALSE),"")</f>
      </c>
      <c r="C129" s="74">
        <f>IFERROR(VLOOKUP(A129,Mapping!$A:$F,3,FALSE),"")</f>
      </c>
      <c r="D129" s="75"/>
      <c r="E129" s="76"/>
      <c r="F129" s="77">
        <f>IFERROR(VLOOKUP(A129,Mapping!$A:$F,4,FALSE),0)</f>
        <v>0</v>
      </c>
      <c r="G129" s="78">
        <f t="shared" si="60"/>
        <v>0</v>
      </c>
      <c r="H129" s="77">
        <f>IFERROR(VLOOKUP(A129,Mapping!$A:$F,5,FALSE),0)</f>
        <v>0</v>
      </c>
      <c r="I129" s="79"/>
      <c r="J129" s="77">
        <f>IFERROR(VLOOKUP(A129,Mapping!$A:$F,6,FALSE),0)</f>
        <v>0</v>
      </c>
      <c r="K129" s="80">
        <f t="shared" si="61"/>
        <v>0</v>
      </c>
      <c r="L129" s="81">
        <f t="shared" si="62"/>
        <v>0</v>
      </c>
      <c r="M129" s="82">
        <f t="shared" si="63"/>
        <v>0</v>
      </c>
      <c r="N129" s="28">
        <f t="shared" si="64"/>
        <v>0</v>
      </c>
      <c r="O129" s="82">
        <f t="shared" si="65"/>
        <v>0</v>
      </c>
      <c r="P129" s="28">
        <f t="shared" si="66"/>
        <v>0</v>
      </c>
      <c r="Q129" s="82">
        <f t="shared" si="67"/>
        <v>0</v>
      </c>
      <c r="R129" s="28">
        <f t="shared" si="68"/>
        <v>0</v>
      </c>
      <c r="S129" s="82">
        <f t="shared" si="69"/>
        <v>0</v>
      </c>
      <c r="T129" s="28">
        <f t="shared" si="70"/>
        <v>0</v>
      </c>
      <c r="U129" s="83">
        <f t="shared" si="71"/>
        <v>0</v>
      </c>
      <c r="V129" s="28">
        <f t="shared" si="72"/>
        <v>0</v>
      </c>
      <c r="W129" s="80">
        <f t="shared" si="73"/>
        <v>0</v>
      </c>
      <c r="X129" s="28">
        <f t="shared" si="74"/>
        <v>0</v>
      </c>
      <c r="Y129" s="81">
        <f t="shared" si="75"/>
        <v>0</v>
      </c>
      <c r="Z129" s="1">
        <f t="shared" si="76"/>
        <v>0</v>
      </c>
      <c r="AA129" s="88"/>
      <c r="AB129" s="89"/>
      <c r="AC129" s="90" t="s">
        <v>36</v>
      </c>
      <c r="AD129" s="92" t="e">
        <f>SUM(AD131:AD134)</f>
        <v>#DIV/0!</v>
      </c>
      <c r="AE129" s="87"/>
    </row>
    <row r="130" ht="15" customHeight="1" spans="1:31" x14ac:dyDescent="0.25">
      <c r="A130" s="72"/>
      <c r="B130" s="73">
        <f>IFERROR(VLOOKUP(A130,Mapping!$A:$F,2,FALSE),"")</f>
      </c>
      <c r="C130" s="74">
        <f>IFERROR(VLOOKUP(A130,Mapping!$A:$F,3,FALSE),"")</f>
      </c>
      <c r="D130" s="75"/>
      <c r="E130" s="76"/>
      <c r="F130" s="77">
        <f>IFERROR(VLOOKUP(A130,Mapping!$A:$F,4,FALSE),0)</f>
        <v>0</v>
      </c>
      <c r="G130" s="78">
        <f t="shared" si="60"/>
        <v>0</v>
      </c>
      <c r="H130" s="77">
        <f>IFERROR(VLOOKUP(A130,Mapping!$A:$F,5,FALSE),0)</f>
        <v>0</v>
      </c>
      <c r="I130" s="79"/>
      <c r="J130" s="77">
        <f>IFERROR(VLOOKUP(A130,Mapping!$A:$F,6,FALSE),0)</f>
        <v>0</v>
      </c>
      <c r="K130" s="80">
        <f t="shared" si="61"/>
        <v>0</v>
      </c>
      <c r="L130" s="81">
        <f t="shared" si="62"/>
        <v>0</v>
      </c>
      <c r="M130" s="82">
        <f t="shared" si="63"/>
        <v>0</v>
      </c>
      <c r="N130" s="28">
        <f t="shared" si="64"/>
        <v>0</v>
      </c>
      <c r="O130" s="82">
        <f t="shared" si="65"/>
        <v>0</v>
      </c>
      <c r="P130" s="28">
        <f t="shared" si="66"/>
        <v>0</v>
      </c>
      <c r="Q130" s="82">
        <f t="shared" si="67"/>
        <v>0</v>
      </c>
      <c r="R130" s="28">
        <f t="shared" si="68"/>
        <v>0</v>
      </c>
      <c r="S130" s="82">
        <f t="shared" si="69"/>
        <v>0</v>
      </c>
      <c r="T130" s="28">
        <f t="shared" si="70"/>
        <v>0</v>
      </c>
      <c r="U130" s="83">
        <f t="shared" si="71"/>
        <v>0</v>
      </c>
      <c r="V130" s="28">
        <f t="shared" si="72"/>
        <v>0</v>
      </c>
      <c r="W130" s="80">
        <f t="shared" si="73"/>
        <v>0</v>
      </c>
      <c r="X130" s="28">
        <f t="shared" si="74"/>
        <v>0</v>
      </c>
      <c r="Y130" s="81">
        <f t="shared" si="75"/>
        <v>0</v>
      </c>
      <c r="Z130" s="1">
        <f t="shared" si="76"/>
        <v>0</v>
      </c>
      <c r="AA130" s="84"/>
      <c r="AB130" s="85"/>
      <c r="AC130" s="86"/>
      <c r="AD130" s="86"/>
      <c r="AE130" s="87"/>
    </row>
    <row r="131" ht="15" customHeight="1" spans="1:31" x14ac:dyDescent="0.25">
      <c r="A131" s="72"/>
      <c r="B131" s="73">
        <f>IFERROR(VLOOKUP(A131,Mapping!$A:$F,2,FALSE),"")</f>
      </c>
      <c r="C131" s="74">
        <f>IFERROR(VLOOKUP(A131,Mapping!$A:$F,3,FALSE),"")</f>
      </c>
      <c r="D131" s="75"/>
      <c r="E131" s="76"/>
      <c r="F131" s="77">
        <f>IFERROR(VLOOKUP(A131,Mapping!$A:$F,4,FALSE),0)</f>
        <v>0</v>
      </c>
      <c r="G131" s="78">
        <f t="shared" si="60"/>
        <v>0</v>
      </c>
      <c r="H131" s="77">
        <f>IFERROR(VLOOKUP(A131,Mapping!$A:$F,5,FALSE),0)</f>
        <v>0</v>
      </c>
      <c r="I131" s="79"/>
      <c r="J131" s="77">
        <f>IFERROR(VLOOKUP(A131,Mapping!$A:$F,6,FALSE),0)</f>
        <v>0</v>
      </c>
      <c r="K131" s="80">
        <f t="shared" si="61"/>
        <v>0</v>
      </c>
      <c r="L131" s="81">
        <f t="shared" si="62"/>
        <v>0</v>
      </c>
      <c r="M131" s="82">
        <f t="shared" si="63"/>
        <v>0</v>
      </c>
      <c r="N131" s="28">
        <f t="shared" si="64"/>
        <v>0</v>
      </c>
      <c r="O131" s="82">
        <f t="shared" si="65"/>
        <v>0</v>
      </c>
      <c r="P131" s="28">
        <f t="shared" si="66"/>
        <v>0</v>
      </c>
      <c r="Q131" s="82">
        <f t="shared" si="67"/>
        <v>0</v>
      </c>
      <c r="R131" s="28">
        <f t="shared" si="68"/>
        <v>0</v>
      </c>
      <c r="S131" s="82">
        <f t="shared" si="69"/>
        <v>0</v>
      </c>
      <c r="T131" s="28">
        <f t="shared" si="70"/>
        <v>0</v>
      </c>
      <c r="U131" s="83">
        <f t="shared" si="71"/>
        <v>0</v>
      </c>
      <c r="V131" s="28">
        <f t="shared" si="72"/>
        <v>0</v>
      </c>
      <c r="W131" s="80">
        <f t="shared" si="73"/>
        <v>0</v>
      </c>
      <c r="X131" s="28">
        <f t="shared" si="74"/>
        <v>0</v>
      </c>
      <c r="Y131" s="81">
        <f t="shared" si="75"/>
        <v>0</v>
      </c>
      <c r="Z131" s="1">
        <f t="shared" si="76"/>
        <v>0</v>
      </c>
      <c r="AA131" s="84"/>
      <c r="AB131" s="85"/>
      <c r="AC131" s="93" t="s">
        <v>37</v>
      </c>
      <c r="AD131" s="94" t="e">
        <f>SUMIF($D$127:$D$137,AC131,$G$127:$G$137)/$AC$125</f>
        <v>#DIV/0!</v>
      </c>
      <c r="AE131" s="87"/>
    </row>
    <row r="132" ht="15" customHeight="1" spans="1:31" x14ac:dyDescent="0.25">
      <c r="A132" s="72"/>
      <c r="B132" s="73">
        <f>IFERROR(VLOOKUP(A132,Mapping!$A:$F,2,FALSE),"")</f>
      </c>
      <c r="C132" s="74">
        <f>IFERROR(VLOOKUP(A132,Mapping!$A:$F,3,FALSE),"")</f>
      </c>
      <c r="D132" s="75"/>
      <c r="E132" s="76"/>
      <c r="F132" s="77">
        <f>IFERROR(VLOOKUP(A132,Mapping!$A:$F,4,FALSE),0)</f>
        <v>0</v>
      </c>
      <c r="G132" s="78">
        <f t="shared" si="60"/>
        <v>0</v>
      </c>
      <c r="H132" s="77">
        <f>IFERROR(VLOOKUP(A132,Mapping!$A:$F,5,FALSE),0)</f>
        <v>0</v>
      </c>
      <c r="I132" s="79"/>
      <c r="J132" s="77">
        <f>IFERROR(VLOOKUP(A132,Mapping!$A:$F,6,FALSE),0)</f>
        <v>0</v>
      </c>
      <c r="K132" s="80">
        <f t="shared" si="61"/>
        <v>0</v>
      </c>
      <c r="L132" s="81">
        <f t="shared" si="62"/>
        <v>0</v>
      </c>
      <c r="M132" s="82">
        <f t="shared" si="63"/>
        <v>0</v>
      </c>
      <c r="N132" s="28">
        <f t="shared" si="64"/>
        <v>0</v>
      </c>
      <c r="O132" s="82">
        <f t="shared" si="65"/>
        <v>0</v>
      </c>
      <c r="P132" s="28">
        <f t="shared" si="66"/>
        <v>0</v>
      </c>
      <c r="Q132" s="82">
        <f t="shared" si="67"/>
        <v>0</v>
      </c>
      <c r="R132" s="28">
        <f t="shared" si="68"/>
        <v>0</v>
      </c>
      <c r="S132" s="82">
        <f t="shared" si="69"/>
        <v>0</v>
      </c>
      <c r="T132" s="28">
        <f t="shared" si="70"/>
        <v>0</v>
      </c>
      <c r="U132" s="83">
        <f t="shared" si="71"/>
        <v>0</v>
      </c>
      <c r="V132" s="28">
        <f t="shared" si="72"/>
        <v>0</v>
      </c>
      <c r="W132" s="80">
        <f t="shared" si="73"/>
        <v>0</v>
      </c>
      <c r="X132" s="28">
        <f t="shared" si="74"/>
        <v>0</v>
      </c>
      <c r="Y132" s="81">
        <f t="shared" si="75"/>
        <v>0</v>
      </c>
      <c r="Z132" s="1">
        <f t="shared" si="76"/>
        <v>0</v>
      </c>
      <c r="AA132" s="84"/>
      <c r="AB132" s="85"/>
      <c r="AC132" s="93" t="s">
        <v>38</v>
      </c>
      <c r="AD132" s="94" t="e">
        <f t="shared" ref="AD132:AD134" si="77">SUMIF($D$127:$D$137,AC132,$G$127:$G$137)/$AC$125</f>
        <v>#DIV/0!</v>
      </c>
      <c r="AE132" s="87"/>
    </row>
    <row r="133" ht="15" customHeight="1" spans="1:31" x14ac:dyDescent="0.25">
      <c r="A133" s="72"/>
      <c r="B133" s="73">
        <f>IFERROR(VLOOKUP(A133,Mapping!$A:$F,2,FALSE),"")</f>
      </c>
      <c r="C133" s="74">
        <f>IFERROR(VLOOKUP(A133,Mapping!$A:$F,3,FALSE),"")</f>
      </c>
      <c r="D133" s="75"/>
      <c r="E133" s="76"/>
      <c r="F133" s="77">
        <f>IFERROR(VLOOKUP(A133,Mapping!$A:$F,4,FALSE),0)</f>
        <v>0</v>
      </c>
      <c r="G133" s="78">
        <f t="shared" si="60"/>
        <v>0</v>
      </c>
      <c r="H133" s="77">
        <f>IFERROR(VLOOKUP(A133,Mapping!$A:$F,5,FALSE),0)</f>
        <v>0</v>
      </c>
      <c r="I133" s="79"/>
      <c r="J133" s="77">
        <f>IFERROR(VLOOKUP(A133,Mapping!$A:$F,6,FALSE),0)</f>
        <v>0</v>
      </c>
      <c r="K133" s="80">
        <f t="shared" si="61"/>
        <v>0</v>
      </c>
      <c r="L133" s="81">
        <f t="shared" si="62"/>
        <v>0</v>
      </c>
      <c r="M133" s="82">
        <f t="shared" si="63"/>
        <v>0</v>
      </c>
      <c r="N133" s="28">
        <f t="shared" si="64"/>
        <v>0</v>
      </c>
      <c r="O133" s="82">
        <f t="shared" si="65"/>
        <v>0</v>
      </c>
      <c r="P133" s="28">
        <f t="shared" si="66"/>
        <v>0</v>
      </c>
      <c r="Q133" s="82">
        <f t="shared" si="67"/>
        <v>0</v>
      </c>
      <c r="R133" s="28">
        <f t="shared" si="68"/>
        <v>0</v>
      </c>
      <c r="S133" s="82">
        <f t="shared" si="69"/>
        <v>0</v>
      </c>
      <c r="T133" s="28">
        <f t="shared" si="70"/>
        <v>0</v>
      </c>
      <c r="U133" s="83">
        <f t="shared" si="71"/>
        <v>0</v>
      </c>
      <c r="V133" s="28">
        <f t="shared" si="72"/>
        <v>0</v>
      </c>
      <c r="W133" s="80">
        <f t="shared" si="73"/>
        <v>0</v>
      </c>
      <c r="X133" s="28">
        <f t="shared" si="74"/>
        <v>0</v>
      </c>
      <c r="Y133" s="81">
        <f t="shared" si="75"/>
        <v>0</v>
      </c>
      <c r="Z133" s="1">
        <f t="shared" si="76"/>
        <v>0</v>
      </c>
      <c r="AA133" s="84"/>
      <c r="AB133" s="85"/>
      <c r="AC133" s="93" t="s">
        <v>39</v>
      </c>
      <c r="AD133" s="94" t="e">
        <f t="shared" si="77"/>
        <v>#DIV/0!</v>
      </c>
      <c r="AE133" s="87"/>
    </row>
    <row r="134" ht="15" customHeight="1" spans="1:31" x14ac:dyDescent="0.25">
      <c r="A134" s="72"/>
      <c r="B134" s="73">
        <f>IFERROR(VLOOKUP(A134,Mapping!$A:$F,2,FALSE),"")</f>
      </c>
      <c r="C134" s="74">
        <f>IFERROR(VLOOKUP(A134,Mapping!$A:$F,3,FALSE),"")</f>
      </c>
      <c r="D134" s="75"/>
      <c r="E134" s="76"/>
      <c r="F134" s="77">
        <f>IFERROR(VLOOKUP(A134,Mapping!$A:$F,4,FALSE),0)</f>
        <v>0</v>
      </c>
      <c r="G134" s="78">
        <f t="shared" si="60"/>
        <v>0</v>
      </c>
      <c r="H134" s="77">
        <f>IFERROR(VLOOKUP(A134,Mapping!$A:$F,5,FALSE),0)</f>
        <v>0</v>
      </c>
      <c r="I134" s="79"/>
      <c r="J134" s="77">
        <f>IFERROR(VLOOKUP(A134,Mapping!$A:$F,6,FALSE),0)</f>
        <v>0</v>
      </c>
      <c r="K134" s="80">
        <f t="shared" si="61"/>
        <v>0</v>
      </c>
      <c r="L134" s="81">
        <f t="shared" si="62"/>
        <v>0</v>
      </c>
      <c r="M134" s="82">
        <f t="shared" si="63"/>
        <v>0</v>
      </c>
      <c r="N134" s="28">
        <f t="shared" si="64"/>
        <v>0</v>
      </c>
      <c r="O134" s="82">
        <f t="shared" si="65"/>
        <v>0</v>
      </c>
      <c r="P134" s="28">
        <f t="shared" si="66"/>
        <v>0</v>
      </c>
      <c r="Q134" s="82">
        <f t="shared" si="67"/>
        <v>0</v>
      </c>
      <c r="R134" s="28">
        <f t="shared" si="68"/>
        <v>0</v>
      </c>
      <c r="S134" s="82">
        <f t="shared" si="69"/>
        <v>0</v>
      </c>
      <c r="T134" s="28">
        <f t="shared" si="70"/>
        <v>0</v>
      </c>
      <c r="U134" s="83">
        <f t="shared" si="71"/>
        <v>0</v>
      </c>
      <c r="V134" s="28">
        <f t="shared" si="72"/>
        <v>0</v>
      </c>
      <c r="W134" s="80">
        <f t="shared" si="73"/>
        <v>0</v>
      </c>
      <c r="X134" s="28">
        <f t="shared" si="74"/>
        <v>0</v>
      </c>
      <c r="Y134" s="81">
        <f t="shared" si="75"/>
        <v>0</v>
      </c>
      <c r="Z134" s="1">
        <f t="shared" si="76"/>
        <v>0</v>
      </c>
      <c r="AA134" s="84"/>
      <c r="AB134" s="85"/>
      <c r="AC134" s="93" t="s">
        <v>40</v>
      </c>
      <c r="AD134" s="94" t="e">
        <f t="shared" si="77"/>
        <v>#DIV/0!</v>
      </c>
      <c r="AE134" s="87"/>
    </row>
    <row r="135" ht="15" customHeight="1" spans="1:31" x14ac:dyDescent="0.25">
      <c r="A135" s="72"/>
      <c r="B135" s="73">
        <f>IFERROR(VLOOKUP(A135,Mapping!$A:$F,2,FALSE),"")</f>
      </c>
      <c r="C135" s="74">
        <f>IFERROR(VLOOKUP(A135,Mapping!$A:$F,3,FALSE),"")</f>
      </c>
      <c r="D135" s="75"/>
      <c r="E135" s="76"/>
      <c r="F135" s="77">
        <f>IFERROR(VLOOKUP(A135,Mapping!$A:$F,4,FALSE),0)</f>
        <v>0</v>
      </c>
      <c r="G135" s="78">
        <f t="shared" si="60"/>
        <v>0</v>
      </c>
      <c r="H135" s="77">
        <f>IFERROR(VLOOKUP(A135,Mapping!$A:$F,5,FALSE),0)</f>
        <v>0</v>
      </c>
      <c r="I135" s="79"/>
      <c r="J135" s="77">
        <f>IFERROR(VLOOKUP(A135,Mapping!$A:$F,6,FALSE),0)</f>
        <v>0</v>
      </c>
      <c r="K135" s="80">
        <f t="shared" si="61"/>
        <v>0</v>
      </c>
      <c r="L135" s="81">
        <f t="shared" si="62"/>
        <v>0</v>
      </c>
      <c r="M135" s="82">
        <f t="shared" si="63"/>
        <v>0</v>
      </c>
      <c r="N135" s="28">
        <f t="shared" si="64"/>
        <v>0</v>
      </c>
      <c r="O135" s="82">
        <f t="shared" si="65"/>
        <v>0</v>
      </c>
      <c r="P135" s="28">
        <f t="shared" si="66"/>
        <v>0</v>
      </c>
      <c r="Q135" s="82">
        <f t="shared" si="67"/>
        <v>0</v>
      </c>
      <c r="R135" s="28">
        <f t="shared" si="68"/>
        <v>0</v>
      </c>
      <c r="S135" s="82">
        <f t="shared" si="69"/>
        <v>0</v>
      </c>
      <c r="T135" s="28">
        <f t="shared" si="70"/>
        <v>0</v>
      </c>
      <c r="U135" s="83">
        <f t="shared" si="71"/>
        <v>0</v>
      </c>
      <c r="V135" s="28">
        <f t="shared" si="72"/>
        <v>0</v>
      </c>
      <c r="W135" s="80">
        <f t="shared" si="73"/>
        <v>0</v>
      </c>
      <c r="X135" s="28">
        <f t="shared" si="74"/>
        <v>0</v>
      </c>
      <c r="Y135" s="81">
        <f t="shared" si="75"/>
        <v>0</v>
      </c>
      <c r="Z135" s="1">
        <f t="shared" si="76"/>
        <v>0</v>
      </c>
      <c r="AA135" s="84"/>
      <c r="AB135" s="85"/>
      <c r="AC135" s="86"/>
      <c r="AD135" s="86"/>
      <c r="AE135" s="87"/>
    </row>
    <row r="136" ht="15" customHeight="1" spans="1:31" x14ac:dyDescent="0.25">
      <c r="A136" s="72"/>
      <c r="B136" s="73">
        <f>IFERROR(VLOOKUP(A136,Mapping!$A:$F,2,FALSE),"")</f>
      </c>
      <c r="C136" s="74">
        <f>IFERROR(VLOOKUP(A136,Mapping!$A:$F,3,FALSE),"")</f>
      </c>
      <c r="D136" s="75"/>
      <c r="E136" s="76"/>
      <c r="F136" s="77">
        <f>IFERROR(VLOOKUP(A136,Mapping!$A:$F,4,FALSE),0)</f>
        <v>0</v>
      </c>
      <c r="G136" s="78">
        <f t="shared" si="60"/>
        <v>0</v>
      </c>
      <c r="H136" s="77">
        <f>IFERROR(VLOOKUP(A136,Mapping!$A:$F,5,FALSE),0)</f>
        <v>0</v>
      </c>
      <c r="I136" s="79"/>
      <c r="J136" s="77">
        <f>IFERROR(VLOOKUP(A136,Mapping!$A:$F,6,FALSE),0)</f>
        <v>0</v>
      </c>
      <c r="K136" s="80">
        <f t="shared" si="61"/>
        <v>0</v>
      </c>
      <c r="L136" s="81">
        <f t="shared" si="62"/>
        <v>0</v>
      </c>
      <c r="M136" s="82">
        <f t="shared" si="63"/>
        <v>0</v>
      </c>
      <c r="N136" s="28">
        <f t="shared" si="64"/>
        <v>0</v>
      </c>
      <c r="O136" s="82">
        <f t="shared" si="65"/>
        <v>0</v>
      </c>
      <c r="P136" s="28">
        <f t="shared" si="66"/>
        <v>0</v>
      </c>
      <c r="Q136" s="82">
        <f t="shared" si="67"/>
        <v>0</v>
      </c>
      <c r="R136" s="28">
        <f t="shared" si="68"/>
        <v>0</v>
      </c>
      <c r="S136" s="82">
        <f t="shared" si="69"/>
        <v>0</v>
      </c>
      <c r="T136" s="28">
        <f t="shared" si="70"/>
        <v>0</v>
      </c>
      <c r="U136" s="83">
        <f t="shared" si="71"/>
        <v>0</v>
      </c>
      <c r="V136" s="28">
        <f t="shared" si="72"/>
        <v>0</v>
      </c>
      <c r="W136" s="80">
        <f t="shared" si="73"/>
        <v>0</v>
      </c>
      <c r="X136" s="28">
        <f t="shared" si="74"/>
        <v>0</v>
      </c>
      <c r="Y136" s="81">
        <f t="shared" si="75"/>
        <v>0</v>
      </c>
      <c r="Z136" s="1">
        <f t="shared" si="76"/>
        <v>0</v>
      </c>
      <c r="AA136" s="84"/>
      <c r="AB136" s="85"/>
      <c r="AC136" s="86"/>
      <c r="AD136" s="86"/>
      <c r="AE136" s="87"/>
    </row>
    <row r="137" ht="15" customHeight="1" spans="1:31" x14ac:dyDescent="0.25">
      <c r="A137" s="72"/>
      <c r="B137" s="73">
        <f>IFERROR(VLOOKUP(A137,Mapping!$A:$F,2,FALSE),"")</f>
      </c>
      <c r="C137" s="74">
        <f>IFERROR(VLOOKUP(A137,Mapping!$A:$F,3,FALSE),"")</f>
      </c>
      <c r="D137" s="75"/>
      <c r="E137" s="76"/>
      <c r="F137" s="77">
        <f>IFERROR(VLOOKUP(A137,Mapping!$A:$F,4,FALSE),0)</f>
        <v>0</v>
      </c>
      <c r="G137" s="78">
        <f t="shared" si="60"/>
        <v>0</v>
      </c>
      <c r="H137" s="77">
        <f>IFERROR(VLOOKUP(A137,Mapping!$A:$F,5,FALSE),0)</f>
        <v>0</v>
      </c>
      <c r="I137" s="79"/>
      <c r="J137" s="77">
        <f>IFERROR(VLOOKUP(A137,Mapping!$A:$F,6,FALSE),0)</f>
        <v>0</v>
      </c>
      <c r="K137" s="80">
        <f t="shared" si="61"/>
        <v>0</v>
      </c>
      <c r="L137" s="81">
        <f t="shared" si="62"/>
        <v>0</v>
      </c>
      <c r="M137" s="82">
        <f t="shared" si="63"/>
        <v>0</v>
      </c>
      <c r="N137" s="28">
        <f t="shared" si="64"/>
        <v>0</v>
      </c>
      <c r="O137" s="82">
        <f t="shared" si="65"/>
        <v>0</v>
      </c>
      <c r="P137" s="28">
        <f t="shared" si="66"/>
        <v>0</v>
      </c>
      <c r="Q137" s="82">
        <f t="shared" si="67"/>
        <v>0</v>
      </c>
      <c r="R137" s="28">
        <f t="shared" si="68"/>
        <v>0</v>
      </c>
      <c r="S137" s="82">
        <f t="shared" si="69"/>
        <v>0</v>
      </c>
      <c r="T137" s="28">
        <f t="shared" si="70"/>
        <v>0</v>
      </c>
      <c r="U137" s="83">
        <f t="shared" si="71"/>
        <v>0</v>
      </c>
      <c r="V137" s="28">
        <f t="shared" si="72"/>
        <v>0</v>
      </c>
      <c r="W137" s="80">
        <f t="shared" si="73"/>
        <v>0</v>
      </c>
      <c r="X137" s="28">
        <f t="shared" si="74"/>
        <v>0</v>
      </c>
      <c r="Y137" s="81">
        <f t="shared" si="75"/>
        <v>0</v>
      </c>
      <c r="Z137" s="1">
        <f t="shared" si="76"/>
        <v>0</v>
      </c>
      <c r="AA137" s="84"/>
      <c r="AB137" s="85"/>
      <c r="AC137" s="86"/>
      <c r="AD137" s="86"/>
      <c r="AE137" s="87"/>
    </row>
    <row r="138" ht="15" customHeight="1" spans="1:31" x14ac:dyDescent="0.25">
      <c r="A138" s="72"/>
      <c r="B138" s="73">
        <f>IFERROR(VLOOKUP(A138,Mapping!$A:$F,2,FALSE),"")</f>
      </c>
      <c r="C138" s="74">
        <f>IFERROR(VLOOKUP(A138,Mapping!$A:$F,3,FALSE),"")</f>
      </c>
      <c r="D138" s="75"/>
      <c r="E138" s="76"/>
      <c r="F138" s="77">
        <f>IFERROR(VLOOKUP(A138,Mapping!$A:$F,4,FALSE),0)</f>
        <v>0</v>
      </c>
      <c r="G138" s="78">
        <f t="shared" si="60"/>
        <v>0</v>
      </c>
      <c r="H138" s="77">
        <f>IFERROR(VLOOKUP(A138,Mapping!$A:$F,5,FALSE),0)</f>
        <v>0</v>
      </c>
      <c r="I138" s="79"/>
      <c r="J138" s="77">
        <f>IFERROR(VLOOKUP(A138,Mapping!$A:$F,6,FALSE),0)</f>
        <v>0</v>
      </c>
      <c r="K138" s="80">
        <f t="shared" si="61"/>
        <v>0</v>
      </c>
      <c r="L138" s="81">
        <f t="shared" si="62"/>
        <v>0</v>
      </c>
      <c r="M138" s="82">
        <f t="shared" si="63"/>
        <v>0</v>
      </c>
      <c r="N138" s="28">
        <f t="shared" si="64"/>
        <v>0</v>
      </c>
      <c r="O138" s="82">
        <f t="shared" si="65"/>
        <v>0</v>
      </c>
      <c r="P138" s="28">
        <f t="shared" si="66"/>
        <v>0</v>
      </c>
      <c r="Q138" s="82">
        <f t="shared" si="67"/>
        <v>0</v>
      </c>
      <c r="R138" s="28">
        <f t="shared" si="68"/>
        <v>0</v>
      </c>
      <c r="S138" s="82">
        <f t="shared" si="69"/>
        <v>0</v>
      </c>
      <c r="T138" s="28">
        <f t="shared" si="70"/>
        <v>0</v>
      </c>
      <c r="U138" s="83">
        <f t="shared" si="71"/>
        <v>0</v>
      </c>
      <c r="V138" s="28">
        <f t="shared" si="72"/>
        <v>0</v>
      </c>
      <c r="W138" s="80">
        <f t="shared" si="73"/>
        <v>0</v>
      </c>
      <c r="X138" s="28">
        <f t="shared" si="74"/>
        <v>0</v>
      </c>
      <c r="Y138" s="81">
        <f t="shared" si="75"/>
        <v>0</v>
      </c>
      <c r="Z138" s="1">
        <f t="shared" si="76"/>
        <v>0</v>
      </c>
      <c r="AA138" s="84"/>
      <c r="AB138" s="85"/>
      <c r="AC138" s="86"/>
      <c r="AD138" s="86"/>
      <c r="AE138" s="87"/>
    </row>
    <row r="139" ht="15" customHeight="1" spans="1:31" x14ac:dyDescent="0.25">
      <c r="A139" s="72"/>
      <c r="B139" s="73">
        <f>IFERROR(VLOOKUP(A139,Mapping!$A:$F,2,FALSE),"")</f>
      </c>
      <c r="C139" s="74">
        <f>IFERROR(VLOOKUP(A139,Mapping!$A:$F,3,FALSE),"")</f>
      </c>
      <c r="D139" s="75"/>
      <c r="E139" s="76"/>
      <c r="F139" s="77">
        <f>IFERROR(VLOOKUP(A139,Mapping!$A:$F,4,FALSE),0)</f>
        <v>0</v>
      </c>
      <c r="G139" s="78">
        <f t="shared" si="60"/>
        <v>0</v>
      </c>
      <c r="H139" s="77">
        <f>IFERROR(VLOOKUP(A139,Mapping!$A:$F,5,FALSE),0)</f>
        <v>0</v>
      </c>
      <c r="I139" s="79"/>
      <c r="J139" s="77">
        <f>IFERROR(VLOOKUP(A139,Mapping!$A:$F,6,FALSE),0)</f>
        <v>0</v>
      </c>
      <c r="K139" s="80">
        <f t="shared" si="61"/>
        <v>0</v>
      </c>
      <c r="L139" s="81">
        <f t="shared" si="62"/>
        <v>0</v>
      </c>
      <c r="M139" s="82">
        <f t="shared" si="63"/>
        <v>0</v>
      </c>
      <c r="N139" s="28">
        <f t="shared" si="64"/>
        <v>0</v>
      </c>
      <c r="O139" s="82">
        <f t="shared" si="65"/>
        <v>0</v>
      </c>
      <c r="P139" s="28">
        <f t="shared" si="66"/>
        <v>0</v>
      </c>
      <c r="Q139" s="82">
        <f t="shared" si="67"/>
        <v>0</v>
      </c>
      <c r="R139" s="28">
        <f t="shared" si="68"/>
        <v>0</v>
      </c>
      <c r="S139" s="82">
        <f t="shared" si="69"/>
        <v>0</v>
      </c>
      <c r="T139" s="28">
        <f t="shared" si="70"/>
        <v>0</v>
      </c>
      <c r="U139" s="83">
        <f t="shared" si="71"/>
        <v>0</v>
      </c>
      <c r="V139" s="28">
        <f t="shared" si="72"/>
        <v>0</v>
      </c>
      <c r="W139" s="80">
        <f t="shared" si="73"/>
        <v>0</v>
      </c>
      <c r="X139" s="28">
        <f t="shared" si="74"/>
        <v>0</v>
      </c>
      <c r="Y139" s="81">
        <f t="shared" si="75"/>
        <v>0</v>
      </c>
      <c r="Z139" s="1">
        <f t="shared" si="76"/>
        <v>0</v>
      </c>
      <c r="AA139" s="84"/>
      <c r="AB139" s="85"/>
      <c r="AC139" s="95"/>
      <c r="AD139" s="86"/>
      <c r="AE139" s="87"/>
    </row>
    <row r="140" ht="15" customHeight="1" spans="1:31" x14ac:dyDescent="0.25">
      <c r="A140" s="96"/>
      <c r="B140" s="97">
        <f>IFERROR(VLOOKUP(A140,Mapping!$A:$F,2,FALSE),"")</f>
      </c>
      <c r="C140" s="98">
        <f>IFERROR(VLOOKUP(A140,Mapping!$A:$F,3,FALSE),"")</f>
      </c>
      <c r="D140" s="99"/>
      <c r="E140" s="100"/>
      <c r="F140" s="77">
        <f>IFERROR(VLOOKUP(A140,Mapping!$A:$F,4,FALSE),0)</f>
        <v>0</v>
      </c>
      <c r="G140" s="78">
        <f t="shared" si="60"/>
        <v>0</v>
      </c>
      <c r="H140" s="101">
        <f>IFERROR(VLOOKUP(A140,Mapping!$A:$F,5,FALSE),0)</f>
        <v>0</v>
      </c>
      <c r="I140" s="79"/>
      <c r="J140" s="77">
        <f>IFERROR(VLOOKUP(A140,Mapping!$A:$F,6,FALSE),0)</f>
        <v>0</v>
      </c>
      <c r="K140" s="80">
        <f t="shared" ref="K140:K146" si="78">J140*(1-I140)</f>
        <v>0</v>
      </c>
      <c r="L140" s="81">
        <f t="shared" ref="L140:L146" si="79">IFERROR(J140-K140,"")</f>
        <v>0</v>
      </c>
      <c r="M140" s="82">
        <f t="shared" si="63"/>
        <v>0</v>
      </c>
      <c r="N140" s="28">
        <f t="shared" si="64"/>
        <v>0</v>
      </c>
      <c r="O140" s="82">
        <f t="shared" si="65"/>
        <v>0</v>
      </c>
      <c r="P140" s="28">
        <f t="shared" si="66"/>
        <v>0</v>
      </c>
      <c r="Q140" s="82">
        <f t="shared" si="67"/>
        <v>0</v>
      </c>
      <c r="R140" s="28">
        <f t="shared" si="68"/>
        <v>0</v>
      </c>
      <c r="S140" s="82">
        <f t="shared" si="69"/>
        <v>0</v>
      </c>
      <c r="T140" s="28">
        <f t="shared" si="70"/>
        <v>0</v>
      </c>
      <c r="U140" s="83">
        <f t="shared" si="71"/>
        <v>0</v>
      </c>
      <c r="V140" s="28">
        <f t="shared" si="72"/>
        <v>0</v>
      </c>
      <c r="W140" s="80">
        <f t="shared" si="73"/>
        <v>0</v>
      </c>
      <c r="X140" s="28">
        <f t="shared" si="74"/>
        <v>0</v>
      </c>
      <c r="Y140" s="81">
        <f t="shared" si="75"/>
        <v>0</v>
      </c>
      <c r="Z140" s="1">
        <f t="shared" si="76"/>
        <v>0</v>
      </c>
      <c r="AA140" s="84"/>
      <c r="AB140" s="85"/>
      <c r="AC140" s="86"/>
      <c r="AD140" s="102"/>
      <c r="AE140" s="87"/>
    </row>
    <row r="141" ht="15" customHeight="1" spans="1:31" x14ac:dyDescent="0.25">
      <c r="A141" s="96"/>
      <c r="B141" s="97">
        <f>IFERROR(VLOOKUP(A141,Mapping!$A:$F,2,FALSE),"")</f>
      </c>
      <c r="C141" s="98">
        <f>IFERROR(VLOOKUP(A141,Mapping!$A:$F,3,FALSE),"")</f>
      </c>
      <c r="D141" s="99"/>
      <c r="E141" s="100"/>
      <c r="F141" s="77">
        <f>IFERROR(VLOOKUP(A141,Mapping!$A:$F,4,FALSE),0)</f>
        <v>0</v>
      </c>
      <c r="G141" s="78">
        <f t="shared" si="60"/>
        <v>0</v>
      </c>
      <c r="H141" s="101">
        <f>IFERROR(VLOOKUP(A141,Mapping!$A:$F,5,FALSE),0)</f>
        <v>0</v>
      </c>
      <c r="I141" s="79"/>
      <c r="J141" s="77">
        <f>IFERROR(VLOOKUP(A141,Mapping!$A:$F,6,FALSE),0)</f>
        <v>0</v>
      </c>
      <c r="K141" s="80">
        <f t="shared" si="78"/>
        <v>0</v>
      </c>
      <c r="L141" s="81">
        <f t="shared" si="79"/>
        <v>0</v>
      </c>
      <c r="M141" s="82">
        <f t="shared" si="63"/>
        <v>0</v>
      </c>
      <c r="N141" s="28">
        <f t="shared" si="64"/>
        <v>0</v>
      </c>
      <c r="O141" s="82">
        <f t="shared" si="65"/>
        <v>0</v>
      </c>
      <c r="P141" s="28">
        <f t="shared" si="66"/>
        <v>0</v>
      </c>
      <c r="Q141" s="82">
        <f t="shared" si="67"/>
        <v>0</v>
      </c>
      <c r="R141" s="28">
        <f t="shared" si="68"/>
        <v>0</v>
      </c>
      <c r="S141" s="82">
        <f t="shared" si="69"/>
        <v>0</v>
      </c>
      <c r="T141" s="28">
        <f t="shared" si="70"/>
        <v>0</v>
      </c>
      <c r="U141" s="83">
        <f t="shared" si="71"/>
        <v>0</v>
      </c>
      <c r="V141" s="28">
        <f t="shared" si="72"/>
        <v>0</v>
      </c>
      <c r="W141" s="80">
        <f t="shared" si="73"/>
        <v>0</v>
      </c>
      <c r="X141" s="28">
        <f t="shared" si="74"/>
        <v>0</v>
      </c>
      <c r="Y141" s="81">
        <f t="shared" si="75"/>
        <v>0</v>
      </c>
      <c r="Z141" s="1">
        <f t="shared" si="76"/>
        <v>0</v>
      </c>
      <c r="AA141" s="84"/>
      <c r="AB141" s="85"/>
      <c r="AC141" s="86"/>
      <c r="AD141" s="103"/>
      <c r="AE141" s="87"/>
    </row>
    <row r="142" ht="15" customHeight="1" spans="1:31" x14ac:dyDescent="0.25">
      <c r="A142" s="96"/>
      <c r="B142" s="97">
        <f>IFERROR(VLOOKUP(A142,Mapping!$A:$F,2,FALSE),"")</f>
      </c>
      <c r="C142" s="98">
        <f>IFERROR(VLOOKUP(A142,Mapping!$A:$F,3,FALSE),"")</f>
      </c>
      <c r="D142" s="99"/>
      <c r="E142" s="100"/>
      <c r="F142" s="77">
        <f>IFERROR(VLOOKUP(A142,Mapping!$A:$F,4,FALSE),0)</f>
        <v>0</v>
      </c>
      <c r="G142" s="78">
        <f t="shared" si="60"/>
        <v>0</v>
      </c>
      <c r="H142" s="101">
        <f>IFERROR(VLOOKUP(A142,Mapping!$A:$F,5,FALSE),0)</f>
        <v>0</v>
      </c>
      <c r="I142" s="79"/>
      <c r="J142" s="77">
        <f>IFERROR(VLOOKUP(A142,Mapping!$A:$F,6,FALSE),0)</f>
        <v>0</v>
      </c>
      <c r="K142" s="80">
        <f t="shared" si="78"/>
        <v>0</v>
      </c>
      <c r="L142" s="81">
        <f t="shared" si="79"/>
        <v>0</v>
      </c>
      <c r="M142" s="82">
        <f t="shared" si="63"/>
        <v>0</v>
      </c>
      <c r="N142" s="28">
        <f t="shared" si="64"/>
        <v>0</v>
      </c>
      <c r="O142" s="82">
        <f t="shared" si="65"/>
        <v>0</v>
      </c>
      <c r="P142" s="28">
        <f t="shared" si="66"/>
        <v>0</v>
      </c>
      <c r="Q142" s="82">
        <f t="shared" si="67"/>
        <v>0</v>
      </c>
      <c r="R142" s="28">
        <f t="shared" si="68"/>
        <v>0</v>
      </c>
      <c r="S142" s="82">
        <f t="shared" si="69"/>
        <v>0</v>
      </c>
      <c r="T142" s="28">
        <f t="shared" si="70"/>
        <v>0</v>
      </c>
      <c r="U142" s="83">
        <f t="shared" si="71"/>
        <v>0</v>
      </c>
      <c r="V142" s="28">
        <f t="shared" si="72"/>
        <v>0</v>
      </c>
      <c r="W142" s="80">
        <f t="shared" si="73"/>
        <v>0</v>
      </c>
      <c r="X142" s="28">
        <f t="shared" si="74"/>
        <v>0</v>
      </c>
      <c r="Y142" s="81">
        <f t="shared" si="75"/>
        <v>0</v>
      </c>
      <c r="Z142" s="1">
        <f t="shared" si="76"/>
        <v>0</v>
      </c>
      <c r="AA142" s="84"/>
      <c r="AB142" s="85"/>
      <c r="AC142" s="86"/>
      <c r="AD142" s="104"/>
      <c r="AE142" s="87"/>
    </row>
    <row r="143" ht="15" customHeight="1" spans="1:31" x14ac:dyDescent="0.25">
      <c r="A143" s="96"/>
      <c r="B143" s="97">
        <f>IFERROR(VLOOKUP(A143,Mapping!$A:$F,2,FALSE),"")</f>
      </c>
      <c r="C143" s="98">
        <f>IFERROR(VLOOKUP(A143,Mapping!$A:$F,3,FALSE),"")</f>
      </c>
      <c r="D143" s="99"/>
      <c r="E143" s="100"/>
      <c r="F143" s="77">
        <f>IFERROR(VLOOKUP(A143,Mapping!$A:$F,4,FALSE),0)</f>
        <v>0</v>
      </c>
      <c r="G143" s="78">
        <f t="shared" si="60"/>
        <v>0</v>
      </c>
      <c r="H143" s="101">
        <f>IFERROR(VLOOKUP(A143,Mapping!$A:$F,5,FALSE),0)</f>
        <v>0</v>
      </c>
      <c r="I143" s="79"/>
      <c r="J143" s="77">
        <f>IFERROR(VLOOKUP(A143,Mapping!$A:$F,6,FALSE),0)</f>
        <v>0</v>
      </c>
      <c r="K143" s="80">
        <f t="shared" si="78"/>
        <v>0</v>
      </c>
      <c r="L143" s="81">
        <f t="shared" si="79"/>
        <v>0</v>
      </c>
      <c r="M143" s="82">
        <f t="shared" si="63"/>
        <v>0</v>
      </c>
      <c r="N143" s="28">
        <f t="shared" si="64"/>
        <v>0</v>
      </c>
      <c r="O143" s="82">
        <f t="shared" si="65"/>
        <v>0</v>
      </c>
      <c r="P143" s="28">
        <f t="shared" si="66"/>
        <v>0</v>
      </c>
      <c r="Q143" s="82">
        <f t="shared" si="67"/>
        <v>0</v>
      </c>
      <c r="R143" s="28">
        <f t="shared" si="68"/>
        <v>0</v>
      </c>
      <c r="S143" s="82">
        <f t="shared" si="69"/>
        <v>0</v>
      </c>
      <c r="T143" s="28">
        <f t="shared" si="70"/>
        <v>0</v>
      </c>
      <c r="U143" s="83">
        <f t="shared" si="71"/>
        <v>0</v>
      </c>
      <c r="V143" s="28">
        <f t="shared" si="72"/>
        <v>0</v>
      </c>
      <c r="W143" s="80">
        <f t="shared" si="73"/>
        <v>0</v>
      </c>
      <c r="X143" s="28">
        <f t="shared" si="74"/>
        <v>0</v>
      </c>
      <c r="Y143" s="81">
        <f t="shared" si="75"/>
        <v>0</v>
      </c>
      <c r="Z143" s="1">
        <f t="shared" si="76"/>
        <v>0</v>
      </c>
      <c r="AA143" s="84"/>
      <c r="AB143" s="85"/>
      <c r="AC143" s="86"/>
      <c r="AD143" s="103"/>
      <c r="AE143" s="87"/>
    </row>
    <row r="144" ht="15" customHeight="1" spans="1:31" x14ac:dyDescent="0.25">
      <c r="A144" s="96"/>
      <c r="B144" s="97">
        <f>IFERROR(VLOOKUP(A144,Mapping!$A:$F,2,FALSE),"")</f>
      </c>
      <c r="C144" s="98">
        <f>IFERROR(VLOOKUP(A144,Mapping!$A:$F,3,FALSE),"")</f>
      </c>
      <c r="D144" s="99"/>
      <c r="E144" s="100"/>
      <c r="F144" s="77">
        <f>IFERROR(VLOOKUP(A144,Mapping!$A:$F,4,FALSE),0)</f>
        <v>0</v>
      </c>
      <c r="G144" s="78">
        <f t="shared" si="60"/>
        <v>0</v>
      </c>
      <c r="H144" s="101">
        <f>IFERROR(VLOOKUP(A144,Mapping!$A:$F,5,FALSE),0)</f>
        <v>0</v>
      </c>
      <c r="I144" s="79"/>
      <c r="J144" s="77">
        <f>IFERROR(VLOOKUP(A144,Mapping!$A:$F,6,FALSE),0)</f>
        <v>0</v>
      </c>
      <c r="K144" s="80">
        <f t="shared" si="78"/>
        <v>0</v>
      </c>
      <c r="L144" s="81">
        <f t="shared" si="79"/>
        <v>0</v>
      </c>
      <c r="M144" s="82">
        <f t="shared" si="63"/>
        <v>0</v>
      </c>
      <c r="N144" s="28">
        <f t="shared" si="64"/>
        <v>0</v>
      </c>
      <c r="O144" s="82">
        <f t="shared" si="65"/>
        <v>0</v>
      </c>
      <c r="P144" s="28">
        <f t="shared" si="66"/>
        <v>0</v>
      </c>
      <c r="Q144" s="82">
        <f t="shared" si="67"/>
        <v>0</v>
      </c>
      <c r="R144" s="28">
        <f t="shared" si="68"/>
        <v>0</v>
      </c>
      <c r="S144" s="82">
        <f t="shared" si="69"/>
        <v>0</v>
      </c>
      <c r="T144" s="28">
        <f t="shared" si="70"/>
        <v>0</v>
      </c>
      <c r="U144" s="83">
        <f t="shared" si="71"/>
        <v>0</v>
      </c>
      <c r="V144" s="28">
        <f t="shared" si="72"/>
        <v>0</v>
      </c>
      <c r="W144" s="80">
        <f t="shared" si="73"/>
        <v>0</v>
      </c>
      <c r="X144" s="28">
        <f t="shared" si="74"/>
        <v>0</v>
      </c>
      <c r="Y144" s="81">
        <f t="shared" si="75"/>
        <v>0</v>
      </c>
      <c r="Z144" s="1">
        <f t="shared" si="76"/>
        <v>0</v>
      </c>
      <c r="AA144" s="84"/>
      <c r="AB144" s="85"/>
      <c r="AC144" s="85"/>
      <c r="AD144" s="85"/>
      <c r="AE144" s="87"/>
    </row>
    <row r="145" ht="15" customHeight="1" spans="1:31" x14ac:dyDescent="0.25">
      <c r="A145" s="96"/>
      <c r="B145" s="97">
        <f>IFERROR(VLOOKUP(A145,Mapping!$A:$F,2,FALSE),"")</f>
      </c>
      <c r="C145" s="98">
        <f>IFERROR(VLOOKUP(A145,Mapping!$A:$F,3,FALSE),"")</f>
      </c>
      <c r="D145" s="99"/>
      <c r="E145" s="100"/>
      <c r="F145" s="77">
        <f>IFERROR(VLOOKUP(A145,Mapping!$A:$F,4,FALSE),0)</f>
        <v>0</v>
      </c>
      <c r="G145" s="78">
        <f t="shared" si="60"/>
        <v>0</v>
      </c>
      <c r="H145" s="101">
        <f>IFERROR(VLOOKUP(A145,Mapping!$A:$F,5,FALSE),0)</f>
        <v>0</v>
      </c>
      <c r="I145" s="79"/>
      <c r="J145" s="77">
        <f>IFERROR(VLOOKUP(A145,Mapping!$A:$F,6,FALSE),0)</f>
        <v>0</v>
      </c>
      <c r="K145" s="80">
        <f t="shared" si="78"/>
        <v>0</v>
      </c>
      <c r="L145" s="81">
        <f t="shared" si="79"/>
        <v>0</v>
      </c>
      <c r="M145" s="82">
        <f t="shared" si="63"/>
        <v>0</v>
      </c>
      <c r="N145" s="28">
        <f t="shared" si="64"/>
        <v>0</v>
      </c>
      <c r="O145" s="82">
        <f t="shared" si="65"/>
        <v>0</v>
      </c>
      <c r="P145" s="28">
        <f t="shared" si="66"/>
        <v>0</v>
      </c>
      <c r="Q145" s="82">
        <f t="shared" si="67"/>
        <v>0</v>
      </c>
      <c r="R145" s="28">
        <f t="shared" si="68"/>
        <v>0</v>
      </c>
      <c r="S145" s="82">
        <f t="shared" si="69"/>
        <v>0</v>
      </c>
      <c r="T145" s="28">
        <f t="shared" si="70"/>
        <v>0</v>
      </c>
      <c r="U145" s="83">
        <f t="shared" si="71"/>
        <v>0</v>
      </c>
      <c r="V145" s="28">
        <f t="shared" si="72"/>
        <v>0</v>
      </c>
      <c r="W145" s="80">
        <f t="shared" si="73"/>
        <v>0</v>
      </c>
      <c r="X145" s="28">
        <f t="shared" si="74"/>
        <v>0</v>
      </c>
      <c r="Y145" s="81">
        <f t="shared" si="75"/>
        <v>0</v>
      </c>
      <c r="Z145" s="1">
        <f t="shared" si="76"/>
        <v>0</v>
      </c>
      <c r="AA145" s="84"/>
      <c r="AB145" s="85"/>
      <c r="AC145" s="95"/>
      <c r="AD145" s="85"/>
      <c r="AE145" s="87"/>
    </row>
    <row r="146" ht="15.75" customHeight="1" spans="1:31" x14ac:dyDescent="0.25">
      <c r="A146" s="96"/>
      <c r="B146" s="97">
        <f>IFERROR(VLOOKUP(A146,Mapping!$A:$F,2,FALSE),"")</f>
      </c>
      <c r="C146" s="98">
        <f>IFERROR(VLOOKUP(A146,Mapping!$A:$F,3,FALSE),"")</f>
      </c>
      <c r="D146" s="99"/>
      <c r="E146" s="100"/>
      <c r="F146" s="77">
        <f>IFERROR(VLOOKUP(A146,Mapping!$A:$F,4,FALSE),0)</f>
        <v>0</v>
      </c>
      <c r="G146" s="78">
        <f t="shared" si="60"/>
        <v>0</v>
      </c>
      <c r="H146" s="101">
        <f>IFERROR(VLOOKUP(A146,Mapping!$A:$F,5,FALSE),0)</f>
        <v>0</v>
      </c>
      <c r="I146" s="79"/>
      <c r="J146" s="77">
        <f>IFERROR(VLOOKUP(A146,Mapping!$A:$F,6,FALSE),0)</f>
        <v>0</v>
      </c>
      <c r="K146" s="80">
        <f t="shared" si="78"/>
        <v>0</v>
      </c>
      <c r="L146" s="81">
        <f t="shared" si="79"/>
        <v>0</v>
      </c>
      <c r="M146" s="105">
        <f t="shared" si="63"/>
        <v>0</v>
      </c>
      <c r="N146" s="106">
        <f t="shared" si="64"/>
        <v>0</v>
      </c>
      <c r="O146" s="105">
        <f t="shared" si="65"/>
        <v>0</v>
      </c>
      <c r="P146" s="106">
        <f t="shared" si="66"/>
        <v>0</v>
      </c>
      <c r="Q146" s="105">
        <f t="shared" si="67"/>
        <v>0</v>
      </c>
      <c r="R146" s="106">
        <f t="shared" si="68"/>
        <v>0</v>
      </c>
      <c r="S146" s="105">
        <f t="shared" si="69"/>
        <v>0</v>
      </c>
      <c r="T146" s="106">
        <f t="shared" si="70"/>
        <v>0</v>
      </c>
      <c r="U146" s="107">
        <f t="shared" si="71"/>
        <v>0</v>
      </c>
      <c r="V146" s="106">
        <f t="shared" si="72"/>
        <v>0</v>
      </c>
      <c r="W146" s="108">
        <f t="shared" si="73"/>
        <v>0</v>
      </c>
      <c r="X146" s="106">
        <f t="shared" si="74"/>
        <v>0</v>
      </c>
      <c r="Y146" s="109">
        <f t="shared" si="75"/>
        <v>0</v>
      </c>
      <c r="Z146" s="110">
        <f t="shared" si="76"/>
        <v>0</v>
      </c>
      <c r="AA146" s="111"/>
      <c r="AB146" s="112"/>
      <c r="AC146" s="113"/>
      <c r="AD146" s="114"/>
      <c r="AE146" s="115"/>
    </row>
    <row r="147" ht="15" customHeight="1" x14ac:dyDescent="0.25"/>
    <row r="148" ht="15" customHeight="1" spans="31:35" x14ac:dyDescent="0.25">
      <c r="AE148" s="12"/>
      <c r="AF148" s="13"/>
      <c r="AG148" s="13"/>
      <c r="AH148" s="13"/>
      <c r="AI148" s="14"/>
    </row>
    <row r="149" ht="15" customHeight="1" spans="1:35" x14ac:dyDescent="0.25">
      <c r="A149" s="5" t="s">
        <v>46</v>
      </c>
      <c r="B149" s="6"/>
      <c r="C149" s="7"/>
      <c r="D149" s="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21"/>
      <c r="AF149" s="22" t="s">
        <v>47</v>
      </c>
      <c r="AG149" s="22"/>
      <c r="AH149" s="22"/>
      <c r="AI149" s="23"/>
    </row>
    <row r="150" ht="15.75" customHeight="1" spans="13:35" x14ac:dyDescent="0.25">
      <c r="M150" s="129" t="s">
        <v>48</v>
      </c>
      <c r="N150" s="130"/>
      <c r="O150" s="130"/>
      <c r="P150" s="129" t="s">
        <v>49</v>
      </c>
      <c r="Q150" s="130"/>
      <c r="R150" s="130"/>
      <c r="S150" s="131" t="s">
        <v>50</v>
      </c>
      <c r="T150" s="132"/>
      <c r="U150" s="132"/>
      <c r="V150" s="132"/>
      <c r="W150" s="132"/>
      <c r="X150" s="132"/>
      <c r="Y150" s="131" t="s">
        <v>51</v>
      </c>
      <c r="Z150" s="132"/>
      <c r="AA150" s="132"/>
      <c r="AB150" s="132"/>
      <c r="AC150" s="132"/>
      <c r="AD150" s="132"/>
      <c r="AE150" s="29"/>
      <c r="AF150" s="21"/>
      <c r="AG150" s="21"/>
      <c r="AH150" s="21"/>
      <c r="AI150" s="23"/>
    </row>
    <row r="151" ht="15" customHeight="1" spans="13:35" x14ac:dyDescent="0.25">
      <c r="M151" s="24"/>
      <c r="N151" s="26"/>
      <c r="O151" s="26"/>
      <c r="P151" s="24"/>
      <c r="Q151" s="26"/>
      <c r="R151" s="25"/>
      <c r="S151" s="26"/>
      <c r="T151" s="26"/>
      <c r="U151" s="25"/>
      <c r="V151" s="24"/>
      <c r="W151" s="26"/>
      <c r="X151" s="25"/>
      <c r="Y151" s="24"/>
      <c r="Z151" s="26"/>
      <c r="AA151" s="25"/>
      <c r="AB151" s="24"/>
      <c r="AC151" s="26"/>
      <c r="AD151" s="25"/>
      <c r="AE151" s="29"/>
      <c r="AF151" s="33" t="s">
        <v>13</v>
      </c>
      <c r="AG151" s="33"/>
      <c r="AH151" s="33"/>
      <c r="AI151" s="23"/>
    </row>
    <row r="152" ht="15" customHeight="1" spans="13:35" x14ac:dyDescent="0.25">
      <c r="M152" s="133" t="s">
        <v>52</v>
      </c>
      <c r="N152" s="134"/>
      <c r="O152" s="134"/>
      <c r="P152" s="133" t="s">
        <v>53</v>
      </c>
      <c r="Q152" s="134"/>
      <c r="R152" s="135"/>
      <c r="S152" s="136" t="s">
        <v>54</v>
      </c>
      <c r="T152" s="134"/>
      <c r="U152" s="135"/>
      <c r="V152" s="133" t="s">
        <v>55</v>
      </c>
      <c r="W152" s="134"/>
      <c r="X152" s="135"/>
      <c r="Y152" s="133" t="s">
        <v>56</v>
      </c>
      <c r="Z152" s="134"/>
      <c r="AA152" s="135"/>
      <c r="AB152" s="133" t="s">
        <v>57</v>
      </c>
      <c r="AC152" s="134"/>
      <c r="AD152" s="135"/>
      <c r="AE152" s="27"/>
      <c r="AF152" s="39"/>
      <c r="AG152" s="39"/>
      <c r="AH152" s="39"/>
      <c r="AI152" s="28"/>
    </row>
    <row r="153" ht="15" customHeight="1" spans="13:35" x14ac:dyDescent="0.25">
      <c r="M153" s="137" t="s">
        <v>15</v>
      </c>
      <c r="N153" s="138"/>
      <c r="O153" s="139">
        <v>0.25</v>
      </c>
      <c r="P153" s="137" t="s">
        <v>15</v>
      </c>
      <c r="Q153" s="138"/>
      <c r="R153" s="140">
        <v>0.2</v>
      </c>
      <c r="S153" s="138" t="s">
        <v>15</v>
      </c>
      <c r="T153" s="138"/>
      <c r="U153" s="140">
        <v>0.16</v>
      </c>
      <c r="V153" s="137" t="s">
        <v>15</v>
      </c>
      <c r="W153" s="138"/>
      <c r="X153" s="140">
        <v>0.185</v>
      </c>
      <c r="Y153" s="137" t="s">
        <v>15</v>
      </c>
      <c r="Z153" s="138"/>
      <c r="AA153" s="140">
        <v>0.15</v>
      </c>
      <c r="AB153" s="137" t="s">
        <v>15</v>
      </c>
      <c r="AC153" s="138"/>
      <c r="AD153" s="140">
        <v>0.2</v>
      </c>
      <c r="AE153" s="29"/>
      <c r="AF153" s="141"/>
      <c r="AG153" s="21"/>
      <c r="AH153" s="21"/>
      <c r="AI153" s="23"/>
    </row>
    <row r="154" ht="39" customHeight="1" spans="1:35" x14ac:dyDescent="0.25">
      <c r="A154" s="45"/>
      <c r="B154" s="45"/>
      <c r="C154" s="46"/>
      <c r="D154" s="45"/>
      <c r="E154" s="47"/>
      <c r="F154" s="47" t="s">
        <v>18</v>
      </c>
      <c r="H154" s="47" t="s">
        <v>20</v>
      </c>
      <c r="I154" s="47" t="s">
        <v>21</v>
      </c>
      <c r="J154" s="47" t="s">
        <v>22</v>
      </c>
      <c r="K154" s="47" t="s">
        <v>23</v>
      </c>
      <c r="L154" s="47" t="s">
        <v>24</v>
      </c>
      <c r="M154" s="48" t="s">
        <v>58</v>
      </c>
      <c r="N154" s="47" t="s">
        <v>25</v>
      </c>
      <c r="O154" s="47" t="s">
        <v>26</v>
      </c>
      <c r="P154" s="48" t="s">
        <v>58</v>
      </c>
      <c r="Q154" s="47" t="s">
        <v>25</v>
      </c>
      <c r="R154" s="49" t="s">
        <v>26</v>
      </c>
      <c r="S154" s="47" t="s">
        <v>58</v>
      </c>
      <c r="T154" s="47" t="s">
        <v>25</v>
      </c>
      <c r="U154" s="49" t="s">
        <v>26</v>
      </c>
      <c r="V154" s="48" t="s">
        <v>58</v>
      </c>
      <c r="W154" s="47" t="s">
        <v>25</v>
      </c>
      <c r="X154" s="49" t="s">
        <v>26</v>
      </c>
      <c r="Y154" s="48" t="s">
        <v>58</v>
      </c>
      <c r="Z154" s="47" t="s">
        <v>25</v>
      </c>
      <c r="AA154" s="49" t="s">
        <v>26</v>
      </c>
      <c r="AB154" s="48" t="s">
        <v>58</v>
      </c>
      <c r="AC154" s="47" t="s">
        <v>25</v>
      </c>
      <c r="AD154" s="49" t="s">
        <v>26</v>
      </c>
      <c r="AE154" s="50"/>
      <c r="AF154" s="141"/>
      <c r="AG154" s="51" t="s">
        <v>25</v>
      </c>
      <c r="AH154" s="51" t="s">
        <v>26</v>
      </c>
      <c r="AI154" s="52"/>
    </row>
    <row r="155" ht="26.25" customHeight="1" spans="1:35" x14ac:dyDescent="0.25">
      <c r="A155" s="53" t="s">
        <v>28</v>
      </c>
      <c r="B155" s="53" t="s">
        <v>29</v>
      </c>
      <c r="C155" s="53" t="s">
        <v>30</v>
      </c>
      <c r="D155" s="53" t="s">
        <v>31</v>
      </c>
      <c r="E155" s="53" t="s">
        <v>59</v>
      </c>
      <c r="F155" s="53" t="s">
        <v>33</v>
      </c>
      <c r="H155" s="53" t="s">
        <v>33</v>
      </c>
      <c r="I155" s="53" t="s">
        <v>33</v>
      </c>
      <c r="J155" s="53" t="s">
        <v>33</v>
      </c>
      <c r="K155" s="53" t="s">
        <v>33</v>
      </c>
      <c r="L155" s="53" t="s">
        <v>33</v>
      </c>
      <c r="M155" s="54" t="s">
        <v>32</v>
      </c>
      <c r="N155" s="53" t="s">
        <v>33</v>
      </c>
      <c r="O155" s="53" t="s">
        <v>33</v>
      </c>
      <c r="P155" s="54" t="s">
        <v>32</v>
      </c>
      <c r="Q155" s="53" t="s">
        <v>33</v>
      </c>
      <c r="R155" s="55" t="s">
        <v>33</v>
      </c>
      <c r="S155" s="53" t="s">
        <v>32</v>
      </c>
      <c r="T155" s="53" t="s">
        <v>33</v>
      </c>
      <c r="U155" s="55" t="s">
        <v>33</v>
      </c>
      <c r="V155" s="54" t="s">
        <v>32</v>
      </c>
      <c r="W155" s="53" t="s">
        <v>33</v>
      </c>
      <c r="X155" s="55" t="s">
        <v>33</v>
      </c>
      <c r="Y155" s="54" t="s">
        <v>32</v>
      </c>
      <c r="Z155" s="53" t="s">
        <v>33</v>
      </c>
      <c r="AA155" s="55" t="s">
        <v>33</v>
      </c>
      <c r="AB155" s="54" t="s">
        <v>32</v>
      </c>
      <c r="AC155" s="53" t="s">
        <v>33</v>
      </c>
      <c r="AD155" s="55" t="s">
        <v>33</v>
      </c>
      <c r="AE155" s="29"/>
      <c r="AF155" s="141"/>
      <c r="AG155" s="58" t="s">
        <v>33</v>
      </c>
      <c r="AH155" s="58" t="s">
        <v>33</v>
      </c>
      <c r="AI155" s="23"/>
    </row>
    <row r="156" ht="15" customHeight="1" spans="1:35" x14ac:dyDescent="0.25">
      <c r="A156" s="1"/>
      <c r="B156" s="1"/>
      <c r="C156" s="2"/>
      <c r="D156" s="1"/>
      <c r="E156" s="1"/>
      <c r="F156" s="1"/>
      <c r="H156" s="1"/>
      <c r="I156" s="1"/>
      <c r="J156" s="1"/>
      <c r="M156" s="142"/>
      <c r="N156" s="1"/>
      <c r="O156" s="1"/>
      <c r="P156" s="142"/>
      <c r="Q156" s="1"/>
      <c r="R156" s="28"/>
      <c r="S156" s="1"/>
      <c r="T156" s="1"/>
      <c r="U156" s="28"/>
      <c r="V156" s="142"/>
      <c r="W156" s="1"/>
      <c r="X156" s="28"/>
      <c r="Y156" s="142"/>
      <c r="Z156" s="1"/>
      <c r="AA156" s="28"/>
      <c r="AB156" s="142"/>
      <c r="AC156" s="1"/>
      <c r="AD156" s="28"/>
      <c r="AE156" s="29"/>
      <c r="AF156" s="141"/>
      <c r="AG156" s="21"/>
      <c r="AH156" s="21"/>
      <c r="AI156" s="23"/>
    </row>
    <row r="157" ht="15" customHeight="1" spans="1:35" x14ac:dyDescent="0.25">
      <c r="A157" s="59" t="s">
        <v>34</v>
      </c>
      <c r="B157" s="59"/>
      <c r="C157" s="60"/>
      <c r="D157" s="59"/>
      <c r="E157" s="59">
        <f>SUM(E159:E178)</f>
        <v>0</v>
      </c>
      <c r="F157" s="61"/>
      <c r="H157" s="61"/>
      <c r="I157" s="62"/>
      <c r="J157" s="61"/>
      <c r="K157" s="61"/>
      <c r="L157" s="61"/>
      <c r="M157" s="143">
        <f>SUM(M159:M178)</f>
        <v>0</v>
      </c>
      <c r="N157" s="65">
        <f>SUM(N159:N178)</f>
        <v>0</v>
      </c>
      <c r="O157" s="66">
        <f>SUM(O159:O178)</f>
        <v>0</v>
      </c>
      <c r="P157" s="143">
        <f>SUM(P159:P178)</f>
        <v>0</v>
      </c>
      <c r="Q157" s="65">
        <f>SUM(Q159:Q178)</f>
        <v>0</v>
      </c>
      <c r="R157" s="64">
        <f>SUM(R159:R178)</f>
        <v>0</v>
      </c>
      <c r="S157" s="144">
        <f>SUM(S159:S178)</f>
        <v>0</v>
      </c>
      <c r="T157" s="65">
        <f>SUM(T159:T178)</f>
        <v>0</v>
      </c>
      <c r="U157" s="66">
        <f>SUM(U159:U178)</f>
        <v>0</v>
      </c>
      <c r="V157" s="143">
        <f>SUM(V159:V178)</f>
        <v>0</v>
      </c>
      <c r="W157" s="65">
        <f>SUM(W159:W178)</f>
        <v>0</v>
      </c>
      <c r="X157" s="66">
        <f>SUM(X159:X178)</f>
        <v>0</v>
      </c>
      <c r="Y157" s="143">
        <f>SUM(Y159:Y178)</f>
        <v>0</v>
      </c>
      <c r="Z157" s="65">
        <f>SUM(Z159:Z178)</f>
        <v>0</v>
      </c>
      <c r="AA157" s="66">
        <f>SUM(AA159:AA178)</f>
        <v>0</v>
      </c>
      <c r="AB157" s="143">
        <f>SUM(AB159:AB178)</f>
        <v>0</v>
      </c>
      <c r="AC157" s="65">
        <f>SUM(AC159:AC178)</f>
        <v>0</v>
      </c>
      <c r="AD157" s="66">
        <f>SUM(AD159:AD178)</f>
        <v>0</v>
      </c>
      <c r="AE157" s="67"/>
      <c r="AF157" s="141"/>
      <c r="AG157" s="69">
        <f>N157+Q157+T157+W157+Z157+AC157</f>
        <v>0</v>
      </c>
      <c r="AH157" s="69">
        <f>O157+R157+U157+X157+AA157+AD157</f>
        <v>0</v>
      </c>
      <c r="AI157" s="71"/>
    </row>
    <row r="158" ht="15.75" customHeight="1" spans="1:35" x14ac:dyDescent="0.25">
      <c r="A158" s="1"/>
      <c r="B158" s="1"/>
      <c r="C158" s="2"/>
      <c r="D158" s="1"/>
      <c r="E158" s="1"/>
      <c r="F158" s="1"/>
      <c r="H158" s="1"/>
      <c r="I158" s="1"/>
      <c r="J158" s="1"/>
      <c r="M158" s="142"/>
      <c r="N158" s="1"/>
      <c r="O158" s="1"/>
      <c r="P158" s="142"/>
      <c r="Q158" s="1"/>
      <c r="R158" s="28"/>
      <c r="S158" s="1"/>
      <c r="T158" s="1"/>
      <c r="U158" s="28"/>
      <c r="V158" s="142"/>
      <c r="W158" s="1"/>
      <c r="X158" s="28"/>
      <c r="Y158" s="142"/>
      <c r="Z158" s="1"/>
      <c r="AA158" s="28"/>
      <c r="AB158" s="142"/>
      <c r="AC158" s="1"/>
      <c r="AD158" s="28"/>
      <c r="AE158" s="29"/>
      <c r="AF158" s="21"/>
      <c r="AG158" s="21"/>
      <c r="AH158" s="21"/>
      <c r="AI158" s="23"/>
    </row>
    <row r="159" ht="15" customHeight="1" spans="1:35" x14ac:dyDescent="0.25">
      <c r="A159" s="72"/>
      <c r="B159" s="73">
        <f>IFERROR(VLOOKUP(A159,Mapping!$A:$F,2,FALSE),"")</f>
      </c>
      <c r="C159" s="74"/>
      <c r="D159" s="75"/>
      <c r="E159" s="76">
        <f t="shared" ref="E159:E178" si="80">M159+P159+S159+V159+Y159+AB159</f>
        <v>0</v>
      </c>
      <c r="F159" s="77">
        <f>IFERROR(VLOOKUP(A159,Mapping!$A:$F,4,FALSE),0)</f>
        <v>0</v>
      </c>
      <c r="G159" s="145"/>
      <c r="H159" s="77">
        <f>IFERROR(VLOOKUP(A159,Mapping!$A:$F,5,FALSE),0)</f>
        <v>0</v>
      </c>
      <c r="I159" s="79"/>
      <c r="J159" s="77">
        <f>IFERROR(VLOOKUP(A159,Mapping!$A:$F,6,FALSE),0)</f>
        <v>0</v>
      </c>
      <c r="K159" s="80">
        <f t="shared" ref="K159:K171" si="81">J159*(1-I159)</f>
        <v>0</v>
      </c>
      <c r="L159" s="81">
        <f t="shared" ref="L159:L178" si="82">IFERROR(J159-K159,"")</f>
        <v>0</v>
      </c>
      <c r="M159" s="146"/>
      <c r="N159" s="147">
        <f t="shared" ref="N159:N178" si="83">M159*H159*(1-I159)*(1-$O$153)</f>
        <v>0</v>
      </c>
      <c r="O159" s="148">
        <f>N159-($F$159*M159)</f>
        <v>0</v>
      </c>
      <c r="P159" s="149"/>
      <c r="Q159" s="147">
        <f>P159*H159*(1-I159)*(1-$R$153)</f>
        <v>0</v>
      </c>
      <c r="R159" s="150">
        <f>Q159-(F159*P159)</f>
        <v>0</v>
      </c>
      <c r="S159" s="151"/>
      <c r="T159" s="147">
        <f>S159*H159*(1-I159)*(1-$U$153)</f>
        <v>0</v>
      </c>
      <c r="U159" s="152">
        <f>T159-(F159*S159)</f>
        <v>0</v>
      </c>
      <c r="V159" s="151"/>
      <c r="W159" s="147">
        <f>V159*H159*(1-I159)*(1-$X$153)</f>
        <v>0</v>
      </c>
      <c r="X159" s="152">
        <f>W159-(F159*V159)</f>
        <v>0</v>
      </c>
      <c r="Y159" s="151"/>
      <c r="Z159" s="147">
        <f>Y159*H159*(1-I159)*(1-$AA$153)</f>
        <v>0</v>
      </c>
      <c r="AA159" s="152">
        <f>Z159-(F159*Y159)</f>
        <v>0</v>
      </c>
      <c r="AB159" s="153"/>
      <c r="AC159" s="147">
        <f>AB159*H159*(1-I159)*(1-$AD$153)</f>
        <v>0</v>
      </c>
      <c r="AD159" s="152">
        <f>AC159-(F159*AB159)</f>
        <v>0</v>
      </c>
      <c r="AE159" s="86"/>
      <c r="AF159" s="85"/>
      <c r="AG159" s="86"/>
      <c r="AH159" s="86"/>
      <c r="AI159" s="87"/>
    </row>
    <row r="160" ht="15" customHeight="1" spans="1:35" x14ac:dyDescent="0.25">
      <c r="A160" s="72"/>
      <c r="B160" s="73">
        <f>IFERROR(VLOOKUP(A160,Mapping!$A:$F,2,FALSE),"")</f>
      </c>
      <c r="C160" s="74"/>
      <c r="D160" s="75"/>
      <c r="E160" s="76">
        <f t="shared" si="80"/>
        <v>0</v>
      </c>
      <c r="F160" s="77">
        <f>IFERROR(VLOOKUP(A160,Mapping!$A:$F,4,FALSE),0)</f>
        <v>0</v>
      </c>
      <c r="G160" s="145"/>
      <c r="H160" s="77">
        <f>IFERROR(VLOOKUP(A160,Mapping!$A:$F,5,FALSE),0)</f>
        <v>0</v>
      </c>
      <c r="I160" s="79"/>
      <c r="J160" s="77">
        <f>IFERROR(VLOOKUP(A160,Mapping!$A:$F,6,FALSE),0)</f>
        <v>0</v>
      </c>
      <c r="K160" s="80">
        <f t="shared" si="81"/>
        <v>0</v>
      </c>
      <c r="L160" s="81">
        <f t="shared" si="82"/>
        <v>0</v>
      </c>
      <c r="M160" s="154"/>
      <c r="N160" s="155">
        <f t="shared" si="83"/>
        <v>0</v>
      </c>
      <c r="O160" s="156">
        <f t="shared" ref="O159:O178" si="84">N160-(F160*M160)</f>
        <v>0</v>
      </c>
      <c r="P160" s="157"/>
      <c r="Q160" s="158">
        <f t="shared" ref="Q160:Q178" si="85">P160*H160*(1-I160)*(1-$R$153)</f>
        <v>0</v>
      </c>
      <c r="R160" s="159">
        <f t="shared" ref="R160:R178" si="86">Q160-(F160*P160)</f>
        <v>0</v>
      </c>
      <c r="S160" s="160"/>
      <c r="T160" s="155">
        <f t="shared" ref="T160:T178" si="87">S160*H160*(1-I160)*(1-$U$153)</f>
        <v>0</v>
      </c>
      <c r="U160" s="159">
        <f t="shared" ref="U160:U178" si="88">T160-(F160*S160)</f>
        <v>0</v>
      </c>
      <c r="V160" s="160"/>
      <c r="W160" s="155">
        <f t="shared" ref="W160:W178" si="89">V160*H160*(1-I160)*(1-$X$153)</f>
        <v>0</v>
      </c>
      <c r="X160" s="159">
        <f t="shared" ref="X160:X178" si="90">W160-(F160*V160)</f>
        <v>0</v>
      </c>
      <c r="Y160" s="160"/>
      <c r="Z160" s="155">
        <f t="shared" ref="Z160:Z178" si="91">Y160*H160*(1-I160)*(1-$AA$153)</f>
        <v>0</v>
      </c>
      <c r="AA160" s="159">
        <f t="shared" ref="AA160:AA178" si="92">Z160-(F160*Y160)</f>
        <v>0</v>
      </c>
      <c r="AB160" s="161"/>
      <c r="AC160" s="155">
        <f t="shared" ref="AC160:AC178" si="93">AB160*H160*(1-I160)*(1-$AD$153)</f>
        <v>0</v>
      </c>
      <c r="AD160" s="159">
        <f t="shared" ref="AD160:AD178" si="94">AC160-(F160*AB160)</f>
        <v>0</v>
      </c>
      <c r="AE160" s="86"/>
      <c r="AF160" s="85"/>
      <c r="AG160" s="86"/>
      <c r="AH160" s="86"/>
      <c r="AI160" s="87"/>
    </row>
    <row r="161" ht="15" customHeight="1" spans="1:35" x14ac:dyDescent="0.25">
      <c r="A161" s="72"/>
      <c r="B161" s="73">
        <f>IFERROR(VLOOKUP(A161,Mapping!$A:$F,2,FALSE),"")</f>
      </c>
      <c r="C161" s="74"/>
      <c r="D161" s="75"/>
      <c r="E161" s="76">
        <f t="shared" si="80"/>
        <v>0</v>
      </c>
      <c r="F161" s="77">
        <f>IFERROR(VLOOKUP(A161,Mapping!$A:$F,4,FALSE),0)</f>
        <v>0</v>
      </c>
      <c r="G161" s="145"/>
      <c r="H161" s="77">
        <f>IFERROR(VLOOKUP(A161,Mapping!$A:$F,5,FALSE),0)</f>
        <v>0</v>
      </c>
      <c r="I161" s="79"/>
      <c r="J161" s="77">
        <f>IFERROR(VLOOKUP(A161,Mapping!$A:$F,6,FALSE),0)</f>
        <v>0</v>
      </c>
      <c r="K161" s="80">
        <f t="shared" si="81"/>
        <v>0</v>
      </c>
      <c r="L161" s="81">
        <f t="shared" si="82"/>
        <v>0</v>
      </c>
      <c r="M161" s="154"/>
      <c r="N161" s="155">
        <f t="shared" si="83"/>
        <v>0</v>
      </c>
      <c r="O161" s="156">
        <f t="shared" si="84"/>
        <v>0</v>
      </c>
      <c r="P161" s="157"/>
      <c r="Q161" s="158">
        <f t="shared" si="85"/>
        <v>0</v>
      </c>
      <c r="R161" s="159">
        <f t="shared" si="86"/>
        <v>0</v>
      </c>
      <c r="S161" s="160"/>
      <c r="T161" s="155">
        <f t="shared" si="87"/>
        <v>0</v>
      </c>
      <c r="U161" s="159">
        <f t="shared" si="88"/>
        <v>0</v>
      </c>
      <c r="V161" s="160"/>
      <c r="W161" s="155">
        <f t="shared" si="89"/>
        <v>0</v>
      </c>
      <c r="X161" s="159">
        <f t="shared" si="90"/>
        <v>0</v>
      </c>
      <c r="Y161" s="160"/>
      <c r="Z161" s="155">
        <f t="shared" si="91"/>
        <v>0</v>
      </c>
      <c r="AA161" s="159">
        <f t="shared" si="92"/>
        <v>0</v>
      </c>
      <c r="AB161" s="161"/>
      <c r="AC161" s="155">
        <f t="shared" si="93"/>
        <v>0</v>
      </c>
      <c r="AD161" s="159">
        <f t="shared" si="94"/>
        <v>0</v>
      </c>
      <c r="AE161" s="162"/>
      <c r="AF161" s="89"/>
      <c r="AG161" s="90" t="s">
        <v>36</v>
      </c>
      <c r="AH161" s="92" t="e">
        <f>SUM(AH163:AH166)</f>
        <v>#DIV/0!</v>
      </c>
      <c r="AI161" s="87"/>
    </row>
    <row r="162" ht="15" customHeight="1" spans="1:35" x14ac:dyDescent="0.25">
      <c r="A162" s="72"/>
      <c r="B162" s="73">
        <f>IFERROR(VLOOKUP(A162,Mapping!$A:$F,2,FALSE),"")</f>
      </c>
      <c r="C162" s="74"/>
      <c r="D162" s="75"/>
      <c r="E162" s="76">
        <f t="shared" si="80"/>
        <v>0</v>
      </c>
      <c r="F162" s="77">
        <f>IFERROR(VLOOKUP(A162,Mapping!$A:$F,4,FALSE),0)</f>
        <v>0</v>
      </c>
      <c r="G162" s="145"/>
      <c r="H162" s="77">
        <f>IFERROR(VLOOKUP(A162,Mapping!$A:$F,5,FALSE),0)</f>
        <v>0</v>
      </c>
      <c r="I162" s="79"/>
      <c r="J162" s="77">
        <f>IFERROR(VLOOKUP(A162,Mapping!$A:$F,6,FALSE),0)</f>
        <v>0</v>
      </c>
      <c r="K162" s="80">
        <f t="shared" si="81"/>
        <v>0</v>
      </c>
      <c r="L162" s="81">
        <f t="shared" si="82"/>
        <v>0</v>
      </c>
      <c r="M162" s="154"/>
      <c r="N162" s="155">
        <f t="shared" si="83"/>
        <v>0</v>
      </c>
      <c r="O162" s="156">
        <f t="shared" si="84"/>
        <v>0</v>
      </c>
      <c r="P162" s="157"/>
      <c r="Q162" s="158">
        <f t="shared" si="85"/>
        <v>0</v>
      </c>
      <c r="R162" s="159">
        <f t="shared" si="86"/>
        <v>0</v>
      </c>
      <c r="S162" s="160"/>
      <c r="T162" s="155">
        <f t="shared" si="87"/>
        <v>0</v>
      </c>
      <c r="U162" s="159">
        <f t="shared" si="88"/>
        <v>0</v>
      </c>
      <c r="V162" s="160"/>
      <c r="W162" s="155">
        <f t="shared" si="89"/>
        <v>0</v>
      </c>
      <c r="X162" s="159">
        <f t="shared" si="90"/>
        <v>0</v>
      </c>
      <c r="Y162" s="160"/>
      <c r="Z162" s="155">
        <f t="shared" si="91"/>
        <v>0</v>
      </c>
      <c r="AA162" s="159">
        <f t="shared" si="92"/>
        <v>0</v>
      </c>
      <c r="AB162" s="161"/>
      <c r="AC162" s="155">
        <f t="shared" si="93"/>
        <v>0</v>
      </c>
      <c r="AD162" s="159">
        <f t="shared" si="94"/>
        <v>0</v>
      </c>
      <c r="AE162" s="86"/>
      <c r="AF162" s="85"/>
      <c r="AG162" s="86"/>
      <c r="AH162" s="86"/>
      <c r="AI162" s="87"/>
    </row>
    <row r="163" ht="15" customHeight="1" spans="1:35" x14ac:dyDescent="0.25">
      <c r="A163" s="72"/>
      <c r="B163" s="73">
        <f>IFERROR(VLOOKUP(A163,Mapping!$A:$F,2,FALSE),"")</f>
      </c>
      <c r="C163" s="74"/>
      <c r="D163" s="75"/>
      <c r="E163" s="76">
        <f t="shared" si="80"/>
        <v>0</v>
      </c>
      <c r="F163" s="77">
        <f>IFERROR(VLOOKUP(A163,Mapping!$A:$F,4,FALSE),0)</f>
        <v>0</v>
      </c>
      <c r="G163" s="145"/>
      <c r="H163" s="77">
        <f>IFERROR(VLOOKUP(A163,Mapping!$A:$F,5,FALSE),0)</f>
        <v>0</v>
      </c>
      <c r="I163" s="79"/>
      <c r="J163" s="77">
        <f>IFERROR(VLOOKUP(A163,Mapping!$A:$F,6,FALSE),0)</f>
        <v>0</v>
      </c>
      <c r="K163" s="80">
        <f t="shared" si="81"/>
        <v>0</v>
      </c>
      <c r="L163" s="81">
        <f t="shared" si="82"/>
        <v>0</v>
      </c>
      <c r="M163" s="154"/>
      <c r="N163" s="155">
        <f t="shared" si="83"/>
        <v>0</v>
      </c>
      <c r="O163" s="156">
        <f t="shared" si="84"/>
        <v>0</v>
      </c>
      <c r="P163" s="157"/>
      <c r="Q163" s="158">
        <f t="shared" si="85"/>
        <v>0</v>
      </c>
      <c r="R163" s="159">
        <f t="shared" si="86"/>
        <v>0</v>
      </c>
      <c r="S163" s="160"/>
      <c r="T163" s="155">
        <f t="shared" si="87"/>
        <v>0</v>
      </c>
      <c r="U163" s="159">
        <f t="shared" si="88"/>
        <v>0</v>
      </c>
      <c r="V163" s="160"/>
      <c r="W163" s="155">
        <f t="shared" si="89"/>
        <v>0</v>
      </c>
      <c r="X163" s="159">
        <f t="shared" si="90"/>
        <v>0</v>
      </c>
      <c r="Y163" s="160"/>
      <c r="Z163" s="155">
        <f t="shared" si="91"/>
        <v>0</v>
      </c>
      <c r="AA163" s="159">
        <f t="shared" si="92"/>
        <v>0</v>
      </c>
      <c r="AB163" s="161"/>
      <c r="AC163" s="155">
        <f t="shared" si="93"/>
        <v>0</v>
      </c>
      <c r="AD163" s="159">
        <f t="shared" si="94"/>
        <v>0</v>
      </c>
      <c r="AE163" s="86"/>
      <c r="AF163" s="85"/>
      <c r="AG163" s="93" t="s">
        <v>37</v>
      </c>
      <c r="AH163" s="163" t="e">
        <f>SUMIF($D$159:$D$178,AG163,$G$159:$G$178)/$AG$157</f>
        <v>#DIV/0!</v>
      </c>
      <c r="AI163" s="87"/>
    </row>
    <row r="164" ht="15" customHeight="1" spans="1:35" x14ac:dyDescent="0.25">
      <c r="A164" s="72"/>
      <c r="B164" s="73">
        <f>IFERROR(VLOOKUP(A164,Mapping!$A:$F,2,FALSE),"")</f>
      </c>
      <c r="C164" s="74"/>
      <c r="D164" s="75"/>
      <c r="E164" s="76">
        <f t="shared" si="80"/>
        <v>0</v>
      </c>
      <c r="F164" s="77">
        <f>IFERROR(VLOOKUP(A164,Mapping!$A:$F,4,FALSE),0)</f>
        <v>0</v>
      </c>
      <c r="G164" s="145"/>
      <c r="H164" s="77">
        <f>IFERROR(VLOOKUP(A164,Mapping!$A:$F,5,FALSE),0)</f>
        <v>0</v>
      </c>
      <c r="I164" s="79"/>
      <c r="J164" s="77">
        <f>IFERROR(VLOOKUP(A164,Mapping!$A:$F,6,FALSE),0)</f>
        <v>0</v>
      </c>
      <c r="K164" s="80">
        <f t="shared" si="81"/>
        <v>0</v>
      </c>
      <c r="L164" s="81">
        <f t="shared" si="82"/>
        <v>0</v>
      </c>
      <c r="M164" s="154"/>
      <c r="N164" s="155">
        <f t="shared" si="83"/>
        <v>0</v>
      </c>
      <c r="O164" s="156">
        <f t="shared" si="84"/>
        <v>0</v>
      </c>
      <c r="P164" s="157"/>
      <c r="Q164" s="158">
        <f t="shared" si="85"/>
        <v>0</v>
      </c>
      <c r="R164" s="159">
        <f t="shared" si="86"/>
        <v>0</v>
      </c>
      <c r="S164" s="160"/>
      <c r="T164" s="155">
        <f t="shared" si="87"/>
        <v>0</v>
      </c>
      <c r="U164" s="159">
        <f t="shared" si="88"/>
        <v>0</v>
      </c>
      <c r="V164" s="160"/>
      <c r="W164" s="155">
        <f t="shared" si="89"/>
        <v>0</v>
      </c>
      <c r="X164" s="159">
        <f t="shared" si="90"/>
        <v>0</v>
      </c>
      <c r="Y164" s="160"/>
      <c r="Z164" s="155">
        <f t="shared" si="91"/>
        <v>0</v>
      </c>
      <c r="AA164" s="159">
        <f t="shared" si="92"/>
        <v>0</v>
      </c>
      <c r="AB164" s="161"/>
      <c r="AC164" s="155">
        <f t="shared" si="93"/>
        <v>0</v>
      </c>
      <c r="AD164" s="159">
        <f t="shared" si="94"/>
        <v>0</v>
      </c>
      <c r="AE164" s="86"/>
      <c r="AF164" s="85"/>
      <c r="AG164" s="93" t="s">
        <v>38</v>
      </c>
      <c r="AH164" s="163" t="e">
        <f t="shared" ref="AH164:AH166" si="95">SUMIF($D$159:$D$178,AG164,$G$159:$G$178)/$AG$157</f>
        <v>#DIV/0!</v>
      </c>
      <c r="AI164" s="87"/>
    </row>
    <row r="165" ht="15" customHeight="1" spans="1:35" x14ac:dyDescent="0.25">
      <c r="A165" s="72"/>
      <c r="B165" s="73">
        <f>IFERROR(VLOOKUP(A165,Mapping!$A:$F,2,FALSE),"")</f>
      </c>
      <c r="C165" s="74"/>
      <c r="D165" s="75"/>
      <c r="E165" s="76">
        <f t="shared" si="80"/>
        <v>0</v>
      </c>
      <c r="F165" s="77">
        <f>IFERROR(VLOOKUP(A165,Mapping!$A:$F,4,FALSE),0)</f>
        <v>0</v>
      </c>
      <c r="G165" s="145"/>
      <c r="H165" s="77">
        <f>IFERROR(VLOOKUP(A165,Mapping!$A:$F,5,FALSE),0)</f>
        <v>0</v>
      </c>
      <c r="I165" s="79"/>
      <c r="J165" s="77">
        <f>IFERROR(VLOOKUP(A165,Mapping!$A:$F,6,FALSE),0)</f>
        <v>0</v>
      </c>
      <c r="K165" s="80">
        <f t="shared" si="81"/>
        <v>0</v>
      </c>
      <c r="L165" s="81">
        <f t="shared" si="82"/>
        <v>0</v>
      </c>
      <c r="M165" s="154"/>
      <c r="N165" s="155">
        <f t="shared" si="83"/>
        <v>0</v>
      </c>
      <c r="O165" s="156">
        <f t="shared" si="84"/>
        <v>0</v>
      </c>
      <c r="P165" s="157"/>
      <c r="Q165" s="158">
        <f t="shared" si="85"/>
        <v>0</v>
      </c>
      <c r="R165" s="159">
        <f t="shared" si="86"/>
        <v>0</v>
      </c>
      <c r="S165" s="160"/>
      <c r="T165" s="155">
        <f t="shared" si="87"/>
        <v>0</v>
      </c>
      <c r="U165" s="159">
        <f t="shared" si="88"/>
        <v>0</v>
      </c>
      <c r="V165" s="160"/>
      <c r="W165" s="155">
        <f t="shared" si="89"/>
        <v>0</v>
      </c>
      <c r="X165" s="159">
        <f t="shared" si="90"/>
        <v>0</v>
      </c>
      <c r="Y165" s="160"/>
      <c r="Z165" s="155">
        <f t="shared" si="91"/>
        <v>0</v>
      </c>
      <c r="AA165" s="159">
        <f t="shared" si="92"/>
        <v>0</v>
      </c>
      <c r="AB165" s="161"/>
      <c r="AC165" s="155">
        <f t="shared" si="93"/>
        <v>0</v>
      </c>
      <c r="AD165" s="159">
        <f t="shared" si="94"/>
        <v>0</v>
      </c>
      <c r="AE165" s="86"/>
      <c r="AF165" s="85"/>
      <c r="AG165" s="93" t="s">
        <v>39</v>
      </c>
      <c r="AH165" s="163" t="e">
        <f t="shared" si="95"/>
        <v>#DIV/0!</v>
      </c>
      <c r="AI165" s="87"/>
    </row>
    <row r="166" ht="15" customHeight="1" spans="1:35" x14ac:dyDescent="0.25">
      <c r="A166" s="72"/>
      <c r="B166" s="73">
        <f>IFERROR(VLOOKUP(A166,Mapping!$A:$F,2,FALSE),"")</f>
      </c>
      <c r="C166" s="74"/>
      <c r="D166" s="75"/>
      <c r="E166" s="76">
        <f t="shared" si="80"/>
        <v>0</v>
      </c>
      <c r="F166" s="77">
        <f>IFERROR(VLOOKUP(A166,Mapping!$A:$F,4,FALSE),0)</f>
        <v>0</v>
      </c>
      <c r="G166" s="145"/>
      <c r="H166" s="77">
        <f>IFERROR(VLOOKUP(A166,Mapping!$A:$F,5,FALSE),0)</f>
        <v>0</v>
      </c>
      <c r="I166" s="79"/>
      <c r="J166" s="77">
        <f>IFERROR(VLOOKUP(A166,Mapping!$A:$F,6,FALSE),0)</f>
        <v>0</v>
      </c>
      <c r="K166" s="80">
        <f t="shared" si="81"/>
        <v>0</v>
      </c>
      <c r="L166" s="81">
        <f t="shared" si="82"/>
        <v>0</v>
      </c>
      <c r="M166" s="154"/>
      <c r="N166" s="155">
        <f t="shared" si="83"/>
        <v>0</v>
      </c>
      <c r="O166" s="156">
        <f t="shared" si="84"/>
        <v>0</v>
      </c>
      <c r="P166" s="157"/>
      <c r="Q166" s="158">
        <f t="shared" si="85"/>
        <v>0</v>
      </c>
      <c r="R166" s="159">
        <f t="shared" si="86"/>
        <v>0</v>
      </c>
      <c r="S166" s="160"/>
      <c r="T166" s="155">
        <f t="shared" si="87"/>
        <v>0</v>
      </c>
      <c r="U166" s="159">
        <f t="shared" si="88"/>
        <v>0</v>
      </c>
      <c r="V166" s="160"/>
      <c r="W166" s="155">
        <f t="shared" si="89"/>
        <v>0</v>
      </c>
      <c r="X166" s="159">
        <f t="shared" si="90"/>
        <v>0</v>
      </c>
      <c r="Y166" s="160"/>
      <c r="Z166" s="155">
        <f t="shared" si="91"/>
        <v>0</v>
      </c>
      <c r="AA166" s="159">
        <f t="shared" si="92"/>
        <v>0</v>
      </c>
      <c r="AB166" s="161"/>
      <c r="AC166" s="155">
        <f t="shared" si="93"/>
        <v>0</v>
      </c>
      <c r="AD166" s="159">
        <f t="shared" si="94"/>
        <v>0</v>
      </c>
      <c r="AE166" s="86"/>
      <c r="AF166" s="85"/>
      <c r="AG166" s="93" t="s">
        <v>40</v>
      </c>
      <c r="AH166" s="163" t="e">
        <f t="shared" si="95"/>
        <v>#DIV/0!</v>
      </c>
      <c r="AI166" s="87"/>
    </row>
    <row r="167" ht="15" customHeight="1" spans="1:35" x14ac:dyDescent="0.25">
      <c r="A167" s="72"/>
      <c r="B167" s="73">
        <f>IFERROR(VLOOKUP(A167,Mapping!$A:$F,2,FALSE),"")</f>
      </c>
      <c r="C167" s="74"/>
      <c r="D167" s="75"/>
      <c r="E167" s="76">
        <f t="shared" si="80"/>
        <v>0</v>
      </c>
      <c r="F167" s="77">
        <f>IFERROR(VLOOKUP(A167,Mapping!$A:$F,4,FALSE),0)</f>
        <v>0</v>
      </c>
      <c r="G167" s="145"/>
      <c r="H167" s="77">
        <f>IFERROR(VLOOKUP(A167,Mapping!$A:$F,5,FALSE),0)</f>
        <v>0</v>
      </c>
      <c r="I167" s="79"/>
      <c r="J167" s="77">
        <f>IFERROR(VLOOKUP(A167,Mapping!$A:$F,6,FALSE),0)</f>
        <v>0</v>
      </c>
      <c r="K167" s="80">
        <f t="shared" si="81"/>
        <v>0</v>
      </c>
      <c r="L167" s="81">
        <f t="shared" si="82"/>
        <v>0</v>
      </c>
      <c r="M167" s="154"/>
      <c r="N167" s="155">
        <f t="shared" si="83"/>
        <v>0</v>
      </c>
      <c r="O167" s="156">
        <f t="shared" si="84"/>
        <v>0</v>
      </c>
      <c r="P167" s="157"/>
      <c r="Q167" s="158">
        <f t="shared" si="85"/>
        <v>0</v>
      </c>
      <c r="R167" s="159">
        <f t="shared" si="86"/>
        <v>0</v>
      </c>
      <c r="S167" s="160"/>
      <c r="T167" s="155">
        <f t="shared" si="87"/>
        <v>0</v>
      </c>
      <c r="U167" s="159">
        <f t="shared" si="88"/>
        <v>0</v>
      </c>
      <c r="V167" s="160"/>
      <c r="W167" s="155">
        <f t="shared" si="89"/>
        <v>0</v>
      </c>
      <c r="X167" s="159">
        <f t="shared" si="90"/>
        <v>0</v>
      </c>
      <c r="Y167" s="160"/>
      <c r="Z167" s="155">
        <f t="shared" si="91"/>
        <v>0</v>
      </c>
      <c r="AA167" s="159">
        <f t="shared" si="92"/>
        <v>0</v>
      </c>
      <c r="AB167" s="161"/>
      <c r="AC167" s="155">
        <f t="shared" si="93"/>
        <v>0</v>
      </c>
      <c r="AD167" s="159">
        <f t="shared" si="94"/>
        <v>0</v>
      </c>
      <c r="AE167" s="86"/>
      <c r="AF167" s="85"/>
      <c r="AG167" s="86"/>
      <c r="AH167" s="86"/>
      <c r="AI167" s="87"/>
    </row>
    <row r="168" ht="15" customHeight="1" spans="1:35" x14ac:dyDescent="0.25">
      <c r="A168" s="72"/>
      <c r="B168" s="73">
        <f>IFERROR(VLOOKUP(A168,Mapping!$A:$F,2,FALSE),"")</f>
      </c>
      <c r="C168" s="74"/>
      <c r="D168" s="75"/>
      <c r="E168" s="76">
        <f t="shared" si="80"/>
        <v>0</v>
      </c>
      <c r="F168" s="77">
        <f>IFERROR(VLOOKUP(A168,Mapping!$A:$F,4,FALSE),0)</f>
        <v>0</v>
      </c>
      <c r="G168" s="145"/>
      <c r="H168" s="77">
        <f>IFERROR(VLOOKUP(A168,Mapping!$A:$F,5,FALSE),0)</f>
        <v>0</v>
      </c>
      <c r="I168" s="79"/>
      <c r="J168" s="77">
        <f>IFERROR(VLOOKUP(A168,Mapping!$A:$F,6,FALSE),0)</f>
        <v>0</v>
      </c>
      <c r="K168" s="80">
        <f t="shared" si="81"/>
        <v>0</v>
      </c>
      <c r="L168" s="81">
        <f t="shared" si="82"/>
        <v>0</v>
      </c>
      <c r="M168" s="154"/>
      <c r="N168" s="155">
        <f t="shared" si="83"/>
        <v>0</v>
      </c>
      <c r="O168" s="156">
        <f t="shared" si="84"/>
        <v>0</v>
      </c>
      <c r="P168" s="157"/>
      <c r="Q168" s="158">
        <f t="shared" si="85"/>
        <v>0</v>
      </c>
      <c r="R168" s="159">
        <f t="shared" si="86"/>
        <v>0</v>
      </c>
      <c r="S168" s="160"/>
      <c r="T168" s="155">
        <f t="shared" si="87"/>
        <v>0</v>
      </c>
      <c r="U168" s="159">
        <f t="shared" si="88"/>
        <v>0</v>
      </c>
      <c r="V168" s="160"/>
      <c r="W168" s="155">
        <f t="shared" si="89"/>
        <v>0</v>
      </c>
      <c r="X168" s="159">
        <f t="shared" si="90"/>
        <v>0</v>
      </c>
      <c r="Y168" s="160"/>
      <c r="Z168" s="155">
        <f t="shared" si="91"/>
        <v>0</v>
      </c>
      <c r="AA168" s="159">
        <f t="shared" si="92"/>
        <v>0</v>
      </c>
      <c r="AB168" s="161"/>
      <c r="AC168" s="155">
        <f t="shared" si="93"/>
        <v>0</v>
      </c>
      <c r="AD168" s="159">
        <f t="shared" si="94"/>
        <v>0</v>
      </c>
      <c r="AE168" s="86"/>
      <c r="AF168" s="85"/>
      <c r="AG168" s="86"/>
      <c r="AH168" s="86"/>
      <c r="AI168" s="87"/>
    </row>
    <row r="169" ht="15" customHeight="1" spans="1:35" x14ac:dyDescent="0.25">
      <c r="A169" s="72"/>
      <c r="B169" s="73">
        <f>IFERROR(VLOOKUP(A169,Mapping!$A:$F,2,FALSE),"")</f>
      </c>
      <c r="C169" s="74"/>
      <c r="D169" s="75"/>
      <c r="E169" s="76">
        <f t="shared" si="80"/>
        <v>0</v>
      </c>
      <c r="F169" s="77">
        <f>IFERROR(VLOOKUP(A169,Mapping!$A:$F,4,FALSE),0)</f>
        <v>0</v>
      </c>
      <c r="G169" s="145"/>
      <c r="H169" s="77">
        <f>IFERROR(VLOOKUP(A169,Mapping!$A:$F,5,FALSE),0)</f>
        <v>0</v>
      </c>
      <c r="I169" s="79"/>
      <c r="J169" s="77">
        <f>IFERROR(VLOOKUP(A169,Mapping!$A:$F,6,FALSE),0)</f>
        <v>0</v>
      </c>
      <c r="K169" s="80">
        <f t="shared" si="81"/>
        <v>0</v>
      </c>
      <c r="L169" s="81">
        <f t="shared" si="82"/>
        <v>0</v>
      </c>
      <c r="M169" s="154"/>
      <c r="N169" s="155">
        <f t="shared" si="83"/>
        <v>0</v>
      </c>
      <c r="O169" s="156">
        <f t="shared" si="84"/>
        <v>0</v>
      </c>
      <c r="P169" s="157"/>
      <c r="Q169" s="158">
        <f t="shared" si="85"/>
        <v>0</v>
      </c>
      <c r="R169" s="159">
        <f t="shared" si="86"/>
        <v>0</v>
      </c>
      <c r="S169" s="160"/>
      <c r="T169" s="155">
        <f t="shared" si="87"/>
        <v>0</v>
      </c>
      <c r="U169" s="159">
        <f t="shared" si="88"/>
        <v>0</v>
      </c>
      <c r="V169" s="160"/>
      <c r="W169" s="155">
        <f t="shared" si="89"/>
        <v>0</v>
      </c>
      <c r="X169" s="159">
        <f t="shared" si="90"/>
        <v>0</v>
      </c>
      <c r="Y169" s="160"/>
      <c r="Z169" s="155">
        <f t="shared" si="91"/>
        <v>0</v>
      </c>
      <c r="AA169" s="159">
        <f t="shared" si="92"/>
        <v>0</v>
      </c>
      <c r="AB169" s="161"/>
      <c r="AC169" s="155">
        <f t="shared" si="93"/>
        <v>0</v>
      </c>
      <c r="AD169" s="159">
        <f t="shared" si="94"/>
        <v>0</v>
      </c>
      <c r="AE169" s="86"/>
      <c r="AF169" s="85"/>
      <c r="AG169" s="86"/>
      <c r="AH169" s="86"/>
      <c r="AI169" s="87"/>
    </row>
    <row r="170" ht="15" customHeight="1" spans="1:35" x14ac:dyDescent="0.25">
      <c r="A170" s="72"/>
      <c r="B170" s="73">
        <f>IFERROR(VLOOKUP(A170,Mapping!$A:$F,2,FALSE),"")</f>
      </c>
      <c r="C170" s="74"/>
      <c r="D170" s="75"/>
      <c r="E170" s="76">
        <f t="shared" si="80"/>
        <v>0</v>
      </c>
      <c r="F170" s="77">
        <f>IFERROR(VLOOKUP(A170,Mapping!$A:$F,4,FALSE),0)</f>
        <v>0</v>
      </c>
      <c r="G170" s="145"/>
      <c r="H170" s="77">
        <f>IFERROR(VLOOKUP(A170,Mapping!$A:$F,5,FALSE),0)</f>
        <v>0</v>
      </c>
      <c r="I170" s="79"/>
      <c r="J170" s="77">
        <f>IFERROR(VLOOKUP(A170,Mapping!$A:$F,6,FALSE),0)</f>
        <v>0</v>
      </c>
      <c r="K170" s="80">
        <f t="shared" si="81"/>
        <v>0</v>
      </c>
      <c r="L170" s="81">
        <f t="shared" si="82"/>
        <v>0</v>
      </c>
      <c r="M170" s="154"/>
      <c r="N170" s="155">
        <f t="shared" si="83"/>
        <v>0</v>
      </c>
      <c r="O170" s="156">
        <f t="shared" si="84"/>
        <v>0</v>
      </c>
      <c r="P170" s="157"/>
      <c r="Q170" s="158">
        <f t="shared" si="85"/>
        <v>0</v>
      </c>
      <c r="R170" s="159">
        <f t="shared" si="86"/>
        <v>0</v>
      </c>
      <c r="S170" s="160"/>
      <c r="T170" s="155">
        <f t="shared" si="87"/>
        <v>0</v>
      </c>
      <c r="U170" s="159">
        <f t="shared" si="88"/>
        <v>0</v>
      </c>
      <c r="V170" s="160"/>
      <c r="W170" s="155">
        <f t="shared" si="89"/>
        <v>0</v>
      </c>
      <c r="X170" s="159">
        <f t="shared" si="90"/>
        <v>0</v>
      </c>
      <c r="Y170" s="160"/>
      <c r="Z170" s="155">
        <f t="shared" si="91"/>
        <v>0</v>
      </c>
      <c r="AA170" s="159">
        <f t="shared" si="92"/>
        <v>0</v>
      </c>
      <c r="AB170" s="161"/>
      <c r="AC170" s="155">
        <f t="shared" si="93"/>
        <v>0</v>
      </c>
      <c r="AD170" s="159">
        <f t="shared" si="94"/>
        <v>0</v>
      </c>
      <c r="AE170" s="86"/>
      <c r="AF170" s="85"/>
      <c r="AG170" s="86"/>
      <c r="AH170" s="86"/>
      <c r="AI170" s="87"/>
    </row>
    <row r="171" ht="15" customHeight="1" spans="1:35" x14ac:dyDescent="0.25">
      <c r="A171" s="72"/>
      <c r="B171" s="73">
        <f>IFERROR(VLOOKUP(A171,Mapping!$A:$F,2,FALSE),"")</f>
      </c>
      <c r="C171" s="74"/>
      <c r="D171" s="75"/>
      <c r="E171" s="76">
        <f t="shared" si="80"/>
        <v>0</v>
      </c>
      <c r="F171" s="77">
        <f>IFERROR(VLOOKUP(A171,Mapping!$A:$F,4,FALSE),0)</f>
        <v>0</v>
      </c>
      <c r="G171" s="145"/>
      <c r="H171" s="77">
        <f>IFERROR(VLOOKUP(A171,Mapping!$A:$F,5,FALSE),0)</f>
        <v>0</v>
      </c>
      <c r="I171" s="79"/>
      <c r="J171" s="77">
        <f>IFERROR(VLOOKUP(A171,Mapping!$A:$F,6,FALSE),0)</f>
        <v>0</v>
      </c>
      <c r="K171" s="80">
        <f t="shared" si="81"/>
        <v>0</v>
      </c>
      <c r="L171" s="81">
        <f t="shared" si="82"/>
        <v>0</v>
      </c>
      <c r="M171" s="154"/>
      <c r="N171" s="155">
        <f t="shared" si="83"/>
        <v>0</v>
      </c>
      <c r="O171" s="156">
        <f t="shared" si="84"/>
        <v>0</v>
      </c>
      <c r="P171" s="157"/>
      <c r="Q171" s="158">
        <f t="shared" si="85"/>
        <v>0</v>
      </c>
      <c r="R171" s="159">
        <f t="shared" si="86"/>
        <v>0</v>
      </c>
      <c r="S171" s="160"/>
      <c r="T171" s="155">
        <f t="shared" si="87"/>
        <v>0</v>
      </c>
      <c r="U171" s="159">
        <f t="shared" si="88"/>
        <v>0</v>
      </c>
      <c r="V171" s="160"/>
      <c r="W171" s="155">
        <f t="shared" si="89"/>
        <v>0</v>
      </c>
      <c r="X171" s="159">
        <f t="shared" si="90"/>
        <v>0</v>
      </c>
      <c r="Y171" s="160"/>
      <c r="Z171" s="155">
        <f t="shared" si="91"/>
        <v>0</v>
      </c>
      <c r="AA171" s="159">
        <f t="shared" si="92"/>
        <v>0</v>
      </c>
      <c r="AB171" s="161"/>
      <c r="AC171" s="155">
        <f t="shared" si="93"/>
        <v>0</v>
      </c>
      <c r="AD171" s="159">
        <f t="shared" si="94"/>
        <v>0</v>
      </c>
      <c r="AE171" s="86"/>
      <c r="AF171" s="85"/>
      <c r="AG171" s="95"/>
      <c r="AH171" s="86"/>
      <c r="AI171" s="87"/>
    </row>
    <row r="172" ht="15" customHeight="1" spans="1:35" x14ac:dyDescent="0.25">
      <c r="A172" s="96"/>
      <c r="B172" s="97"/>
      <c r="C172" s="98"/>
      <c r="D172" s="99"/>
      <c r="E172" s="76">
        <f t="shared" si="80"/>
        <v>0</v>
      </c>
      <c r="F172" s="77"/>
      <c r="G172" s="145"/>
      <c r="H172" s="101"/>
      <c r="I172" s="79"/>
      <c r="J172" s="77"/>
      <c r="K172" s="80"/>
      <c r="L172" s="81">
        <f t="shared" si="82"/>
        <v>0</v>
      </c>
      <c r="M172" s="154"/>
      <c r="N172" s="155">
        <f t="shared" si="83"/>
        <v>0</v>
      </c>
      <c r="O172" s="156">
        <f t="shared" si="84"/>
        <v>0</v>
      </c>
      <c r="P172" s="157"/>
      <c r="Q172" s="158">
        <f t="shared" si="85"/>
        <v>0</v>
      </c>
      <c r="R172" s="159">
        <f t="shared" si="86"/>
        <v>0</v>
      </c>
      <c r="S172" s="160"/>
      <c r="T172" s="155">
        <f t="shared" si="87"/>
        <v>0</v>
      </c>
      <c r="U172" s="159">
        <f t="shared" si="88"/>
        <v>0</v>
      </c>
      <c r="V172" s="160"/>
      <c r="W172" s="155">
        <f t="shared" si="89"/>
        <v>0</v>
      </c>
      <c r="X172" s="159">
        <f t="shared" si="90"/>
        <v>0</v>
      </c>
      <c r="Y172" s="160"/>
      <c r="Z172" s="155">
        <f t="shared" si="91"/>
        <v>0</v>
      </c>
      <c r="AA172" s="159">
        <f t="shared" si="92"/>
        <v>0</v>
      </c>
      <c r="AB172" s="161"/>
      <c r="AC172" s="155">
        <f t="shared" si="93"/>
        <v>0</v>
      </c>
      <c r="AD172" s="159">
        <f t="shared" si="94"/>
        <v>0</v>
      </c>
      <c r="AE172" s="86"/>
      <c r="AF172" s="85"/>
      <c r="AG172" s="86"/>
      <c r="AH172" s="102"/>
      <c r="AI172" s="87"/>
    </row>
    <row r="173" ht="15" customHeight="1" spans="1:35" x14ac:dyDescent="0.25">
      <c r="A173" s="96"/>
      <c r="B173" s="97"/>
      <c r="C173" s="98"/>
      <c r="D173" s="99"/>
      <c r="E173" s="76">
        <f t="shared" si="80"/>
        <v>0</v>
      </c>
      <c r="F173" s="77"/>
      <c r="G173" s="145"/>
      <c r="H173" s="101"/>
      <c r="I173" s="79"/>
      <c r="J173" s="77"/>
      <c r="K173" s="80"/>
      <c r="L173" s="81">
        <f t="shared" si="82"/>
        <v>0</v>
      </c>
      <c r="M173" s="154"/>
      <c r="N173" s="155">
        <f t="shared" si="83"/>
        <v>0</v>
      </c>
      <c r="O173" s="156">
        <f t="shared" si="84"/>
        <v>0</v>
      </c>
      <c r="P173" s="157"/>
      <c r="Q173" s="158">
        <f t="shared" si="85"/>
        <v>0</v>
      </c>
      <c r="R173" s="159">
        <f t="shared" si="86"/>
        <v>0</v>
      </c>
      <c r="S173" s="160"/>
      <c r="T173" s="155">
        <f t="shared" si="87"/>
        <v>0</v>
      </c>
      <c r="U173" s="159">
        <f t="shared" si="88"/>
        <v>0</v>
      </c>
      <c r="V173" s="160"/>
      <c r="W173" s="155">
        <f t="shared" si="89"/>
        <v>0</v>
      </c>
      <c r="X173" s="159">
        <f t="shared" si="90"/>
        <v>0</v>
      </c>
      <c r="Y173" s="160"/>
      <c r="Z173" s="155">
        <f t="shared" si="91"/>
        <v>0</v>
      </c>
      <c r="AA173" s="159">
        <f t="shared" si="92"/>
        <v>0</v>
      </c>
      <c r="AB173" s="161"/>
      <c r="AC173" s="155">
        <f t="shared" si="93"/>
        <v>0</v>
      </c>
      <c r="AD173" s="159">
        <f t="shared" si="94"/>
        <v>0</v>
      </c>
      <c r="AE173" s="86"/>
      <c r="AF173" s="85"/>
      <c r="AG173" s="86"/>
      <c r="AH173" s="103"/>
      <c r="AI173" s="87"/>
    </row>
    <row r="174" ht="15" customHeight="1" spans="1:35" x14ac:dyDescent="0.25">
      <c r="A174" s="96"/>
      <c r="B174" s="97"/>
      <c r="C174" s="98"/>
      <c r="D174" s="99"/>
      <c r="E174" s="76">
        <f t="shared" si="80"/>
        <v>0</v>
      </c>
      <c r="F174" s="77"/>
      <c r="G174" s="145"/>
      <c r="H174" s="101"/>
      <c r="I174" s="79"/>
      <c r="J174" s="77"/>
      <c r="K174" s="80"/>
      <c r="L174" s="81">
        <f t="shared" si="82"/>
        <v>0</v>
      </c>
      <c r="M174" s="154"/>
      <c r="N174" s="155">
        <f t="shared" si="83"/>
        <v>0</v>
      </c>
      <c r="O174" s="156">
        <f t="shared" si="84"/>
        <v>0</v>
      </c>
      <c r="P174" s="157"/>
      <c r="Q174" s="158">
        <f t="shared" si="85"/>
        <v>0</v>
      </c>
      <c r="R174" s="159">
        <f t="shared" si="86"/>
        <v>0</v>
      </c>
      <c r="S174" s="160"/>
      <c r="T174" s="155">
        <f t="shared" si="87"/>
        <v>0</v>
      </c>
      <c r="U174" s="159">
        <f t="shared" si="88"/>
        <v>0</v>
      </c>
      <c r="V174" s="160"/>
      <c r="W174" s="155">
        <f t="shared" si="89"/>
        <v>0</v>
      </c>
      <c r="X174" s="159">
        <f t="shared" si="90"/>
        <v>0</v>
      </c>
      <c r="Y174" s="160"/>
      <c r="Z174" s="155">
        <f t="shared" si="91"/>
        <v>0</v>
      </c>
      <c r="AA174" s="159">
        <f t="shared" si="92"/>
        <v>0</v>
      </c>
      <c r="AB174" s="161"/>
      <c r="AC174" s="155">
        <f t="shared" si="93"/>
        <v>0</v>
      </c>
      <c r="AD174" s="159">
        <f t="shared" si="94"/>
        <v>0</v>
      </c>
      <c r="AE174" s="86"/>
      <c r="AF174" s="85"/>
      <c r="AG174" s="86"/>
      <c r="AH174" s="104"/>
      <c r="AI174" s="87"/>
    </row>
    <row r="175" ht="15" customHeight="1" spans="1:35" x14ac:dyDescent="0.25">
      <c r="A175" s="96"/>
      <c r="B175" s="97"/>
      <c r="C175" s="98"/>
      <c r="D175" s="99"/>
      <c r="E175" s="76">
        <f t="shared" si="80"/>
        <v>0</v>
      </c>
      <c r="F175" s="77"/>
      <c r="G175" s="145"/>
      <c r="H175" s="101"/>
      <c r="I175" s="79"/>
      <c r="J175" s="77"/>
      <c r="K175" s="80"/>
      <c r="L175" s="81">
        <f t="shared" si="82"/>
        <v>0</v>
      </c>
      <c r="M175" s="154"/>
      <c r="N175" s="155">
        <f t="shared" si="83"/>
        <v>0</v>
      </c>
      <c r="O175" s="156">
        <f t="shared" si="84"/>
        <v>0</v>
      </c>
      <c r="P175" s="157"/>
      <c r="Q175" s="158">
        <f t="shared" si="85"/>
        <v>0</v>
      </c>
      <c r="R175" s="159">
        <f t="shared" si="86"/>
        <v>0</v>
      </c>
      <c r="S175" s="160"/>
      <c r="T175" s="155">
        <f t="shared" si="87"/>
        <v>0</v>
      </c>
      <c r="U175" s="159">
        <f t="shared" si="88"/>
        <v>0</v>
      </c>
      <c r="V175" s="160"/>
      <c r="W175" s="155">
        <f t="shared" si="89"/>
        <v>0</v>
      </c>
      <c r="X175" s="159">
        <f t="shared" si="90"/>
        <v>0</v>
      </c>
      <c r="Y175" s="160"/>
      <c r="Z175" s="155">
        <f t="shared" si="91"/>
        <v>0</v>
      </c>
      <c r="AA175" s="159">
        <f t="shared" si="92"/>
        <v>0</v>
      </c>
      <c r="AB175" s="161"/>
      <c r="AC175" s="155">
        <f t="shared" si="93"/>
        <v>0</v>
      </c>
      <c r="AD175" s="159">
        <f t="shared" si="94"/>
        <v>0</v>
      </c>
      <c r="AE175" s="86"/>
      <c r="AF175" s="85"/>
      <c r="AG175" s="86"/>
      <c r="AH175" s="103"/>
      <c r="AI175" s="87"/>
    </row>
    <row r="176" ht="15" customHeight="1" spans="1:35" x14ac:dyDescent="0.25">
      <c r="A176" s="96"/>
      <c r="B176" s="97"/>
      <c r="C176" s="98"/>
      <c r="D176" s="99"/>
      <c r="E176" s="76">
        <f t="shared" si="80"/>
        <v>0</v>
      </c>
      <c r="F176" s="77"/>
      <c r="G176" s="145"/>
      <c r="H176" s="101"/>
      <c r="I176" s="79"/>
      <c r="J176" s="77"/>
      <c r="K176" s="80"/>
      <c r="L176" s="81">
        <f t="shared" si="82"/>
        <v>0</v>
      </c>
      <c r="M176" s="154"/>
      <c r="N176" s="155">
        <f t="shared" si="83"/>
        <v>0</v>
      </c>
      <c r="O176" s="156">
        <f t="shared" si="84"/>
        <v>0</v>
      </c>
      <c r="P176" s="157"/>
      <c r="Q176" s="158">
        <f t="shared" si="85"/>
        <v>0</v>
      </c>
      <c r="R176" s="159">
        <f t="shared" si="86"/>
        <v>0</v>
      </c>
      <c r="S176" s="160"/>
      <c r="T176" s="155">
        <f t="shared" si="87"/>
        <v>0</v>
      </c>
      <c r="U176" s="159">
        <f t="shared" si="88"/>
        <v>0</v>
      </c>
      <c r="V176" s="160"/>
      <c r="W176" s="155">
        <f t="shared" si="89"/>
        <v>0</v>
      </c>
      <c r="X176" s="159">
        <f t="shared" si="90"/>
        <v>0</v>
      </c>
      <c r="Y176" s="160"/>
      <c r="Z176" s="155">
        <f t="shared" si="91"/>
        <v>0</v>
      </c>
      <c r="AA176" s="159">
        <f t="shared" si="92"/>
        <v>0</v>
      </c>
      <c r="AB176" s="161"/>
      <c r="AC176" s="155">
        <f t="shared" si="93"/>
        <v>0</v>
      </c>
      <c r="AD176" s="159">
        <f t="shared" si="94"/>
        <v>0</v>
      </c>
      <c r="AE176" s="86"/>
      <c r="AF176" s="85"/>
      <c r="AG176" s="85"/>
      <c r="AH176" s="85"/>
      <c r="AI176" s="87"/>
    </row>
    <row r="177" ht="15" customHeight="1" spans="1:35" x14ac:dyDescent="0.25">
      <c r="A177" s="96"/>
      <c r="B177" s="97"/>
      <c r="C177" s="98"/>
      <c r="D177" s="99"/>
      <c r="E177" s="76">
        <f t="shared" si="80"/>
        <v>0</v>
      </c>
      <c r="F177" s="77"/>
      <c r="G177" s="145"/>
      <c r="H177" s="101"/>
      <c r="I177" s="79"/>
      <c r="J177" s="77"/>
      <c r="K177" s="80"/>
      <c r="L177" s="81">
        <f t="shared" si="82"/>
        <v>0</v>
      </c>
      <c r="M177" s="154"/>
      <c r="N177" s="155">
        <f t="shared" si="83"/>
        <v>0</v>
      </c>
      <c r="O177" s="156">
        <f t="shared" si="84"/>
        <v>0</v>
      </c>
      <c r="P177" s="157"/>
      <c r="Q177" s="158">
        <f t="shared" si="85"/>
        <v>0</v>
      </c>
      <c r="R177" s="159">
        <f t="shared" si="86"/>
        <v>0</v>
      </c>
      <c r="S177" s="160"/>
      <c r="T177" s="155">
        <f t="shared" si="87"/>
        <v>0</v>
      </c>
      <c r="U177" s="159">
        <f t="shared" si="88"/>
        <v>0</v>
      </c>
      <c r="V177" s="160"/>
      <c r="W177" s="155">
        <f t="shared" si="89"/>
        <v>0</v>
      </c>
      <c r="X177" s="159">
        <f t="shared" si="90"/>
        <v>0</v>
      </c>
      <c r="Y177" s="160"/>
      <c r="Z177" s="155">
        <f t="shared" si="91"/>
        <v>0</v>
      </c>
      <c r="AA177" s="159">
        <f t="shared" si="92"/>
        <v>0</v>
      </c>
      <c r="AB177" s="161"/>
      <c r="AC177" s="155">
        <f t="shared" si="93"/>
        <v>0</v>
      </c>
      <c r="AD177" s="159">
        <f t="shared" si="94"/>
        <v>0</v>
      </c>
      <c r="AE177" s="86"/>
      <c r="AF177" s="85"/>
      <c r="AG177" s="95"/>
      <c r="AH177" s="85"/>
      <c r="AI177" s="87"/>
    </row>
    <row r="178" ht="15.75" customHeight="1" spans="1:35" x14ac:dyDescent="0.25">
      <c r="A178" s="96"/>
      <c r="B178" s="97"/>
      <c r="C178" s="98"/>
      <c r="D178" s="99"/>
      <c r="E178" s="76">
        <f t="shared" si="80"/>
        <v>0</v>
      </c>
      <c r="F178" s="77"/>
      <c r="G178" s="145"/>
      <c r="H178" s="101"/>
      <c r="I178" s="79"/>
      <c r="J178" s="77"/>
      <c r="K178" s="80"/>
      <c r="L178" s="81">
        <f t="shared" si="82"/>
        <v>0</v>
      </c>
      <c r="M178" s="164"/>
      <c r="N178" s="165">
        <f t="shared" si="83"/>
        <v>0</v>
      </c>
      <c r="O178" s="166">
        <f t="shared" si="84"/>
        <v>0</v>
      </c>
      <c r="P178" s="167"/>
      <c r="Q178" s="168">
        <f t="shared" si="85"/>
        <v>0</v>
      </c>
      <c r="R178" s="169">
        <f t="shared" si="86"/>
        <v>0</v>
      </c>
      <c r="S178" s="170"/>
      <c r="T178" s="165">
        <f t="shared" si="87"/>
        <v>0</v>
      </c>
      <c r="U178" s="169">
        <f t="shared" si="88"/>
        <v>0</v>
      </c>
      <c r="V178" s="170"/>
      <c r="W178" s="165">
        <f t="shared" si="89"/>
        <v>0</v>
      </c>
      <c r="X178" s="169">
        <f t="shared" si="90"/>
        <v>0</v>
      </c>
      <c r="Y178" s="170"/>
      <c r="Z178" s="165">
        <f t="shared" si="91"/>
        <v>0</v>
      </c>
      <c r="AA178" s="169">
        <f t="shared" si="92"/>
        <v>0</v>
      </c>
      <c r="AB178" s="171"/>
      <c r="AC178" s="165">
        <f t="shared" si="93"/>
        <v>0</v>
      </c>
      <c r="AD178" s="169">
        <f t="shared" si="94"/>
        <v>0</v>
      </c>
      <c r="AE178" s="113"/>
      <c r="AF178" s="112"/>
      <c r="AG178" s="113"/>
      <c r="AH178" s="114"/>
      <c r="AI178" s="115"/>
    </row>
    <row r="182" ht="15.75" customHeight="1" x14ac:dyDescent="0.25"/>
    <row r="183" ht="40.5" customHeight="1" x14ac:dyDescent="0.25"/>
    <row r="184" ht="16.5" customHeight="1" x14ac:dyDescent="0.25"/>
    <row r="185" ht="15" customHeight="1" spans="1:1" x14ac:dyDescent="0.25">
      <c r="A185" s="172"/>
    </row>
    <row r="186" ht="15" customHeight="1" spans="1:1" x14ac:dyDescent="0.25">
      <c r="A186" s="172"/>
    </row>
    <row r="187" ht="15" customHeight="1" spans="1:1" x14ac:dyDescent="0.25">
      <c r="A187" s="172"/>
    </row>
    <row r="188" ht="15" customHeight="1" spans="1:1" x14ac:dyDescent="0.25">
      <c r="A188" s="172"/>
    </row>
    <row r="189" ht="15" customHeight="1" spans="1:1" x14ac:dyDescent="0.25">
      <c r="A189" s="172"/>
    </row>
    <row r="190" ht="15" customHeight="1" spans="1:1" x14ac:dyDescent="0.25">
      <c r="A190" s="172"/>
    </row>
    <row r="191" ht="15" customHeight="1" spans="1:1" x14ac:dyDescent="0.25">
      <c r="A191" s="172"/>
    </row>
    <row r="192" ht="15" customHeight="1" spans="1:1" x14ac:dyDescent="0.25">
      <c r="A192" s="172"/>
    </row>
    <row r="193" ht="15" customHeight="1" spans="1:1" x14ac:dyDescent="0.25">
      <c r="A193" s="172"/>
    </row>
    <row r="194" ht="15" customHeight="1" spans="1:1" x14ac:dyDescent="0.25">
      <c r="A194" s="172"/>
    </row>
    <row r="195" ht="15" customHeight="1" spans="1:1" x14ac:dyDescent="0.25">
      <c r="A195" s="172"/>
    </row>
    <row r="196" ht="15" customHeight="1" spans="1:1" x14ac:dyDescent="0.25">
      <c r="A196" s="172"/>
    </row>
    <row r="197" ht="15" customHeight="1" spans="1:2" x14ac:dyDescent="0.25">
      <c r="A197" s="172"/>
      <c r="B197">
        <f>IFERROR(VLOOKUP(A197,Mapping!$A:$F,2,FALSE),"")</f>
      </c>
    </row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.75" customHeight="1" x14ac:dyDescent="0.25"/>
  </sheetData>
  <mergeCells count="34">
    <mergeCell ref="M6:R6"/>
    <mergeCell ref="M8:N8"/>
    <mergeCell ref="O8:P8"/>
    <mergeCell ref="Q8:R8"/>
    <mergeCell ref="S8:T8"/>
    <mergeCell ref="U8:V8"/>
    <mergeCell ref="W8:X8"/>
    <mergeCell ref="Y8:Z8"/>
    <mergeCell ref="M42:R42"/>
    <mergeCell ref="M44:N44"/>
    <mergeCell ref="O44:P44"/>
    <mergeCell ref="Q44:R44"/>
    <mergeCell ref="S44:T44"/>
    <mergeCell ref="U44:V44"/>
    <mergeCell ref="W44:X44"/>
    <mergeCell ref="Y44:Z44"/>
    <mergeCell ref="M79:R79"/>
    <mergeCell ref="M81:N81"/>
    <mergeCell ref="O81:P81"/>
    <mergeCell ref="Q81:R81"/>
    <mergeCell ref="S81:T81"/>
    <mergeCell ref="U81:V81"/>
    <mergeCell ref="W81:X81"/>
    <mergeCell ref="Y81:Z81"/>
    <mergeCell ref="M116:R116"/>
    <mergeCell ref="M118:N118"/>
    <mergeCell ref="O118:P118"/>
    <mergeCell ref="Q118:R118"/>
    <mergeCell ref="S118:T118"/>
    <mergeCell ref="U118:V118"/>
    <mergeCell ref="W118:X118"/>
    <mergeCell ref="Y118:Z118"/>
    <mergeCell ref="S150:X150"/>
    <mergeCell ref="Y150:AD150"/>
  </mergeCells>
  <conditionalFormatting sqref="B17:C36 J17:L36">
    <cfRule type="cellIs" dxfId="0" priority="201" operator="equal">
      <formula>"Non trouvé"</formula>
    </cfRule>
  </conditionalFormatting>
  <conditionalFormatting sqref="F17:G36">
    <cfRule type="cellIs" dxfId="1" priority="200" operator="equal">
      <formula>"Non trouvé"</formula>
    </cfRule>
  </conditionalFormatting>
  <conditionalFormatting sqref="M17:M36">
    <cfRule type="cellIs" dxfId="2" priority="166" operator="equal">
      <formula>"Non trouvé"</formula>
    </cfRule>
  </conditionalFormatting>
  <conditionalFormatting sqref="O17:O36">
    <cfRule type="cellIs" dxfId="3" priority="165" operator="equal">
      <formula>"Non trouvé"</formula>
    </cfRule>
  </conditionalFormatting>
  <conditionalFormatting sqref="S17:S36">
    <cfRule type="cellIs" dxfId="4" priority="162" operator="equal">
      <formula>"Non trouvé"</formula>
    </cfRule>
  </conditionalFormatting>
  <conditionalFormatting sqref="U17:U36">
    <cfRule type="cellIs" dxfId="5" priority="161" operator="equal">
      <formula>"Non trouvé"</formula>
    </cfRule>
  </conditionalFormatting>
  <conditionalFormatting sqref="W17:W36">
    <cfRule type="cellIs" dxfId="6" priority="160" operator="equal">
      <formula>"Non trouvé"</formula>
    </cfRule>
  </conditionalFormatting>
  <conditionalFormatting sqref="Y17:Y36">
    <cfRule type="cellIs" dxfId="7" priority="159" operator="equal">
      <formula>"Non trouvé"</formula>
    </cfRule>
  </conditionalFormatting>
  <conditionalFormatting sqref="Q17:Q36">
    <cfRule type="cellIs" dxfId="8" priority="49" operator="equal">
      <formula>"Non trouvé"</formula>
    </cfRule>
  </conditionalFormatting>
  <conditionalFormatting sqref="B90:C109 J90:L109">
    <cfRule type="cellIs" dxfId="9" priority="48" operator="equal">
      <formula>"Non trouvé"</formula>
    </cfRule>
  </conditionalFormatting>
  <conditionalFormatting sqref="F90:G109">
    <cfRule type="cellIs" dxfId="10" priority="47" operator="equal">
      <formula>"Non trouvé"</formula>
    </cfRule>
  </conditionalFormatting>
  <conditionalFormatting sqref="M90:M109">
    <cfRule type="cellIs" dxfId="11" priority="46" operator="equal">
      <formula>"Non trouvé"</formula>
    </cfRule>
  </conditionalFormatting>
  <conditionalFormatting sqref="O90:O109">
    <cfRule type="cellIs" dxfId="12" priority="45" operator="equal">
      <formula>"Non trouvé"</formula>
    </cfRule>
  </conditionalFormatting>
  <conditionalFormatting sqref="S90:S109">
    <cfRule type="cellIs" dxfId="13" priority="44" operator="equal">
      <formula>"Non trouvé"</formula>
    </cfRule>
  </conditionalFormatting>
  <conditionalFormatting sqref="U90:U109">
    <cfRule type="cellIs" dxfId="14" priority="43" operator="equal">
      <formula>"Non trouvé"</formula>
    </cfRule>
  </conditionalFormatting>
  <conditionalFormatting sqref="W90:W109">
    <cfRule type="cellIs" dxfId="15" priority="42" operator="equal">
      <formula>"Non trouvé"</formula>
    </cfRule>
  </conditionalFormatting>
  <conditionalFormatting sqref="Y90:Y109">
    <cfRule type="cellIs" dxfId="16" priority="41" operator="equal">
      <formula>"Non trouvé"</formula>
    </cfRule>
  </conditionalFormatting>
  <conditionalFormatting sqref="Q90:Q109">
    <cfRule type="cellIs" dxfId="17" priority="40" operator="equal">
      <formula>"Non trouvé"</formula>
    </cfRule>
  </conditionalFormatting>
  <conditionalFormatting sqref="B127:C146 J127:L146">
    <cfRule type="cellIs" dxfId="18" priority="39" operator="equal">
      <formula>"Non trouvé"</formula>
    </cfRule>
  </conditionalFormatting>
  <conditionalFormatting sqref="F127:G146">
    <cfRule type="cellIs" dxfId="19" priority="38" operator="equal">
      <formula>"Non trouvé"</formula>
    </cfRule>
  </conditionalFormatting>
  <conditionalFormatting sqref="M127:M146">
    <cfRule type="cellIs" dxfId="20" priority="37" operator="equal">
      <formula>"Non trouvé"</formula>
    </cfRule>
  </conditionalFormatting>
  <conditionalFormatting sqref="O127:O146">
    <cfRule type="cellIs" dxfId="21" priority="36" operator="equal">
      <formula>"Non trouvé"</formula>
    </cfRule>
  </conditionalFormatting>
  <conditionalFormatting sqref="S127:S146">
    <cfRule type="cellIs" dxfId="22" priority="35" operator="equal">
      <formula>"Non trouvé"</formula>
    </cfRule>
  </conditionalFormatting>
  <conditionalFormatting sqref="U127:U146">
    <cfRule type="cellIs" dxfId="23" priority="34" operator="equal">
      <formula>"Non trouvé"</formula>
    </cfRule>
  </conditionalFormatting>
  <conditionalFormatting sqref="W127:W146">
    <cfRule type="cellIs" dxfId="24" priority="33" operator="equal">
      <formula>"Non trouvé"</formula>
    </cfRule>
  </conditionalFormatting>
  <conditionalFormatting sqref="Y127:Y146">
    <cfRule type="cellIs" dxfId="25" priority="32" operator="equal">
      <formula>"Non trouvé"</formula>
    </cfRule>
  </conditionalFormatting>
  <conditionalFormatting sqref="Q127:Q146">
    <cfRule type="cellIs" dxfId="26" priority="31" operator="equal">
      <formula>"Non trouvé"</formula>
    </cfRule>
  </conditionalFormatting>
  <conditionalFormatting sqref="N159:N178">
    <cfRule type="cellIs" dxfId="27" priority="30" operator="equal">
      <formula>"Non trouvé"</formula>
    </cfRule>
  </conditionalFormatting>
  <conditionalFormatting sqref="Q160:Q178">
    <cfRule type="cellIs" dxfId="28" priority="29" operator="equal">
      <formula>"Non trouvé"</formula>
    </cfRule>
  </conditionalFormatting>
  <conditionalFormatting sqref="B159:C178 J159:L178">
    <cfRule type="cellIs" dxfId="29" priority="23" operator="equal">
      <formula>"Non trouvé"</formula>
    </cfRule>
  </conditionalFormatting>
  <conditionalFormatting sqref="F159:F178">
    <cfRule type="cellIs" dxfId="30" priority="22" operator="equal">
      <formula>"Non trouvé"</formula>
    </cfRule>
  </conditionalFormatting>
  <conditionalFormatting sqref="T160:T178">
    <cfRule type="cellIs" dxfId="31" priority="18" operator="equal">
      <formula>"Non trouvé"</formula>
    </cfRule>
  </conditionalFormatting>
  <conditionalFormatting sqref="W160:W178">
    <cfRule type="cellIs" dxfId="32" priority="17" operator="equal">
      <formula>"Non trouvé"</formula>
    </cfRule>
  </conditionalFormatting>
  <conditionalFormatting sqref="Z160:Z178">
    <cfRule type="cellIs" dxfId="33" priority="16" operator="equal">
      <formula>"Non trouvé"</formula>
    </cfRule>
  </conditionalFormatting>
  <conditionalFormatting sqref="AC160:AC178">
    <cfRule type="cellIs" dxfId="34" priority="15" operator="equal">
      <formula>"Non trouvé"</formula>
    </cfRule>
  </conditionalFormatting>
  <conditionalFormatting sqref="Q159">
    <cfRule type="cellIs" dxfId="35" priority="14" operator="equal">
      <formula>"Non trouvé"</formula>
    </cfRule>
  </conditionalFormatting>
  <conditionalFormatting sqref="T159">
    <cfRule type="cellIs" dxfId="36" priority="13" operator="equal">
      <formula>"Non trouvé"</formula>
    </cfRule>
  </conditionalFormatting>
  <conditionalFormatting sqref="W159">
    <cfRule type="cellIs" dxfId="37" priority="12" operator="equal">
      <formula>"Non trouvé"</formula>
    </cfRule>
  </conditionalFormatting>
  <conditionalFormatting sqref="Z159">
    <cfRule type="cellIs" dxfId="38" priority="11" operator="equal">
      <formula>"Non trouvé"</formula>
    </cfRule>
  </conditionalFormatting>
  <conditionalFormatting sqref="AC159">
    <cfRule type="cellIs" dxfId="39" priority="10" operator="equal">
      <formula>"Non trouvé"</formula>
    </cfRule>
  </conditionalFormatting>
  <conditionalFormatting sqref="B53:C72 J53:L72">
    <cfRule type="cellIs" dxfId="40" priority="9" operator="equal">
      <formula>"Non trouvé"</formula>
    </cfRule>
  </conditionalFormatting>
  <conditionalFormatting sqref="F53:G72">
    <cfRule type="cellIs" dxfId="41" priority="8" operator="equal">
      <formula>"Non trouvé"</formula>
    </cfRule>
  </conditionalFormatting>
  <conditionalFormatting sqref="M53:M72">
    <cfRule type="cellIs" dxfId="42" priority="7" operator="equal">
      <formula>"Non trouvé"</formula>
    </cfRule>
  </conditionalFormatting>
  <conditionalFormatting sqref="O53:O72">
    <cfRule type="cellIs" dxfId="43" priority="6" operator="equal">
      <formula>"Non trouvé"</formula>
    </cfRule>
  </conditionalFormatting>
  <conditionalFormatting sqref="S53:S72">
    <cfRule type="cellIs" dxfId="44" priority="5" operator="equal">
      <formula>"Non trouvé"</formula>
    </cfRule>
  </conditionalFormatting>
  <conditionalFormatting sqref="U53:U72">
    <cfRule type="cellIs" dxfId="45" priority="4" operator="equal">
      <formula>"Non trouvé"</formula>
    </cfRule>
  </conditionalFormatting>
  <conditionalFormatting sqref="W53:W72">
    <cfRule type="cellIs" dxfId="46" priority="3" operator="equal">
      <formula>"Non trouvé"</formula>
    </cfRule>
  </conditionalFormatting>
  <conditionalFormatting sqref="Y53:Y72">
    <cfRule type="cellIs" dxfId="47" priority="2" operator="equal">
      <formula>"Non trouvé"</formula>
    </cfRule>
  </conditionalFormatting>
  <conditionalFormatting sqref="Q53:Q72">
    <cfRule type="cellIs" dxfId="48" priority="1" operator="equal">
      <formula>"Non trouvé"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2"/>
  <sheetViews>
    <sheetView workbookViewId="0" zoomScale="100" zoomScaleNormal="100"/>
  </sheetViews>
  <sheetFormatPr defaultRowHeight="14.45" outlineLevelRow="0" outlineLevelCol="0" x14ac:dyDescent="0" customHeight="1"/>
  <sheetData>
    <row r="1" spans="1:6" x14ac:dyDescent="0.25">
      <c r="A1" s="173" t="s">
        <v>28</v>
      </c>
      <c r="B1" s="173" t="s">
        <v>29</v>
      </c>
      <c r="C1" s="173" t="s">
        <v>30</v>
      </c>
      <c r="D1" s="173" t="s">
        <v>18</v>
      </c>
      <c r="E1" s="173" t="s">
        <v>20</v>
      </c>
      <c r="F1" s="173" t="s">
        <v>22</v>
      </c>
    </row>
    <row r="2" spans="1:6" x14ac:dyDescent="0.25">
      <c r="A2" s="172" t="s">
        <v>60</v>
      </c>
      <c r="B2" t="s">
        <v>61</v>
      </c>
      <c r="C2" t="s">
        <v>62</v>
      </c>
      <c r="D2">
        <v>3.92</v>
      </c>
      <c r="E2">
        <v>10.58</v>
      </c>
      <c r="F2">
        <v>18</v>
      </c>
    </row>
    <row r="3" spans="1:6" x14ac:dyDescent="0.25">
      <c r="A3" s="172" t="s">
        <v>63</v>
      </c>
      <c r="B3" t="s">
        <v>64</v>
      </c>
      <c r="C3" t="s">
        <v>65</v>
      </c>
      <c r="D3">
        <v>6.55</v>
      </c>
      <c r="E3">
        <v>17.06</v>
      </c>
      <c r="F3">
        <v>29</v>
      </c>
    </row>
    <row r="4" spans="1:6" x14ac:dyDescent="0.25">
      <c r="A4" s="172" t="s">
        <v>66</v>
      </c>
      <c r="B4" t="s">
        <v>67</v>
      </c>
      <c r="C4" t="s">
        <v>68</v>
      </c>
      <c r="D4">
        <v>6.08</v>
      </c>
      <c r="E4">
        <v>16.47</v>
      </c>
      <c r="F4">
        <v>28</v>
      </c>
    </row>
    <row r="5" spans="1:6" x14ac:dyDescent="0.25">
      <c r="A5" s="172" t="s">
        <v>69</v>
      </c>
      <c r="B5" t="s">
        <v>70</v>
      </c>
      <c r="C5" t="s">
        <v>71</v>
      </c>
      <c r="D5">
        <v>2.47</v>
      </c>
      <c r="E5">
        <v>0</v>
      </c>
      <c r="F5">
        <v>0</v>
      </c>
    </row>
    <row r="6" spans="1:6" x14ac:dyDescent="0.25">
      <c r="A6" s="172" t="s">
        <v>72</v>
      </c>
      <c r="B6" t="s">
        <v>73</v>
      </c>
      <c r="C6" t="s">
        <v>74</v>
      </c>
      <c r="D6">
        <v>4.84</v>
      </c>
      <c r="E6">
        <v>12.94</v>
      </c>
      <c r="F6">
        <v>22</v>
      </c>
    </row>
    <row r="7" spans="1:6" x14ac:dyDescent="0.25">
      <c r="A7" s="172" t="s">
        <v>75</v>
      </c>
      <c r="B7" t="s">
        <v>76</v>
      </c>
      <c r="C7" t="s">
        <v>77</v>
      </c>
      <c r="D7">
        <v>1.61</v>
      </c>
      <c r="E7">
        <v>0</v>
      </c>
      <c r="F7">
        <v>0</v>
      </c>
    </row>
    <row r="8" spans="1:6" x14ac:dyDescent="0.25">
      <c r="A8" s="172" t="s">
        <v>78</v>
      </c>
      <c r="B8" t="s">
        <v>79</v>
      </c>
      <c r="C8" t="s">
        <v>80</v>
      </c>
      <c r="D8">
        <v>1.63</v>
      </c>
      <c r="E8">
        <v>0</v>
      </c>
      <c r="F8">
        <v>0</v>
      </c>
    </row>
    <row r="9" spans="1:6" x14ac:dyDescent="0.25">
      <c r="A9" s="172" t="s">
        <v>81</v>
      </c>
      <c r="B9" t="s">
        <v>82</v>
      </c>
      <c r="C9" t="s">
        <v>83</v>
      </c>
      <c r="D9">
        <v>0</v>
      </c>
      <c r="E9">
        <v>0</v>
      </c>
      <c r="F9">
        <v>0</v>
      </c>
    </row>
    <row r="10" spans="1:6" x14ac:dyDescent="0.25">
      <c r="A10" s="172" t="s">
        <v>84</v>
      </c>
      <c r="B10" t="s">
        <v>85</v>
      </c>
      <c r="C10" t="s">
        <v>86</v>
      </c>
      <c r="D10">
        <v>6.72</v>
      </c>
      <c r="E10">
        <v>18.24</v>
      </c>
      <c r="F10">
        <v>31</v>
      </c>
    </row>
    <row r="11" spans="1:6" x14ac:dyDescent="0.25">
      <c r="A11" s="172" t="s">
        <v>87</v>
      </c>
      <c r="B11" t="s">
        <v>88</v>
      </c>
      <c r="C11" t="s">
        <v>89</v>
      </c>
      <c r="D11">
        <v>7.06</v>
      </c>
      <c r="E11">
        <v>18.24</v>
      </c>
      <c r="F11">
        <v>31</v>
      </c>
    </row>
    <row r="12" spans="1:6" x14ac:dyDescent="0.25">
      <c r="A12" s="172" t="s">
        <v>90</v>
      </c>
      <c r="B12" t="s">
        <v>91</v>
      </c>
      <c r="C12" t="s">
        <v>92</v>
      </c>
      <c r="D12">
        <v>2.44</v>
      </c>
      <c r="E12">
        <v>0</v>
      </c>
      <c r="F12">
        <v>9.2</v>
      </c>
    </row>
    <row r="13" spans="1:6" x14ac:dyDescent="0.25">
      <c r="A13" s="172" t="s">
        <v>93</v>
      </c>
      <c r="B13" t="s">
        <v>94</v>
      </c>
      <c r="C13" t="s">
        <v>95</v>
      </c>
      <c r="D13">
        <v>2.64</v>
      </c>
      <c r="E13">
        <v>0</v>
      </c>
      <c r="F13">
        <v>0</v>
      </c>
    </row>
    <row r="14" spans="1:6" x14ac:dyDescent="0.25">
      <c r="A14" s="172" t="s">
        <v>96</v>
      </c>
      <c r="B14" t="s">
        <v>97</v>
      </c>
      <c r="C14" t="s">
        <v>98</v>
      </c>
      <c r="D14">
        <v>8.27</v>
      </c>
      <c r="E14">
        <v>22.06</v>
      </c>
      <c r="F14">
        <v>37.5</v>
      </c>
    </row>
    <row r="15" spans="1:6" x14ac:dyDescent="0.25">
      <c r="A15" s="172" t="s">
        <v>99</v>
      </c>
      <c r="B15" t="s">
        <v>100</v>
      </c>
      <c r="C15" t="s">
        <v>101</v>
      </c>
      <c r="D15">
        <v>9.45</v>
      </c>
      <c r="E15">
        <v>22.94</v>
      </c>
      <c r="F15">
        <v>39</v>
      </c>
    </row>
    <row r="16" spans="1:6" x14ac:dyDescent="0.25">
      <c r="A16" s="172" t="s">
        <v>102</v>
      </c>
      <c r="B16" t="s">
        <v>103</v>
      </c>
      <c r="C16" t="s">
        <v>104</v>
      </c>
      <c r="D16">
        <v>7.06</v>
      </c>
      <c r="E16">
        <v>18.82</v>
      </c>
      <c r="F16">
        <v>32</v>
      </c>
    </row>
    <row r="17" spans="1:6" x14ac:dyDescent="0.25">
      <c r="A17" s="172" t="s">
        <v>105</v>
      </c>
      <c r="B17" t="s">
        <v>106</v>
      </c>
      <c r="C17" t="s">
        <v>107</v>
      </c>
      <c r="D17">
        <v>6.2</v>
      </c>
      <c r="E17">
        <v>17.06</v>
      </c>
      <c r="F17">
        <v>29</v>
      </c>
    </row>
    <row r="18" spans="1:6" x14ac:dyDescent="0.25">
      <c r="A18" s="172" t="s">
        <v>108</v>
      </c>
      <c r="B18" t="s">
        <v>109</v>
      </c>
      <c r="C18" t="s">
        <v>110</v>
      </c>
      <c r="D18">
        <v>6.65</v>
      </c>
      <c r="E18">
        <v>17.59</v>
      </c>
      <c r="F18">
        <v>29.9</v>
      </c>
    </row>
    <row r="19" spans="1:6" x14ac:dyDescent="0.25">
      <c r="A19" s="172" t="s">
        <v>111</v>
      </c>
      <c r="B19" t="s">
        <v>112</v>
      </c>
      <c r="C19" t="s">
        <v>113</v>
      </c>
      <c r="D19">
        <v>7.06</v>
      </c>
      <c r="E19">
        <v>18.82</v>
      </c>
      <c r="F19">
        <v>32</v>
      </c>
    </row>
    <row r="20" spans="1:6" x14ac:dyDescent="0.25">
      <c r="A20" s="172" t="s">
        <v>114</v>
      </c>
      <c r="B20" t="s">
        <v>115</v>
      </c>
      <c r="C20" t="s">
        <v>116</v>
      </c>
      <c r="D20">
        <v>7.4</v>
      </c>
      <c r="E20">
        <v>19.7</v>
      </c>
      <c r="F20">
        <v>33.5</v>
      </c>
    </row>
    <row r="21" spans="1:6" x14ac:dyDescent="0.25">
      <c r="A21" s="172" t="s">
        <v>117</v>
      </c>
      <c r="B21" t="s">
        <v>118</v>
      </c>
      <c r="C21" t="s">
        <v>119</v>
      </c>
      <c r="D21">
        <v>6.02</v>
      </c>
      <c r="E21">
        <v>16.17</v>
      </c>
      <c r="F21">
        <v>27.5</v>
      </c>
    </row>
    <row r="22" spans="1:6" x14ac:dyDescent="0.25">
      <c r="A22" s="172" t="s">
        <v>120</v>
      </c>
      <c r="B22" t="s">
        <v>121</v>
      </c>
      <c r="C22" t="s">
        <v>122</v>
      </c>
      <c r="D22">
        <v>5.3</v>
      </c>
      <c r="E22">
        <v>14.41</v>
      </c>
      <c r="F22">
        <v>24.5</v>
      </c>
    </row>
    <row r="23" spans="1:6" x14ac:dyDescent="0.25">
      <c r="A23" s="172" t="s">
        <v>123</v>
      </c>
      <c r="B23" t="s">
        <v>124</v>
      </c>
      <c r="C23" t="s">
        <v>125</v>
      </c>
      <c r="D23">
        <v>6.58</v>
      </c>
      <c r="E23">
        <v>17.59</v>
      </c>
      <c r="F23">
        <v>29.9</v>
      </c>
    </row>
    <row r="24" spans="1:6" x14ac:dyDescent="0.25">
      <c r="A24" s="172" t="s">
        <v>126</v>
      </c>
      <c r="B24" t="s">
        <v>127</v>
      </c>
      <c r="C24" t="s">
        <v>128</v>
      </c>
      <c r="D24">
        <v>7.64</v>
      </c>
      <c r="E24">
        <v>19.41</v>
      </c>
      <c r="F24">
        <v>33</v>
      </c>
    </row>
    <row r="25" spans="1:6" x14ac:dyDescent="0.25">
      <c r="A25" s="172" t="s">
        <v>129</v>
      </c>
      <c r="B25" t="s">
        <v>130</v>
      </c>
      <c r="C25" t="s">
        <v>131</v>
      </c>
      <c r="D25">
        <v>7.21</v>
      </c>
      <c r="E25">
        <v>18.82</v>
      </c>
      <c r="F25">
        <v>32</v>
      </c>
    </row>
    <row r="26" spans="1:6" x14ac:dyDescent="0.25">
      <c r="A26" s="172" t="s">
        <v>132</v>
      </c>
      <c r="B26" t="s">
        <v>133</v>
      </c>
      <c r="C26" t="s">
        <v>134</v>
      </c>
      <c r="D26">
        <v>6.72</v>
      </c>
      <c r="E26">
        <v>17.59</v>
      </c>
      <c r="F26">
        <v>29.9</v>
      </c>
    </row>
    <row r="27" spans="1:6" x14ac:dyDescent="0.25">
      <c r="A27" s="172" t="s">
        <v>135</v>
      </c>
      <c r="B27" t="s">
        <v>136</v>
      </c>
      <c r="C27" t="s">
        <v>137</v>
      </c>
      <c r="D27">
        <v>6.99</v>
      </c>
      <c r="E27">
        <v>18.53</v>
      </c>
      <c r="F27">
        <v>31.5</v>
      </c>
    </row>
    <row r="28" spans="1:6" x14ac:dyDescent="0.25">
      <c r="A28" s="172" t="s">
        <v>138</v>
      </c>
      <c r="B28" t="s">
        <v>139</v>
      </c>
      <c r="C28" t="s">
        <v>140</v>
      </c>
      <c r="D28">
        <v>7.86</v>
      </c>
      <c r="E28">
        <v>18.82</v>
      </c>
      <c r="F28">
        <v>32</v>
      </c>
    </row>
    <row r="29" spans="1:6" x14ac:dyDescent="0.25">
      <c r="A29" s="172" t="s">
        <v>141</v>
      </c>
      <c r="B29" t="s">
        <v>142</v>
      </c>
      <c r="C29" t="s">
        <v>143</v>
      </c>
      <c r="D29">
        <v>7.86</v>
      </c>
      <c r="E29">
        <v>18.82</v>
      </c>
      <c r="F29">
        <v>32</v>
      </c>
    </row>
    <row r="30" spans="1:6" x14ac:dyDescent="0.25">
      <c r="A30" s="172" t="s">
        <v>144</v>
      </c>
      <c r="B30" t="s">
        <v>145</v>
      </c>
      <c r="C30" t="s">
        <v>146</v>
      </c>
      <c r="D30">
        <v>7.52</v>
      </c>
      <c r="E30">
        <v>17.59</v>
      </c>
      <c r="F30">
        <v>29.9</v>
      </c>
    </row>
    <row r="31" spans="1:6" x14ac:dyDescent="0.25">
      <c r="A31" s="172" t="s">
        <v>147</v>
      </c>
      <c r="B31" t="s">
        <v>148</v>
      </c>
      <c r="C31" t="s">
        <v>149</v>
      </c>
      <c r="D31">
        <v>7.01</v>
      </c>
      <c r="E31">
        <v>17.06</v>
      </c>
      <c r="F31">
        <v>29</v>
      </c>
    </row>
    <row r="32" spans="1:6" x14ac:dyDescent="0.25">
      <c r="A32" s="172" t="s">
        <v>150</v>
      </c>
      <c r="B32" t="s">
        <v>151</v>
      </c>
      <c r="C32" t="s">
        <v>152</v>
      </c>
      <c r="D32">
        <v>7.52</v>
      </c>
      <c r="E32">
        <v>17.59</v>
      </c>
      <c r="F32">
        <v>29.9</v>
      </c>
    </row>
    <row r="33" spans="1:6" x14ac:dyDescent="0.25">
      <c r="A33" s="172" t="s">
        <v>153</v>
      </c>
      <c r="B33" t="s">
        <v>154</v>
      </c>
      <c r="C33" t="s">
        <v>155</v>
      </c>
      <c r="D33">
        <v>8.15</v>
      </c>
      <c r="E33">
        <v>17.59</v>
      </c>
      <c r="F33">
        <v>29.9</v>
      </c>
    </row>
    <row r="34" spans="1:6" x14ac:dyDescent="0.25">
      <c r="A34" s="172" t="s">
        <v>156</v>
      </c>
      <c r="B34" t="s">
        <v>157</v>
      </c>
      <c r="C34" t="s">
        <v>158</v>
      </c>
      <c r="D34">
        <v>5.6</v>
      </c>
      <c r="E34">
        <v>10.58</v>
      </c>
      <c r="F34">
        <v>18</v>
      </c>
    </row>
    <row r="35" spans="1:6" x14ac:dyDescent="0.25">
      <c r="A35" s="172" t="s">
        <v>159</v>
      </c>
      <c r="B35" t="s">
        <v>160</v>
      </c>
      <c r="C35" t="s">
        <v>161</v>
      </c>
      <c r="D35">
        <v>4.67</v>
      </c>
      <c r="E35">
        <v>9.71</v>
      </c>
      <c r="F35">
        <v>16.5</v>
      </c>
    </row>
    <row r="36" spans="1:6" x14ac:dyDescent="0.25">
      <c r="A36" s="172" t="s">
        <v>162</v>
      </c>
      <c r="B36" t="s">
        <v>163</v>
      </c>
      <c r="C36" t="s">
        <v>164</v>
      </c>
      <c r="D36">
        <v>4.09</v>
      </c>
      <c r="E36">
        <v>11.47</v>
      </c>
      <c r="F36">
        <v>19.5</v>
      </c>
    </row>
    <row r="37" spans="1:6" x14ac:dyDescent="0.25">
      <c r="A37" s="172" t="s">
        <v>165</v>
      </c>
      <c r="B37" t="s">
        <v>166</v>
      </c>
      <c r="C37" t="s">
        <v>167</v>
      </c>
      <c r="D37">
        <v>4.09</v>
      </c>
      <c r="E37">
        <v>11.47</v>
      </c>
      <c r="F37">
        <v>19.5</v>
      </c>
    </row>
    <row r="38" spans="1:6" x14ac:dyDescent="0.25">
      <c r="A38" s="172" t="s">
        <v>168</v>
      </c>
      <c r="B38" t="s">
        <v>169</v>
      </c>
      <c r="C38" t="s">
        <v>170</v>
      </c>
      <c r="D38">
        <v>7.75</v>
      </c>
      <c r="E38">
        <v>20.29</v>
      </c>
      <c r="F38">
        <v>34.5</v>
      </c>
    </row>
    <row r="39" spans="1:6" x14ac:dyDescent="0.25">
      <c r="A39" s="172" t="s">
        <v>171</v>
      </c>
      <c r="B39" t="s">
        <v>172</v>
      </c>
      <c r="C39" t="s">
        <v>173</v>
      </c>
      <c r="D39">
        <v>8.27</v>
      </c>
      <c r="E39">
        <v>21.47</v>
      </c>
      <c r="F39">
        <v>36.5</v>
      </c>
    </row>
    <row r="40" spans="1:6" x14ac:dyDescent="0.25">
      <c r="A40" s="172" t="s">
        <v>174</v>
      </c>
      <c r="B40" t="s">
        <v>175</v>
      </c>
      <c r="C40" t="s">
        <v>176</v>
      </c>
      <c r="D40">
        <v>7.23</v>
      </c>
      <c r="E40">
        <v>18.82</v>
      </c>
      <c r="F40">
        <v>32</v>
      </c>
    </row>
    <row r="41" spans="1:6" x14ac:dyDescent="0.25">
      <c r="A41" s="172" t="s">
        <v>177</v>
      </c>
      <c r="B41" t="s">
        <v>178</v>
      </c>
      <c r="C41" t="s">
        <v>179</v>
      </c>
      <c r="D41">
        <v>2.58</v>
      </c>
      <c r="E41">
        <v>6.82</v>
      </c>
      <c r="F41">
        <v>11.6</v>
      </c>
    </row>
    <row r="42" spans="1:6" x14ac:dyDescent="0.25">
      <c r="A42" s="172" t="s">
        <v>180</v>
      </c>
      <c r="B42" t="s">
        <v>181</v>
      </c>
      <c r="C42" t="s">
        <v>182</v>
      </c>
      <c r="D42">
        <v>2.9</v>
      </c>
      <c r="E42">
        <v>7.59</v>
      </c>
      <c r="F42">
        <v>12.9</v>
      </c>
    </row>
    <row r="43" spans="1:6" x14ac:dyDescent="0.25">
      <c r="A43" s="172" t="s">
        <v>183</v>
      </c>
      <c r="B43" t="s">
        <v>184</v>
      </c>
      <c r="C43" t="s">
        <v>185</v>
      </c>
      <c r="D43">
        <v>18.75</v>
      </c>
      <c r="E43">
        <v>47.94</v>
      </c>
      <c r="F43">
        <v>81.5</v>
      </c>
    </row>
    <row r="44" spans="1:6" x14ac:dyDescent="0.25">
      <c r="A44" s="172" t="s">
        <v>186</v>
      </c>
      <c r="B44" t="s">
        <v>187</v>
      </c>
      <c r="C44" t="s">
        <v>188</v>
      </c>
      <c r="D44">
        <v>6.14</v>
      </c>
      <c r="E44">
        <v>15.83</v>
      </c>
      <c r="F44">
        <v>26.9</v>
      </c>
    </row>
    <row r="45" spans="1:6" x14ac:dyDescent="0.25">
      <c r="A45" s="172" t="s">
        <v>189</v>
      </c>
      <c r="B45" t="s">
        <v>190</v>
      </c>
      <c r="C45" t="s">
        <v>191</v>
      </c>
      <c r="D45">
        <v>19.97</v>
      </c>
      <c r="E45">
        <v>50.53</v>
      </c>
      <c r="F45">
        <v>85.9</v>
      </c>
    </row>
    <row r="46" spans="1:6" x14ac:dyDescent="0.25">
      <c r="A46" s="172" t="s">
        <v>192</v>
      </c>
      <c r="B46" t="s">
        <v>193</v>
      </c>
      <c r="C46" t="s">
        <v>194</v>
      </c>
      <c r="D46">
        <v>6.3</v>
      </c>
      <c r="E46">
        <v>12.94</v>
      </c>
      <c r="F46">
        <v>27.5</v>
      </c>
    </row>
    <row r="47" spans="1:6" x14ac:dyDescent="0.25">
      <c r="A47" s="172" t="s">
        <v>195</v>
      </c>
      <c r="B47" t="s">
        <v>196</v>
      </c>
      <c r="C47" t="s">
        <v>197</v>
      </c>
      <c r="D47">
        <v>6.72</v>
      </c>
      <c r="E47">
        <v>17.59</v>
      </c>
      <c r="F47">
        <v>29.9</v>
      </c>
    </row>
    <row r="48" spans="1:6" x14ac:dyDescent="0.25">
      <c r="A48" s="172" t="s">
        <v>198</v>
      </c>
      <c r="B48" t="s">
        <v>199</v>
      </c>
      <c r="C48" t="s">
        <v>200</v>
      </c>
      <c r="D48">
        <v>7.75</v>
      </c>
      <c r="E48">
        <v>20</v>
      </c>
      <c r="F48">
        <v>34</v>
      </c>
    </row>
    <row r="49" spans="1:6" x14ac:dyDescent="0.25">
      <c r="A49" s="172" t="s">
        <v>201</v>
      </c>
      <c r="B49" t="s">
        <v>202</v>
      </c>
      <c r="C49" t="s">
        <v>203</v>
      </c>
      <c r="D49">
        <v>8.78</v>
      </c>
      <c r="E49">
        <v>22.41</v>
      </c>
      <c r="F49">
        <v>38.1</v>
      </c>
    </row>
    <row r="50" spans="1:6" x14ac:dyDescent="0.25">
      <c r="A50" s="172" t="s">
        <v>204</v>
      </c>
      <c r="B50" t="s">
        <v>205</v>
      </c>
      <c r="C50" t="s">
        <v>206</v>
      </c>
      <c r="D50">
        <v>8.78</v>
      </c>
      <c r="E50">
        <v>22.41</v>
      </c>
      <c r="F50">
        <v>38.1</v>
      </c>
    </row>
    <row r="51" spans="1:6" x14ac:dyDescent="0.25">
      <c r="A51" s="172" t="s">
        <v>207</v>
      </c>
      <c r="B51" t="s">
        <v>208</v>
      </c>
      <c r="C51" t="s">
        <v>209</v>
      </c>
      <c r="D51">
        <v>10.68</v>
      </c>
      <c r="E51">
        <v>27</v>
      </c>
      <c r="F51">
        <v>45.9</v>
      </c>
    </row>
    <row r="52" spans="1:6" x14ac:dyDescent="0.25">
      <c r="A52" s="172" t="s">
        <v>210</v>
      </c>
      <c r="B52" t="s">
        <v>211</v>
      </c>
      <c r="C52" t="s">
        <v>212</v>
      </c>
      <c r="D52">
        <v>11.36</v>
      </c>
      <c r="E52">
        <v>28.71</v>
      </c>
      <c r="F52">
        <v>48.8</v>
      </c>
    </row>
    <row r="53" spans="1:6" x14ac:dyDescent="0.25">
      <c r="A53" s="172" t="s">
        <v>213</v>
      </c>
      <c r="B53" t="s">
        <v>214</v>
      </c>
      <c r="C53" t="s">
        <v>215</v>
      </c>
      <c r="D53">
        <v>12.61</v>
      </c>
      <c r="E53">
        <v>32.18</v>
      </c>
      <c r="F53">
        <v>54.7</v>
      </c>
    </row>
    <row r="54" spans="1:6" x14ac:dyDescent="0.25">
      <c r="A54" s="172" t="s">
        <v>216</v>
      </c>
      <c r="B54" t="s">
        <v>217</v>
      </c>
      <c r="C54" t="s">
        <v>218</v>
      </c>
      <c r="D54">
        <v>12.61</v>
      </c>
      <c r="E54">
        <v>32.18</v>
      </c>
      <c r="F54">
        <v>54.7</v>
      </c>
    </row>
    <row r="55" spans="1:6" x14ac:dyDescent="0.25">
      <c r="A55" s="172" t="s">
        <v>219</v>
      </c>
      <c r="B55" t="s">
        <v>220</v>
      </c>
      <c r="C55" t="s">
        <v>221</v>
      </c>
      <c r="D55">
        <v>19.13</v>
      </c>
      <c r="E55">
        <v>47.94</v>
      </c>
      <c r="F55">
        <v>81.5</v>
      </c>
    </row>
    <row r="56" spans="1:6" x14ac:dyDescent="0.25">
      <c r="A56" s="172" t="s">
        <v>222</v>
      </c>
      <c r="B56" t="s">
        <v>223</v>
      </c>
      <c r="C56" t="s">
        <v>224</v>
      </c>
      <c r="D56">
        <v>20.16</v>
      </c>
      <c r="E56">
        <v>50.53</v>
      </c>
      <c r="F56">
        <v>85.9</v>
      </c>
    </row>
    <row r="57" spans="1:6" x14ac:dyDescent="0.25">
      <c r="A57" s="172" t="s">
        <v>225</v>
      </c>
      <c r="B57" t="s">
        <v>226</v>
      </c>
      <c r="C57" t="s">
        <v>227</v>
      </c>
      <c r="D57">
        <v>6.43</v>
      </c>
      <c r="E57">
        <v>16.18</v>
      </c>
      <c r="F57">
        <v>27.5</v>
      </c>
    </row>
    <row r="58" spans="1:6" x14ac:dyDescent="0.25">
      <c r="A58" s="172" t="s">
        <v>228</v>
      </c>
      <c r="B58" t="s">
        <v>229</v>
      </c>
      <c r="C58" t="s">
        <v>230</v>
      </c>
      <c r="D58">
        <v>10.93</v>
      </c>
      <c r="E58">
        <v>23.47</v>
      </c>
      <c r="F58">
        <v>39.9</v>
      </c>
    </row>
    <row r="59" spans="1:6" x14ac:dyDescent="0.25">
      <c r="A59" s="172" t="s">
        <v>231</v>
      </c>
      <c r="B59" t="s">
        <v>232</v>
      </c>
      <c r="C59" t="s">
        <v>233</v>
      </c>
      <c r="D59">
        <v>12.47</v>
      </c>
      <c r="E59">
        <v>13.64</v>
      </c>
      <c r="F59">
        <v>29</v>
      </c>
    </row>
    <row r="60" spans="1:6" x14ac:dyDescent="0.25">
      <c r="A60" s="172" t="s">
        <v>234</v>
      </c>
      <c r="B60" t="s">
        <v>235</v>
      </c>
      <c r="C60" t="s">
        <v>236</v>
      </c>
      <c r="D60">
        <v>9.02</v>
      </c>
      <c r="E60">
        <v>17.06</v>
      </c>
      <c r="F60">
        <v>29</v>
      </c>
    </row>
    <row r="61" spans="1:6" x14ac:dyDescent="0.25">
      <c r="A61" s="172" t="s">
        <v>237</v>
      </c>
      <c r="B61" t="s">
        <v>238</v>
      </c>
      <c r="C61" t="s">
        <v>239</v>
      </c>
      <c r="D61">
        <v>9.36</v>
      </c>
      <c r="E61">
        <v>14.82</v>
      </c>
      <c r="F61">
        <v>31.5</v>
      </c>
    </row>
    <row r="62" spans="1:6" x14ac:dyDescent="0.25">
      <c r="A62" s="172" t="s">
        <v>240</v>
      </c>
      <c r="B62" t="s">
        <v>241</v>
      </c>
      <c r="C62" t="s">
        <v>242</v>
      </c>
      <c r="D62">
        <v>39.76</v>
      </c>
      <c r="E62">
        <v>58.76</v>
      </c>
      <c r="F62">
        <v>99.9</v>
      </c>
    </row>
    <row r="63" spans="1:6" x14ac:dyDescent="0.25">
      <c r="A63" s="172" t="s">
        <v>243</v>
      </c>
      <c r="B63" t="s">
        <v>244</v>
      </c>
      <c r="C63" t="s">
        <v>245</v>
      </c>
      <c r="D63">
        <v>11.86</v>
      </c>
      <c r="E63">
        <v>15.8</v>
      </c>
      <c r="F63">
        <v>39.5</v>
      </c>
    </row>
    <row r="64" spans="1:6" x14ac:dyDescent="0.25">
      <c r="A64" s="172" t="s">
        <v>246</v>
      </c>
      <c r="B64" t="s">
        <v>247</v>
      </c>
      <c r="C64" t="s">
        <v>248</v>
      </c>
      <c r="D64">
        <v>11.95</v>
      </c>
      <c r="E64">
        <v>15.8</v>
      </c>
      <c r="F64">
        <v>39.5</v>
      </c>
    </row>
    <row r="65" spans="1:6" x14ac:dyDescent="0.25">
      <c r="A65" s="172" t="s">
        <v>249</v>
      </c>
      <c r="B65" t="s">
        <v>250</v>
      </c>
      <c r="C65" t="s">
        <v>251</v>
      </c>
      <c r="D65">
        <v>5.34</v>
      </c>
      <c r="E65">
        <v>10.53</v>
      </c>
      <c r="F65">
        <v>17.9</v>
      </c>
    </row>
    <row r="66" spans="1:6" x14ac:dyDescent="0.25">
      <c r="A66" s="172" t="s">
        <v>252</v>
      </c>
      <c r="B66" t="s">
        <v>253</v>
      </c>
      <c r="C66" t="s">
        <v>254</v>
      </c>
      <c r="D66">
        <v>5.38</v>
      </c>
      <c r="E66">
        <v>10.53</v>
      </c>
      <c r="F66">
        <v>17.9</v>
      </c>
    </row>
    <row r="67" spans="1:6" x14ac:dyDescent="0.25">
      <c r="A67" s="172" t="s">
        <v>255</v>
      </c>
      <c r="B67" t="s">
        <v>256</v>
      </c>
      <c r="C67" t="s">
        <v>257</v>
      </c>
      <c r="D67">
        <v>6.35</v>
      </c>
      <c r="E67">
        <v>10.58</v>
      </c>
      <c r="F67">
        <v>18</v>
      </c>
    </row>
    <row r="68" spans="1:6" x14ac:dyDescent="0.25">
      <c r="A68" s="172" t="s">
        <v>258</v>
      </c>
      <c r="B68" t="s">
        <v>259</v>
      </c>
      <c r="C68" t="s">
        <v>260</v>
      </c>
      <c r="D68">
        <v>9.58</v>
      </c>
      <c r="E68">
        <v>19.41</v>
      </c>
      <c r="F68">
        <v>33</v>
      </c>
    </row>
    <row r="69" spans="1:6" x14ac:dyDescent="0.25">
      <c r="A69" s="172" t="s">
        <v>261</v>
      </c>
      <c r="B69" t="s">
        <v>262</v>
      </c>
      <c r="C69" t="s">
        <v>263</v>
      </c>
      <c r="D69">
        <v>12.45</v>
      </c>
      <c r="E69">
        <v>27.59</v>
      </c>
      <c r="F69">
        <v>46.9</v>
      </c>
    </row>
    <row r="70" spans="1:6" x14ac:dyDescent="0.25">
      <c r="A70" s="172" t="s">
        <v>264</v>
      </c>
      <c r="B70" t="s">
        <v>265</v>
      </c>
      <c r="C70" t="s">
        <v>266</v>
      </c>
      <c r="D70">
        <v>10.72</v>
      </c>
      <c r="E70">
        <v>17.59</v>
      </c>
      <c r="F70">
        <v>29.9</v>
      </c>
    </row>
    <row r="71" spans="1:6" x14ac:dyDescent="0.25">
      <c r="A71" s="172" t="s">
        <v>267</v>
      </c>
      <c r="B71" t="s">
        <v>268</v>
      </c>
      <c r="C71" t="s">
        <v>269</v>
      </c>
      <c r="D71">
        <v>4.31</v>
      </c>
      <c r="E71">
        <v>8.76</v>
      </c>
      <c r="F71">
        <v>14.9</v>
      </c>
    </row>
    <row r="72" spans="1:6" x14ac:dyDescent="0.25">
      <c r="A72" s="172" t="s">
        <v>270</v>
      </c>
      <c r="B72" t="s">
        <v>271</v>
      </c>
      <c r="C72" t="s">
        <v>248</v>
      </c>
      <c r="D72">
        <v>43.36</v>
      </c>
      <c r="E72">
        <v>0</v>
      </c>
      <c r="F72">
        <v>0</v>
      </c>
    </row>
    <row r="73" spans="1:6" x14ac:dyDescent="0.25">
      <c r="A73" s="172" t="s">
        <v>272</v>
      </c>
      <c r="B73" t="s">
        <v>273</v>
      </c>
      <c r="C73" t="s">
        <v>274</v>
      </c>
      <c r="D73">
        <v>6.22</v>
      </c>
      <c r="E73">
        <v>10.23</v>
      </c>
      <c r="F73">
        <v>17.9</v>
      </c>
    </row>
    <row r="74" spans="1:6" x14ac:dyDescent="0.25">
      <c r="A74" s="172" t="s">
        <v>275</v>
      </c>
      <c r="B74" t="s">
        <v>276</v>
      </c>
      <c r="C74" t="s">
        <v>277</v>
      </c>
      <c r="D74">
        <v>10.23</v>
      </c>
      <c r="E74">
        <v>26.12</v>
      </c>
      <c r="F74">
        <v>44.4</v>
      </c>
    </row>
    <row r="75" spans="1:6" x14ac:dyDescent="0.25">
      <c r="A75" s="172" t="s">
        <v>278</v>
      </c>
      <c r="B75" t="s">
        <v>279</v>
      </c>
      <c r="C75" t="s">
        <v>280</v>
      </c>
      <c r="D75">
        <v>6.55</v>
      </c>
      <c r="E75">
        <v>17.35</v>
      </c>
      <c r="F75">
        <v>29.5</v>
      </c>
    </row>
    <row r="76" spans="1:6" x14ac:dyDescent="0.25">
      <c r="A76" s="172" t="s">
        <v>281</v>
      </c>
      <c r="B76" t="s">
        <v>282</v>
      </c>
      <c r="C76" t="s">
        <v>283</v>
      </c>
      <c r="D76">
        <v>10.34</v>
      </c>
      <c r="E76">
        <v>26.12</v>
      </c>
      <c r="F76">
        <v>44.4</v>
      </c>
    </row>
    <row r="77" spans="1:6" x14ac:dyDescent="0.25">
      <c r="A77" s="172" t="s">
        <v>284</v>
      </c>
      <c r="B77" t="s">
        <v>285</v>
      </c>
      <c r="C77" t="s">
        <v>286</v>
      </c>
      <c r="D77">
        <v>15.84</v>
      </c>
      <c r="E77">
        <v>41.12</v>
      </c>
      <c r="F77">
        <v>69.9</v>
      </c>
    </row>
    <row r="78" spans="1:6" x14ac:dyDescent="0.25">
      <c r="A78" s="172" t="s">
        <v>287</v>
      </c>
      <c r="B78" t="s">
        <v>288</v>
      </c>
      <c r="C78" t="s">
        <v>289</v>
      </c>
      <c r="D78">
        <v>14.8</v>
      </c>
      <c r="E78">
        <v>38.53</v>
      </c>
      <c r="F78">
        <v>65.5</v>
      </c>
    </row>
    <row r="79" spans="1:6" x14ac:dyDescent="0.25">
      <c r="A79" s="172" t="s">
        <v>290</v>
      </c>
      <c r="B79" t="s">
        <v>291</v>
      </c>
      <c r="C79" t="s">
        <v>292</v>
      </c>
      <c r="D79">
        <v>13.77</v>
      </c>
      <c r="E79">
        <v>35.88</v>
      </c>
      <c r="F79">
        <v>61</v>
      </c>
    </row>
    <row r="80" spans="1:6" x14ac:dyDescent="0.25">
      <c r="A80" s="172" t="s">
        <v>293</v>
      </c>
      <c r="B80" t="s">
        <v>294</v>
      </c>
      <c r="C80" t="s">
        <v>295</v>
      </c>
      <c r="D80">
        <v>16.22</v>
      </c>
      <c r="E80">
        <v>41.12</v>
      </c>
      <c r="F80">
        <v>69.9</v>
      </c>
    </row>
    <row r="81" spans="1:6" x14ac:dyDescent="0.25">
      <c r="A81" s="172" t="s">
        <v>296</v>
      </c>
      <c r="B81" t="s">
        <v>297</v>
      </c>
      <c r="C81" t="s">
        <v>298</v>
      </c>
      <c r="D81">
        <v>15.34</v>
      </c>
      <c r="E81">
        <v>39.71</v>
      </c>
      <c r="F81">
        <v>67.5</v>
      </c>
    </row>
    <row r="82" spans="1:6" x14ac:dyDescent="0.25">
      <c r="A82" s="172" t="s">
        <v>299</v>
      </c>
      <c r="B82" t="s">
        <v>300</v>
      </c>
      <c r="C82" t="s">
        <v>301</v>
      </c>
      <c r="D82">
        <v>0</v>
      </c>
      <c r="E82">
        <v>46.18</v>
      </c>
      <c r="F82">
        <v>78.5</v>
      </c>
    </row>
    <row r="83" spans="1:6" x14ac:dyDescent="0.25">
      <c r="A83" s="172" t="s">
        <v>302</v>
      </c>
      <c r="B83" t="s">
        <v>303</v>
      </c>
      <c r="C83" t="s">
        <v>304</v>
      </c>
      <c r="D83">
        <v>17.64</v>
      </c>
      <c r="E83">
        <v>44.12</v>
      </c>
      <c r="F83">
        <v>75</v>
      </c>
    </row>
    <row r="84" spans="1:6" x14ac:dyDescent="0.25">
      <c r="A84" s="172" t="s">
        <v>305</v>
      </c>
      <c r="B84" t="s">
        <v>306</v>
      </c>
      <c r="C84" t="s">
        <v>307</v>
      </c>
      <c r="D84">
        <v>18.28</v>
      </c>
      <c r="E84">
        <v>46.76</v>
      </c>
      <c r="F84">
        <v>79.5</v>
      </c>
    </row>
    <row r="85" spans="1:6" x14ac:dyDescent="0.25">
      <c r="A85" s="172" t="s">
        <v>308</v>
      </c>
      <c r="B85" t="s">
        <v>309</v>
      </c>
      <c r="C85" t="s">
        <v>310</v>
      </c>
      <c r="D85">
        <v>18.42</v>
      </c>
      <c r="E85">
        <v>46.77</v>
      </c>
      <c r="F85">
        <v>79.5</v>
      </c>
    </row>
    <row r="86" spans="1:6" x14ac:dyDescent="0.25">
      <c r="A86" s="172" t="s">
        <v>311</v>
      </c>
      <c r="B86" t="s">
        <v>312</v>
      </c>
      <c r="C86" t="s">
        <v>313</v>
      </c>
      <c r="D86">
        <v>17.19</v>
      </c>
      <c r="E86">
        <v>44.65</v>
      </c>
      <c r="F86">
        <v>75.9</v>
      </c>
    </row>
    <row r="87" spans="1:6" x14ac:dyDescent="0.25">
      <c r="A87" s="172" t="s">
        <v>314</v>
      </c>
      <c r="B87" t="s">
        <v>315</v>
      </c>
      <c r="C87" t="s">
        <v>316</v>
      </c>
      <c r="D87">
        <v>16.71</v>
      </c>
      <c r="E87">
        <v>42.88</v>
      </c>
      <c r="F87">
        <v>72.9</v>
      </c>
    </row>
    <row r="88" spans="1:6" x14ac:dyDescent="0.25">
      <c r="A88" s="172" t="s">
        <v>317</v>
      </c>
      <c r="B88" t="s">
        <v>318</v>
      </c>
      <c r="C88" t="s">
        <v>319</v>
      </c>
      <c r="D88">
        <v>16.71</v>
      </c>
      <c r="E88">
        <v>42.88</v>
      </c>
      <c r="F88">
        <v>72.9</v>
      </c>
    </row>
    <row r="89" spans="1:6" x14ac:dyDescent="0.25">
      <c r="A89" s="172" t="s">
        <v>320</v>
      </c>
      <c r="B89" t="s">
        <v>321</v>
      </c>
      <c r="C89" t="s">
        <v>322</v>
      </c>
      <c r="D89">
        <v>17.46</v>
      </c>
      <c r="E89">
        <v>38.18</v>
      </c>
      <c r="F89">
        <v>64.9</v>
      </c>
    </row>
    <row r="90" spans="1:6" x14ac:dyDescent="0.25">
      <c r="A90" s="172" t="s">
        <v>323</v>
      </c>
      <c r="B90" t="s">
        <v>324</v>
      </c>
      <c r="C90" t="s">
        <v>325</v>
      </c>
      <c r="D90">
        <v>18.69</v>
      </c>
      <c r="E90">
        <v>41.12</v>
      </c>
      <c r="F90">
        <v>69.9</v>
      </c>
    </row>
    <row r="91" spans="1:6" x14ac:dyDescent="0.25">
      <c r="A91" s="172" t="s">
        <v>326</v>
      </c>
      <c r="B91" t="s">
        <v>327</v>
      </c>
      <c r="C91" t="s">
        <v>328</v>
      </c>
      <c r="D91">
        <v>6.2</v>
      </c>
      <c r="E91">
        <v>15.65</v>
      </c>
      <c r="F91">
        <v>26.6</v>
      </c>
    </row>
    <row r="92" spans="1:6" x14ac:dyDescent="0.25">
      <c r="A92" s="172" t="s">
        <v>329</v>
      </c>
      <c r="B92" t="s">
        <v>330</v>
      </c>
      <c r="C92" t="s">
        <v>331</v>
      </c>
      <c r="D92">
        <v>5.86</v>
      </c>
      <c r="E92">
        <v>14.82</v>
      </c>
      <c r="F92">
        <v>25.2</v>
      </c>
    </row>
    <row r="93" spans="1:6" x14ac:dyDescent="0.25">
      <c r="A93" s="172" t="s">
        <v>332</v>
      </c>
      <c r="B93" t="s">
        <v>333</v>
      </c>
      <c r="C93" t="s">
        <v>334</v>
      </c>
      <c r="D93">
        <v>5.86</v>
      </c>
      <c r="E93">
        <v>14.82</v>
      </c>
      <c r="F93">
        <v>25.2</v>
      </c>
    </row>
    <row r="94" spans="1:6" x14ac:dyDescent="0.25">
      <c r="A94" s="172" t="s">
        <v>335</v>
      </c>
      <c r="B94" t="s">
        <v>336</v>
      </c>
      <c r="C94" t="s">
        <v>337</v>
      </c>
      <c r="D94">
        <v>5.51</v>
      </c>
      <c r="E94">
        <v>13.94</v>
      </c>
      <c r="F94">
        <v>23.7</v>
      </c>
    </row>
    <row r="95" spans="1:6" x14ac:dyDescent="0.25">
      <c r="A95" s="172" t="s">
        <v>338</v>
      </c>
      <c r="B95" t="s">
        <v>339</v>
      </c>
      <c r="C95" t="s">
        <v>340</v>
      </c>
      <c r="D95">
        <v>2.44</v>
      </c>
      <c r="E95">
        <v>0</v>
      </c>
      <c r="F95">
        <v>8.1</v>
      </c>
    </row>
    <row r="96" spans="1:6" x14ac:dyDescent="0.25">
      <c r="A96" s="172" t="s">
        <v>341</v>
      </c>
      <c r="B96" t="s">
        <v>342</v>
      </c>
      <c r="C96" t="s">
        <v>343</v>
      </c>
      <c r="D96">
        <v>5.43</v>
      </c>
      <c r="E96">
        <v>13.94</v>
      </c>
      <c r="F96">
        <v>23.7</v>
      </c>
    </row>
    <row r="97" spans="1:6" x14ac:dyDescent="0.25">
      <c r="A97" s="172" t="s">
        <v>344</v>
      </c>
      <c r="B97" t="s">
        <v>345</v>
      </c>
      <c r="C97" t="s">
        <v>346</v>
      </c>
      <c r="D97">
        <v>6.2</v>
      </c>
      <c r="E97">
        <v>10.95</v>
      </c>
      <c r="F97">
        <v>26.6</v>
      </c>
    </row>
    <row r="98" spans="1:6" x14ac:dyDescent="0.25">
      <c r="A98" s="172" t="s">
        <v>347</v>
      </c>
      <c r="B98" t="s">
        <v>348</v>
      </c>
      <c r="C98" t="s">
        <v>349</v>
      </c>
      <c r="D98">
        <v>5.51</v>
      </c>
      <c r="E98">
        <v>14.41</v>
      </c>
      <c r="F98">
        <v>24.5</v>
      </c>
    </row>
    <row r="99" spans="1:6" x14ac:dyDescent="0.25">
      <c r="A99" s="172" t="s">
        <v>350</v>
      </c>
      <c r="B99" t="s">
        <v>351</v>
      </c>
      <c r="C99" t="s">
        <v>352</v>
      </c>
      <c r="D99">
        <v>4.99</v>
      </c>
      <c r="E99">
        <v>13.23</v>
      </c>
      <c r="F99">
        <v>22.5</v>
      </c>
    </row>
    <row r="100" spans="1:6" x14ac:dyDescent="0.25">
      <c r="A100" s="172" t="s">
        <v>353</v>
      </c>
      <c r="B100" t="s">
        <v>354</v>
      </c>
      <c r="C100" t="s">
        <v>355</v>
      </c>
      <c r="D100">
        <v>4.99</v>
      </c>
      <c r="E100">
        <v>13.23</v>
      </c>
      <c r="F100">
        <v>22.5</v>
      </c>
    </row>
    <row r="101" spans="1:6" x14ac:dyDescent="0.25">
      <c r="A101" s="172" t="s">
        <v>356</v>
      </c>
      <c r="B101" t="s">
        <v>357</v>
      </c>
      <c r="C101" t="s">
        <v>358</v>
      </c>
      <c r="D101">
        <v>4.66</v>
      </c>
      <c r="E101">
        <v>11.88</v>
      </c>
      <c r="F101">
        <v>20.2</v>
      </c>
    </row>
    <row r="102" spans="1:6" x14ac:dyDescent="0.25">
      <c r="A102" s="172" t="s">
        <v>359</v>
      </c>
      <c r="B102" t="s">
        <v>360</v>
      </c>
      <c r="C102" t="s">
        <v>361</v>
      </c>
      <c r="D102">
        <v>5.51</v>
      </c>
      <c r="E102">
        <v>14.41</v>
      </c>
      <c r="F102">
        <v>24.5</v>
      </c>
    </row>
    <row r="103" spans="1:6" x14ac:dyDescent="0.25">
      <c r="A103" s="172" t="s">
        <v>362</v>
      </c>
      <c r="B103" t="s">
        <v>363</v>
      </c>
      <c r="C103" t="s">
        <v>364</v>
      </c>
      <c r="D103">
        <v>2.44</v>
      </c>
      <c r="E103">
        <v>0</v>
      </c>
      <c r="F103">
        <v>0</v>
      </c>
    </row>
    <row r="104" spans="1:6" x14ac:dyDescent="0.25">
      <c r="A104" s="172" t="s">
        <v>365</v>
      </c>
      <c r="B104" t="s">
        <v>366</v>
      </c>
      <c r="C104" t="s">
        <v>367</v>
      </c>
      <c r="D104">
        <v>5.46</v>
      </c>
      <c r="E104">
        <v>14.06</v>
      </c>
      <c r="F104">
        <v>23.9</v>
      </c>
    </row>
    <row r="105" spans="1:6" x14ac:dyDescent="0.25">
      <c r="A105" s="172" t="s">
        <v>368</v>
      </c>
      <c r="B105" t="s">
        <v>369</v>
      </c>
      <c r="C105" t="s">
        <v>370</v>
      </c>
      <c r="D105">
        <v>3.74</v>
      </c>
      <c r="E105">
        <v>9.71</v>
      </c>
      <c r="F105">
        <v>16.5</v>
      </c>
    </row>
    <row r="106" spans="1:6" x14ac:dyDescent="0.25">
      <c r="A106" s="172" t="s">
        <v>371</v>
      </c>
      <c r="B106" t="s">
        <v>372</v>
      </c>
      <c r="C106" t="s">
        <v>373</v>
      </c>
      <c r="D106">
        <v>3.78</v>
      </c>
      <c r="E106">
        <v>9.88</v>
      </c>
      <c r="F106">
        <v>16.8</v>
      </c>
    </row>
    <row r="107" spans="1:6" x14ac:dyDescent="0.25">
      <c r="A107" s="172" t="s">
        <v>374</v>
      </c>
      <c r="B107" t="s">
        <v>375</v>
      </c>
      <c r="C107" t="s">
        <v>376</v>
      </c>
      <c r="D107">
        <v>4.9</v>
      </c>
      <c r="E107">
        <v>12.82</v>
      </c>
      <c r="F107">
        <v>21.8</v>
      </c>
    </row>
    <row r="108" spans="1:6" x14ac:dyDescent="0.25">
      <c r="A108" s="172" t="s">
        <v>377</v>
      </c>
      <c r="B108" t="s">
        <v>378</v>
      </c>
      <c r="C108" t="s">
        <v>379</v>
      </c>
      <c r="D108">
        <v>3.68</v>
      </c>
      <c r="E108">
        <v>9.71</v>
      </c>
      <c r="F108">
        <v>16.5</v>
      </c>
    </row>
    <row r="109" spans="1:6" x14ac:dyDescent="0.25">
      <c r="A109" s="172" t="s">
        <v>380</v>
      </c>
      <c r="B109" t="s">
        <v>381</v>
      </c>
      <c r="C109" t="s">
        <v>382</v>
      </c>
      <c r="D109">
        <v>3.74</v>
      </c>
      <c r="E109">
        <v>9.71</v>
      </c>
      <c r="F109">
        <v>16.5</v>
      </c>
    </row>
    <row r="110" spans="1:6" x14ac:dyDescent="0.25">
      <c r="A110" s="172" t="s">
        <v>383</v>
      </c>
      <c r="B110" t="s">
        <v>384</v>
      </c>
      <c r="C110" t="s">
        <v>385</v>
      </c>
      <c r="D110">
        <v>1.76</v>
      </c>
      <c r="E110">
        <v>0</v>
      </c>
      <c r="F110">
        <v>0</v>
      </c>
    </row>
    <row r="111" spans="1:6" x14ac:dyDescent="0.25">
      <c r="A111" s="172" t="s">
        <v>386</v>
      </c>
      <c r="B111" t="s">
        <v>387</v>
      </c>
      <c r="C111" t="s">
        <v>388</v>
      </c>
      <c r="D111">
        <v>6.03</v>
      </c>
      <c r="E111">
        <v>15.47</v>
      </c>
      <c r="F111">
        <v>26.3</v>
      </c>
    </row>
    <row r="112" spans="1:6" x14ac:dyDescent="0.25">
      <c r="A112" s="172" t="s">
        <v>389</v>
      </c>
      <c r="B112" t="s">
        <v>390</v>
      </c>
      <c r="C112" t="s">
        <v>391</v>
      </c>
      <c r="D112">
        <v>4.47</v>
      </c>
      <c r="E112">
        <v>11.76</v>
      </c>
      <c r="F112">
        <v>20</v>
      </c>
    </row>
    <row r="113" spans="1:6" x14ac:dyDescent="0.25">
      <c r="A113" s="172" t="s">
        <v>392</v>
      </c>
      <c r="B113" t="s">
        <v>393</v>
      </c>
      <c r="C113" t="s">
        <v>394</v>
      </c>
      <c r="D113">
        <v>3.74</v>
      </c>
      <c r="E113">
        <v>9.94</v>
      </c>
      <c r="F113">
        <v>16.9</v>
      </c>
    </row>
    <row r="114" spans="1:6" x14ac:dyDescent="0.25">
      <c r="A114" s="172" t="s">
        <v>395</v>
      </c>
      <c r="B114" t="s">
        <v>396</v>
      </c>
      <c r="C114" t="s">
        <v>397</v>
      </c>
      <c r="D114">
        <v>6</v>
      </c>
      <c r="E114">
        <v>15.29</v>
      </c>
      <c r="F114">
        <v>26</v>
      </c>
    </row>
    <row r="115" spans="1:6" x14ac:dyDescent="0.25">
      <c r="A115" s="172" t="s">
        <v>398</v>
      </c>
      <c r="B115" t="s">
        <v>399</v>
      </c>
      <c r="C115" t="s">
        <v>400</v>
      </c>
      <c r="D115">
        <v>8.02</v>
      </c>
      <c r="E115">
        <v>20.53</v>
      </c>
      <c r="F115">
        <v>34.9</v>
      </c>
    </row>
    <row r="116" spans="1:6" x14ac:dyDescent="0.25">
      <c r="A116" s="172" t="s">
        <v>401</v>
      </c>
      <c r="B116" t="s">
        <v>402</v>
      </c>
      <c r="C116" t="s">
        <v>403</v>
      </c>
      <c r="D116">
        <v>2.16</v>
      </c>
      <c r="E116">
        <v>0</v>
      </c>
      <c r="F116">
        <v>28.92</v>
      </c>
    </row>
    <row r="117" spans="1:6" x14ac:dyDescent="0.25">
      <c r="A117" s="172" t="s">
        <v>404</v>
      </c>
      <c r="B117" t="s">
        <v>405</v>
      </c>
      <c r="C117" t="s">
        <v>248</v>
      </c>
      <c r="D117">
        <v>6.99</v>
      </c>
      <c r="E117">
        <v>17.94</v>
      </c>
      <c r="F117">
        <v>30.5</v>
      </c>
    </row>
    <row r="118" spans="1:6" x14ac:dyDescent="0.25">
      <c r="A118" s="172" t="s">
        <v>406</v>
      </c>
      <c r="B118" t="s">
        <v>407</v>
      </c>
      <c r="C118" t="s">
        <v>408</v>
      </c>
      <c r="D118">
        <v>0</v>
      </c>
      <c r="E118">
        <v>14.35</v>
      </c>
      <c r="F118">
        <v>0</v>
      </c>
    </row>
    <row r="119" spans="1:6" x14ac:dyDescent="0.25">
      <c r="A119" s="172" t="s">
        <v>409</v>
      </c>
      <c r="B119" t="s">
        <v>410</v>
      </c>
      <c r="C119" t="s">
        <v>411</v>
      </c>
      <c r="D119">
        <v>4.13</v>
      </c>
      <c r="E119">
        <v>10.41</v>
      </c>
      <c r="F119">
        <v>17.7</v>
      </c>
    </row>
    <row r="120" spans="1:6" x14ac:dyDescent="0.25">
      <c r="A120" s="172" t="s">
        <v>412</v>
      </c>
      <c r="B120" t="s">
        <v>413</v>
      </c>
      <c r="C120" t="s">
        <v>414</v>
      </c>
      <c r="D120">
        <v>3.78</v>
      </c>
      <c r="E120">
        <v>9.47</v>
      </c>
      <c r="F120">
        <v>16.1</v>
      </c>
    </row>
    <row r="121" spans="1:6" x14ac:dyDescent="0.25">
      <c r="A121" s="172" t="s">
        <v>415</v>
      </c>
      <c r="B121" t="s">
        <v>416</v>
      </c>
      <c r="C121" t="s">
        <v>417</v>
      </c>
      <c r="D121">
        <v>2.53</v>
      </c>
      <c r="E121">
        <v>6.7</v>
      </c>
      <c r="F121">
        <v>11.4</v>
      </c>
    </row>
    <row r="122" spans="1:6" x14ac:dyDescent="0.25">
      <c r="A122" s="172" t="s">
        <v>418</v>
      </c>
      <c r="B122" t="s">
        <v>419</v>
      </c>
      <c r="C122" t="s">
        <v>420</v>
      </c>
      <c r="D122">
        <v>5.16</v>
      </c>
      <c r="E122">
        <v>13.24</v>
      </c>
      <c r="F122">
        <v>22.5</v>
      </c>
    </row>
    <row r="123" spans="1:6" x14ac:dyDescent="0.25">
      <c r="A123" s="172" t="s">
        <v>421</v>
      </c>
      <c r="B123" t="s">
        <v>422</v>
      </c>
      <c r="C123" t="s">
        <v>423</v>
      </c>
      <c r="D123">
        <v>5.16</v>
      </c>
      <c r="E123">
        <v>13.24</v>
      </c>
      <c r="F123">
        <v>22.5</v>
      </c>
    </row>
    <row r="124" spans="1:6" x14ac:dyDescent="0.25">
      <c r="A124" s="172" t="s">
        <v>424</v>
      </c>
      <c r="B124" t="s">
        <v>425</v>
      </c>
      <c r="C124" t="s">
        <v>426</v>
      </c>
      <c r="D124">
        <v>4.47</v>
      </c>
      <c r="E124">
        <v>11.76</v>
      </c>
      <c r="F124">
        <v>20</v>
      </c>
    </row>
    <row r="125" spans="1:6" x14ac:dyDescent="0.25">
      <c r="A125" s="172" t="s">
        <v>427</v>
      </c>
      <c r="B125" t="s">
        <v>428</v>
      </c>
      <c r="C125" t="s">
        <v>429</v>
      </c>
      <c r="D125">
        <v>4.26</v>
      </c>
      <c r="E125">
        <v>11.17</v>
      </c>
      <c r="F125">
        <v>19</v>
      </c>
    </row>
    <row r="126" spans="1:6" x14ac:dyDescent="0.25">
      <c r="A126" s="172" t="s">
        <v>430</v>
      </c>
      <c r="B126" t="s">
        <v>431</v>
      </c>
      <c r="C126" t="s">
        <v>432</v>
      </c>
      <c r="D126">
        <v>5.03</v>
      </c>
      <c r="E126">
        <v>12.76</v>
      </c>
      <c r="F126">
        <v>21.7</v>
      </c>
    </row>
    <row r="127" spans="1:6" x14ac:dyDescent="0.25">
      <c r="A127" s="172" t="s">
        <v>433</v>
      </c>
      <c r="B127" t="s">
        <v>434</v>
      </c>
      <c r="C127" t="s">
        <v>435</v>
      </c>
      <c r="D127">
        <v>5.13</v>
      </c>
      <c r="E127">
        <v>13.47</v>
      </c>
      <c r="F127">
        <v>22.9</v>
      </c>
    </row>
    <row r="128" spans="1:6" x14ac:dyDescent="0.25">
      <c r="A128" s="172" t="s">
        <v>436</v>
      </c>
      <c r="B128" t="s">
        <v>437</v>
      </c>
      <c r="C128" t="s">
        <v>438</v>
      </c>
      <c r="D128">
        <v>4.38</v>
      </c>
      <c r="E128">
        <v>11.65</v>
      </c>
      <c r="F128">
        <v>19.8</v>
      </c>
    </row>
    <row r="129" spans="1:6" x14ac:dyDescent="0.25">
      <c r="A129" s="172" t="s">
        <v>439</v>
      </c>
      <c r="B129" t="s">
        <v>440</v>
      </c>
      <c r="C129" t="s">
        <v>441</v>
      </c>
      <c r="D129">
        <v>4.7</v>
      </c>
      <c r="E129">
        <v>12.65</v>
      </c>
      <c r="F129">
        <v>21.5</v>
      </c>
    </row>
    <row r="130" spans="1:6" x14ac:dyDescent="0.25">
      <c r="A130" s="172" t="s">
        <v>442</v>
      </c>
      <c r="B130" t="s">
        <v>443</v>
      </c>
      <c r="C130" t="s">
        <v>444</v>
      </c>
      <c r="D130">
        <v>4.7</v>
      </c>
      <c r="E130">
        <v>12.24</v>
      </c>
      <c r="F130">
        <v>20.8</v>
      </c>
    </row>
    <row r="131" spans="1:6" x14ac:dyDescent="0.25">
      <c r="A131" s="172" t="s">
        <v>445</v>
      </c>
      <c r="B131" t="s">
        <v>446</v>
      </c>
      <c r="C131" t="s">
        <v>447</v>
      </c>
      <c r="D131">
        <v>10.55</v>
      </c>
      <c r="E131">
        <v>21.71</v>
      </c>
      <c r="F131">
        <v>36.9</v>
      </c>
    </row>
    <row r="132" spans="1:6" x14ac:dyDescent="0.25">
      <c r="A132" s="172" t="s">
        <v>448</v>
      </c>
      <c r="B132" t="s">
        <v>449</v>
      </c>
      <c r="C132" t="s">
        <v>450</v>
      </c>
      <c r="D132">
        <v>4.51</v>
      </c>
      <c r="E132">
        <v>11.71</v>
      </c>
      <c r="F132">
        <v>19.9</v>
      </c>
    </row>
    <row r="133" spans="1:6" x14ac:dyDescent="0.25">
      <c r="A133" s="172" t="s">
        <v>451</v>
      </c>
      <c r="B133" t="s">
        <v>452</v>
      </c>
      <c r="C133" t="s">
        <v>453</v>
      </c>
      <c r="D133">
        <v>6.66</v>
      </c>
      <c r="E133">
        <v>16.76</v>
      </c>
      <c r="F133">
        <v>28.5</v>
      </c>
    </row>
    <row r="134" spans="1:6" x14ac:dyDescent="0.25">
      <c r="A134" s="172" t="s">
        <v>454</v>
      </c>
      <c r="B134" t="s">
        <v>455</v>
      </c>
      <c r="C134" t="s">
        <v>456</v>
      </c>
      <c r="D134">
        <v>9.14</v>
      </c>
      <c r="E134">
        <v>23.24</v>
      </c>
      <c r="F134">
        <v>39.5</v>
      </c>
    </row>
    <row r="135" spans="1:6" x14ac:dyDescent="0.25">
      <c r="A135" s="172" t="s">
        <v>457</v>
      </c>
      <c r="B135" t="s">
        <v>458</v>
      </c>
      <c r="C135" t="s">
        <v>459</v>
      </c>
      <c r="D135">
        <v>4.82</v>
      </c>
      <c r="E135">
        <v>12.36</v>
      </c>
      <c r="F135">
        <v>21</v>
      </c>
    </row>
    <row r="136" spans="1:6" x14ac:dyDescent="0.25">
      <c r="A136" s="172" t="s">
        <v>460</v>
      </c>
      <c r="B136" t="s">
        <v>461</v>
      </c>
      <c r="C136" t="s">
        <v>462</v>
      </c>
      <c r="D136">
        <v>8.09</v>
      </c>
      <c r="E136">
        <v>20.59</v>
      </c>
      <c r="F136">
        <v>35</v>
      </c>
    </row>
    <row r="137" spans="1:6" x14ac:dyDescent="0.25">
      <c r="A137" s="172" t="s">
        <v>463</v>
      </c>
      <c r="B137" t="s">
        <v>464</v>
      </c>
      <c r="C137" t="s">
        <v>465</v>
      </c>
      <c r="D137">
        <v>2.93</v>
      </c>
      <c r="E137">
        <v>7.41</v>
      </c>
      <c r="F137">
        <v>12.6</v>
      </c>
    </row>
    <row r="138" spans="1:6" x14ac:dyDescent="0.25">
      <c r="A138" s="172" t="s">
        <v>466</v>
      </c>
      <c r="B138" t="s">
        <v>467</v>
      </c>
      <c r="C138" t="s">
        <v>468</v>
      </c>
      <c r="D138">
        <v>2.93</v>
      </c>
      <c r="E138">
        <v>7.41</v>
      </c>
      <c r="F138">
        <v>12.6</v>
      </c>
    </row>
    <row r="139" spans="1:6" x14ac:dyDescent="0.25">
      <c r="A139" s="172" t="s">
        <v>469</v>
      </c>
      <c r="B139" t="s">
        <v>470</v>
      </c>
      <c r="C139" t="s">
        <v>471</v>
      </c>
      <c r="D139">
        <v>1.58</v>
      </c>
      <c r="E139">
        <v>3.94</v>
      </c>
      <c r="F139">
        <v>6.7</v>
      </c>
    </row>
    <row r="140" spans="1:6" x14ac:dyDescent="0.25">
      <c r="A140" s="172" t="s">
        <v>472</v>
      </c>
      <c r="B140" t="s">
        <v>473</v>
      </c>
      <c r="C140" t="s">
        <v>474</v>
      </c>
      <c r="D140">
        <v>1.58</v>
      </c>
      <c r="E140">
        <v>3.94</v>
      </c>
      <c r="F140">
        <v>6.7</v>
      </c>
    </row>
    <row r="141" spans="1:6" x14ac:dyDescent="0.25">
      <c r="A141" s="172" t="s">
        <v>475</v>
      </c>
      <c r="B141" t="s">
        <v>476</v>
      </c>
      <c r="C141" t="s">
        <v>477</v>
      </c>
      <c r="D141">
        <v>6.06</v>
      </c>
      <c r="E141">
        <v>15.35</v>
      </c>
      <c r="F141">
        <v>26.1</v>
      </c>
    </row>
    <row r="142" spans="1:6" x14ac:dyDescent="0.25">
      <c r="A142" s="172" t="s">
        <v>478</v>
      </c>
      <c r="B142" t="s">
        <v>479</v>
      </c>
      <c r="C142" t="s">
        <v>480</v>
      </c>
      <c r="D142">
        <v>5.59</v>
      </c>
      <c r="E142">
        <v>14.29</v>
      </c>
      <c r="F142">
        <v>24.3</v>
      </c>
    </row>
    <row r="143" spans="1:6" x14ac:dyDescent="0.25">
      <c r="A143" s="172" t="s">
        <v>481</v>
      </c>
      <c r="B143" t="s">
        <v>482</v>
      </c>
      <c r="C143" t="s">
        <v>483</v>
      </c>
      <c r="D143">
        <v>5.54</v>
      </c>
      <c r="E143">
        <v>15.58</v>
      </c>
      <c r="F143">
        <v>26.5</v>
      </c>
    </row>
    <row r="144" spans="1:6" x14ac:dyDescent="0.25">
      <c r="A144" s="172" t="s">
        <v>484</v>
      </c>
      <c r="B144" t="s">
        <v>485</v>
      </c>
      <c r="C144" t="s">
        <v>486</v>
      </c>
      <c r="D144">
        <v>5.54</v>
      </c>
      <c r="E144">
        <v>15.58</v>
      </c>
      <c r="F144">
        <v>26.5</v>
      </c>
    </row>
    <row r="145" spans="1:6" x14ac:dyDescent="0.25">
      <c r="A145" s="172" t="s">
        <v>487</v>
      </c>
      <c r="B145" t="s">
        <v>488</v>
      </c>
      <c r="C145" t="s">
        <v>489</v>
      </c>
      <c r="D145">
        <v>5.82</v>
      </c>
      <c r="E145">
        <v>15.58</v>
      </c>
      <c r="F145">
        <v>26.5</v>
      </c>
    </row>
    <row r="146" spans="1:6" x14ac:dyDescent="0.25">
      <c r="A146" s="172" t="s">
        <v>490</v>
      </c>
      <c r="B146" t="s">
        <v>491</v>
      </c>
      <c r="C146" t="s">
        <v>492</v>
      </c>
      <c r="D146">
        <v>5.76</v>
      </c>
      <c r="E146">
        <v>15.58</v>
      </c>
      <c r="F146">
        <v>26.5</v>
      </c>
    </row>
    <row r="147" spans="1:6" x14ac:dyDescent="0.25">
      <c r="A147" s="172" t="s">
        <v>493</v>
      </c>
      <c r="B147" t="s">
        <v>494</v>
      </c>
      <c r="C147" t="s">
        <v>495</v>
      </c>
      <c r="D147">
        <v>5.82</v>
      </c>
      <c r="E147">
        <v>15.29</v>
      </c>
      <c r="F147">
        <v>26.5</v>
      </c>
    </row>
    <row r="148" spans="1:6" x14ac:dyDescent="0.25">
      <c r="A148" s="172" t="s">
        <v>496</v>
      </c>
      <c r="B148" t="s">
        <v>497</v>
      </c>
      <c r="C148" t="s">
        <v>498</v>
      </c>
      <c r="D148">
        <v>4.37</v>
      </c>
      <c r="E148">
        <v>12.94</v>
      </c>
      <c r="F148">
        <v>22</v>
      </c>
    </row>
    <row r="149" spans="1:6" x14ac:dyDescent="0.25">
      <c r="A149" s="172" t="s">
        <v>499</v>
      </c>
      <c r="B149" t="s">
        <v>500</v>
      </c>
      <c r="C149" t="s">
        <v>501</v>
      </c>
      <c r="D149">
        <v>5.25</v>
      </c>
      <c r="E149">
        <v>15.58</v>
      </c>
      <c r="F149">
        <v>26.5</v>
      </c>
    </row>
    <row r="150" spans="1:6" x14ac:dyDescent="0.25">
      <c r="A150" s="172" t="s">
        <v>502</v>
      </c>
      <c r="B150" t="s">
        <v>503</v>
      </c>
      <c r="C150" t="s">
        <v>504</v>
      </c>
      <c r="D150">
        <v>5.25</v>
      </c>
      <c r="E150">
        <v>15.58</v>
      </c>
      <c r="F150">
        <v>26.5</v>
      </c>
    </row>
    <row r="151" spans="1:6" x14ac:dyDescent="0.25">
      <c r="A151" s="172" t="s">
        <v>505</v>
      </c>
      <c r="B151" t="s">
        <v>506</v>
      </c>
      <c r="C151" t="s">
        <v>507</v>
      </c>
      <c r="D151">
        <v>5.54</v>
      </c>
      <c r="E151">
        <v>15.59</v>
      </c>
      <c r="F151">
        <v>26.5</v>
      </c>
    </row>
    <row r="152" spans="1:6" x14ac:dyDescent="0.25">
      <c r="A152" s="172" t="s">
        <v>508</v>
      </c>
      <c r="B152" t="s">
        <v>509</v>
      </c>
      <c r="C152" t="s">
        <v>510</v>
      </c>
      <c r="D152">
        <v>5.54</v>
      </c>
      <c r="E152">
        <v>15.59</v>
      </c>
      <c r="F152">
        <v>26.5</v>
      </c>
    </row>
    <row r="153" spans="1:6" x14ac:dyDescent="0.25">
      <c r="A153" s="172" t="s">
        <v>511</v>
      </c>
      <c r="B153" t="s">
        <v>512</v>
      </c>
      <c r="C153" t="s">
        <v>513</v>
      </c>
      <c r="D153">
        <v>5.54</v>
      </c>
      <c r="E153">
        <v>15.59</v>
      </c>
      <c r="F153">
        <v>26.5</v>
      </c>
    </row>
    <row r="154" spans="1:6" x14ac:dyDescent="0.25">
      <c r="A154" s="172" t="s">
        <v>514</v>
      </c>
      <c r="B154" t="s">
        <v>515</v>
      </c>
      <c r="C154" t="s">
        <v>516</v>
      </c>
      <c r="D154">
        <v>5.54</v>
      </c>
      <c r="E154">
        <v>15.59</v>
      </c>
      <c r="F154">
        <v>26.5</v>
      </c>
    </row>
    <row r="155" spans="1:6" x14ac:dyDescent="0.25">
      <c r="A155" s="172" t="s">
        <v>517</v>
      </c>
      <c r="B155" t="s">
        <v>518</v>
      </c>
      <c r="C155" t="s">
        <v>519</v>
      </c>
      <c r="D155">
        <v>5.49</v>
      </c>
      <c r="E155">
        <v>15.59</v>
      </c>
      <c r="F155">
        <v>26.5</v>
      </c>
    </row>
    <row r="156" spans="1:6" x14ac:dyDescent="0.25">
      <c r="A156" s="172" t="s">
        <v>520</v>
      </c>
      <c r="B156" t="s">
        <v>521</v>
      </c>
      <c r="C156" t="s">
        <v>522</v>
      </c>
      <c r="D156">
        <v>5.54</v>
      </c>
      <c r="E156">
        <v>15.59</v>
      </c>
      <c r="F156">
        <v>26.5</v>
      </c>
    </row>
    <row r="157" spans="1:6" x14ac:dyDescent="0.25">
      <c r="A157" s="172" t="s">
        <v>523</v>
      </c>
      <c r="B157" t="s">
        <v>524</v>
      </c>
      <c r="C157" t="s">
        <v>525</v>
      </c>
      <c r="D157">
        <v>5.54</v>
      </c>
      <c r="E157">
        <v>15.59</v>
      </c>
      <c r="F157">
        <v>26.5</v>
      </c>
    </row>
    <row r="158" spans="1:6" x14ac:dyDescent="0.25">
      <c r="A158" s="172" t="s">
        <v>526</v>
      </c>
      <c r="B158" t="s">
        <v>527</v>
      </c>
      <c r="C158" t="s">
        <v>528</v>
      </c>
      <c r="D158">
        <v>5.54</v>
      </c>
      <c r="E158">
        <v>15.59</v>
      </c>
      <c r="F158">
        <v>26.5</v>
      </c>
    </row>
    <row r="159" spans="1:6" x14ac:dyDescent="0.25">
      <c r="A159" s="172" t="s">
        <v>529</v>
      </c>
      <c r="B159" t="s">
        <v>530</v>
      </c>
      <c r="C159" t="s">
        <v>531</v>
      </c>
      <c r="D159">
        <v>5.54</v>
      </c>
      <c r="E159">
        <v>15.59</v>
      </c>
      <c r="F159">
        <v>26.5</v>
      </c>
    </row>
    <row r="160" spans="1:6" x14ac:dyDescent="0.25">
      <c r="A160" s="172" t="s">
        <v>532</v>
      </c>
      <c r="B160" t="s">
        <v>533</v>
      </c>
      <c r="C160" t="s">
        <v>534</v>
      </c>
      <c r="D160">
        <v>5.54</v>
      </c>
      <c r="E160">
        <v>15.59</v>
      </c>
      <c r="F160">
        <v>26.5</v>
      </c>
    </row>
    <row r="161" spans="1:6" x14ac:dyDescent="0.25">
      <c r="A161" s="172" t="s">
        <v>535</v>
      </c>
      <c r="B161" t="s">
        <v>536</v>
      </c>
      <c r="C161" t="s">
        <v>537</v>
      </c>
      <c r="D161">
        <v>5.49</v>
      </c>
      <c r="E161">
        <v>15.59</v>
      </c>
      <c r="F161">
        <v>26.5</v>
      </c>
    </row>
    <row r="162" spans="1:6" x14ac:dyDescent="0.25">
      <c r="A162" s="172" t="s">
        <v>538</v>
      </c>
      <c r="B162" t="s">
        <v>539</v>
      </c>
      <c r="C162" t="s">
        <v>540</v>
      </c>
      <c r="D162">
        <v>3.79</v>
      </c>
      <c r="E162">
        <v>10.88</v>
      </c>
      <c r="F162">
        <v>18.5</v>
      </c>
    </row>
    <row r="163" spans="1:6" x14ac:dyDescent="0.25">
      <c r="A163" s="172" t="s">
        <v>541</v>
      </c>
      <c r="B163" t="s">
        <v>542</v>
      </c>
      <c r="C163" t="s">
        <v>543</v>
      </c>
      <c r="D163">
        <v>3.79</v>
      </c>
      <c r="E163">
        <v>10.88</v>
      </c>
      <c r="F163">
        <v>18.5</v>
      </c>
    </row>
    <row r="164" spans="1:6" x14ac:dyDescent="0.25">
      <c r="A164" s="172" t="s">
        <v>544</v>
      </c>
      <c r="B164" t="s">
        <v>545</v>
      </c>
      <c r="C164" t="s">
        <v>546</v>
      </c>
      <c r="D164">
        <v>3.79</v>
      </c>
      <c r="E164">
        <v>10.88</v>
      </c>
      <c r="F164">
        <v>18.5</v>
      </c>
    </row>
    <row r="165" spans="1:6" x14ac:dyDescent="0.25">
      <c r="A165" s="172" t="s">
        <v>547</v>
      </c>
      <c r="B165" t="s">
        <v>548</v>
      </c>
      <c r="C165" t="s">
        <v>549</v>
      </c>
      <c r="D165">
        <v>2.2</v>
      </c>
      <c r="E165">
        <v>11.7</v>
      </c>
      <c r="F165">
        <v>19.9</v>
      </c>
    </row>
    <row r="166" spans="1:6" x14ac:dyDescent="0.25">
      <c r="A166" s="172" t="s">
        <v>550</v>
      </c>
      <c r="B166" t="s">
        <v>551</v>
      </c>
      <c r="C166" t="s">
        <v>552</v>
      </c>
      <c r="D166">
        <v>2.2</v>
      </c>
      <c r="E166">
        <v>11.7</v>
      </c>
      <c r="F166">
        <v>19.9</v>
      </c>
    </row>
    <row r="167" spans="1:6" x14ac:dyDescent="0.25">
      <c r="A167" s="172" t="s">
        <v>553</v>
      </c>
      <c r="B167" t="s">
        <v>554</v>
      </c>
      <c r="C167" t="s">
        <v>555</v>
      </c>
      <c r="D167">
        <v>2.2</v>
      </c>
      <c r="E167">
        <v>11.7</v>
      </c>
      <c r="F167">
        <v>19.9</v>
      </c>
    </row>
    <row r="168" spans="1:6" x14ac:dyDescent="0.25">
      <c r="A168" s="172" t="s">
        <v>556</v>
      </c>
      <c r="B168" t="s">
        <v>557</v>
      </c>
      <c r="C168" t="s">
        <v>558</v>
      </c>
      <c r="D168">
        <v>2.2</v>
      </c>
      <c r="E168">
        <v>11.7</v>
      </c>
      <c r="F168">
        <v>19.9</v>
      </c>
    </row>
    <row r="169" spans="1:6" x14ac:dyDescent="0.25">
      <c r="A169" s="172" t="s">
        <v>559</v>
      </c>
      <c r="B169" t="s">
        <v>560</v>
      </c>
      <c r="C169" t="s">
        <v>561</v>
      </c>
      <c r="D169">
        <v>3.79</v>
      </c>
      <c r="E169">
        <v>10.88</v>
      </c>
      <c r="F169">
        <v>18.5</v>
      </c>
    </row>
    <row r="170" spans="1:6" x14ac:dyDescent="0.25">
      <c r="A170" s="172" t="s">
        <v>562</v>
      </c>
      <c r="B170" t="s">
        <v>563</v>
      </c>
      <c r="C170" t="s">
        <v>564</v>
      </c>
      <c r="D170">
        <v>3.79</v>
      </c>
      <c r="E170">
        <v>10.88</v>
      </c>
      <c r="F170">
        <v>18.5</v>
      </c>
    </row>
    <row r="171" spans="1:6" x14ac:dyDescent="0.25">
      <c r="A171" s="172" t="s">
        <v>565</v>
      </c>
      <c r="B171" t="s">
        <v>566</v>
      </c>
      <c r="C171" t="s">
        <v>567</v>
      </c>
      <c r="D171">
        <v>3.79</v>
      </c>
      <c r="E171">
        <v>10.88</v>
      </c>
      <c r="F171">
        <v>18.5</v>
      </c>
    </row>
    <row r="172" spans="1:6" x14ac:dyDescent="0.25">
      <c r="A172" s="172" t="s">
        <v>568</v>
      </c>
      <c r="B172" t="s">
        <v>569</v>
      </c>
      <c r="C172" t="s">
        <v>570</v>
      </c>
      <c r="D172">
        <v>3.79</v>
      </c>
      <c r="E172">
        <v>10.88</v>
      </c>
      <c r="F172">
        <v>18.5</v>
      </c>
    </row>
    <row r="173" spans="1:6" x14ac:dyDescent="0.25">
      <c r="A173" s="172" t="s">
        <v>571</v>
      </c>
      <c r="B173" t="s">
        <v>572</v>
      </c>
      <c r="C173" t="s">
        <v>573</v>
      </c>
      <c r="D173">
        <v>3.79</v>
      </c>
      <c r="E173">
        <v>10.88</v>
      </c>
      <c r="F173">
        <v>18.5</v>
      </c>
    </row>
    <row r="174" spans="1:6" x14ac:dyDescent="0.25">
      <c r="A174" s="172" t="s">
        <v>574</v>
      </c>
      <c r="B174" t="s">
        <v>575</v>
      </c>
      <c r="C174" t="s">
        <v>576</v>
      </c>
      <c r="D174">
        <v>4.67</v>
      </c>
      <c r="E174">
        <v>13.23</v>
      </c>
      <c r="F174">
        <v>22.5</v>
      </c>
    </row>
    <row r="175" spans="1:6" x14ac:dyDescent="0.25">
      <c r="A175" s="172" t="s">
        <v>577</v>
      </c>
      <c r="B175" t="s">
        <v>578</v>
      </c>
      <c r="C175" t="s">
        <v>579</v>
      </c>
      <c r="D175">
        <v>5.41</v>
      </c>
      <c r="E175">
        <v>14.53</v>
      </c>
      <c r="F175">
        <v>24.7</v>
      </c>
    </row>
    <row r="176" spans="1:6" x14ac:dyDescent="0.25">
      <c r="A176" s="172" t="s">
        <v>580</v>
      </c>
      <c r="B176" t="s">
        <v>581</v>
      </c>
      <c r="C176" t="s">
        <v>582</v>
      </c>
      <c r="D176">
        <v>5.54</v>
      </c>
      <c r="E176">
        <v>16.17</v>
      </c>
      <c r="F176">
        <v>27.5</v>
      </c>
    </row>
    <row r="177" spans="1:6" x14ac:dyDescent="0.25">
      <c r="A177" s="172" t="s">
        <v>583</v>
      </c>
      <c r="B177" t="s">
        <v>584</v>
      </c>
      <c r="C177" t="s">
        <v>585</v>
      </c>
      <c r="D177">
        <v>5.54</v>
      </c>
      <c r="E177">
        <v>15.82</v>
      </c>
      <c r="F177">
        <v>26.9</v>
      </c>
    </row>
    <row r="178" spans="1:6" x14ac:dyDescent="0.25">
      <c r="A178" s="172" t="s">
        <v>586</v>
      </c>
      <c r="B178" t="s">
        <v>587</v>
      </c>
      <c r="C178" t="s">
        <v>588</v>
      </c>
      <c r="D178">
        <v>5.54</v>
      </c>
      <c r="E178">
        <v>15.82</v>
      </c>
      <c r="F178">
        <v>26.9</v>
      </c>
    </row>
    <row r="179" spans="1:6" x14ac:dyDescent="0.25">
      <c r="A179" s="172" t="s">
        <v>589</v>
      </c>
      <c r="B179" t="s">
        <v>590</v>
      </c>
      <c r="C179" t="s">
        <v>591</v>
      </c>
      <c r="D179">
        <v>6.73</v>
      </c>
      <c r="E179">
        <v>17.94</v>
      </c>
      <c r="F179">
        <v>30.5</v>
      </c>
    </row>
    <row r="180" spans="1:6" x14ac:dyDescent="0.25">
      <c r="A180" s="172" t="s">
        <v>592</v>
      </c>
      <c r="B180" t="s">
        <v>593</v>
      </c>
      <c r="C180" t="s">
        <v>594</v>
      </c>
      <c r="D180">
        <v>6.73</v>
      </c>
      <c r="E180">
        <v>17.94</v>
      </c>
      <c r="F180">
        <v>30.5</v>
      </c>
    </row>
    <row r="181" spans="1:6" x14ac:dyDescent="0.25">
      <c r="A181" s="172" t="s">
        <v>595</v>
      </c>
      <c r="B181" t="s">
        <v>596</v>
      </c>
      <c r="C181" t="s">
        <v>597</v>
      </c>
      <c r="D181">
        <v>6.73</v>
      </c>
      <c r="E181">
        <v>17.94</v>
      </c>
      <c r="F181">
        <v>30.5</v>
      </c>
    </row>
    <row r="182" spans="1:6" x14ac:dyDescent="0.25">
      <c r="A182" s="172" t="s">
        <v>598</v>
      </c>
      <c r="B182" t="s">
        <v>599</v>
      </c>
      <c r="C182" t="s">
        <v>600</v>
      </c>
      <c r="D182">
        <v>8.46</v>
      </c>
      <c r="E182">
        <v>23.47</v>
      </c>
      <c r="F182">
        <v>39.9</v>
      </c>
    </row>
    <row r="183" spans="1:6" x14ac:dyDescent="0.25">
      <c r="A183" s="172" t="s">
        <v>601</v>
      </c>
      <c r="B183" t="s">
        <v>602</v>
      </c>
      <c r="C183" t="s">
        <v>603</v>
      </c>
      <c r="D183">
        <v>8.46</v>
      </c>
      <c r="E183">
        <v>23.47</v>
      </c>
      <c r="F183">
        <v>39.9</v>
      </c>
    </row>
    <row r="184" spans="1:6" x14ac:dyDescent="0.25">
      <c r="A184" s="172" t="s">
        <v>604</v>
      </c>
      <c r="B184" t="s">
        <v>605</v>
      </c>
      <c r="C184" t="s">
        <v>606</v>
      </c>
      <c r="D184">
        <v>8.46</v>
      </c>
      <c r="E184">
        <v>23.47</v>
      </c>
      <c r="F184">
        <v>39.9</v>
      </c>
    </row>
    <row r="185" spans="1:6" x14ac:dyDescent="0.25">
      <c r="A185" s="172" t="s">
        <v>607</v>
      </c>
      <c r="B185" t="s">
        <v>608</v>
      </c>
      <c r="C185" t="s">
        <v>609</v>
      </c>
      <c r="D185">
        <v>6.42</v>
      </c>
      <c r="E185">
        <v>17.82</v>
      </c>
      <c r="F185">
        <v>30.3</v>
      </c>
    </row>
    <row r="186" spans="1:6" x14ac:dyDescent="0.25">
      <c r="A186" s="172" t="s">
        <v>610</v>
      </c>
      <c r="B186" t="s">
        <v>611</v>
      </c>
      <c r="C186" t="s">
        <v>612</v>
      </c>
      <c r="D186">
        <v>7.28</v>
      </c>
      <c r="E186">
        <v>20.29</v>
      </c>
      <c r="F186">
        <v>34.5</v>
      </c>
    </row>
    <row r="187" spans="1:6" x14ac:dyDescent="0.25">
      <c r="A187" s="172" t="s">
        <v>613</v>
      </c>
      <c r="B187" t="s">
        <v>614</v>
      </c>
      <c r="C187" t="s">
        <v>615</v>
      </c>
      <c r="D187">
        <v>7.01</v>
      </c>
      <c r="E187">
        <v>19.35</v>
      </c>
      <c r="F187">
        <v>32.9</v>
      </c>
    </row>
    <row r="188" spans="1:6" x14ac:dyDescent="0.25">
      <c r="A188" s="172" t="s">
        <v>616</v>
      </c>
      <c r="B188" t="s">
        <v>617</v>
      </c>
      <c r="C188" t="s">
        <v>618</v>
      </c>
      <c r="D188">
        <v>4.37</v>
      </c>
      <c r="E188">
        <v>12.64</v>
      </c>
      <c r="F188">
        <v>21.5</v>
      </c>
    </row>
    <row r="189" spans="1:6" x14ac:dyDescent="0.25">
      <c r="A189" s="172" t="s">
        <v>619</v>
      </c>
      <c r="B189" t="s">
        <v>620</v>
      </c>
      <c r="C189" t="s">
        <v>621</v>
      </c>
      <c r="D189">
        <v>4.37</v>
      </c>
      <c r="E189">
        <v>12.64</v>
      </c>
      <c r="F189">
        <v>21.5</v>
      </c>
    </row>
    <row r="190" spans="1:6" x14ac:dyDescent="0.25">
      <c r="A190" s="172" t="s">
        <v>622</v>
      </c>
      <c r="B190" t="s">
        <v>623</v>
      </c>
      <c r="C190" t="s">
        <v>624</v>
      </c>
      <c r="D190">
        <v>4.37</v>
      </c>
      <c r="E190">
        <v>12.64</v>
      </c>
      <c r="F190">
        <v>21.5</v>
      </c>
    </row>
    <row r="191" spans="1:6" x14ac:dyDescent="0.25">
      <c r="A191" s="172" t="s">
        <v>625</v>
      </c>
      <c r="B191" t="s">
        <v>626</v>
      </c>
      <c r="C191" t="s">
        <v>627</v>
      </c>
      <c r="D191">
        <v>6.54</v>
      </c>
      <c r="E191">
        <v>17.59</v>
      </c>
      <c r="F191">
        <v>29.9</v>
      </c>
    </row>
    <row r="192" spans="1:6" x14ac:dyDescent="0.25">
      <c r="A192" s="172" t="s">
        <v>628</v>
      </c>
      <c r="B192" t="s">
        <v>629</v>
      </c>
      <c r="C192" t="s">
        <v>630</v>
      </c>
      <c r="D192">
        <v>6.54</v>
      </c>
      <c r="E192">
        <v>17.59</v>
      </c>
      <c r="F192">
        <v>29.9</v>
      </c>
    </row>
    <row r="193" spans="1:6" x14ac:dyDescent="0.25">
      <c r="A193" s="172" t="s">
        <v>631</v>
      </c>
      <c r="B193" t="s">
        <v>632</v>
      </c>
      <c r="C193" t="s">
        <v>633</v>
      </c>
      <c r="D193">
        <v>4.21</v>
      </c>
      <c r="E193">
        <v>17.59</v>
      </c>
      <c r="F193">
        <v>29.9</v>
      </c>
    </row>
    <row r="194" spans="1:6" x14ac:dyDescent="0.25">
      <c r="A194" s="172" t="s">
        <v>634</v>
      </c>
      <c r="B194" t="s">
        <v>635</v>
      </c>
      <c r="C194" t="s">
        <v>636</v>
      </c>
      <c r="D194">
        <v>6.54</v>
      </c>
      <c r="E194">
        <v>17.59</v>
      </c>
      <c r="F194">
        <v>29.9</v>
      </c>
    </row>
    <row r="195" spans="1:6" x14ac:dyDescent="0.25">
      <c r="A195" s="172" t="s">
        <v>637</v>
      </c>
      <c r="B195" t="s">
        <v>638</v>
      </c>
      <c r="C195" t="s">
        <v>639</v>
      </c>
      <c r="D195">
        <v>1.51</v>
      </c>
      <c r="E195">
        <v>15.83</v>
      </c>
      <c r="F195">
        <v>29.9</v>
      </c>
    </row>
    <row r="196" spans="1:6" x14ac:dyDescent="0.25">
      <c r="A196" s="172" t="s">
        <v>640</v>
      </c>
      <c r="B196" t="s">
        <v>641</v>
      </c>
      <c r="C196" t="s">
        <v>642</v>
      </c>
      <c r="D196">
        <v>6.7</v>
      </c>
      <c r="E196">
        <v>18.82</v>
      </c>
      <c r="F196">
        <v>32</v>
      </c>
    </row>
    <row r="197" spans="1:6" x14ac:dyDescent="0.25">
      <c r="A197" s="172" t="s">
        <v>643</v>
      </c>
      <c r="B197" t="s">
        <v>644</v>
      </c>
      <c r="C197" t="s">
        <v>645</v>
      </c>
      <c r="D197">
        <v>6.7</v>
      </c>
      <c r="E197">
        <v>18.82</v>
      </c>
      <c r="F197">
        <v>32</v>
      </c>
    </row>
    <row r="198" spans="1:6" x14ac:dyDescent="0.25">
      <c r="A198" s="172" t="s">
        <v>646</v>
      </c>
      <c r="B198" t="s">
        <v>647</v>
      </c>
      <c r="C198" t="s">
        <v>648</v>
      </c>
      <c r="D198">
        <v>6.7</v>
      </c>
      <c r="E198">
        <v>18.82</v>
      </c>
      <c r="F198">
        <v>32</v>
      </c>
    </row>
    <row r="199" spans="1:6" x14ac:dyDescent="0.25">
      <c r="A199" s="172" t="s">
        <v>649</v>
      </c>
      <c r="B199" t="s">
        <v>650</v>
      </c>
      <c r="C199" t="s">
        <v>651</v>
      </c>
      <c r="D199">
        <v>6.7</v>
      </c>
      <c r="E199">
        <v>18.82</v>
      </c>
      <c r="F199">
        <v>32</v>
      </c>
    </row>
    <row r="200" spans="1:6" x14ac:dyDescent="0.25">
      <c r="A200" s="172" t="s">
        <v>652</v>
      </c>
      <c r="B200" t="s">
        <v>653</v>
      </c>
      <c r="C200" t="s">
        <v>654</v>
      </c>
      <c r="D200">
        <v>6.7</v>
      </c>
      <c r="E200">
        <v>18.82</v>
      </c>
      <c r="F200">
        <v>32</v>
      </c>
    </row>
    <row r="201" spans="1:6" x14ac:dyDescent="0.25">
      <c r="A201" s="172" t="s">
        <v>655</v>
      </c>
      <c r="B201" t="s">
        <v>635</v>
      </c>
      <c r="C201" t="s">
        <v>656</v>
      </c>
      <c r="D201">
        <v>6.7</v>
      </c>
      <c r="E201">
        <v>18.82</v>
      </c>
      <c r="F201">
        <v>32</v>
      </c>
    </row>
    <row r="202" spans="1:6" x14ac:dyDescent="0.25">
      <c r="A202" s="172" t="s">
        <v>657</v>
      </c>
      <c r="B202" t="s">
        <v>658</v>
      </c>
      <c r="C202" t="s">
        <v>659</v>
      </c>
      <c r="D202">
        <v>6.64</v>
      </c>
      <c r="E202">
        <v>18.82</v>
      </c>
      <c r="F202">
        <v>32</v>
      </c>
    </row>
    <row r="203" spans="1:6" x14ac:dyDescent="0.25">
      <c r="A203" s="172" t="s">
        <v>660</v>
      </c>
      <c r="B203" t="s">
        <v>661</v>
      </c>
      <c r="C203" t="s">
        <v>662</v>
      </c>
      <c r="D203">
        <v>6.7</v>
      </c>
      <c r="E203">
        <v>18.82</v>
      </c>
      <c r="F203">
        <v>32</v>
      </c>
    </row>
    <row r="204" spans="1:6" x14ac:dyDescent="0.25">
      <c r="A204" s="172" t="s">
        <v>663</v>
      </c>
      <c r="B204" t="s">
        <v>664</v>
      </c>
      <c r="C204" t="s">
        <v>665</v>
      </c>
      <c r="D204">
        <v>6.54</v>
      </c>
      <c r="E204">
        <v>18.53</v>
      </c>
      <c r="F204">
        <v>31.5</v>
      </c>
    </row>
    <row r="205" spans="1:6" x14ac:dyDescent="0.25">
      <c r="A205" s="172" t="s">
        <v>666</v>
      </c>
      <c r="B205" t="s">
        <v>667</v>
      </c>
      <c r="C205" t="s">
        <v>668</v>
      </c>
      <c r="D205">
        <v>4.26</v>
      </c>
      <c r="E205">
        <v>19.12</v>
      </c>
      <c r="F205">
        <v>32.5</v>
      </c>
    </row>
    <row r="206" spans="1:6" x14ac:dyDescent="0.25">
      <c r="A206" s="172" t="s">
        <v>669</v>
      </c>
      <c r="B206" t="s">
        <v>670</v>
      </c>
      <c r="C206" t="s">
        <v>671</v>
      </c>
      <c r="D206">
        <v>7.11</v>
      </c>
      <c r="E206">
        <v>19.12</v>
      </c>
      <c r="F206">
        <v>32.5</v>
      </c>
    </row>
    <row r="207" spans="1:6" x14ac:dyDescent="0.25">
      <c r="A207" s="172" t="s">
        <v>672</v>
      </c>
      <c r="B207" t="s">
        <v>673</v>
      </c>
      <c r="C207" t="s">
        <v>674</v>
      </c>
      <c r="D207">
        <v>7.11</v>
      </c>
      <c r="E207">
        <v>19.12</v>
      </c>
      <c r="F207">
        <v>32.5</v>
      </c>
    </row>
    <row r="208" spans="1:6" x14ac:dyDescent="0.25">
      <c r="A208" s="172" t="s">
        <v>675</v>
      </c>
      <c r="B208" t="s">
        <v>676</v>
      </c>
      <c r="C208" t="s">
        <v>677</v>
      </c>
      <c r="D208">
        <v>6.35</v>
      </c>
      <c r="E208">
        <v>19.12</v>
      </c>
      <c r="F208">
        <v>32.5</v>
      </c>
    </row>
    <row r="209" spans="1:6" x14ac:dyDescent="0.25">
      <c r="A209" s="172" t="s">
        <v>678</v>
      </c>
      <c r="B209" t="s">
        <v>679</v>
      </c>
      <c r="C209" t="s">
        <v>680</v>
      </c>
      <c r="D209">
        <v>3.35</v>
      </c>
      <c r="E209">
        <v>9.18</v>
      </c>
      <c r="F209">
        <v>15.6</v>
      </c>
    </row>
    <row r="210" spans="1:6" x14ac:dyDescent="0.25">
      <c r="A210" s="172" t="s">
        <v>681</v>
      </c>
      <c r="B210" t="s">
        <v>682</v>
      </c>
      <c r="C210" t="s">
        <v>683</v>
      </c>
      <c r="D210">
        <v>8.25</v>
      </c>
      <c r="E210">
        <v>22.18</v>
      </c>
      <c r="F210">
        <v>37.7</v>
      </c>
    </row>
    <row r="211" spans="1:6" x14ac:dyDescent="0.25">
      <c r="A211" s="172" t="s">
        <v>684</v>
      </c>
      <c r="B211" t="s">
        <v>685</v>
      </c>
      <c r="C211" t="s">
        <v>686</v>
      </c>
      <c r="D211">
        <v>3.5</v>
      </c>
      <c r="E211">
        <v>10</v>
      </c>
      <c r="F211">
        <v>17</v>
      </c>
    </row>
    <row r="212" spans="1:6" x14ac:dyDescent="0.25">
      <c r="A212" s="172" t="s">
        <v>687</v>
      </c>
      <c r="B212" t="s">
        <v>688</v>
      </c>
      <c r="C212" t="s">
        <v>689</v>
      </c>
      <c r="D212">
        <v>3.5</v>
      </c>
      <c r="E212">
        <v>10</v>
      </c>
      <c r="F212">
        <v>17</v>
      </c>
    </row>
    <row r="213" spans="1:6" x14ac:dyDescent="0.25">
      <c r="A213" s="172" t="s">
        <v>690</v>
      </c>
      <c r="B213" t="s">
        <v>691</v>
      </c>
      <c r="C213" t="s">
        <v>692</v>
      </c>
      <c r="D213">
        <v>3.5</v>
      </c>
      <c r="E213">
        <v>10</v>
      </c>
      <c r="F213">
        <v>17</v>
      </c>
    </row>
    <row r="214" spans="1:6" x14ac:dyDescent="0.25">
      <c r="A214" s="172" t="s">
        <v>693</v>
      </c>
      <c r="B214" t="s">
        <v>694</v>
      </c>
      <c r="C214" t="s">
        <v>695</v>
      </c>
      <c r="D214">
        <v>8.46</v>
      </c>
      <c r="E214">
        <v>23.47</v>
      </c>
      <c r="F214">
        <v>39.9</v>
      </c>
    </row>
    <row r="215" spans="1:6" x14ac:dyDescent="0.25">
      <c r="A215" s="172" t="s">
        <v>696</v>
      </c>
      <c r="B215" t="s">
        <v>697</v>
      </c>
      <c r="C215" t="s">
        <v>698</v>
      </c>
      <c r="D215">
        <v>141.72</v>
      </c>
      <c r="E215">
        <v>190.5</v>
      </c>
      <c r="F215">
        <v>0</v>
      </c>
    </row>
    <row r="216" spans="1:6" x14ac:dyDescent="0.25">
      <c r="A216" s="172" t="s">
        <v>699</v>
      </c>
      <c r="B216" t="s">
        <v>700</v>
      </c>
      <c r="C216" t="s">
        <v>701</v>
      </c>
      <c r="D216">
        <v>8.96</v>
      </c>
      <c r="E216">
        <v>21.24</v>
      </c>
      <c r="F216">
        <v>36.1</v>
      </c>
    </row>
    <row r="217" spans="1:6" x14ac:dyDescent="0.25">
      <c r="A217" s="172" t="s">
        <v>702</v>
      </c>
      <c r="B217" t="s">
        <v>703</v>
      </c>
      <c r="C217" t="s">
        <v>704</v>
      </c>
      <c r="D217">
        <v>7.98</v>
      </c>
      <c r="E217">
        <v>18.71</v>
      </c>
      <c r="F217">
        <v>31.8</v>
      </c>
    </row>
    <row r="218" spans="1:6" x14ac:dyDescent="0.25">
      <c r="A218" s="172" t="s">
        <v>705</v>
      </c>
      <c r="B218" t="s">
        <v>706</v>
      </c>
      <c r="C218" t="s">
        <v>707</v>
      </c>
      <c r="D218">
        <v>11.41</v>
      </c>
      <c r="E218">
        <v>30.41</v>
      </c>
      <c r="F218">
        <v>51.7</v>
      </c>
    </row>
    <row r="219" spans="1:6" x14ac:dyDescent="0.25">
      <c r="A219" s="172" t="s">
        <v>708</v>
      </c>
      <c r="B219" t="s">
        <v>709</v>
      </c>
      <c r="C219" t="s">
        <v>710</v>
      </c>
      <c r="D219">
        <v>4.6</v>
      </c>
      <c r="E219">
        <v>12.35</v>
      </c>
      <c r="F219">
        <v>21</v>
      </c>
    </row>
    <row r="220" spans="1:6" x14ac:dyDescent="0.25">
      <c r="A220" s="172" t="s">
        <v>711</v>
      </c>
      <c r="B220" t="s">
        <v>712</v>
      </c>
      <c r="C220" t="s">
        <v>713</v>
      </c>
      <c r="D220">
        <v>4.3</v>
      </c>
      <c r="E220">
        <v>11.59</v>
      </c>
      <c r="F220">
        <v>19.7</v>
      </c>
    </row>
    <row r="221" spans="1:6" x14ac:dyDescent="0.25">
      <c r="A221" s="172" t="s">
        <v>714</v>
      </c>
      <c r="B221" t="s">
        <v>715</v>
      </c>
      <c r="C221" t="s">
        <v>716</v>
      </c>
      <c r="D221">
        <v>4.93</v>
      </c>
      <c r="E221">
        <v>11.71</v>
      </c>
      <c r="F221">
        <v>19.9</v>
      </c>
    </row>
    <row r="222" spans="1:6" x14ac:dyDescent="0.25">
      <c r="A222" s="172" t="s">
        <v>717</v>
      </c>
      <c r="B222" t="s">
        <v>718</v>
      </c>
      <c r="C222" t="s">
        <v>719</v>
      </c>
      <c r="D222">
        <v>0.7</v>
      </c>
      <c r="E222">
        <v>1.88</v>
      </c>
      <c r="F222">
        <v>3.2</v>
      </c>
    </row>
    <row r="223" spans="1:6" x14ac:dyDescent="0.25">
      <c r="A223" s="172" t="s">
        <v>720</v>
      </c>
      <c r="B223" t="s">
        <v>721</v>
      </c>
      <c r="C223" t="s">
        <v>722</v>
      </c>
      <c r="D223">
        <v>0.43</v>
      </c>
      <c r="E223">
        <v>0</v>
      </c>
      <c r="F223">
        <v>0</v>
      </c>
    </row>
    <row r="224" spans="1:6" x14ac:dyDescent="0.25">
      <c r="A224" s="172" t="s">
        <v>723</v>
      </c>
      <c r="B224" t="s">
        <v>724</v>
      </c>
      <c r="C224" t="s">
        <v>725</v>
      </c>
      <c r="D224">
        <v>0.5</v>
      </c>
      <c r="E224">
        <v>0</v>
      </c>
      <c r="F224">
        <v>0</v>
      </c>
    </row>
    <row r="225" spans="1:6" x14ac:dyDescent="0.25">
      <c r="A225" s="172" t="s">
        <v>726</v>
      </c>
      <c r="B225" t="s">
        <v>727</v>
      </c>
      <c r="C225" t="s">
        <v>728</v>
      </c>
      <c r="D225">
        <v>7.26</v>
      </c>
      <c r="E225">
        <v>19.94</v>
      </c>
      <c r="F225">
        <v>33.9</v>
      </c>
    </row>
    <row r="226" spans="1:6" x14ac:dyDescent="0.25">
      <c r="A226" s="172" t="s">
        <v>729</v>
      </c>
      <c r="B226" t="s">
        <v>730</v>
      </c>
      <c r="C226" t="s">
        <v>731</v>
      </c>
      <c r="D226">
        <v>30</v>
      </c>
      <c r="E226">
        <v>0</v>
      </c>
      <c r="F226">
        <v>0</v>
      </c>
    </row>
    <row r="227" spans="1:6" x14ac:dyDescent="0.25">
      <c r="A227" s="172" t="s">
        <v>732</v>
      </c>
      <c r="B227" t="s">
        <v>733</v>
      </c>
      <c r="C227" t="s">
        <v>734</v>
      </c>
      <c r="D227">
        <v>4.89</v>
      </c>
      <c r="E227">
        <v>0</v>
      </c>
      <c r="F227">
        <v>0</v>
      </c>
    </row>
    <row r="228" spans="1:6" x14ac:dyDescent="0.25">
      <c r="A228" s="172" t="s">
        <v>735</v>
      </c>
      <c r="B228" t="s">
        <v>736</v>
      </c>
      <c r="C228" t="s">
        <v>737</v>
      </c>
      <c r="D228">
        <v>2.5</v>
      </c>
      <c r="E228">
        <v>3.88</v>
      </c>
      <c r="F228">
        <v>6.6</v>
      </c>
    </row>
    <row r="229" spans="1:6" x14ac:dyDescent="0.25">
      <c r="A229" s="172" t="s">
        <v>738</v>
      </c>
      <c r="B229" t="s">
        <v>739</v>
      </c>
      <c r="C229" t="s">
        <v>740</v>
      </c>
      <c r="D229">
        <v>1.43</v>
      </c>
      <c r="E229">
        <v>0</v>
      </c>
      <c r="F229">
        <v>0</v>
      </c>
    </row>
    <row r="230" spans="1:6" x14ac:dyDescent="0.25">
      <c r="A230" s="172" t="s">
        <v>741</v>
      </c>
      <c r="B230" t="s">
        <v>91</v>
      </c>
      <c r="C230" t="s">
        <v>742</v>
      </c>
      <c r="D230">
        <v>2.14</v>
      </c>
      <c r="E230">
        <v>0</v>
      </c>
      <c r="F230">
        <v>0</v>
      </c>
    </row>
    <row r="231" spans="1:6" x14ac:dyDescent="0.25">
      <c r="A231" s="172" t="s">
        <v>743</v>
      </c>
      <c r="B231" t="s">
        <v>744</v>
      </c>
      <c r="C231" t="s">
        <v>745</v>
      </c>
      <c r="D231">
        <v>6.06</v>
      </c>
      <c r="E231">
        <v>14.02</v>
      </c>
      <c r="F231">
        <v>21.92</v>
      </c>
    </row>
    <row r="232" spans="1:6" x14ac:dyDescent="0.25">
      <c r="A232" s="172" t="s">
        <v>746</v>
      </c>
      <c r="B232" t="s">
        <v>747</v>
      </c>
      <c r="C232" t="s">
        <v>748</v>
      </c>
      <c r="D232">
        <v>3.4</v>
      </c>
      <c r="E232">
        <v>0</v>
      </c>
      <c r="F232">
        <v>0</v>
      </c>
    </row>
    <row r="233" spans="1:6" x14ac:dyDescent="0.25">
      <c r="A233" s="172" t="s">
        <v>749</v>
      </c>
      <c r="B233" t="s">
        <v>750</v>
      </c>
      <c r="C233" t="s">
        <v>751</v>
      </c>
      <c r="D233">
        <v>7.14</v>
      </c>
      <c r="E233">
        <v>0</v>
      </c>
      <c r="F233">
        <v>0</v>
      </c>
    </row>
    <row r="234" spans="1:6" x14ac:dyDescent="0.25">
      <c r="A234" s="172" t="s">
        <v>752</v>
      </c>
      <c r="B234" t="s">
        <v>178</v>
      </c>
      <c r="C234" t="s">
        <v>753</v>
      </c>
      <c r="D234">
        <v>1.69</v>
      </c>
      <c r="E234">
        <v>0</v>
      </c>
      <c r="F234">
        <v>0</v>
      </c>
    </row>
    <row r="235" spans="1:6" x14ac:dyDescent="0.25">
      <c r="A235" s="172" t="s">
        <v>754</v>
      </c>
      <c r="B235" t="s">
        <v>755</v>
      </c>
      <c r="C235" t="s">
        <v>756</v>
      </c>
      <c r="D235">
        <v>6.39</v>
      </c>
      <c r="E235">
        <v>12.16</v>
      </c>
      <c r="F235">
        <v>27.2</v>
      </c>
    </row>
    <row r="236" spans="1:6" x14ac:dyDescent="0.25">
      <c r="A236" s="172" t="s">
        <v>757</v>
      </c>
      <c r="B236" t="s">
        <v>758</v>
      </c>
      <c r="C236" t="s">
        <v>248</v>
      </c>
      <c r="D236">
        <v>15.43</v>
      </c>
      <c r="E236">
        <v>0</v>
      </c>
      <c r="F236">
        <v>56.08</v>
      </c>
    </row>
    <row r="237" spans="1:6" x14ac:dyDescent="0.25">
      <c r="A237" s="172" t="s">
        <v>759</v>
      </c>
      <c r="B237" t="s">
        <v>760</v>
      </c>
      <c r="C237" t="s">
        <v>248</v>
      </c>
      <c r="D237">
        <v>17.97</v>
      </c>
      <c r="E237">
        <v>38.54</v>
      </c>
      <c r="F237">
        <v>78.5</v>
      </c>
    </row>
    <row r="238" spans="1:6" x14ac:dyDescent="0.25">
      <c r="A238" s="172" t="s">
        <v>761</v>
      </c>
      <c r="B238" t="s">
        <v>762</v>
      </c>
      <c r="C238" t="s">
        <v>248</v>
      </c>
      <c r="D238">
        <v>17.64</v>
      </c>
      <c r="E238">
        <v>30.88</v>
      </c>
      <c r="F238">
        <v>75</v>
      </c>
    </row>
    <row r="239" spans="1:6" x14ac:dyDescent="0.25">
      <c r="A239" s="172" t="s">
        <v>763</v>
      </c>
      <c r="B239" t="s">
        <v>764</v>
      </c>
      <c r="C239" t="s">
        <v>765</v>
      </c>
      <c r="D239">
        <v>18.1</v>
      </c>
      <c r="E239">
        <v>36.43</v>
      </c>
      <c r="F239">
        <v>78.2</v>
      </c>
    </row>
    <row r="240" spans="1:6" x14ac:dyDescent="0.25">
      <c r="A240" s="172" t="s">
        <v>766</v>
      </c>
      <c r="B240" t="s">
        <v>767</v>
      </c>
      <c r="C240" t="s">
        <v>248</v>
      </c>
      <c r="D240">
        <v>18.24</v>
      </c>
      <c r="E240">
        <v>37.41</v>
      </c>
      <c r="F240">
        <v>63.6</v>
      </c>
    </row>
    <row r="241" spans="1:6" x14ac:dyDescent="0.25">
      <c r="A241" s="172" t="s">
        <v>768</v>
      </c>
      <c r="B241" t="s">
        <v>769</v>
      </c>
      <c r="C241" t="s">
        <v>770</v>
      </c>
      <c r="D241">
        <v>5.72</v>
      </c>
      <c r="E241">
        <v>12.6</v>
      </c>
      <c r="F241">
        <v>24.3</v>
      </c>
    </row>
    <row r="242" spans="1:6" x14ac:dyDescent="0.25">
      <c r="A242" s="172" t="s">
        <v>771</v>
      </c>
      <c r="B242" t="s">
        <v>772</v>
      </c>
      <c r="C242" t="s">
        <v>773</v>
      </c>
      <c r="D242">
        <v>2.8</v>
      </c>
      <c r="E242">
        <v>0</v>
      </c>
      <c r="F242">
        <v>0</v>
      </c>
    </row>
    <row r="243" spans="1:6" x14ac:dyDescent="0.25">
      <c r="A243" s="172" t="s">
        <v>774</v>
      </c>
      <c r="B243" t="s">
        <v>775</v>
      </c>
      <c r="C243" t="s">
        <v>776</v>
      </c>
      <c r="D243">
        <v>2.54</v>
      </c>
      <c r="E243">
        <v>0</v>
      </c>
      <c r="F243">
        <v>0</v>
      </c>
    </row>
    <row r="244" spans="1:6" x14ac:dyDescent="0.25">
      <c r="A244" s="172" t="s">
        <v>777</v>
      </c>
      <c r="B244" t="s">
        <v>778</v>
      </c>
      <c r="C244" t="s">
        <v>779</v>
      </c>
      <c r="D244">
        <v>2.54</v>
      </c>
      <c r="E244">
        <v>0</v>
      </c>
      <c r="F244">
        <v>0</v>
      </c>
    </row>
    <row r="245" spans="1:6" x14ac:dyDescent="0.25">
      <c r="A245" s="172" t="s">
        <v>780</v>
      </c>
      <c r="B245" t="s">
        <v>781</v>
      </c>
      <c r="C245" t="s">
        <v>782</v>
      </c>
      <c r="D245">
        <v>2.54</v>
      </c>
      <c r="E245">
        <v>0</v>
      </c>
      <c r="F245">
        <v>0</v>
      </c>
    </row>
    <row r="246" spans="1:6" x14ac:dyDescent="0.25">
      <c r="A246" s="172" t="s">
        <v>783</v>
      </c>
      <c r="B246" t="s">
        <v>784</v>
      </c>
      <c r="C246" t="s">
        <v>248</v>
      </c>
      <c r="D246">
        <v>4.71</v>
      </c>
      <c r="E246">
        <v>9.41</v>
      </c>
      <c r="F246">
        <v>16.67</v>
      </c>
    </row>
    <row r="247" spans="1:6" x14ac:dyDescent="0.25">
      <c r="A247" s="172" t="s">
        <v>785</v>
      </c>
      <c r="B247" t="s">
        <v>786</v>
      </c>
      <c r="C247" t="s">
        <v>787</v>
      </c>
      <c r="D247">
        <v>6</v>
      </c>
      <c r="E247">
        <v>10.7</v>
      </c>
      <c r="F247">
        <v>26</v>
      </c>
    </row>
    <row r="248" spans="1:6" x14ac:dyDescent="0.25">
      <c r="A248" s="172" t="s">
        <v>788</v>
      </c>
      <c r="B248" t="s">
        <v>405</v>
      </c>
      <c r="C248" t="s">
        <v>789</v>
      </c>
      <c r="D248">
        <v>6.4</v>
      </c>
      <c r="E248">
        <v>0</v>
      </c>
      <c r="F248">
        <v>0</v>
      </c>
    </row>
    <row r="249" spans="1:6" x14ac:dyDescent="0.25">
      <c r="A249" s="172" t="s">
        <v>790</v>
      </c>
      <c r="B249" t="s">
        <v>791</v>
      </c>
      <c r="C249" t="s">
        <v>792</v>
      </c>
      <c r="D249">
        <v>5.03</v>
      </c>
      <c r="E249">
        <v>11.75</v>
      </c>
      <c r="F249">
        <v>22.2</v>
      </c>
    </row>
    <row r="250" spans="1:6" x14ac:dyDescent="0.25">
      <c r="A250" s="172" t="s">
        <v>793</v>
      </c>
      <c r="B250" t="s">
        <v>794</v>
      </c>
      <c r="C250" t="s">
        <v>795</v>
      </c>
      <c r="D250">
        <v>4.36</v>
      </c>
      <c r="E250">
        <v>9.75</v>
      </c>
      <c r="F250">
        <v>19.5</v>
      </c>
    </row>
    <row r="251" spans="1:6" x14ac:dyDescent="0.25">
      <c r="A251" s="172" t="s">
        <v>796</v>
      </c>
      <c r="B251" t="s">
        <v>797</v>
      </c>
      <c r="C251" t="s">
        <v>798</v>
      </c>
      <c r="D251">
        <v>4.22</v>
      </c>
      <c r="E251">
        <v>9.79</v>
      </c>
      <c r="F251">
        <v>18.5</v>
      </c>
    </row>
    <row r="252" spans="1:6" x14ac:dyDescent="0.25">
      <c r="A252" s="172" t="s">
        <v>799</v>
      </c>
      <c r="B252" t="s">
        <v>800</v>
      </c>
      <c r="C252" t="s">
        <v>801</v>
      </c>
      <c r="D252">
        <v>5.03</v>
      </c>
      <c r="E252">
        <v>9.93</v>
      </c>
      <c r="F252">
        <v>22.2</v>
      </c>
    </row>
    <row r="253" spans="1:6" x14ac:dyDescent="0.25">
      <c r="A253" s="172" t="s">
        <v>802</v>
      </c>
      <c r="B253" t="s">
        <v>803</v>
      </c>
      <c r="C253" t="s">
        <v>804</v>
      </c>
      <c r="D253">
        <v>5.2</v>
      </c>
      <c r="E253">
        <v>11.44</v>
      </c>
      <c r="F253">
        <v>22.5</v>
      </c>
    </row>
    <row r="254" spans="1:6" x14ac:dyDescent="0.25">
      <c r="A254" s="172" t="s">
        <v>805</v>
      </c>
      <c r="B254" t="s">
        <v>806</v>
      </c>
      <c r="C254" t="s">
        <v>807</v>
      </c>
      <c r="D254">
        <v>5.43</v>
      </c>
      <c r="E254">
        <v>10.72</v>
      </c>
      <c r="F254">
        <v>23.8</v>
      </c>
    </row>
    <row r="255" spans="1:6" x14ac:dyDescent="0.25">
      <c r="A255" s="172" t="s">
        <v>808</v>
      </c>
      <c r="B255" t="s">
        <v>809</v>
      </c>
      <c r="C255" t="s">
        <v>248</v>
      </c>
      <c r="D255">
        <v>5.76</v>
      </c>
      <c r="E255">
        <v>12.46</v>
      </c>
      <c r="F255">
        <v>21.2</v>
      </c>
    </row>
    <row r="256" spans="1:6" x14ac:dyDescent="0.25">
      <c r="A256" s="172" t="s">
        <v>810</v>
      </c>
      <c r="B256" t="s">
        <v>811</v>
      </c>
      <c r="C256" t="s">
        <v>248</v>
      </c>
      <c r="D256">
        <v>3.75</v>
      </c>
      <c r="E256">
        <v>9.47</v>
      </c>
      <c r="F256">
        <v>17.9</v>
      </c>
    </row>
    <row r="257" spans="1:6" x14ac:dyDescent="0.25">
      <c r="A257" s="172" t="s">
        <v>812</v>
      </c>
      <c r="B257" t="s">
        <v>813</v>
      </c>
      <c r="C257" t="s">
        <v>248</v>
      </c>
      <c r="D257">
        <v>6.66</v>
      </c>
      <c r="E257">
        <v>16.14</v>
      </c>
      <c r="F257">
        <v>30.5</v>
      </c>
    </row>
    <row r="258" spans="1:6" x14ac:dyDescent="0.25">
      <c r="A258" s="172" t="s">
        <v>814</v>
      </c>
      <c r="B258" t="s">
        <v>815</v>
      </c>
      <c r="C258" t="s">
        <v>816</v>
      </c>
      <c r="D258">
        <v>6.84</v>
      </c>
      <c r="E258">
        <v>15.05</v>
      </c>
      <c r="F258">
        <v>32</v>
      </c>
    </row>
    <row r="259" spans="1:6" x14ac:dyDescent="0.25">
      <c r="A259" s="172" t="s">
        <v>817</v>
      </c>
      <c r="B259" t="s">
        <v>818</v>
      </c>
      <c r="C259" t="s">
        <v>819</v>
      </c>
      <c r="D259">
        <v>6.64</v>
      </c>
      <c r="E259">
        <v>15.05</v>
      </c>
      <c r="F259">
        <v>32</v>
      </c>
    </row>
    <row r="260" spans="1:6" x14ac:dyDescent="0.25">
      <c r="A260" s="172" t="s">
        <v>820</v>
      </c>
      <c r="B260" t="s">
        <v>821</v>
      </c>
      <c r="C260" t="s">
        <v>822</v>
      </c>
      <c r="D260">
        <v>3.95</v>
      </c>
      <c r="E260">
        <v>10.53</v>
      </c>
      <c r="F260">
        <v>0</v>
      </c>
    </row>
    <row r="261" spans="1:6" x14ac:dyDescent="0.25">
      <c r="A261" s="172" t="s">
        <v>823</v>
      </c>
      <c r="B261" t="s">
        <v>824</v>
      </c>
      <c r="C261" t="s">
        <v>825</v>
      </c>
      <c r="D261">
        <v>6.02</v>
      </c>
      <c r="E261">
        <v>13.91</v>
      </c>
      <c r="F261">
        <v>0</v>
      </c>
    </row>
    <row r="262" spans="1:6" x14ac:dyDescent="0.25">
      <c r="A262" s="172" t="s">
        <v>826</v>
      </c>
      <c r="B262" t="s">
        <v>827</v>
      </c>
      <c r="C262" t="s">
        <v>828</v>
      </c>
      <c r="D262">
        <v>7.75</v>
      </c>
      <c r="E262">
        <v>17.49</v>
      </c>
      <c r="F262">
        <v>0</v>
      </c>
    </row>
    <row r="263" spans="1:6" x14ac:dyDescent="0.25">
      <c r="A263" s="172" t="s">
        <v>829</v>
      </c>
      <c r="B263" t="s">
        <v>830</v>
      </c>
      <c r="C263" t="s">
        <v>831</v>
      </c>
      <c r="D263">
        <v>18.04</v>
      </c>
      <c r="E263">
        <v>44.59</v>
      </c>
      <c r="F263">
        <v>0</v>
      </c>
    </row>
    <row r="264" spans="1:6" x14ac:dyDescent="0.25">
      <c r="A264" s="172" t="s">
        <v>832</v>
      </c>
      <c r="B264" t="s">
        <v>833</v>
      </c>
      <c r="C264" t="s">
        <v>834</v>
      </c>
      <c r="D264">
        <v>2.9</v>
      </c>
      <c r="E264">
        <v>6.71</v>
      </c>
      <c r="F264">
        <v>0</v>
      </c>
    </row>
    <row r="265" spans="1:6" x14ac:dyDescent="0.25">
      <c r="A265" s="172" t="s">
        <v>835</v>
      </c>
      <c r="B265" t="s">
        <v>836</v>
      </c>
      <c r="C265" t="s">
        <v>837</v>
      </c>
      <c r="D265">
        <v>18.94</v>
      </c>
      <c r="E265">
        <v>33.47</v>
      </c>
      <c r="F265">
        <v>0</v>
      </c>
    </row>
    <row r="266" spans="1:6" x14ac:dyDescent="0.25">
      <c r="A266" s="172" t="s">
        <v>838</v>
      </c>
      <c r="B266" t="s">
        <v>839</v>
      </c>
      <c r="C266" t="s">
        <v>840</v>
      </c>
      <c r="D266">
        <v>19.97</v>
      </c>
      <c r="E266">
        <v>33.47</v>
      </c>
      <c r="F266">
        <v>0</v>
      </c>
    </row>
    <row r="267" spans="1:6" x14ac:dyDescent="0.25">
      <c r="A267" s="172" t="s">
        <v>841</v>
      </c>
      <c r="B267" t="s">
        <v>842</v>
      </c>
      <c r="C267" t="s">
        <v>843</v>
      </c>
      <c r="D267">
        <v>6.72</v>
      </c>
      <c r="E267">
        <v>14.16</v>
      </c>
      <c r="F267">
        <v>0</v>
      </c>
    </row>
    <row r="268" spans="1:6" x14ac:dyDescent="0.25">
      <c r="A268" s="172" t="s">
        <v>844</v>
      </c>
      <c r="B268" t="s">
        <v>845</v>
      </c>
      <c r="C268" t="s">
        <v>846</v>
      </c>
      <c r="D268">
        <v>19.34</v>
      </c>
      <c r="E268">
        <v>43.66</v>
      </c>
      <c r="F268">
        <v>0</v>
      </c>
    </row>
    <row r="269" spans="1:6" x14ac:dyDescent="0.25">
      <c r="A269" s="172" t="s">
        <v>847</v>
      </c>
      <c r="B269" t="s">
        <v>848</v>
      </c>
      <c r="C269" t="s">
        <v>849</v>
      </c>
      <c r="D269">
        <v>14.65</v>
      </c>
      <c r="E269">
        <v>36.2</v>
      </c>
      <c r="F269">
        <v>0</v>
      </c>
    </row>
    <row r="270" spans="1:6" x14ac:dyDescent="0.25">
      <c r="A270" s="172" t="s">
        <v>850</v>
      </c>
      <c r="B270" t="s">
        <v>851</v>
      </c>
      <c r="C270" t="s">
        <v>852</v>
      </c>
      <c r="D270">
        <v>14.65</v>
      </c>
      <c r="E270">
        <v>36.56</v>
      </c>
      <c r="F270">
        <v>0</v>
      </c>
    </row>
    <row r="271" spans="1:6" x14ac:dyDescent="0.25">
      <c r="A271" s="172" t="s">
        <v>853</v>
      </c>
      <c r="B271" t="s">
        <v>854</v>
      </c>
      <c r="C271" t="s">
        <v>855</v>
      </c>
      <c r="D271">
        <v>17.78</v>
      </c>
      <c r="E271">
        <v>43.96</v>
      </c>
      <c r="F271">
        <v>0</v>
      </c>
    </row>
    <row r="272" spans="1:6" x14ac:dyDescent="0.25">
      <c r="A272" s="172" t="s">
        <v>856</v>
      </c>
      <c r="B272" t="s">
        <v>857</v>
      </c>
      <c r="C272" t="s">
        <v>858</v>
      </c>
      <c r="D272">
        <v>18.94</v>
      </c>
      <c r="E272">
        <v>46.82</v>
      </c>
      <c r="F272">
        <v>0</v>
      </c>
    </row>
    <row r="273" spans="1:6" x14ac:dyDescent="0.25">
      <c r="A273" s="172" t="s">
        <v>859</v>
      </c>
      <c r="B273" t="s">
        <v>860</v>
      </c>
      <c r="C273" t="s">
        <v>248</v>
      </c>
      <c r="D273">
        <v>19.13</v>
      </c>
      <c r="E273">
        <v>33.47</v>
      </c>
      <c r="F273">
        <v>0</v>
      </c>
    </row>
    <row r="274" spans="1:6" x14ac:dyDescent="0.25">
      <c r="A274" s="172" t="s">
        <v>861</v>
      </c>
      <c r="B274" t="s">
        <v>862</v>
      </c>
      <c r="C274" t="s">
        <v>248</v>
      </c>
      <c r="D274">
        <v>20.16</v>
      </c>
      <c r="E274">
        <v>33.47</v>
      </c>
      <c r="F274">
        <v>0</v>
      </c>
    </row>
    <row r="275" spans="1:6" x14ac:dyDescent="0.25">
      <c r="A275" s="172" t="s">
        <v>863</v>
      </c>
      <c r="B275" t="s">
        <v>864</v>
      </c>
      <c r="C275" t="s">
        <v>865</v>
      </c>
      <c r="D275">
        <v>5.51</v>
      </c>
      <c r="E275">
        <v>11.36</v>
      </c>
      <c r="F275">
        <v>0</v>
      </c>
    </row>
    <row r="276" spans="1:6" x14ac:dyDescent="0.25">
      <c r="A276" s="172" t="s">
        <v>866</v>
      </c>
      <c r="B276" t="s">
        <v>867</v>
      </c>
      <c r="C276" t="s">
        <v>868</v>
      </c>
      <c r="D276">
        <v>4.99</v>
      </c>
      <c r="E276">
        <v>10.28</v>
      </c>
      <c r="F276">
        <v>0</v>
      </c>
    </row>
    <row r="277" spans="1:6" x14ac:dyDescent="0.25">
      <c r="A277" s="172" t="s">
        <v>869</v>
      </c>
      <c r="B277" t="s">
        <v>870</v>
      </c>
      <c r="C277" t="s">
        <v>871</v>
      </c>
      <c r="D277">
        <v>4.99</v>
      </c>
      <c r="E277">
        <v>10.28</v>
      </c>
      <c r="F277">
        <v>0</v>
      </c>
    </row>
    <row r="278" spans="1:6" x14ac:dyDescent="0.25">
      <c r="A278" s="172" t="s">
        <v>872</v>
      </c>
      <c r="B278" t="s">
        <v>873</v>
      </c>
      <c r="C278" t="s">
        <v>874</v>
      </c>
      <c r="D278">
        <v>4.66</v>
      </c>
      <c r="E278">
        <v>9.58</v>
      </c>
      <c r="F278">
        <v>0</v>
      </c>
    </row>
    <row r="279" spans="1:6" x14ac:dyDescent="0.25">
      <c r="A279" s="172" t="s">
        <v>875</v>
      </c>
      <c r="B279" t="s">
        <v>876</v>
      </c>
      <c r="C279" t="s">
        <v>877</v>
      </c>
      <c r="D279">
        <v>5.51</v>
      </c>
      <c r="E279">
        <v>11.36</v>
      </c>
      <c r="F279">
        <v>0</v>
      </c>
    </row>
    <row r="280" spans="1:6" x14ac:dyDescent="0.25">
      <c r="A280" s="172" t="s">
        <v>878</v>
      </c>
      <c r="B280" t="s">
        <v>879</v>
      </c>
      <c r="C280" t="s">
        <v>880</v>
      </c>
      <c r="D280">
        <v>3.75</v>
      </c>
      <c r="E280">
        <v>10.19</v>
      </c>
      <c r="F280">
        <v>0</v>
      </c>
    </row>
    <row r="281" spans="1:6" x14ac:dyDescent="0.25">
      <c r="A281" s="172" t="s">
        <v>881</v>
      </c>
      <c r="B281" t="s">
        <v>882</v>
      </c>
      <c r="C281" t="s">
        <v>883</v>
      </c>
      <c r="D281">
        <v>4.9</v>
      </c>
      <c r="E281">
        <v>11.1</v>
      </c>
      <c r="F281">
        <v>0</v>
      </c>
    </row>
    <row r="282" spans="1:6" x14ac:dyDescent="0.25">
      <c r="A282" s="172" t="s">
        <v>884</v>
      </c>
      <c r="B282" t="s">
        <v>885</v>
      </c>
      <c r="C282" t="s">
        <v>248</v>
      </c>
      <c r="D282">
        <v>3.74</v>
      </c>
      <c r="E282">
        <v>6.55</v>
      </c>
      <c r="F282">
        <v>0</v>
      </c>
    </row>
    <row r="283" spans="1:6" x14ac:dyDescent="0.25">
      <c r="A283" s="172" t="s">
        <v>886</v>
      </c>
      <c r="B283" t="s">
        <v>887</v>
      </c>
      <c r="C283" t="s">
        <v>888</v>
      </c>
      <c r="D283">
        <v>5.16</v>
      </c>
      <c r="E283">
        <v>10.94</v>
      </c>
      <c r="F283">
        <v>0</v>
      </c>
    </row>
    <row r="284" spans="1:6" x14ac:dyDescent="0.25">
      <c r="A284" s="172" t="s">
        <v>889</v>
      </c>
      <c r="B284" t="s">
        <v>890</v>
      </c>
      <c r="C284" t="s">
        <v>891</v>
      </c>
      <c r="D284">
        <v>5.16</v>
      </c>
      <c r="E284">
        <v>10.94</v>
      </c>
      <c r="F284">
        <v>0</v>
      </c>
    </row>
    <row r="285" spans="1:6" x14ac:dyDescent="0.25">
      <c r="A285" s="172" t="s">
        <v>892</v>
      </c>
      <c r="B285" t="s">
        <v>893</v>
      </c>
      <c r="C285" t="s">
        <v>894</v>
      </c>
      <c r="D285">
        <v>4.47</v>
      </c>
      <c r="E285">
        <v>11.38</v>
      </c>
      <c r="F285">
        <v>0</v>
      </c>
    </row>
    <row r="286" spans="1:6" x14ac:dyDescent="0.25">
      <c r="A286" s="172" t="s">
        <v>895</v>
      </c>
      <c r="B286" t="s">
        <v>896</v>
      </c>
      <c r="C286" t="s">
        <v>897</v>
      </c>
      <c r="D286">
        <v>4.24</v>
      </c>
      <c r="E286">
        <v>9.79</v>
      </c>
      <c r="F286">
        <v>0</v>
      </c>
    </row>
    <row r="287" spans="1:6" x14ac:dyDescent="0.25">
      <c r="A287" s="172" t="s">
        <v>898</v>
      </c>
      <c r="B287" t="s">
        <v>899</v>
      </c>
      <c r="C287" t="s">
        <v>900</v>
      </c>
      <c r="D287">
        <v>4.56</v>
      </c>
      <c r="E287">
        <v>10.4</v>
      </c>
      <c r="F287">
        <v>0</v>
      </c>
    </row>
    <row r="288" spans="1:6" x14ac:dyDescent="0.25">
      <c r="A288" s="172" t="s">
        <v>901</v>
      </c>
      <c r="B288" t="s">
        <v>902</v>
      </c>
      <c r="C288" t="s">
        <v>248</v>
      </c>
      <c r="D288">
        <v>6.66</v>
      </c>
      <c r="E288">
        <v>11.41</v>
      </c>
      <c r="F288">
        <v>0</v>
      </c>
    </row>
    <row r="289" spans="1:6" x14ac:dyDescent="0.25">
      <c r="A289" s="172" t="s">
        <v>903</v>
      </c>
      <c r="B289" t="s">
        <v>904</v>
      </c>
      <c r="C289" t="s">
        <v>905</v>
      </c>
      <c r="D289">
        <v>9.14</v>
      </c>
      <c r="E289">
        <v>20.9</v>
      </c>
      <c r="F289">
        <v>0</v>
      </c>
    </row>
    <row r="290" spans="1:6" x14ac:dyDescent="0.25">
      <c r="A290" s="172" t="s">
        <v>906</v>
      </c>
      <c r="B290" t="s">
        <v>907</v>
      </c>
      <c r="C290" t="s">
        <v>908</v>
      </c>
      <c r="D290">
        <v>4.87</v>
      </c>
      <c r="E290">
        <v>10.77</v>
      </c>
      <c r="F290">
        <v>0</v>
      </c>
    </row>
    <row r="291" spans="1:6" x14ac:dyDescent="0.25">
      <c r="A291" s="172" t="s">
        <v>909</v>
      </c>
      <c r="B291" t="s">
        <v>910</v>
      </c>
      <c r="C291" t="s">
        <v>248</v>
      </c>
      <c r="D291">
        <v>8.17</v>
      </c>
      <c r="E291">
        <v>13.86</v>
      </c>
      <c r="F291">
        <v>0</v>
      </c>
    </row>
    <row r="292" spans="1:6" x14ac:dyDescent="0.25">
      <c r="A292" s="172" t="s">
        <v>911</v>
      </c>
      <c r="B292" t="s">
        <v>912</v>
      </c>
      <c r="C292" t="s">
        <v>913</v>
      </c>
      <c r="D292">
        <v>23.32</v>
      </c>
      <c r="E292">
        <v>0</v>
      </c>
      <c r="F292">
        <v>0</v>
      </c>
    </row>
    <row r="293" spans="1:6" x14ac:dyDescent="0.25">
      <c r="A293" s="172" t="s">
        <v>914</v>
      </c>
      <c r="B293" t="s">
        <v>915</v>
      </c>
      <c r="C293" t="s">
        <v>916</v>
      </c>
      <c r="D293">
        <v>24.7</v>
      </c>
      <c r="E293">
        <v>0</v>
      </c>
      <c r="F293">
        <v>0</v>
      </c>
    </row>
    <row r="294" spans="1:6" x14ac:dyDescent="0.25">
      <c r="A294" s="172" t="s">
        <v>917</v>
      </c>
      <c r="B294" t="s">
        <v>918</v>
      </c>
      <c r="C294" t="s">
        <v>919</v>
      </c>
      <c r="D294">
        <v>14.69</v>
      </c>
      <c r="E294">
        <v>0</v>
      </c>
      <c r="F294">
        <v>0</v>
      </c>
    </row>
    <row r="295" spans="1:6" x14ac:dyDescent="0.25">
      <c r="A295" s="172" t="s">
        <v>920</v>
      </c>
      <c r="B295" t="s">
        <v>921</v>
      </c>
      <c r="C295" t="s">
        <v>922</v>
      </c>
      <c r="D295">
        <v>26.43</v>
      </c>
      <c r="E295">
        <v>0</v>
      </c>
      <c r="F295">
        <v>0</v>
      </c>
    </row>
    <row r="296" spans="1:6" x14ac:dyDescent="0.25">
      <c r="A296" s="172" t="s">
        <v>923</v>
      </c>
      <c r="B296" t="s">
        <v>924</v>
      </c>
      <c r="C296" t="s">
        <v>925</v>
      </c>
      <c r="D296">
        <v>26.43</v>
      </c>
      <c r="E296">
        <v>0</v>
      </c>
      <c r="F296">
        <v>0</v>
      </c>
    </row>
    <row r="297" spans="1:6" x14ac:dyDescent="0.25">
      <c r="A297" s="172" t="s">
        <v>926</v>
      </c>
      <c r="B297" t="s">
        <v>927</v>
      </c>
      <c r="C297" t="s">
        <v>928</v>
      </c>
      <c r="D297">
        <v>20.5</v>
      </c>
      <c r="E297">
        <v>0</v>
      </c>
      <c r="F297">
        <v>0</v>
      </c>
    </row>
    <row r="298" spans="1:6" x14ac:dyDescent="0.25">
      <c r="A298" s="172" t="s">
        <v>929</v>
      </c>
      <c r="B298" t="s">
        <v>930</v>
      </c>
      <c r="C298" t="s">
        <v>931</v>
      </c>
      <c r="D298">
        <v>20.5</v>
      </c>
      <c r="E298">
        <v>0</v>
      </c>
      <c r="F298">
        <v>0</v>
      </c>
    </row>
    <row r="299" spans="1:6" x14ac:dyDescent="0.25">
      <c r="A299" s="172" t="s">
        <v>932</v>
      </c>
      <c r="B299" t="s">
        <v>933</v>
      </c>
      <c r="C299" t="s">
        <v>934</v>
      </c>
      <c r="D299">
        <v>48.29</v>
      </c>
      <c r="E299">
        <v>66.01</v>
      </c>
      <c r="F299">
        <v>0</v>
      </c>
    </row>
    <row r="300" spans="1:6" x14ac:dyDescent="0.25">
      <c r="A300" s="172" t="s">
        <v>935</v>
      </c>
      <c r="B300" t="s">
        <v>936</v>
      </c>
      <c r="C300" t="s">
        <v>937</v>
      </c>
      <c r="D300">
        <v>12.38</v>
      </c>
      <c r="E300">
        <v>66.01</v>
      </c>
      <c r="F300">
        <v>0</v>
      </c>
    </row>
    <row r="301" spans="1:6" x14ac:dyDescent="0.25">
      <c r="A301" s="172" t="s">
        <v>938</v>
      </c>
      <c r="B301" t="s">
        <v>939</v>
      </c>
      <c r="C301" t="s">
        <v>940</v>
      </c>
      <c r="D301">
        <v>40.91</v>
      </c>
      <c r="E301">
        <v>66.01</v>
      </c>
      <c r="F301">
        <v>0</v>
      </c>
    </row>
    <row r="302" spans="1:6" x14ac:dyDescent="0.25">
      <c r="A302" s="172" t="s">
        <v>941</v>
      </c>
      <c r="B302" t="s">
        <v>942</v>
      </c>
      <c r="C302" t="s">
        <v>943</v>
      </c>
      <c r="D302">
        <v>44.8</v>
      </c>
      <c r="E302">
        <v>66.01</v>
      </c>
      <c r="F302">
        <v>0</v>
      </c>
    </row>
    <row r="303" spans="1:6" x14ac:dyDescent="0.25">
      <c r="A303" s="172" t="s">
        <v>944</v>
      </c>
      <c r="B303" t="s">
        <v>945</v>
      </c>
      <c r="C303" t="s">
        <v>946</v>
      </c>
      <c r="D303">
        <v>20.8</v>
      </c>
      <c r="E303">
        <v>0</v>
      </c>
      <c r="F303">
        <v>0</v>
      </c>
    </row>
    <row r="304" spans="1:6" x14ac:dyDescent="0.25">
      <c r="A304" s="172" t="s">
        <v>947</v>
      </c>
      <c r="B304" t="s">
        <v>948</v>
      </c>
      <c r="C304" t="s">
        <v>949</v>
      </c>
      <c r="D304">
        <v>20.8</v>
      </c>
      <c r="E304">
        <v>0</v>
      </c>
      <c r="F304">
        <v>0</v>
      </c>
    </row>
    <row r="305" spans="1:6" x14ac:dyDescent="0.25">
      <c r="A305" s="172" t="s">
        <v>950</v>
      </c>
      <c r="B305" t="s">
        <v>951</v>
      </c>
      <c r="C305" t="s">
        <v>952</v>
      </c>
      <c r="D305">
        <v>20.8</v>
      </c>
      <c r="E305">
        <v>0</v>
      </c>
      <c r="F305">
        <v>0</v>
      </c>
    </row>
    <row r="306" spans="1:6" x14ac:dyDescent="0.25">
      <c r="A306" s="172" t="s">
        <v>953</v>
      </c>
      <c r="B306" t="s">
        <v>954</v>
      </c>
      <c r="C306" t="s">
        <v>955</v>
      </c>
      <c r="D306">
        <v>10.94</v>
      </c>
      <c r="E306">
        <v>23.44</v>
      </c>
      <c r="F306">
        <v>0</v>
      </c>
    </row>
    <row r="307" spans="1:6" x14ac:dyDescent="0.25">
      <c r="A307" s="172" t="s">
        <v>956</v>
      </c>
      <c r="B307" t="s">
        <v>957</v>
      </c>
      <c r="C307" t="s">
        <v>958</v>
      </c>
      <c r="D307">
        <v>7.46</v>
      </c>
      <c r="E307">
        <v>15.98</v>
      </c>
      <c r="F307">
        <v>0</v>
      </c>
    </row>
    <row r="308" spans="1:6" x14ac:dyDescent="0.25">
      <c r="A308" s="172" t="s">
        <v>959</v>
      </c>
      <c r="B308" t="s">
        <v>960</v>
      </c>
      <c r="C308" t="s">
        <v>961</v>
      </c>
      <c r="D308">
        <v>3.74</v>
      </c>
      <c r="E308">
        <v>8.01</v>
      </c>
      <c r="F308">
        <v>0</v>
      </c>
    </row>
    <row r="309" spans="1:6" x14ac:dyDescent="0.25">
      <c r="A309" s="172" t="s">
        <v>962</v>
      </c>
      <c r="B309" t="s">
        <v>963</v>
      </c>
      <c r="C309" t="s">
        <v>964</v>
      </c>
      <c r="D309">
        <v>28.95</v>
      </c>
      <c r="E309">
        <v>30</v>
      </c>
      <c r="F309">
        <v>0</v>
      </c>
    </row>
    <row r="310" spans="1:6" x14ac:dyDescent="0.25">
      <c r="A310" s="172" t="s">
        <v>965</v>
      </c>
      <c r="B310" t="s">
        <v>966</v>
      </c>
      <c r="C310" t="s">
        <v>967</v>
      </c>
      <c r="D310">
        <v>28.95</v>
      </c>
      <c r="E310">
        <v>30</v>
      </c>
      <c r="F310">
        <v>0</v>
      </c>
    </row>
    <row r="311" spans="1:6" x14ac:dyDescent="0.25">
      <c r="A311" s="172" t="s">
        <v>968</v>
      </c>
      <c r="B311" t="s">
        <v>969</v>
      </c>
      <c r="C311" t="s">
        <v>970</v>
      </c>
      <c r="D311">
        <v>28.95</v>
      </c>
      <c r="E311">
        <v>30</v>
      </c>
      <c r="F311">
        <v>0</v>
      </c>
    </row>
    <row r="312" spans="1:6" x14ac:dyDescent="0.25">
      <c r="A312" s="172" t="s">
        <v>971</v>
      </c>
      <c r="B312" t="s">
        <v>972</v>
      </c>
      <c r="C312" t="s">
        <v>973</v>
      </c>
      <c r="D312">
        <v>28.95</v>
      </c>
      <c r="E312">
        <v>30</v>
      </c>
      <c r="F312">
        <v>0</v>
      </c>
    </row>
    <row r="313" spans="1:6" x14ac:dyDescent="0.25">
      <c r="A313" s="172" t="s">
        <v>974</v>
      </c>
      <c r="B313" t="s">
        <v>975</v>
      </c>
      <c r="C313" t="s">
        <v>976</v>
      </c>
      <c r="D313">
        <v>28.95</v>
      </c>
      <c r="E313">
        <v>30</v>
      </c>
      <c r="F313">
        <v>0</v>
      </c>
    </row>
    <row r="314" spans="1:6" x14ac:dyDescent="0.25">
      <c r="A314" s="172" t="s">
        <v>977</v>
      </c>
      <c r="B314" t="s">
        <v>978</v>
      </c>
      <c r="C314" t="s">
        <v>979</v>
      </c>
      <c r="D314">
        <v>28.95</v>
      </c>
      <c r="E314">
        <v>30</v>
      </c>
      <c r="F314">
        <v>0</v>
      </c>
    </row>
    <row r="315" spans="1:6" x14ac:dyDescent="0.25">
      <c r="A315" s="172" t="s">
        <v>980</v>
      </c>
      <c r="B315" t="s">
        <v>981</v>
      </c>
      <c r="C315" t="s">
        <v>982</v>
      </c>
      <c r="D315">
        <v>28.95</v>
      </c>
      <c r="E315">
        <v>30</v>
      </c>
      <c r="F315">
        <v>0</v>
      </c>
    </row>
    <row r="316" spans="1:6" x14ac:dyDescent="0.25">
      <c r="A316" s="172" t="s">
        <v>983</v>
      </c>
      <c r="B316" t="s">
        <v>984</v>
      </c>
      <c r="C316" t="s">
        <v>985</v>
      </c>
      <c r="D316">
        <v>2.88</v>
      </c>
      <c r="E316">
        <v>6.4</v>
      </c>
      <c r="F316">
        <v>0</v>
      </c>
    </row>
    <row r="317" spans="1:6" x14ac:dyDescent="0.25">
      <c r="A317" s="172" t="s">
        <v>986</v>
      </c>
      <c r="B317" t="s">
        <v>987</v>
      </c>
      <c r="C317" t="s">
        <v>988</v>
      </c>
      <c r="D317">
        <v>4.81</v>
      </c>
      <c r="E317">
        <v>10.28</v>
      </c>
      <c r="F317">
        <v>0</v>
      </c>
    </row>
    <row r="318" spans="1:6" x14ac:dyDescent="0.25">
      <c r="A318" s="172" t="s">
        <v>989</v>
      </c>
      <c r="B318" t="s">
        <v>990</v>
      </c>
      <c r="C318" t="s">
        <v>991</v>
      </c>
      <c r="D318">
        <v>4.45</v>
      </c>
      <c r="E318">
        <v>9.76</v>
      </c>
      <c r="F318">
        <v>0</v>
      </c>
    </row>
    <row r="319" spans="1:6" x14ac:dyDescent="0.25">
      <c r="A319" s="172" t="s">
        <v>992</v>
      </c>
      <c r="B319" t="s">
        <v>993</v>
      </c>
      <c r="C319" t="s">
        <v>994</v>
      </c>
      <c r="D319">
        <v>3.55</v>
      </c>
      <c r="E319">
        <v>7.58</v>
      </c>
      <c r="F319">
        <v>0</v>
      </c>
    </row>
    <row r="320" spans="1:6" x14ac:dyDescent="0.25">
      <c r="A320" s="172" t="s">
        <v>995</v>
      </c>
      <c r="B320" t="s">
        <v>996</v>
      </c>
      <c r="C320" t="s">
        <v>997</v>
      </c>
      <c r="D320">
        <v>1.57</v>
      </c>
      <c r="E320">
        <v>4</v>
      </c>
      <c r="F320">
        <v>0</v>
      </c>
    </row>
    <row r="321" spans="1:6" x14ac:dyDescent="0.25">
      <c r="A321" s="172" t="s">
        <v>998</v>
      </c>
      <c r="B321" t="s">
        <v>999</v>
      </c>
      <c r="C321" t="s">
        <v>1000</v>
      </c>
      <c r="D321">
        <v>2.84</v>
      </c>
      <c r="E321">
        <v>6.22</v>
      </c>
      <c r="F321">
        <v>0</v>
      </c>
    </row>
    <row r="322" spans="1:6" x14ac:dyDescent="0.25">
      <c r="A322" s="172" t="s">
        <v>1001</v>
      </c>
      <c r="B322" t="s">
        <v>1002</v>
      </c>
      <c r="C322" t="s">
        <v>1003</v>
      </c>
      <c r="D322">
        <v>4.94</v>
      </c>
      <c r="E322">
        <v>10.91</v>
      </c>
      <c r="F322">
        <v>0</v>
      </c>
    </row>
    <row r="323" spans="1:6" x14ac:dyDescent="0.25">
      <c r="A323" s="172" t="s">
        <v>1004</v>
      </c>
      <c r="B323" t="s">
        <v>1005</v>
      </c>
      <c r="C323" t="s">
        <v>1006</v>
      </c>
      <c r="D323">
        <v>5.13</v>
      </c>
      <c r="E323">
        <v>11.08</v>
      </c>
      <c r="F323">
        <v>0</v>
      </c>
    </row>
    <row r="324" spans="1:6" x14ac:dyDescent="0.25">
      <c r="A324" s="172" t="s">
        <v>1007</v>
      </c>
      <c r="B324" t="s">
        <v>1008</v>
      </c>
      <c r="C324" t="s">
        <v>1009</v>
      </c>
      <c r="D324">
        <v>6.01</v>
      </c>
      <c r="E324">
        <v>13.29</v>
      </c>
      <c r="F324">
        <v>0</v>
      </c>
    </row>
    <row r="325" spans="1:6" x14ac:dyDescent="0.25">
      <c r="A325" s="172" t="s">
        <v>1010</v>
      </c>
      <c r="B325" t="s">
        <v>1011</v>
      </c>
      <c r="C325" t="s">
        <v>1012</v>
      </c>
      <c r="D325">
        <v>4.82</v>
      </c>
      <c r="E325">
        <v>10.41</v>
      </c>
      <c r="F325">
        <v>0</v>
      </c>
    </row>
    <row r="326" spans="1:6" x14ac:dyDescent="0.25">
      <c r="A326" s="172" t="s">
        <v>1013</v>
      </c>
      <c r="B326" t="s">
        <v>1014</v>
      </c>
      <c r="C326" t="s">
        <v>248</v>
      </c>
      <c r="D326">
        <v>6.94</v>
      </c>
      <c r="E326">
        <v>0</v>
      </c>
      <c r="F326">
        <v>0</v>
      </c>
    </row>
    <row r="327" spans="1:6" x14ac:dyDescent="0.25">
      <c r="A327" s="172" t="s">
        <v>1015</v>
      </c>
      <c r="B327" t="s">
        <v>1016</v>
      </c>
      <c r="C327" t="s">
        <v>1017</v>
      </c>
      <c r="D327">
        <v>5.13</v>
      </c>
      <c r="E327">
        <v>11.25</v>
      </c>
      <c r="F327">
        <v>0</v>
      </c>
    </row>
    <row r="328" spans="1:6" x14ac:dyDescent="0.25">
      <c r="A328" s="172" t="s">
        <v>1018</v>
      </c>
      <c r="B328" t="s">
        <v>1019</v>
      </c>
      <c r="C328" t="s">
        <v>1020</v>
      </c>
      <c r="D328">
        <v>4.5</v>
      </c>
      <c r="E328">
        <v>10.06</v>
      </c>
      <c r="F328">
        <v>0</v>
      </c>
    </row>
    <row r="329" spans="1:6" x14ac:dyDescent="0.25">
      <c r="A329" s="172" t="s">
        <v>1021</v>
      </c>
      <c r="B329" t="s">
        <v>1022</v>
      </c>
      <c r="C329" t="s">
        <v>1023</v>
      </c>
      <c r="D329">
        <v>4.94</v>
      </c>
      <c r="E329">
        <v>10.59</v>
      </c>
      <c r="F329">
        <v>0</v>
      </c>
    </row>
    <row r="330" spans="1:6" x14ac:dyDescent="0.25">
      <c r="A330" s="172" t="s">
        <v>1024</v>
      </c>
      <c r="B330" t="s">
        <v>1025</v>
      </c>
      <c r="C330" t="s">
        <v>1026</v>
      </c>
      <c r="D330">
        <v>5.18</v>
      </c>
      <c r="E330">
        <v>11.25</v>
      </c>
      <c r="F330">
        <v>0</v>
      </c>
    </row>
    <row r="331" spans="1:6" x14ac:dyDescent="0.25">
      <c r="A331" s="172" t="s">
        <v>1027</v>
      </c>
      <c r="B331" t="s">
        <v>1028</v>
      </c>
      <c r="C331" t="s">
        <v>1029</v>
      </c>
      <c r="D331">
        <v>5.43</v>
      </c>
      <c r="E331">
        <v>11.79</v>
      </c>
      <c r="F331">
        <v>0</v>
      </c>
    </row>
    <row r="332" spans="1:6" x14ac:dyDescent="0.25">
      <c r="A332" s="172" t="s">
        <v>1030</v>
      </c>
      <c r="B332" t="s">
        <v>1031</v>
      </c>
      <c r="C332" t="s">
        <v>1032</v>
      </c>
      <c r="D332">
        <v>4.21</v>
      </c>
      <c r="E332">
        <v>9.19</v>
      </c>
      <c r="F332">
        <v>0</v>
      </c>
    </row>
    <row r="333" spans="1:6" x14ac:dyDescent="0.25">
      <c r="A333" s="172" t="s">
        <v>1033</v>
      </c>
      <c r="B333" t="s">
        <v>1034</v>
      </c>
      <c r="C333" t="s">
        <v>1035</v>
      </c>
      <c r="D333">
        <v>4.83</v>
      </c>
      <c r="E333">
        <v>10.32</v>
      </c>
      <c r="F333">
        <v>0</v>
      </c>
    </row>
    <row r="334" spans="1:6" x14ac:dyDescent="0.25">
      <c r="A334" s="172" t="s">
        <v>1036</v>
      </c>
      <c r="B334" t="s">
        <v>1037</v>
      </c>
      <c r="C334" t="s">
        <v>1038</v>
      </c>
      <c r="D334">
        <v>5.6</v>
      </c>
      <c r="E334">
        <v>11.96</v>
      </c>
      <c r="F334">
        <v>0</v>
      </c>
    </row>
    <row r="335" spans="1:6" x14ac:dyDescent="0.25">
      <c r="A335" s="172" t="s">
        <v>1039</v>
      </c>
      <c r="B335" t="s">
        <v>1040</v>
      </c>
      <c r="C335" t="s">
        <v>1041</v>
      </c>
      <c r="D335">
        <v>5.29</v>
      </c>
      <c r="E335">
        <v>11.35</v>
      </c>
      <c r="F335">
        <v>0</v>
      </c>
    </row>
    <row r="336" spans="1:6" x14ac:dyDescent="0.25">
      <c r="A336" s="172" t="s">
        <v>1042</v>
      </c>
      <c r="B336" t="s">
        <v>1043</v>
      </c>
      <c r="C336" t="s">
        <v>1044</v>
      </c>
      <c r="D336">
        <v>5.38</v>
      </c>
      <c r="E336">
        <v>11.79</v>
      </c>
      <c r="F336">
        <v>0</v>
      </c>
    </row>
    <row r="337" spans="1:6" x14ac:dyDescent="0.25">
      <c r="A337" s="172" t="s">
        <v>1045</v>
      </c>
      <c r="B337" t="s">
        <v>1046</v>
      </c>
      <c r="C337" t="s">
        <v>1047</v>
      </c>
      <c r="D337">
        <v>4.98</v>
      </c>
      <c r="E337">
        <v>10.9</v>
      </c>
      <c r="F337">
        <v>0</v>
      </c>
    </row>
    <row r="338" spans="1:6" x14ac:dyDescent="0.25">
      <c r="A338" s="172" t="s">
        <v>1048</v>
      </c>
      <c r="B338" t="s">
        <v>1049</v>
      </c>
      <c r="C338" t="s">
        <v>1050</v>
      </c>
      <c r="D338">
        <v>4.89</v>
      </c>
      <c r="E338">
        <v>10.89</v>
      </c>
      <c r="F338">
        <v>0</v>
      </c>
    </row>
    <row r="339" spans="1:6" x14ac:dyDescent="0.25">
      <c r="A339" s="172" t="s">
        <v>1051</v>
      </c>
      <c r="B339" t="s">
        <v>1052</v>
      </c>
      <c r="C339" t="s">
        <v>1053</v>
      </c>
      <c r="D339">
        <v>5.05</v>
      </c>
      <c r="E339">
        <v>11.07</v>
      </c>
      <c r="F339">
        <v>0</v>
      </c>
    </row>
    <row r="340" spans="1:6" x14ac:dyDescent="0.25">
      <c r="A340" s="172" t="s">
        <v>1054</v>
      </c>
      <c r="B340" t="s">
        <v>1055</v>
      </c>
      <c r="C340" t="s">
        <v>1056</v>
      </c>
      <c r="D340">
        <v>5.13</v>
      </c>
      <c r="E340">
        <v>11.08</v>
      </c>
      <c r="F340">
        <v>0</v>
      </c>
    </row>
    <row r="341" spans="1:6" x14ac:dyDescent="0.25">
      <c r="A341" s="172" t="s">
        <v>1057</v>
      </c>
      <c r="B341" t="s">
        <v>1058</v>
      </c>
      <c r="C341" t="s">
        <v>1059</v>
      </c>
      <c r="D341">
        <v>5.98</v>
      </c>
      <c r="E341">
        <v>0</v>
      </c>
      <c r="F341">
        <v>0</v>
      </c>
    </row>
    <row r="342" spans="1:6" x14ac:dyDescent="0.25">
      <c r="A342" s="172" t="s">
        <v>1060</v>
      </c>
      <c r="B342" t="s">
        <v>1061</v>
      </c>
      <c r="C342" t="s">
        <v>1062</v>
      </c>
      <c r="D342">
        <v>4.04</v>
      </c>
      <c r="E342">
        <v>0</v>
      </c>
      <c r="F342">
        <v>0</v>
      </c>
    </row>
    <row r="343" spans="1:6" x14ac:dyDescent="0.25">
      <c r="A343" s="172" t="s">
        <v>1063</v>
      </c>
      <c r="B343" t="s">
        <v>1064</v>
      </c>
      <c r="C343" t="s">
        <v>1065</v>
      </c>
      <c r="D343">
        <v>3.43</v>
      </c>
      <c r="E343">
        <v>0</v>
      </c>
      <c r="F343">
        <v>0</v>
      </c>
    </row>
    <row r="344" spans="1:6" x14ac:dyDescent="0.25">
      <c r="A344" s="172" t="s">
        <v>1066</v>
      </c>
      <c r="B344" t="s">
        <v>1067</v>
      </c>
      <c r="C344" t="s">
        <v>1068</v>
      </c>
      <c r="D344">
        <v>2.99</v>
      </c>
      <c r="E344">
        <v>6.59</v>
      </c>
      <c r="F344">
        <v>0</v>
      </c>
    </row>
    <row r="345" spans="1:6" x14ac:dyDescent="0.25">
      <c r="A345" s="172" t="s">
        <v>1069</v>
      </c>
      <c r="B345" t="s">
        <v>1070</v>
      </c>
      <c r="C345" t="s">
        <v>1071</v>
      </c>
      <c r="D345">
        <v>2.99</v>
      </c>
      <c r="E345">
        <v>6.59</v>
      </c>
      <c r="F345">
        <v>0</v>
      </c>
    </row>
    <row r="346" spans="1:6" x14ac:dyDescent="0.25">
      <c r="A346" s="172" t="s">
        <v>1072</v>
      </c>
      <c r="B346" t="s">
        <v>1073</v>
      </c>
      <c r="C346" t="s">
        <v>1074</v>
      </c>
      <c r="D346">
        <v>6.07</v>
      </c>
      <c r="E346">
        <v>12.98</v>
      </c>
      <c r="F346">
        <v>0</v>
      </c>
    </row>
    <row r="347" spans="1:6" x14ac:dyDescent="0.25">
      <c r="A347" s="172" t="s">
        <v>1075</v>
      </c>
      <c r="B347" t="s">
        <v>1076</v>
      </c>
      <c r="C347" t="s">
        <v>1077</v>
      </c>
      <c r="D347">
        <v>6.42</v>
      </c>
      <c r="E347">
        <v>13.73</v>
      </c>
      <c r="F347">
        <v>0</v>
      </c>
    </row>
    <row r="348" spans="1:6" x14ac:dyDescent="0.25">
      <c r="A348" s="172" t="s">
        <v>1078</v>
      </c>
      <c r="B348" t="s">
        <v>1079</v>
      </c>
      <c r="C348" t="s">
        <v>1080</v>
      </c>
      <c r="D348">
        <v>6.36</v>
      </c>
      <c r="E348">
        <v>13.73</v>
      </c>
      <c r="F348">
        <v>0</v>
      </c>
    </row>
    <row r="349" spans="1:6" x14ac:dyDescent="0.25">
      <c r="A349" s="172" t="s">
        <v>1081</v>
      </c>
      <c r="B349" t="s">
        <v>1082</v>
      </c>
      <c r="C349" t="s">
        <v>1083</v>
      </c>
      <c r="D349">
        <v>7.81</v>
      </c>
      <c r="E349">
        <v>16.69</v>
      </c>
      <c r="F349">
        <v>0</v>
      </c>
    </row>
    <row r="350" spans="1:6" x14ac:dyDescent="0.25">
      <c r="A350" s="172" t="s">
        <v>1084</v>
      </c>
      <c r="B350" t="s">
        <v>1085</v>
      </c>
      <c r="C350" t="s">
        <v>1086</v>
      </c>
      <c r="D350">
        <v>5.98</v>
      </c>
      <c r="E350">
        <v>19.66</v>
      </c>
      <c r="F350">
        <v>0</v>
      </c>
    </row>
    <row r="351" spans="1:6" x14ac:dyDescent="0.25">
      <c r="A351" s="172" t="s">
        <v>1087</v>
      </c>
      <c r="B351" t="s">
        <v>1088</v>
      </c>
      <c r="C351" t="s">
        <v>1089</v>
      </c>
      <c r="D351">
        <v>8.33</v>
      </c>
      <c r="E351">
        <v>17.81</v>
      </c>
      <c r="F351">
        <v>0</v>
      </c>
    </row>
    <row r="352" spans="1:6" x14ac:dyDescent="0.25">
      <c r="A352" s="172" t="s">
        <v>1090</v>
      </c>
      <c r="B352" t="s">
        <v>1091</v>
      </c>
      <c r="C352" t="s">
        <v>1092</v>
      </c>
      <c r="D352">
        <v>9.33</v>
      </c>
      <c r="E352">
        <v>19.95</v>
      </c>
      <c r="F352">
        <v>0</v>
      </c>
    </row>
    <row r="353" spans="1:6" x14ac:dyDescent="0.25">
      <c r="A353" s="172" t="s">
        <v>1093</v>
      </c>
      <c r="B353" t="s">
        <v>1094</v>
      </c>
      <c r="C353" t="s">
        <v>1095</v>
      </c>
      <c r="D353">
        <v>9.33</v>
      </c>
      <c r="E353">
        <v>19.95</v>
      </c>
      <c r="F353">
        <v>0</v>
      </c>
    </row>
    <row r="354" spans="1:6" x14ac:dyDescent="0.25">
      <c r="A354" s="172" t="s">
        <v>1096</v>
      </c>
      <c r="B354" t="s">
        <v>1097</v>
      </c>
      <c r="C354" t="s">
        <v>1098</v>
      </c>
      <c r="D354">
        <v>9.33</v>
      </c>
      <c r="E354">
        <v>19.95</v>
      </c>
      <c r="F354">
        <v>0</v>
      </c>
    </row>
    <row r="355" spans="1:6" x14ac:dyDescent="0.25">
      <c r="A355" s="172" t="s">
        <v>1099</v>
      </c>
      <c r="B355" t="s">
        <v>1100</v>
      </c>
      <c r="C355" t="s">
        <v>1101</v>
      </c>
      <c r="D355">
        <v>7.49</v>
      </c>
      <c r="E355">
        <v>15.93</v>
      </c>
      <c r="F355">
        <v>0</v>
      </c>
    </row>
    <row r="356" spans="1:6" x14ac:dyDescent="0.25">
      <c r="A356" s="172" t="s">
        <v>1102</v>
      </c>
      <c r="B356" t="s">
        <v>1103</v>
      </c>
      <c r="C356" t="s">
        <v>1104</v>
      </c>
      <c r="D356">
        <v>4.76</v>
      </c>
      <c r="E356">
        <v>10.49</v>
      </c>
      <c r="F356">
        <v>0</v>
      </c>
    </row>
    <row r="357" spans="1:6" x14ac:dyDescent="0.25">
      <c r="A357" s="172" t="s">
        <v>1105</v>
      </c>
      <c r="B357" t="s">
        <v>1106</v>
      </c>
      <c r="C357" t="s">
        <v>1107</v>
      </c>
      <c r="D357">
        <v>7.56</v>
      </c>
      <c r="E357">
        <v>16.17</v>
      </c>
      <c r="F357">
        <v>0</v>
      </c>
    </row>
    <row r="358" spans="1:6" x14ac:dyDescent="0.25">
      <c r="A358" s="172" t="s">
        <v>1108</v>
      </c>
      <c r="B358" t="s">
        <v>1109</v>
      </c>
      <c r="C358" t="s">
        <v>1110</v>
      </c>
      <c r="D358">
        <v>11.5</v>
      </c>
      <c r="E358">
        <v>24.83</v>
      </c>
      <c r="F358">
        <v>0</v>
      </c>
    </row>
    <row r="359" spans="1:6" x14ac:dyDescent="0.25">
      <c r="A359" s="172" t="s">
        <v>1111</v>
      </c>
      <c r="B359" t="s">
        <v>1112</v>
      </c>
      <c r="C359" t="s">
        <v>1113</v>
      </c>
      <c r="D359">
        <v>11.5</v>
      </c>
      <c r="E359">
        <v>25.23</v>
      </c>
      <c r="F359">
        <v>0</v>
      </c>
    </row>
    <row r="360" spans="1:6" x14ac:dyDescent="0.25">
      <c r="A360" s="172" t="s">
        <v>1114</v>
      </c>
      <c r="B360" t="s">
        <v>1115</v>
      </c>
      <c r="C360" t="s">
        <v>1116</v>
      </c>
      <c r="D360">
        <v>10.74</v>
      </c>
      <c r="E360">
        <v>23.4</v>
      </c>
      <c r="F360">
        <v>0</v>
      </c>
    </row>
    <row r="361" spans="1:6" x14ac:dyDescent="0.25">
      <c r="A361" s="172" t="s">
        <v>1117</v>
      </c>
      <c r="B361" t="s">
        <v>1118</v>
      </c>
      <c r="C361" t="s">
        <v>1119</v>
      </c>
      <c r="D361">
        <v>10.01</v>
      </c>
      <c r="E361">
        <v>21.97</v>
      </c>
      <c r="F361">
        <v>0</v>
      </c>
    </row>
    <row r="362" spans="1:6" x14ac:dyDescent="0.25">
      <c r="A362" s="172" t="s">
        <v>1120</v>
      </c>
      <c r="B362" t="s">
        <v>1121</v>
      </c>
      <c r="C362" t="s">
        <v>1122</v>
      </c>
      <c r="D362">
        <v>11.88</v>
      </c>
      <c r="E362">
        <v>25.39</v>
      </c>
      <c r="F362">
        <v>0</v>
      </c>
    </row>
    <row r="363" spans="1:6" x14ac:dyDescent="0.25">
      <c r="A363" s="172" t="s">
        <v>1123</v>
      </c>
      <c r="B363" t="s">
        <v>1124</v>
      </c>
      <c r="C363" t="s">
        <v>1125</v>
      </c>
      <c r="D363">
        <v>11.25</v>
      </c>
      <c r="E363">
        <v>24.29</v>
      </c>
      <c r="F363">
        <v>0</v>
      </c>
    </row>
    <row r="364" spans="1:6" x14ac:dyDescent="0.25">
      <c r="A364" s="172" t="s">
        <v>1126</v>
      </c>
      <c r="B364" t="s">
        <v>1127</v>
      </c>
      <c r="C364" t="s">
        <v>1128</v>
      </c>
      <c r="D364">
        <v>12.93</v>
      </c>
      <c r="E364">
        <v>27.92</v>
      </c>
      <c r="F364">
        <v>0</v>
      </c>
    </row>
    <row r="365" spans="1:6" x14ac:dyDescent="0.25">
      <c r="A365" s="172" t="s">
        <v>1129</v>
      </c>
      <c r="B365" t="s">
        <v>1130</v>
      </c>
      <c r="C365" t="s">
        <v>1131</v>
      </c>
      <c r="D365">
        <v>13.26</v>
      </c>
      <c r="E365">
        <v>28.99</v>
      </c>
      <c r="F365">
        <v>0</v>
      </c>
    </row>
    <row r="366" spans="1:6" x14ac:dyDescent="0.25">
      <c r="A366" s="172" t="s">
        <v>1132</v>
      </c>
      <c r="B366" t="s">
        <v>1133</v>
      </c>
      <c r="C366" t="s">
        <v>1134</v>
      </c>
      <c r="D366">
        <v>13.37</v>
      </c>
      <c r="E366">
        <v>29.23</v>
      </c>
      <c r="F366">
        <v>0</v>
      </c>
    </row>
    <row r="367" spans="1:6" x14ac:dyDescent="0.25">
      <c r="A367" s="172" t="s">
        <v>1135</v>
      </c>
      <c r="B367" t="s">
        <v>1136</v>
      </c>
      <c r="C367" t="s">
        <v>1137</v>
      </c>
      <c r="D367">
        <v>12.47</v>
      </c>
      <c r="E367">
        <v>27.28</v>
      </c>
      <c r="F367">
        <v>0</v>
      </c>
    </row>
    <row r="368" spans="1:6" x14ac:dyDescent="0.25">
      <c r="A368" s="172" t="s">
        <v>1138</v>
      </c>
      <c r="B368" t="s">
        <v>1139</v>
      </c>
      <c r="C368" t="s">
        <v>1140</v>
      </c>
      <c r="D368">
        <v>12.25</v>
      </c>
      <c r="E368">
        <v>26.45</v>
      </c>
      <c r="F368">
        <v>0</v>
      </c>
    </row>
    <row r="369" spans="1:6" x14ac:dyDescent="0.25">
      <c r="A369" s="172" t="s">
        <v>1141</v>
      </c>
      <c r="B369" t="s">
        <v>1142</v>
      </c>
      <c r="C369" t="s">
        <v>1143</v>
      </c>
      <c r="D369">
        <v>12.25</v>
      </c>
      <c r="E369">
        <v>26.45</v>
      </c>
      <c r="F369">
        <v>0</v>
      </c>
    </row>
    <row r="370" spans="1:6" x14ac:dyDescent="0.25">
      <c r="A370" s="172" t="s">
        <v>1144</v>
      </c>
      <c r="B370" t="s">
        <v>1145</v>
      </c>
      <c r="C370" t="s">
        <v>1146</v>
      </c>
      <c r="D370">
        <v>4.5</v>
      </c>
      <c r="E370">
        <v>9.72</v>
      </c>
      <c r="F370">
        <v>0</v>
      </c>
    </row>
    <row r="371" spans="1:6" x14ac:dyDescent="0.25">
      <c r="A371" s="172" t="s">
        <v>1147</v>
      </c>
      <c r="B371" t="s">
        <v>1148</v>
      </c>
      <c r="C371" t="s">
        <v>1149</v>
      </c>
      <c r="D371">
        <v>4.25</v>
      </c>
      <c r="E371">
        <v>9.18</v>
      </c>
      <c r="F371">
        <v>0</v>
      </c>
    </row>
    <row r="372" spans="1:6" x14ac:dyDescent="0.25">
      <c r="A372" s="172" t="s">
        <v>1150</v>
      </c>
      <c r="B372" t="s">
        <v>1151</v>
      </c>
      <c r="C372" t="s">
        <v>1152</v>
      </c>
      <c r="D372">
        <v>4.25</v>
      </c>
      <c r="E372">
        <v>9.18</v>
      </c>
      <c r="F372">
        <v>0</v>
      </c>
    </row>
    <row r="373" spans="1:6" x14ac:dyDescent="0.25">
      <c r="A373" s="172" t="s">
        <v>1153</v>
      </c>
      <c r="B373" t="s">
        <v>1154</v>
      </c>
      <c r="C373" t="s">
        <v>1155</v>
      </c>
      <c r="D373">
        <v>4</v>
      </c>
      <c r="E373">
        <v>8.64</v>
      </c>
      <c r="F373">
        <v>0</v>
      </c>
    </row>
    <row r="374" spans="1:6" x14ac:dyDescent="0.25">
      <c r="A374" s="172" t="s">
        <v>1156</v>
      </c>
      <c r="B374" t="s">
        <v>1157</v>
      </c>
      <c r="C374" t="s">
        <v>1158</v>
      </c>
      <c r="D374">
        <v>4.13</v>
      </c>
      <c r="E374">
        <v>8.92</v>
      </c>
      <c r="F374">
        <v>0</v>
      </c>
    </row>
    <row r="375" spans="1:6" x14ac:dyDescent="0.25">
      <c r="A375" s="172" t="s">
        <v>1159</v>
      </c>
      <c r="B375" t="s">
        <v>1160</v>
      </c>
      <c r="C375" t="s">
        <v>1161</v>
      </c>
      <c r="D375">
        <v>3.94</v>
      </c>
      <c r="E375">
        <v>8.51</v>
      </c>
      <c r="F375">
        <v>0</v>
      </c>
    </row>
    <row r="376" spans="1:6" x14ac:dyDescent="0.25">
      <c r="A376" s="172" t="s">
        <v>1162</v>
      </c>
      <c r="B376" t="s">
        <v>1163</v>
      </c>
      <c r="C376" t="s">
        <v>1164</v>
      </c>
      <c r="D376">
        <v>4.5</v>
      </c>
      <c r="E376">
        <v>9.72</v>
      </c>
      <c r="F376">
        <v>0</v>
      </c>
    </row>
    <row r="377" spans="1:6" x14ac:dyDescent="0.25">
      <c r="A377" s="172" t="s">
        <v>1165</v>
      </c>
      <c r="B377" t="s">
        <v>1166</v>
      </c>
      <c r="C377" t="s">
        <v>1167</v>
      </c>
      <c r="D377">
        <v>1.62</v>
      </c>
      <c r="E377">
        <v>3.59</v>
      </c>
      <c r="F377">
        <v>0</v>
      </c>
    </row>
    <row r="378" spans="1:6" x14ac:dyDescent="0.25">
      <c r="A378" s="172" t="s">
        <v>1168</v>
      </c>
      <c r="B378" t="s">
        <v>1169</v>
      </c>
      <c r="C378" t="s">
        <v>1170</v>
      </c>
      <c r="D378">
        <v>1.49</v>
      </c>
      <c r="E378">
        <v>3.34</v>
      </c>
      <c r="F378">
        <v>0</v>
      </c>
    </row>
    <row r="379" spans="1:6" x14ac:dyDescent="0.25">
      <c r="A379" s="172" t="s">
        <v>1171</v>
      </c>
      <c r="B379" t="s">
        <v>1172</v>
      </c>
      <c r="C379" t="s">
        <v>1173</v>
      </c>
      <c r="D379">
        <v>1.49</v>
      </c>
      <c r="E379">
        <v>3.34</v>
      </c>
      <c r="F379">
        <v>0</v>
      </c>
    </row>
    <row r="380" spans="1:6" x14ac:dyDescent="0.25">
      <c r="A380" s="172" t="s">
        <v>1174</v>
      </c>
      <c r="B380" t="s">
        <v>1175</v>
      </c>
      <c r="C380" t="s">
        <v>1176</v>
      </c>
      <c r="D380">
        <v>1.37</v>
      </c>
      <c r="E380">
        <v>2.94</v>
      </c>
      <c r="F380">
        <v>0</v>
      </c>
    </row>
    <row r="381" spans="1:6" x14ac:dyDescent="0.25">
      <c r="A381" s="172" t="s">
        <v>1177</v>
      </c>
      <c r="B381" t="s">
        <v>1178</v>
      </c>
      <c r="C381" t="s">
        <v>1179</v>
      </c>
      <c r="D381">
        <v>1.62</v>
      </c>
      <c r="E381">
        <v>3.68</v>
      </c>
      <c r="F381">
        <v>0</v>
      </c>
    </row>
    <row r="382" spans="1:6" x14ac:dyDescent="0.25">
      <c r="A382" s="172" t="s">
        <v>1180</v>
      </c>
      <c r="B382" t="s">
        <v>1181</v>
      </c>
      <c r="C382" t="s">
        <v>1182</v>
      </c>
      <c r="D382">
        <v>1.62</v>
      </c>
      <c r="E382">
        <v>3.5</v>
      </c>
      <c r="F382">
        <v>0</v>
      </c>
    </row>
    <row r="383" spans="1:6" x14ac:dyDescent="0.25">
      <c r="A383" s="172" t="s">
        <v>1183</v>
      </c>
      <c r="B383" t="s">
        <v>1184</v>
      </c>
      <c r="C383" t="s">
        <v>1185</v>
      </c>
      <c r="D383">
        <v>2.76</v>
      </c>
      <c r="E383">
        <v>5.96</v>
      </c>
      <c r="F383">
        <v>0</v>
      </c>
    </row>
    <row r="384" spans="1:6" x14ac:dyDescent="0.25">
      <c r="A384" s="172" t="s">
        <v>1186</v>
      </c>
      <c r="B384" t="s">
        <v>1187</v>
      </c>
      <c r="C384" t="s">
        <v>1188</v>
      </c>
      <c r="D384">
        <v>2.72</v>
      </c>
      <c r="E384">
        <v>5.96</v>
      </c>
      <c r="F384">
        <v>0</v>
      </c>
    </row>
    <row r="385" spans="1:6" x14ac:dyDescent="0.25">
      <c r="A385" s="172" t="s">
        <v>1189</v>
      </c>
      <c r="B385" t="s">
        <v>1190</v>
      </c>
      <c r="C385" t="s">
        <v>1191</v>
      </c>
      <c r="D385">
        <v>2.76</v>
      </c>
      <c r="E385">
        <v>5.96</v>
      </c>
      <c r="F385">
        <v>0</v>
      </c>
    </row>
    <row r="386" spans="1:6" x14ac:dyDescent="0.25">
      <c r="A386" s="172" t="s">
        <v>1192</v>
      </c>
      <c r="B386" t="s">
        <v>1193</v>
      </c>
      <c r="C386" t="s">
        <v>1194</v>
      </c>
      <c r="D386">
        <v>4.41</v>
      </c>
      <c r="E386">
        <v>9.43</v>
      </c>
      <c r="F386">
        <v>0</v>
      </c>
    </row>
    <row r="387" spans="1:6" x14ac:dyDescent="0.25">
      <c r="A387" s="172" t="s">
        <v>1195</v>
      </c>
      <c r="B387" t="s">
        <v>1196</v>
      </c>
      <c r="C387" t="s">
        <v>1197</v>
      </c>
      <c r="D387">
        <v>3.28</v>
      </c>
      <c r="E387">
        <v>7.02</v>
      </c>
      <c r="F387">
        <v>0</v>
      </c>
    </row>
    <row r="388" spans="1:6" x14ac:dyDescent="0.25">
      <c r="A388" s="172" t="s">
        <v>1198</v>
      </c>
      <c r="B388" t="s">
        <v>1199</v>
      </c>
      <c r="C388" t="s">
        <v>1200</v>
      </c>
      <c r="D388">
        <v>4.45</v>
      </c>
      <c r="E388">
        <v>7.06</v>
      </c>
      <c r="F388">
        <v>0</v>
      </c>
    </row>
    <row r="389" spans="1:6" x14ac:dyDescent="0.25">
      <c r="A389" s="172" t="s">
        <v>1201</v>
      </c>
      <c r="B389" t="s">
        <v>1202</v>
      </c>
      <c r="C389" t="s">
        <v>1203</v>
      </c>
      <c r="D389">
        <v>5.88</v>
      </c>
      <c r="E389">
        <v>12.7</v>
      </c>
      <c r="F389">
        <v>0</v>
      </c>
    </row>
    <row r="390" spans="1:6" x14ac:dyDescent="0.25">
      <c r="A390" s="172" t="s">
        <v>1204</v>
      </c>
      <c r="B390" t="s">
        <v>1205</v>
      </c>
      <c r="C390" t="s">
        <v>1206</v>
      </c>
      <c r="D390">
        <v>5.18</v>
      </c>
      <c r="E390">
        <v>11.08</v>
      </c>
      <c r="F390">
        <v>0</v>
      </c>
    </row>
    <row r="391" spans="1:6" x14ac:dyDescent="0.25">
      <c r="A391" s="172" t="s">
        <v>1207</v>
      </c>
      <c r="B391" t="s">
        <v>1208</v>
      </c>
      <c r="C391" t="s">
        <v>1209</v>
      </c>
      <c r="D391">
        <v>3</v>
      </c>
      <c r="E391">
        <v>0</v>
      </c>
      <c r="F391">
        <v>0</v>
      </c>
    </row>
    <row r="392" spans="1:6" x14ac:dyDescent="0.25">
      <c r="A392" s="172" t="s">
        <v>1210</v>
      </c>
      <c r="B392" t="s">
        <v>1211</v>
      </c>
      <c r="C392" t="s">
        <v>248</v>
      </c>
      <c r="D392">
        <v>2.74</v>
      </c>
      <c r="E392">
        <v>0</v>
      </c>
      <c r="F392">
        <v>0</v>
      </c>
    </row>
    <row r="393" spans="1:6" x14ac:dyDescent="0.25">
      <c r="A393" s="172" t="s">
        <v>1212</v>
      </c>
      <c r="B393" t="s">
        <v>1213</v>
      </c>
      <c r="C393" t="s">
        <v>1214</v>
      </c>
      <c r="D393">
        <v>1.45</v>
      </c>
      <c r="E393">
        <v>3.13</v>
      </c>
      <c r="F393">
        <v>0</v>
      </c>
    </row>
    <row r="394" spans="1:6" x14ac:dyDescent="0.25">
      <c r="A394" s="172" t="s">
        <v>1215</v>
      </c>
      <c r="B394" t="s">
        <v>1216</v>
      </c>
      <c r="C394" t="s">
        <v>1217</v>
      </c>
      <c r="D394">
        <v>4.74</v>
      </c>
      <c r="E394">
        <v>10.23</v>
      </c>
      <c r="F394">
        <v>0</v>
      </c>
    </row>
    <row r="395" spans="1:6" x14ac:dyDescent="0.25">
      <c r="A395" s="172" t="s">
        <v>1218</v>
      </c>
      <c r="B395" t="s">
        <v>1219</v>
      </c>
      <c r="C395" t="s">
        <v>1220</v>
      </c>
      <c r="D395">
        <v>4.79</v>
      </c>
      <c r="E395">
        <v>10.23</v>
      </c>
      <c r="F395">
        <v>0</v>
      </c>
    </row>
    <row r="396" spans="1:6" x14ac:dyDescent="0.25">
      <c r="A396" s="172" t="s">
        <v>1221</v>
      </c>
      <c r="B396" t="s">
        <v>1222</v>
      </c>
      <c r="C396" t="s">
        <v>1223</v>
      </c>
      <c r="D396">
        <v>3.48</v>
      </c>
      <c r="E396">
        <v>10.23</v>
      </c>
      <c r="F396">
        <v>0</v>
      </c>
    </row>
    <row r="397" spans="1:6" x14ac:dyDescent="0.25">
      <c r="A397" s="172" t="s">
        <v>1224</v>
      </c>
      <c r="B397" t="s">
        <v>1225</v>
      </c>
      <c r="C397" t="s">
        <v>1226</v>
      </c>
      <c r="D397">
        <v>4.97</v>
      </c>
      <c r="E397">
        <v>10.23</v>
      </c>
      <c r="F397">
        <v>0</v>
      </c>
    </row>
    <row r="398" spans="1:6" x14ac:dyDescent="0.25">
      <c r="A398" s="172" t="s">
        <v>1227</v>
      </c>
      <c r="B398" t="s">
        <v>1228</v>
      </c>
      <c r="C398" t="s">
        <v>248</v>
      </c>
      <c r="D398">
        <v>5.02</v>
      </c>
      <c r="E398">
        <v>0</v>
      </c>
      <c r="F398">
        <v>0</v>
      </c>
    </row>
    <row r="399" spans="1:6" x14ac:dyDescent="0.25">
      <c r="A399" s="172" t="s">
        <v>1229</v>
      </c>
      <c r="B399" t="s">
        <v>1230</v>
      </c>
      <c r="C399" t="s">
        <v>1231</v>
      </c>
      <c r="D399">
        <v>3.77</v>
      </c>
      <c r="E399">
        <v>8.1</v>
      </c>
      <c r="F399">
        <v>0</v>
      </c>
    </row>
    <row r="400" spans="1:6" x14ac:dyDescent="0.25">
      <c r="A400" s="172" t="s">
        <v>1232</v>
      </c>
      <c r="B400" t="s">
        <v>1233</v>
      </c>
      <c r="C400" t="s">
        <v>1234</v>
      </c>
      <c r="D400">
        <v>4.49</v>
      </c>
      <c r="E400">
        <v>9.69</v>
      </c>
      <c r="F400">
        <v>0</v>
      </c>
    </row>
    <row r="401" spans="1:6" x14ac:dyDescent="0.25">
      <c r="A401" s="172" t="s">
        <v>1235</v>
      </c>
      <c r="B401" t="s">
        <v>1236</v>
      </c>
      <c r="C401" t="s">
        <v>1237</v>
      </c>
      <c r="D401">
        <v>4.53</v>
      </c>
      <c r="E401">
        <v>9.69</v>
      </c>
      <c r="F401">
        <v>0</v>
      </c>
    </row>
    <row r="402" spans="1:6" x14ac:dyDescent="0.25">
      <c r="A402" s="172" t="s">
        <v>1238</v>
      </c>
      <c r="B402" t="s">
        <v>1239</v>
      </c>
      <c r="C402" t="s">
        <v>1240</v>
      </c>
      <c r="D402">
        <v>4.79</v>
      </c>
      <c r="E402">
        <v>10.23</v>
      </c>
      <c r="F402">
        <v>0</v>
      </c>
    </row>
    <row r="403" spans="1:6" x14ac:dyDescent="0.25">
      <c r="A403" s="172" t="s">
        <v>1241</v>
      </c>
      <c r="B403" t="s">
        <v>1242</v>
      </c>
      <c r="C403" t="s">
        <v>1243</v>
      </c>
      <c r="D403">
        <v>4.79</v>
      </c>
      <c r="E403">
        <v>10.23</v>
      </c>
      <c r="F403">
        <v>0</v>
      </c>
    </row>
    <row r="404" spans="1:6" x14ac:dyDescent="0.25">
      <c r="A404" s="172" t="s">
        <v>1244</v>
      </c>
      <c r="B404" t="s">
        <v>1245</v>
      </c>
      <c r="C404" t="s">
        <v>1246</v>
      </c>
      <c r="D404">
        <v>4.79</v>
      </c>
      <c r="E404">
        <v>10.23</v>
      </c>
      <c r="F404">
        <v>0</v>
      </c>
    </row>
    <row r="405" spans="1:6" x14ac:dyDescent="0.25">
      <c r="A405" s="172" t="s">
        <v>1247</v>
      </c>
      <c r="B405" t="s">
        <v>1248</v>
      </c>
      <c r="C405" t="s">
        <v>1249</v>
      </c>
      <c r="D405">
        <v>4.74</v>
      </c>
      <c r="E405">
        <v>10.23</v>
      </c>
      <c r="F405">
        <v>0</v>
      </c>
    </row>
    <row r="406" spans="1:6" x14ac:dyDescent="0.25">
      <c r="A406" s="172" t="s">
        <v>1250</v>
      </c>
      <c r="B406" t="s">
        <v>1251</v>
      </c>
      <c r="C406" t="s">
        <v>1252</v>
      </c>
      <c r="D406">
        <v>4.79</v>
      </c>
      <c r="E406">
        <v>10.23</v>
      </c>
      <c r="F406">
        <v>0</v>
      </c>
    </row>
    <row r="407" spans="1:6" x14ac:dyDescent="0.25">
      <c r="A407" s="172" t="s">
        <v>1253</v>
      </c>
      <c r="B407" t="s">
        <v>1254</v>
      </c>
      <c r="C407" t="s">
        <v>1255</v>
      </c>
      <c r="D407">
        <v>4.79</v>
      </c>
      <c r="E407">
        <v>10.23</v>
      </c>
      <c r="F407">
        <v>0</v>
      </c>
    </row>
    <row r="408" spans="1:6" x14ac:dyDescent="0.25">
      <c r="A408" s="172" t="s">
        <v>1256</v>
      </c>
      <c r="B408" t="s">
        <v>1257</v>
      </c>
      <c r="C408" t="s">
        <v>1258</v>
      </c>
      <c r="D408">
        <v>4.79</v>
      </c>
      <c r="E408">
        <v>10.23</v>
      </c>
      <c r="F408">
        <v>0</v>
      </c>
    </row>
    <row r="409" spans="1:6" x14ac:dyDescent="0.25">
      <c r="A409" s="172" t="s">
        <v>1259</v>
      </c>
      <c r="B409" t="s">
        <v>1260</v>
      </c>
      <c r="C409" t="s">
        <v>1261</v>
      </c>
      <c r="D409">
        <v>4.74</v>
      </c>
      <c r="E409">
        <v>10.23</v>
      </c>
      <c r="F409">
        <v>0</v>
      </c>
    </row>
    <row r="410" spans="1:6" x14ac:dyDescent="0.25">
      <c r="A410" s="172" t="s">
        <v>1262</v>
      </c>
      <c r="B410" t="s">
        <v>1263</v>
      </c>
      <c r="C410" t="s">
        <v>1264</v>
      </c>
      <c r="D410">
        <v>4.79</v>
      </c>
      <c r="E410">
        <v>10.23</v>
      </c>
      <c r="F410">
        <v>0</v>
      </c>
    </row>
    <row r="411" spans="1:6" x14ac:dyDescent="0.25">
      <c r="A411" s="172" t="s">
        <v>1265</v>
      </c>
      <c r="B411" t="s">
        <v>1266</v>
      </c>
      <c r="C411" t="s">
        <v>1267</v>
      </c>
      <c r="D411">
        <v>4.74</v>
      </c>
      <c r="E411">
        <v>10.23</v>
      </c>
      <c r="F411">
        <v>0</v>
      </c>
    </row>
    <row r="412" spans="1:6" x14ac:dyDescent="0.25">
      <c r="A412" s="172" t="s">
        <v>1268</v>
      </c>
      <c r="B412" t="s">
        <v>1269</v>
      </c>
      <c r="C412" t="s">
        <v>1270</v>
      </c>
      <c r="D412">
        <v>4.74</v>
      </c>
      <c r="E412">
        <v>0</v>
      </c>
      <c r="F412">
        <v>0</v>
      </c>
    </row>
    <row r="413" spans="1:6" x14ac:dyDescent="0.25">
      <c r="A413" s="172" t="s">
        <v>1271</v>
      </c>
      <c r="B413" t="s">
        <v>1272</v>
      </c>
      <c r="C413" t="s">
        <v>1273</v>
      </c>
      <c r="D413">
        <v>3.27</v>
      </c>
      <c r="E413">
        <v>7</v>
      </c>
      <c r="F413">
        <v>0</v>
      </c>
    </row>
    <row r="414" spans="1:6" x14ac:dyDescent="0.25">
      <c r="A414" s="172" t="s">
        <v>1274</v>
      </c>
      <c r="B414" t="s">
        <v>1275</v>
      </c>
      <c r="C414" t="s">
        <v>1276</v>
      </c>
      <c r="D414">
        <v>3.27</v>
      </c>
      <c r="E414">
        <v>7</v>
      </c>
      <c r="F414">
        <v>0</v>
      </c>
    </row>
    <row r="415" spans="1:6" x14ac:dyDescent="0.25">
      <c r="A415" s="172" t="s">
        <v>1277</v>
      </c>
      <c r="B415" t="s">
        <v>1278</v>
      </c>
      <c r="C415" t="s">
        <v>1279</v>
      </c>
      <c r="D415">
        <v>3.27</v>
      </c>
      <c r="E415">
        <v>7</v>
      </c>
      <c r="F415">
        <v>0</v>
      </c>
    </row>
    <row r="416" spans="1:6" x14ac:dyDescent="0.25">
      <c r="A416" s="172" t="s">
        <v>1280</v>
      </c>
      <c r="B416" t="s">
        <v>1281</v>
      </c>
      <c r="C416" t="s">
        <v>1282</v>
      </c>
      <c r="D416">
        <v>3.8</v>
      </c>
      <c r="E416">
        <v>0</v>
      </c>
      <c r="F416">
        <v>0</v>
      </c>
    </row>
    <row r="417" spans="1:6" x14ac:dyDescent="0.25">
      <c r="A417" s="172" t="s">
        <v>1283</v>
      </c>
      <c r="B417" t="s">
        <v>1284</v>
      </c>
      <c r="C417" t="s">
        <v>1285</v>
      </c>
      <c r="D417">
        <v>3.8</v>
      </c>
      <c r="E417">
        <v>0</v>
      </c>
      <c r="F417">
        <v>0</v>
      </c>
    </row>
    <row r="418" spans="1:6" x14ac:dyDescent="0.25">
      <c r="A418" s="172" t="s">
        <v>1286</v>
      </c>
      <c r="B418" t="s">
        <v>1287</v>
      </c>
      <c r="C418" t="s">
        <v>1288</v>
      </c>
      <c r="D418">
        <v>3.8</v>
      </c>
      <c r="E418">
        <v>0</v>
      </c>
      <c r="F418">
        <v>0</v>
      </c>
    </row>
    <row r="419" spans="1:6" x14ac:dyDescent="0.25">
      <c r="A419" s="172" t="s">
        <v>1289</v>
      </c>
      <c r="B419" t="s">
        <v>1290</v>
      </c>
      <c r="C419" t="s">
        <v>1291</v>
      </c>
      <c r="D419">
        <v>3.8</v>
      </c>
      <c r="E419">
        <v>0</v>
      </c>
      <c r="F419">
        <v>0</v>
      </c>
    </row>
    <row r="420" spans="1:6" x14ac:dyDescent="0.25">
      <c r="A420" s="172" t="s">
        <v>1292</v>
      </c>
      <c r="B420" t="s">
        <v>1293</v>
      </c>
      <c r="C420" t="s">
        <v>1294</v>
      </c>
      <c r="D420">
        <v>3.27</v>
      </c>
      <c r="E420">
        <v>7</v>
      </c>
      <c r="F420">
        <v>0</v>
      </c>
    </row>
    <row r="421" spans="1:6" x14ac:dyDescent="0.25">
      <c r="A421" s="172" t="s">
        <v>1295</v>
      </c>
      <c r="B421" t="s">
        <v>1296</v>
      </c>
      <c r="C421" t="s">
        <v>1297</v>
      </c>
      <c r="D421">
        <v>3.3</v>
      </c>
      <c r="E421">
        <v>7</v>
      </c>
      <c r="F421">
        <v>0</v>
      </c>
    </row>
    <row r="422" spans="1:6" x14ac:dyDescent="0.25">
      <c r="A422" s="172" t="s">
        <v>1298</v>
      </c>
      <c r="B422" t="s">
        <v>1299</v>
      </c>
      <c r="C422" t="s">
        <v>1300</v>
      </c>
      <c r="D422">
        <v>3.27</v>
      </c>
      <c r="E422">
        <v>7</v>
      </c>
      <c r="F422">
        <v>0</v>
      </c>
    </row>
    <row r="423" spans="1:6" x14ac:dyDescent="0.25">
      <c r="A423" s="172" t="s">
        <v>1301</v>
      </c>
      <c r="B423" t="s">
        <v>1302</v>
      </c>
      <c r="C423" t="s">
        <v>1303</v>
      </c>
      <c r="D423">
        <v>3.27</v>
      </c>
      <c r="E423">
        <v>7</v>
      </c>
      <c r="F423">
        <v>0</v>
      </c>
    </row>
    <row r="424" spans="1:6" x14ac:dyDescent="0.25">
      <c r="A424" s="172" t="s">
        <v>1304</v>
      </c>
      <c r="B424" t="s">
        <v>1305</v>
      </c>
      <c r="C424" t="s">
        <v>1306</v>
      </c>
      <c r="D424">
        <v>3.3</v>
      </c>
      <c r="E424">
        <v>7</v>
      </c>
      <c r="F424">
        <v>0</v>
      </c>
    </row>
    <row r="425" spans="1:6" x14ac:dyDescent="0.25">
      <c r="A425" s="172" t="s">
        <v>1307</v>
      </c>
      <c r="B425" t="s">
        <v>1308</v>
      </c>
      <c r="C425" t="s">
        <v>1309</v>
      </c>
      <c r="D425">
        <v>4.03</v>
      </c>
      <c r="E425">
        <v>8.61</v>
      </c>
      <c r="F425">
        <v>0</v>
      </c>
    </row>
    <row r="426" spans="1:6" x14ac:dyDescent="0.25">
      <c r="A426" s="172" t="s">
        <v>1310</v>
      </c>
      <c r="B426" t="s">
        <v>1311</v>
      </c>
      <c r="C426" t="s">
        <v>1312</v>
      </c>
      <c r="D426">
        <v>4.03</v>
      </c>
      <c r="E426">
        <v>8.7</v>
      </c>
      <c r="F426">
        <v>0</v>
      </c>
    </row>
    <row r="427" spans="1:6" x14ac:dyDescent="0.25">
      <c r="A427" s="172" t="s">
        <v>1313</v>
      </c>
      <c r="B427" t="s">
        <v>1314</v>
      </c>
      <c r="C427" t="s">
        <v>1315</v>
      </c>
      <c r="D427">
        <v>4.07</v>
      </c>
      <c r="E427">
        <v>8.7</v>
      </c>
      <c r="F427">
        <v>0</v>
      </c>
    </row>
    <row r="428" spans="1:6" x14ac:dyDescent="0.25">
      <c r="A428" s="172" t="s">
        <v>1316</v>
      </c>
      <c r="B428" t="s">
        <v>1317</v>
      </c>
      <c r="C428" t="s">
        <v>1318</v>
      </c>
      <c r="D428">
        <v>3.97</v>
      </c>
      <c r="E428">
        <v>8.7</v>
      </c>
      <c r="F428">
        <v>0</v>
      </c>
    </row>
    <row r="429" spans="1:6" x14ac:dyDescent="0.25">
      <c r="A429" s="172" t="s">
        <v>1319</v>
      </c>
      <c r="B429" t="s">
        <v>1320</v>
      </c>
      <c r="C429" t="s">
        <v>1321</v>
      </c>
      <c r="D429">
        <v>5.81</v>
      </c>
      <c r="E429">
        <v>10.56</v>
      </c>
      <c r="F429">
        <v>0</v>
      </c>
    </row>
    <row r="430" spans="1:6" x14ac:dyDescent="0.25">
      <c r="A430" s="172" t="s">
        <v>1322</v>
      </c>
      <c r="B430" t="s">
        <v>1323</v>
      </c>
      <c r="C430" t="s">
        <v>1324</v>
      </c>
      <c r="D430">
        <v>5.81</v>
      </c>
      <c r="E430">
        <v>10.56</v>
      </c>
      <c r="F430">
        <v>0</v>
      </c>
    </row>
    <row r="431" spans="1:6" x14ac:dyDescent="0.25">
      <c r="A431" s="172" t="s">
        <v>1325</v>
      </c>
      <c r="B431" t="s">
        <v>1326</v>
      </c>
      <c r="C431" t="s">
        <v>1327</v>
      </c>
      <c r="D431">
        <v>5.75</v>
      </c>
      <c r="E431">
        <v>10.56</v>
      </c>
      <c r="F431">
        <v>0</v>
      </c>
    </row>
    <row r="432" spans="1:6" x14ac:dyDescent="0.25">
      <c r="A432" s="172" t="s">
        <v>1328</v>
      </c>
      <c r="B432" t="s">
        <v>1329</v>
      </c>
      <c r="C432" t="s">
        <v>1330</v>
      </c>
      <c r="D432">
        <v>6.14</v>
      </c>
      <c r="E432">
        <v>13.26</v>
      </c>
      <c r="F432">
        <v>0</v>
      </c>
    </row>
    <row r="433" spans="1:6" x14ac:dyDescent="0.25">
      <c r="A433" s="172" t="s">
        <v>1331</v>
      </c>
      <c r="B433" t="s">
        <v>1332</v>
      </c>
      <c r="C433" t="s">
        <v>1333</v>
      </c>
      <c r="D433">
        <v>6.14</v>
      </c>
      <c r="E433">
        <v>13.26</v>
      </c>
      <c r="F433">
        <v>0</v>
      </c>
    </row>
    <row r="434" spans="1:6" x14ac:dyDescent="0.25">
      <c r="A434" s="172" t="s">
        <v>1334</v>
      </c>
      <c r="B434" t="s">
        <v>1335</v>
      </c>
      <c r="C434" t="s">
        <v>1336</v>
      </c>
      <c r="D434">
        <v>6.14</v>
      </c>
      <c r="E434">
        <v>13.26</v>
      </c>
      <c r="F434">
        <v>0</v>
      </c>
    </row>
    <row r="435" spans="1:6" x14ac:dyDescent="0.25">
      <c r="A435" s="172" t="s">
        <v>1337</v>
      </c>
      <c r="B435" t="s">
        <v>1338</v>
      </c>
      <c r="C435" t="s">
        <v>1339</v>
      </c>
      <c r="D435">
        <v>4.72</v>
      </c>
      <c r="E435">
        <v>10.08</v>
      </c>
      <c r="F435">
        <v>0</v>
      </c>
    </row>
    <row r="436" spans="1:6" x14ac:dyDescent="0.25">
      <c r="A436" s="172" t="s">
        <v>1340</v>
      </c>
      <c r="B436" t="s">
        <v>1341</v>
      </c>
      <c r="C436" t="s">
        <v>1342</v>
      </c>
      <c r="D436">
        <v>6.28</v>
      </c>
      <c r="E436">
        <v>13.43</v>
      </c>
      <c r="F436">
        <v>0</v>
      </c>
    </row>
    <row r="437" spans="1:6" x14ac:dyDescent="0.25">
      <c r="A437" s="172" t="s">
        <v>1343</v>
      </c>
      <c r="B437" t="s">
        <v>1344</v>
      </c>
      <c r="C437" t="s">
        <v>1345</v>
      </c>
      <c r="D437">
        <v>5.14</v>
      </c>
      <c r="E437">
        <v>10.99</v>
      </c>
      <c r="F437">
        <v>0</v>
      </c>
    </row>
    <row r="438" spans="1:6" x14ac:dyDescent="0.25">
      <c r="A438" s="172" t="s">
        <v>1346</v>
      </c>
      <c r="B438" t="s">
        <v>1347</v>
      </c>
      <c r="C438" t="s">
        <v>1348</v>
      </c>
      <c r="D438">
        <v>3.79</v>
      </c>
      <c r="E438">
        <v>8.1</v>
      </c>
      <c r="F438">
        <v>0</v>
      </c>
    </row>
    <row r="439" spans="1:6" x14ac:dyDescent="0.25">
      <c r="A439" s="172" t="s">
        <v>1349</v>
      </c>
      <c r="B439" t="s">
        <v>1350</v>
      </c>
      <c r="C439" t="s">
        <v>1351</v>
      </c>
      <c r="D439">
        <v>3.79</v>
      </c>
      <c r="E439">
        <v>8.1</v>
      </c>
      <c r="F439">
        <v>0</v>
      </c>
    </row>
    <row r="440" spans="1:6" x14ac:dyDescent="0.25">
      <c r="A440" s="172" t="s">
        <v>1352</v>
      </c>
      <c r="B440" t="s">
        <v>1353</v>
      </c>
      <c r="C440" t="s">
        <v>1354</v>
      </c>
      <c r="D440">
        <v>3.79</v>
      </c>
      <c r="E440">
        <v>8.1</v>
      </c>
      <c r="F440">
        <v>0</v>
      </c>
    </row>
    <row r="441" spans="1:6" x14ac:dyDescent="0.25">
      <c r="A441" s="172" t="s">
        <v>1355</v>
      </c>
      <c r="B441" t="s">
        <v>1356</v>
      </c>
      <c r="C441" t="s">
        <v>1357</v>
      </c>
      <c r="D441">
        <v>5.79</v>
      </c>
      <c r="E441">
        <v>12.37</v>
      </c>
      <c r="F441">
        <v>0</v>
      </c>
    </row>
    <row r="442" spans="1:6" x14ac:dyDescent="0.25">
      <c r="A442" s="172" t="s">
        <v>1358</v>
      </c>
      <c r="B442" t="s">
        <v>1359</v>
      </c>
      <c r="C442" t="s">
        <v>1360</v>
      </c>
      <c r="D442">
        <v>5.73</v>
      </c>
      <c r="E442">
        <v>12.37</v>
      </c>
      <c r="F442">
        <v>0</v>
      </c>
    </row>
    <row r="443" spans="1:6" x14ac:dyDescent="0.25">
      <c r="A443" s="172" t="s">
        <v>1361</v>
      </c>
      <c r="B443" t="s">
        <v>1362</v>
      </c>
      <c r="C443" t="s">
        <v>1363</v>
      </c>
      <c r="D443">
        <v>5.79</v>
      </c>
      <c r="E443">
        <v>12.37</v>
      </c>
      <c r="F443">
        <v>0</v>
      </c>
    </row>
    <row r="444" spans="1:6" x14ac:dyDescent="0.25">
      <c r="A444" s="172" t="s">
        <v>1364</v>
      </c>
      <c r="B444" t="s">
        <v>1365</v>
      </c>
      <c r="C444" t="s">
        <v>1366</v>
      </c>
      <c r="D444">
        <v>5.79</v>
      </c>
      <c r="E444">
        <v>12.37</v>
      </c>
      <c r="F444">
        <v>0</v>
      </c>
    </row>
    <row r="445" spans="1:6" x14ac:dyDescent="0.25">
      <c r="A445" s="172" t="s">
        <v>1367</v>
      </c>
      <c r="B445" t="s">
        <v>1368</v>
      </c>
      <c r="C445" t="s">
        <v>1369</v>
      </c>
      <c r="D445">
        <v>5.79</v>
      </c>
      <c r="E445">
        <v>12.37</v>
      </c>
      <c r="F445">
        <v>0</v>
      </c>
    </row>
    <row r="446" spans="1:6" x14ac:dyDescent="0.25">
      <c r="A446" s="172" t="s">
        <v>1370</v>
      </c>
      <c r="B446" t="s">
        <v>1371</v>
      </c>
      <c r="C446" t="s">
        <v>1372</v>
      </c>
      <c r="D446">
        <v>5.73</v>
      </c>
      <c r="E446">
        <v>12.37</v>
      </c>
      <c r="F446">
        <v>0</v>
      </c>
    </row>
    <row r="447" spans="1:6" x14ac:dyDescent="0.25">
      <c r="A447" s="172" t="s">
        <v>1373</v>
      </c>
      <c r="B447" t="s">
        <v>1374</v>
      </c>
      <c r="C447" t="s">
        <v>1375</v>
      </c>
      <c r="D447">
        <v>5.79</v>
      </c>
      <c r="E447">
        <v>12.37</v>
      </c>
      <c r="F447">
        <v>0</v>
      </c>
    </row>
    <row r="448" spans="1:6" x14ac:dyDescent="0.25">
      <c r="A448" s="172" t="s">
        <v>1376</v>
      </c>
      <c r="B448" t="s">
        <v>1377</v>
      </c>
      <c r="C448" t="s">
        <v>1378</v>
      </c>
      <c r="D448">
        <v>5.79</v>
      </c>
      <c r="E448">
        <v>12.37</v>
      </c>
      <c r="F448">
        <v>0</v>
      </c>
    </row>
    <row r="449" spans="1:6" x14ac:dyDescent="0.25">
      <c r="A449" s="172" t="s">
        <v>1379</v>
      </c>
      <c r="B449" t="s">
        <v>1380</v>
      </c>
      <c r="C449" t="s">
        <v>1381</v>
      </c>
      <c r="D449">
        <v>2.79</v>
      </c>
      <c r="E449">
        <v>12.05</v>
      </c>
      <c r="F449">
        <v>0</v>
      </c>
    </row>
    <row r="450" spans="1:6" x14ac:dyDescent="0.25">
      <c r="A450" s="172" t="s">
        <v>1382</v>
      </c>
      <c r="B450" t="s">
        <v>1383</v>
      </c>
      <c r="C450" t="s">
        <v>1384</v>
      </c>
      <c r="D450">
        <v>2.5</v>
      </c>
      <c r="E450">
        <v>5.48</v>
      </c>
      <c r="F450">
        <v>0</v>
      </c>
    </row>
    <row r="451" spans="1:6" x14ac:dyDescent="0.25">
      <c r="A451" s="172" t="s">
        <v>1385</v>
      </c>
      <c r="B451" t="s">
        <v>1386</v>
      </c>
      <c r="C451" t="s">
        <v>1387</v>
      </c>
      <c r="D451">
        <v>2.53</v>
      </c>
      <c r="E451">
        <v>5.48</v>
      </c>
      <c r="F451">
        <v>0</v>
      </c>
    </row>
    <row r="452" spans="1:6" x14ac:dyDescent="0.25">
      <c r="A452" s="172" t="s">
        <v>1388</v>
      </c>
      <c r="B452" t="s">
        <v>1389</v>
      </c>
      <c r="C452" t="s">
        <v>1390</v>
      </c>
      <c r="D452">
        <v>2.57</v>
      </c>
      <c r="E452">
        <v>5.48</v>
      </c>
      <c r="F452">
        <v>0</v>
      </c>
    </row>
    <row r="453" spans="1:6" x14ac:dyDescent="0.25">
      <c r="A453" s="172" t="s">
        <v>1391</v>
      </c>
      <c r="B453" t="s">
        <v>1392</v>
      </c>
      <c r="C453" t="s">
        <v>1393</v>
      </c>
      <c r="D453">
        <v>6.05</v>
      </c>
      <c r="E453">
        <v>13.26</v>
      </c>
      <c r="F453">
        <v>0</v>
      </c>
    </row>
    <row r="454" spans="1:6" x14ac:dyDescent="0.25">
      <c r="A454" s="172" t="s">
        <v>1394</v>
      </c>
      <c r="B454" t="s">
        <v>1395</v>
      </c>
      <c r="C454" t="s">
        <v>248</v>
      </c>
      <c r="D454">
        <v>78.19</v>
      </c>
      <c r="E454">
        <v>0</v>
      </c>
      <c r="F454">
        <v>0</v>
      </c>
    </row>
    <row r="455" spans="1:6" x14ac:dyDescent="0.25">
      <c r="A455" s="172" t="s">
        <v>1396</v>
      </c>
      <c r="B455" t="s">
        <v>1397</v>
      </c>
      <c r="C455" t="s">
        <v>1398</v>
      </c>
      <c r="D455">
        <v>0.79</v>
      </c>
      <c r="E455">
        <v>2.02</v>
      </c>
      <c r="F455">
        <v>3.4</v>
      </c>
    </row>
    <row r="456" spans="1:6" x14ac:dyDescent="0.25">
      <c r="A456" s="172" t="s">
        <v>1399</v>
      </c>
      <c r="B456" t="s">
        <v>1400</v>
      </c>
      <c r="C456" t="s">
        <v>1401</v>
      </c>
      <c r="D456">
        <v>0.79</v>
      </c>
      <c r="E456">
        <v>2.02</v>
      </c>
      <c r="F456">
        <v>3.4</v>
      </c>
    </row>
    <row r="457" spans="1:6" x14ac:dyDescent="0.25">
      <c r="A457" s="172" t="s">
        <v>1402</v>
      </c>
      <c r="B457" t="s">
        <v>1403</v>
      </c>
      <c r="C457" t="s">
        <v>1404</v>
      </c>
      <c r="D457">
        <v>0.95</v>
      </c>
      <c r="E457">
        <v>2.56</v>
      </c>
      <c r="F457">
        <v>4.4</v>
      </c>
    </row>
    <row r="458" spans="1:6" x14ac:dyDescent="0.25">
      <c r="A458" s="172" t="s">
        <v>1405</v>
      </c>
      <c r="B458" t="s">
        <v>1406</v>
      </c>
      <c r="C458" t="s">
        <v>1407</v>
      </c>
      <c r="D458">
        <v>1.02</v>
      </c>
      <c r="E458">
        <v>2.56</v>
      </c>
      <c r="F458">
        <v>4.4</v>
      </c>
    </row>
    <row r="459" spans="1:6" x14ac:dyDescent="0.25">
      <c r="A459" s="172" t="s">
        <v>1408</v>
      </c>
      <c r="B459" t="s">
        <v>1409</v>
      </c>
      <c r="C459" t="s">
        <v>1410</v>
      </c>
      <c r="D459">
        <v>1.14</v>
      </c>
      <c r="E459">
        <v>3.06</v>
      </c>
      <c r="F459">
        <v>5.2</v>
      </c>
    </row>
    <row r="460" spans="1:6" x14ac:dyDescent="0.25">
      <c r="A460" s="172" t="s">
        <v>1411</v>
      </c>
      <c r="B460" t="s">
        <v>1412</v>
      </c>
      <c r="C460" t="s">
        <v>1413</v>
      </c>
      <c r="D460">
        <v>1.32</v>
      </c>
      <c r="E460">
        <v>3.55</v>
      </c>
      <c r="F460">
        <v>6</v>
      </c>
    </row>
    <row r="461" spans="1:6" x14ac:dyDescent="0.25">
      <c r="A461" s="172" t="s">
        <v>1414</v>
      </c>
      <c r="B461" t="s">
        <v>1415</v>
      </c>
      <c r="C461" t="s">
        <v>1416</v>
      </c>
      <c r="D461">
        <v>1.13</v>
      </c>
      <c r="E461">
        <v>3.06</v>
      </c>
      <c r="F461">
        <v>5.2</v>
      </c>
    </row>
    <row r="462" spans="1:6" x14ac:dyDescent="0.25">
      <c r="A462" s="172" t="s">
        <v>1417</v>
      </c>
      <c r="B462" t="s">
        <v>1418</v>
      </c>
      <c r="C462" t="s">
        <v>1419</v>
      </c>
      <c r="D462">
        <v>1.32</v>
      </c>
      <c r="E462">
        <v>3.55</v>
      </c>
      <c r="F462">
        <v>6</v>
      </c>
    </row>
    <row r="463" spans="1:6" x14ac:dyDescent="0.25">
      <c r="A463" s="172" t="s">
        <v>1420</v>
      </c>
      <c r="B463" t="s">
        <v>1421</v>
      </c>
      <c r="C463" t="s">
        <v>1422</v>
      </c>
      <c r="D463">
        <v>1.31</v>
      </c>
      <c r="E463">
        <v>3.55</v>
      </c>
      <c r="F463">
        <v>6</v>
      </c>
    </row>
    <row r="464" spans="1:6" x14ac:dyDescent="0.25">
      <c r="A464" s="172" t="s">
        <v>1423</v>
      </c>
      <c r="B464" t="s">
        <v>1424</v>
      </c>
      <c r="C464" t="s">
        <v>1425</v>
      </c>
      <c r="D464">
        <v>1.32</v>
      </c>
      <c r="E464">
        <v>3.55</v>
      </c>
      <c r="F464">
        <v>6</v>
      </c>
    </row>
    <row r="465" spans="1:6" x14ac:dyDescent="0.25">
      <c r="A465" s="172" t="s">
        <v>1426</v>
      </c>
      <c r="B465" t="s">
        <v>1427</v>
      </c>
      <c r="C465" t="s">
        <v>1428</v>
      </c>
      <c r="D465">
        <v>1.59</v>
      </c>
      <c r="E465">
        <v>4.07</v>
      </c>
      <c r="F465">
        <v>6.9</v>
      </c>
    </row>
    <row r="466" spans="1:6" x14ac:dyDescent="0.25">
      <c r="A466" s="172" t="s">
        <v>1429</v>
      </c>
      <c r="B466" t="s">
        <v>1430</v>
      </c>
      <c r="C466" t="s">
        <v>1431</v>
      </c>
      <c r="D466">
        <v>0.89</v>
      </c>
      <c r="E466">
        <v>2.43</v>
      </c>
      <c r="F466">
        <v>4.1</v>
      </c>
    </row>
    <row r="467" spans="1:6" x14ac:dyDescent="0.25">
      <c r="A467" s="172" t="s">
        <v>1432</v>
      </c>
      <c r="B467" t="s">
        <v>1433</v>
      </c>
      <c r="C467" t="s">
        <v>1434</v>
      </c>
      <c r="D467">
        <v>1.22</v>
      </c>
      <c r="E467">
        <v>3.08</v>
      </c>
      <c r="F467">
        <v>5.2</v>
      </c>
    </row>
    <row r="468" spans="1:6" x14ac:dyDescent="0.25">
      <c r="A468" s="172" t="s">
        <v>1435</v>
      </c>
      <c r="B468" t="s">
        <v>1436</v>
      </c>
      <c r="C468" t="s">
        <v>1437</v>
      </c>
      <c r="D468">
        <v>1.2</v>
      </c>
      <c r="E468">
        <v>3.08</v>
      </c>
      <c r="F468">
        <v>5.2</v>
      </c>
    </row>
    <row r="469" spans="1:6" x14ac:dyDescent="0.25">
      <c r="A469" s="172" t="s">
        <v>1438</v>
      </c>
      <c r="B469" t="s">
        <v>1439</v>
      </c>
      <c r="C469" t="s">
        <v>1440</v>
      </c>
      <c r="D469">
        <v>1.31</v>
      </c>
      <c r="E469">
        <v>4.12</v>
      </c>
      <c r="F469">
        <v>7</v>
      </c>
    </row>
    <row r="470" spans="1:6" x14ac:dyDescent="0.25">
      <c r="A470" s="172" t="s">
        <v>1441</v>
      </c>
      <c r="B470" t="s">
        <v>1442</v>
      </c>
      <c r="C470" t="s">
        <v>1443</v>
      </c>
      <c r="D470">
        <v>0.37</v>
      </c>
      <c r="E470">
        <v>1.94</v>
      </c>
      <c r="F470">
        <v>3.3</v>
      </c>
    </row>
    <row r="471" spans="1:6" x14ac:dyDescent="0.25">
      <c r="A471" s="172" t="s">
        <v>1444</v>
      </c>
      <c r="B471" t="s">
        <v>1445</v>
      </c>
      <c r="C471" t="s">
        <v>1446</v>
      </c>
      <c r="D471">
        <v>2.01</v>
      </c>
      <c r="E471">
        <v>5.08</v>
      </c>
      <c r="F471">
        <v>8.6</v>
      </c>
    </row>
    <row r="472" spans="1:6" x14ac:dyDescent="0.25">
      <c r="A472" s="172" t="s">
        <v>1447</v>
      </c>
      <c r="B472" t="s">
        <v>1448</v>
      </c>
      <c r="C472" t="s">
        <v>1449</v>
      </c>
      <c r="D472">
        <v>2.22</v>
      </c>
      <c r="E472">
        <v>5.59</v>
      </c>
      <c r="F472">
        <v>9.5</v>
      </c>
    </row>
    <row r="473" spans="1:6" x14ac:dyDescent="0.25">
      <c r="A473" s="172" t="s">
        <v>1450</v>
      </c>
      <c r="B473" t="s">
        <v>1451</v>
      </c>
      <c r="C473" t="s">
        <v>1452</v>
      </c>
      <c r="D473">
        <v>3</v>
      </c>
      <c r="E473">
        <v>5.47</v>
      </c>
      <c r="F473">
        <v>0</v>
      </c>
    </row>
    <row r="474" spans="1:6" x14ac:dyDescent="0.25">
      <c r="A474" s="172" t="s">
        <v>1453</v>
      </c>
      <c r="B474" t="s">
        <v>1454</v>
      </c>
      <c r="C474" t="s">
        <v>1455</v>
      </c>
      <c r="D474">
        <v>2.15</v>
      </c>
      <c r="E474">
        <v>4.41</v>
      </c>
      <c r="F474">
        <v>0</v>
      </c>
    </row>
    <row r="475" spans="1:6" x14ac:dyDescent="0.25">
      <c r="A475" s="172" t="s">
        <v>1456</v>
      </c>
      <c r="B475" t="s">
        <v>1457</v>
      </c>
      <c r="C475" t="s">
        <v>1458</v>
      </c>
      <c r="D475">
        <v>0.74</v>
      </c>
      <c r="E475">
        <v>2</v>
      </c>
      <c r="F475">
        <v>3.4</v>
      </c>
    </row>
    <row r="476" spans="1:6" x14ac:dyDescent="0.25">
      <c r="A476" s="172" t="s">
        <v>1459</v>
      </c>
      <c r="B476" t="s">
        <v>1460</v>
      </c>
      <c r="C476" t="s">
        <v>1461</v>
      </c>
      <c r="D476">
        <v>0.74</v>
      </c>
      <c r="E476">
        <v>2</v>
      </c>
      <c r="F476">
        <v>3.4</v>
      </c>
    </row>
    <row r="477" spans="1:6" x14ac:dyDescent="0.25">
      <c r="A477" s="172" t="s">
        <v>1462</v>
      </c>
      <c r="B477" t="s">
        <v>1463</v>
      </c>
      <c r="C477" t="s">
        <v>1464</v>
      </c>
      <c r="D477">
        <v>0.79</v>
      </c>
      <c r="E477">
        <v>2</v>
      </c>
      <c r="F477">
        <v>3.4</v>
      </c>
    </row>
    <row r="478" spans="1:6" x14ac:dyDescent="0.25">
      <c r="A478" s="172" t="s">
        <v>1465</v>
      </c>
      <c r="B478" t="s">
        <v>1466</v>
      </c>
      <c r="C478" t="s">
        <v>1467</v>
      </c>
      <c r="D478">
        <v>0.74</v>
      </c>
      <c r="E478">
        <v>3.4</v>
      </c>
      <c r="F478">
        <v>3.4</v>
      </c>
    </row>
    <row r="479" spans="1:6" x14ac:dyDescent="0.25">
      <c r="A479" s="172" t="s">
        <v>1468</v>
      </c>
      <c r="B479" t="s">
        <v>1469</v>
      </c>
      <c r="C479" t="s">
        <v>1470</v>
      </c>
      <c r="D479">
        <v>0.87</v>
      </c>
      <c r="E479">
        <v>2.2</v>
      </c>
      <c r="F479">
        <v>3.7</v>
      </c>
    </row>
    <row r="480" spans="1:6" x14ac:dyDescent="0.25">
      <c r="A480" s="172" t="s">
        <v>1471</v>
      </c>
      <c r="B480" t="s">
        <v>1472</v>
      </c>
      <c r="C480" t="s">
        <v>1473</v>
      </c>
      <c r="D480">
        <v>0.74</v>
      </c>
      <c r="E480">
        <v>2</v>
      </c>
      <c r="F480">
        <v>3.4</v>
      </c>
    </row>
    <row r="481" spans="1:6" x14ac:dyDescent="0.25">
      <c r="A481" s="172" t="s">
        <v>1474</v>
      </c>
      <c r="B481" t="s">
        <v>1475</v>
      </c>
      <c r="C481" t="s">
        <v>1476</v>
      </c>
      <c r="D481">
        <v>1.4</v>
      </c>
      <c r="E481">
        <v>3.59</v>
      </c>
      <c r="F481">
        <v>6.1</v>
      </c>
    </row>
    <row r="482" spans="1:6" x14ac:dyDescent="0.25">
      <c r="A482" s="172" t="s">
        <v>1477</v>
      </c>
      <c r="B482" t="s">
        <v>1478</v>
      </c>
      <c r="C482" t="s">
        <v>1479</v>
      </c>
      <c r="D482">
        <v>2.84</v>
      </c>
      <c r="E482">
        <v>7.65</v>
      </c>
      <c r="F482">
        <v>13</v>
      </c>
    </row>
    <row r="483" spans="1:6" x14ac:dyDescent="0.25">
      <c r="A483" s="172" t="s">
        <v>1480</v>
      </c>
      <c r="B483" t="s">
        <v>1481</v>
      </c>
      <c r="C483" t="s">
        <v>1482</v>
      </c>
      <c r="D483">
        <v>1.31</v>
      </c>
      <c r="E483">
        <v>0</v>
      </c>
      <c r="F483">
        <v>10.83</v>
      </c>
    </row>
    <row r="484" spans="1:6" x14ac:dyDescent="0.25">
      <c r="A484" s="172" t="s">
        <v>1483</v>
      </c>
      <c r="B484" t="s">
        <v>1484</v>
      </c>
      <c r="C484" t="s">
        <v>1485</v>
      </c>
      <c r="D484">
        <v>24.7</v>
      </c>
      <c r="E484">
        <v>1</v>
      </c>
      <c r="F484">
        <v>0</v>
      </c>
    </row>
    <row r="485" spans="1:6" x14ac:dyDescent="0.25">
      <c r="A485" s="172" t="s">
        <v>1486</v>
      </c>
      <c r="B485" t="s">
        <v>1487</v>
      </c>
      <c r="C485" t="s">
        <v>1488</v>
      </c>
      <c r="D485">
        <v>157</v>
      </c>
      <c r="E485">
        <v>0</v>
      </c>
      <c r="F485">
        <v>0</v>
      </c>
    </row>
    <row r="486" spans="1:6" x14ac:dyDescent="0.25">
      <c r="A486" s="172" t="s">
        <v>1489</v>
      </c>
      <c r="B486" t="s">
        <v>1490</v>
      </c>
      <c r="C486" t="s">
        <v>1491</v>
      </c>
      <c r="D486">
        <v>154</v>
      </c>
      <c r="E486">
        <v>0</v>
      </c>
      <c r="F486">
        <v>0</v>
      </c>
    </row>
    <row r="487" spans="1:6" x14ac:dyDescent="0.25">
      <c r="A487" s="172" t="s">
        <v>1492</v>
      </c>
      <c r="B487" t="s">
        <v>1493</v>
      </c>
      <c r="C487" t="s">
        <v>1494</v>
      </c>
      <c r="D487">
        <v>154</v>
      </c>
      <c r="E487">
        <v>0</v>
      </c>
      <c r="F487">
        <v>0</v>
      </c>
    </row>
    <row r="488" spans="1:6" x14ac:dyDescent="0.25">
      <c r="A488" s="172" t="s">
        <v>1495</v>
      </c>
      <c r="B488" t="s">
        <v>1496</v>
      </c>
      <c r="C488" t="s">
        <v>1497</v>
      </c>
      <c r="D488">
        <v>154</v>
      </c>
      <c r="E488">
        <v>0</v>
      </c>
      <c r="F488">
        <v>0</v>
      </c>
    </row>
    <row r="489" spans="1:6" x14ac:dyDescent="0.25">
      <c r="A489" s="172" t="s">
        <v>1498</v>
      </c>
      <c r="B489" t="s">
        <v>1499</v>
      </c>
      <c r="C489" t="s">
        <v>1500</v>
      </c>
      <c r="D489">
        <v>2</v>
      </c>
      <c r="E489">
        <v>2.65</v>
      </c>
      <c r="F489">
        <v>0</v>
      </c>
    </row>
    <row r="490" spans="1:6" x14ac:dyDescent="0.25">
      <c r="A490" s="172" t="s">
        <v>1501</v>
      </c>
      <c r="B490" t="s">
        <v>1502</v>
      </c>
      <c r="C490" t="s">
        <v>1503</v>
      </c>
      <c r="D490">
        <v>1.63</v>
      </c>
      <c r="E490">
        <v>0</v>
      </c>
      <c r="F490">
        <v>0</v>
      </c>
    </row>
    <row r="491" spans="1:6" x14ac:dyDescent="0.25">
      <c r="A491" s="172" t="s">
        <v>1504</v>
      </c>
      <c r="B491" t="s">
        <v>1505</v>
      </c>
      <c r="C491" t="s">
        <v>1506</v>
      </c>
      <c r="D491">
        <v>7.31</v>
      </c>
      <c r="E491">
        <v>0</v>
      </c>
      <c r="F491">
        <v>0</v>
      </c>
    </row>
    <row r="492" spans="1:6" x14ac:dyDescent="0.25">
      <c r="A492" s="172" t="s">
        <v>1507</v>
      </c>
      <c r="B492" t="s">
        <v>1508</v>
      </c>
      <c r="C492" t="s">
        <v>1509</v>
      </c>
      <c r="D492">
        <v>11.21</v>
      </c>
      <c r="E492">
        <v>27.89</v>
      </c>
      <c r="F492">
        <v>0</v>
      </c>
    </row>
    <row r="493" spans="1:6" x14ac:dyDescent="0.25">
      <c r="A493" s="172" t="s">
        <v>1510</v>
      </c>
      <c r="B493" t="s">
        <v>1511</v>
      </c>
      <c r="C493" t="s">
        <v>1512</v>
      </c>
      <c r="D493">
        <v>10.62</v>
      </c>
      <c r="E493">
        <v>28.05</v>
      </c>
      <c r="F493">
        <v>0</v>
      </c>
    </row>
    <row r="494" spans="1:6" x14ac:dyDescent="0.25">
      <c r="A494" s="172" t="s">
        <v>1513</v>
      </c>
      <c r="B494" t="s">
        <v>1514</v>
      </c>
      <c r="C494" t="s">
        <v>1515</v>
      </c>
      <c r="D494">
        <v>0.89</v>
      </c>
      <c r="E494">
        <v>0</v>
      </c>
      <c r="F494">
        <v>0</v>
      </c>
    </row>
    <row r="495" spans="1:6" x14ac:dyDescent="0.25">
      <c r="A495" s="172" t="s">
        <v>1516</v>
      </c>
      <c r="B495" t="s">
        <v>1517</v>
      </c>
      <c r="C495" t="s">
        <v>1518</v>
      </c>
      <c r="D495">
        <v>4.14</v>
      </c>
      <c r="E495">
        <v>0</v>
      </c>
      <c r="F495">
        <v>0</v>
      </c>
    </row>
    <row r="496" spans="1:6" x14ac:dyDescent="0.25">
      <c r="A496" s="172" t="s">
        <v>1519</v>
      </c>
      <c r="B496" t="s">
        <v>1520</v>
      </c>
      <c r="C496" t="s">
        <v>1521</v>
      </c>
      <c r="D496">
        <v>0.18</v>
      </c>
      <c r="E496">
        <v>0</v>
      </c>
      <c r="F496">
        <v>0</v>
      </c>
    </row>
    <row r="497" spans="1:6" x14ac:dyDescent="0.25">
      <c r="A497" s="172" t="s">
        <v>1522</v>
      </c>
      <c r="B497" t="s">
        <v>1523</v>
      </c>
      <c r="C497" t="s">
        <v>1524</v>
      </c>
      <c r="D497">
        <v>0.19</v>
      </c>
      <c r="E497">
        <v>0</v>
      </c>
      <c r="F497">
        <v>0</v>
      </c>
    </row>
    <row r="498" spans="1:6" x14ac:dyDescent="0.25">
      <c r="A498" s="172" t="s">
        <v>1525</v>
      </c>
      <c r="B498" t="s">
        <v>1526</v>
      </c>
      <c r="C498" t="s">
        <v>248</v>
      </c>
      <c r="D498">
        <v>0.19</v>
      </c>
      <c r="E498">
        <v>0</v>
      </c>
      <c r="F498">
        <v>0</v>
      </c>
    </row>
    <row r="499" spans="1:6" x14ac:dyDescent="0.25">
      <c r="A499" s="172" t="s">
        <v>1527</v>
      </c>
      <c r="B499" t="s">
        <v>1528</v>
      </c>
      <c r="C499" t="s">
        <v>1529</v>
      </c>
      <c r="D499">
        <v>0.19</v>
      </c>
      <c r="E499">
        <v>0</v>
      </c>
      <c r="F499">
        <v>0</v>
      </c>
    </row>
    <row r="500" spans="1:6" x14ac:dyDescent="0.25">
      <c r="A500" s="172" t="s">
        <v>1530</v>
      </c>
      <c r="B500" t="s">
        <v>1531</v>
      </c>
      <c r="C500" t="s">
        <v>1532</v>
      </c>
      <c r="D500">
        <v>0.18</v>
      </c>
      <c r="E500">
        <v>0</v>
      </c>
      <c r="F500">
        <v>0</v>
      </c>
    </row>
    <row r="501" spans="1:6" x14ac:dyDescent="0.25">
      <c r="A501" s="172" t="s">
        <v>1533</v>
      </c>
      <c r="B501" t="s">
        <v>1534</v>
      </c>
      <c r="C501" t="s">
        <v>1535</v>
      </c>
      <c r="D501">
        <v>0.19</v>
      </c>
      <c r="E501">
        <v>0</v>
      </c>
      <c r="F501">
        <v>0</v>
      </c>
    </row>
    <row r="502" spans="1:6" x14ac:dyDescent="0.25">
      <c r="A502" s="172" t="s">
        <v>1536</v>
      </c>
      <c r="B502" t="s">
        <v>1537</v>
      </c>
      <c r="C502" t="s">
        <v>1538</v>
      </c>
      <c r="D502">
        <v>0.18</v>
      </c>
      <c r="E502">
        <v>0</v>
      </c>
      <c r="F502">
        <v>0</v>
      </c>
    </row>
    <row r="503" spans="1:6" x14ac:dyDescent="0.25">
      <c r="A503" s="172" t="s">
        <v>1539</v>
      </c>
      <c r="B503" t="s">
        <v>1537</v>
      </c>
      <c r="C503" t="s">
        <v>1540</v>
      </c>
      <c r="D503">
        <v>0.19</v>
      </c>
      <c r="E503">
        <v>0</v>
      </c>
      <c r="F503">
        <v>0</v>
      </c>
    </row>
    <row r="504" spans="1:6" x14ac:dyDescent="0.25">
      <c r="A504" s="172" t="s">
        <v>1541</v>
      </c>
      <c r="B504" t="s">
        <v>1542</v>
      </c>
      <c r="C504" t="s">
        <v>1543</v>
      </c>
      <c r="D504">
        <v>0.19</v>
      </c>
      <c r="E504">
        <v>0</v>
      </c>
      <c r="F504">
        <v>0</v>
      </c>
    </row>
    <row r="505" spans="1:6" x14ac:dyDescent="0.25">
      <c r="A505" s="172" t="s">
        <v>1544</v>
      </c>
      <c r="B505" t="s">
        <v>1545</v>
      </c>
      <c r="C505" t="s">
        <v>1546</v>
      </c>
      <c r="D505">
        <v>0.18</v>
      </c>
      <c r="E505">
        <v>0</v>
      </c>
      <c r="F505">
        <v>0</v>
      </c>
    </row>
    <row r="506" spans="1:6" x14ac:dyDescent="0.25">
      <c r="A506" s="172" t="s">
        <v>1547</v>
      </c>
      <c r="B506" t="s">
        <v>1548</v>
      </c>
      <c r="C506" t="s">
        <v>1549</v>
      </c>
      <c r="D506">
        <v>0.19</v>
      </c>
      <c r="E506">
        <v>0</v>
      </c>
      <c r="F506">
        <v>0</v>
      </c>
    </row>
    <row r="507" spans="1:6" x14ac:dyDescent="0.25">
      <c r="A507" s="172" t="s">
        <v>1550</v>
      </c>
      <c r="B507" t="s">
        <v>1551</v>
      </c>
      <c r="C507" t="s">
        <v>1552</v>
      </c>
      <c r="D507">
        <v>0.18</v>
      </c>
      <c r="E507">
        <v>0</v>
      </c>
      <c r="F507">
        <v>0</v>
      </c>
    </row>
    <row r="508" spans="1:6" x14ac:dyDescent="0.25">
      <c r="A508" s="172" t="s">
        <v>1553</v>
      </c>
      <c r="B508" t="s">
        <v>1554</v>
      </c>
      <c r="C508" t="s">
        <v>1555</v>
      </c>
      <c r="D508">
        <v>0.18</v>
      </c>
      <c r="E508">
        <v>0</v>
      </c>
      <c r="F508">
        <v>0</v>
      </c>
    </row>
    <row r="509" spans="1:6" x14ac:dyDescent="0.25">
      <c r="A509" s="172" t="s">
        <v>1556</v>
      </c>
      <c r="B509" t="s">
        <v>1557</v>
      </c>
      <c r="C509" t="s">
        <v>1558</v>
      </c>
      <c r="D509">
        <v>0.17</v>
      </c>
      <c r="E509">
        <v>0</v>
      </c>
      <c r="F509">
        <v>0</v>
      </c>
    </row>
    <row r="510" spans="1:6" x14ac:dyDescent="0.25">
      <c r="A510" s="172" t="s">
        <v>1559</v>
      </c>
      <c r="B510" t="s">
        <v>1560</v>
      </c>
      <c r="C510" t="s">
        <v>1561</v>
      </c>
      <c r="D510">
        <v>0.17</v>
      </c>
      <c r="E510">
        <v>0</v>
      </c>
      <c r="F510">
        <v>0</v>
      </c>
    </row>
    <row r="511" spans="1:6" x14ac:dyDescent="0.25">
      <c r="A511" s="172" t="s">
        <v>1562</v>
      </c>
      <c r="B511" t="s">
        <v>1563</v>
      </c>
      <c r="C511" t="s">
        <v>1564</v>
      </c>
      <c r="D511">
        <v>0</v>
      </c>
      <c r="E511">
        <v>0</v>
      </c>
      <c r="F511">
        <v>0</v>
      </c>
    </row>
    <row r="512" spans="1:6" x14ac:dyDescent="0.25">
      <c r="A512" s="172" t="s">
        <v>1565</v>
      </c>
      <c r="B512" t="s">
        <v>1566</v>
      </c>
      <c r="C512" t="s">
        <v>1567</v>
      </c>
      <c r="D512">
        <v>0.15</v>
      </c>
      <c r="E512">
        <v>0</v>
      </c>
      <c r="F512">
        <v>0</v>
      </c>
    </row>
    <row r="513" spans="1:6" x14ac:dyDescent="0.25">
      <c r="A513" s="172" t="s">
        <v>1568</v>
      </c>
      <c r="B513" t="s">
        <v>1569</v>
      </c>
      <c r="C513" t="s">
        <v>1570</v>
      </c>
      <c r="D513">
        <v>0.19</v>
      </c>
      <c r="E513">
        <v>0</v>
      </c>
      <c r="F513">
        <v>0</v>
      </c>
    </row>
    <row r="514" spans="1:6" x14ac:dyDescent="0.25">
      <c r="A514" s="172" t="s">
        <v>1571</v>
      </c>
      <c r="B514" t="s">
        <v>1572</v>
      </c>
      <c r="C514" t="s">
        <v>1573</v>
      </c>
      <c r="D514">
        <v>0.18</v>
      </c>
      <c r="E514">
        <v>0</v>
      </c>
      <c r="F514">
        <v>0</v>
      </c>
    </row>
    <row r="515" spans="1:6" x14ac:dyDescent="0.25">
      <c r="A515" s="172" t="s">
        <v>1574</v>
      </c>
      <c r="B515" t="s">
        <v>1575</v>
      </c>
      <c r="C515" t="s">
        <v>1576</v>
      </c>
      <c r="D515">
        <v>0.18</v>
      </c>
      <c r="E515">
        <v>0</v>
      </c>
      <c r="F515">
        <v>0</v>
      </c>
    </row>
    <row r="516" spans="1:6" x14ac:dyDescent="0.25">
      <c r="A516" s="172" t="s">
        <v>1577</v>
      </c>
      <c r="B516" t="s">
        <v>1578</v>
      </c>
      <c r="C516" t="s">
        <v>1579</v>
      </c>
      <c r="D516">
        <v>0.22</v>
      </c>
      <c r="E516">
        <v>0</v>
      </c>
      <c r="F516">
        <v>0</v>
      </c>
    </row>
    <row r="517" spans="1:6" x14ac:dyDescent="0.25">
      <c r="A517" s="172" t="s">
        <v>1580</v>
      </c>
      <c r="B517" t="s">
        <v>1581</v>
      </c>
      <c r="C517" t="s">
        <v>1582</v>
      </c>
      <c r="D517">
        <v>0.2</v>
      </c>
      <c r="E517">
        <v>0</v>
      </c>
      <c r="F517">
        <v>0</v>
      </c>
    </row>
    <row r="518" spans="1:6" x14ac:dyDescent="0.25">
      <c r="A518" s="172" t="s">
        <v>1583</v>
      </c>
      <c r="B518" t="s">
        <v>1584</v>
      </c>
      <c r="C518" t="s">
        <v>1585</v>
      </c>
      <c r="D518">
        <v>0.21</v>
      </c>
      <c r="E518">
        <v>0</v>
      </c>
      <c r="F518">
        <v>0</v>
      </c>
    </row>
    <row r="519" spans="1:6" x14ac:dyDescent="0.25">
      <c r="A519" s="172" t="s">
        <v>1586</v>
      </c>
      <c r="B519" t="s">
        <v>1587</v>
      </c>
      <c r="C519" t="s">
        <v>1588</v>
      </c>
      <c r="D519">
        <v>0.21</v>
      </c>
      <c r="E519">
        <v>0</v>
      </c>
      <c r="F519">
        <v>0</v>
      </c>
    </row>
    <row r="520" spans="1:6" x14ac:dyDescent="0.25">
      <c r="A520" s="172" t="s">
        <v>1589</v>
      </c>
      <c r="B520" t="s">
        <v>1590</v>
      </c>
      <c r="C520" t="s">
        <v>1591</v>
      </c>
      <c r="D520">
        <v>0.21</v>
      </c>
      <c r="E520">
        <v>0</v>
      </c>
      <c r="F520">
        <v>0</v>
      </c>
    </row>
    <row r="521" spans="1:6" x14ac:dyDescent="0.25">
      <c r="A521" s="172" t="s">
        <v>1592</v>
      </c>
      <c r="B521" t="s">
        <v>1593</v>
      </c>
      <c r="C521" t="s">
        <v>1594</v>
      </c>
      <c r="D521">
        <v>0.17</v>
      </c>
      <c r="E521">
        <v>0</v>
      </c>
      <c r="F521">
        <v>0</v>
      </c>
    </row>
    <row r="522" spans="1:6" x14ac:dyDescent="0.25">
      <c r="A522" s="172" t="s">
        <v>1595</v>
      </c>
      <c r="B522" t="s">
        <v>1596</v>
      </c>
      <c r="C522" t="s">
        <v>1597</v>
      </c>
      <c r="D522">
        <v>0.18</v>
      </c>
      <c r="E522">
        <v>0</v>
      </c>
      <c r="F522">
        <v>0</v>
      </c>
    </row>
    <row r="523" spans="1:6" x14ac:dyDescent="0.25">
      <c r="A523" s="172" t="s">
        <v>1598</v>
      </c>
      <c r="B523" t="s">
        <v>1599</v>
      </c>
      <c r="C523" t="s">
        <v>1600</v>
      </c>
      <c r="D523">
        <v>0.14</v>
      </c>
      <c r="E523">
        <v>0</v>
      </c>
      <c r="F523">
        <v>0</v>
      </c>
    </row>
    <row r="524" spans="1:6" x14ac:dyDescent="0.25">
      <c r="A524" s="172" t="s">
        <v>1601</v>
      </c>
      <c r="B524" t="s">
        <v>1602</v>
      </c>
      <c r="C524" t="s">
        <v>1603</v>
      </c>
      <c r="D524">
        <v>0.21</v>
      </c>
      <c r="E524">
        <v>0</v>
      </c>
      <c r="F524">
        <v>0</v>
      </c>
    </row>
    <row r="525" spans="1:6" x14ac:dyDescent="0.25">
      <c r="A525" s="172" t="s">
        <v>1604</v>
      </c>
      <c r="B525" t="s">
        <v>1605</v>
      </c>
      <c r="C525" t="s">
        <v>1606</v>
      </c>
      <c r="D525">
        <v>0.19</v>
      </c>
      <c r="E525">
        <v>0</v>
      </c>
      <c r="F525">
        <v>0</v>
      </c>
    </row>
    <row r="526" spans="1:6" x14ac:dyDescent="0.25">
      <c r="A526" s="172" t="s">
        <v>1607</v>
      </c>
      <c r="B526" t="s">
        <v>1608</v>
      </c>
      <c r="C526" t="s">
        <v>1609</v>
      </c>
      <c r="D526">
        <v>0.18</v>
      </c>
      <c r="E526">
        <v>0</v>
      </c>
      <c r="F526">
        <v>0</v>
      </c>
    </row>
    <row r="527" spans="1:6" x14ac:dyDescent="0.25">
      <c r="A527" s="172" t="s">
        <v>1610</v>
      </c>
      <c r="B527" t="s">
        <v>1611</v>
      </c>
      <c r="C527" t="s">
        <v>1612</v>
      </c>
      <c r="D527">
        <v>0.18</v>
      </c>
      <c r="E527">
        <v>0</v>
      </c>
      <c r="F527">
        <v>0</v>
      </c>
    </row>
    <row r="528" spans="1:6" x14ac:dyDescent="0.25">
      <c r="A528" s="172" t="s">
        <v>1613</v>
      </c>
      <c r="B528" t="s">
        <v>1614</v>
      </c>
      <c r="C528" t="s">
        <v>1615</v>
      </c>
      <c r="D528">
        <v>0.17</v>
      </c>
      <c r="E528">
        <v>0</v>
      </c>
      <c r="F528">
        <v>0</v>
      </c>
    </row>
    <row r="529" spans="1:6" x14ac:dyDescent="0.25">
      <c r="A529" s="172" t="s">
        <v>1616</v>
      </c>
      <c r="B529" t="s">
        <v>1617</v>
      </c>
      <c r="C529" t="s">
        <v>1618</v>
      </c>
      <c r="D529">
        <v>0.36</v>
      </c>
      <c r="E529">
        <v>0</v>
      </c>
      <c r="F529">
        <v>0</v>
      </c>
    </row>
    <row r="530" spans="1:6" x14ac:dyDescent="0.25">
      <c r="A530" s="172" t="s">
        <v>1619</v>
      </c>
      <c r="B530" t="s">
        <v>1620</v>
      </c>
      <c r="C530" t="s">
        <v>1621</v>
      </c>
      <c r="D530">
        <v>0.21</v>
      </c>
      <c r="E530">
        <v>0</v>
      </c>
      <c r="F530">
        <v>0</v>
      </c>
    </row>
    <row r="531" spans="1:6" x14ac:dyDescent="0.25">
      <c r="A531" s="172" t="s">
        <v>1622</v>
      </c>
      <c r="B531" t="s">
        <v>1623</v>
      </c>
      <c r="C531" t="s">
        <v>248</v>
      </c>
      <c r="D531">
        <v>0</v>
      </c>
      <c r="E531">
        <v>1</v>
      </c>
      <c r="F531">
        <v>0</v>
      </c>
    </row>
    <row r="532" spans="1:6" x14ac:dyDescent="0.25">
      <c r="A532" s="172" t="s">
        <v>1624</v>
      </c>
      <c r="B532" t="s">
        <v>1625</v>
      </c>
      <c r="C532" t="s">
        <v>1626</v>
      </c>
      <c r="D532">
        <v>9.64</v>
      </c>
      <c r="E532">
        <v>0</v>
      </c>
      <c r="F532">
        <v>0</v>
      </c>
    </row>
    <row r="533" spans="1:6" x14ac:dyDescent="0.25">
      <c r="A533" s="172" t="s">
        <v>1627</v>
      </c>
      <c r="B533" t="s">
        <v>1628</v>
      </c>
      <c r="C533" t="s">
        <v>1629</v>
      </c>
      <c r="D533">
        <v>5.7</v>
      </c>
      <c r="E533">
        <v>0</v>
      </c>
      <c r="F533">
        <v>0</v>
      </c>
    </row>
    <row r="534" spans="1:6" x14ac:dyDescent="0.25">
      <c r="A534" s="172" t="s">
        <v>1630</v>
      </c>
      <c r="B534" t="s">
        <v>1631</v>
      </c>
      <c r="C534" t="s">
        <v>1632</v>
      </c>
      <c r="D534">
        <v>5.76</v>
      </c>
      <c r="E534">
        <v>0</v>
      </c>
      <c r="F534">
        <v>0</v>
      </c>
    </row>
    <row r="535" spans="1:6" x14ac:dyDescent="0.25">
      <c r="A535" s="172" t="s">
        <v>1633</v>
      </c>
      <c r="B535" t="s">
        <v>1634</v>
      </c>
      <c r="C535" t="s">
        <v>1635</v>
      </c>
      <c r="D535">
        <v>5.45</v>
      </c>
      <c r="E535">
        <v>0</v>
      </c>
      <c r="F535">
        <v>0</v>
      </c>
    </row>
    <row r="536" spans="1:6" x14ac:dyDescent="0.25">
      <c r="A536" s="172" t="s">
        <v>1636</v>
      </c>
      <c r="B536" t="s">
        <v>1637</v>
      </c>
      <c r="C536" t="s">
        <v>1638</v>
      </c>
      <c r="D536">
        <v>78.67</v>
      </c>
      <c r="E536">
        <v>0</v>
      </c>
      <c r="F536">
        <v>0</v>
      </c>
    </row>
    <row r="537" spans="1:6" x14ac:dyDescent="0.25">
      <c r="A537" s="172" t="s">
        <v>1639</v>
      </c>
      <c r="B537" t="s">
        <v>1640</v>
      </c>
      <c r="C537" t="s">
        <v>1641</v>
      </c>
      <c r="D537">
        <v>22</v>
      </c>
      <c r="E537">
        <v>0</v>
      </c>
      <c r="F537">
        <v>0</v>
      </c>
    </row>
    <row r="538" spans="1:6" x14ac:dyDescent="0.25">
      <c r="A538" s="172" t="s">
        <v>1642</v>
      </c>
      <c r="B538" t="s">
        <v>1643</v>
      </c>
      <c r="C538" t="s">
        <v>1644</v>
      </c>
      <c r="D538">
        <v>10.75</v>
      </c>
      <c r="E538">
        <v>0</v>
      </c>
      <c r="F538">
        <v>0</v>
      </c>
    </row>
    <row r="539" spans="1:6" x14ac:dyDescent="0.25">
      <c r="A539" s="172" t="s">
        <v>1645</v>
      </c>
      <c r="B539" t="s">
        <v>1646</v>
      </c>
      <c r="C539" t="s">
        <v>1647</v>
      </c>
      <c r="D539">
        <v>10.8</v>
      </c>
      <c r="E539">
        <v>0</v>
      </c>
      <c r="F539">
        <v>0</v>
      </c>
    </row>
    <row r="540" spans="1:6" x14ac:dyDescent="0.25">
      <c r="A540" s="172" t="s">
        <v>1648</v>
      </c>
      <c r="B540" t="s">
        <v>1649</v>
      </c>
      <c r="C540" t="s">
        <v>1650</v>
      </c>
      <c r="D540">
        <v>9.35</v>
      </c>
      <c r="E540">
        <v>0</v>
      </c>
      <c r="F540">
        <v>0</v>
      </c>
    </row>
    <row r="541" spans="1:6" x14ac:dyDescent="0.25">
      <c r="A541" s="172" t="s">
        <v>1651</v>
      </c>
      <c r="B541" t="s">
        <v>1652</v>
      </c>
      <c r="C541" t="s">
        <v>1653</v>
      </c>
      <c r="D541">
        <v>11.2</v>
      </c>
      <c r="E541">
        <v>0</v>
      </c>
      <c r="F541">
        <v>0</v>
      </c>
    </row>
    <row r="542" spans="1:6" x14ac:dyDescent="0.25">
      <c r="A542" s="172" t="s">
        <v>1654</v>
      </c>
      <c r="B542" t="s">
        <v>1655</v>
      </c>
      <c r="C542" t="s">
        <v>1656</v>
      </c>
      <c r="D542">
        <v>15.95</v>
      </c>
      <c r="E542">
        <v>0</v>
      </c>
      <c r="F542">
        <v>0</v>
      </c>
    </row>
    <row r="543" spans="1:6" x14ac:dyDescent="0.25">
      <c r="A543" s="172" t="s">
        <v>1657</v>
      </c>
      <c r="B543" t="s">
        <v>1658</v>
      </c>
      <c r="C543" t="s">
        <v>1659</v>
      </c>
      <c r="D543">
        <v>9.56</v>
      </c>
      <c r="E543">
        <v>0</v>
      </c>
      <c r="F543">
        <v>0</v>
      </c>
    </row>
    <row r="544" spans="1:6" x14ac:dyDescent="0.25">
      <c r="A544" s="172" t="s">
        <v>1660</v>
      </c>
      <c r="B544" t="s">
        <v>1661</v>
      </c>
      <c r="C544" t="s">
        <v>1662</v>
      </c>
      <c r="D544">
        <v>10.2</v>
      </c>
      <c r="E544">
        <v>0</v>
      </c>
      <c r="F544">
        <v>0</v>
      </c>
    </row>
    <row r="545" spans="1:6" x14ac:dyDescent="0.25">
      <c r="A545" s="172" t="s">
        <v>1663</v>
      </c>
      <c r="B545" t="s">
        <v>1664</v>
      </c>
      <c r="C545" t="s">
        <v>1665</v>
      </c>
      <c r="D545">
        <v>13.53</v>
      </c>
      <c r="E545">
        <v>0</v>
      </c>
      <c r="F545">
        <v>0</v>
      </c>
    </row>
    <row r="546" spans="1:6" x14ac:dyDescent="0.25">
      <c r="A546" s="172" t="s">
        <v>1666</v>
      </c>
      <c r="B546" t="s">
        <v>1667</v>
      </c>
      <c r="C546" t="s">
        <v>1668</v>
      </c>
      <c r="D546">
        <v>20</v>
      </c>
      <c r="E546">
        <v>0</v>
      </c>
      <c r="F546">
        <v>0</v>
      </c>
    </row>
    <row r="547" spans="1:6" x14ac:dyDescent="0.25">
      <c r="A547" s="172" t="s">
        <v>1669</v>
      </c>
      <c r="B547" t="s">
        <v>1670</v>
      </c>
      <c r="C547" t="s">
        <v>1671</v>
      </c>
      <c r="D547">
        <v>24.7</v>
      </c>
      <c r="E547">
        <v>0</v>
      </c>
      <c r="F547">
        <v>0</v>
      </c>
    </row>
    <row r="548" spans="1:6" x14ac:dyDescent="0.25">
      <c r="A548" s="172" t="s">
        <v>1672</v>
      </c>
      <c r="B548" t="s">
        <v>1673</v>
      </c>
      <c r="C548" t="s">
        <v>1674</v>
      </c>
      <c r="D548">
        <v>9.58</v>
      </c>
      <c r="E548">
        <v>0</v>
      </c>
      <c r="F548">
        <v>0</v>
      </c>
    </row>
    <row r="549" spans="1:6" x14ac:dyDescent="0.25">
      <c r="A549" s="172" t="s">
        <v>1675</v>
      </c>
      <c r="B549" t="s">
        <v>1676</v>
      </c>
      <c r="C549" t="s">
        <v>1677</v>
      </c>
      <c r="D549">
        <v>14.55</v>
      </c>
      <c r="E549">
        <v>0</v>
      </c>
      <c r="F549">
        <v>0</v>
      </c>
    </row>
    <row r="550" spans="1:6" x14ac:dyDescent="0.25">
      <c r="A550" s="172" t="s">
        <v>1678</v>
      </c>
      <c r="B550" t="s">
        <v>1679</v>
      </c>
      <c r="C550" t="s">
        <v>1680</v>
      </c>
      <c r="D550">
        <v>10.98</v>
      </c>
      <c r="E550">
        <v>0</v>
      </c>
      <c r="F550">
        <v>0</v>
      </c>
    </row>
    <row r="551" spans="1:6" x14ac:dyDescent="0.25">
      <c r="A551" s="172" t="s">
        <v>1681</v>
      </c>
      <c r="B551" t="s">
        <v>1682</v>
      </c>
      <c r="C551" t="s">
        <v>1683</v>
      </c>
      <c r="D551">
        <v>20</v>
      </c>
      <c r="E551">
        <v>0</v>
      </c>
      <c r="F551">
        <v>0</v>
      </c>
    </row>
    <row r="552" spans="1:6" x14ac:dyDescent="0.25">
      <c r="A552" s="172" t="s">
        <v>1684</v>
      </c>
      <c r="B552" t="s">
        <v>1685</v>
      </c>
      <c r="C552" t="s">
        <v>1686</v>
      </c>
      <c r="D552">
        <v>11.5</v>
      </c>
      <c r="E552">
        <v>0</v>
      </c>
      <c r="F552">
        <v>0</v>
      </c>
    </row>
    <row r="553" spans="1:6" x14ac:dyDescent="0.25">
      <c r="A553" s="172" t="s">
        <v>1687</v>
      </c>
      <c r="B553" t="s">
        <v>1688</v>
      </c>
      <c r="C553" t="s">
        <v>1689</v>
      </c>
      <c r="D553">
        <v>17.56</v>
      </c>
      <c r="E553">
        <v>0</v>
      </c>
      <c r="F553">
        <v>0</v>
      </c>
    </row>
    <row r="554" spans="1:6" x14ac:dyDescent="0.25">
      <c r="A554" s="172" t="s">
        <v>1690</v>
      </c>
      <c r="B554" t="s">
        <v>1691</v>
      </c>
      <c r="C554" t="s">
        <v>1692</v>
      </c>
      <c r="D554">
        <v>13</v>
      </c>
      <c r="E554">
        <v>0</v>
      </c>
      <c r="F554">
        <v>0</v>
      </c>
    </row>
    <row r="555" spans="1:6" x14ac:dyDescent="0.25">
      <c r="A555" s="172" t="s">
        <v>1693</v>
      </c>
      <c r="B555" t="s">
        <v>1694</v>
      </c>
      <c r="C555" t="s">
        <v>1695</v>
      </c>
      <c r="D555">
        <v>13.92</v>
      </c>
      <c r="E555">
        <v>0</v>
      </c>
      <c r="F555">
        <v>0</v>
      </c>
    </row>
    <row r="556" spans="1:6" x14ac:dyDescent="0.25">
      <c r="A556" s="172" t="s">
        <v>1696</v>
      </c>
      <c r="B556" t="s">
        <v>1697</v>
      </c>
      <c r="C556" t="s">
        <v>1698</v>
      </c>
      <c r="D556">
        <v>13.81</v>
      </c>
      <c r="E556">
        <v>0</v>
      </c>
      <c r="F556">
        <v>0</v>
      </c>
    </row>
    <row r="557" spans="1:6" x14ac:dyDescent="0.25">
      <c r="A557" s="172" t="s">
        <v>1699</v>
      </c>
      <c r="B557" t="s">
        <v>1700</v>
      </c>
      <c r="C557" t="s">
        <v>1701</v>
      </c>
      <c r="D557">
        <v>20.5</v>
      </c>
      <c r="E557">
        <v>0</v>
      </c>
      <c r="F557">
        <v>0</v>
      </c>
    </row>
    <row r="558" spans="1:6" x14ac:dyDescent="0.25">
      <c r="A558" s="172" t="s">
        <v>1702</v>
      </c>
      <c r="B558" t="s">
        <v>1703</v>
      </c>
      <c r="C558" t="s">
        <v>1704</v>
      </c>
      <c r="D558">
        <v>11.9</v>
      </c>
      <c r="E558">
        <v>0</v>
      </c>
      <c r="F558">
        <v>0</v>
      </c>
    </row>
    <row r="559" spans="1:6" x14ac:dyDescent="0.25">
      <c r="A559" s="172" t="s">
        <v>1705</v>
      </c>
      <c r="B559" t="s">
        <v>1706</v>
      </c>
      <c r="C559" t="s">
        <v>1707</v>
      </c>
      <c r="D559">
        <v>17.76</v>
      </c>
      <c r="E559">
        <v>0</v>
      </c>
      <c r="F559">
        <v>0</v>
      </c>
    </row>
    <row r="560" spans="1:6" x14ac:dyDescent="0.25">
      <c r="A560" s="172" t="s">
        <v>1708</v>
      </c>
      <c r="B560" t="s">
        <v>1709</v>
      </c>
      <c r="C560" t="s">
        <v>1710</v>
      </c>
      <c r="D560">
        <v>14.6</v>
      </c>
      <c r="E560">
        <v>0</v>
      </c>
      <c r="F560">
        <v>0</v>
      </c>
    </row>
    <row r="561" spans="1:6" x14ac:dyDescent="0.25">
      <c r="A561" s="172" t="s">
        <v>1711</v>
      </c>
      <c r="B561" t="s">
        <v>1652</v>
      </c>
      <c r="C561" t="s">
        <v>1712</v>
      </c>
      <c r="D561">
        <v>0</v>
      </c>
      <c r="E561">
        <v>0</v>
      </c>
      <c r="F561">
        <v>0</v>
      </c>
    </row>
    <row r="562" spans="1:6" x14ac:dyDescent="0.25">
      <c r="A562" s="172" t="s">
        <v>1713</v>
      </c>
      <c r="B562" t="s">
        <v>1714</v>
      </c>
      <c r="C562" t="s">
        <v>248</v>
      </c>
      <c r="D562">
        <v>0.55</v>
      </c>
      <c r="E562">
        <v>0</v>
      </c>
      <c r="F562">
        <v>0</v>
      </c>
    </row>
    <row r="563" spans="1:6" x14ac:dyDescent="0.25">
      <c r="A563" s="172" t="s">
        <v>1715</v>
      </c>
      <c r="B563" t="s">
        <v>1716</v>
      </c>
      <c r="C563" t="s">
        <v>1717</v>
      </c>
      <c r="D563">
        <v>298.67</v>
      </c>
      <c r="E563">
        <v>810.5</v>
      </c>
      <c r="F563">
        <v>0</v>
      </c>
    </row>
    <row r="564" spans="1:6" x14ac:dyDescent="0.25">
      <c r="A564" s="172" t="s">
        <v>1718</v>
      </c>
      <c r="B564" t="s">
        <v>1719</v>
      </c>
      <c r="C564" t="s">
        <v>1720</v>
      </c>
      <c r="D564">
        <v>348</v>
      </c>
      <c r="E564">
        <v>810.5</v>
      </c>
      <c r="F564">
        <v>0</v>
      </c>
    </row>
    <row r="565" spans="1:6" x14ac:dyDescent="0.25">
      <c r="A565" s="172" t="s">
        <v>1721</v>
      </c>
      <c r="B565" t="s">
        <v>1722</v>
      </c>
      <c r="C565" t="s">
        <v>1723</v>
      </c>
      <c r="D565">
        <v>228</v>
      </c>
      <c r="E565">
        <v>0</v>
      </c>
      <c r="F565">
        <v>0</v>
      </c>
    </row>
    <row r="566" spans="1:6" x14ac:dyDescent="0.25">
      <c r="A566" s="172" t="s">
        <v>1724</v>
      </c>
      <c r="B566" t="s">
        <v>1725</v>
      </c>
      <c r="C566" t="s">
        <v>1726</v>
      </c>
      <c r="D566">
        <v>35.9</v>
      </c>
      <c r="E566">
        <v>0</v>
      </c>
      <c r="F566">
        <v>0</v>
      </c>
    </row>
    <row r="567" spans="1:6" x14ac:dyDescent="0.25">
      <c r="A567" s="172" t="s">
        <v>1727</v>
      </c>
      <c r="B567" t="s">
        <v>1728</v>
      </c>
      <c r="C567" t="s">
        <v>1729</v>
      </c>
      <c r="D567">
        <v>12.92</v>
      </c>
      <c r="E567">
        <v>0</v>
      </c>
      <c r="F567">
        <v>0</v>
      </c>
    </row>
    <row r="568" spans="1:6" x14ac:dyDescent="0.25">
      <c r="A568" s="172" t="s">
        <v>1730</v>
      </c>
      <c r="B568" t="s">
        <v>1731</v>
      </c>
      <c r="C568" t="s">
        <v>1732</v>
      </c>
      <c r="D568">
        <v>6.3</v>
      </c>
      <c r="E568">
        <v>0</v>
      </c>
      <c r="F568">
        <v>0</v>
      </c>
    </row>
    <row r="569" spans="1:6" x14ac:dyDescent="0.25">
      <c r="A569" s="172" t="s">
        <v>1733</v>
      </c>
      <c r="B569" t="s">
        <v>1734</v>
      </c>
      <c r="C569" t="s">
        <v>1735</v>
      </c>
      <c r="D569">
        <v>80</v>
      </c>
      <c r="E569">
        <v>0</v>
      </c>
      <c r="F569">
        <v>0</v>
      </c>
    </row>
    <row r="570" spans="1:6" x14ac:dyDescent="0.25">
      <c r="A570" s="172" t="s">
        <v>1736</v>
      </c>
      <c r="B570" t="s">
        <v>1737</v>
      </c>
      <c r="C570" t="s">
        <v>1738</v>
      </c>
      <c r="D570">
        <v>184.6</v>
      </c>
      <c r="E570">
        <v>0</v>
      </c>
      <c r="F570">
        <v>0</v>
      </c>
    </row>
    <row r="571" spans="1:6" x14ac:dyDescent="0.25">
      <c r="A571" s="172" t="s">
        <v>1739</v>
      </c>
      <c r="B571" t="s">
        <v>1740</v>
      </c>
      <c r="C571" t="s">
        <v>1741</v>
      </c>
      <c r="D571">
        <v>856.09</v>
      </c>
      <c r="E571">
        <v>0</v>
      </c>
      <c r="F571">
        <v>0</v>
      </c>
    </row>
    <row r="572" spans="1:6" x14ac:dyDescent="0.25">
      <c r="A572" s="172" t="s">
        <v>1742</v>
      </c>
      <c r="B572" t="s">
        <v>1743</v>
      </c>
      <c r="C572" t="s">
        <v>1744</v>
      </c>
      <c r="D572">
        <v>612.49</v>
      </c>
      <c r="E572">
        <v>0</v>
      </c>
      <c r="F572">
        <v>0</v>
      </c>
    </row>
    <row r="573" spans="1:6" x14ac:dyDescent="0.25">
      <c r="A573" s="172" t="s">
        <v>1745</v>
      </c>
      <c r="B573" t="s">
        <v>1746</v>
      </c>
      <c r="C573" t="s">
        <v>1747</v>
      </c>
      <c r="D573">
        <v>95</v>
      </c>
      <c r="E573">
        <v>0</v>
      </c>
      <c r="F573">
        <v>0</v>
      </c>
    </row>
    <row r="574" spans="1:6" x14ac:dyDescent="0.25">
      <c r="A574" s="172" t="s">
        <v>1748</v>
      </c>
      <c r="B574" t="s">
        <v>1749</v>
      </c>
      <c r="C574" t="s">
        <v>1750</v>
      </c>
      <c r="D574">
        <v>18.3</v>
      </c>
      <c r="E574">
        <v>0</v>
      </c>
      <c r="F574">
        <v>0</v>
      </c>
    </row>
    <row r="575" spans="1:6" x14ac:dyDescent="0.25">
      <c r="A575" s="172" t="s">
        <v>1751</v>
      </c>
      <c r="B575" t="s">
        <v>1752</v>
      </c>
      <c r="C575" t="s">
        <v>1753</v>
      </c>
      <c r="D575">
        <v>18.3</v>
      </c>
      <c r="E575">
        <v>0</v>
      </c>
      <c r="F575">
        <v>0</v>
      </c>
    </row>
    <row r="576" spans="1:6" x14ac:dyDescent="0.25">
      <c r="A576" s="172" t="s">
        <v>1754</v>
      </c>
      <c r="B576" t="s">
        <v>1755</v>
      </c>
      <c r="C576" t="s">
        <v>1756</v>
      </c>
      <c r="D576">
        <v>18.3</v>
      </c>
      <c r="E576">
        <v>0</v>
      </c>
      <c r="F576">
        <v>0</v>
      </c>
    </row>
    <row r="577" spans="1:6" x14ac:dyDescent="0.25">
      <c r="A577" s="172" t="s">
        <v>1757</v>
      </c>
      <c r="B577" t="s">
        <v>1758</v>
      </c>
      <c r="C577" t="s">
        <v>1759</v>
      </c>
      <c r="D577">
        <v>18.3</v>
      </c>
      <c r="E577">
        <v>0</v>
      </c>
      <c r="F577">
        <v>0</v>
      </c>
    </row>
    <row r="578" spans="1:6" x14ac:dyDescent="0.25">
      <c r="A578" s="172" t="s">
        <v>1760</v>
      </c>
      <c r="B578" t="s">
        <v>1761</v>
      </c>
      <c r="C578" t="s">
        <v>1762</v>
      </c>
      <c r="D578">
        <v>32.9</v>
      </c>
      <c r="E578">
        <v>0</v>
      </c>
      <c r="F578">
        <v>0</v>
      </c>
    </row>
    <row r="579" spans="1:6" x14ac:dyDescent="0.25">
      <c r="A579" s="172" t="s">
        <v>1763</v>
      </c>
      <c r="B579" t="s">
        <v>1764</v>
      </c>
      <c r="C579" t="s">
        <v>1765</v>
      </c>
      <c r="D579">
        <v>44</v>
      </c>
      <c r="E579">
        <v>0</v>
      </c>
      <c r="F579">
        <v>0</v>
      </c>
    </row>
    <row r="580" spans="1:6" x14ac:dyDescent="0.25">
      <c r="A580" s="172" t="s">
        <v>1766</v>
      </c>
      <c r="B580" t="s">
        <v>1767</v>
      </c>
      <c r="C580" t="s">
        <v>1768</v>
      </c>
      <c r="D580">
        <v>2.88</v>
      </c>
      <c r="E580">
        <v>0</v>
      </c>
      <c r="F580">
        <v>0</v>
      </c>
    </row>
    <row r="581" spans="1:6" x14ac:dyDescent="0.25">
      <c r="A581" s="172" t="s">
        <v>1769</v>
      </c>
      <c r="B581" t="s">
        <v>1770</v>
      </c>
      <c r="C581" t="s">
        <v>1771</v>
      </c>
      <c r="D581">
        <v>16.02</v>
      </c>
      <c r="E581">
        <v>0</v>
      </c>
      <c r="F581">
        <v>0</v>
      </c>
    </row>
    <row r="582" spans="1:6" x14ac:dyDescent="0.25">
      <c r="A582" s="172" t="s">
        <v>1772</v>
      </c>
      <c r="B582" t="s">
        <v>1773</v>
      </c>
      <c r="C582" t="s">
        <v>1774</v>
      </c>
      <c r="D582">
        <v>0.62</v>
      </c>
      <c r="E582">
        <v>0</v>
      </c>
      <c r="F582">
        <v>0</v>
      </c>
    </row>
    <row r="583" spans="1:6" x14ac:dyDescent="0.25">
      <c r="A583" s="172" t="s">
        <v>1775</v>
      </c>
      <c r="B583" t="s">
        <v>1776</v>
      </c>
      <c r="C583" t="s">
        <v>1777</v>
      </c>
      <c r="D583">
        <v>0.62</v>
      </c>
      <c r="E583">
        <v>0</v>
      </c>
      <c r="F583">
        <v>0</v>
      </c>
    </row>
    <row r="584" spans="1:6" x14ac:dyDescent="0.25">
      <c r="A584" s="172" t="s">
        <v>1778</v>
      </c>
      <c r="B584" t="s">
        <v>1779</v>
      </c>
      <c r="C584" t="s">
        <v>1780</v>
      </c>
      <c r="D584">
        <v>0.88</v>
      </c>
      <c r="E584">
        <v>0</v>
      </c>
      <c r="F584">
        <v>0</v>
      </c>
    </row>
    <row r="585" spans="1:6" x14ac:dyDescent="0.25">
      <c r="A585" s="172" t="s">
        <v>1781</v>
      </c>
      <c r="B585" t="s">
        <v>1782</v>
      </c>
      <c r="C585" t="s">
        <v>1783</v>
      </c>
      <c r="D585">
        <v>0.88</v>
      </c>
      <c r="E585">
        <v>0</v>
      </c>
      <c r="F585">
        <v>0</v>
      </c>
    </row>
    <row r="586" spans="1:6" x14ac:dyDescent="0.25">
      <c r="A586" s="172" t="s">
        <v>1784</v>
      </c>
      <c r="B586" t="s">
        <v>1785</v>
      </c>
      <c r="C586" t="s">
        <v>1786</v>
      </c>
      <c r="D586">
        <v>0.21</v>
      </c>
      <c r="E586">
        <v>0</v>
      </c>
      <c r="F586">
        <v>0</v>
      </c>
    </row>
    <row r="587" spans="1:6" x14ac:dyDescent="0.25">
      <c r="A587" s="172" t="s">
        <v>1787</v>
      </c>
      <c r="B587" t="s">
        <v>1788</v>
      </c>
      <c r="C587" t="s">
        <v>1789</v>
      </c>
      <c r="D587">
        <v>0.88</v>
      </c>
      <c r="E587">
        <v>0</v>
      </c>
      <c r="F587">
        <v>0</v>
      </c>
    </row>
    <row r="588" spans="1:6" x14ac:dyDescent="0.25">
      <c r="A588" s="172" t="s">
        <v>1790</v>
      </c>
      <c r="B588" t="s">
        <v>1791</v>
      </c>
      <c r="C588" t="s">
        <v>1792</v>
      </c>
      <c r="D588">
        <v>0.88</v>
      </c>
      <c r="E588">
        <v>0</v>
      </c>
      <c r="F588">
        <v>0</v>
      </c>
    </row>
    <row r="589" spans="1:6" x14ac:dyDescent="0.25">
      <c r="A589" s="172" t="s">
        <v>1793</v>
      </c>
      <c r="B589" t="s">
        <v>1794</v>
      </c>
      <c r="C589" t="s">
        <v>1795</v>
      </c>
      <c r="D589">
        <v>0.21</v>
      </c>
      <c r="E589">
        <v>0</v>
      </c>
      <c r="F589">
        <v>0</v>
      </c>
    </row>
    <row r="590" spans="1:6" x14ac:dyDescent="0.25">
      <c r="A590" s="172" t="s">
        <v>1796</v>
      </c>
      <c r="B590" t="s">
        <v>1797</v>
      </c>
      <c r="C590" t="s">
        <v>1798</v>
      </c>
      <c r="D590">
        <v>0.4</v>
      </c>
      <c r="E590">
        <v>0</v>
      </c>
      <c r="F590">
        <v>0</v>
      </c>
    </row>
    <row r="591" spans="1:6" x14ac:dyDescent="0.25">
      <c r="A591" s="172" t="s">
        <v>1799</v>
      </c>
      <c r="B591" t="s">
        <v>1800</v>
      </c>
      <c r="C591" t="s">
        <v>1801</v>
      </c>
      <c r="D591">
        <v>0.55</v>
      </c>
      <c r="E591">
        <v>0</v>
      </c>
      <c r="F591">
        <v>0</v>
      </c>
    </row>
    <row r="592" spans="1:6" x14ac:dyDescent="0.25">
      <c r="A592" s="172" t="s">
        <v>1802</v>
      </c>
      <c r="B592" t="s">
        <v>1803</v>
      </c>
      <c r="C592" t="s">
        <v>1804</v>
      </c>
      <c r="D592">
        <v>17.25</v>
      </c>
      <c r="E592">
        <v>0</v>
      </c>
      <c r="F592">
        <v>0</v>
      </c>
    </row>
    <row r="593" spans="1:6" x14ac:dyDescent="0.25">
      <c r="A593" s="172" t="s">
        <v>1805</v>
      </c>
      <c r="B593" t="s">
        <v>1806</v>
      </c>
      <c r="C593" t="s">
        <v>248</v>
      </c>
      <c r="D593">
        <v>6.24</v>
      </c>
      <c r="E593">
        <v>0</v>
      </c>
      <c r="F593">
        <v>0</v>
      </c>
    </row>
    <row r="594" spans="1:6" x14ac:dyDescent="0.25">
      <c r="A594" s="172" t="s">
        <v>1807</v>
      </c>
      <c r="B594" t="s">
        <v>1808</v>
      </c>
      <c r="C594" t="s">
        <v>1809</v>
      </c>
      <c r="D594">
        <v>12.95</v>
      </c>
      <c r="E594">
        <v>0</v>
      </c>
      <c r="F594">
        <v>0</v>
      </c>
    </row>
    <row r="595" spans="1:6" x14ac:dyDescent="0.25">
      <c r="A595" s="172" t="s">
        <v>1810</v>
      </c>
      <c r="B595" t="s">
        <v>1811</v>
      </c>
      <c r="C595" t="s">
        <v>1812</v>
      </c>
      <c r="D595">
        <v>2.12</v>
      </c>
      <c r="E595">
        <v>0</v>
      </c>
      <c r="F595">
        <v>0</v>
      </c>
    </row>
    <row r="596" spans="1:6" x14ac:dyDescent="0.25">
      <c r="A596" s="172" t="s">
        <v>1813</v>
      </c>
      <c r="B596" t="s">
        <v>1814</v>
      </c>
      <c r="C596" t="s">
        <v>1815</v>
      </c>
      <c r="D596">
        <v>11.03</v>
      </c>
      <c r="E596">
        <v>0</v>
      </c>
      <c r="F596">
        <v>0</v>
      </c>
    </row>
    <row r="597" spans="1:6" x14ac:dyDescent="0.25">
      <c r="A597" s="172" t="s">
        <v>1816</v>
      </c>
      <c r="B597" t="s">
        <v>1817</v>
      </c>
      <c r="C597" t="s">
        <v>1818</v>
      </c>
      <c r="D597">
        <v>13.85</v>
      </c>
      <c r="E597">
        <v>0</v>
      </c>
      <c r="F597">
        <v>0</v>
      </c>
    </row>
    <row r="598" spans="1:6" x14ac:dyDescent="0.25">
      <c r="A598" s="172" t="s">
        <v>1819</v>
      </c>
      <c r="B598" t="s">
        <v>1820</v>
      </c>
      <c r="C598" t="s">
        <v>1821</v>
      </c>
      <c r="D598">
        <v>22.35</v>
      </c>
      <c r="E598">
        <v>0</v>
      </c>
      <c r="F598">
        <v>0</v>
      </c>
    </row>
    <row r="599" spans="1:6" x14ac:dyDescent="0.25">
      <c r="A599" s="172" t="s">
        <v>1822</v>
      </c>
      <c r="B599" t="s">
        <v>1823</v>
      </c>
      <c r="C599" t="s">
        <v>1824</v>
      </c>
      <c r="D599">
        <v>7.99</v>
      </c>
      <c r="E599">
        <v>0</v>
      </c>
      <c r="F599">
        <v>0</v>
      </c>
    </row>
    <row r="600" spans="1:6" x14ac:dyDescent="0.25">
      <c r="A600" s="172" t="s">
        <v>1825</v>
      </c>
      <c r="B600" t="s">
        <v>1826</v>
      </c>
      <c r="C600" t="s">
        <v>1827</v>
      </c>
      <c r="D600">
        <v>20.6</v>
      </c>
      <c r="E600">
        <v>0</v>
      </c>
      <c r="F600">
        <v>0</v>
      </c>
    </row>
    <row r="601" spans="1:6" x14ac:dyDescent="0.25">
      <c r="A601" s="172" t="s">
        <v>1828</v>
      </c>
      <c r="B601" t="s">
        <v>1829</v>
      </c>
      <c r="C601" t="s">
        <v>1830</v>
      </c>
      <c r="D601">
        <v>6.8</v>
      </c>
      <c r="E601">
        <v>0</v>
      </c>
      <c r="F601">
        <v>0</v>
      </c>
    </row>
    <row r="602" spans="1:6" x14ac:dyDescent="0.25">
      <c r="A602" s="172" t="s">
        <v>1831</v>
      </c>
      <c r="B602" t="s">
        <v>1832</v>
      </c>
      <c r="C602" t="s">
        <v>1833</v>
      </c>
      <c r="D602">
        <v>20.6</v>
      </c>
      <c r="E602">
        <v>0</v>
      </c>
      <c r="F602">
        <v>0</v>
      </c>
    </row>
    <row r="603" spans="1:6" x14ac:dyDescent="0.25">
      <c r="A603" s="172" t="s">
        <v>1834</v>
      </c>
      <c r="B603" t="s">
        <v>1835</v>
      </c>
      <c r="C603" t="s">
        <v>1836</v>
      </c>
      <c r="D603">
        <v>7.65</v>
      </c>
      <c r="E603">
        <v>0</v>
      </c>
      <c r="F603">
        <v>0</v>
      </c>
    </row>
    <row r="604" spans="1:6" x14ac:dyDescent="0.25">
      <c r="A604" s="172" t="s">
        <v>1837</v>
      </c>
      <c r="B604" t="s">
        <v>1838</v>
      </c>
      <c r="C604" t="s">
        <v>1839</v>
      </c>
      <c r="D604">
        <v>27.3</v>
      </c>
      <c r="E604">
        <v>0</v>
      </c>
      <c r="F604">
        <v>0</v>
      </c>
    </row>
    <row r="605" spans="1:6" x14ac:dyDescent="0.25">
      <c r="A605" s="172" t="s">
        <v>1840</v>
      </c>
      <c r="B605" t="s">
        <v>1841</v>
      </c>
      <c r="C605" t="s">
        <v>1842</v>
      </c>
      <c r="D605">
        <v>14.62</v>
      </c>
      <c r="E605">
        <v>0</v>
      </c>
      <c r="F605">
        <v>0</v>
      </c>
    </row>
    <row r="606" spans="1:6" x14ac:dyDescent="0.25">
      <c r="A606" s="172" t="s">
        <v>1843</v>
      </c>
      <c r="B606" t="s">
        <v>1844</v>
      </c>
      <c r="C606" t="s">
        <v>1845</v>
      </c>
      <c r="D606">
        <v>12.69</v>
      </c>
      <c r="E606">
        <v>0</v>
      </c>
      <c r="F606">
        <v>0</v>
      </c>
    </row>
    <row r="607" spans="1:6" x14ac:dyDescent="0.25">
      <c r="A607" s="172" t="s">
        <v>1846</v>
      </c>
      <c r="B607" t="s">
        <v>1847</v>
      </c>
      <c r="C607" t="s">
        <v>1848</v>
      </c>
      <c r="D607">
        <v>8.67</v>
      </c>
      <c r="E607">
        <v>0</v>
      </c>
      <c r="F607">
        <v>0</v>
      </c>
    </row>
    <row r="608" spans="1:6" x14ac:dyDescent="0.25">
      <c r="A608" s="172" t="s">
        <v>1849</v>
      </c>
      <c r="B608" t="s">
        <v>1850</v>
      </c>
      <c r="C608" t="s">
        <v>1851</v>
      </c>
      <c r="D608">
        <v>8.98</v>
      </c>
      <c r="E608">
        <v>0</v>
      </c>
      <c r="F608">
        <v>0</v>
      </c>
    </row>
    <row r="609" spans="1:6" x14ac:dyDescent="0.25">
      <c r="A609" s="172" t="s">
        <v>1852</v>
      </c>
      <c r="B609" t="s">
        <v>1853</v>
      </c>
      <c r="C609" t="s">
        <v>1854</v>
      </c>
      <c r="D609">
        <v>5.97</v>
      </c>
      <c r="E609">
        <v>0</v>
      </c>
      <c r="F609">
        <v>0</v>
      </c>
    </row>
    <row r="610" spans="1:6" x14ac:dyDescent="0.25">
      <c r="A610" s="172" t="s">
        <v>1855</v>
      </c>
      <c r="B610" t="s">
        <v>1856</v>
      </c>
      <c r="C610" t="s">
        <v>1857</v>
      </c>
      <c r="D610">
        <v>20.95</v>
      </c>
      <c r="E610">
        <v>0</v>
      </c>
      <c r="F610">
        <v>0</v>
      </c>
    </row>
    <row r="611" spans="1:6" x14ac:dyDescent="0.25">
      <c r="A611" s="172" t="s">
        <v>1858</v>
      </c>
      <c r="B611" t="s">
        <v>1859</v>
      </c>
      <c r="C611" t="s">
        <v>1860</v>
      </c>
      <c r="D611">
        <v>41.95</v>
      </c>
      <c r="E611">
        <v>0</v>
      </c>
      <c r="F611">
        <v>0</v>
      </c>
    </row>
    <row r="612" spans="1:6" x14ac:dyDescent="0.25">
      <c r="A612" s="172" t="s">
        <v>1861</v>
      </c>
      <c r="B612" t="s">
        <v>1862</v>
      </c>
      <c r="C612" t="s">
        <v>1863</v>
      </c>
      <c r="D612">
        <v>19.95</v>
      </c>
      <c r="E612">
        <v>0</v>
      </c>
      <c r="F612">
        <v>0</v>
      </c>
    </row>
    <row r="613" spans="1:6" x14ac:dyDescent="0.25">
      <c r="A613" s="172" t="s">
        <v>1864</v>
      </c>
      <c r="B613" t="s">
        <v>1865</v>
      </c>
      <c r="C613" t="s">
        <v>1866</v>
      </c>
      <c r="D613">
        <v>3.2</v>
      </c>
      <c r="E613">
        <v>0</v>
      </c>
      <c r="F613">
        <v>0</v>
      </c>
    </row>
    <row r="614" spans="1:6" x14ac:dyDescent="0.25">
      <c r="A614" s="172" t="s">
        <v>1867</v>
      </c>
      <c r="B614" t="s">
        <v>1868</v>
      </c>
      <c r="C614" t="s">
        <v>1869</v>
      </c>
      <c r="D614">
        <v>11.84</v>
      </c>
      <c r="E614">
        <v>0</v>
      </c>
      <c r="F614">
        <v>0</v>
      </c>
    </row>
    <row r="615" spans="1:6" x14ac:dyDescent="0.25">
      <c r="A615" s="172" t="s">
        <v>1870</v>
      </c>
      <c r="B615" t="s">
        <v>1871</v>
      </c>
      <c r="C615" t="s">
        <v>1872</v>
      </c>
      <c r="D615">
        <v>25.7</v>
      </c>
      <c r="E615">
        <v>0</v>
      </c>
      <c r="F615">
        <v>0</v>
      </c>
    </row>
    <row r="616" spans="1:6" x14ac:dyDescent="0.25">
      <c r="A616" s="172" t="s">
        <v>1873</v>
      </c>
      <c r="B616" t="s">
        <v>1874</v>
      </c>
      <c r="C616" t="s">
        <v>1875</v>
      </c>
      <c r="D616">
        <v>10.93</v>
      </c>
      <c r="E616">
        <v>0</v>
      </c>
      <c r="F616">
        <v>0</v>
      </c>
    </row>
    <row r="617" spans="1:6" x14ac:dyDescent="0.25">
      <c r="A617" s="172" t="s">
        <v>1876</v>
      </c>
      <c r="B617" t="s">
        <v>1877</v>
      </c>
      <c r="C617" t="s">
        <v>1878</v>
      </c>
      <c r="D617">
        <v>15.9</v>
      </c>
      <c r="E617">
        <v>0</v>
      </c>
      <c r="F617">
        <v>0</v>
      </c>
    </row>
    <row r="618" spans="1:6" x14ac:dyDescent="0.25">
      <c r="A618" s="172" t="s">
        <v>1879</v>
      </c>
      <c r="B618" t="s">
        <v>1880</v>
      </c>
      <c r="C618" t="s">
        <v>1881</v>
      </c>
      <c r="D618">
        <v>9.3</v>
      </c>
      <c r="E618">
        <v>0</v>
      </c>
      <c r="F618">
        <v>0</v>
      </c>
    </row>
    <row r="619" spans="1:6" x14ac:dyDescent="0.25">
      <c r="A619" s="172" t="s">
        <v>1882</v>
      </c>
      <c r="B619" t="s">
        <v>1883</v>
      </c>
      <c r="C619" t="s">
        <v>1884</v>
      </c>
      <c r="D619">
        <v>30.4</v>
      </c>
      <c r="E619">
        <v>0</v>
      </c>
      <c r="F619">
        <v>0</v>
      </c>
    </row>
    <row r="620" spans="1:6" x14ac:dyDescent="0.25">
      <c r="A620" s="172" t="s">
        <v>1885</v>
      </c>
      <c r="B620" t="s">
        <v>1886</v>
      </c>
      <c r="C620" t="s">
        <v>1887</v>
      </c>
      <c r="D620">
        <v>15.9</v>
      </c>
      <c r="E620">
        <v>0</v>
      </c>
      <c r="F620">
        <v>0</v>
      </c>
    </row>
    <row r="621" spans="1:6" x14ac:dyDescent="0.25">
      <c r="A621" s="172" t="s">
        <v>1888</v>
      </c>
      <c r="B621" t="s">
        <v>1889</v>
      </c>
      <c r="C621" t="s">
        <v>1890</v>
      </c>
      <c r="D621">
        <v>29.9</v>
      </c>
      <c r="E621">
        <v>0</v>
      </c>
      <c r="F621">
        <v>0</v>
      </c>
    </row>
    <row r="622" spans="1:6" x14ac:dyDescent="0.25">
      <c r="A622" s="172" t="s">
        <v>1891</v>
      </c>
      <c r="B622" t="s">
        <v>1892</v>
      </c>
      <c r="C622" t="s">
        <v>1893</v>
      </c>
      <c r="D622">
        <v>7.15</v>
      </c>
      <c r="E622">
        <v>0</v>
      </c>
      <c r="F622">
        <v>0</v>
      </c>
    </row>
    <row r="623" spans="1:6" x14ac:dyDescent="0.25">
      <c r="A623" s="172" t="s">
        <v>1894</v>
      </c>
      <c r="B623" t="s">
        <v>1895</v>
      </c>
      <c r="C623" t="s">
        <v>1896</v>
      </c>
      <c r="D623">
        <v>2.67</v>
      </c>
      <c r="E623">
        <v>0</v>
      </c>
      <c r="F623">
        <v>0</v>
      </c>
    </row>
    <row r="624" spans="1:6" x14ac:dyDescent="0.25">
      <c r="A624" s="172" t="s">
        <v>1897</v>
      </c>
      <c r="B624" t="s">
        <v>1898</v>
      </c>
      <c r="C624" t="s">
        <v>1899</v>
      </c>
      <c r="D624">
        <v>1.8</v>
      </c>
      <c r="E624">
        <v>0</v>
      </c>
      <c r="F624">
        <v>0</v>
      </c>
    </row>
    <row r="625" spans="1:6" x14ac:dyDescent="0.25">
      <c r="A625" s="172" t="s">
        <v>1900</v>
      </c>
      <c r="B625" t="s">
        <v>1901</v>
      </c>
      <c r="C625" t="s">
        <v>1902</v>
      </c>
      <c r="D625">
        <v>1.8</v>
      </c>
      <c r="E625">
        <v>0</v>
      </c>
      <c r="F625">
        <v>0</v>
      </c>
    </row>
    <row r="626" spans="1:6" x14ac:dyDescent="0.25">
      <c r="A626" s="172" t="s">
        <v>1903</v>
      </c>
      <c r="B626" t="s">
        <v>1904</v>
      </c>
      <c r="C626" t="s">
        <v>1905</v>
      </c>
      <c r="D626">
        <v>13.05</v>
      </c>
      <c r="E626">
        <v>0</v>
      </c>
      <c r="F626">
        <v>0</v>
      </c>
    </row>
    <row r="627" spans="1:6" x14ac:dyDescent="0.25">
      <c r="A627" s="172" t="s">
        <v>1906</v>
      </c>
      <c r="B627" t="s">
        <v>1907</v>
      </c>
      <c r="C627" t="s">
        <v>1908</v>
      </c>
      <c r="D627">
        <v>14.74</v>
      </c>
      <c r="E627">
        <v>0</v>
      </c>
      <c r="F627">
        <v>0</v>
      </c>
    </row>
    <row r="628" spans="1:6" x14ac:dyDescent="0.25">
      <c r="A628" s="172" t="s">
        <v>1909</v>
      </c>
      <c r="B628" t="s">
        <v>1910</v>
      </c>
      <c r="C628" t="s">
        <v>1911</v>
      </c>
      <c r="D628">
        <v>0.36</v>
      </c>
      <c r="E628">
        <v>0</v>
      </c>
      <c r="F628">
        <v>0</v>
      </c>
    </row>
    <row r="629" spans="1:6" x14ac:dyDescent="0.25">
      <c r="A629" s="172" t="s">
        <v>1912</v>
      </c>
      <c r="B629" t="s">
        <v>1913</v>
      </c>
      <c r="C629" t="s">
        <v>1914</v>
      </c>
      <c r="D629">
        <v>14.25</v>
      </c>
      <c r="E629">
        <v>0</v>
      </c>
      <c r="F629">
        <v>0</v>
      </c>
    </row>
    <row r="630" spans="1:6" x14ac:dyDescent="0.25">
      <c r="A630" s="172" t="s">
        <v>1915</v>
      </c>
      <c r="B630" t="s">
        <v>1916</v>
      </c>
      <c r="C630" t="s">
        <v>1917</v>
      </c>
      <c r="D630">
        <v>14.29</v>
      </c>
      <c r="E630">
        <v>0</v>
      </c>
      <c r="F630">
        <v>0</v>
      </c>
    </row>
    <row r="631" spans="1:6" x14ac:dyDescent="0.25">
      <c r="A631" s="172" t="s">
        <v>1918</v>
      </c>
      <c r="B631" t="s">
        <v>1919</v>
      </c>
      <c r="C631" t="s">
        <v>1920</v>
      </c>
      <c r="D631">
        <v>20.08</v>
      </c>
      <c r="E631">
        <v>0</v>
      </c>
      <c r="F631">
        <v>0</v>
      </c>
    </row>
    <row r="632" spans="1:6" x14ac:dyDescent="0.25">
      <c r="A632" s="172" t="s">
        <v>1921</v>
      </c>
      <c r="B632" t="s">
        <v>1922</v>
      </c>
      <c r="C632" t="s">
        <v>1923</v>
      </c>
      <c r="D632">
        <v>20.08</v>
      </c>
      <c r="E632">
        <v>0</v>
      </c>
      <c r="F632">
        <v>20.08</v>
      </c>
    </row>
    <row r="633" spans="1:6" x14ac:dyDescent="0.25">
      <c r="A633" s="172" t="s">
        <v>1924</v>
      </c>
      <c r="B633" t="s">
        <v>1925</v>
      </c>
      <c r="C633" t="s">
        <v>1926</v>
      </c>
      <c r="D633">
        <v>15.05</v>
      </c>
      <c r="E633">
        <v>0</v>
      </c>
      <c r="F633">
        <v>0</v>
      </c>
    </row>
    <row r="634" spans="1:6" x14ac:dyDescent="0.25">
      <c r="A634" s="172" t="s">
        <v>1927</v>
      </c>
      <c r="B634" t="s">
        <v>1928</v>
      </c>
      <c r="C634" t="s">
        <v>248</v>
      </c>
      <c r="D634">
        <v>20.67</v>
      </c>
      <c r="E634">
        <v>0</v>
      </c>
      <c r="F634">
        <v>0</v>
      </c>
    </row>
    <row r="635" spans="1:6" x14ac:dyDescent="0.25">
      <c r="A635" s="172" t="s">
        <v>1929</v>
      </c>
      <c r="B635" t="s">
        <v>1930</v>
      </c>
      <c r="C635" t="s">
        <v>248</v>
      </c>
      <c r="D635">
        <v>0</v>
      </c>
      <c r="E635">
        <v>0</v>
      </c>
      <c r="F635">
        <v>0</v>
      </c>
    </row>
    <row r="636" spans="1:6" x14ac:dyDescent="0.25">
      <c r="A636" s="172" t="s">
        <v>1931</v>
      </c>
      <c r="B636" t="s">
        <v>1932</v>
      </c>
      <c r="C636" t="s">
        <v>1933</v>
      </c>
      <c r="D636">
        <v>3.8</v>
      </c>
      <c r="E636">
        <v>0</v>
      </c>
      <c r="F636">
        <v>0</v>
      </c>
    </row>
    <row r="637" spans="1:6" x14ac:dyDescent="0.25">
      <c r="A637" s="172" t="s">
        <v>1934</v>
      </c>
      <c r="B637" t="s">
        <v>1935</v>
      </c>
      <c r="C637" t="s">
        <v>1936</v>
      </c>
      <c r="D637">
        <v>0.88</v>
      </c>
      <c r="E637">
        <v>0</v>
      </c>
      <c r="F637">
        <v>0</v>
      </c>
    </row>
    <row r="638" spans="1:6" x14ac:dyDescent="0.25">
      <c r="A638" s="172" t="s">
        <v>1937</v>
      </c>
      <c r="B638" t="s">
        <v>1938</v>
      </c>
      <c r="C638" t="s">
        <v>248</v>
      </c>
      <c r="D638">
        <v>0</v>
      </c>
      <c r="E638">
        <v>0</v>
      </c>
      <c r="F638">
        <v>0</v>
      </c>
    </row>
    <row r="639" spans="1:6" x14ac:dyDescent="0.25">
      <c r="A639" s="172" t="s">
        <v>1939</v>
      </c>
      <c r="B639" t="s">
        <v>1940</v>
      </c>
      <c r="C639" t="s">
        <v>1941</v>
      </c>
      <c r="D639">
        <v>0.9</v>
      </c>
      <c r="E639">
        <v>0</v>
      </c>
      <c r="F639">
        <v>0</v>
      </c>
    </row>
    <row r="640" spans="1:6" x14ac:dyDescent="0.25">
      <c r="A640" s="172" t="s">
        <v>1942</v>
      </c>
      <c r="B640" t="s">
        <v>1943</v>
      </c>
      <c r="C640" t="s">
        <v>1944</v>
      </c>
      <c r="D640">
        <v>0.73</v>
      </c>
      <c r="E640">
        <v>0</v>
      </c>
      <c r="F640">
        <v>0</v>
      </c>
    </row>
    <row r="641" spans="1:6" x14ac:dyDescent="0.25">
      <c r="A641" s="172" t="s">
        <v>1945</v>
      </c>
      <c r="B641" t="s">
        <v>1946</v>
      </c>
      <c r="C641" t="s">
        <v>1947</v>
      </c>
      <c r="D641">
        <v>0.63</v>
      </c>
      <c r="E641">
        <v>0</v>
      </c>
      <c r="F641">
        <v>0</v>
      </c>
    </row>
    <row r="642" spans="1:6" x14ac:dyDescent="0.25">
      <c r="A642" s="172" t="s">
        <v>1948</v>
      </c>
      <c r="B642" t="s">
        <v>1949</v>
      </c>
      <c r="C642" t="s">
        <v>1950</v>
      </c>
      <c r="D642">
        <v>2</v>
      </c>
      <c r="E642">
        <v>0</v>
      </c>
      <c r="F642">
        <v>0</v>
      </c>
    </row>
    <row r="643" spans="1:6" x14ac:dyDescent="0.25">
      <c r="A643" s="172" t="s">
        <v>1951</v>
      </c>
      <c r="B643" t="s">
        <v>1952</v>
      </c>
      <c r="C643" t="s">
        <v>1953</v>
      </c>
      <c r="D643">
        <v>6</v>
      </c>
      <c r="E643">
        <v>0</v>
      </c>
      <c r="F643">
        <v>0</v>
      </c>
    </row>
    <row r="644" spans="1:6" x14ac:dyDescent="0.25">
      <c r="A644" s="172" t="s">
        <v>1954</v>
      </c>
      <c r="B644" t="s">
        <v>1955</v>
      </c>
      <c r="C644" t="s">
        <v>1956</v>
      </c>
      <c r="D644">
        <v>3.45</v>
      </c>
      <c r="E644">
        <v>0</v>
      </c>
      <c r="F644">
        <v>0</v>
      </c>
    </row>
    <row r="645" spans="1:6" x14ac:dyDescent="0.25">
      <c r="A645" s="172" t="s">
        <v>1957</v>
      </c>
      <c r="B645" t="s">
        <v>1958</v>
      </c>
      <c r="C645" t="s">
        <v>1959</v>
      </c>
      <c r="D645">
        <v>0.99</v>
      </c>
      <c r="E645">
        <v>0</v>
      </c>
      <c r="F645">
        <v>0</v>
      </c>
    </row>
    <row r="646" spans="1:6" x14ac:dyDescent="0.25">
      <c r="A646" s="172" t="s">
        <v>1960</v>
      </c>
      <c r="B646" t="s">
        <v>1961</v>
      </c>
      <c r="C646" t="s">
        <v>1962</v>
      </c>
      <c r="D646">
        <v>0.93</v>
      </c>
      <c r="E646">
        <v>0</v>
      </c>
      <c r="F646">
        <v>0</v>
      </c>
    </row>
    <row r="647" spans="1:6" x14ac:dyDescent="0.25">
      <c r="A647" s="172" t="s">
        <v>1963</v>
      </c>
      <c r="B647" t="s">
        <v>1964</v>
      </c>
      <c r="C647" t="s">
        <v>1965</v>
      </c>
      <c r="D647">
        <v>0.93</v>
      </c>
      <c r="E647">
        <v>0</v>
      </c>
      <c r="F647">
        <v>0</v>
      </c>
    </row>
    <row r="648" spans="1:6" x14ac:dyDescent="0.25">
      <c r="A648" s="172" t="s">
        <v>1966</v>
      </c>
      <c r="B648" t="s">
        <v>1967</v>
      </c>
      <c r="C648" t="s">
        <v>1968</v>
      </c>
      <c r="D648">
        <v>0.93</v>
      </c>
      <c r="E648">
        <v>0</v>
      </c>
      <c r="F648">
        <v>0</v>
      </c>
    </row>
    <row r="649" spans="1:6" x14ac:dyDescent="0.25">
      <c r="A649" s="172" t="s">
        <v>1969</v>
      </c>
      <c r="B649" t="s">
        <v>1970</v>
      </c>
      <c r="C649" t="s">
        <v>1971</v>
      </c>
      <c r="D649">
        <v>4</v>
      </c>
      <c r="E649">
        <v>0</v>
      </c>
      <c r="F649">
        <v>0</v>
      </c>
    </row>
    <row r="650" spans="1:6" x14ac:dyDescent="0.25">
      <c r="A650" s="172" t="s">
        <v>1972</v>
      </c>
      <c r="B650" t="s">
        <v>1973</v>
      </c>
      <c r="C650" t="s">
        <v>1974</v>
      </c>
      <c r="D650">
        <v>0.99</v>
      </c>
      <c r="E650">
        <v>0</v>
      </c>
      <c r="F650">
        <v>0</v>
      </c>
    </row>
    <row r="651" spans="1:6" x14ac:dyDescent="0.25">
      <c r="A651" s="172" t="s">
        <v>1975</v>
      </c>
      <c r="B651" t="s">
        <v>1976</v>
      </c>
      <c r="C651" t="s">
        <v>1977</v>
      </c>
      <c r="D651">
        <v>6.2</v>
      </c>
      <c r="E651">
        <v>0</v>
      </c>
      <c r="F651">
        <v>0</v>
      </c>
    </row>
    <row r="652" spans="1:6" x14ac:dyDescent="0.25">
      <c r="A652" s="172" t="s">
        <v>1978</v>
      </c>
      <c r="B652" t="s">
        <v>1979</v>
      </c>
      <c r="C652" t="s">
        <v>1980</v>
      </c>
      <c r="D652">
        <v>1</v>
      </c>
      <c r="E652">
        <v>0</v>
      </c>
      <c r="F652">
        <v>0</v>
      </c>
    </row>
    <row r="653" spans="1:6" x14ac:dyDescent="0.25">
      <c r="A653" s="172" t="s">
        <v>1981</v>
      </c>
      <c r="B653" t="s">
        <v>1982</v>
      </c>
      <c r="C653" t="s">
        <v>1983</v>
      </c>
      <c r="D653">
        <v>1</v>
      </c>
      <c r="E653">
        <v>0</v>
      </c>
      <c r="F653">
        <v>0</v>
      </c>
    </row>
    <row r="654" spans="1:6" x14ac:dyDescent="0.25">
      <c r="A654" s="172" t="s">
        <v>1984</v>
      </c>
      <c r="B654" t="s">
        <v>1985</v>
      </c>
      <c r="C654" t="s">
        <v>1986</v>
      </c>
      <c r="D654">
        <v>1.98</v>
      </c>
      <c r="E654">
        <v>0</v>
      </c>
      <c r="F654">
        <v>0</v>
      </c>
    </row>
    <row r="655" spans="1:6" x14ac:dyDescent="0.25">
      <c r="A655" s="172" t="s">
        <v>1987</v>
      </c>
      <c r="B655" t="s">
        <v>1988</v>
      </c>
      <c r="C655" t="s">
        <v>248</v>
      </c>
      <c r="D655">
        <v>1</v>
      </c>
      <c r="E655">
        <v>0</v>
      </c>
      <c r="F655">
        <v>0</v>
      </c>
    </row>
    <row r="656" spans="1:6" x14ac:dyDescent="0.25">
      <c r="A656" s="172" t="s">
        <v>1989</v>
      </c>
      <c r="B656" t="s">
        <v>1990</v>
      </c>
      <c r="C656" t="s">
        <v>1991</v>
      </c>
      <c r="D656">
        <v>2.35</v>
      </c>
      <c r="E656">
        <v>0</v>
      </c>
      <c r="F656">
        <v>0</v>
      </c>
    </row>
    <row r="657" spans="1:6" x14ac:dyDescent="0.25">
      <c r="A657" s="172" t="s">
        <v>1992</v>
      </c>
      <c r="B657" t="s">
        <v>1993</v>
      </c>
      <c r="C657" t="s">
        <v>1994</v>
      </c>
      <c r="D657">
        <v>15</v>
      </c>
      <c r="E657">
        <v>0</v>
      </c>
      <c r="F657">
        <v>0</v>
      </c>
    </row>
    <row r="658" spans="1:6" x14ac:dyDescent="0.25">
      <c r="A658" s="172" t="s">
        <v>1995</v>
      </c>
      <c r="B658" t="s">
        <v>1996</v>
      </c>
      <c r="C658" t="s">
        <v>1997</v>
      </c>
      <c r="D658">
        <v>0.99</v>
      </c>
      <c r="E658">
        <v>0</v>
      </c>
      <c r="F658">
        <v>0</v>
      </c>
    </row>
    <row r="659" spans="1:6" x14ac:dyDescent="0.25">
      <c r="A659" s="172" t="s">
        <v>1998</v>
      </c>
      <c r="B659" t="s">
        <v>1999</v>
      </c>
      <c r="C659" t="s">
        <v>2000</v>
      </c>
      <c r="D659">
        <v>1</v>
      </c>
      <c r="E659">
        <v>0</v>
      </c>
      <c r="F659">
        <v>0</v>
      </c>
    </row>
    <row r="660" spans="1:6" x14ac:dyDescent="0.25">
      <c r="A660" s="172" t="s">
        <v>2001</v>
      </c>
      <c r="B660" t="s">
        <v>2002</v>
      </c>
      <c r="C660" t="s">
        <v>2003</v>
      </c>
      <c r="D660">
        <v>1.95</v>
      </c>
      <c r="E660">
        <v>0</v>
      </c>
      <c r="F660">
        <v>0</v>
      </c>
    </row>
    <row r="661" spans="1:6" x14ac:dyDescent="0.25">
      <c r="A661" s="172" t="s">
        <v>2004</v>
      </c>
      <c r="B661" t="s">
        <v>2005</v>
      </c>
      <c r="C661" t="s">
        <v>2006</v>
      </c>
      <c r="D661">
        <v>0</v>
      </c>
      <c r="E661">
        <v>0</v>
      </c>
      <c r="F661">
        <v>0</v>
      </c>
    </row>
    <row r="662" spans="1:6" x14ac:dyDescent="0.25">
      <c r="A662" s="172" t="s">
        <v>2007</v>
      </c>
      <c r="B662" t="s">
        <v>2008</v>
      </c>
      <c r="C662" t="s">
        <v>2009</v>
      </c>
      <c r="D662">
        <v>2.07</v>
      </c>
      <c r="E662">
        <v>0</v>
      </c>
      <c r="F662">
        <v>0</v>
      </c>
    </row>
    <row r="663" spans="1:6" x14ac:dyDescent="0.25">
      <c r="A663" s="172" t="s">
        <v>2010</v>
      </c>
      <c r="B663" t="s">
        <v>2011</v>
      </c>
      <c r="C663" t="s">
        <v>2012</v>
      </c>
      <c r="D663">
        <v>2.07</v>
      </c>
      <c r="E663">
        <v>0</v>
      </c>
      <c r="F663">
        <v>0</v>
      </c>
    </row>
    <row r="664" spans="1:6" x14ac:dyDescent="0.25">
      <c r="A664" s="172" t="s">
        <v>2013</v>
      </c>
      <c r="B664" t="s">
        <v>2014</v>
      </c>
      <c r="C664" t="s">
        <v>2015</v>
      </c>
      <c r="D664">
        <v>2.07</v>
      </c>
      <c r="E664">
        <v>0</v>
      </c>
      <c r="F664">
        <v>0</v>
      </c>
    </row>
    <row r="665" spans="1:6" x14ac:dyDescent="0.25">
      <c r="A665" s="172" t="s">
        <v>2016</v>
      </c>
      <c r="B665" t="s">
        <v>2017</v>
      </c>
      <c r="C665" t="s">
        <v>2018</v>
      </c>
      <c r="D665">
        <v>2.07</v>
      </c>
      <c r="E665">
        <v>0</v>
      </c>
      <c r="F665">
        <v>0</v>
      </c>
    </row>
    <row r="666" spans="1:6" x14ac:dyDescent="0.25">
      <c r="A666" s="172" t="s">
        <v>2019</v>
      </c>
      <c r="B666" t="s">
        <v>2020</v>
      </c>
      <c r="C666" t="s">
        <v>248</v>
      </c>
      <c r="D666">
        <v>1</v>
      </c>
      <c r="E666">
        <v>0</v>
      </c>
      <c r="F666">
        <v>0</v>
      </c>
    </row>
    <row r="667" spans="1:6" x14ac:dyDescent="0.25">
      <c r="A667" s="172" t="s">
        <v>2021</v>
      </c>
      <c r="B667" t="s">
        <v>2022</v>
      </c>
      <c r="C667" t="s">
        <v>2023</v>
      </c>
      <c r="D667">
        <v>8.23</v>
      </c>
      <c r="E667">
        <v>0</v>
      </c>
      <c r="F667">
        <v>0</v>
      </c>
    </row>
    <row r="668" spans="1:6" x14ac:dyDescent="0.25">
      <c r="A668" s="172" t="s">
        <v>2024</v>
      </c>
      <c r="B668" t="s">
        <v>2025</v>
      </c>
      <c r="C668" t="s">
        <v>2026</v>
      </c>
      <c r="D668">
        <v>1</v>
      </c>
      <c r="E668">
        <v>0</v>
      </c>
      <c r="F668">
        <v>0</v>
      </c>
    </row>
    <row r="669" spans="1:6" x14ac:dyDescent="0.25">
      <c r="A669" s="172" t="s">
        <v>2027</v>
      </c>
      <c r="B669" t="s">
        <v>2028</v>
      </c>
      <c r="C669" t="s">
        <v>2029</v>
      </c>
      <c r="D669">
        <v>1.07</v>
      </c>
      <c r="E669">
        <v>0</v>
      </c>
      <c r="F669">
        <v>0</v>
      </c>
    </row>
    <row r="670" spans="1:6" x14ac:dyDescent="0.25">
      <c r="A670" s="172" t="s">
        <v>2030</v>
      </c>
      <c r="B670" t="s">
        <v>2031</v>
      </c>
      <c r="C670" t="s">
        <v>2032</v>
      </c>
      <c r="D670">
        <v>5.86</v>
      </c>
      <c r="E670">
        <v>0</v>
      </c>
      <c r="F670">
        <v>0</v>
      </c>
    </row>
    <row r="671" spans="1:6" x14ac:dyDescent="0.25">
      <c r="A671" s="172" t="s">
        <v>2033</v>
      </c>
      <c r="B671" t="s">
        <v>2034</v>
      </c>
      <c r="C671" t="s">
        <v>2035</v>
      </c>
      <c r="D671">
        <v>5.86</v>
      </c>
      <c r="E671">
        <v>0</v>
      </c>
      <c r="F671">
        <v>0</v>
      </c>
    </row>
    <row r="672" spans="1:6" x14ac:dyDescent="0.25">
      <c r="A672" s="172" t="s">
        <v>2036</v>
      </c>
      <c r="B672" t="s">
        <v>2037</v>
      </c>
      <c r="C672" t="s">
        <v>2038</v>
      </c>
      <c r="D672">
        <v>1</v>
      </c>
      <c r="E672">
        <v>0</v>
      </c>
      <c r="F672">
        <v>0</v>
      </c>
    </row>
    <row r="673" spans="1:6" x14ac:dyDescent="0.25">
      <c r="A673" s="172" t="s">
        <v>2039</v>
      </c>
      <c r="B673" t="s">
        <v>2040</v>
      </c>
      <c r="C673" t="s">
        <v>2041</v>
      </c>
      <c r="D673">
        <v>1</v>
      </c>
      <c r="E673">
        <v>0</v>
      </c>
      <c r="F673">
        <v>0</v>
      </c>
    </row>
    <row r="674" spans="1:6" x14ac:dyDescent="0.25">
      <c r="A674" s="172" t="s">
        <v>2042</v>
      </c>
      <c r="B674" t="s">
        <v>2043</v>
      </c>
      <c r="C674" t="s">
        <v>2044</v>
      </c>
      <c r="D674">
        <v>1.57</v>
      </c>
      <c r="E674">
        <v>0</v>
      </c>
      <c r="F674">
        <v>0</v>
      </c>
    </row>
    <row r="675" spans="1:6" x14ac:dyDescent="0.25">
      <c r="A675" s="172" t="s">
        <v>2045</v>
      </c>
      <c r="B675" t="s">
        <v>2046</v>
      </c>
      <c r="C675" t="s">
        <v>2047</v>
      </c>
      <c r="D675">
        <v>1.57</v>
      </c>
      <c r="E675">
        <v>0</v>
      </c>
      <c r="F675">
        <v>0</v>
      </c>
    </row>
    <row r="676" spans="1:6" x14ac:dyDescent="0.25">
      <c r="A676" s="172" t="s">
        <v>2048</v>
      </c>
      <c r="B676" t="s">
        <v>2049</v>
      </c>
      <c r="C676" t="s">
        <v>2050</v>
      </c>
      <c r="D676">
        <v>1.57</v>
      </c>
      <c r="E676">
        <v>0</v>
      </c>
      <c r="F676">
        <v>0</v>
      </c>
    </row>
    <row r="677" spans="1:6" x14ac:dyDescent="0.25">
      <c r="A677" s="172" t="s">
        <v>2051</v>
      </c>
      <c r="B677" t="s">
        <v>2052</v>
      </c>
      <c r="C677" t="s">
        <v>2053</v>
      </c>
      <c r="D677">
        <v>1.5</v>
      </c>
      <c r="E677">
        <v>0</v>
      </c>
      <c r="F677">
        <v>0</v>
      </c>
    </row>
    <row r="678" spans="1:6" x14ac:dyDescent="0.25">
      <c r="A678" s="172" t="s">
        <v>2054</v>
      </c>
      <c r="B678" t="s">
        <v>2055</v>
      </c>
      <c r="C678" t="s">
        <v>2056</v>
      </c>
      <c r="D678">
        <v>15.1</v>
      </c>
      <c r="E678">
        <v>0</v>
      </c>
      <c r="F678">
        <v>0</v>
      </c>
    </row>
    <row r="679" spans="1:6" x14ac:dyDescent="0.25">
      <c r="A679" s="172" t="s">
        <v>2057</v>
      </c>
      <c r="B679" t="s">
        <v>2058</v>
      </c>
      <c r="C679" t="s">
        <v>2059</v>
      </c>
      <c r="D679">
        <v>0</v>
      </c>
      <c r="E679">
        <v>0</v>
      </c>
      <c r="F679">
        <v>0</v>
      </c>
    </row>
    <row r="680" spans="1:6" x14ac:dyDescent="0.25">
      <c r="A680" s="172" t="s">
        <v>2060</v>
      </c>
      <c r="B680" t="s">
        <v>2061</v>
      </c>
      <c r="C680" t="s">
        <v>2062</v>
      </c>
      <c r="D680">
        <v>8.5</v>
      </c>
      <c r="E680">
        <v>0</v>
      </c>
      <c r="F680">
        <v>0</v>
      </c>
    </row>
    <row r="681" spans="1:6" x14ac:dyDescent="0.25">
      <c r="A681" s="172" t="s">
        <v>2063</v>
      </c>
      <c r="B681" t="s">
        <v>2064</v>
      </c>
      <c r="C681" t="s">
        <v>2065</v>
      </c>
      <c r="D681">
        <v>10.8</v>
      </c>
      <c r="E681">
        <v>0</v>
      </c>
      <c r="F681">
        <v>0</v>
      </c>
    </row>
    <row r="682" spans="1:6" x14ac:dyDescent="0.25">
      <c r="A682" s="172" t="s">
        <v>2066</v>
      </c>
      <c r="B682" t="s">
        <v>2067</v>
      </c>
      <c r="C682" t="s">
        <v>2068</v>
      </c>
      <c r="D682">
        <v>1.5</v>
      </c>
      <c r="E682">
        <v>0</v>
      </c>
      <c r="F682">
        <v>0</v>
      </c>
    </row>
    <row r="683" spans="1:6" x14ac:dyDescent="0.25">
      <c r="A683" s="172" t="s">
        <v>2069</v>
      </c>
      <c r="B683" t="s">
        <v>2070</v>
      </c>
      <c r="C683" t="s">
        <v>2071</v>
      </c>
      <c r="D683">
        <v>11.5</v>
      </c>
      <c r="E683">
        <v>0</v>
      </c>
      <c r="F683">
        <v>0</v>
      </c>
    </row>
    <row r="684" spans="1:6" x14ac:dyDescent="0.25">
      <c r="A684" s="172" t="s">
        <v>2072</v>
      </c>
      <c r="B684" t="s">
        <v>2073</v>
      </c>
      <c r="C684" t="s">
        <v>2074</v>
      </c>
      <c r="D684">
        <v>4.74</v>
      </c>
      <c r="E684">
        <v>0</v>
      </c>
      <c r="F684">
        <v>0</v>
      </c>
    </row>
    <row r="685" spans="1:6" x14ac:dyDescent="0.25">
      <c r="A685" s="172" t="s">
        <v>2075</v>
      </c>
      <c r="B685" t="s">
        <v>2076</v>
      </c>
      <c r="C685" t="s">
        <v>2077</v>
      </c>
      <c r="D685">
        <v>2.01</v>
      </c>
      <c r="E685">
        <v>0</v>
      </c>
      <c r="F685">
        <v>0</v>
      </c>
    </row>
    <row r="686" spans="1:6" x14ac:dyDescent="0.25">
      <c r="A686" s="172" t="s">
        <v>2078</v>
      </c>
      <c r="B686" t="s">
        <v>2079</v>
      </c>
      <c r="C686" t="s">
        <v>2080</v>
      </c>
      <c r="D686">
        <v>2.68</v>
      </c>
      <c r="E686">
        <v>0</v>
      </c>
      <c r="F686">
        <v>0</v>
      </c>
    </row>
    <row r="687" spans="1:6" x14ac:dyDescent="0.25">
      <c r="A687" s="172" t="s">
        <v>2081</v>
      </c>
      <c r="B687" t="s">
        <v>2082</v>
      </c>
      <c r="C687" t="s">
        <v>2083</v>
      </c>
      <c r="D687">
        <v>0.8</v>
      </c>
      <c r="E687">
        <v>0</v>
      </c>
      <c r="F687">
        <v>0</v>
      </c>
    </row>
    <row r="688" spans="1:6" x14ac:dyDescent="0.25">
      <c r="A688" s="172" t="s">
        <v>2084</v>
      </c>
      <c r="B688" t="s">
        <v>2085</v>
      </c>
      <c r="C688" t="s">
        <v>2086</v>
      </c>
      <c r="D688">
        <v>0.8</v>
      </c>
      <c r="E688">
        <v>0</v>
      </c>
      <c r="F688">
        <v>0</v>
      </c>
    </row>
    <row r="689" spans="1:6" x14ac:dyDescent="0.25">
      <c r="A689" s="172" t="s">
        <v>2087</v>
      </c>
      <c r="B689" t="s">
        <v>2088</v>
      </c>
      <c r="C689" t="s">
        <v>2089</v>
      </c>
      <c r="D689">
        <v>1.71</v>
      </c>
      <c r="E689">
        <v>0</v>
      </c>
      <c r="F689">
        <v>0</v>
      </c>
    </row>
    <row r="690" spans="1:6" x14ac:dyDescent="0.25">
      <c r="A690" s="172" t="s">
        <v>2090</v>
      </c>
      <c r="B690" t="s">
        <v>2091</v>
      </c>
      <c r="C690" t="s">
        <v>2092</v>
      </c>
      <c r="D690">
        <v>3.22</v>
      </c>
      <c r="E690">
        <v>0</v>
      </c>
      <c r="F690">
        <v>0</v>
      </c>
    </row>
    <row r="691" spans="1:6" x14ac:dyDescent="0.25">
      <c r="A691" s="172" t="s">
        <v>2093</v>
      </c>
      <c r="B691" t="s">
        <v>2094</v>
      </c>
      <c r="C691" t="s">
        <v>2095</v>
      </c>
      <c r="D691">
        <v>1.23</v>
      </c>
      <c r="E691">
        <v>0</v>
      </c>
      <c r="F691">
        <v>0</v>
      </c>
    </row>
    <row r="692" spans="1:6" x14ac:dyDescent="0.25">
      <c r="A692" s="172" t="s">
        <v>2096</v>
      </c>
      <c r="B692" t="s">
        <v>2097</v>
      </c>
      <c r="C692" t="s">
        <v>2098</v>
      </c>
      <c r="D692">
        <v>1</v>
      </c>
      <c r="E692">
        <v>0</v>
      </c>
      <c r="F692">
        <v>0</v>
      </c>
    </row>
    <row r="693" spans="1:6" x14ac:dyDescent="0.25">
      <c r="A693" s="172" t="s">
        <v>2099</v>
      </c>
      <c r="B693" t="s">
        <v>2100</v>
      </c>
      <c r="C693" t="s">
        <v>2101</v>
      </c>
      <c r="D693">
        <v>9.45</v>
      </c>
      <c r="E693">
        <v>0</v>
      </c>
      <c r="F693">
        <v>0</v>
      </c>
    </row>
    <row r="694" spans="1:6" x14ac:dyDescent="0.25">
      <c r="A694" s="172" t="s">
        <v>2102</v>
      </c>
      <c r="B694" t="s">
        <v>2103</v>
      </c>
      <c r="C694" t="s">
        <v>2104</v>
      </c>
      <c r="D694">
        <v>10.1</v>
      </c>
      <c r="E694">
        <v>0</v>
      </c>
      <c r="F694">
        <v>0</v>
      </c>
    </row>
    <row r="695" spans="1:6" x14ac:dyDescent="0.25">
      <c r="A695" s="172" t="s">
        <v>2105</v>
      </c>
      <c r="B695" t="s">
        <v>2106</v>
      </c>
      <c r="C695" t="s">
        <v>2107</v>
      </c>
      <c r="D695">
        <v>7.88</v>
      </c>
      <c r="E695">
        <v>0</v>
      </c>
      <c r="F695">
        <v>0</v>
      </c>
    </row>
    <row r="696" spans="1:6" x14ac:dyDescent="0.25">
      <c r="A696" s="172" t="s">
        <v>2108</v>
      </c>
      <c r="B696" t="s">
        <v>2109</v>
      </c>
      <c r="C696" t="s">
        <v>2110</v>
      </c>
      <c r="D696">
        <v>0.14</v>
      </c>
      <c r="E696">
        <v>0</v>
      </c>
      <c r="F696">
        <v>0</v>
      </c>
    </row>
    <row r="697" spans="1:6" x14ac:dyDescent="0.25">
      <c r="A697" s="172" t="s">
        <v>2111</v>
      </c>
      <c r="B697" t="s">
        <v>2112</v>
      </c>
      <c r="C697" t="s">
        <v>2113</v>
      </c>
      <c r="D697">
        <v>2.94</v>
      </c>
      <c r="E697">
        <v>0</v>
      </c>
      <c r="F697">
        <v>0</v>
      </c>
    </row>
    <row r="698" spans="1:6" x14ac:dyDescent="0.25">
      <c r="A698" s="172" t="s">
        <v>2114</v>
      </c>
      <c r="B698" t="s">
        <v>2115</v>
      </c>
      <c r="C698" t="s">
        <v>2116</v>
      </c>
      <c r="D698">
        <v>1.65</v>
      </c>
      <c r="E698">
        <v>0</v>
      </c>
      <c r="F698">
        <v>0</v>
      </c>
    </row>
    <row r="699" spans="1:6" x14ac:dyDescent="0.25">
      <c r="A699" s="172" t="s">
        <v>2117</v>
      </c>
      <c r="B699" t="s">
        <v>2118</v>
      </c>
      <c r="C699" t="s">
        <v>248</v>
      </c>
      <c r="D699">
        <v>1.59</v>
      </c>
      <c r="E699">
        <v>0</v>
      </c>
      <c r="F699">
        <v>0</v>
      </c>
    </row>
    <row r="700" spans="1:6" x14ac:dyDescent="0.25">
      <c r="A700" s="172" t="s">
        <v>2119</v>
      </c>
      <c r="B700" t="s">
        <v>2120</v>
      </c>
      <c r="C700" t="s">
        <v>2121</v>
      </c>
      <c r="D700">
        <v>1.59</v>
      </c>
      <c r="E700">
        <v>0</v>
      </c>
      <c r="F700">
        <v>0</v>
      </c>
    </row>
    <row r="701" spans="1:6" x14ac:dyDescent="0.25">
      <c r="A701" s="172" t="s">
        <v>2122</v>
      </c>
      <c r="B701" t="s">
        <v>2123</v>
      </c>
      <c r="C701" t="s">
        <v>2124</v>
      </c>
      <c r="D701">
        <v>0.72</v>
      </c>
      <c r="E701">
        <v>0</v>
      </c>
      <c r="F701">
        <v>0</v>
      </c>
    </row>
    <row r="702" spans="1:6" x14ac:dyDescent="0.25">
      <c r="A702" s="172" t="s">
        <v>2125</v>
      </c>
      <c r="B702" t="s">
        <v>2126</v>
      </c>
      <c r="C702" t="s">
        <v>2127</v>
      </c>
      <c r="D702">
        <v>2.26</v>
      </c>
      <c r="E702">
        <v>0</v>
      </c>
      <c r="F702">
        <v>0</v>
      </c>
    </row>
    <row r="703" spans="1:6" x14ac:dyDescent="0.25">
      <c r="A703" s="172" t="s">
        <v>2128</v>
      </c>
      <c r="B703" t="s">
        <v>2129</v>
      </c>
      <c r="C703" t="s">
        <v>2130</v>
      </c>
      <c r="D703">
        <v>1.79</v>
      </c>
      <c r="E703">
        <v>0</v>
      </c>
      <c r="F703">
        <v>0</v>
      </c>
    </row>
    <row r="704" spans="1:6" x14ac:dyDescent="0.25">
      <c r="A704" s="172" t="s">
        <v>2131</v>
      </c>
      <c r="B704" t="s">
        <v>2132</v>
      </c>
      <c r="C704" t="s">
        <v>2133</v>
      </c>
      <c r="D704">
        <v>1.99</v>
      </c>
      <c r="E704">
        <v>0</v>
      </c>
      <c r="F704">
        <v>0</v>
      </c>
    </row>
    <row r="705" spans="1:6" x14ac:dyDescent="0.25">
      <c r="A705" s="172" t="s">
        <v>2134</v>
      </c>
      <c r="B705" t="s">
        <v>2135</v>
      </c>
      <c r="C705" t="s">
        <v>248</v>
      </c>
      <c r="D705">
        <v>1.99</v>
      </c>
      <c r="E705">
        <v>0</v>
      </c>
      <c r="F705">
        <v>0</v>
      </c>
    </row>
    <row r="706" spans="1:6" x14ac:dyDescent="0.25">
      <c r="A706" s="172" t="s">
        <v>2136</v>
      </c>
      <c r="B706" t="s">
        <v>2137</v>
      </c>
      <c r="C706" t="s">
        <v>2138</v>
      </c>
      <c r="D706">
        <v>2.18</v>
      </c>
      <c r="E706">
        <v>0</v>
      </c>
      <c r="F706">
        <v>0</v>
      </c>
    </row>
    <row r="707" spans="1:6" x14ac:dyDescent="0.25">
      <c r="A707" s="172" t="s">
        <v>2139</v>
      </c>
      <c r="B707" t="s">
        <v>2140</v>
      </c>
      <c r="C707" t="s">
        <v>2141</v>
      </c>
      <c r="D707">
        <v>0.47</v>
      </c>
      <c r="E707">
        <v>0</v>
      </c>
      <c r="F707">
        <v>0</v>
      </c>
    </row>
    <row r="708" spans="1:6" x14ac:dyDescent="0.25">
      <c r="A708" s="172" t="s">
        <v>2142</v>
      </c>
      <c r="B708" t="s">
        <v>2143</v>
      </c>
      <c r="C708" t="s">
        <v>2144</v>
      </c>
      <c r="D708">
        <v>0.37</v>
      </c>
      <c r="E708">
        <v>0</v>
      </c>
      <c r="F708">
        <v>0</v>
      </c>
    </row>
    <row r="709" spans="1:6" x14ac:dyDescent="0.25">
      <c r="A709" s="172" t="s">
        <v>2145</v>
      </c>
      <c r="B709" t="s">
        <v>2146</v>
      </c>
      <c r="C709" t="s">
        <v>248</v>
      </c>
      <c r="D709">
        <v>0.32</v>
      </c>
      <c r="E709">
        <v>0</v>
      </c>
      <c r="F709">
        <v>0</v>
      </c>
    </row>
    <row r="710" spans="1:6" x14ac:dyDescent="0.25">
      <c r="A710" s="172" t="s">
        <v>2147</v>
      </c>
      <c r="B710" t="s">
        <v>2148</v>
      </c>
      <c r="C710" t="s">
        <v>2149</v>
      </c>
      <c r="D710">
        <v>1.54</v>
      </c>
      <c r="E710">
        <v>0</v>
      </c>
      <c r="F710">
        <v>0</v>
      </c>
    </row>
    <row r="711" spans="1:6" x14ac:dyDescent="0.25">
      <c r="A711" s="172" t="s">
        <v>2150</v>
      </c>
      <c r="B711" t="s">
        <v>2151</v>
      </c>
      <c r="C711" t="s">
        <v>2152</v>
      </c>
      <c r="D711">
        <v>1</v>
      </c>
      <c r="E711">
        <v>0</v>
      </c>
      <c r="F711">
        <v>0</v>
      </c>
    </row>
    <row r="712" spans="1:6" x14ac:dyDescent="0.25">
      <c r="A712" s="172" t="s">
        <v>2153</v>
      </c>
      <c r="B712" t="s">
        <v>2154</v>
      </c>
      <c r="C712" t="s">
        <v>2155</v>
      </c>
      <c r="D712">
        <v>0.9</v>
      </c>
      <c r="E712">
        <v>0</v>
      </c>
      <c r="F712">
        <v>0</v>
      </c>
    </row>
    <row r="713" spans="1:6" x14ac:dyDescent="0.25">
      <c r="A713" s="172" t="s">
        <v>2156</v>
      </c>
      <c r="B713" t="s">
        <v>2157</v>
      </c>
      <c r="C713" t="s">
        <v>2158</v>
      </c>
      <c r="D713">
        <v>2.8</v>
      </c>
      <c r="E713">
        <v>0</v>
      </c>
      <c r="F713">
        <v>0</v>
      </c>
    </row>
    <row r="714" spans="1:6" x14ac:dyDescent="0.25">
      <c r="A714" s="172" t="s">
        <v>2159</v>
      </c>
      <c r="B714" t="s">
        <v>2160</v>
      </c>
      <c r="C714" t="s">
        <v>2161</v>
      </c>
      <c r="D714">
        <v>0.17</v>
      </c>
      <c r="E714">
        <v>0</v>
      </c>
      <c r="F714">
        <v>0</v>
      </c>
    </row>
    <row r="715" spans="1:6" x14ac:dyDescent="0.25">
      <c r="A715" s="172" t="s">
        <v>2162</v>
      </c>
      <c r="B715" t="s">
        <v>2163</v>
      </c>
      <c r="C715" t="s">
        <v>2164</v>
      </c>
      <c r="D715">
        <v>0.65</v>
      </c>
      <c r="E715">
        <v>1.65</v>
      </c>
      <c r="F715">
        <v>0</v>
      </c>
    </row>
    <row r="716" spans="1:6" x14ac:dyDescent="0.25">
      <c r="A716" s="172" t="s">
        <v>2165</v>
      </c>
      <c r="B716" t="s">
        <v>2166</v>
      </c>
      <c r="C716" t="s">
        <v>2167</v>
      </c>
      <c r="D716">
        <v>0.17</v>
      </c>
      <c r="E716">
        <v>0</v>
      </c>
      <c r="F716">
        <v>0</v>
      </c>
    </row>
    <row r="717" spans="1:6" x14ac:dyDescent="0.25">
      <c r="A717" s="172" t="s">
        <v>2168</v>
      </c>
      <c r="B717" t="s">
        <v>2169</v>
      </c>
      <c r="C717" t="s">
        <v>2170</v>
      </c>
      <c r="D717">
        <v>9.2</v>
      </c>
      <c r="E717">
        <v>0</v>
      </c>
      <c r="F717">
        <v>0</v>
      </c>
    </row>
    <row r="718" spans="1:6" x14ac:dyDescent="0.25">
      <c r="A718" s="172" t="s">
        <v>2171</v>
      </c>
      <c r="B718" t="s">
        <v>2172</v>
      </c>
      <c r="C718" t="s">
        <v>2173</v>
      </c>
      <c r="D718">
        <v>1.84</v>
      </c>
      <c r="E718">
        <v>0</v>
      </c>
      <c r="F718">
        <v>0</v>
      </c>
    </row>
    <row r="719" spans="1:6" x14ac:dyDescent="0.25">
      <c r="A719" s="172" t="s">
        <v>2174</v>
      </c>
      <c r="B719" t="s">
        <v>2175</v>
      </c>
      <c r="C719" t="s">
        <v>2176</v>
      </c>
      <c r="D719">
        <v>4.9</v>
      </c>
      <c r="E719">
        <v>0</v>
      </c>
      <c r="F719">
        <v>0</v>
      </c>
    </row>
    <row r="720" spans="1:6" x14ac:dyDescent="0.25">
      <c r="A720" s="172" t="s">
        <v>2177</v>
      </c>
      <c r="B720" t="s">
        <v>2178</v>
      </c>
      <c r="C720" t="s">
        <v>2179</v>
      </c>
      <c r="D720">
        <v>5.07</v>
      </c>
      <c r="E720">
        <v>0</v>
      </c>
      <c r="F720">
        <v>0</v>
      </c>
    </row>
    <row r="721" spans="1:6" x14ac:dyDescent="0.25">
      <c r="A721" s="172" t="s">
        <v>2180</v>
      </c>
      <c r="B721" t="s">
        <v>2181</v>
      </c>
      <c r="C721" t="s">
        <v>2182</v>
      </c>
      <c r="D721">
        <v>0.53</v>
      </c>
      <c r="E721">
        <v>0</v>
      </c>
      <c r="F721">
        <v>0</v>
      </c>
    </row>
    <row r="722" spans="1:6" x14ac:dyDescent="0.25">
      <c r="A722" s="172" t="s">
        <v>2183</v>
      </c>
      <c r="B722" t="s">
        <v>2184</v>
      </c>
      <c r="C722" t="s">
        <v>2185</v>
      </c>
      <c r="D722">
        <v>0.75</v>
      </c>
      <c r="E722">
        <v>0</v>
      </c>
      <c r="F722">
        <v>0</v>
      </c>
    </row>
    <row r="723" spans="1:6" x14ac:dyDescent="0.25">
      <c r="A723" s="172" t="s">
        <v>2186</v>
      </c>
      <c r="B723" t="s">
        <v>2187</v>
      </c>
      <c r="C723" t="s">
        <v>2188</v>
      </c>
      <c r="D723">
        <v>5.5</v>
      </c>
      <c r="E723">
        <v>0</v>
      </c>
      <c r="F723">
        <v>0</v>
      </c>
    </row>
    <row r="724" spans="1:6" x14ac:dyDescent="0.25">
      <c r="A724" s="172" t="s">
        <v>2189</v>
      </c>
      <c r="B724" t="s">
        <v>2190</v>
      </c>
      <c r="C724" t="s">
        <v>2191</v>
      </c>
      <c r="D724">
        <v>6.4</v>
      </c>
      <c r="E724">
        <v>0</v>
      </c>
      <c r="F724">
        <v>0</v>
      </c>
    </row>
    <row r="725" spans="1:6" x14ac:dyDescent="0.25">
      <c r="A725" s="172" t="s">
        <v>2192</v>
      </c>
      <c r="B725" t="s">
        <v>2193</v>
      </c>
      <c r="C725" t="s">
        <v>2194</v>
      </c>
      <c r="D725">
        <v>4.74</v>
      </c>
      <c r="E725">
        <v>0</v>
      </c>
      <c r="F725">
        <v>0</v>
      </c>
    </row>
    <row r="726" spans="1:6" x14ac:dyDescent="0.25">
      <c r="A726" s="172" t="s">
        <v>2195</v>
      </c>
      <c r="B726" t="s">
        <v>2196</v>
      </c>
      <c r="C726" t="s">
        <v>2197</v>
      </c>
      <c r="D726">
        <v>0.8</v>
      </c>
      <c r="E726">
        <v>0</v>
      </c>
      <c r="F726">
        <v>0</v>
      </c>
    </row>
    <row r="727" spans="1:6" x14ac:dyDescent="0.25">
      <c r="A727" s="172" t="s">
        <v>2198</v>
      </c>
      <c r="B727" t="s">
        <v>2199</v>
      </c>
      <c r="C727" t="s">
        <v>248</v>
      </c>
      <c r="D727">
        <v>0.8</v>
      </c>
      <c r="E727">
        <v>0</v>
      </c>
      <c r="F727">
        <v>0</v>
      </c>
    </row>
    <row r="728" spans="1:6" x14ac:dyDescent="0.25">
      <c r="A728" s="172" t="s">
        <v>2200</v>
      </c>
      <c r="B728" t="s">
        <v>2201</v>
      </c>
      <c r="C728" t="s">
        <v>2202</v>
      </c>
      <c r="D728">
        <v>2.39</v>
      </c>
      <c r="E728">
        <v>0</v>
      </c>
      <c r="F728">
        <v>0</v>
      </c>
    </row>
    <row r="729" spans="1:6" x14ac:dyDescent="0.25">
      <c r="A729" s="172" t="s">
        <v>2203</v>
      </c>
      <c r="B729" t="s">
        <v>2204</v>
      </c>
      <c r="C729" t="s">
        <v>2205</v>
      </c>
      <c r="D729">
        <v>0.17</v>
      </c>
      <c r="E729">
        <v>0</v>
      </c>
      <c r="F729">
        <v>0</v>
      </c>
    </row>
    <row r="730" spans="1:6" x14ac:dyDescent="0.25">
      <c r="A730" s="172" t="s">
        <v>2206</v>
      </c>
      <c r="B730" t="s">
        <v>2207</v>
      </c>
      <c r="C730" t="s">
        <v>2208</v>
      </c>
      <c r="D730">
        <v>0.17</v>
      </c>
      <c r="E730">
        <v>0</v>
      </c>
      <c r="F730">
        <v>0</v>
      </c>
    </row>
    <row r="731" spans="1:6" x14ac:dyDescent="0.25">
      <c r="A731" s="172" t="s">
        <v>2209</v>
      </c>
      <c r="B731" t="s">
        <v>2210</v>
      </c>
      <c r="C731" t="s">
        <v>2211</v>
      </c>
      <c r="D731">
        <v>2.72</v>
      </c>
      <c r="E731">
        <v>0</v>
      </c>
      <c r="F731">
        <v>0</v>
      </c>
    </row>
    <row r="732" spans="1:6" x14ac:dyDescent="0.25">
      <c r="A732" s="172" t="s">
        <v>2212</v>
      </c>
      <c r="B732" t="s">
        <v>2213</v>
      </c>
      <c r="C732" t="s">
        <v>2214</v>
      </c>
      <c r="D732">
        <v>2.7</v>
      </c>
      <c r="E732">
        <v>0</v>
      </c>
      <c r="F732">
        <v>0</v>
      </c>
    </row>
    <row r="733" spans="1:6" x14ac:dyDescent="0.25">
      <c r="A733" s="172" t="s">
        <v>2215</v>
      </c>
      <c r="B733" t="s">
        <v>2216</v>
      </c>
      <c r="C733" t="s">
        <v>2217</v>
      </c>
      <c r="D733">
        <v>1.1</v>
      </c>
      <c r="E733">
        <v>0</v>
      </c>
      <c r="F733">
        <v>0</v>
      </c>
    </row>
    <row r="734" spans="1:6" x14ac:dyDescent="0.25">
      <c r="A734" s="172" t="s">
        <v>2218</v>
      </c>
      <c r="B734" t="s">
        <v>2219</v>
      </c>
      <c r="C734" t="s">
        <v>2220</v>
      </c>
      <c r="D734">
        <v>0.81</v>
      </c>
      <c r="E734">
        <v>0</v>
      </c>
      <c r="F734">
        <v>0</v>
      </c>
    </row>
    <row r="735" spans="1:6" x14ac:dyDescent="0.25">
      <c r="A735" s="172" t="s">
        <v>2221</v>
      </c>
      <c r="B735" t="s">
        <v>2222</v>
      </c>
      <c r="C735" t="s">
        <v>248</v>
      </c>
      <c r="D735">
        <v>0</v>
      </c>
      <c r="E735">
        <v>0</v>
      </c>
      <c r="F735">
        <v>0</v>
      </c>
    </row>
    <row r="736" spans="1:6" x14ac:dyDescent="0.25">
      <c r="A736" s="172" t="s">
        <v>2223</v>
      </c>
      <c r="B736" t="s">
        <v>2224</v>
      </c>
      <c r="C736" t="s">
        <v>248</v>
      </c>
      <c r="D736">
        <v>0</v>
      </c>
      <c r="E736">
        <v>0</v>
      </c>
      <c r="F736">
        <v>0</v>
      </c>
    </row>
    <row r="737" spans="1:6" x14ac:dyDescent="0.25">
      <c r="A737" s="172" t="s">
        <v>2225</v>
      </c>
      <c r="B737" t="s">
        <v>2226</v>
      </c>
      <c r="C737" t="s">
        <v>2227</v>
      </c>
      <c r="D737">
        <v>1.95</v>
      </c>
      <c r="E737">
        <v>0</v>
      </c>
      <c r="F737">
        <v>0</v>
      </c>
    </row>
    <row r="738" spans="1:6" x14ac:dyDescent="0.25">
      <c r="A738" s="172" t="s">
        <v>2228</v>
      </c>
      <c r="B738" t="s">
        <v>2229</v>
      </c>
      <c r="C738" t="s">
        <v>248</v>
      </c>
      <c r="D738">
        <v>0</v>
      </c>
      <c r="E738">
        <v>0</v>
      </c>
      <c r="F738">
        <v>0</v>
      </c>
    </row>
    <row r="739" spans="1:6" x14ac:dyDescent="0.25">
      <c r="A739" s="172" t="s">
        <v>2230</v>
      </c>
      <c r="B739" t="s">
        <v>2231</v>
      </c>
      <c r="C739" t="s">
        <v>2232</v>
      </c>
      <c r="D739">
        <v>65</v>
      </c>
      <c r="E739">
        <v>0</v>
      </c>
      <c r="F739">
        <v>0</v>
      </c>
    </row>
    <row r="740" spans="1:6" x14ac:dyDescent="0.25">
      <c r="A740" s="172" t="s">
        <v>2233</v>
      </c>
      <c r="B740" t="s">
        <v>2234</v>
      </c>
      <c r="C740" t="s">
        <v>2235</v>
      </c>
      <c r="D740">
        <v>0.09</v>
      </c>
      <c r="E740">
        <v>0</v>
      </c>
      <c r="F740">
        <v>0</v>
      </c>
    </row>
    <row r="741" spans="1:6" x14ac:dyDescent="0.25">
      <c r="A741" s="172" t="s">
        <v>2236</v>
      </c>
      <c r="B741" t="s">
        <v>2237</v>
      </c>
      <c r="C741" t="s">
        <v>2238</v>
      </c>
      <c r="D741">
        <v>0.08</v>
      </c>
      <c r="E741">
        <v>0</v>
      </c>
      <c r="F741">
        <v>0</v>
      </c>
    </row>
    <row r="742" spans="1:6" x14ac:dyDescent="0.25">
      <c r="A742" s="172" t="s">
        <v>2239</v>
      </c>
      <c r="B742" t="s">
        <v>2240</v>
      </c>
      <c r="C742" t="s">
        <v>2241</v>
      </c>
      <c r="D742">
        <v>2.68</v>
      </c>
      <c r="E742">
        <v>0</v>
      </c>
      <c r="F742">
        <v>0</v>
      </c>
    </row>
    <row r="743" spans="1:6" x14ac:dyDescent="0.25">
      <c r="A743" s="172" t="s">
        <v>2242</v>
      </c>
      <c r="B743" t="s">
        <v>2243</v>
      </c>
      <c r="C743" t="s">
        <v>2244</v>
      </c>
      <c r="D743">
        <v>1.49</v>
      </c>
      <c r="E743">
        <v>0</v>
      </c>
      <c r="F743">
        <v>0</v>
      </c>
    </row>
    <row r="744" spans="1:6" x14ac:dyDescent="0.25">
      <c r="A744" s="172" t="s">
        <v>2245</v>
      </c>
      <c r="B744" t="s">
        <v>2246</v>
      </c>
      <c r="C744" t="s">
        <v>2247</v>
      </c>
      <c r="D744">
        <v>0</v>
      </c>
      <c r="E744">
        <v>0</v>
      </c>
      <c r="F744">
        <v>0</v>
      </c>
    </row>
    <row r="745" spans="1:6" x14ac:dyDescent="0.25">
      <c r="A745" s="172" t="s">
        <v>2248</v>
      </c>
      <c r="B745" t="s">
        <v>2249</v>
      </c>
      <c r="C745" t="s">
        <v>248</v>
      </c>
      <c r="D745">
        <v>1.05</v>
      </c>
      <c r="E745">
        <v>0</v>
      </c>
      <c r="F745">
        <v>0</v>
      </c>
    </row>
    <row r="746" spans="1:6" x14ac:dyDescent="0.25">
      <c r="A746" s="172" t="s">
        <v>2250</v>
      </c>
      <c r="B746" t="s">
        <v>2251</v>
      </c>
      <c r="C746" t="s">
        <v>2252</v>
      </c>
      <c r="D746">
        <v>0.19</v>
      </c>
      <c r="E746">
        <v>0</v>
      </c>
      <c r="F746">
        <v>0</v>
      </c>
    </row>
    <row r="747" spans="1:6" x14ac:dyDescent="0.25">
      <c r="A747" s="172" t="s">
        <v>2253</v>
      </c>
      <c r="B747" t="s">
        <v>2254</v>
      </c>
      <c r="C747" t="s">
        <v>248</v>
      </c>
      <c r="D747">
        <v>6.2</v>
      </c>
      <c r="E747">
        <v>0</v>
      </c>
      <c r="F747">
        <v>0</v>
      </c>
    </row>
    <row r="748" spans="1:6" x14ac:dyDescent="0.25">
      <c r="A748" s="172" t="s">
        <v>2255</v>
      </c>
      <c r="B748" t="s">
        <v>2256</v>
      </c>
      <c r="C748" t="s">
        <v>248</v>
      </c>
      <c r="D748">
        <v>0</v>
      </c>
      <c r="E748">
        <v>0</v>
      </c>
      <c r="F748">
        <v>0</v>
      </c>
    </row>
    <row r="749" spans="1:6" x14ac:dyDescent="0.25">
      <c r="A749" s="172" t="s">
        <v>2257</v>
      </c>
      <c r="B749" t="s">
        <v>2258</v>
      </c>
      <c r="C749" t="s">
        <v>248</v>
      </c>
      <c r="D749">
        <v>0</v>
      </c>
      <c r="E749">
        <v>0</v>
      </c>
      <c r="F749">
        <v>0</v>
      </c>
    </row>
    <row r="750" spans="1:6" x14ac:dyDescent="0.25">
      <c r="A750" s="172" t="s">
        <v>2259</v>
      </c>
      <c r="B750" t="s">
        <v>2260</v>
      </c>
      <c r="C750" t="s">
        <v>2261</v>
      </c>
      <c r="D750">
        <v>0.78</v>
      </c>
      <c r="E750">
        <v>0</v>
      </c>
      <c r="F750">
        <v>0</v>
      </c>
    </row>
    <row r="751" spans="1:6" x14ac:dyDescent="0.25">
      <c r="A751" s="172" t="s">
        <v>2262</v>
      </c>
      <c r="B751" t="s">
        <v>2263</v>
      </c>
      <c r="C751" t="s">
        <v>2264</v>
      </c>
      <c r="D751">
        <v>0.99</v>
      </c>
      <c r="E751">
        <v>0</v>
      </c>
      <c r="F751">
        <v>0</v>
      </c>
    </row>
    <row r="752" spans="1:6" x14ac:dyDescent="0.25">
      <c r="A752" s="172" t="s">
        <v>2265</v>
      </c>
      <c r="B752" t="s">
        <v>2266</v>
      </c>
      <c r="C752" t="s">
        <v>2267</v>
      </c>
      <c r="D752">
        <v>2.1</v>
      </c>
      <c r="E752">
        <v>0</v>
      </c>
      <c r="F752">
        <v>0</v>
      </c>
    </row>
    <row r="753" spans="1:6" x14ac:dyDescent="0.25">
      <c r="A753" s="172" t="s">
        <v>2268</v>
      </c>
      <c r="B753" t="s">
        <v>2269</v>
      </c>
      <c r="C753" t="s">
        <v>2270</v>
      </c>
      <c r="D753">
        <v>0.54</v>
      </c>
      <c r="E753">
        <v>0</v>
      </c>
      <c r="F753">
        <v>0</v>
      </c>
    </row>
    <row r="754" spans="1:6" x14ac:dyDescent="0.25">
      <c r="A754" s="172" t="s">
        <v>2271</v>
      </c>
      <c r="B754" t="s">
        <v>2272</v>
      </c>
      <c r="C754" t="s">
        <v>2273</v>
      </c>
      <c r="D754">
        <v>1.12</v>
      </c>
      <c r="E754">
        <v>0</v>
      </c>
      <c r="F754">
        <v>0</v>
      </c>
    </row>
    <row r="755" spans="1:6" x14ac:dyDescent="0.25">
      <c r="A755" s="172" t="s">
        <v>2274</v>
      </c>
      <c r="B755" t="s">
        <v>2275</v>
      </c>
      <c r="C755" t="s">
        <v>2276</v>
      </c>
      <c r="D755">
        <v>0</v>
      </c>
      <c r="E755">
        <v>0</v>
      </c>
      <c r="F755">
        <v>0</v>
      </c>
    </row>
    <row r="756" spans="1:6" x14ac:dyDescent="0.25">
      <c r="A756" s="172" t="s">
        <v>2277</v>
      </c>
      <c r="B756" t="s">
        <v>2278</v>
      </c>
      <c r="C756" t="s">
        <v>2279</v>
      </c>
      <c r="D756">
        <v>1.76</v>
      </c>
      <c r="E756">
        <v>0</v>
      </c>
      <c r="F756">
        <v>0</v>
      </c>
    </row>
    <row r="757" spans="1:6" x14ac:dyDescent="0.25">
      <c r="A757" s="172" t="s">
        <v>2280</v>
      </c>
      <c r="B757" t="s">
        <v>2281</v>
      </c>
      <c r="C757" t="s">
        <v>2282</v>
      </c>
      <c r="D757">
        <v>0</v>
      </c>
      <c r="E757">
        <v>0</v>
      </c>
      <c r="F757">
        <v>0</v>
      </c>
    </row>
    <row r="758" spans="1:6" x14ac:dyDescent="0.25">
      <c r="A758" s="172" t="s">
        <v>2283</v>
      </c>
      <c r="B758" t="s">
        <v>2284</v>
      </c>
      <c r="C758" t="s">
        <v>2285</v>
      </c>
      <c r="D758">
        <v>0.2</v>
      </c>
      <c r="E758">
        <v>0</v>
      </c>
      <c r="F758">
        <v>0</v>
      </c>
    </row>
    <row r="759" spans="1:6" x14ac:dyDescent="0.25">
      <c r="A759" s="172" t="s">
        <v>2286</v>
      </c>
      <c r="B759" t="s">
        <v>2287</v>
      </c>
      <c r="C759" t="s">
        <v>2288</v>
      </c>
      <c r="D759">
        <v>0.07</v>
      </c>
      <c r="E759">
        <v>0</v>
      </c>
      <c r="F759">
        <v>0</v>
      </c>
    </row>
    <row r="760" spans="1:6" x14ac:dyDescent="0.25">
      <c r="A760" s="172" t="s">
        <v>2289</v>
      </c>
      <c r="B760" t="s">
        <v>2249</v>
      </c>
      <c r="C760" t="s">
        <v>2290</v>
      </c>
      <c r="D760">
        <v>1.05</v>
      </c>
      <c r="E760">
        <v>0</v>
      </c>
      <c r="F760">
        <v>0</v>
      </c>
    </row>
    <row r="761" spans="1:6" x14ac:dyDescent="0.25">
      <c r="A761" s="172" t="s">
        <v>2291</v>
      </c>
      <c r="B761" t="s">
        <v>2292</v>
      </c>
      <c r="C761" t="s">
        <v>2293</v>
      </c>
      <c r="D761">
        <v>0.15</v>
      </c>
      <c r="E761">
        <v>0</v>
      </c>
      <c r="F761">
        <v>0</v>
      </c>
    </row>
    <row r="762" spans="1:6" x14ac:dyDescent="0.25">
      <c r="A762" s="172" t="s">
        <v>2294</v>
      </c>
      <c r="B762" t="s">
        <v>2295</v>
      </c>
      <c r="C762" t="s">
        <v>2296</v>
      </c>
      <c r="D762">
        <v>0.07</v>
      </c>
      <c r="E762">
        <v>0</v>
      </c>
      <c r="F762">
        <v>0</v>
      </c>
    </row>
    <row r="763" spans="1:6" x14ac:dyDescent="0.25">
      <c r="A763" s="172" t="s">
        <v>2297</v>
      </c>
      <c r="B763" t="s">
        <v>2298</v>
      </c>
      <c r="C763" t="s">
        <v>2299</v>
      </c>
      <c r="D763">
        <v>0</v>
      </c>
      <c r="E763">
        <v>0</v>
      </c>
      <c r="F763">
        <v>0</v>
      </c>
    </row>
    <row r="764" spans="1:6" x14ac:dyDescent="0.25">
      <c r="A764" s="172" t="s">
        <v>2300</v>
      </c>
      <c r="B764" t="s">
        <v>2301</v>
      </c>
      <c r="C764" t="s">
        <v>2302</v>
      </c>
      <c r="D764">
        <v>0</v>
      </c>
      <c r="E764">
        <v>0</v>
      </c>
      <c r="F764">
        <v>0</v>
      </c>
    </row>
    <row r="765" spans="1:6" x14ac:dyDescent="0.25">
      <c r="A765" s="172" t="s">
        <v>2303</v>
      </c>
      <c r="B765" t="s">
        <v>2304</v>
      </c>
      <c r="C765" t="s">
        <v>248</v>
      </c>
      <c r="D765">
        <v>0</v>
      </c>
      <c r="E765">
        <v>0</v>
      </c>
      <c r="F765">
        <v>0</v>
      </c>
    </row>
    <row r="766" spans="1:6" x14ac:dyDescent="0.25">
      <c r="A766" s="172" t="s">
        <v>2305</v>
      </c>
      <c r="B766" t="s">
        <v>2306</v>
      </c>
      <c r="C766" t="s">
        <v>2307</v>
      </c>
      <c r="D766">
        <v>0.15</v>
      </c>
      <c r="E766">
        <v>0</v>
      </c>
      <c r="F766">
        <v>0</v>
      </c>
    </row>
    <row r="767" spans="1:6" x14ac:dyDescent="0.25">
      <c r="A767" s="172" t="s">
        <v>2308</v>
      </c>
      <c r="B767" t="s">
        <v>2309</v>
      </c>
      <c r="C767" t="s">
        <v>248</v>
      </c>
      <c r="D767">
        <v>0</v>
      </c>
      <c r="E767">
        <v>1</v>
      </c>
      <c r="F767">
        <v>0</v>
      </c>
    </row>
    <row r="768" spans="1:6" x14ac:dyDescent="0.25">
      <c r="A768" s="172" t="s">
        <v>2310</v>
      </c>
      <c r="B768" t="s">
        <v>2311</v>
      </c>
      <c r="C768" t="s">
        <v>248</v>
      </c>
      <c r="D768">
        <v>0</v>
      </c>
      <c r="E768">
        <v>1</v>
      </c>
      <c r="F768">
        <v>0</v>
      </c>
    </row>
    <row r="769" spans="1:6" x14ac:dyDescent="0.25">
      <c r="A769" s="172" t="s">
        <v>2312</v>
      </c>
      <c r="B769" t="s">
        <v>2313</v>
      </c>
      <c r="C769" t="s">
        <v>248</v>
      </c>
      <c r="D769">
        <v>16.89</v>
      </c>
      <c r="E769">
        <v>0</v>
      </c>
      <c r="F769">
        <v>0</v>
      </c>
    </row>
    <row r="770" spans="1:6" x14ac:dyDescent="0.25">
      <c r="A770" s="172" t="s">
        <v>2314</v>
      </c>
      <c r="B770" t="s">
        <v>2315</v>
      </c>
      <c r="C770" t="s">
        <v>248</v>
      </c>
      <c r="D770">
        <v>0.99</v>
      </c>
      <c r="E770">
        <v>0</v>
      </c>
      <c r="F770">
        <v>0</v>
      </c>
    </row>
    <row r="771" spans="1:6" x14ac:dyDescent="0.25">
      <c r="A771" s="172" t="s">
        <v>2316</v>
      </c>
      <c r="B771" t="s">
        <v>2317</v>
      </c>
      <c r="C771" t="s">
        <v>248</v>
      </c>
      <c r="D771">
        <v>15.9</v>
      </c>
      <c r="E771">
        <v>0</v>
      </c>
      <c r="F771">
        <v>0</v>
      </c>
    </row>
    <row r="772" spans="1:6" x14ac:dyDescent="0.25">
      <c r="A772" s="172" t="s">
        <v>2318</v>
      </c>
      <c r="B772" t="s">
        <v>2319</v>
      </c>
      <c r="C772" t="s">
        <v>248</v>
      </c>
      <c r="D772">
        <v>0</v>
      </c>
      <c r="E772">
        <v>0</v>
      </c>
      <c r="F772">
        <v>0</v>
      </c>
    </row>
    <row r="773" spans="1:6" x14ac:dyDescent="0.25">
      <c r="A773" s="172" t="s">
        <v>2320</v>
      </c>
      <c r="B773" t="s">
        <v>2321</v>
      </c>
      <c r="C773" t="s">
        <v>248</v>
      </c>
      <c r="D773">
        <v>29.1</v>
      </c>
      <c r="E773">
        <v>0</v>
      </c>
      <c r="F773">
        <v>0</v>
      </c>
    </row>
    <row r="774" spans="1:6" x14ac:dyDescent="0.25">
      <c r="A774" s="172" t="s">
        <v>2322</v>
      </c>
      <c r="B774" t="s">
        <v>2323</v>
      </c>
      <c r="C774" t="s">
        <v>248</v>
      </c>
      <c r="D774">
        <v>13.2</v>
      </c>
      <c r="E774">
        <v>0</v>
      </c>
      <c r="F774">
        <v>0</v>
      </c>
    </row>
    <row r="775" spans="1:6" x14ac:dyDescent="0.25">
      <c r="A775" s="172" t="s">
        <v>2324</v>
      </c>
      <c r="B775" t="s">
        <v>2325</v>
      </c>
      <c r="C775" t="s">
        <v>248</v>
      </c>
      <c r="D775">
        <v>18.71</v>
      </c>
      <c r="E775">
        <v>0</v>
      </c>
      <c r="F775">
        <v>0</v>
      </c>
    </row>
    <row r="776" spans="1:6" x14ac:dyDescent="0.25">
      <c r="A776" s="172" t="s">
        <v>2326</v>
      </c>
      <c r="B776" t="s">
        <v>2327</v>
      </c>
      <c r="C776" t="s">
        <v>248</v>
      </c>
      <c r="D776">
        <v>47.97</v>
      </c>
      <c r="E776">
        <v>0</v>
      </c>
      <c r="F776">
        <v>0</v>
      </c>
    </row>
    <row r="777" spans="1:6" x14ac:dyDescent="0.25">
      <c r="A777" s="172" t="s">
        <v>2328</v>
      </c>
      <c r="B777" t="s">
        <v>2329</v>
      </c>
      <c r="C777" t="s">
        <v>248</v>
      </c>
      <c r="D777">
        <v>48.33</v>
      </c>
      <c r="E777">
        <v>0</v>
      </c>
      <c r="F777">
        <v>0</v>
      </c>
    </row>
    <row r="778" spans="1:6" x14ac:dyDescent="0.25">
      <c r="A778" s="172" t="s">
        <v>2330</v>
      </c>
      <c r="B778" t="s">
        <v>2331</v>
      </c>
      <c r="C778" t="s">
        <v>248</v>
      </c>
      <c r="D778">
        <v>19.55</v>
      </c>
      <c r="E778">
        <v>0</v>
      </c>
      <c r="F778">
        <v>0</v>
      </c>
    </row>
    <row r="779" spans="1:6" x14ac:dyDescent="0.25">
      <c r="A779" s="172" t="s">
        <v>2332</v>
      </c>
      <c r="B779" t="s">
        <v>2333</v>
      </c>
      <c r="C779" t="s">
        <v>248</v>
      </c>
      <c r="D779">
        <v>0</v>
      </c>
      <c r="E779">
        <v>0</v>
      </c>
      <c r="F779">
        <v>0</v>
      </c>
    </row>
    <row r="780" spans="1:6" x14ac:dyDescent="0.25">
      <c r="A780" s="172" t="s">
        <v>2334</v>
      </c>
      <c r="B780" t="s">
        <v>2335</v>
      </c>
      <c r="C780" t="s">
        <v>248</v>
      </c>
      <c r="D780">
        <v>0</v>
      </c>
      <c r="E780">
        <v>0</v>
      </c>
      <c r="F780">
        <v>0</v>
      </c>
    </row>
    <row r="781" spans="1:6" x14ac:dyDescent="0.25">
      <c r="A781" s="172" t="s">
        <v>2336</v>
      </c>
      <c r="B781" t="s">
        <v>2337</v>
      </c>
      <c r="C781" t="s">
        <v>248</v>
      </c>
      <c r="D781">
        <v>0</v>
      </c>
      <c r="E781">
        <v>0</v>
      </c>
      <c r="F781">
        <v>0</v>
      </c>
    </row>
    <row r="782" spans="1:6" x14ac:dyDescent="0.25">
      <c r="A782" s="172" t="s">
        <v>2338</v>
      </c>
      <c r="B782" t="s">
        <v>2339</v>
      </c>
      <c r="C782" t="s">
        <v>248</v>
      </c>
      <c r="D782">
        <v>15</v>
      </c>
      <c r="E782">
        <v>0</v>
      </c>
      <c r="F782">
        <v>0</v>
      </c>
    </row>
    <row r="783" spans="1:6" x14ac:dyDescent="0.25">
      <c r="A783" s="172" t="s">
        <v>2340</v>
      </c>
      <c r="B783" t="s">
        <v>2341</v>
      </c>
      <c r="C783" t="s">
        <v>248</v>
      </c>
      <c r="D783">
        <v>0</v>
      </c>
      <c r="E783">
        <v>0</v>
      </c>
      <c r="F783">
        <v>0</v>
      </c>
    </row>
    <row r="784" spans="1:6" x14ac:dyDescent="0.25">
      <c r="A784" s="172" t="s">
        <v>2342</v>
      </c>
      <c r="B784" t="s">
        <v>2343</v>
      </c>
      <c r="C784" t="s">
        <v>248</v>
      </c>
      <c r="D784">
        <v>31.47</v>
      </c>
      <c r="E784">
        <v>0</v>
      </c>
      <c r="F784">
        <v>0</v>
      </c>
    </row>
    <row r="785" spans="1:6" x14ac:dyDescent="0.25">
      <c r="A785" s="172" t="s">
        <v>2344</v>
      </c>
      <c r="B785" t="s">
        <v>2345</v>
      </c>
      <c r="C785" t="s">
        <v>248</v>
      </c>
      <c r="D785">
        <v>77.63</v>
      </c>
      <c r="E785">
        <v>0</v>
      </c>
      <c r="F785">
        <v>0</v>
      </c>
    </row>
    <row r="786" spans="1:6" x14ac:dyDescent="0.25">
      <c r="A786" s="172" t="s">
        <v>2346</v>
      </c>
      <c r="B786" t="s">
        <v>2347</v>
      </c>
      <c r="C786" t="s">
        <v>248</v>
      </c>
      <c r="D786">
        <v>14.8</v>
      </c>
      <c r="E786">
        <v>0</v>
      </c>
      <c r="F786">
        <v>0</v>
      </c>
    </row>
    <row r="787" spans="1:6" x14ac:dyDescent="0.25">
      <c r="A787" s="172" t="s">
        <v>2348</v>
      </c>
      <c r="B787" t="s">
        <v>2349</v>
      </c>
      <c r="C787" t="s">
        <v>248</v>
      </c>
      <c r="D787">
        <v>95.55</v>
      </c>
      <c r="E787">
        <v>0</v>
      </c>
      <c r="F787">
        <v>0</v>
      </c>
    </row>
    <row r="788" spans="1:6" x14ac:dyDescent="0.25">
      <c r="A788" s="172" t="s">
        <v>2350</v>
      </c>
      <c r="B788" t="s">
        <v>2351</v>
      </c>
      <c r="C788" t="s">
        <v>248</v>
      </c>
      <c r="D788">
        <v>67.38</v>
      </c>
      <c r="E788">
        <v>0</v>
      </c>
      <c r="F788">
        <v>0</v>
      </c>
    </row>
    <row r="789" spans="1:6" x14ac:dyDescent="0.25">
      <c r="A789" s="172" t="s">
        <v>2352</v>
      </c>
      <c r="B789" t="s">
        <v>2353</v>
      </c>
      <c r="C789" t="s">
        <v>248</v>
      </c>
      <c r="D789">
        <v>72.3</v>
      </c>
      <c r="E789">
        <v>0</v>
      </c>
      <c r="F789">
        <v>0</v>
      </c>
    </row>
    <row r="790" spans="1:6" x14ac:dyDescent="0.25">
      <c r="A790" s="172" t="s">
        <v>2354</v>
      </c>
      <c r="B790" t="s">
        <v>2355</v>
      </c>
      <c r="C790" t="s">
        <v>248</v>
      </c>
      <c r="D790">
        <v>61.34</v>
      </c>
      <c r="E790">
        <v>0</v>
      </c>
      <c r="F790">
        <v>0</v>
      </c>
    </row>
    <row r="791" spans="1:6" x14ac:dyDescent="0.25">
      <c r="A791" s="172" t="s">
        <v>2356</v>
      </c>
      <c r="B791" t="s">
        <v>2357</v>
      </c>
      <c r="C791" t="s">
        <v>248</v>
      </c>
      <c r="D791">
        <v>42.42</v>
      </c>
      <c r="E791">
        <v>0</v>
      </c>
      <c r="F791">
        <v>0</v>
      </c>
    </row>
    <row r="792" spans="1:6" x14ac:dyDescent="0.25">
      <c r="A792" s="172" t="s">
        <v>2358</v>
      </c>
      <c r="B792" t="s">
        <v>2359</v>
      </c>
      <c r="C792" t="s">
        <v>248</v>
      </c>
      <c r="D792">
        <v>31.46</v>
      </c>
      <c r="E792">
        <v>0</v>
      </c>
      <c r="F792">
        <v>0</v>
      </c>
    </row>
    <row r="793" spans="1:6" x14ac:dyDescent="0.25">
      <c r="A793" s="172" t="s">
        <v>2360</v>
      </c>
      <c r="B793" t="s">
        <v>2361</v>
      </c>
      <c r="C793" t="s">
        <v>248</v>
      </c>
      <c r="D793">
        <v>4.2</v>
      </c>
      <c r="E793">
        <v>0</v>
      </c>
      <c r="F793">
        <v>0</v>
      </c>
    </row>
    <row r="794" spans="1:6" x14ac:dyDescent="0.25">
      <c r="A794" s="172" t="s">
        <v>2362</v>
      </c>
      <c r="B794" t="s">
        <v>2363</v>
      </c>
      <c r="C794" t="s">
        <v>248</v>
      </c>
      <c r="D794">
        <v>102.7</v>
      </c>
      <c r="E794">
        <v>0</v>
      </c>
      <c r="F794">
        <v>0</v>
      </c>
    </row>
    <row r="795" spans="1:6" x14ac:dyDescent="0.25">
      <c r="A795" s="172" t="s">
        <v>2364</v>
      </c>
      <c r="B795" t="s">
        <v>2365</v>
      </c>
      <c r="C795" t="s">
        <v>248</v>
      </c>
      <c r="D795">
        <v>62</v>
      </c>
      <c r="E795">
        <v>0</v>
      </c>
      <c r="F795">
        <v>0</v>
      </c>
    </row>
    <row r="796" spans="1:6" x14ac:dyDescent="0.25">
      <c r="A796" s="172" t="s">
        <v>2366</v>
      </c>
      <c r="B796" t="s">
        <v>2367</v>
      </c>
      <c r="C796" t="s">
        <v>248</v>
      </c>
      <c r="D796">
        <v>39.8</v>
      </c>
      <c r="E796">
        <v>0</v>
      </c>
      <c r="F796">
        <v>0</v>
      </c>
    </row>
    <row r="797" spans="1:6" x14ac:dyDescent="0.25">
      <c r="A797" s="172" t="s">
        <v>2368</v>
      </c>
      <c r="B797" t="s">
        <v>2369</v>
      </c>
      <c r="C797" t="s">
        <v>248</v>
      </c>
      <c r="D797">
        <v>0</v>
      </c>
      <c r="E797">
        <v>0</v>
      </c>
      <c r="F797">
        <v>0</v>
      </c>
    </row>
    <row r="798" spans="1:6" x14ac:dyDescent="0.25">
      <c r="A798" s="172" t="s">
        <v>2370</v>
      </c>
      <c r="B798" t="s">
        <v>2371</v>
      </c>
      <c r="C798" t="s">
        <v>248</v>
      </c>
      <c r="D798">
        <v>0</v>
      </c>
      <c r="E798">
        <v>0</v>
      </c>
      <c r="F798">
        <v>0</v>
      </c>
    </row>
    <row r="799" spans="1:6" x14ac:dyDescent="0.25">
      <c r="A799" s="172" t="s">
        <v>2372</v>
      </c>
      <c r="B799" t="s">
        <v>2373</v>
      </c>
      <c r="C799" t="s">
        <v>248</v>
      </c>
      <c r="D799">
        <v>0</v>
      </c>
      <c r="E799">
        <v>0</v>
      </c>
      <c r="F799">
        <v>0</v>
      </c>
    </row>
    <row r="800" spans="1:6" x14ac:dyDescent="0.25">
      <c r="A800" s="172" t="s">
        <v>2374</v>
      </c>
      <c r="B800" t="s">
        <v>2373</v>
      </c>
      <c r="C800" t="s">
        <v>248</v>
      </c>
      <c r="D800">
        <v>0</v>
      </c>
      <c r="E800">
        <v>0</v>
      </c>
      <c r="F800">
        <v>0</v>
      </c>
    </row>
    <row r="801" spans="1:6" x14ac:dyDescent="0.25">
      <c r="A801" s="172" t="s">
        <v>2375</v>
      </c>
      <c r="B801" t="s">
        <v>2376</v>
      </c>
      <c r="C801" t="s">
        <v>248</v>
      </c>
      <c r="D801">
        <v>0</v>
      </c>
      <c r="E801">
        <v>0</v>
      </c>
      <c r="F801">
        <v>0</v>
      </c>
    </row>
    <row r="802" spans="1:6" x14ac:dyDescent="0.25">
      <c r="A802" s="172" t="s">
        <v>2377</v>
      </c>
      <c r="B802" t="s">
        <v>2378</v>
      </c>
      <c r="C802" t="s">
        <v>248</v>
      </c>
      <c r="D802">
        <v>8.82</v>
      </c>
      <c r="E802">
        <v>0</v>
      </c>
      <c r="F802">
        <v>0</v>
      </c>
    </row>
    <row r="803" spans="1:6" x14ac:dyDescent="0.25">
      <c r="A803" s="172" t="s">
        <v>2379</v>
      </c>
      <c r="B803" t="s">
        <v>2380</v>
      </c>
      <c r="C803" t="s">
        <v>248</v>
      </c>
      <c r="D803">
        <v>56.31</v>
      </c>
      <c r="E803">
        <v>0</v>
      </c>
      <c r="F803">
        <v>0</v>
      </c>
    </row>
    <row r="804" spans="1:6" x14ac:dyDescent="0.25">
      <c r="A804" s="172" t="s">
        <v>2381</v>
      </c>
      <c r="B804" t="s">
        <v>2382</v>
      </c>
      <c r="C804" t="s">
        <v>248</v>
      </c>
      <c r="D804">
        <v>42.38</v>
      </c>
      <c r="E804">
        <v>0</v>
      </c>
      <c r="F804">
        <v>0</v>
      </c>
    </row>
    <row r="805" spans="1:6" x14ac:dyDescent="0.25">
      <c r="A805" s="172" t="s">
        <v>2383</v>
      </c>
      <c r="B805" t="s">
        <v>2384</v>
      </c>
      <c r="C805" t="s">
        <v>248</v>
      </c>
      <c r="D805">
        <v>33.32</v>
      </c>
      <c r="E805">
        <v>0</v>
      </c>
      <c r="F805">
        <v>0</v>
      </c>
    </row>
    <row r="806" spans="1:6" x14ac:dyDescent="0.25">
      <c r="A806" s="172" t="s">
        <v>2385</v>
      </c>
      <c r="B806" t="s">
        <v>2386</v>
      </c>
      <c r="C806" t="s">
        <v>248</v>
      </c>
      <c r="D806">
        <v>19.39</v>
      </c>
      <c r="E806">
        <v>0</v>
      </c>
      <c r="F806">
        <v>0</v>
      </c>
    </row>
    <row r="807" spans="1:6" x14ac:dyDescent="0.25">
      <c r="A807" s="172" t="s">
        <v>2387</v>
      </c>
      <c r="B807" t="s">
        <v>2388</v>
      </c>
      <c r="C807" t="s">
        <v>248</v>
      </c>
      <c r="D807">
        <v>37.96</v>
      </c>
      <c r="E807">
        <v>0</v>
      </c>
      <c r="F807">
        <v>0</v>
      </c>
    </row>
    <row r="808" spans="1:6" x14ac:dyDescent="0.25">
      <c r="A808" s="172" t="s">
        <v>2389</v>
      </c>
      <c r="B808" t="s">
        <v>2390</v>
      </c>
      <c r="C808" t="s">
        <v>248</v>
      </c>
      <c r="D808">
        <v>76.76</v>
      </c>
      <c r="E808">
        <v>121.04</v>
      </c>
      <c r="F808">
        <v>0</v>
      </c>
    </row>
    <row r="809" spans="1:6" x14ac:dyDescent="0.25">
      <c r="A809" s="172" t="s">
        <v>2391</v>
      </c>
      <c r="B809" t="s">
        <v>2392</v>
      </c>
      <c r="C809" t="s">
        <v>248</v>
      </c>
      <c r="D809">
        <v>27.55</v>
      </c>
      <c r="E809">
        <v>121.04</v>
      </c>
      <c r="F809">
        <v>0</v>
      </c>
    </row>
    <row r="810" spans="1:6" x14ac:dyDescent="0.25">
      <c r="A810" s="172" t="s">
        <v>2393</v>
      </c>
      <c r="B810" t="s">
        <v>2394</v>
      </c>
      <c r="C810" t="s">
        <v>248</v>
      </c>
      <c r="D810">
        <v>39.65</v>
      </c>
      <c r="E810">
        <v>0</v>
      </c>
      <c r="F810">
        <v>0</v>
      </c>
    </row>
    <row r="811" spans="1:6" x14ac:dyDescent="0.25">
      <c r="A811" s="172" t="s">
        <v>2395</v>
      </c>
      <c r="B811" t="s">
        <v>2396</v>
      </c>
      <c r="C811" t="s">
        <v>248</v>
      </c>
      <c r="D811">
        <v>23.75</v>
      </c>
      <c r="E811">
        <v>0</v>
      </c>
      <c r="F811">
        <v>0</v>
      </c>
    </row>
    <row r="812" spans="1:6" x14ac:dyDescent="0.25">
      <c r="A812" s="172" t="s">
        <v>2397</v>
      </c>
      <c r="B812" t="s">
        <v>2398</v>
      </c>
      <c r="C812" t="s">
        <v>248</v>
      </c>
      <c r="D812">
        <v>16.08</v>
      </c>
      <c r="E812">
        <v>0</v>
      </c>
      <c r="F812">
        <v>0</v>
      </c>
    </row>
    <row r="813" spans="1:6" x14ac:dyDescent="0.25">
      <c r="A813" s="172" t="s">
        <v>2399</v>
      </c>
      <c r="B813" t="s">
        <v>2400</v>
      </c>
      <c r="C813" t="s">
        <v>248</v>
      </c>
      <c r="D813">
        <v>0</v>
      </c>
      <c r="E813">
        <v>0</v>
      </c>
      <c r="F813">
        <v>0</v>
      </c>
    </row>
    <row r="814" spans="1:6" x14ac:dyDescent="0.25">
      <c r="A814" s="172" t="s">
        <v>2401</v>
      </c>
      <c r="B814" t="s">
        <v>2402</v>
      </c>
      <c r="C814" t="s">
        <v>248</v>
      </c>
      <c r="D814">
        <v>0</v>
      </c>
      <c r="E814">
        <v>0</v>
      </c>
      <c r="F814">
        <v>0</v>
      </c>
    </row>
    <row r="815" spans="1:6" x14ac:dyDescent="0.25">
      <c r="A815" s="172" t="s">
        <v>2403</v>
      </c>
      <c r="B815" t="s">
        <v>2404</v>
      </c>
      <c r="C815" t="s">
        <v>248</v>
      </c>
      <c r="D815">
        <v>0</v>
      </c>
      <c r="E815">
        <v>0</v>
      </c>
      <c r="F815">
        <v>0</v>
      </c>
    </row>
    <row r="816" spans="1:6" x14ac:dyDescent="0.25">
      <c r="A816" s="172" t="s">
        <v>2405</v>
      </c>
      <c r="B816" t="s">
        <v>2406</v>
      </c>
      <c r="C816" t="s">
        <v>248</v>
      </c>
      <c r="D816">
        <v>31.4</v>
      </c>
      <c r="E816">
        <v>0</v>
      </c>
      <c r="F816">
        <v>0</v>
      </c>
    </row>
    <row r="817" spans="1:6" x14ac:dyDescent="0.25">
      <c r="A817" s="172" t="s">
        <v>2407</v>
      </c>
      <c r="B817" t="s">
        <v>2408</v>
      </c>
      <c r="C817" t="s">
        <v>248</v>
      </c>
      <c r="D817">
        <v>24.1</v>
      </c>
      <c r="E817">
        <v>0</v>
      </c>
      <c r="F817">
        <v>0</v>
      </c>
    </row>
    <row r="818" spans="1:6" x14ac:dyDescent="0.25">
      <c r="A818" s="172" t="s">
        <v>2409</v>
      </c>
      <c r="B818" t="s">
        <v>2410</v>
      </c>
      <c r="C818" t="s">
        <v>248</v>
      </c>
      <c r="D818">
        <v>31.4</v>
      </c>
      <c r="E818">
        <v>0</v>
      </c>
      <c r="F818">
        <v>0</v>
      </c>
    </row>
    <row r="819" spans="1:6" x14ac:dyDescent="0.25">
      <c r="A819" s="172" t="s">
        <v>2411</v>
      </c>
      <c r="B819" t="s">
        <v>2412</v>
      </c>
      <c r="C819" t="s">
        <v>248</v>
      </c>
      <c r="D819">
        <v>40.49</v>
      </c>
      <c r="E819">
        <v>0</v>
      </c>
      <c r="F819">
        <v>0</v>
      </c>
    </row>
    <row r="820" spans="1:6" x14ac:dyDescent="0.25">
      <c r="A820" s="172" t="s">
        <v>2413</v>
      </c>
      <c r="B820" t="s">
        <v>2414</v>
      </c>
      <c r="C820" t="s">
        <v>248</v>
      </c>
      <c r="D820">
        <v>43.17</v>
      </c>
      <c r="E820">
        <v>0</v>
      </c>
      <c r="F820">
        <v>0</v>
      </c>
    </row>
    <row r="821" spans="1:6" x14ac:dyDescent="0.25">
      <c r="A821" s="172" t="s">
        <v>2415</v>
      </c>
      <c r="B821" t="s">
        <v>2416</v>
      </c>
      <c r="C821" t="s">
        <v>248</v>
      </c>
      <c r="D821">
        <v>0</v>
      </c>
      <c r="E821">
        <v>0</v>
      </c>
      <c r="F821">
        <v>0</v>
      </c>
    </row>
    <row r="822" spans="1:6" x14ac:dyDescent="0.25">
      <c r="A822" s="172" t="s">
        <v>2417</v>
      </c>
      <c r="B822" t="s">
        <v>2418</v>
      </c>
      <c r="C822" t="s">
        <v>248</v>
      </c>
      <c r="D822">
        <v>0</v>
      </c>
      <c r="E822">
        <v>0</v>
      </c>
      <c r="F822">
        <v>0</v>
      </c>
    </row>
    <row r="823" spans="1:6" x14ac:dyDescent="0.25">
      <c r="A823" s="172" t="s">
        <v>2419</v>
      </c>
      <c r="B823" t="s">
        <v>2420</v>
      </c>
      <c r="C823" t="s">
        <v>248</v>
      </c>
      <c r="D823">
        <v>0</v>
      </c>
      <c r="E823">
        <v>0</v>
      </c>
      <c r="F823">
        <v>0</v>
      </c>
    </row>
    <row r="824" spans="1:6" x14ac:dyDescent="0.25">
      <c r="A824" s="172" t="s">
        <v>2421</v>
      </c>
      <c r="B824" t="s">
        <v>2422</v>
      </c>
      <c r="C824" t="s">
        <v>248</v>
      </c>
      <c r="D824">
        <v>0</v>
      </c>
      <c r="E824">
        <v>0</v>
      </c>
      <c r="F824">
        <v>0</v>
      </c>
    </row>
    <row r="825" spans="1:6" x14ac:dyDescent="0.25">
      <c r="A825" s="172" t="s">
        <v>2423</v>
      </c>
      <c r="B825" t="s">
        <v>2424</v>
      </c>
      <c r="C825" t="s">
        <v>248</v>
      </c>
      <c r="D825">
        <v>0</v>
      </c>
      <c r="E825">
        <v>0</v>
      </c>
      <c r="F825">
        <v>0</v>
      </c>
    </row>
    <row r="826" spans="1:6" x14ac:dyDescent="0.25">
      <c r="A826" s="172" t="s">
        <v>2425</v>
      </c>
      <c r="B826" t="s">
        <v>2426</v>
      </c>
      <c r="C826" t="s">
        <v>248</v>
      </c>
      <c r="D826">
        <v>0</v>
      </c>
      <c r="E826">
        <v>0</v>
      </c>
      <c r="F826">
        <v>0</v>
      </c>
    </row>
    <row r="827" spans="1:6" x14ac:dyDescent="0.25">
      <c r="A827" s="172" t="s">
        <v>2427</v>
      </c>
      <c r="B827" t="s">
        <v>2428</v>
      </c>
      <c r="C827" t="s">
        <v>248</v>
      </c>
      <c r="D827">
        <v>0</v>
      </c>
      <c r="E827">
        <v>0</v>
      </c>
      <c r="F827">
        <v>0</v>
      </c>
    </row>
    <row r="828" spans="1:6" x14ac:dyDescent="0.25">
      <c r="A828" s="172" t="s">
        <v>2429</v>
      </c>
      <c r="B828" t="s">
        <v>2430</v>
      </c>
      <c r="C828" t="s">
        <v>248</v>
      </c>
      <c r="D828">
        <v>37.8</v>
      </c>
      <c r="E828">
        <v>63.82</v>
      </c>
      <c r="F828">
        <v>0</v>
      </c>
    </row>
    <row r="829" spans="1:6" x14ac:dyDescent="0.25">
      <c r="A829" s="172" t="s">
        <v>2431</v>
      </c>
      <c r="B829" t="s">
        <v>2432</v>
      </c>
      <c r="C829" t="s">
        <v>248</v>
      </c>
      <c r="D829">
        <v>5.03</v>
      </c>
      <c r="E829">
        <v>0</v>
      </c>
      <c r="F829">
        <v>0</v>
      </c>
    </row>
    <row r="830" spans="1:6" x14ac:dyDescent="0.25">
      <c r="A830" s="172" t="s">
        <v>2433</v>
      </c>
      <c r="B830" t="s">
        <v>2434</v>
      </c>
      <c r="C830" t="s">
        <v>2435</v>
      </c>
      <c r="D830">
        <v>126.45</v>
      </c>
      <c r="E830">
        <v>193.06</v>
      </c>
      <c r="F830">
        <v>0</v>
      </c>
    </row>
    <row r="831" spans="1:6" x14ac:dyDescent="0.25">
      <c r="A831" s="172" t="s">
        <v>2436</v>
      </c>
      <c r="B831" t="s">
        <v>2437</v>
      </c>
      <c r="C831" t="s">
        <v>248</v>
      </c>
      <c r="D831">
        <v>46.11</v>
      </c>
      <c r="E831">
        <v>0</v>
      </c>
      <c r="F831">
        <v>0</v>
      </c>
    </row>
    <row r="832" spans="1:6" x14ac:dyDescent="0.25">
      <c r="A832" s="172" t="s">
        <v>2438</v>
      </c>
      <c r="B832" t="s">
        <v>2439</v>
      </c>
      <c r="C832" t="s">
        <v>248</v>
      </c>
      <c r="D832">
        <v>0</v>
      </c>
      <c r="E832">
        <v>0</v>
      </c>
      <c r="F832">
        <v>0</v>
      </c>
    </row>
    <row r="833" spans="1:6" x14ac:dyDescent="0.25">
      <c r="A833" s="172" t="s">
        <v>2440</v>
      </c>
      <c r="B833" t="s">
        <v>2441</v>
      </c>
      <c r="C833" t="s">
        <v>248</v>
      </c>
      <c r="D833">
        <v>17.95</v>
      </c>
      <c r="E833">
        <v>0</v>
      </c>
      <c r="F833">
        <v>0</v>
      </c>
    </row>
    <row r="834" spans="1:6" x14ac:dyDescent="0.25">
      <c r="A834" s="172" t="s">
        <v>2442</v>
      </c>
      <c r="B834" t="s">
        <v>2443</v>
      </c>
      <c r="C834" t="s">
        <v>248</v>
      </c>
      <c r="D834">
        <v>52.58</v>
      </c>
      <c r="E834">
        <v>0</v>
      </c>
      <c r="F834">
        <v>0</v>
      </c>
    </row>
    <row r="835" spans="1:6" x14ac:dyDescent="0.25">
      <c r="A835" s="172" t="s">
        <v>2444</v>
      </c>
      <c r="B835" t="s">
        <v>2445</v>
      </c>
      <c r="C835" t="s">
        <v>248</v>
      </c>
      <c r="D835">
        <v>35.53</v>
      </c>
      <c r="E835">
        <v>0</v>
      </c>
      <c r="F835">
        <v>0</v>
      </c>
    </row>
    <row r="836" spans="1:6" x14ac:dyDescent="0.25">
      <c r="A836" s="172" t="s">
        <v>2446</v>
      </c>
      <c r="B836" t="s">
        <v>2447</v>
      </c>
      <c r="C836" t="s">
        <v>248</v>
      </c>
      <c r="D836">
        <v>10.39</v>
      </c>
      <c r="E836">
        <v>0</v>
      </c>
      <c r="F836">
        <v>0</v>
      </c>
    </row>
    <row r="837" spans="1:6" x14ac:dyDescent="0.25">
      <c r="A837" s="172" t="s">
        <v>2448</v>
      </c>
      <c r="B837" t="s">
        <v>2449</v>
      </c>
      <c r="C837" t="s">
        <v>248</v>
      </c>
      <c r="D837">
        <v>10.39</v>
      </c>
      <c r="E837">
        <v>0</v>
      </c>
      <c r="F837">
        <v>0</v>
      </c>
    </row>
    <row r="838" spans="1:6" x14ac:dyDescent="0.25">
      <c r="A838" s="172" t="s">
        <v>2450</v>
      </c>
      <c r="B838" t="s">
        <v>2451</v>
      </c>
      <c r="C838" t="s">
        <v>248</v>
      </c>
      <c r="D838">
        <v>0</v>
      </c>
      <c r="E838">
        <v>0</v>
      </c>
      <c r="F838">
        <v>0</v>
      </c>
    </row>
    <row r="839" spans="1:6" x14ac:dyDescent="0.25">
      <c r="A839" s="172" t="s">
        <v>2452</v>
      </c>
      <c r="B839" t="s">
        <v>2453</v>
      </c>
      <c r="C839" t="s">
        <v>2454</v>
      </c>
      <c r="D839">
        <v>221.21</v>
      </c>
      <c r="E839">
        <v>490.18</v>
      </c>
      <c r="F839">
        <v>0</v>
      </c>
    </row>
    <row r="840" spans="1:6" x14ac:dyDescent="0.25">
      <c r="A840" s="172" t="s">
        <v>2455</v>
      </c>
      <c r="B840" t="s">
        <v>2456</v>
      </c>
      <c r="C840" t="s">
        <v>2457</v>
      </c>
      <c r="D840">
        <v>0</v>
      </c>
      <c r="E840">
        <v>0</v>
      </c>
      <c r="F840">
        <v>0</v>
      </c>
    </row>
    <row r="841" spans="1:6" x14ac:dyDescent="0.25">
      <c r="A841" s="172" t="s">
        <v>2458</v>
      </c>
      <c r="B841" t="s">
        <v>2459</v>
      </c>
      <c r="C841" t="s">
        <v>2460</v>
      </c>
      <c r="D841">
        <v>119.11</v>
      </c>
      <c r="E841">
        <v>200.92</v>
      </c>
      <c r="F841">
        <v>0</v>
      </c>
    </row>
    <row r="842" spans="1:6" x14ac:dyDescent="0.25">
      <c r="A842" s="172" t="s">
        <v>2461</v>
      </c>
      <c r="B842" t="s">
        <v>2462</v>
      </c>
      <c r="C842" t="s">
        <v>2463</v>
      </c>
      <c r="D842">
        <v>199.3</v>
      </c>
      <c r="E842">
        <v>343.62</v>
      </c>
      <c r="F842">
        <v>0</v>
      </c>
    </row>
    <row r="843" spans="1:6" x14ac:dyDescent="0.25">
      <c r="A843" s="172" t="s">
        <v>2464</v>
      </c>
      <c r="B843" t="s">
        <v>2465</v>
      </c>
      <c r="C843" t="s">
        <v>2466</v>
      </c>
      <c r="D843">
        <v>123.17</v>
      </c>
      <c r="E843">
        <v>219.69</v>
      </c>
      <c r="F843">
        <v>0</v>
      </c>
    </row>
    <row r="844" spans="1:6" x14ac:dyDescent="0.25">
      <c r="A844" s="172" t="s">
        <v>2467</v>
      </c>
      <c r="B844" t="s">
        <v>2468</v>
      </c>
      <c r="C844" t="s">
        <v>2469</v>
      </c>
      <c r="D844">
        <v>193.33</v>
      </c>
      <c r="E844">
        <v>366.15</v>
      </c>
      <c r="F844">
        <v>0</v>
      </c>
    </row>
    <row r="845" spans="1:6" x14ac:dyDescent="0.25">
      <c r="A845" s="172" t="s">
        <v>2470</v>
      </c>
      <c r="B845" t="s">
        <v>2471</v>
      </c>
      <c r="C845" t="s">
        <v>248</v>
      </c>
      <c r="D845">
        <v>26.57</v>
      </c>
      <c r="E845">
        <v>0</v>
      </c>
      <c r="F845">
        <v>0</v>
      </c>
    </row>
    <row r="846" spans="1:6" x14ac:dyDescent="0.25">
      <c r="A846" s="172" t="s">
        <v>2472</v>
      </c>
      <c r="B846" t="s">
        <v>2473</v>
      </c>
      <c r="C846" t="s">
        <v>248</v>
      </c>
      <c r="D846">
        <v>72.02</v>
      </c>
      <c r="E846">
        <v>108.18</v>
      </c>
      <c r="F846">
        <v>0</v>
      </c>
    </row>
    <row r="847" spans="1:6" x14ac:dyDescent="0.25">
      <c r="A847" s="172" t="s">
        <v>2474</v>
      </c>
      <c r="B847" t="s">
        <v>2475</v>
      </c>
      <c r="C847" t="s">
        <v>248</v>
      </c>
      <c r="D847">
        <v>19.55</v>
      </c>
      <c r="E847">
        <v>0</v>
      </c>
      <c r="F847">
        <v>0</v>
      </c>
    </row>
    <row r="848" spans="1:6" x14ac:dyDescent="0.25">
      <c r="A848" s="172" t="s">
        <v>2476</v>
      </c>
      <c r="B848" t="s">
        <v>2477</v>
      </c>
      <c r="C848" t="s">
        <v>2478</v>
      </c>
      <c r="D848">
        <v>18.21</v>
      </c>
      <c r="E848">
        <v>0</v>
      </c>
      <c r="F848">
        <v>0</v>
      </c>
    </row>
    <row r="849" spans="1:6" x14ac:dyDescent="0.25">
      <c r="A849" s="172" t="s">
        <v>2479</v>
      </c>
      <c r="B849" t="s">
        <v>2480</v>
      </c>
      <c r="C849" t="s">
        <v>248</v>
      </c>
      <c r="D849">
        <v>106.57</v>
      </c>
      <c r="E849">
        <v>0</v>
      </c>
      <c r="F849">
        <v>0</v>
      </c>
    </row>
    <row r="850" spans="1:6" x14ac:dyDescent="0.25">
      <c r="A850" s="172" t="s">
        <v>2481</v>
      </c>
      <c r="B850" t="s">
        <v>2482</v>
      </c>
      <c r="C850" t="s">
        <v>248</v>
      </c>
      <c r="D850">
        <v>6.69</v>
      </c>
      <c r="E850">
        <v>0</v>
      </c>
      <c r="F850">
        <v>0</v>
      </c>
    </row>
    <row r="851" spans="1:6" x14ac:dyDescent="0.25">
      <c r="A851" s="172" t="s">
        <v>2483</v>
      </c>
      <c r="B851" t="s">
        <v>2484</v>
      </c>
      <c r="C851" t="s">
        <v>248</v>
      </c>
      <c r="D851">
        <v>193.6</v>
      </c>
      <c r="E851">
        <v>281.65</v>
      </c>
      <c r="F851">
        <v>0</v>
      </c>
    </row>
    <row r="852" spans="1:6" x14ac:dyDescent="0.25">
      <c r="A852" s="172" t="s">
        <v>2485</v>
      </c>
      <c r="B852" t="s">
        <v>2486</v>
      </c>
      <c r="C852" t="s">
        <v>248</v>
      </c>
      <c r="D852">
        <v>89.1</v>
      </c>
      <c r="E852">
        <v>140.82</v>
      </c>
      <c r="F852">
        <v>0</v>
      </c>
    </row>
    <row r="853" spans="1:6" x14ac:dyDescent="0.25">
      <c r="A853" s="172" t="s">
        <v>2487</v>
      </c>
      <c r="B853" t="s">
        <v>2488</v>
      </c>
      <c r="C853" t="s">
        <v>248</v>
      </c>
      <c r="D853">
        <v>87.02</v>
      </c>
      <c r="E853">
        <v>0</v>
      </c>
      <c r="F853">
        <v>0</v>
      </c>
    </row>
    <row r="854" spans="1:6" x14ac:dyDescent="0.25">
      <c r="A854" s="172" t="s">
        <v>2489</v>
      </c>
      <c r="B854" t="s">
        <v>2490</v>
      </c>
      <c r="C854" t="s">
        <v>248</v>
      </c>
      <c r="D854">
        <v>24.12</v>
      </c>
      <c r="E854">
        <v>0</v>
      </c>
      <c r="F854">
        <v>0</v>
      </c>
    </row>
    <row r="855" spans="1:6" x14ac:dyDescent="0.25">
      <c r="A855" s="172" t="s">
        <v>2491</v>
      </c>
      <c r="B855" t="s">
        <v>2492</v>
      </c>
      <c r="C855" t="s">
        <v>248</v>
      </c>
      <c r="D855">
        <v>65.25</v>
      </c>
      <c r="E855">
        <v>0</v>
      </c>
      <c r="F855">
        <v>0</v>
      </c>
    </row>
    <row r="856" spans="1:6" x14ac:dyDescent="0.25">
      <c r="A856" s="172" t="s">
        <v>2493</v>
      </c>
      <c r="B856" t="s">
        <v>2494</v>
      </c>
      <c r="C856" t="s">
        <v>248</v>
      </c>
      <c r="D856">
        <v>24.35</v>
      </c>
      <c r="E856">
        <v>0</v>
      </c>
      <c r="F856">
        <v>0</v>
      </c>
    </row>
    <row r="857" spans="1:6" x14ac:dyDescent="0.25">
      <c r="A857" s="172" t="s">
        <v>2495</v>
      </c>
      <c r="B857" t="s">
        <v>2496</v>
      </c>
      <c r="C857" t="s">
        <v>248</v>
      </c>
      <c r="D857">
        <v>24.12</v>
      </c>
      <c r="E857">
        <v>0</v>
      </c>
      <c r="F857">
        <v>0</v>
      </c>
    </row>
    <row r="858" spans="1:6" x14ac:dyDescent="0.25">
      <c r="A858" s="172" t="s">
        <v>2497</v>
      </c>
      <c r="B858" t="s">
        <v>2498</v>
      </c>
      <c r="C858" t="s">
        <v>248</v>
      </c>
      <c r="D858">
        <v>25</v>
      </c>
      <c r="E858">
        <v>0</v>
      </c>
      <c r="F858">
        <v>0</v>
      </c>
    </row>
    <row r="859" spans="1:6" x14ac:dyDescent="0.25">
      <c r="A859" s="172" t="s">
        <v>2499</v>
      </c>
      <c r="B859" t="s">
        <v>2500</v>
      </c>
      <c r="C859" t="s">
        <v>248</v>
      </c>
      <c r="D859">
        <v>35.66</v>
      </c>
      <c r="E859">
        <v>0</v>
      </c>
      <c r="F859">
        <v>0</v>
      </c>
    </row>
    <row r="860" spans="1:6" x14ac:dyDescent="0.25">
      <c r="A860" s="172" t="s">
        <v>2501</v>
      </c>
      <c r="B860" t="s">
        <v>2502</v>
      </c>
      <c r="C860" t="s">
        <v>248</v>
      </c>
      <c r="D860">
        <v>10.33</v>
      </c>
      <c r="E860">
        <v>0</v>
      </c>
      <c r="F860">
        <v>0</v>
      </c>
    </row>
    <row r="861" spans="1:6" x14ac:dyDescent="0.25">
      <c r="A861" s="172" t="s">
        <v>2503</v>
      </c>
      <c r="B861" t="s">
        <v>2504</v>
      </c>
      <c r="C861" t="s">
        <v>248</v>
      </c>
      <c r="D861">
        <v>31.2</v>
      </c>
      <c r="E861">
        <v>0</v>
      </c>
      <c r="F861">
        <v>0</v>
      </c>
    </row>
    <row r="862" spans="1:6" x14ac:dyDescent="0.25">
      <c r="A862" s="172" t="s">
        <v>2505</v>
      </c>
      <c r="B862" t="s">
        <v>2506</v>
      </c>
      <c r="C862" t="s">
        <v>248</v>
      </c>
      <c r="D862">
        <v>7.9</v>
      </c>
      <c r="E862">
        <v>0</v>
      </c>
      <c r="F862">
        <v>0</v>
      </c>
    </row>
    <row r="863" spans="1:6" x14ac:dyDescent="0.25">
      <c r="A863" s="172" t="s">
        <v>2507</v>
      </c>
      <c r="B863" t="s">
        <v>2508</v>
      </c>
      <c r="C863" t="s">
        <v>248</v>
      </c>
      <c r="D863">
        <v>169.79</v>
      </c>
      <c r="E863">
        <v>282.68</v>
      </c>
      <c r="F863">
        <v>0</v>
      </c>
    </row>
    <row r="864" spans="1:6" x14ac:dyDescent="0.25">
      <c r="A864" s="172" t="s">
        <v>2509</v>
      </c>
      <c r="B864" t="s">
        <v>2510</v>
      </c>
      <c r="C864" t="s">
        <v>248</v>
      </c>
      <c r="D864">
        <v>144.09</v>
      </c>
      <c r="E864">
        <v>282.68</v>
      </c>
      <c r="F864">
        <v>0</v>
      </c>
    </row>
    <row r="865" spans="1:6" x14ac:dyDescent="0.25">
      <c r="A865" s="172" t="s">
        <v>2511</v>
      </c>
      <c r="B865" t="s">
        <v>2512</v>
      </c>
      <c r="C865" t="s">
        <v>248</v>
      </c>
      <c r="D865">
        <v>98.83</v>
      </c>
      <c r="E865">
        <v>202</v>
      </c>
      <c r="F865">
        <v>0</v>
      </c>
    </row>
    <row r="866" spans="1:6" x14ac:dyDescent="0.25">
      <c r="A866" s="172" t="s">
        <v>2513</v>
      </c>
      <c r="B866" t="s">
        <v>2514</v>
      </c>
      <c r="C866" t="s">
        <v>248</v>
      </c>
      <c r="D866">
        <v>44.71</v>
      </c>
      <c r="E866">
        <v>0</v>
      </c>
      <c r="F866">
        <v>0</v>
      </c>
    </row>
    <row r="867" spans="1:6" x14ac:dyDescent="0.25">
      <c r="A867" s="172" t="s">
        <v>2515</v>
      </c>
      <c r="B867" t="s">
        <v>2516</v>
      </c>
      <c r="C867" t="s">
        <v>248</v>
      </c>
      <c r="D867">
        <v>1</v>
      </c>
      <c r="E867">
        <v>0</v>
      </c>
      <c r="F867">
        <v>0</v>
      </c>
    </row>
    <row r="868" spans="1:6" x14ac:dyDescent="0.25">
      <c r="A868" s="172" t="s">
        <v>2517</v>
      </c>
      <c r="B868" t="s">
        <v>2518</v>
      </c>
      <c r="C868" t="s">
        <v>248</v>
      </c>
      <c r="D868">
        <v>49.18</v>
      </c>
      <c r="E868">
        <v>0</v>
      </c>
      <c r="F868">
        <v>0</v>
      </c>
    </row>
    <row r="869" spans="1:6" x14ac:dyDescent="0.25">
      <c r="A869" s="172" t="s">
        <v>2519</v>
      </c>
      <c r="B869" t="s">
        <v>2520</v>
      </c>
      <c r="C869" t="s">
        <v>248</v>
      </c>
      <c r="D869">
        <v>38.25</v>
      </c>
      <c r="E869">
        <v>0</v>
      </c>
      <c r="F869">
        <v>0</v>
      </c>
    </row>
    <row r="870" spans="1:6" x14ac:dyDescent="0.25">
      <c r="A870" s="172" t="s">
        <v>2521</v>
      </c>
      <c r="B870" t="s">
        <v>2522</v>
      </c>
      <c r="C870" t="s">
        <v>248</v>
      </c>
      <c r="D870">
        <v>28.88</v>
      </c>
      <c r="E870">
        <v>0</v>
      </c>
      <c r="F870">
        <v>0</v>
      </c>
    </row>
    <row r="871" spans="1:6" x14ac:dyDescent="0.25">
      <c r="A871" s="172" t="s">
        <v>2523</v>
      </c>
      <c r="B871" t="s">
        <v>2524</v>
      </c>
      <c r="C871" t="s">
        <v>248</v>
      </c>
      <c r="D871">
        <v>17.95</v>
      </c>
      <c r="E871">
        <v>0</v>
      </c>
      <c r="F871">
        <v>0</v>
      </c>
    </row>
    <row r="872" spans="1:6" x14ac:dyDescent="0.25">
      <c r="A872" s="172" t="s">
        <v>2525</v>
      </c>
      <c r="B872" t="s">
        <v>2526</v>
      </c>
      <c r="C872" t="s">
        <v>2527</v>
      </c>
      <c r="D872">
        <v>132.93</v>
      </c>
      <c r="E872">
        <v>213.72</v>
      </c>
      <c r="F872">
        <v>0</v>
      </c>
    </row>
    <row r="873" spans="1:6" x14ac:dyDescent="0.25">
      <c r="A873" s="172" t="s">
        <v>2528</v>
      </c>
      <c r="B873" t="s">
        <v>2529</v>
      </c>
      <c r="C873" t="s">
        <v>248</v>
      </c>
      <c r="D873">
        <v>87.56</v>
      </c>
      <c r="E873">
        <v>0</v>
      </c>
      <c r="F873">
        <v>0</v>
      </c>
    </row>
    <row r="874" spans="1:6" x14ac:dyDescent="0.25">
      <c r="A874" s="172" t="s">
        <v>2530</v>
      </c>
      <c r="B874" t="s">
        <v>2531</v>
      </c>
      <c r="C874" t="s">
        <v>248</v>
      </c>
      <c r="D874">
        <v>43.78</v>
      </c>
      <c r="E874">
        <v>0</v>
      </c>
      <c r="F874">
        <v>0</v>
      </c>
    </row>
    <row r="875" spans="1:6" x14ac:dyDescent="0.25">
      <c r="A875" s="172" t="s">
        <v>2532</v>
      </c>
      <c r="B875" t="s">
        <v>2533</v>
      </c>
      <c r="C875" t="s">
        <v>248</v>
      </c>
      <c r="D875">
        <v>7.34</v>
      </c>
      <c r="E875">
        <v>0</v>
      </c>
      <c r="F875">
        <v>0</v>
      </c>
    </row>
    <row r="876" spans="1:6" x14ac:dyDescent="0.25">
      <c r="A876" s="172" t="s">
        <v>2534</v>
      </c>
      <c r="B876" t="s">
        <v>2535</v>
      </c>
      <c r="C876" t="s">
        <v>248</v>
      </c>
      <c r="D876">
        <v>13.78</v>
      </c>
      <c r="E876">
        <v>0</v>
      </c>
      <c r="F876">
        <v>0</v>
      </c>
    </row>
    <row r="877" spans="1:6" x14ac:dyDescent="0.25">
      <c r="A877" s="172" t="s">
        <v>2536</v>
      </c>
      <c r="B877" t="s">
        <v>2537</v>
      </c>
      <c r="C877" t="s">
        <v>248</v>
      </c>
      <c r="D877">
        <v>1.5</v>
      </c>
      <c r="E877">
        <v>0</v>
      </c>
      <c r="F877">
        <v>0</v>
      </c>
    </row>
    <row r="878" spans="1:6" x14ac:dyDescent="0.25">
      <c r="A878" s="172" t="s">
        <v>2538</v>
      </c>
      <c r="B878" t="s">
        <v>2539</v>
      </c>
      <c r="C878" t="s">
        <v>248</v>
      </c>
      <c r="D878">
        <v>1.5</v>
      </c>
      <c r="E878">
        <v>0</v>
      </c>
      <c r="F878">
        <v>0</v>
      </c>
    </row>
    <row r="879" spans="1:6" x14ac:dyDescent="0.25">
      <c r="A879" s="172" t="s">
        <v>2540</v>
      </c>
      <c r="B879" t="s">
        <v>2541</v>
      </c>
      <c r="C879" t="s">
        <v>248</v>
      </c>
      <c r="D879">
        <v>29</v>
      </c>
      <c r="E879">
        <v>0</v>
      </c>
      <c r="F879">
        <v>0</v>
      </c>
    </row>
    <row r="880" spans="1:6" x14ac:dyDescent="0.25">
      <c r="A880" s="172" t="s">
        <v>2542</v>
      </c>
      <c r="B880" t="s">
        <v>2543</v>
      </c>
      <c r="C880" t="s">
        <v>248</v>
      </c>
      <c r="D880">
        <v>0</v>
      </c>
      <c r="E880">
        <v>0</v>
      </c>
      <c r="F880">
        <v>0</v>
      </c>
    </row>
    <row r="881" spans="1:6" x14ac:dyDescent="0.25">
      <c r="A881" s="172" t="s">
        <v>2544</v>
      </c>
      <c r="B881" t="s">
        <v>2545</v>
      </c>
      <c r="C881" t="s">
        <v>248</v>
      </c>
      <c r="D881">
        <v>27.19</v>
      </c>
      <c r="E881">
        <v>0</v>
      </c>
      <c r="F881">
        <v>0</v>
      </c>
    </row>
    <row r="882" spans="1:6" x14ac:dyDescent="0.25">
      <c r="A882" s="172" t="s">
        <v>2546</v>
      </c>
      <c r="B882" t="s">
        <v>2529</v>
      </c>
      <c r="C882" t="s">
        <v>248</v>
      </c>
      <c r="D882">
        <v>81.57</v>
      </c>
      <c r="E882">
        <v>0</v>
      </c>
      <c r="F882">
        <v>0</v>
      </c>
    </row>
    <row r="883" spans="1:6" x14ac:dyDescent="0.25">
      <c r="A883" s="172" t="s">
        <v>2547</v>
      </c>
      <c r="B883" t="s">
        <v>2548</v>
      </c>
      <c r="C883" t="s">
        <v>248</v>
      </c>
      <c r="D883">
        <v>10.55</v>
      </c>
      <c r="E883">
        <v>0</v>
      </c>
      <c r="F883">
        <v>0</v>
      </c>
    </row>
    <row r="884" spans="1:6" x14ac:dyDescent="0.25">
      <c r="A884" s="172" t="s">
        <v>2549</v>
      </c>
      <c r="B884" t="s">
        <v>2550</v>
      </c>
      <c r="C884" t="s">
        <v>248</v>
      </c>
      <c r="D884">
        <v>26.75</v>
      </c>
      <c r="E884">
        <v>0</v>
      </c>
      <c r="F884">
        <v>0</v>
      </c>
    </row>
    <row r="885" spans="1:6" x14ac:dyDescent="0.25">
      <c r="A885" s="172" t="s">
        <v>2551</v>
      </c>
      <c r="B885" t="s">
        <v>2552</v>
      </c>
      <c r="C885" t="s">
        <v>248</v>
      </c>
      <c r="D885">
        <v>11.25</v>
      </c>
      <c r="E885">
        <v>0</v>
      </c>
      <c r="F885">
        <v>0</v>
      </c>
    </row>
    <row r="886" spans="1:6" x14ac:dyDescent="0.25">
      <c r="A886" s="172" t="s">
        <v>2553</v>
      </c>
      <c r="B886" t="s">
        <v>2554</v>
      </c>
      <c r="C886" t="s">
        <v>248</v>
      </c>
      <c r="D886">
        <v>15.03</v>
      </c>
      <c r="E886">
        <v>0</v>
      </c>
      <c r="F886">
        <v>0</v>
      </c>
    </row>
    <row r="887" spans="1:6" x14ac:dyDescent="0.25">
      <c r="A887" s="172" t="s">
        <v>2555</v>
      </c>
      <c r="B887" t="s">
        <v>2556</v>
      </c>
      <c r="C887" t="s">
        <v>248</v>
      </c>
      <c r="D887">
        <v>5.88</v>
      </c>
      <c r="E887">
        <v>0</v>
      </c>
      <c r="F887">
        <v>0</v>
      </c>
    </row>
    <row r="888" spans="1:6" x14ac:dyDescent="0.25">
      <c r="A888" s="172" t="s">
        <v>2557</v>
      </c>
      <c r="B888" t="s">
        <v>2558</v>
      </c>
      <c r="C888" t="s">
        <v>248</v>
      </c>
      <c r="D888">
        <v>10.29</v>
      </c>
      <c r="E888">
        <v>0</v>
      </c>
      <c r="F888">
        <v>0</v>
      </c>
    </row>
    <row r="889" spans="1:6" x14ac:dyDescent="0.25">
      <c r="A889" s="172" t="s">
        <v>2559</v>
      </c>
      <c r="B889" t="s">
        <v>2560</v>
      </c>
      <c r="C889" t="s">
        <v>248</v>
      </c>
      <c r="D889">
        <v>5.88</v>
      </c>
      <c r="E889">
        <v>0</v>
      </c>
      <c r="F889">
        <v>0</v>
      </c>
    </row>
    <row r="890" spans="1:6" x14ac:dyDescent="0.25">
      <c r="A890" s="172" t="s">
        <v>2561</v>
      </c>
      <c r="B890" t="s">
        <v>2562</v>
      </c>
      <c r="C890" t="s">
        <v>248</v>
      </c>
      <c r="D890">
        <v>7.68</v>
      </c>
      <c r="E890">
        <v>0</v>
      </c>
      <c r="F890">
        <v>0</v>
      </c>
    </row>
    <row r="891" spans="1:6" x14ac:dyDescent="0.25">
      <c r="A891" s="172" t="s">
        <v>2563</v>
      </c>
      <c r="B891" t="s">
        <v>2564</v>
      </c>
      <c r="C891" t="s">
        <v>248</v>
      </c>
      <c r="D891">
        <v>0</v>
      </c>
      <c r="E891">
        <v>0</v>
      </c>
      <c r="F891">
        <v>0</v>
      </c>
    </row>
    <row r="892" spans="1:6" x14ac:dyDescent="0.25">
      <c r="A892" s="172" t="s">
        <v>2565</v>
      </c>
      <c r="B892" t="s">
        <v>2566</v>
      </c>
      <c r="C892" t="s">
        <v>248</v>
      </c>
      <c r="D892">
        <v>10.02</v>
      </c>
      <c r="E892">
        <v>0</v>
      </c>
      <c r="F892">
        <v>0</v>
      </c>
    </row>
    <row r="893" spans="1:6" x14ac:dyDescent="0.25">
      <c r="A893" s="172" t="s">
        <v>2567</v>
      </c>
      <c r="B893" t="s">
        <v>2568</v>
      </c>
      <c r="C893" t="s">
        <v>248</v>
      </c>
      <c r="D893">
        <v>0</v>
      </c>
      <c r="E893">
        <v>0</v>
      </c>
      <c r="F893">
        <v>0</v>
      </c>
    </row>
    <row r="894" spans="1:6" x14ac:dyDescent="0.25">
      <c r="A894" s="172" t="s">
        <v>2569</v>
      </c>
      <c r="B894" t="s">
        <v>2570</v>
      </c>
      <c r="C894" t="s">
        <v>248</v>
      </c>
      <c r="D894">
        <v>120.3</v>
      </c>
      <c r="E894">
        <v>213.54</v>
      </c>
      <c r="F894">
        <v>0</v>
      </c>
    </row>
    <row r="895" spans="1:6" x14ac:dyDescent="0.25">
      <c r="A895" s="172" t="s">
        <v>2571</v>
      </c>
      <c r="B895" t="s">
        <v>2572</v>
      </c>
      <c r="C895" t="s">
        <v>248</v>
      </c>
      <c r="D895">
        <v>65.16</v>
      </c>
      <c r="E895">
        <v>106.77</v>
      </c>
      <c r="F895">
        <v>0</v>
      </c>
    </row>
    <row r="896" spans="1:6" x14ac:dyDescent="0.25">
      <c r="A896" s="172" t="s">
        <v>2573</v>
      </c>
      <c r="B896" t="s">
        <v>2574</v>
      </c>
      <c r="C896" t="s">
        <v>248</v>
      </c>
      <c r="D896">
        <v>10.02</v>
      </c>
      <c r="E896">
        <v>0</v>
      </c>
      <c r="F896">
        <v>0</v>
      </c>
    </row>
    <row r="897" spans="1:6" x14ac:dyDescent="0.25">
      <c r="A897" s="172" t="s">
        <v>2575</v>
      </c>
      <c r="B897" t="s">
        <v>2576</v>
      </c>
      <c r="C897" t="s">
        <v>248</v>
      </c>
      <c r="D897">
        <v>12.47</v>
      </c>
      <c r="E897">
        <v>0</v>
      </c>
      <c r="F897">
        <v>0</v>
      </c>
    </row>
    <row r="898" spans="1:6" x14ac:dyDescent="0.25">
      <c r="A898" s="172" t="s">
        <v>2577</v>
      </c>
      <c r="B898" t="s">
        <v>2578</v>
      </c>
      <c r="C898" t="s">
        <v>248</v>
      </c>
      <c r="D898">
        <v>0</v>
      </c>
      <c r="E898">
        <v>0</v>
      </c>
      <c r="F898">
        <v>0</v>
      </c>
    </row>
    <row r="899" spans="1:6" x14ac:dyDescent="0.25">
      <c r="A899" s="172" t="s">
        <v>2579</v>
      </c>
      <c r="B899" t="s">
        <v>2580</v>
      </c>
      <c r="C899" t="s">
        <v>248</v>
      </c>
      <c r="D899">
        <v>28.35</v>
      </c>
      <c r="E899">
        <v>0</v>
      </c>
      <c r="F899">
        <v>0</v>
      </c>
    </row>
    <row r="900" spans="1:6" x14ac:dyDescent="0.25">
      <c r="A900" s="172" t="s">
        <v>2581</v>
      </c>
      <c r="B900" t="s">
        <v>2582</v>
      </c>
      <c r="C900" t="s">
        <v>248</v>
      </c>
      <c r="D900">
        <v>79.52</v>
      </c>
      <c r="E900">
        <v>0</v>
      </c>
      <c r="F900">
        <v>0</v>
      </c>
    </row>
    <row r="901" spans="1:6" x14ac:dyDescent="0.25">
      <c r="A901" s="172" t="s">
        <v>2583</v>
      </c>
      <c r="B901" t="s">
        <v>2584</v>
      </c>
      <c r="C901" t="s">
        <v>248</v>
      </c>
      <c r="D901">
        <v>39.76</v>
      </c>
      <c r="E901">
        <v>0</v>
      </c>
      <c r="F901">
        <v>0</v>
      </c>
    </row>
    <row r="902" spans="1:6" x14ac:dyDescent="0.25">
      <c r="A902" s="172" t="s">
        <v>2585</v>
      </c>
      <c r="B902" t="s">
        <v>2586</v>
      </c>
      <c r="C902" t="s">
        <v>248</v>
      </c>
      <c r="D902">
        <v>2.91</v>
      </c>
      <c r="E902">
        <v>0</v>
      </c>
      <c r="F902">
        <v>0</v>
      </c>
    </row>
    <row r="903" spans="1:6" x14ac:dyDescent="0.25">
      <c r="A903" s="172" t="s">
        <v>2587</v>
      </c>
      <c r="B903" t="s">
        <v>2588</v>
      </c>
      <c r="C903" t="s">
        <v>248</v>
      </c>
      <c r="D903">
        <v>2.91</v>
      </c>
      <c r="E903">
        <v>0</v>
      </c>
      <c r="F903">
        <v>0</v>
      </c>
    </row>
    <row r="904" spans="1:6" x14ac:dyDescent="0.25">
      <c r="A904" s="172" t="s">
        <v>2589</v>
      </c>
      <c r="B904" t="s">
        <v>2590</v>
      </c>
      <c r="C904" t="s">
        <v>248</v>
      </c>
      <c r="D904">
        <v>2.91</v>
      </c>
      <c r="E904">
        <v>0</v>
      </c>
      <c r="F904">
        <v>0</v>
      </c>
    </row>
    <row r="905" spans="1:6" x14ac:dyDescent="0.25">
      <c r="A905" s="172" t="s">
        <v>2591</v>
      </c>
      <c r="B905" t="s">
        <v>2592</v>
      </c>
      <c r="C905" t="s">
        <v>248</v>
      </c>
      <c r="D905">
        <v>120.3</v>
      </c>
      <c r="E905">
        <v>213.51</v>
      </c>
      <c r="F905">
        <v>0</v>
      </c>
    </row>
    <row r="906" spans="1:6" x14ac:dyDescent="0.25">
      <c r="A906" s="172" t="s">
        <v>2593</v>
      </c>
      <c r="B906" t="s">
        <v>2594</v>
      </c>
      <c r="C906" t="s">
        <v>248</v>
      </c>
      <c r="D906">
        <v>65.16</v>
      </c>
      <c r="E906">
        <v>106.76</v>
      </c>
      <c r="F906">
        <v>0</v>
      </c>
    </row>
    <row r="907" spans="1:6" x14ac:dyDescent="0.25">
      <c r="A907" s="172" t="s">
        <v>2595</v>
      </c>
      <c r="B907" t="s">
        <v>2596</v>
      </c>
      <c r="C907" t="s">
        <v>248</v>
      </c>
      <c r="D907">
        <v>0</v>
      </c>
      <c r="E907">
        <v>0</v>
      </c>
      <c r="F907">
        <v>0</v>
      </c>
    </row>
    <row r="908" spans="1:6" x14ac:dyDescent="0.25">
      <c r="A908" s="172" t="s">
        <v>2597</v>
      </c>
      <c r="B908" t="s">
        <v>2598</v>
      </c>
      <c r="C908" t="s">
        <v>248</v>
      </c>
      <c r="D908">
        <v>0</v>
      </c>
      <c r="E908">
        <v>0</v>
      </c>
      <c r="F908">
        <v>0</v>
      </c>
    </row>
    <row r="909" spans="1:6" x14ac:dyDescent="0.25">
      <c r="A909" s="172" t="s">
        <v>2599</v>
      </c>
      <c r="B909" t="s">
        <v>2600</v>
      </c>
      <c r="C909" t="s">
        <v>248</v>
      </c>
      <c r="D909">
        <v>0</v>
      </c>
      <c r="E909">
        <v>0</v>
      </c>
      <c r="F909">
        <v>0</v>
      </c>
    </row>
    <row r="910" spans="1:6" x14ac:dyDescent="0.25">
      <c r="A910" s="172" t="s">
        <v>2601</v>
      </c>
      <c r="B910" t="s">
        <v>2602</v>
      </c>
      <c r="C910" t="s">
        <v>248</v>
      </c>
      <c r="D910">
        <v>0</v>
      </c>
      <c r="E910">
        <v>0</v>
      </c>
      <c r="F910">
        <v>0</v>
      </c>
    </row>
    <row r="911" spans="1:6" x14ac:dyDescent="0.25">
      <c r="A911" s="172" t="s">
        <v>2603</v>
      </c>
      <c r="B911" t="s">
        <v>2604</v>
      </c>
      <c r="C911" t="s">
        <v>248</v>
      </c>
      <c r="D911">
        <v>159.05</v>
      </c>
      <c r="E911">
        <v>381.15</v>
      </c>
      <c r="F911">
        <v>0</v>
      </c>
    </row>
    <row r="912" spans="1:6" x14ac:dyDescent="0.25">
      <c r="A912" s="172" t="s">
        <v>2605</v>
      </c>
      <c r="B912" t="s">
        <v>2606</v>
      </c>
      <c r="C912" t="s">
        <v>248</v>
      </c>
      <c r="D912">
        <v>0</v>
      </c>
      <c r="E912">
        <v>0</v>
      </c>
      <c r="F912">
        <v>0</v>
      </c>
    </row>
    <row r="913" spans="1:6" x14ac:dyDescent="0.25">
      <c r="A913" s="172" t="s">
        <v>2607</v>
      </c>
      <c r="B913" t="s">
        <v>2608</v>
      </c>
      <c r="C913" t="s">
        <v>248</v>
      </c>
      <c r="D913">
        <v>0</v>
      </c>
      <c r="E913">
        <v>0</v>
      </c>
      <c r="F913">
        <v>0</v>
      </c>
    </row>
    <row r="914" spans="1:6" x14ac:dyDescent="0.25">
      <c r="A914" s="172" t="s">
        <v>2609</v>
      </c>
      <c r="B914" t="s">
        <v>2610</v>
      </c>
      <c r="C914" t="s">
        <v>248</v>
      </c>
      <c r="D914">
        <v>0</v>
      </c>
      <c r="E914">
        <v>0</v>
      </c>
      <c r="F914">
        <v>0</v>
      </c>
    </row>
    <row r="915" spans="1:6" x14ac:dyDescent="0.25">
      <c r="A915" s="172" t="s">
        <v>2611</v>
      </c>
      <c r="B915" t="s">
        <v>2612</v>
      </c>
      <c r="C915" t="s">
        <v>248</v>
      </c>
      <c r="D915">
        <v>0</v>
      </c>
      <c r="E915">
        <v>0</v>
      </c>
      <c r="F915">
        <v>0</v>
      </c>
    </row>
    <row r="916" spans="1:6" x14ac:dyDescent="0.25">
      <c r="A916" s="172" t="s">
        <v>2613</v>
      </c>
      <c r="B916" t="s">
        <v>2614</v>
      </c>
      <c r="C916" t="s">
        <v>248</v>
      </c>
      <c r="D916">
        <v>0</v>
      </c>
      <c r="E916">
        <v>0</v>
      </c>
      <c r="F916">
        <v>0</v>
      </c>
    </row>
    <row r="917" spans="1:6" x14ac:dyDescent="0.25">
      <c r="A917" s="172" t="s">
        <v>2615</v>
      </c>
      <c r="B917" t="s">
        <v>2616</v>
      </c>
      <c r="C917" t="s">
        <v>248</v>
      </c>
      <c r="D917">
        <v>7.16</v>
      </c>
      <c r="E917">
        <v>0</v>
      </c>
      <c r="F917">
        <v>0</v>
      </c>
    </row>
    <row r="918" spans="1:6" x14ac:dyDescent="0.25">
      <c r="A918" s="172" t="s">
        <v>2617</v>
      </c>
      <c r="B918" t="s">
        <v>2618</v>
      </c>
      <c r="C918" t="s">
        <v>248</v>
      </c>
      <c r="D918">
        <v>0</v>
      </c>
      <c r="E918">
        <v>0</v>
      </c>
      <c r="F918">
        <v>0</v>
      </c>
    </row>
    <row r="919" spans="1:6" x14ac:dyDescent="0.25">
      <c r="A919" s="172" t="s">
        <v>2619</v>
      </c>
      <c r="B919" t="s">
        <v>2620</v>
      </c>
      <c r="C919" t="s">
        <v>248</v>
      </c>
      <c r="D919">
        <v>0</v>
      </c>
      <c r="E919">
        <v>0</v>
      </c>
      <c r="F919">
        <v>0</v>
      </c>
    </row>
    <row r="920" spans="1:6" x14ac:dyDescent="0.25">
      <c r="A920" s="172" t="s">
        <v>2621</v>
      </c>
      <c r="B920" t="s">
        <v>2622</v>
      </c>
      <c r="C920" t="s">
        <v>248</v>
      </c>
      <c r="D920">
        <v>0</v>
      </c>
      <c r="E920">
        <v>0</v>
      </c>
      <c r="F920">
        <v>0</v>
      </c>
    </row>
    <row r="921" spans="1:6" x14ac:dyDescent="0.25">
      <c r="A921" s="172" t="s">
        <v>2623</v>
      </c>
      <c r="B921" t="s">
        <v>2624</v>
      </c>
      <c r="C921" t="s">
        <v>248</v>
      </c>
      <c r="D921">
        <v>0</v>
      </c>
      <c r="E921">
        <v>0</v>
      </c>
      <c r="F921">
        <v>0</v>
      </c>
    </row>
    <row r="922" spans="1:6" x14ac:dyDescent="0.25">
      <c r="A922" s="172" t="s">
        <v>2625</v>
      </c>
      <c r="B922" t="s">
        <v>2626</v>
      </c>
      <c r="C922" t="s">
        <v>248</v>
      </c>
      <c r="D922">
        <v>0</v>
      </c>
      <c r="E922">
        <v>0</v>
      </c>
      <c r="F922">
        <v>0</v>
      </c>
    </row>
    <row r="923" spans="1:6" x14ac:dyDescent="0.25">
      <c r="A923" s="172" t="s">
        <v>2627</v>
      </c>
      <c r="B923" t="s">
        <v>2628</v>
      </c>
      <c r="C923" t="s">
        <v>248</v>
      </c>
      <c r="D923">
        <v>0</v>
      </c>
      <c r="E923">
        <v>0</v>
      </c>
      <c r="F923">
        <v>0</v>
      </c>
    </row>
    <row r="924" spans="1:6" x14ac:dyDescent="0.25">
      <c r="A924" s="172" t="s">
        <v>2629</v>
      </c>
      <c r="B924" t="s">
        <v>2630</v>
      </c>
      <c r="C924" t="s">
        <v>248</v>
      </c>
      <c r="D924">
        <v>0</v>
      </c>
      <c r="E924">
        <v>0</v>
      </c>
      <c r="F924">
        <v>0</v>
      </c>
    </row>
    <row r="925" spans="1:6" x14ac:dyDescent="0.25">
      <c r="A925" s="172" t="s">
        <v>2631</v>
      </c>
      <c r="B925" t="s">
        <v>2632</v>
      </c>
      <c r="C925" t="s">
        <v>248</v>
      </c>
      <c r="D925">
        <v>0</v>
      </c>
      <c r="E925">
        <v>0</v>
      </c>
      <c r="F925">
        <v>0</v>
      </c>
    </row>
    <row r="926" spans="1:6" x14ac:dyDescent="0.25">
      <c r="A926" s="172" t="s">
        <v>2633</v>
      </c>
      <c r="B926" t="s">
        <v>2634</v>
      </c>
      <c r="C926" t="s">
        <v>248</v>
      </c>
      <c r="D926">
        <v>0</v>
      </c>
      <c r="E926">
        <v>0</v>
      </c>
      <c r="F926">
        <v>0</v>
      </c>
    </row>
    <row r="927" spans="1:6" x14ac:dyDescent="0.25">
      <c r="A927" s="172" t="s">
        <v>2635</v>
      </c>
      <c r="B927" t="s">
        <v>2636</v>
      </c>
      <c r="C927" t="s">
        <v>248</v>
      </c>
      <c r="D927">
        <v>0</v>
      </c>
      <c r="E927">
        <v>0</v>
      </c>
      <c r="F927">
        <v>0</v>
      </c>
    </row>
    <row r="928" spans="1:6" x14ac:dyDescent="0.25">
      <c r="A928" s="172" t="s">
        <v>2637</v>
      </c>
      <c r="B928" t="s">
        <v>2638</v>
      </c>
      <c r="C928" t="s">
        <v>248</v>
      </c>
      <c r="D928">
        <v>0</v>
      </c>
      <c r="E928">
        <v>0</v>
      </c>
      <c r="F928">
        <v>0</v>
      </c>
    </row>
    <row r="929" spans="1:6" x14ac:dyDescent="0.25">
      <c r="A929" s="172" t="s">
        <v>2639</v>
      </c>
      <c r="B929" t="s">
        <v>2640</v>
      </c>
      <c r="C929" t="s">
        <v>248</v>
      </c>
      <c r="D929">
        <v>0</v>
      </c>
      <c r="E929">
        <v>0</v>
      </c>
      <c r="F929">
        <v>0</v>
      </c>
    </row>
    <row r="930" spans="1:6" x14ac:dyDescent="0.25">
      <c r="A930" s="172" t="s">
        <v>2641</v>
      </c>
      <c r="B930" t="s">
        <v>2642</v>
      </c>
      <c r="C930" t="s">
        <v>248</v>
      </c>
      <c r="D930">
        <v>0</v>
      </c>
      <c r="E930">
        <v>0</v>
      </c>
      <c r="F930">
        <v>0</v>
      </c>
    </row>
    <row r="931" spans="1:6" x14ac:dyDescent="0.25">
      <c r="A931" s="172" t="s">
        <v>2643</v>
      </c>
      <c r="B931" t="s">
        <v>2644</v>
      </c>
      <c r="C931" t="s">
        <v>248</v>
      </c>
      <c r="D931">
        <v>0</v>
      </c>
      <c r="E931">
        <v>0</v>
      </c>
      <c r="F931">
        <v>0</v>
      </c>
    </row>
    <row r="932" spans="1:6" x14ac:dyDescent="0.25">
      <c r="A932" s="172" t="s">
        <v>2645</v>
      </c>
      <c r="B932" t="s">
        <v>2646</v>
      </c>
      <c r="C932" t="s">
        <v>248</v>
      </c>
      <c r="D932">
        <v>0</v>
      </c>
      <c r="E932">
        <v>0</v>
      </c>
      <c r="F932">
        <v>0</v>
      </c>
    </row>
    <row r="933" spans="1:6" x14ac:dyDescent="0.25">
      <c r="A933" s="172" t="s">
        <v>2647</v>
      </c>
      <c r="B933" t="s">
        <v>2648</v>
      </c>
      <c r="C933" t="s">
        <v>248</v>
      </c>
      <c r="D933">
        <v>0</v>
      </c>
      <c r="E933">
        <v>0</v>
      </c>
      <c r="F933">
        <v>0</v>
      </c>
    </row>
    <row r="934" spans="1:6" x14ac:dyDescent="0.25">
      <c r="A934" s="172" t="s">
        <v>2649</v>
      </c>
      <c r="B934" t="s">
        <v>2650</v>
      </c>
      <c r="C934" t="s">
        <v>248</v>
      </c>
      <c r="D934">
        <v>0</v>
      </c>
      <c r="E934">
        <v>0</v>
      </c>
      <c r="F934">
        <v>0</v>
      </c>
    </row>
    <row r="935" spans="1:6" x14ac:dyDescent="0.25">
      <c r="A935" s="172" t="s">
        <v>2651</v>
      </c>
      <c r="B935" t="s">
        <v>2652</v>
      </c>
      <c r="C935" t="s">
        <v>248</v>
      </c>
      <c r="D935">
        <v>0</v>
      </c>
      <c r="E935">
        <v>0</v>
      </c>
      <c r="F935">
        <v>0</v>
      </c>
    </row>
    <row r="936" spans="1:6" x14ac:dyDescent="0.25">
      <c r="A936" s="172" t="s">
        <v>2653</v>
      </c>
      <c r="B936" t="s">
        <v>2654</v>
      </c>
      <c r="C936" t="s">
        <v>248</v>
      </c>
      <c r="D936">
        <v>0</v>
      </c>
      <c r="E936">
        <v>0</v>
      </c>
      <c r="F936">
        <v>0</v>
      </c>
    </row>
    <row r="937" spans="1:6" x14ac:dyDescent="0.25">
      <c r="A937" s="172" t="s">
        <v>2655</v>
      </c>
      <c r="B937" t="s">
        <v>2656</v>
      </c>
      <c r="C937" t="s">
        <v>248</v>
      </c>
      <c r="D937">
        <v>27.45</v>
      </c>
      <c r="E937">
        <v>0</v>
      </c>
      <c r="F937">
        <v>0</v>
      </c>
    </row>
    <row r="938" spans="1:6" x14ac:dyDescent="0.25">
      <c r="A938" s="172" t="s">
        <v>2657</v>
      </c>
      <c r="B938" t="s">
        <v>2658</v>
      </c>
      <c r="C938" t="s">
        <v>248</v>
      </c>
      <c r="D938">
        <v>0</v>
      </c>
      <c r="E938">
        <v>0</v>
      </c>
      <c r="F938">
        <v>0</v>
      </c>
    </row>
    <row r="939" spans="1:6" x14ac:dyDescent="0.25">
      <c r="A939" s="172" t="s">
        <v>2659</v>
      </c>
      <c r="B939" t="s">
        <v>2660</v>
      </c>
      <c r="C939" t="s">
        <v>248</v>
      </c>
      <c r="D939">
        <v>0</v>
      </c>
      <c r="E939">
        <v>0</v>
      </c>
      <c r="F939">
        <v>0</v>
      </c>
    </row>
    <row r="940" spans="1:6" x14ac:dyDescent="0.25">
      <c r="A940" s="172" t="s">
        <v>2661</v>
      </c>
      <c r="B940" t="s">
        <v>2662</v>
      </c>
      <c r="C940" t="s">
        <v>248</v>
      </c>
      <c r="D940">
        <v>0</v>
      </c>
      <c r="E940">
        <v>0</v>
      </c>
      <c r="F940">
        <v>0</v>
      </c>
    </row>
    <row r="941" spans="1:6" x14ac:dyDescent="0.25">
      <c r="A941" s="172" t="s">
        <v>2663</v>
      </c>
      <c r="B941" t="s">
        <v>2664</v>
      </c>
      <c r="C941" t="s">
        <v>248</v>
      </c>
      <c r="D941">
        <v>0</v>
      </c>
      <c r="E941">
        <v>0</v>
      </c>
      <c r="F941">
        <v>0</v>
      </c>
    </row>
    <row r="942" spans="1:6" x14ac:dyDescent="0.25">
      <c r="A942" s="172" t="s">
        <v>2665</v>
      </c>
      <c r="B942" t="s">
        <v>2666</v>
      </c>
      <c r="C942" t="s">
        <v>248</v>
      </c>
      <c r="D942">
        <v>0</v>
      </c>
      <c r="E942">
        <v>0</v>
      </c>
      <c r="F942">
        <v>0</v>
      </c>
    </row>
    <row r="943" spans="1:6" x14ac:dyDescent="0.25">
      <c r="A943" s="172" t="s">
        <v>2667</v>
      </c>
      <c r="B943" t="s">
        <v>2668</v>
      </c>
      <c r="C943" t="s">
        <v>248</v>
      </c>
      <c r="D943">
        <v>0</v>
      </c>
      <c r="E943">
        <v>0</v>
      </c>
      <c r="F943">
        <v>0</v>
      </c>
    </row>
    <row r="944" spans="1:6" x14ac:dyDescent="0.25">
      <c r="A944" s="172" t="s">
        <v>2669</v>
      </c>
      <c r="B944" t="s">
        <v>2670</v>
      </c>
      <c r="C944" t="s">
        <v>248</v>
      </c>
      <c r="D944">
        <v>0</v>
      </c>
      <c r="E944">
        <v>0</v>
      </c>
      <c r="F944">
        <v>0</v>
      </c>
    </row>
    <row r="945" spans="1:6" x14ac:dyDescent="0.25">
      <c r="A945" s="172" t="s">
        <v>2671</v>
      </c>
      <c r="B945" t="s">
        <v>2672</v>
      </c>
      <c r="C945" t="s">
        <v>248</v>
      </c>
      <c r="D945">
        <v>0</v>
      </c>
      <c r="E945">
        <v>0</v>
      </c>
      <c r="F945">
        <v>0</v>
      </c>
    </row>
    <row r="946" spans="1:6" x14ac:dyDescent="0.25">
      <c r="A946" s="172" t="s">
        <v>2673</v>
      </c>
      <c r="B946" t="s">
        <v>2674</v>
      </c>
      <c r="C946" t="s">
        <v>248</v>
      </c>
      <c r="D946">
        <v>0</v>
      </c>
      <c r="E946">
        <v>0</v>
      </c>
      <c r="F946">
        <v>0</v>
      </c>
    </row>
    <row r="947" spans="1:6" x14ac:dyDescent="0.25">
      <c r="A947" s="172" t="s">
        <v>2675</v>
      </c>
      <c r="B947" t="s">
        <v>2676</v>
      </c>
      <c r="C947" t="s">
        <v>248</v>
      </c>
      <c r="D947">
        <v>0</v>
      </c>
      <c r="E947">
        <v>0</v>
      </c>
      <c r="F947">
        <v>0</v>
      </c>
    </row>
    <row r="948" spans="1:6" x14ac:dyDescent="0.25">
      <c r="A948" s="172" t="s">
        <v>2677</v>
      </c>
      <c r="B948" t="s">
        <v>2678</v>
      </c>
      <c r="C948" t="s">
        <v>248</v>
      </c>
      <c r="D948">
        <v>0</v>
      </c>
      <c r="E948">
        <v>0</v>
      </c>
      <c r="F948">
        <v>0</v>
      </c>
    </row>
    <row r="949" spans="1:6" x14ac:dyDescent="0.25">
      <c r="A949" s="172" t="s">
        <v>2679</v>
      </c>
      <c r="B949" t="s">
        <v>2680</v>
      </c>
      <c r="C949" t="s">
        <v>248</v>
      </c>
      <c r="D949">
        <v>0</v>
      </c>
      <c r="E949">
        <v>0</v>
      </c>
      <c r="F949">
        <v>0</v>
      </c>
    </row>
    <row r="950" spans="1:6" x14ac:dyDescent="0.25">
      <c r="A950" s="172" t="s">
        <v>2681</v>
      </c>
      <c r="B950" t="s">
        <v>2682</v>
      </c>
      <c r="C950" t="s">
        <v>248</v>
      </c>
      <c r="D950">
        <v>0</v>
      </c>
      <c r="E950">
        <v>0</v>
      </c>
      <c r="F950">
        <v>0</v>
      </c>
    </row>
    <row r="951" spans="1:6" x14ac:dyDescent="0.25">
      <c r="A951" s="172" t="s">
        <v>2683</v>
      </c>
      <c r="B951" t="s">
        <v>2684</v>
      </c>
      <c r="C951" t="s">
        <v>248</v>
      </c>
      <c r="D951">
        <v>0</v>
      </c>
      <c r="E951">
        <v>0</v>
      </c>
      <c r="F951">
        <v>0</v>
      </c>
    </row>
    <row r="952" spans="1:6" x14ac:dyDescent="0.25">
      <c r="A952" s="172" t="s">
        <v>2685</v>
      </c>
      <c r="B952" t="s">
        <v>2686</v>
      </c>
      <c r="C952" t="s">
        <v>248</v>
      </c>
      <c r="D952">
        <v>0</v>
      </c>
      <c r="E952">
        <v>0</v>
      </c>
      <c r="F952">
        <v>0</v>
      </c>
    </row>
    <row r="953" spans="1:6" x14ac:dyDescent="0.25">
      <c r="A953" s="172" t="s">
        <v>2687</v>
      </c>
      <c r="B953" t="s">
        <v>2688</v>
      </c>
      <c r="C953" t="s">
        <v>248</v>
      </c>
      <c r="D953">
        <v>0</v>
      </c>
      <c r="E953">
        <v>0</v>
      </c>
      <c r="F953">
        <v>0</v>
      </c>
    </row>
    <row r="954" spans="1:6" x14ac:dyDescent="0.25">
      <c r="A954" s="172" t="s">
        <v>2689</v>
      </c>
      <c r="B954" t="s">
        <v>2690</v>
      </c>
      <c r="C954" t="s">
        <v>248</v>
      </c>
      <c r="D954">
        <v>0</v>
      </c>
      <c r="E954">
        <v>0</v>
      </c>
      <c r="F954">
        <v>0</v>
      </c>
    </row>
    <row r="955" spans="1:6" x14ac:dyDescent="0.25">
      <c r="A955" s="172" t="s">
        <v>2691</v>
      </c>
      <c r="B955" t="s">
        <v>2692</v>
      </c>
      <c r="C955" t="s">
        <v>248</v>
      </c>
      <c r="D955">
        <v>155.22</v>
      </c>
      <c r="E955">
        <v>293.04</v>
      </c>
      <c r="F955">
        <v>0</v>
      </c>
    </row>
    <row r="956" spans="1:6" x14ac:dyDescent="0.25">
      <c r="A956" s="172" t="s">
        <v>2693</v>
      </c>
      <c r="B956" t="s">
        <v>2694</v>
      </c>
      <c r="C956" t="s">
        <v>248</v>
      </c>
      <c r="D956">
        <v>69.9</v>
      </c>
      <c r="E956">
        <v>136.3</v>
      </c>
      <c r="F956">
        <v>0</v>
      </c>
    </row>
    <row r="957" spans="1:6" x14ac:dyDescent="0.25">
      <c r="A957" s="172" t="s">
        <v>2695</v>
      </c>
      <c r="B957" t="s">
        <v>2696</v>
      </c>
      <c r="C957" t="s">
        <v>248</v>
      </c>
      <c r="D957">
        <v>39.99</v>
      </c>
      <c r="E957">
        <v>0</v>
      </c>
      <c r="F957">
        <v>0</v>
      </c>
    </row>
    <row r="958" spans="1:6" x14ac:dyDescent="0.25">
      <c r="A958" s="172" t="s">
        <v>2697</v>
      </c>
      <c r="B958" t="s">
        <v>1400</v>
      </c>
      <c r="C958" t="s">
        <v>2698</v>
      </c>
      <c r="D958">
        <v>0.7</v>
      </c>
      <c r="E958">
        <v>0</v>
      </c>
      <c r="F958">
        <v>0</v>
      </c>
    </row>
    <row r="959" spans="1:6" x14ac:dyDescent="0.25">
      <c r="A959" s="172" t="s">
        <v>2699</v>
      </c>
      <c r="B959" t="s">
        <v>67</v>
      </c>
      <c r="C959" t="s">
        <v>2700</v>
      </c>
      <c r="D959">
        <v>0</v>
      </c>
      <c r="E959">
        <v>0</v>
      </c>
      <c r="F959">
        <v>0</v>
      </c>
    </row>
    <row r="960" spans="1:6" x14ac:dyDescent="0.25">
      <c r="A960" s="172" t="s">
        <v>2701</v>
      </c>
      <c r="B960" t="s">
        <v>70</v>
      </c>
      <c r="C960" t="s">
        <v>2702</v>
      </c>
      <c r="D960">
        <v>0</v>
      </c>
      <c r="E960">
        <v>0</v>
      </c>
      <c r="F960">
        <v>0</v>
      </c>
    </row>
    <row r="961" spans="1:6" x14ac:dyDescent="0.25">
      <c r="A961" s="172" t="s">
        <v>2703</v>
      </c>
      <c r="B961" t="s">
        <v>73</v>
      </c>
      <c r="C961" t="s">
        <v>248</v>
      </c>
      <c r="D961">
        <v>4.84</v>
      </c>
      <c r="E961">
        <v>12.94</v>
      </c>
      <c r="F961">
        <v>22</v>
      </c>
    </row>
    <row r="962" spans="1:6" x14ac:dyDescent="0.25">
      <c r="A962" s="172" t="s">
        <v>2704</v>
      </c>
      <c r="B962" t="s">
        <v>1403</v>
      </c>
      <c r="C962" t="s">
        <v>2705</v>
      </c>
      <c r="D962">
        <v>0</v>
      </c>
      <c r="E962">
        <v>0</v>
      </c>
      <c r="F962">
        <v>0</v>
      </c>
    </row>
    <row r="963" spans="1:6" x14ac:dyDescent="0.25">
      <c r="A963" s="172" t="s">
        <v>2706</v>
      </c>
      <c r="B963" t="s">
        <v>2707</v>
      </c>
      <c r="C963" t="s">
        <v>248</v>
      </c>
      <c r="D963">
        <v>0</v>
      </c>
      <c r="E963">
        <v>0</v>
      </c>
      <c r="F963">
        <v>0</v>
      </c>
    </row>
    <row r="964" spans="1:6" x14ac:dyDescent="0.25">
      <c r="A964" s="172" t="s">
        <v>2708</v>
      </c>
      <c r="B964" t="s">
        <v>121</v>
      </c>
      <c r="C964" t="s">
        <v>2709</v>
      </c>
      <c r="D964">
        <v>0</v>
      </c>
      <c r="E964">
        <v>0</v>
      </c>
      <c r="F964">
        <v>0</v>
      </c>
    </row>
    <row r="965" spans="1:6" x14ac:dyDescent="0.25">
      <c r="A965" s="172" t="s">
        <v>2710</v>
      </c>
      <c r="B965" t="s">
        <v>2711</v>
      </c>
      <c r="C965" t="s">
        <v>2712</v>
      </c>
      <c r="D965">
        <v>0</v>
      </c>
      <c r="E965">
        <v>0</v>
      </c>
      <c r="F965">
        <v>0</v>
      </c>
    </row>
    <row r="966" spans="1:6" x14ac:dyDescent="0.25">
      <c r="A966" s="172" t="s">
        <v>2713</v>
      </c>
      <c r="B966" t="s">
        <v>2714</v>
      </c>
      <c r="C966" t="s">
        <v>2715</v>
      </c>
      <c r="D966">
        <v>0</v>
      </c>
      <c r="E966">
        <v>0</v>
      </c>
      <c r="F966">
        <v>0</v>
      </c>
    </row>
    <row r="967" spans="1:6" x14ac:dyDescent="0.25">
      <c r="A967" s="172" t="s">
        <v>2716</v>
      </c>
      <c r="B967" t="s">
        <v>2717</v>
      </c>
      <c r="C967" t="s">
        <v>2718</v>
      </c>
      <c r="D967">
        <v>0</v>
      </c>
      <c r="E967">
        <v>0</v>
      </c>
      <c r="F967">
        <v>0</v>
      </c>
    </row>
    <row r="968" spans="1:6" x14ac:dyDescent="0.25">
      <c r="A968" s="172" t="s">
        <v>2719</v>
      </c>
      <c r="B968" t="s">
        <v>139</v>
      </c>
      <c r="C968" t="s">
        <v>2720</v>
      </c>
      <c r="D968">
        <v>0</v>
      </c>
      <c r="E968">
        <v>0</v>
      </c>
      <c r="F968">
        <v>0</v>
      </c>
    </row>
    <row r="969" spans="1:6" x14ac:dyDescent="0.25">
      <c r="A969" s="172" t="s">
        <v>2721</v>
      </c>
      <c r="B969" t="s">
        <v>142</v>
      </c>
      <c r="C969" t="s">
        <v>2722</v>
      </c>
      <c r="D969">
        <v>0</v>
      </c>
      <c r="E969">
        <v>0</v>
      </c>
      <c r="F969">
        <v>0</v>
      </c>
    </row>
    <row r="970" spans="1:6" x14ac:dyDescent="0.25">
      <c r="A970" s="172" t="s">
        <v>2723</v>
      </c>
      <c r="B970" t="s">
        <v>145</v>
      </c>
      <c r="C970" t="s">
        <v>2724</v>
      </c>
      <c r="D970">
        <v>0</v>
      </c>
      <c r="E970">
        <v>0</v>
      </c>
      <c r="F970">
        <v>0</v>
      </c>
    </row>
    <row r="971" spans="1:6" x14ac:dyDescent="0.25">
      <c r="A971" s="172" t="s">
        <v>2725</v>
      </c>
      <c r="B971" t="s">
        <v>148</v>
      </c>
      <c r="C971" t="s">
        <v>2726</v>
      </c>
      <c r="D971">
        <v>0</v>
      </c>
      <c r="E971">
        <v>0</v>
      </c>
      <c r="F971">
        <v>0</v>
      </c>
    </row>
    <row r="972" spans="1:6" x14ac:dyDescent="0.25">
      <c r="A972" s="172" t="s">
        <v>2727</v>
      </c>
      <c r="B972" t="s">
        <v>151</v>
      </c>
      <c r="C972" t="s">
        <v>2728</v>
      </c>
      <c r="D972">
        <v>0</v>
      </c>
      <c r="E972">
        <v>0</v>
      </c>
      <c r="F972">
        <v>0</v>
      </c>
    </row>
    <row r="973" spans="1:6" x14ac:dyDescent="0.25">
      <c r="A973" s="172" t="s">
        <v>2729</v>
      </c>
      <c r="B973" t="s">
        <v>154</v>
      </c>
      <c r="C973" t="s">
        <v>2730</v>
      </c>
      <c r="D973">
        <v>0</v>
      </c>
      <c r="E973">
        <v>0</v>
      </c>
      <c r="F973">
        <v>0</v>
      </c>
    </row>
    <row r="974" spans="1:6" x14ac:dyDescent="0.25">
      <c r="A974" s="172" t="s">
        <v>2731</v>
      </c>
      <c r="B974" t="s">
        <v>157</v>
      </c>
      <c r="C974" t="s">
        <v>2732</v>
      </c>
      <c r="D974">
        <v>0</v>
      </c>
      <c r="E974">
        <v>0</v>
      </c>
      <c r="F974">
        <v>0</v>
      </c>
    </row>
    <row r="975" spans="1:6" x14ac:dyDescent="0.25">
      <c r="A975" s="172" t="s">
        <v>2733</v>
      </c>
      <c r="B975" t="s">
        <v>160</v>
      </c>
      <c r="C975" t="s">
        <v>2734</v>
      </c>
      <c r="D975">
        <v>0</v>
      </c>
      <c r="E975">
        <v>0</v>
      </c>
      <c r="F975">
        <v>0</v>
      </c>
    </row>
    <row r="976" spans="1:6" x14ac:dyDescent="0.25">
      <c r="A976" s="172" t="s">
        <v>2735</v>
      </c>
      <c r="B976" t="s">
        <v>169</v>
      </c>
      <c r="C976" t="s">
        <v>2736</v>
      </c>
      <c r="D976">
        <v>0</v>
      </c>
      <c r="E976">
        <v>0</v>
      </c>
      <c r="F976">
        <v>0</v>
      </c>
    </row>
    <row r="977" spans="1:6" x14ac:dyDescent="0.25">
      <c r="A977" s="172" t="s">
        <v>2737</v>
      </c>
      <c r="B977" t="s">
        <v>178</v>
      </c>
      <c r="C977" t="s">
        <v>2738</v>
      </c>
      <c r="D977">
        <v>0</v>
      </c>
      <c r="E977">
        <v>0</v>
      </c>
      <c r="F977">
        <v>0</v>
      </c>
    </row>
    <row r="978" spans="1:6" x14ac:dyDescent="0.25">
      <c r="A978" s="172" t="s">
        <v>2739</v>
      </c>
      <c r="B978" t="s">
        <v>2740</v>
      </c>
      <c r="C978" t="s">
        <v>248</v>
      </c>
      <c r="D978">
        <v>2.93</v>
      </c>
      <c r="E978">
        <v>7.59</v>
      </c>
      <c r="F978">
        <v>12.9</v>
      </c>
    </row>
    <row r="979" spans="1:6" x14ac:dyDescent="0.25">
      <c r="A979" s="172" t="s">
        <v>2741</v>
      </c>
      <c r="B979" t="s">
        <v>2742</v>
      </c>
      <c r="C979" t="s">
        <v>2743</v>
      </c>
      <c r="D979">
        <v>0</v>
      </c>
      <c r="E979">
        <v>0</v>
      </c>
      <c r="F979">
        <v>0</v>
      </c>
    </row>
    <row r="980" spans="1:6" x14ac:dyDescent="0.25">
      <c r="A980" s="172" t="s">
        <v>2744</v>
      </c>
      <c r="B980" t="s">
        <v>2745</v>
      </c>
      <c r="C980" t="s">
        <v>248</v>
      </c>
      <c r="D980">
        <v>0</v>
      </c>
      <c r="E980">
        <v>0</v>
      </c>
      <c r="F980">
        <v>0</v>
      </c>
    </row>
    <row r="981" spans="1:6" x14ac:dyDescent="0.25">
      <c r="A981" s="172" t="s">
        <v>2746</v>
      </c>
      <c r="B981" t="s">
        <v>199</v>
      </c>
      <c r="C981" t="s">
        <v>2747</v>
      </c>
      <c r="D981">
        <v>0</v>
      </c>
      <c r="E981">
        <v>0</v>
      </c>
      <c r="F981">
        <v>0</v>
      </c>
    </row>
    <row r="982" spans="1:6" x14ac:dyDescent="0.25">
      <c r="A982" s="172" t="s">
        <v>2748</v>
      </c>
      <c r="B982" t="s">
        <v>2749</v>
      </c>
      <c r="C982" t="s">
        <v>2750</v>
      </c>
      <c r="D982">
        <v>0</v>
      </c>
      <c r="E982">
        <v>0</v>
      </c>
      <c r="F982">
        <v>0</v>
      </c>
    </row>
    <row r="983" spans="1:6" x14ac:dyDescent="0.25">
      <c r="A983" s="172" t="s">
        <v>2751</v>
      </c>
      <c r="B983" t="s">
        <v>2752</v>
      </c>
      <c r="C983" t="s">
        <v>248</v>
      </c>
      <c r="D983">
        <v>0</v>
      </c>
      <c r="E983">
        <v>0</v>
      </c>
      <c r="F983">
        <v>0</v>
      </c>
    </row>
    <row r="984" spans="1:6" x14ac:dyDescent="0.25">
      <c r="A984" s="172" t="s">
        <v>2753</v>
      </c>
      <c r="B984" t="s">
        <v>2754</v>
      </c>
      <c r="C984" t="s">
        <v>248</v>
      </c>
      <c r="D984">
        <v>0</v>
      </c>
      <c r="E984">
        <v>50.53</v>
      </c>
      <c r="F984">
        <v>85.9</v>
      </c>
    </row>
    <row r="985" spans="1:6" x14ac:dyDescent="0.25">
      <c r="A985" s="172" t="s">
        <v>2755</v>
      </c>
      <c r="B985" t="s">
        <v>2756</v>
      </c>
      <c r="C985" t="s">
        <v>248</v>
      </c>
      <c r="D985">
        <v>0</v>
      </c>
      <c r="E985">
        <v>0</v>
      </c>
      <c r="F985">
        <v>0</v>
      </c>
    </row>
    <row r="986" spans="1:6" x14ac:dyDescent="0.25">
      <c r="A986" s="172" t="s">
        <v>2757</v>
      </c>
      <c r="B986" t="s">
        <v>2758</v>
      </c>
      <c r="C986" t="s">
        <v>2759</v>
      </c>
      <c r="D986">
        <v>0</v>
      </c>
      <c r="E986">
        <v>0</v>
      </c>
      <c r="F986">
        <v>0</v>
      </c>
    </row>
    <row r="987" spans="1:6" x14ac:dyDescent="0.25">
      <c r="A987" s="172" t="s">
        <v>2760</v>
      </c>
      <c r="B987" t="s">
        <v>241</v>
      </c>
      <c r="C987" t="s">
        <v>2761</v>
      </c>
      <c r="D987">
        <v>0</v>
      </c>
      <c r="E987">
        <v>58.76</v>
      </c>
      <c r="F987">
        <v>99.9</v>
      </c>
    </row>
    <row r="988" spans="1:6" x14ac:dyDescent="0.25">
      <c r="A988" s="172" t="s">
        <v>2762</v>
      </c>
      <c r="B988" t="s">
        <v>2763</v>
      </c>
      <c r="C988" t="s">
        <v>2764</v>
      </c>
      <c r="D988">
        <v>0</v>
      </c>
      <c r="E988">
        <v>0</v>
      </c>
      <c r="F988">
        <v>0</v>
      </c>
    </row>
    <row r="989" spans="1:6" x14ac:dyDescent="0.25">
      <c r="A989" s="172" t="s">
        <v>2765</v>
      </c>
      <c r="B989" t="s">
        <v>2766</v>
      </c>
      <c r="C989" t="s">
        <v>2767</v>
      </c>
      <c r="D989">
        <v>0</v>
      </c>
      <c r="E989">
        <v>0</v>
      </c>
      <c r="F989">
        <v>0</v>
      </c>
    </row>
    <row r="990" spans="1:6" x14ac:dyDescent="0.25">
      <c r="A990" s="172" t="s">
        <v>2768</v>
      </c>
      <c r="B990" t="s">
        <v>294</v>
      </c>
      <c r="C990" t="s">
        <v>248</v>
      </c>
      <c r="D990">
        <v>0</v>
      </c>
      <c r="E990">
        <v>0</v>
      </c>
      <c r="F990">
        <v>0</v>
      </c>
    </row>
    <row r="991" spans="1:6" x14ac:dyDescent="0.25">
      <c r="A991" s="172" t="s">
        <v>2769</v>
      </c>
      <c r="B991" t="s">
        <v>2770</v>
      </c>
      <c r="C991" t="s">
        <v>2771</v>
      </c>
      <c r="D991">
        <v>0</v>
      </c>
      <c r="E991">
        <v>0</v>
      </c>
      <c r="F991">
        <v>0</v>
      </c>
    </row>
    <row r="992" spans="1:6" x14ac:dyDescent="0.25">
      <c r="A992" s="172" t="s">
        <v>2772</v>
      </c>
      <c r="B992" t="s">
        <v>303</v>
      </c>
      <c r="C992" t="s">
        <v>2773</v>
      </c>
      <c r="D992">
        <v>0</v>
      </c>
      <c r="E992">
        <v>0</v>
      </c>
      <c r="F992">
        <v>0</v>
      </c>
    </row>
    <row r="993" spans="1:6" x14ac:dyDescent="0.25">
      <c r="A993" s="172" t="s">
        <v>2774</v>
      </c>
      <c r="B993" t="s">
        <v>306</v>
      </c>
      <c r="C993" t="s">
        <v>2775</v>
      </c>
      <c r="D993">
        <v>0</v>
      </c>
      <c r="E993">
        <v>0</v>
      </c>
      <c r="F993">
        <v>0</v>
      </c>
    </row>
    <row r="994" spans="1:6" x14ac:dyDescent="0.25">
      <c r="A994" s="172" t="s">
        <v>2776</v>
      </c>
      <c r="B994" t="s">
        <v>321</v>
      </c>
      <c r="C994" t="s">
        <v>2777</v>
      </c>
      <c r="D994">
        <v>0</v>
      </c>
      <c r="E994">
        <v>0</v>
      </c>
      <c r="F994">
        <v>0</v>
      </c>
    </row>
    <row r="995" spans="1:6" x14ac:dyDescent="0.25">
      <c r="A995" s="172" t="s">
        <v>2778</v>
      </c>
      <c r="B995" t="s">
        <v>342</v>
      </c>
      <c r="C995" t="s">
        <v>2779</v>
      </c>
      <c r="D995">
        <v>0</v>
      </c>
      <c r="E995">
        <v>0</v>
      </c>
      <c r="F995">
        <v>0</v>
      </c>
    </row>
    <row r="996" spans="1:6" x14ac:dyDescent="0.25">
      <c r="A996" s="172" t="s">
        <v>2780</v>
      </c>
      <c r="B996" t="s">
        <v>2781</v>
      </c>
      <c r="C996" t="s">
        <v>2782</v>
      </c>
      <c r="D996">
        <v>0</v>
      </c>
      <c r="E996">
        <v>0</v>
      </c>
      <c r="F996">
        <v>0</v>
      </c>
    </row>
    <row r="997" spans="1:6" x14ac:dyDescent="0.25">
      <c r="A997" s="172" t="s">
        <v>2783</v>
      </c>
      <c r="B997" t="s">
        <v>2784</v>
      </c>
      <c r="C997" t="s">
        <v>2785</v>
      </c>
      <c r="D997">
        <v>0</v>
      </c>
      <c r="E997">
        <v>0</v>
      </c>
      <c r="F997">
        <v>0</v>
      </c>
    </row>
    <row r="998" spans="1:6" x14ac:dyDescent="0.25">
      <c r="A998" s="172" t="s">
        <v>2786</v>
      </c>
      <c r="B998" t="s">
        <v>2787</v>
      </c>
      <c r="C998" t="s">
        <v>2788</v>
      </c>
      <c r="D998">
        <v>0</v>
      </c>
      <c r="E998">
        <v>0</v>
      </c>
      <c r="F998">
        <v>0</v>
      </c>
    </row>
    <row r="999" spans="1:6" x14ac:dyDescent="0.25">
      <c r="A999" s="172" t="s">
        <v>2789</v>
      </c>
      <c r="B999" t="s">
        <v>375</v>
      </c>
      <c r="C999" t="s">
        <v>2790</v>
      </c>
      <c r="D999">
        <v>0</v>
      </c>
      <c r="E999">
        <v>0</v>
      </c>
      <c r="F999">
        <v>0</v>
      </c>
    </row>
    <row r="1000" spans="1:6" x14ac:dyDescent="0.25">
      <c r="A1000" s="172" t="s">
        <v>2791</v>
      </c>
      <c r="B1000" t="s">
        <v>2792</v>
      </c>
      <c r="C1000" t="s">
        <v>2793</v>
      </c>
      <c r="D1000">
        <v>0</v>
      </c>
      <c r="E1000">
        <v>0</v>
      </c>
      <c r="F1000">
        <v>0</v>
      </c>
    </row>
    <row r="1001" spans="1:6" x14ac:dyDescent="0.25">
      <c r="A1001" s="172" t="s">
        <v>2794</v>
      </c>
      <c r="B1001" t="s">
        <v>399</v>
      </c>
      <c r="C1001" t="s">
        <v>2795</v>
      </c>
      <c r="D1001">
        <v>0</v>
      </c>
      <c r="E1001">
        <v>20.53</v>
      </c>
      <c r="F1001">
        <v>34.9</v>
      </c>
    </row>
    <row r="1002" spans="1:6" x14ac:dyDescent="0.25">
      <c r="A1002" s="172" t="s">
        <v>2796</v>
      </c>
      <c r="B1002" t="s">
        <v>405</v>
      </c>
      <c r="C1002" t="s">
        <v>2797</v>
      </c>
      <c r="D1002">
        <v>0</v>
      </c>
      <c r="E1002">
        <v>0</v>
      </c>
      <c r="F1002">
        <v>0</v>
      </c>
    </row>
    <row r="1003" spans="1:6" x14ac:dyDescent="0.25">
      <c r="A1003" s="172" t="s">
        <v>2798</v>
      </c>
      <c r="B1003" t="s">
        <v>419</v>
      </c>
      <c r="C1003" t="s">
        <v>2799</v>
      </c>
      <c r="D1003">
        <v>0</v>
      </c>
      <c r="E1003">
        <v>0</v>
      </c>
      <c r="F1003">
        <v>0</v>
      </c>
    </row>
    <row r="1004" spans="1:6" x14ac:dyDescent="0.25">
      <c r="A1004" s="172" t="s">
        <v>2800</v>
      </c>
      <c r="B1004" t="s">
        <v>2801</v>
      </c>
      <c r="C1004" t="s">
        <v>248</v>
      </c>
      <c r="D1004">
        <v>0</v>
      </c>
      <c r="E1004">
        <v>0</v>
      </c>
      <c r="F1004">
        <v>0</v>
      </c>
    </row>
    <row r="1005" spans="1:6" x14ac:dyDescent="0.25">
      <c r="A1005" s="172" t="s">
        <v>2802</v>
      </c>
      <c r="B1005" t="s">
        <v>2803</v>
      </c>
      <c r="C1005" t="s">
        <v>2804</v>
      </c>
      <c r="D1005">
        <v>0</v>
      </c>
      <c r="E1005">
        <v>0</v>
      </c>
      <c r="F1005">
        <v>0</v>
      </c>
    </row>
    <row r="1006" spans="1:6" x14ac:dyDescent="0.25">
      <c r="A1006" s="172" t="s">
        <v>2805</v>
      </c>
      <c r="B1006" t="s">
        <v>2806</v>
      </c>
      <c r="C1006" t="s">
        <v>2807</v>
      </c>
      <c r="D1006">
        <v>0</v>
      </c>
      <c r="E1006">
        <v>0</v>
      </c>
      <c r="F1006">
        <v>0</v>
      </c>
    </row>
    <row r="1007" spans="1:6" x14ac:dyDescent="0.25">
      <c r="A1007" s="172" t="s">
        <v>2808</v>
      </c>
      <c r="B1007" t="s">
        <v>434</v>
      </c>
      <c r="C1007" t="s">
        <v>2809</v>
      </c>
      <c r="D1007">
        <v>0</v>
      </c>
      <c r="E1007">
        <v>0</v>
      </c>
      <c r="F1007">
        <v>0</v>
      </c>
    </row>
    <row r="1008" spans="1:6" x14ac:dyDescent="0.25">
      <c r="A1008" s="172" t="s">
        <v>2810</v>
      </c>
      <c r="B1008" t="s">
        <v>2811</v>
      </c>
      <c r="C1008" t="s">
        <v>2812</v>
      </c>
      <c r="D1008">
        <v>0</v>
      </c>
      <c r="E1008">
        <v>0</v>
      </c>
      <c r="F1008">
        <v>0</v>
      </c>
    </row>
    <row r="1009" spans="1:6" x14ac:dyDescent="0.25">
      <c r="A1009" s="172" t="s">
        <v>2813</v>
      </c>
      <c r="B1009" t="s">
        <v>2814</v>
      </c>
      <c r="C1009" t="s">
        <v>2815</v>
      </c>
      <c r="D1009">
        <v>0</v>
      </c>
      <c r="E1009">
        <v>0</v>
      </c>
      <c r="F1009">
        <v>0</v>
      </c>
    </row>
    <row r="1010" spans="1:6" x14ac:dyDescent="0.25">
      <c r="A1010" s="172" t="s">
        <v>2816</v>
      </c>
      <c r="B1010" t="s">
        <v>2817</v>
      </c>
      <c r="C1010" t="s">
        <v>248</v>
      </c>
      <c r="D1010">
        <v>0</v>
      </c>
      <c r="E1010">
        <v>15.58</v>
      </c>
      <c r="F1010">
        <v>26.5</v>
      </c>
    </row>
    <row r="1011" spans="1:6" x14ac:dyDescent="0.25">
      <c r="A1011" s="172" t="s">
        <v>2818</v>
      </c>
      <c r="B1011" t="s">
        <v>2819</v>
      </c>
      <c r="C1011" t="s">
        <v>2820</v>
      </c>
      <c r="D1011">
        <v>0</v>
      </c>
      <c r="E1011">
        <v>0</v>
      </c>
      <c r="F1011">
        <v>0</v>
      </c>
    </row>
    <row r="1012" spans="1:6" x14ac:dyDescent="0.25">
      <c r="A1012" s="172" t="s">
        <v>2821</v>
      </c>
      <c r="B1012" t="s">
        <v>2822</v>
      </c>
      <c r="C1012" t="s">
        <v>248</v>
      </c>
      <c r="D1012">
        <v>0</v>
      </c>
      <c r="E1012">
        <v>11.71</v>
      </c>
      <c r="F1012">
        <v>19.9</v>
      </c>
    </row>
    <row r="1013" spans="1:6" x14ac:dyDescent="0.25">
      <c r="A1013" s="172" t="s">
        <v>2823</v>
      </c>
      <c r="B1013" t="s">
        <v>2824</v>
      </c>
      <c r="C1013" t="s">
        <v>248</v>
      </c>
      <c r="D1013">
        <v>0</v>
      </c>
      <c r="E1013">
        <v>11.71</v>
      </c>
      <c r="F1013">
        <v>19.9</v>
      </c>
    </row>
    <row r="1014" spans="1:6" x14ac:dyDescent="0.25">
      <c r="A1014" s="172" t="s">
        <v>2825</v>
      </c>
      <c r="B1014" t="s">
        <v>2826</v>
      </c>
      <c r="C1014" t="s">
        <v>248</v>
      </c>
      <c r="D1014">
        <v>0</v>
      </c>
      <c r="E1014">
        <v>11.71</v>
      </c>
      <c r="F1014">
        <v>19.9</v>
      </c>
    </row>
    <row r="1015" spans="1:6" x14ac:dyDescent="0.25">
      <c r="A1015" s="172" t="s">
        <v>2827</v>
      </c>
      <c r="B1015" t="s">
        <v>2828</v>
      </c>
      <c r="C1015" t="s">
        <v>248</v>
      </c>
      <c r="D1015">
        <v>0</v>
      </c>
      <c r="E1015">
        <v>11.71</v>
      </c>
      <c r="F1015">
        <v>19.9</v>
      </c>
    </row>
    <row r="1016" spans="1:6" x14ac:dyDescent="0.25">
      <c r="A1016" s="172" t="s">
        <v>2829</v>
      </c>
      <c r="B1016" t="s">
        <v>569</v>
      </c>
      <c r="C1016" t="s">
        <v>2830</v>
      </c>
      <c r="D1016">
        <v>0</v>
      </c>
      <c r="E1016">
        <v>0</v>
      </c>
      <c r="F1016">
        <v>0</v>
      </c>
    </row>
    <row r="1017" spans="1:6" x14ac:dyDescent="0.25">
      <c r="A1017" s="172" t="s">
        <v>2831</v>
      </c>
      <c r="B1017" t="s">
        <v>664</v>
      </c>
      <c r="C1017" t="s">
        <v>2832</v>
      </c>
      <c r="D1017">
        <v>0</v>
      </c>
      <c r="E1017">
        <v>0</v>
      </c>
      <c r="F1017">
        <v>0</v>
      </c>
    </row>
    <row r="1018" spans="1:6" x14ac:dyDescent="0.25">
      <c r="A1018" s="172" t="s">
        <v>2833</v>
      </c>
      <c r="B1018" t="s">
        <v>2834</v>
      </c>
      <c r="C1018" t="s">
        <v>248</v>
      </c>
      <c r="D1018">
        <v>0</v>
      </c>
      <c r="E1018">
        <v>3.06</v>
      </c>
      <c r="F1018">
        <v>5.2</v>
      </c>
    </row>
    <row r="1019" spans="1:6" x14ac:dyDescent="0.25">
      <c r="A1019" s="172" t="s">
        <v>2835</v>
      </c>
      <c r="B1019" t="s">
        <v>2836</v>
      </c>
      <c r="C1019" t="s">
        <v>248</v>
      </c>
      <c r="D1019">
        <v>0</v>
      </c>
      <c r="E1019">
        <v>3.55</v>
      </c>
      <c r="F1019">
        <v>6</v>
      </c>
    </row>
    <row r="1020" spans="1:6" x14ac:dyDescent="0.25">
      <c r="A1020" s="172" t="s">
        <v>2837</v>
      </c>
      <c r="B1020" t="s">
        <v>2838</v>
      </c>
      <c r="C1020" t="s">
        <v>248</v>
      </c>
      <c r="D1020">
        <v>0</v>
      </c>
      <c r="E1020">
        <v>2</v>
      </c>
      <c r="F1020">
        <v>3.4</v>
      </c>
    </row>
    <row r="1021" spans="1:6" x14ac:dyDescent="0.25">
      <c r="A1021" s="172" t="s">
        <v>2839</v>
      </c>
      <c r="B1021" t="s">
        <v>2840</v>
      </c>
      <c r="C1021" t="s">
        <v>2841</v>
      </c>
      <c r="D1021">
        <v>0</v>
      </c>
      <c r="E1021">
        <v>0</v>
      </c>
      <c r="F1021">
        <v>0</v>
      </c>
    </row>
    <row r="1022" spans="1:6" x14ac:dyDescent="0.25">
      <c r="A1022" s="172" t="s">
        <v>2842</v>
      </c>
      <c r="B1022" t="s">
        <v>2843</v>
      </c>
      <c r="C1022" t="s">
        <v>2844</v>
      </c>
      <c r="D1022">
        <v>0</v>
      </c>
      <c r="E1022">
        <v>0</v>
      </c>
      <c r="F1022">
        <v>0</v>
      </c>
    </row>
    <row r="1023" spans="1:6" x14ac:dyDescent="0.25">
      <c r="A1023" s="172" t="s">
        <v>2845</v>
      </c>
      <c r="B1023" t="s">
        <v>2846</v>
      </c>
      <c r="C1023" t="s">
        <v>2847</v>
      </c>
      <c r="D1023">
        <v>0</v>
      </c>
      <c r="E1023">
        <v>0</v>
      </c>
      <c r="F1023">
        <v>0</v>
      </c>
    </row>
    <row r="1024" spans="1:6" x14ac:dyDescent="0.25">
      <c r="A1024" s="172" t="s">
        <v>2848</v>
      </c>
      <c r="B1024" t="s">
        <v>2849</v>
      </c>
      <c r="C1024" t="s">
        <v>2850</v>
      </c>
      <c r="D1024">
        <v>72.44</v>
      </c>
      <c r="E1024">
        <v>140.08</v>
      </c>
      <c r="F1024">
        <v>0</v>
      </c>
    </row>
    <row r="1025" spans="1:6" x14ac:dyDescent="0.25">
      <c r="A1025" s="172" t="s">
        <v>2851</v>
      </c>
      <c r="B1025" t="s">
        <v>2852</v>
      </c>
      <c r="C1025" t="s">
        <v>248</v>
      </c>
      <c r="D1025">
        <v>0</v>
      </c>
      <c r="E1025">
        <v>1</v>
      </c>
      <c r="F1025">
        <v>0</v>
      </c>
    </row>
    <row r="1026" spans="1:6" x14ac:dyDescent="0.25">
      <c r="A1026" s="172" t="s">
        <v>2853</v>
      </c>
      <c r="B1026" t="s">
        <v>2854</v>
      </c>
      <c r="C1026" t="s">
        <v>2855</v>
      </c>
      <c r="D1026">
        <v>0.75</v>
      </c>
      <c r="E1026">
        <v>0</v>
      </c>
      <c r="F1026">
        <v>0</v>
      </c>
    </row>
    <row r="1027" spans="1:6" x14ac:dyDescent="0.25">
      <c r="A1027" s="172" t="s">
        <v>2856</v>
      </c>
      <c r="B1027" t="s">
        <v>2857</v>
      </c>
      <c r="C1027" t="s">
        <v>2858</v>
      </c>
      <c r="D1027">
        <v>0</v>
      </c>
      <c r="E1027">
        <v>0</v>
      </c>
      <c r="F1027">
        <v>0</v>
      </c>
    </row>
    <row r="1028" spans="1:6" x14ac:dyDescent="0.25">
      <c r="A1028" s="172" t="s">
        <v>2859</v>
      </c>
      <c r="B1028" t="s">
        <v>2860</v>
      </c>
      <c r="C1028" t="s">
        <v>2861</v>
      </c>
      <c r="D1028">
        <v>10</v>
      </c>
      <c r="E1028">
        <v>0</v>
      </c>
      <c r="F1028">
        <v>0</v>
      </c>
    </row>
    <row r="1029" spans="1:6" x14ac:dyDescent="0.25">
      <c r="A1029" s="172" t="s">
        <v>2862</v>
      </c>
      <c r="B1029" t="s">
        <v>2863</v>
      </c>
      <c r="C1029" t="s">
        <v>2864</v>
      </c>
      <c r="D1029">
        <v>2.85</v>
      </c>
      <c r="E1029">
        <v>0</v>
      </c>
      <c r="F1029">
        <v>0</v>
      </c>
    </row>
    <row r="1030" spans="1:6" x14ac:dyDescent="0.25">
      <c r="A1030" s="172" t="s">
        <v>2865</v>
      </c>
      <c r="B1030" t="s">
        <v>2866</v>
      </c>
      <c r="C1030" t="s">
        <v>2867</v>
      </c>
      <c r="D1030">
        <v>5.05</v>
      </c>
      <c r="E1030">
        <v>0</v>
      </c>
      <c r="F1030">
        <v>0</v>
      </c>
    </row>
    <row r="1031" spans="1:6" x14ac:dyDescent="0.25">
      <c r="A1031" s="172" t="s">
        <v>2868</v>
      </c>
      <c r="B1031" t="s">
        <v>2869</v>
      </c>
      <c r="C1031" t="s">
        <v>2870</v>
      </c>
      <c r="D1031">
        <v>2.3</v>
      </c>
      <c r="E1031">
        <v>0</v>
      </c>
      <c r="F1031">
        <v>0</v>
      </c>
    </row>
    <row r="1032" spans="1:6" x14ac:dyDescent="0.25">
      <c r="A1032" s="172" t="s">
        <v>2871</v>
      </c>
      <c r="B1032" t="s">
        <v>2872</v>
      </c>
      <c r="C1032" t="s">
        <v>2873</v>
      </c>
      <c r="D1032">
        <v>3.7</v>
      </c>
      <c r="E1032">
        <v>0</v>
      </c>
      <c r="F1032">
        <v>0</v>
      </c>
    </row>
    <row r="1033" spans="1:6" x14ac:dyDescent="0.25">
      <c r="A1033" s="172" t="s">
        <v>2874</v>
      </c>
      <c r="B1033" t="s">
        <v>2875</v>
      </c>
      <c r="C1033" t="s">
        <v>2876</v>
      </c>
      <c r="D1033">
        <v>6.2</v>
      </c>
      <c r="E1033">
        <v>0</v>
      </c>
      <c r="F1033">
        <v>0</v>
      </c>
    </row>
    <row r="1034" spans="1:6" x14ac:dyDescent="0.25">
      <c r="A1034" s="172" t="s">
        <v>2877</v>
      </c>
      <c r="B1034" t="s">
        <v>2878</v>
      </c>
      <c r="C1034" t="s">
        <v>2879</v>
      </c>
      <c r="D1034">
        <v>1.37</v>
      </c>
      <c r="E1034">
        <v>0</v>
      </c>
      <c r="F1034">
        <v>0</v>
      </c>
    </row>
    <row r="1035" spans="1:6" x14ac:dyDescent="0.25">
      <c r="A1035" s="172" t="s">
        <v>2880</v>
      </c>
      <c r="B1035" t="s">
        <v>2881</v>
      </c>
      <c r="C1035" t="s">
        <v>2882</v>
      </c>
      <c r="D1035">
        <v>4.89</v>
      </c>
      <c r="E1035">
        <v>0</v>
      </c>
      <c r="F1035">
        <v>0</v>
      </c>
    </row>
    <row r="1036" spans="1:6" x14ac:dyDescent="0.25">
      <c r="A1036" s="172" t="s">
        <v>2883</v>
      </c>
      <c r="B1036" t="s">
        <v>2884</v>
      </c>
      <c r="C1036" t="s">
        <v>2885</v>
      </c>
      <c r="D1036">
        <v>0</v>
      </c>
      <c r="E1036">
        <v>3645.62</v>
      </c>
      <c r="F1036">
        <v>0</v>
      </c>
    </row>
    <row r="1037" spans="1:6" x14ac:dyDescent="0.25">
      <c r="A1037" s="172" t="s">
        <v>2886</v>
      </c>
      <c r="B1037" t="s">
        <v>2887</v>
      </c>
      <c r="C1037" t="s">
        <v>2888</v>
      </c>
      <c r="D1037">
        <v>0</v>
      </c>
      <c r="E1037">
        <v>0</v>
      </c>
      <c r="F1037">
        <v>0</v>
      </c>
    </row>
    <row r="1038" spans="1:6" x14ac:dyDescent="0.25">
      <c r="A1038" s="172" t="s">
        <v>2889</v>
      </c>
      <c r="B1038" t="s">
        <v>2890</v>
      </c>
      <c r="C1038" t="s">
        <v>2891</v>
      </c>
      <c r="D1038">
        <v>0</v>
      </c>
      <c r="E1038">
        <v>0</v>
      </c>
      <c r="F1038">
        <v>0</v>
      </c>
    </row>
    <row r="1039" spans="1:6" x14ac:dyDescent="0.25">
      <c r="A1039" s="172" t="s">
        <v>2892</v>
      </c>
      <c r="B1039" t="s">
        <v>2893</v>
      </c>
      <c r="C1039" t="s">
        <v>2894</v>
      </c>
      <c r="D1039">
        <v>0</v>
      </c>
      <c r="E1039">
        <v>75.25</v>
      </c>
      <c r="F1039">
        <v>0</v>
      </c>
    </row>
    <row r="1040" spans="1:6" x14ac:dyDescent="0.25">
      <c r="A1040" s="172" t="s">
        <v>2895</v>
      </c>
      <c r="B1040" t="s">
        <v>2896</v>
      </c>
      <c r="C1040" t="s">
        <v>2897</v>
      </c>
      <c r="D1040">
        <v>186</v>
      </c>
      <c r="E1040">
        <v>0</v>
      </c>
      <c r="F1040">
        <v>0</v>
      </c>
    </row>
    <row r="1041" spans="1:6" x14ac:dyDescent="0.25">
      <c r="A1041" s="172" t="s">
        <v>2898</v>
      </c>
      <c r="B1041" t="s">
        <v>15</v>
      </c>
      <c r="C1041" t="s">
        <v>2899</v>
      </c>
      <c r="D1041">
        <v>0</v>
      </c>
      <c r="E1041">
        <v>0</v>
      </c>
      <c r="F1041">
        <v>0</v>
      </c>
    </row>
    <row r="1042" spans="1:6" x14ac:dyDescent="0.25">
      <c r="A1042" s="172" t="s">
        <v>2900</v>
      </c>
      <c r="B1042" t="s">
        <v>2901</v>
      </c>
      <c r="C1042" t="s">
        <v>2902</v>
      </c>
      <c r="D1042">
        <v>0</v>
      </c>
      <c r="E1042">
        <v>0</v>
      </c>
      <c r="F1042">
        <v>0</v>
      </c>
    </row>
    <row r="1043" spans="1:6" x14ac:dyDescent="0.25">
      <c r="A1043" s="172" t="s">
        <v>2903</v>
      </c>
      <c r="B1043" t="s">
        <v>2904</v>
      </c>
      <c r="C1043" t="s">
        <v>2905</v>
      </c>
      <c r="D1043">
        <v>0</v>
      </c>
      <c r="E1043">
        <v>0</v>
      </c>
      <c r="F1043">
        <v>0</v>
      </c>
    </row>
    <row r="1044" spans="1:6" x14ac:dyDescent="0.25">
      <c r="A1044" s="172" t="s">
        <v>2906</v>
      </c>
      <c r="B1044" t="s">
        <v>2907</v>
      </c>
      <c r="C1044" t="s">
        <v>2908</v>
      </c>
      <c r="D1044">
        <v>0</v>
      </c>
      <c r="E1044">
        <v>0</v>
      </c>
      <c r="F1044">
        <v>0</v>
      </c>
    </row>
    <row r="1045" spans="1:6" x14ac:dyDescent="0.25">
      <c r="A1045" s="172" t="s">
        <v>2909</v>
      </c>
      <c r="B1045" t="s">
        <v>2910</v>
      </c>
      <c r="C1045" t="s">
        <v>2911</v>
      </c>
      <c r="D1045">
        <v>6.5</v>
      </c>
      <c r="E1045">
        <v>10</v>
      </c>
      <c r="F1045">
        <v>10</v>
      </c>
    </row>
    <row r="1046" spans="1:6" x14ac:dyDescent="0.25">
      <c r="A1046" s="172" t="s">
        <v>2912</v>
      </c>
      <c r="B1046" t="s">
        <v>2913</v>
      </c>
      <c r="C1046" t="s">
        <v>2914</v>
      </c>
      <c r="D1046">
        <v>6.5</v>
      </c>
      <c r="E1046">
        <v>10</v>
      </c>
      <c r="F1046">
        <v>10</v>
      </c>
    </row>
    <row r="1047" spans="1:6" x14ac:dyDescent="0.25">
      <c r="A1047" s="172" t="s">
        <v>2915</v>
      </c>
      <c r="B1047" t="s">
        <v>2916</v>
      </c>
      <c r="C1047" t="s">
        <v>2917</v>
      </c>
      <c r="D1047">
        <v>0</v>
      </c>
      <c r="E1047">
        <v>0</v>
      </c>
      <c r="F1047">
        <v>0</v>
      </c>
    </row>
    <row r="1048" spans="1:6" x14ac:dyDescent="0.25">
      <c r="A1048" s="172" t="s">
        <v>2918</v>
      </c>
      <c r="B1048" t="s">
        <v>2919</v>
      </c>
      <c r="C1048" t="s">
        <v>2920</v>
      </c>
      <c r="D1048">
        <v>0</v>
      </c>
      <c r="E1048">
        <v>10</v>
      </c>
      <c r="F1048">
        <v>10</v>
      </c>
    </row>
    <row r="1049" spans="1:6" x14ac:dyDescent="0.25">
      <c r="A1049" s="172" t="s">
        <v>2921</v>
      </c>
      <c r="B1049" t="s">
        <v>2922</v>
      </c>
      <c r="C1049" t="s">
        <v>248</v>
      </c>
      <c r="D1049">
        <v>0</v>
      </c>
      <c r="E1049">
        <v>10</v>
      </c>
      <c r="F1049">
        <v>0</v>
      </c>
    </row>
    <row r="1050" spans="1:6" x14ac:dyDescent="0.25">
      <c r="A1050" s="172" t="s">
        <v>2923</v>
      </c>
      <c r="B1050" t="s">
        <v>2924</v>
      </c>
      <c r="C1050" t="s">
        <v>2925</v>
      </c>
      <c r="D1050">
        <v>0</v>
      </c>
      <c r="E1050">
        <v>0</v>
      </c>
      <c r="F1050">
        <v>0</v>
      </c>
    </row>
    <row r="1051" spans="1:6" x14ac:dyDescent="0.25">
      <c r="A1051" s="172" t="s">
        <v>2926</v>
      </c>
      <c r="B1051" t="s">
        <v>2927</v>
      </c>
      <c r="C1051" t="s">
        <v>248</v>
      </c>
      <c r="D1051">
        <v>0</v>
      </c>
      <c r="E1051">
        <v>18.87</v>
      </c>
      <c r="F1051">
        <v>0</v>
      </c>
    </row>
    <row r="1052" spans="1:6" x14ac:dyDescent="0.25">
      <c r="A1052" s="172" t="s">
        <v>2928</v>
      </c>
      <c r="B1052" t="s">
        <v>2929</v>
      </c>
      <c r="C1052" t="s">
        <v>248</v>
      </c>
      <c r="D1052">
        <v>0</v>
      </c>
      <c r="E1052">
        <v>0</v>
      </c>
      <c r="F1052">
        <v>0</v>
      </c>
    </row>
    <row r="1053" spans="1:6" x14ac:dyDescent="0.25">
      <c r="A1053" s="172" t="s">
        <v>2930</v>
      </c>
      <c r="B1053" t="s">
        <v>2931</v>
      </c>
      <c r="C1053" t="s">
        <v>248</v>
      </c>
      <c r="D1053">
        <v>0</v>
      </c>
      <c r="E1053">
        <v>0</v>
      </c>
      <c r="F1053">
        <v>0</v>
      </c>
    </row>
    <row r="1054" spans="1:6" x14ac:dyDescent="0.25">
      <c r="A1054" s="172" t="s">
        <v>2932</v>
      </c>
      <c r="B1054" t="s">
        <v>2933</v>
      </c>
      <c r="C1054" t="s">
        <v>248</v>
      </c>
      <c r="D1054">
        <v>0</v>
      </c>
      <c r="E1054">
        <v>0</v>
      </c>
      <c r="F1054">
        <v>0</v>
      </c>
    </row>
    <row r="1055" spans="1:6" x14ac:dyDescent="0.25">
      <c r="A1055" s="172" t="s">
        <v>2934</v>
      </c>
      <c r="B1055" t="s">
        <v>2935</v>
      </c>
      <c r="C1055" t="s">
        <v>248</v>
      </c>
      <c r="D1055">
        <v>0</v>
      </c>
      <c r="E1055">
        <v>20</v>
      </c>
      <c r="F1055">
        <v>0</v>
      </c>
    </row>
    <row r="1056" spans="1:6" x14ac:dyDescent="0.25">
      <c r="A1056" s="172" t="s">
        <v>2936</v>
      </c>
      <c r="B1056" t="s">
        <v>2937</v>
      </c>
      <c r="C1056" t="s">
        <v>248</v>
      </c>
      <c r="D1056">
        <v>0</v>
      </c>
      <c r="E1056">
        <v>0</v>
      </c>
      <c r="F1056">
        <v>0</v>
      </c>
    </row>
    <row r="1057" spans="1:6" x14ac:dyDescent="0.25">
      <c r="A1057" s="172" t="s">
        <v>2938</v>
      </c>
      <c r="B1057" t="s">
        <v>2939</v>
      </c>
      <c r="C1057" t="s">
        <v>248</v>
      </c>
      <c r="D1057">
        <v>0</v>
      </c>
      <c r="E1057">
        <v>0</v>
      </c>
      <c r="F1057">
        <v>0</v>
      </c>
    </row>
    <row r="1058" spans="1:6" x14ac:dyDescent="0.25">
      <c r="A1058" s="172" t="s">
        <v>2940</v>
      </c>
      <c r="B1058" t="s">
        <v>2941</v>
      </c>
      <c r="C1058" t="s">
        <v>248</v>
      </c>
      <c r="D1058">
        <v>0</v>
      </c>
      <c r="E1058">
        <v>0</v>
      </c>
      <c r="F1058">
        <v>0</v>
      </c>
    </row>
    <row r="1059" spans="1:6" x14ac:dyDescent="0.25">
      <c r="A1059" s="172" t="s">
        <v>2942</v>
      </c>
      <c r="B1059" t="s">
        <v>2943</v>
      </c>
      <c r="C1059" t="s">
        <v>248</v>
      </c>
      <c r="D1059">
        <v>0</v>
      </c>
      <c r="E1059">
        <v>0</v>
      </c>
      <c r="F1059">
        <v>0</v>
      </c>
    </row>
    <row r="1060" spans="1:6" x14ac:dyDescent="0.25">
      <c r="A1060" s="172" t="s">
        <v>2944</v>
      </c>
      <c r="B1060" t="s">
        <v>2945</v>
      </c>
      <c r="C1060" t="s">
        <v>248</v>
      </c>
      <c r="D1060">
        <v>0</v>
      </c>
      <c r="E1060">
        <v>0</v>
      </c>
      <c r="F1060">
        <v>0</v>
      </c>
    </row>
    <row r="1061" spans="1:6" x14ac:dyDescent="0.25">
      <c r="A1061" s="172" t="s">
        <v>2946</v>
      </c>
      <c r="B1061" t="s">
        <v>2947</v>
      </c>
      <c r="C1061" t="s">
        <v>248</v>
      </c>
      <c r="D1061">
        <v>0</v>
      </c>
      <c r="E1061">
        <v>0</v>
      </c>
      <c r="F1061">
        <v>0</v>
      </c>
    </row>
    <row r="1062" spans="1:6" x14ac:dyDescent="0.25">
      <c r="A1062" s="172" t="s">
        <v>2948</v>
      </c>
      <c r="B1062" t="s">
        <v>2949</v>
      </c>
      <c r="C1062" t="s">
        <v>248</v>
      </c>
      <c r="D1062">
        <v>0</v>
      </c>
      <c r="E1062">
        <v>0</v>
      </c>
      <c r="F1062">
        <v>0</v>
      </c>
    </row>
    <row r="1063" spans="1:6" x14ac:dyDescent="0.25">
      <c r="A1063" s="172" t="s">
        <v>2950</v>
      </c>
      <c r="B1063" t="s">
        <v>2951</v>
      </c>
      <c r="C1063" t="s">
        <v>248</v>
      </c>
      <c r="D1063">
        <v>0</v>
      </c>
      <c r="E1063">
        <v>0</v>
      </c>
      <c r="F1063">
        <v>0</v>
      </c>
    </row>
    <row r="1064" spans="1:6" x14ac:dyDescent="0.25">
      <c r="A1064" s="172" t="s">
        <v>2952</v>
      </c>
      <c r="B1064" t="s">
        <v>416</v>
      </c>
      <c r="C1064" t="s">
        <v>248</v>
      </c>
      <c r="D1064">
        <v>2.39</v>
      </c>
      <c r="E1064">
        <v>0</v>
      </c>
      <c r="F1064">
        <v>11.9</v>
      </c>
    </row>
    <row r="1065" spans="1:6" x14ac:dyDescent="0.25">
      <c r="A1065" s="172" t="s">
        <v>2953</v>
      </c>
      <c r="B1065" t="s">
        <v>181</v>
      </c>
      <c r="C1065" t="s">
        <v>248</v>
      </c>
      <c r="D1065">
        <v>2.79</v>
      </c>
      <c r="E1065">
        <v>7.24</v>
      </c>
      <c r="F1065">
        <v>12.3</v>
      </c>
    </row>
    <row r="1066" spans="1:6" x14ac:dyDescent="0.25">
      <c r="A1066" s="172" t="s">
        <v>2954</v>
      </c>
      <c r="B1066" t="s">
        <v>2955</v>
      </c>
      <c r="C1066" t="s">
        <v>2956</v>
      </c>
      <c r="D1066">
        <v>87</v>
      </c>
      <c r="E1066">
        <v>28.69</v>
      </c>
      <c r="F1066">
        <v>0</v>
      </c>
    </row>
    <row r="1067" spans="1:6" x14ac:dyDescent="0.25">
      <c r="A1067" s="172" t="s">
        <v>2957</v>
      </c>
      <c r="B1067" t="s">
        <v>2958</v>
      </c>
      <c r="C1067" t="s">
        <v>248</v>
      </c>
      <c r="D1067">
        <v>0</v>
      </c>
      <c r="E1067">
        <v>0</v>
      </c>
      <c r="F1067">
        <v>0</v>
      </c>
    </row>
    <row r="1068" spans="1:6" x14ac:dyDescent="0.25">
      <c r="A1068" s="172" t="s">
        <v>2959</v>
      </c>
      <c r="B1068" t="s">
        <v>2960</v>
      </c>
      <c r="C1068" t="s">
        <v>2961</v>
      </c>
      <c r="D1068">
        <v>1.72</v>
      </c>
      <c r="E1068">
        <v>0</v>
      </c>
      <c r="F1068">
        <v>0</v>
      </c>
    </row>
    <row r="1069" spans="1:6" x14ac:dyDescent="0.25">
      <c r="A1069" s="172" t="s">
        <v>2962</v>
      </c>
      <c r="B1069" t="s">
        <v>2963</v>
      </c>
      <c r="C1069" t="s">
        <v>2964</v>
      </c>
      <c r="D1069">
        <v>0</v>
      </c>
      <c r="E1069">
        <v>500</v>
      </c>
      <c r="F1069">
        <v>0</v>
      </c>
    </row>
    <row r="1070" spans="1:6" x14ac:dyDescent="0.25">
      <c r="A1070" s="172" t="s">
        <v>2965</v>
      </c>
      <c r="B1070" t="s">
        <v>2966</v>
      </c>
      <c r="C1070" t="s">
        <v>248</v>
      </c>
      <c r="D1070">
        <v>0</v>
      </c>
      <c r="E1070">
        <v>200</v>
      </c>
      <c r="F1070">
        <v>0</v>
      </c>
    </row>
    <row r="1071" spans="1:6" x14ac:dyDescent="0.25">
      <c r="A1071" s="172" t="s">
        <v>2967</v>
      </c>
      <c r="B1071" t="s">
        <v>2968</v>
      </c>
      <c r="C1071" t="s">
        <v>248</v>
      </c>
      <c r="D1071">
        <v>0</v>
      </c>
      <c r="E1071">
        <v>500</v>
      </c>
      <c r="F1071">
        <v>0</v>
      </c>
    </row>
    <row r="1072" spans="1:6" x14ac:dyDescent="0.25">
      <c r="A1072" s="172" t="s">
        <v>2969</v>
      </c>
      <c r="B1072" t="s">
        <v>2970</v>
      </c>
      <c r="C1072" t="s">
        <v>248</v>
      </c>
      <c r="D1072">
        <v>0</v>
      </c>
      <c r="E1072">
        <v>250</v>
      </c>
      <c r="F1072">
        <v>0</v>
      </c>
    </row>
    <row r="1073" spans="1:6" x14ac:dyDescent="0.25">
      <c r="A1073" s="172" t="s">
        <v>2971</v>
      </c>
      <c r="B1073" t="s">
        <v>2972</v>
      </c>
      <c r="C1073" t="s">
        <v>248</v>
      </c>
      <c r="D1073">
        <v>0</v>
      </c>
      <c r="E1073">
        <v>100</v>
      </c>
      <c r="F1073">
        <v>0</v>
      </c>
    </row>
    <row r="1074" spans="1:6" x14ac:dyDescent="0.25">
      <c r="A1074" s="172" t="s">
        <v>2973</v>
      </c>
      <c r="B1074" t="s">
        <v>2974</v>
      </c>
      <c r="C1074" t="s">
        <v>248</v>
      </c>
      <c r="D1074">
        <v>0</v>
      </c>
      <c r="E1074">
        <v>100</v>
      </c>
      <c r="F1074">
        <v>0</v>
      </c>
    </row>
    <row r="1075" spans="1:6" x14ac:dyDescent="0.25">
      <c r="A1075" s="172" t="s">
        <v>2975</v>
      </c>
      <c r="B1075" t="s">
        <v>2976</v>
      </c>
      <c r="C1075" t="s">
        <v>248</v>
      </c>
      <c r="D1075">
        <v>0</v>
      </c>
      <c r="E1075">
        <v>100</v>
      </c>
      <c r="F1075">
        <v>0</v>
      </c>
    </row>
    <row r="1076" spans="1:6" x14ac:dyDescent="0.25">
      <c r="A1076" s="172" t="s">
        <v>2977</v>
      </c>
      <c r="B1076" t="s">
        <v>2978</v>
      </c>
      <c r="C1076" t="s">
        <v>248</v>
      </c>
      <c r="D1076">
        <v>0</v>
      </c>
      <c r="E1076">
        <v>0</v>
      </c>
      <c r="F1076">
        <v>0</v>
      </c>
    </row>
    <row r="1077" spans="1:6" x14ac:dyDescent="0.25">
      <c r="A1077" s="172" t="s">
        <v>2979</v>
      </c>
      <c r="B1077" t="s">
        <v>2980</v>
      </c>
      <c r="C1077" t="s">
        <v>2981</v>
      </c>
      <c r="D1077">
        <v>38.23</v>
      </c>
      <c r="E1077">
        <v>0</v>
      </c>
      <c r="F1077">
        <v>0</v>
      </c>
    </row>
    <row r="1078" spans="1:6" x14ac:dyDescent="0.25">
      <c r="A1078" s="172" t="s">
        <v>2982</v>
      </c>
      <c r="B1078" t="s">
        <v>2983</v>
      </c>
      <c r="C1078" t="s">
        <v>2984</v>
      </c>
      <c r="D1078">
        <v>88.02</v>
      </c>
      <c r="E1078">
        <v>0</v>
      </c>
      <c r="F1078">
        <v>0</v>
      </c>
    </row>
    <row r="1079" spans="1:6" x14ac:dyDescent="0.25">
      <c r="A1079" s="172" t="s">
        <v>2985</v>
      </c>
      <c r="B1079" t="s">
        <v>1517</v>
      </c>
      <c r="C1079" t="s">
        <v>248</v>
      </c>
      <c r="D1079">
        <v>0</v>
      </c>
      <c r="E1079">
        <v>0</v>
      </c>
      <c r="F1079">
        <v>0</v>
      </c>
    </row>
    <row r="1080" spans="1:6" x14ac:dyDescent="0.25">
      <c r="A1080" s="172" t="s">
        <v>2986</v>
      </c>
      <c r="B1080" t="s">
        <v>2484</v>
      </c>
      <c r="C1080" t="s">
        <v>248</v>
      </c>
      <c r="D1080">
        <v>0</v>
      </c>
      <c r="E1080">
        <v>0</v>
      </c>
      <c r="F1080">
        <v>0</v>
      </c>
    </row>
    <row r="1081" spans="1:6" x14ac:dyDescent="0.25">
      <c r="A1081" s="172" t="s">
        <v>2987</v>
      </c>
      <c r="B1081" t="s">
        <v>2486</v>
      </c>
      <c r="C1081" t="s">
        <v>248</v>
      </c>
      <c r="D1081">
        <v>0</v>
      </c>
      <c r="E1081">
        <v>0</v>
      </c>
      <c r="F1081">
        <v>0</v>
      </c>
    </row>
    <row r="1082" spans="1:6" x14ac:dyDescent="0.25">
      <c r="A1082" s="172" t="s">
        <v>2988</v>
      </c>
      <c r="B1082" t="s">
        <v>2989</v>
      </c>
      <c r="C1082" t="s">
        <v>248</v>
      </c>
      <c r="D1082">
        <v>0</v>
      </c>
      <c r="E1082">
        <v>0</v>
      </c>
      <c r="F1082">
        <v>0</v>
      </c>
    </row>
    <row r="1083" spans="1:6" x14ac:dyDescent="0.25">
      <c r="A1083" s="172" t="s">
        <v>2990</v>
      </c>
      <c r="B1083" t="s">
        <v>2313</v>
      </c>
      <c r="C1083" t="s">
        <v>248</v>
      </c>
      <c r="D1083">
        <v>0</v>
      </c>
      <c r="E1083">
        <v>0</v>
      </c>
      <c r="F1083">
        <v>0</v>
      </c>
    </row>
    <row r="1084" spans="1:6" x14ac:dyDescent="0.25">
      <c r="A1084" s="172" t="s">
        <v>2991</v>
      </c>
      <c r="B1084" t="s">
        <v>2313</v>
      </c>
      <c r="C1084" t="s">
        <v>248</v>
      </c>
      <c r="D1084">
        <v>0</v>
      </c>
      <c r="E1084">
        <v>0</v>
      </c>
      <c r="F1084">
        <v>0</v>
      </c>
    </row>
    <row r="1085" spans="1:6" x14ac:dyDescent="0.25">
      <c r="A1085" s="172" t="s">
        <v>2992</v>
      </c>
      <c r="B1085" t="s">
        <v>2317</v>
      </c>
      <c r="C1085" t="s">
        <v>248</v>
      </c>
      <c r="D1085">
        <v>0</v>
      </c>
      <c r="E1085">
        <v>0</v>
      </c>
      <c r="F1085">
        <v>0</v>
      </c>
    </row>
    <row r="1086" spans="1:6" x14ac:dyDescent="0.25">
      <c r="A1086" s="172" t="s">
        <v>2993</v>
      </c>
      <c r="B1086" t="s">
        <v>2319</v>
      </c>
      <c r="C1086" t="s">
        <v>248</v>
      </c>
      <c r="D1086">
        <v>0</v>
      </c>
      <c r="E1086">
        <v>0</v>
      </c>
      <c r="F1086">
        <v>0</v>
      </c>
    </row>
    <row r="1087" spans="1:6" x14ac:dyDescent="0.25">
      <c r="A1087" s="172" t="s">
        <v>2994</v>
      </c>
      <c r="B1087" t="s">
        <v>2321</v>
      </c>
      <c r="C1087" t="s">
        <v>248</v>
      </c>
      <c r="D1087">
        <v>0</v>
      </c>
      <c r="E1087">
        <v>0</v>
      </c>
      <c r="F1087">
        <v>0</v>
      </c>
    </row>
    <row r="1088" spans="1:6" x14ac:dyDescent="0.25">
      <c r="A1088" s="172" t="s">
        <v>2995</v>
      </c>
      <c r="B1088" t="s">
        <v>2996</v>
      </c>
      <c r="C1088" t="s">
        <v>248</v>
      </c>
      <c r="D1088">
        <v>0</v>
      </c>
      <c r="E1088">
        <v>0</v>
      </c>
      <c r="F1088">
        <v>0</v>
      </c>
    </row>
    <row r="1089" spans="1:6" x14ac:dyDescent="0.25">
      <c r="A1089" s="172" t="s">
        <v>2997</v>
      </c>
      <c r="B1089" t="s">
        <v>2349</v>
      </c>
      <c r="C1089" t="s">
        <v>248</v>
      </c>
      <c r="D1089">
        <v>0</v>
      </c>
      <c r="E1089">
        <v>0</v>
      </c>
      <c r="F1089">
        <v>0</v>
      </c>
    </row>
    <row r="1090" spans="1:6" x14ac:dyDescent="0.25">
      <c r="A1090" s="172" t="s">
        <v>2998</v>
      </c>
      <c r="B1090" t="s">
        <v>2351</v>
      </c>
      <c r="C1090" t="s">
        <v>248</v>
      </c>
      <c r="D1090">
        <v>0</v>
      </c>
      <c r="E1090">
        <v>0</v>
      </c>
      <c r="F1090">
        <v>0</v>
      </c>
    </row>
    <row r="1091" spans="1:6" x14ac:dyDescent="0.25">
      <c r="A1091" s="172" t="s">
        <v>2999</v>
      </c>
      <c r="B1091" t="s">
        <v>2353</v>
      </c>
      <c r="C1091" t="s">
        <v>248</v>
      </c>
      <c r="D1091">
        <v>0</v>
      </c>
      <c r="E1091">
        <v>0</v>
      </c>
      <c r="F1091">
        <v>0</v>
      </c>
    </row>
    <row r="1092" spans="1:6" x14ac:dyDescent="0.25">
      <c r="A1092" s="172" t="s">
        <v>3000</v>
      </c>
      <c r="B1092" t="s">
        <v>2355</v>
      </c>
      <c r="C1092" t="s">
        <v>248</v>
      </c>
      <c r="D1092">
        <v>0</v>
      </c>
      <c r="E1092">
        <v>0</v>
      </c>
      <c r="F1092">
        <v>0</v>
      </c>
    </row>
    <row r="1093" spans="1:6" x14ac:dyDescent="0.25">
      <c r="A1093" s="172" t="s">
        <v>3001</v>
      </c>
      <c r="B1093" t="s">
        <v>2357</v>
      </c>
      <c r="C1093" t="s">
        <v>248</v>
      </c>
      <c r="D1093">
        <v>0</v>
      </c>
      <c r="E1093">
        <v>0</v>
      </c>
      <c r="F1093">
        <v>0</v>
      </c>
    </row>
    <row r="1094" spans="1:6" x14ac:dyDescent="0.25">
      <c r="A1094" s="172" t="s">
        <v>3002</v>
      </c>
      <c r="B1094" t="s">
        <v>2359</v>
      </c>
      <c r="C1094" t="s">
        <v>248</v>
      </c>
      <c r="D1094">
        <v>0</v>
      </c>
      <c r="E1094">
        <v>0</v>
      </c>
      <c r="F1094">
        <v>0</v>
      </c>
    </row>
    <row r="1095" spans="1:6" x14ac:dyDescent="0.25">
      <c r="A1095" s="172" t="s">
        <v>3003</v>
      </c>
      <c r="B1095" t="s">
        <v>2361</v>
      </c>
      <c r="C1095" t="s">
        <v>248</v>
      </c>
      <c r="D1095">
        <v>0</v>
      </c>
      <c r="E1095">
        <v>0</v>
      </c>
      <c r="F1095">
        <v>0</v>
      </c>
    </row>
    <row r="1096" spans="1:6" x14ac:dyDescent="0.25">
      <c r="A1096" s="172" t="s">
        <v>3004</v>
      </c>
      <c r="B1096" t="s">
        <v>3005</v>
      </c>
      <c r="C1096" t="s">
        <v>248</v>
      </c>
      <c r="D1096">
        <v>0</v>
      </c>
      <c r="E1096">
        <v>0</v>
      </c>
      <c r="F1096">
        <v>0</v>
      </c>
    </row>
    <row r="1097" spans="1:6" x14ac:dyDescent="0.25">
      <c r="A1097" s="172" t="s">
        <v>3006</v>
      </c>
      <c r="B1097" t="s">
        <v>3007</v>
      </c>
      <c r="C1097" t="s">
        <v>248</v>
      </c>
      <c r="D1097">
        <v>0</v>
      </c>
      <c r="E1097">
        <v>0</v>
      </c>
      <c r="F1097">
        <v>0</v>
      </c>
    </row>
    <row r="1098" spans="1:6" x14ac:dyDescent="0.25">
      <c r="A1098" s="172" t="s">
        <v>3008</v>
      </c>
      <c r="B1098" t="s">
        <v>3009</v>
      </c>
      <c r="C1098" t="s">
        <v>248</v>
      </c>
      <c r="D1098">
        <v>0</v>
      </c>
      <c r="E1098">
        <v>0</v>
      </c>
      <c r="F1098">
        <v>0</v>
      </c>
    </row>
    <row r="1099" spans="1:6" x14ac:dyDescent="0.25">
      <c r="A1099" s="172" t="s">
        <v>3010</v>
      </c>
      <c r="B1099" t="s">
        <v>3011</v>
      </c>
      <c r="C1099" t="s">
        <v>248</v>
      </c>
      <c r="D1099">
        <v>0</v>
      </c>
      <c r="E1099">
        <v>0</v>
      </c>
      <c r="F1099">
        <v>0</v>
      </c>
    </row>
    <row r="1100" spans="1:6" x14ac:dyDescent="0.25">
      <c r="A1100" s="172" t="s">
        <v>3012</v>
      </c>
      <c r="B1100" t="s">
        <v>2369</v>
      </c>
      <c r="C1100" t="s">
        <v>248</v>
      </c>
      <c r="D1100">
        <v>0</v>
      </c>
      <c r="E1100">
        <v>0</v>
      </c>
      <c r="F1100">
        <v>0</v>
      </c>
    </row>
    <row r="1101" spans="1:6" x14ac:dyDescent="0.25">
      <c r="A1101" s="172" t="s">
        <v>3013</v>
      </c>
      <c r="B1101" t="s">
        <v>2371</v>
      </c>
      <c r="C1101" t="s">
        <v>248</v>
      </c>
      <c r="D1101">
        <v>0</v>
      </c>
      <c r="E1101">
        <v>0</v>
      </c>
      <c r="F1101">
        <v>0</v>
      </c>
    </row>
    <row r="1102" spans="1:6" x14ac:dyDescent="0.25">
      <c r="A1102" s="172" t="s">
        <v>3014</v>
      </c>
      <c r="B1102" t="s">
        <v>2373</v>
      </c>
      <c r="C1102" t="s">
        <v>248</v>
      </c>
      <c r="D1102">
        <v>0</v>
      </c>
      <c r="E1102">
        <v>0</v>
      </c>
      <c r="F1102">
        <v>0</v>
      </c>
    </row>
    <row r="1103" spans="1:6" x14ac:dyDescent="0.25">
      <c r="A1103" s="172" t="s">
        <v>3015</v>
      </c>
      <c r="B1103" t="s">
        <v>2656</v>
      </c>
      <c r="C1103" t="s">
        <v>248</v>
      </c>
      <c r="D1103">
        <v>0</v>
      </c>
      <c r="E1103">
        <v>0</v>
      </c>
      <c r="F1103">
        <v>0</v>
      </c>
    </row>
    <row r="1104" spans="1:6" x14ac:dyDescent="0.25">
      <c r="A1104" s="172" t="s">
        <v>3016</v>
      </c>
      <c r="B1104" t="s">
        <v>3017</v>
      </c>
      <c r="C1104" t="s">
        <v>248</v>
      </c>
      <c r="D1104">
        <v>0</v>
      </c>
      <c r="E1104">
        <v>0</v>
      </c>
      <c r="F1104">
        <v>0</v>
      </c>
    </row>
    <row r="1105" spans="1:6" x14ac:dyDescent="0.25">
      <c r="A1105" s="172" t="s">
        <v>3018</v>
      </c>
      <c r="B1105" t="s">
        <v>3019</v>
      </c>
      <c r="C1105" t="s">
        <v>248</v>
      </c>
      <c r="D1105">
        <v>0</v>
      </c>
      <c r="E1105">
        <v>0</v>
      </c>
      <c r="F1105">
        <v>0</v>
      </c>
    </row>
    <row r="1106" spans="1:6" x14ac:dyDescent="0.25">
      <c r="A1106" s="172" t="s">
        <v>3020</v>
      </c>
      <c r="B1106" t="s">
        <v>3021</v>
      </c>
      <c r="C1106" t="s">
        <v>248</v>
      </c>
      <c r="D1106">
        <v>0</v>
      </c>
      <c r="E1106">
        <v>0</v>
      </c>
      <c r="F1106">
        <v>0</v>
      </c>
    </row>
    <row r="1107" spans="1:6" x14ac:dyDescent="0.25">
      <c r="A1107" s="172" t="s">
        <v>3022</v>
      </c>
      <c r="B1107" t="s">
        <v>3023</v>
      </c>
      <c r="C1107" t="s">
        <v>248</v>
      </c>
      <c r="D1107">
        <v>0</v>
      </c>
      <c r="E1107">
        <v>0</v>
      </c>
      <c r="F1107">
        <v>0</v>
      </c>
    </row>
    <row r="1108" spans="1:6" x14ac:dyDescent="0.25">
      <c r="A1108" s="172" t="s">
        <v>3024</v>
      </c>
      <c r="B1108" t="s">
        <v>2390</v>
      </c>
      <c r="C1108" t="s">
        <v>248</v>
      </c>
      <c r="D1108">
        <v>0</v>
      </c>
      <c r="E1108">
        <v>0</v>
      </c>
      <c r="F1108">
        <v>0</v>
      </c>
    </row>
    <row r="1109" spans="1:6" x14ac:dyDescent="0.25">
      <c r="A1109" s="172" t="s">
        <v>3025</v>
      </c>
      <c r="B1109" t="s">
        <v>2392</v>
      </c>
      <c r="C1109" t="s">
        <v>248</v>
      </c>
      <c r="D1109">
        <v>0</v>
      </c>
      <c r="E1109">
        <v>0</v>
      </c>
      <c r="F1109">
        <v>0</v>
      </c>
    </row>
    <row r="1110" spans="1:6" x14ac:dyDescent="0.25">
      <c r="A1110" s="172" t="s">
        <v>3026</v>
      </c>
      <c r="B1110" t="s">
        <v>2394</v>
      </c>
      <c r="C1110" t="s">
        <v>248</v>
      </c>
      <c r="D1110">
        <v>0</v>
      </c>
      <c r="E1110">
        <v>0</v>
      </c>
      <c r="F1110">
        <v>0</v>
      </c>
    </row>
    <row r="1111" spans="1:6" x14ac:dyDescent="0.25">
      <c r="A1111" s="172" t="s">
        <v>3027</v>
      </c>
      <c r="B1111" t="s">
        <v>3028</v>
      </c>
      <c r="C1111" t="s">
        <v>248</v>
      </c>
      <c r="D1111">
        <v>0</v>
      </c>
      <c r="E1111">
        <v>0</v>
      </c>
      <c r="F1111">
        <v>0</v>
      </c>
    </row>
    <row r="1112" spans="1:6" x14ac:dyDescent="0.25">
      <c r="A1112" s="172" t="s">
        <v>3029</v>
      </c>
      <c r="B1112" t="s">
        <v>2398</v>
      </c>
      <c r="C1112" t="s">
        <v>248</v>
      </c>
      <c r="D1112">
        <v>0</v>
      </c>
      <c r="E1112">
        <v>0</v>
      </c>
      <c r="F1112">
        <v>0</v>
      </c>
    </row>
    <row r="1113" spans="1:6" x14ac:dyDescent="0.25">
      <c r="A1113" s="172" t="s">
        <v>3030</v>
      </c>
      <c r="B1113" t="s">
        <v>2400</v>
      </c>
      <c r="C1113" t="s">
        <v>248</v>
      </c>
      <c r="D1113">
        <v>0</v>
      </c>
      <c r="E1113">
        <v>0</v>
      </c>
      <c r="F1113">
        <v>0</v>
      </c>
    </row>
    <row r="1114" spans="1:6" x14ac:dyDescent="0.25">
      <c r="A1114" s="172" t="s">
        <v>3031</v>
      </c>
      <c r="B1114" t="s">
        <v>2402</v>
      </c>
      <c r="C1114" t="s">
        <v>248</v>
      </c>
      <c r="D1114">
        <v>0</v>
      </c>
      <c r="E1114">
        <v>0</v>
      </c>
      <c r="F1114">
        <v>0</v>
      </c>
    </row>
    <row r="1115" spans="1:6" x14ac:dyDescent="0.25">
      <c r="A1115" s="172" t="s">
        <v>3032</v>
      </c>
      <c r="B1115" t="s">
        <v>2404</v>
      </c>
      <c r="C1115" t="s">
        <v>248</v>
      </c>
      <c r="D1115">
        <v>0</v>
      </c>
      <c r="E1115">
        <v>0</v>
      </c>
      <c r="F1115">
        <v>0</v>
      </c>
    </row>
    <row r="1116" spans="1:6" x14ac:dyDescent="0.25">
      <c r="A1116" s="172" t="s">
        <v>3033</v>
      </c>
      <c r="B1116" t="s">
        <v>2406</v>
      </c>
      <c r="C1116" t="s">
        <v>248</v>
      </c>
      <c r="D1116">
        <v>0</v>
      </c>
      <c r="E1116">
        <v>0</v>
      </c>
      <c r="F1116">
        <v>0</v>
      </c>
    </row>
    <row r="1117" spans="1:6" x14ac:dyDescent="0.25">
      <c r="A1117" s="172" t="s">
        <v>3034</v>
      </c>
      <c r="B1117" t="s">
        <v>2408</v>
      </c>
      <c r="C1117" t="s">
        <v>248</v>
      </c>
      <c r="D1117">
        <v>0</v>
      </c>
      <c r="E1117">
        <v>0</v>
      </c>
      <c r="F1117">
        <v>0</v>
      </c>
    </row>
    <row r="1118" spans="1:6" x14ac:dyDescent="0.25">
      <c r="A1118" s="172" t="s">
        <v>3035</v>
      </c>
      <c r="B1118" t="s">
        <v>2410</v>
      </c>
      <c r="C1118" t="s">
        <v>248</v>
      </c>
      <c r="D1118">
        <v>0</v>
      </c>
      <c r="E1118">
        <v>0</v>
      </c>
      <c r="F1118">
        <v>0</v>
      </c>
    </row>
    <row r="1119" spans="1:6" x14ac:dyDescent="0.25">
      <c r="A1119" s="172" t="s">
        <v>3036</v>
      </c>
      <c r="B1119" t="s">
        <v>2412</v>
      </c>
      <c r="C1119" t="s">
        <v>248</v>
      </c>
      <c r="D1119">
        <v>0</v>
      </c>
      <c r="E1119">
        <v>0</v>
      </c>
      <c r="F1119">
        <v>0</v>
      </c>
    </row>
    <row r="1120" spans="1:6" x14ac:dyDescent="0.25">
      <c r="A1120" s="172" t="s">
        <v>3037</v>
      </c>
      <c r="B1120" t="s">
        <v>2414</v>
      </c>
      <c r="C1120" t="s">
        <v>248</v>
      </c>
      <c r="D1120">
        <v>0</v>
      </c>
      <c r="E1120">
        <v>0</v>
      </c>
      <c r="F1120">
        <v>0</v>
      </c>
    </row>
    <row r="1121" spans="1:6" x14ac:dyDescent="0.25">
      <c r="A1121" s="172" t="s">
        <v>3038</v>
      </c>
      <c r="B1121" t="s">
        <v>2416</v>
      </c>
      <c r="C1121" t="s">
        <v>248</v>
      </c>
      <c r="D1121">
        <v>0</v>
      </c>
      <c r="E1121">
        <v>0</v>
      </c>
      <c r="F1121">
        <v>0</v>
      </c>
    </row>
    <row r="1122" spans="1:6" x14ac:dyDescent="0.25">
      <c r="A1122" s="172" t="s">
        <v>3039</v>
      </c>
      <c r="B1122" t="s">
        <v>2602</v>
      </c>
      <c r="C1122" t="s">
        <v>248</v>
      </c>
      <c r="D1122">
        <v>0</v>
      </c>
      <c r="E1122">
        <v>0</v>
      </c>
      <c r="F1122">
        <v>0</v>
      </c>
    </row>
    <row r="1123" spans="1:6" x14ac:dyDescent="0.25">
      <c r="A1123" s="172" t="s">
        <v>3040</v>
      </c>
      <c r="B1123" t="s">
        <v>2420</v>
      </c>
      <c r="C1123" t="s">
        <v>248</v>
      </c>
      <c r="D1123">
        <v>0</v>
      </c>
      <c r="E1123">
        <v>0</v>
      </c>
      <c r="F1123">
        <v>0</v>
      </c>
    </row>
    <row r="1124" spans="1:6" x14ac:dyDescent="0.25">
      <c r="A1124" s="172" t="s">
        <v>3041</v>
      </c>
      <c r="B1124" t="s">
        <v>2422</v>
      </c>
      <c r="C1124" t="s">
        <v>248</v>
      </c>
      <c r="D1124">
        <v>0</v>
      </c>
      <c r="E1124">
        <v>0</v>
      </c>
      <c r="F1124">
        <v>0</v>
      </c>
    </row>
    <row r="1125" spans="1:6" x14ac:dyDescent="0.25">
      <c r="A1125" s="172" t="s">
        <v>3042</v>
      </c>
      <c r="B1125" t="s">
        <v>3043</v>
      </c>
      <c r="C1125" t="s">
        <v>248</v>
      </c>
      <c r="D1125">
        <v>0</v>
      </c>
      <c r="E1125">
        <v>0</v>
      </c>
      <c r="F1125">
        <v>0</v>
      </c>
    </row>
    <row r="1126" spans="1:6" x14ac:dyDescent="0.25">
      <c r="A1126" s="172" t="s">
        <v>3044</v>
      </c>
      <c r="B1126" t="s">
        <v>3045</v>
      </c>
      <c r="C1126" t="s">
        <v>248</v>
      </c>
      <c r="D1126">
        <v>0</v>
      </c>
      <c r="E1126">
        <v>0</v>
      </c>
      <c r="F1126">
        <v>0</v>
      </c>
    </row>
    <row r="1127" spans="1:6" x14ac:dyDescent="0.25">
      <c r="A1127" s="172" t="s">
        <v>3046</v>
      </c>
      <c r="B1127" t="s">
        <v>2428</v>
      </c>
      <c r="C1127" t="s">
        <v>248</v>
      </c>
      <c r="D1127">
        <v>0</v>
      </c>
      <c r="E1127">
        <v>0</v>
      </c>
      <c r="F1127">
        <v>0</v>
      </c>
    </row>
    <row r="1128" spans="1:6" x14ac:dyDescent="0.25">
      <c r="A1128" s="172" t="s">
        <v>3047</v>
      </c>
      <c r="B1128" t="s">
        <v>3048</v>
      </c>
      <c r="C1128" t="s">
        <v>248</v>
      </c>
      <c r="D1128">
        <v>0</v>
      </c>
      <c r="E1128">
        <v>0</v>
      </c>
      <c r="F1128">
        <v>0</v>
      </c>
    </row>
    <row r="1129" spans="1:6" x14ac:dyDescent="0.25">
      <c r="A1129" s="172" t="s">
        <v>3049</v>
      </c>
      <c r="B1129" t="s">
        <v>2430</v>
      </c>
      <c r="C1129" t="s">
        <v>248</v>
      </c>
      <c r="D1129">
        <v>0</v>
      </c>
      <c r="E1129">
        <v>0</v>
      </c>
      <c r="F1129">
        <v>0</v>
      </c>
    </row>
    <row r="1130" spans="1:6" x14ac:dyDescent="0.25">
      <c r="A1130" s="172" t="s">
        <v>3050</v>
      </c>
      <c r="B1130" t="s">
        <v>2432</v>
      </c>
      <c r="C1130" t="s">
        <v>248</v>
      </c>
      <c r="D1130">
        <v>0</v>
      </c>
      <c r="E1130">
        <v>0</v>
      </c>
      <c r="F1130">
        <v>0</v>
      </c>
    </row>
    <row r="1131" spans="1:6" x14ac:dyDescent="0.25">
      <c r="A1131" s="172" t="s">
        <v>3051</v>
      </c>
      <c r="B1131" t="s">
        <v>2437</v>
      </c>
      <c r="C1131" t="s">
        <v>248</v>
      </c>
      <c r="D1131">
        <v>0</v>
      </c>
      <c r="E1131">
        <v>0</v>
      </c>
      <c r="F1131">
        <v>0</v>
      </c>
    </row>
    <row r="1132" spans="1:6" x14ac:dyDescent="0.25">
      <c r="A1132" s="172" t="s">
        <v>3052</v>
      </c>
      <c r="B1132" t="s">
        <v>2439</v>
      </c>
      <c r="C1132" t="s">
        <v>248</v>
      </c>
      <c r="D1132">
        <v>0</v>
      </c>
      <c r="E1132">
        <v>0</v>
      </c>
      <c r="F1132">
        <v>0</v>
      </c>
    </row>
    <row r="1133" spans="1:6" x14ac:dyDescent="0.25">
      <c r="A1133" s="172" t="s">
        <v>3053</v>
      </c>
      <c r="B1133" t="s">
        <v>2441</v>
      </c>
      <c r="C1133" t="s">
        <v>248</v>
      </c>
      <c r="D1133">
        <v>0</v>
      </c>
      <c r="E1133">
        <v>0</v>
      </c>
      <c r="F1133">
        <v>0</v>
      </c>
    </row>
    <row r="1134" spans="1:6" x14ac:dyDescent="0.25">
      <c r="A1134" s="172" t="s">
        <v>3054</v>
      </c>
      <c r="B1134" t="s">
        <v>3055</v>
      </c>
      <c r="C1134" t="s">
        <v>248</v>
      </c>
      <c r="D1134">
        <v>0</v>
      </c>
      <c r="E1134">
        <v>0</v>
      </c>
      <c r="F1134">
        <v>0</v>
      </c>
    </row>
    <row r="1135" spans="1:6" x14ac:dyDescent="0.25">
      <c r="A1135" s="172" t="s">
        <v>3056</v>
      </c>
      <c r="B1135" t="s">
        <v>3057</v>
      </c>
      <c r="C1135" t="s">
        <v>248</v>
      </c>
      <c r="D1135">
        <v>0</v>
      </c>
      <c r="E1135">
        <v>0</v>
      </c>
      <c r="F1135">
        <v>0</v>
      </c>
    </row>
    <row r="1136" spans="1:6" x14ac:dyDescent="0.25">
      <c r="A1136" s="172" t="s">
        <v>3058</v>
      </c>
      <c r="B1136" t="s">
        <v>2447</v>
      </c>
      <c r="C1136" t="s">
        <v>248</v>
      </c>
      <c r="D1136">
        <v>0</v>
      </c>
      <c r="E1136">
        <v>0</v>
      </c>
      <c r="F1136">
        <v>0</v>
      </c>
    </row>
    <row r="1137" spans="1:6" x14ac:dyDescent="0.25">
      <c r="A1137" s="172" t="s">
        <v>3059</v>
      </c>
      <c r="B1137" t="s">
        <v>2449</v>
      </c>
      <c r="C1137" t="s">
        <v>248</v>
      </c>
      <c r="D1137">
        <v>0</v>
      </c>
      <c r="E1137">
        <v>0</v>
      </c>
      <c r="F1137">
        <v>0</v>
      </c>
    </row>
    <row r="1138" spans="1:6" x14ac:dyDescent="0.25">
      <c r="A1138" s="172" t="s">
        <v>3060</v>
      </c>
      <c r="B1138" t="s">
        <v>2451</v>
      </c>
      <c r="C1138" t="s">
        <v>248</v>
      </c>
      <c r="D1138">
        <v>0</v>
      </c>
      <c r="E1138">
        <v>0</v>
      </c>
      <c r="F1138">
        <v>0</v>
      </c>
    </row>
    <row r="1139" spans="1:6" x14ac:dyDescent="0.25">
      <c r="A1139" s="172" t="s">
        <v>3061</v>
      </c>
      <c r="B1139" t="s">
        <v>3062</v>
      </c>
      <c r="C1139" t="s">
        <v>248</v>
      </c>
      <c r="D1139">
        <v>0</v>
      </c>
      <c r="E1139">
        <v>490.18</v>
      </c>
      <c r="F1139">
        <v>0</v>
      </c>
    </row>
    <row r="1140" spans="1:6" x14ac:dyDescent="0.25">
      <c r="A1140" s="172" t="s">
        <v>3063</v>
      </c>
      <c r="B1140" t="s">
        <v>3064</v>
      </c>
      <c r="C1140" t="s">
        <v>248</v>
      </c>
      <c r="D1140">
        <v>0</v>
      </c>
      <c r="E1140">
        <v>0</v>
      </c>
      <c r="F1140">
        <v>0</v>
      </c>
    </row>
    <row r="1141" spans="1:6" x14ac:dyDescent="0.25">
      <c r="A1141" s="172" t="s">
        <v>3065</v>
      </c>
      <c r="B1141" t="s">
        <v>3066</v>
      </c>
      <c r="C1141" t="s">
        <v>248</v>
      </c>
      <c r="D1141">
        <v>0</v>
      </c>
      <c r="E1141">
        <v>0</v>
      </c>
      <c r="F1141">
        <v>0</v>
      </c>
    </row>
    <row r="1142" spans="1:6" x14ac:dyDescent="0.25">
      <c r="A1142" s="172" t="s">
        <v>3067</v>
      </c>
      <c r="B1142" t="s">
        <v>3068</v>
      </c>
      <c r="C1142" t="s">
        <v>248</v>
      </c>
      <c r="D1142">
        <v>0</v>
      </c>
      <c r="E1142">
        <v>0</v>
      </c>
      <c r="F1142">
        <v>0</v>
      </c>
    </row>
    <row r="1143" spans="1:6" x14ac:dyDescent="0.25">
      <c r="A1143" s="172" t="s">
        <v>3069</v>
      </c>
      <c r="B1143" t="s">
        <v>3070</v>
      </c>
      <c r="C1143" t="s">
        <v>248</v>
      </c>
      <c r="D1143">
        <v>0</v>
      </c>
      <c r="E1143">
        <v>0</v>
      </c>
      <c r="F1143">
        <v>0</v>
      </c>
    </row>
    <row r="1144" spans="1:6" x14ac:dyDescent="0.25">
      <c r="A1144" s="172" t="s">
        <v>3071</v>
      </c>
      <c r="B1144" t="s">
        <v>3072</v>
      </c>
      <c r="C1144" t="s">
        <v>248</v>
      </c>
      <c r="D1144">
        <v>0</v>
      </c>
      <c r="E1144">
        <v>0</v>
      </c>
      <c r="F1144">
        <v>0</v>
      </c>
    </row>
    <row r="1145" spans="1:6" x14ac:dyDescent="0.25">
      <c r="A1145" s="172" t="s">
        <v>3073</v>
      </c>
      <c r="B1145" t="s">
        <v>3074</v>
      </c>
      <c r="C1145" t="s">
        <v>248</v>
      </c>
      <c r="D1145">
        <v>0</v>
      </c>
      <c r="E1145">
        <v>0</v>
      </c>
      <c r="F1145">
        <v>0</v>
      </c>
    </row>
    <row r="1146" spans="1:6" x14ac:dyDescent="0.25">
      <c r="A1146" s="172" t="s">
        <v>3075</v>
      </c>
      <c r="B1146" t="s">
        <v>3076</v>
      </c>
      <c r="C1146" t="s">
        <v>248</v>
      </c>
      <c r="D1146">
        <v>0</v>
      </c>
      <c r="E1146">
        <v>0</v>
      </c>
      <c r="F1146">
        <v>0</v>
      </c>
    </row>
    <row r="1147" spans="1:6" x14ac:dyDescent="0.25">
      <c r="A1147" s="172" t="s">
        <v>3077</v>
      </c>
      <c r="B1147" t="s">
        <v>3078</v>
      </c>
      <c r="C1147" t="s">
        <v>248</v>
      </c>
      <c r="D1147">
        <v>0</v>
      </c>
      <c r="E1147">
        <v>0</v>
      </c>
      <c r="F1147">
        <v>0</v>
      </c>
    </row>
    <row r="1148" spans="1:6" x14ac:dyDescent="0.25">
      <c r="A1148" s="172" t="s">
        <v>3079</v>
      </c>
      <c r="B1148" t="s">
        <v>3080</v>
      </c>
      <c r="C1148" t="s">
        <v>248</v>
      </c>
      <c r="D1148">
        <v>0</v>
      </c>
      <c r="E1148">
        <v>0</v>
      </c>
      <c r="F1148">
        <v>0</v>
      </c>
    </row>
    <row r="1149" spans="1:6" x14ac:dyDescent="0.25">
      <c r="A1149" s="172" t="s">
        <v>3081</v>
      </c>
      <c r="B1149" t="s">
        <v>3082</v>
      </c>
      <c r="C1149" t="s">
        <v>248</v>
      </c>
      <c r="D1149">
        <v>0</v>
      </c>
      <c r="E1149">
        <v>0</v>
      </c>
      <c r="F1149">
        <v>0</v>
      </c>
    </row>
    <row r="1150" spans="1:6" x14ac:dyDescent="0.25">
      <c r="A1150" s="172" t="s">
        <v>3083</v>
      </c>
      <c r="B1150" t="s">
        <v>2482</v>
      </c>
      <c r="C1150" t="s">
        <v>248</v>
      </c>
      <c r="D1150">
        <v>0</v>
      </c>
      <c r="E1150">
        <v>0</v>
      </c>
      <c r="F1150">
        <v>0</v>
      </c>
    </row>
    <row r="1151" spans="1:6" x14ac:dyDescent="0.25">
      <c r="A1151" s="172" t="s">
        <v>3084</v>
      </c>
      <c r="B1151" t="s">
        <v>3085</v>
      </c>
      <c r="C1151" t="s">
        <v>248</v>
      </c>
      <c r="D1151">
        <v>0</v>
      </c>
      <c r="E1151">
        <v>0</v>
      </c>
      <c r="F1151">
        <v>0</v>
      </c>
    </row>
    <row r="1152" spans="1:6" x14ac:dyDescent="0.25">
      <c r="A1152" s="172" t="s">
        <v>3086</v>
      </c>
      <c r="B1152" t="s">
        <v>3087</v>
      </c>
      <c r="C1152" t="s">
        <v>248</v>
      </c>
      <c r="D1152">
        <v>0</v>
      </c>
      <c r="E1152">
        <v>0</v>
      </c>
      <c r="F1152">
        <v>0</v>
      </c>
    </row>
    <row r="1153" spans="1:6" x14ac:dyDescent="0.25">
      <c r="A1153" s="172" t="s">
        <v>3088</v>
      </c>
      <c r="B1153" t="s">
        <v>3089</v>
      </c>
      <c r="C1153" t="s">
        <v>248</v>
      </c>
      <c r="D1153">
        <v>0</v>
      </c>
      <c r="E1153">
        <v>0</v>
      </c>
      <c r="F1153">
        <v>0</v>
      </c>
    </row>
    <row r="1154" spans="1:6" x14ac:dyDescent="0.25">
      <c r="A1154" s="172" t="s">
        <v>3090</v>
      </c>
      <c r="B1154" t="s">
        <v>3091</v>
      </c>
      <c r="C1154" t="s">
        <v>248</v>
      </c>
      <c r="D1154">
        <v>0</v>
      </c>
      <c r="E1154">
        <v>0</v>
      </c>
      <c r="F1154">
        <v>0</v>
      </c>
    </row>
    <row r="1155" spans="1:6" x14ac:dyDescent="0.25">
      <c r="A1155" s="172" t="s">
        <v>3092</v>
      </c>
      <c r="B1155" t="s">
        <v>3093</v>
      </c>
      <c r="C1155" t="s">
        <v>248</v>
      </c>
      <c r="D1155">
        <v>0</v>
      </c>
      <c r="E1155">
        <v>0</v>
      </c>
      <c r="F1155">
        <v>0</v>
      </c>
    </row>
    <row r="1156" spans="1:6" x14ac:dyDescent="0.25">
      <c r="A1156" s="172" t="s">
        <v>3094</v>
      </c>
      <c r="B1156" t="s">
        <v>2488</v>
      </c>
      <c r="C1156" t="s">
        <v>248</v>
      </c>
      <c r="D1156">
        <v>0</v>
      </c>
      <c r="E1156">
        <v>0</v>
      </c>
      <c r="F1156">
        <v>0</v>
      </c>
    </row>
    <row r="1157" spans="1:6" x14ac:dyDescent="0.25">
      <c r="A1157" s="172" t="s">
        <v>3095</v>
      </c>
      <c r="B1157" t="s">
        <v>2490</v>
      </c>
      <c r="C1157" t="s">
        <v>248</v>
      </c>
      <c r="D1157">
        <v>0</v>
      </c>
      <c r="E1157">
        <v>0</v>
      </c>
      <c r="F1157">
        <v>0</v>
      </c>
    </row>
    <row r="1158" spans="1:6" x14ac:dyDescent="0.25">
      <c r="A1158" s="172" t="s">
        <v>3096</v>
      </c>
      <c r="B1158" t="s">
        <v>2492</v>
      </c>
      <c r="C1158" t="s">
        <v>248</v>
      </c>
      <c r="D1158">
        <v>0</v>
      </c>
      <c r="E1158">
        <v>0</v>
      </c>
      <c r="F1158">
        <v>0</v>
      </c>
    </row>
    <row r="1159" spans="1:6" x14ac:dyDescent="0.25">
      <c r="A1159" s="172" t="s">
        <v>3097</v>
      </c>
      <c r="B1159" t="s">
        <v>2494</v>
      </c>
      <c r="C1159" t="s">
        <v>248</v>
      </c>
      <c r="D1159">
        <v>0</v>
      </c>
      <c r="E1159">
        <v>0</v>
      </c>
      <c r="F1159">
        <v>0</v>
      </c>
    </row>
    <row r="1160" spans="1:6" x14ac:dyDescent="0.25">
      <c r="A1160" s="172" t="s">
        <v>3098</v>
      </c>
      <c r="B1160" t="s">
        <v>2496</v>
      </c>
      <c r="C1160" t="s">
        <v>248</v>
      </c>
      <c r="D1160">
        <v>0</v>
      </c>
      <c r="E1160">
        <v>0</v>
      </c>
      <c r="F1160">
        <v>0</v>
      </c>
    </row>
    <row r="1161" spans="1:6" x14ac:dyDescent="0.25">
      <c r="A1161" s="172" t="s">
        <v>3099</v>
      </c>
      <c r="B1161" t="s">
        <v>3100</v>
      </c>
      <c r="C1161" t="s">
        <v>248</v>
      </c>
      <c r="D1161">
        <v>0</v>
      </c>
      <c r="E1161">
        <v>0</v>
      </c>
      <c r="F1161">
        <v>0</v>
      </c>
    </row>
    <row r="1162" spans="1:6" x14ac:dyDescent="0.25">
      <c r="A1162" s="172" t="s">
        <v>3101</v>
      </c>
      <c r="B1162" t="s">
        <v>3102</v>
      </c>
      <c r="C1162" t="s">
        <v>248</v>
      </c>
      <c r="D1162">
        <v>0</v>
      </c>
      <c r="E1162">
        <v>0</v>
      </c>
      <c r="F1162">
        <v>0</v>
      </c>
    </row>
    <row r="1163" spans="1:6" x14ac:dyDescent="0.25">
      <c r="A1163" s="172" t="s">
        <v>3103</v>
      </c>
      <c r="B1163" t="s">
        <v>2498</v>
      </c>
      <c r="C1163" t="s">
        <v>248</v>
      </c>
      <c r="D1163">
        <v>0</v>
      </c>
      <c r="E1163">
        <v>0</v>
      </c>
      <c r="F1163">
        <v>0</v>
      </c>
    </row>
    <row r="1164" spans="1:6" x14ac:dyDescent="0.25">
      <c r="A1164" s="172" t="s">
        <v>3104</v>
      </c>
      <c r="B1164" t="s">
        <v>2500</v>
      </c>
      <c r="C1164" t="s">
        <v>248</v>
      </c>
      <c r="D1164">
        <v>0</v>
      </c>
      <c r="E1164">
        <v>0</v>
      </c>
      <c r="F1164">
        <v>0</v>
      </c>
    </row>
    <row r="1165" spans="1:6" x14ac:dyDescent="0.25">
      <c r="A1165" s="172" t="s">
        <v>3105</v>
      </c>
      <c r="B1165" t="s">
        <v>2502</v>
      </c>
      <c r="C1165" t="s">
        <v>248</v>
      </c>
      <c r="D1165">
        <v>0</v>
      </c>
      <c r="E1165">
        <v>0</v>
      </c>
      <c r="F1165">
        <v>0</v>
      </c>
    </row>
    <row r="1166" spans="1:6" x14ac:dyDescent="0.25">
      <c r="A1166" s="172" t="s">
        <v>3106</v>
      </c>
      <c r="B1166" t="s">
        <v>2504</v>
      </c>
      <c r="C1166" t="s">
        <v>248</v>
      </c>
      <c r="D1166">
        <v>0</v>
      </c>
      <c r="E1166">
        <v>0</v>
      </c>
      <c r="F1166">
        <v>0</v>
      </c>
    </row>
    <row r="1167" spans="1:6" x14ac:dyDescent="0.25">
      <c r="A1167" s="172" t="s">
        <v>3107</v>
      </c>
      <c r="B1167" t="s">
        <v>2506</v>
      </c>
      <c r="C1167" t="s">
        <v>248</v>
      </c>
      <c r="D1167">
        <v>0</v>
      </c>
      <c r="E1167">
        <v>0</v>
      </c>
      <c r="F1167">
        <v>0</v>
      </c>
    </row>
    <row r="1168" spans="1:6" x14ac:dyDescent="0.25">
      <c r="A1168" s="172" t="s">
        <v>3108</v>
      </c>
      <c r="B1168" t="s">
        <v>2508</v>
      </c>
      <c r="C1168" t="s">
        <v>248</v>
      </c>
      <c r="D1168">
        <v>0</v>
      </c>
      <c r="E1168">
        <v>0</v>
      </c>
      <c r="F1168">
        <v>0</v>
      </c>
    </row>
    <row r="1169" spans="1:6" x14ac:dyDescent="0.25">
      <c r="A1169" s="172" t="s">
        <v>3109</v>
      </c>
      <c r="B1169" t="s">
        <v>3110</v>
      </c>
      <c r="C1169" t="s">
        <v>248</v>
      </c>
      <c r="D1169">
        <v>0</v>
      </c>
      <c r="E1169">
        <v>0</v>
      </c>
      <c r="F1169">
        <v>0</v>
      </c>
    </row>
    <row r="1170" spans="1:6" x14ac:dyDescent="0.25">
      <c r="A1170" s="172" t="s">
        <v>3111</v>
      </c>
      <c r="B1170" t="s">
        <v>2512</v>
      </c>
      <c r="C1170" t="s">
        <v>248</v>
      </c>
      <c r="D1170">
        <v>0</v>
      </c>
      <c r="E1170">
        <v>0</v>
      </c>
      <c r="F1170">
        <v>0</v>
      </c>
    </row>
    <row r="1171" spans="1:6" x14ac:dyDescent="0.25">
      <c r="A1171" s="172" t="s">
        <v>3112</v>
      </c>
      <c r="B1171" t="s">
        <v>2514</v>
      </c>
      <c r="C1171" t="s">
        <v>248</v>
      </c>
      <c r="D1171">
        <v>0</v>
      </c>
      <c r="E1171">
        <v>0</v>
      </c>
      <c r="F1171">
        <v>0</v>
      </c>
    </row>
    <row r="1172" spans="1:6" x14ac:dyDescent="0.25">
      <c r="A1172" s="172" t="s">
        <v>3113</v>
      </c>
      <c r="B1172" t="s">
        <v>2516</v>
      </c>
      <c r="C1172" t="s">
        <v>248</v>
      </c>
      <c r="D1172">
        <v>0</v>
      </c>
      <c r="E1172">
        <v>0</v>
      </c>
      <c r="F1172">
        <v>0</v>
      </c>
    </row>
    <row r="1173" spans="1:6" x14ac:dyDescent="0.25">
      <c r="A1173" s="172" t="s">
        <v>3114</v>
      </c>
      <c r="B1173" t="s">
        <v>2518</v>
      </c>
      <c r="C1173" t="s">
        <v>248</v>
      </c>
      <c r="D1173">
        <v>0</v>
      </c>
      <c r="E1173">
        <v>0</v>
      </c>
      <c r="F1173">
        <v>0</v>
      </c>
    </row>
    <row r="1174" spans="1:6" x14ac:dyDescent="0.25">
      <c r="A1174" s="172" t="s">
        <v>3115</v>
      </c>
      <c r="B1174" t="s">
        <v>3116</v>
      </c>
      <c r="C1174" t="s">
        <v>248</v>
      </c>
      <c r="D1174">
        <v>0</v>
      </c>
      <c r="E1174">
        <v>0</v>
      </c>
      <c r="F1174">
        <v>0</v>
      </c>
    </row>
    <row r="1175" spans="1:6" x14ac:dyDescent="0.25">
      <c r="A1175" s="172" t="s">
        <v>3117</v>
      </c>
      <c r="B1175" t="s">
        <v>2522</v>
      </c>
      <c r="C1175" t="s">
        <v>248</v>
      </c>
      <c r="D1175">
        <v>0</v>
      </c>
      <c r="E1175">
        <v>0</v>
      </c>
      <c r="F1175">
        <v>0</v>
      </c>
    </row>
    <row r="1176" spans="1:6" x14ac:dyDescent="0.25">
      <c r="A1176" s="172" t="s">
        <v>3118</v>
      </c>
      <c r="B1176" t="s">
        <v>2524</v>
      </c>
      <c r="C1176" t="s">
        <v>248</v>
      </c>
      <c r="D1176">
        <v>0</v>
      </c>
      <c r="E1176">
        <v>0</v>
      </c>
      <c r="F1176">
        <v>0</v>
      </c>
    </row>
    <row r="1177" spans="1:6" x14ac:dyDescent="0.25">
      <c r="A1177" s="172" t="s">
        <v>3119</v>
      </c>
      <c r="B1177" t="s">
        <v>2526</v>
      </c>
      <c r="C1177" t="s">
        <v>248</v>
      </c>
      <c r="D1177">
        <v>0</v>
      </c>
      <c r="E1177">
        <v>0</v>
      </c>
      <c r="F1177">
        <v>0</v>
      </c>
    </row>
    <row r="1178" spans="1:6" x14ac:dyDescent="0.25">
      <c r="A1178" s="172" t="s">
        <v>3120</v>
      </c>
      <c r="B1178" t="s">
        <v>2529</v>
      </c>
      <c r="C1178" t="s">
        <v>248</v>
      </c>
      <c r="D1178">
        <v>0</v>
      </c>
      <c r="E1178">
        <v>0</v>
      </c>
      <c r="F1178">
        <v>0</v>
      </c>
    </row>
    <row r="1179" spans="1:6" x14ac:dyDescent="0.25">
      <c r="A1179" s="172" t="s">
        <v>3121</v>
      </c>
      <c r="B1179" t="s">
        <v>2531</v>
      </c>
      <c r="C1179" t="s">
        <v>248</v>
      </c>
      <c r="D1179">
        <v>0</v>
      </c>
      <c r="E1179">
        <v>0</v>
      </c>
      <c r="F1179">
        <v>0</v>
      </c>
    </row>
    <row r="1180" spans="1:6" x14ac:dyDescent="0.25">
      <c r="A1180" s="172" t="s">
        <v>3122</v>
      </c>
      <c r="B1180" t="s">
        <v>2533</v>
      </c>
      <c r="C1180" t="s">
        <v>248</v>
      </c>
      <c r="D1180">
        <v>0</v>
      </c>
      <c r="E1180">
        <v>0</v>
      </c>
      <c r="F1180">
        <v>0</v>
      </c>
    </row>
    <row r="1181" spans="1:6" x14ac:dyDescent="0.25">
      <c r="A1181" s="172" t="s">
        <v>3123</v>
      </c>
      <c r="B1181" t="s">
        <v>2535</v>
      </c>
      <c r="C1181" t="s">
        <v>248</v>
      </c>
      <c r="D1181">
        <v>0</v>
      </c>
      <c r="E1181">
        <v>0</v>
      </c>
      <c r="F1181">
        <v>0</v>
      </c>
    </row>
    <row r="1182" spans="1:6" x14ac:dyDescent="0.25">
      <c r="A1182" s="172" t="s">
        <v>3124</v>
      </c>
      <c r="B1182" t="s">
        <v>3125</v>
      </c>
      <c r="C1182" t="s">
        <v>248</v>
      </c>
      <c r="D1182">
        <v>0</v>
      </c>
      <c r="E1182">
        <v>0</v>
      </c>
      <c r="F1182">
        <v>0</v>
      </c>
    </row>
    <row r="1183" spans="1:6" x14ac:dyDescent="0.25">
      <c r="A1183" s="172" t="s">
        <v>3126</v>
      </c>
      <c r="B1183" t="s">
        <v>3127</v>
      </c>
      <c r="C1183" t="s">
        <v>248</v>
      </c>
      <c r="D1183">
        <v>0</v>
      </c>
      <c r="E1183">
        <v>0</v>
      </c>
      <c r="F1183">
        <v>0</v>
      </c>
    </row>
    <row r="1184" spans="1:6" x14ac:dyDescent="0.25">
      <c r="A1184" s="172" t="s">
        <v>3128</v>
      </c>
      <c r="B1184" t="s">
        <v>3129</v>
      </c>
      <c r="C1184" t="s">
        <v>248</v>
      </c>
      <c r="D1184">
        <v>0</v>
      </c>
      <c r="E1184">
        <v>0</v>
      </c>
      <c r="F1184">
        <v>0</v>
      </c>
    </row>
    <row r="1185" spans="1:6" x14ac:dyDescent="0.25">
      <c r="A1185" s="172" t="s">
        <v>3130</v>
      </c>
      <c r="B1185" t="s">
        <v>2543</v>
      </c>
      <c r="C1185" t="s">
        <v>248</v>
      </c>
      <c r="D1185">
        <v>0</v>
      </c>
      <c r="E1185">
        <v>0</v>
      </c>
      <c r="F1185">
        <v>0</v>
      </c>
    </row>
    <row r="1186" spans="1:6" x14ac:dyDescent="0.25">
      <c r="A1186" s="172" t="s">
        <v>3131</v>
      </c>
      <c r="B1186" t="s">
        <v>2545</v>
      </c>
      <c r="C1186" t="s">
        <v>248</v>
      </c>
      <c r="D1186">
        <v>0</v>
      </c>
      <c r="E1186">
        <v>0</v>
      </c>
      <c r="F1186">
        <v>0</v>
      </c>
    </row>
    <row r="1187" spans="1:6" x14ac:dyDescent="0.25">
      <c r="A1187" s="172" t="s">
        <v>3132</v>
      </c>
      <c r="B1187" t="s">
        <v>3133</v>
      </c>
      <c r="C1187" t="s">
        <v>248</v>
      </c>
      <c r="D1187">
        <v>0</v>
      </c>
      <c r="E1187">
        <v>0</v>
      </c>
      <c r="F1187">
        <v>0</v>
      </c>
    </row>
    <row r="1188" spans="1:6" x14ac:dyDescent="0.25">
      <c r="A1188" s="172" t="s">
        <v>3134</v>
      </c>
      <c r="B1188" t="s">
        <v>2548</v>
      </c>
      <c r="C1188" t="s">
        <v>248</v>
      </c>
      <c r="D1188">
        <v>0</v>
      </c>
      <c r="E1188">
        <v>1</v>
      </c>
      <c r="F1188">
        <v>0</v>
      </c>
    </row>
    <row r="1189" spans="1:6" x14ac:dyDescent="0.25">
      <c r="A1189" s="172" t="s">
        <v>3135</v>
      </c>
      <c r="B1189" t="s">
        <v>2550</v>
      </c>
      <c r="C1189" t="s">
        <v>248</v>
      </c>
      <c r="D1189">
        <v>0</v>
      </c>
      <c r="E1189">
        <v>1</v>
      </c>
      <c r="F1189">
        <v>0</v>
      </c>
    </row>
    <row r="1190" spans="1:6" x14ac:dyDescent="0.25">
      <c r="A1190" s="172" t="s">
        <v>3136</v>
      </c>
      <c r="B1190" t="s">
        <v>2552</v>
      </c>
      <c r="C1190" t="s">
        <v>248</v>
      </c>
      <c r="D1190">
        <v>0</v>
      </c>
      <c r="E1190">
        <v>0</v>
      </c>
      <c r="F1190">
        <v>0</v>
      </c>
    </row>
    <row r="1191" spans="1:6" x14ac:dyDescent="0.25">
      <c r="A1191" s="172" t="s">
        <v>3137</v>
      </c>
      <c r="B1191" t="s">
        <v>3138</v>
      </c>
      <c r="C1191" t="s">
        <v>248</v>
      </c>
      <c r="D1191">
        <v>0</v>
      </c>
      <c r="E1191">
        <v>0</v>
      </c>
      <c r="F1191">
        <v>0</v>
      </c>
    </row>
    <row r="1192" spans="1:6" x14ac:dyDescent="0.25">
      <c r="A1192" s="172" t="s">
        <v>3139</v>
      </c>
      <c r="B1192" t="s">
        <v>2556</v>
      </c>
      <c r="C1192" t="s">
        <v>248</v>
      </c>
      <c r="D1192">
        <v>0</v>
      </c>
      <c r="E1192">
        <v>0</v>
      </c>
      <c r="F1192">
        <v>0</v>
      </c>
    </row>
    <row r="1193" spans="1:6" x14ac:dyDescent="0.25">
      <c r="A1193" s="172" t="s">
        <v>3140</v>
      </c>
      <c r="B1193" t="s">
        <v>3141</v>
      </c>
      <c r="C1193" t="s">
        <v>248</v>
      </c>
      <c r="D1193">
        <v>0</v>
      </c>
      <c r="E1193">
        <v>0</v>
      </c>
      <c r="F1193">
        <v>0</v>
      </c>
    </row>
    <row r="1194" spans="1:6" x14ac:dyDescent="0.25">
      <c r="A1194" s="172" t="s">
        <v>3142</v>
      </c>
      <c r="B1194" t="s">
        <v>2566</v>
      </c>
      <c r="C1194" t="s">
        <v>248</v>
      </c>
      <c r="D1194">
        <v>0</v>
      </c>
      <c r="E1194">
        <v>0</v>
      </c>
      <c r="F1194">
        <v>0</v>
      </c>
    </row>
    <row r="1195" spans="1:6" x14ac:dyDescent="0.25">
      <c r="A1195" s="172" t="s">
        <v>3143</v>
      </c>
      <c r="B1195" t="s">
        <v>2568</v>
      </c>
      <c r="C1195" t="s">
        <v>248</v>
      </c>
      <c r="D1195">
        <v>0</v>
      </c>
      <c r="E1195">
        <v>0</v>
      </c>
      <c r="F1195">
        <v>0</v>
      </c>
    </row>
    <row r="1196" spans="1:6" x14ac:dyDescent="0.25">
      <c r="A1196" s="172" t="s">
        <v>3144</v>
      </c>
      <c r="B1196" t="s">
        <v>2570</v>
      </c>
      <c r="C1196" t="s">
        <v>248</v>
      </c>
      <c r="D1196">
        <v>0</v>
      </c>
      <c r="E1196">
        <v>0</v>
      </c>
      <c r="F1196">
        <v>0</v>
      </c>
    </row>
    <row r="1197" spans="1:6" x14ac:dyDescent="0.25">
      <c r="A1197" s="172" t="s">
        <v>3145</v>
      </c>
      <c r="B1197" t="s">
        <v>2572</v>
      </c>
      <c r="C1197" t="s">
        <v>248</v>
      </c>
      <c r="D1197">
        <v>0</v>
      </c>
      <c r="E1197">
        <v>0</v>
      </c>
      <c r="F1197">
        <v>0</v>
      </c>
    </row>
    <row r="1198" spans="1:6" x14ac:dyDescent="0.25">
      <c r="A1198" s="172" t="s">
        <v>3146</v>
      </c>
      <c r="B1198" t="s">
        <v>2574</v>
      </c>
      <c r="C1198" t="s">
        <v>248</v>
      </c>
      <c r="D1198">
        <v>0</v>
      </c>
      <c r="E1198">
        <v>0</v>
      </c>
      <c r="F1198">
        <v>0</v>
      </c>
    </row>
    <row r="1199" spans="1:6" x14ac:dyDescent="0.25">
      <c r="A1199" s="172" t="s">
        <v>3147</v>
      </c>
      <c r="B1199" t="s">
        <v>2576</v>
      </c>
      <c r="C1199" t="s">
        <v>248</v>
      </c>
      <c r="D1199">
        <v>0</v>
      </c>
      <c r="E1199">
        <v>0</v>
      </c>
      <c r="F1199">
        <v>0</v>
      </c>
    </row>
    <row r="1200" spans="1:6" x14ac:dyDescent="0.25">
      <c r="A1200" s="172" t="s">
        <v>3148</v>
      </c>
      <c r="B1200" t="s">
        <v>2578</v>
      </c>
      <c r="C1200" t="s">
        <v>248</v>
      </c>
      <c r="D1200">
        <v>0</v>
      </c>
      <c r="E1200">
        <v>0</v>
      </c>
      <c r="F1200">
        <v>0</v>
      </c>
    </row>
    <row r="1201" spans="1:6" x14ac:dyDescent="0.25">
      <c r="A1201" s="172" t="s">
        <v>3149</v>
      </c>
      <c r="B1201" t="s">
        <v>2580</v>
      </c>
      <c r="C1201" t="s">
        <v>248</v>
      </c>
      <c r="D1201">
        <v>0</v>
      </c>
      <c r="E1201">
        <v>0</v>
      </c>
      <c r="F1201">
        <v>0</v>
      </c>
    </row>
    <row r="1202" spans="1:6" x14ac:dyDescent="0.25">
      <c r="A1202" s="172" t="s">
        <v>3150</v>
      </c>
      <c r="B1202" t="s">
        <v>2582</v>
      </c>
      <c r="C1202" t="s">
        <v>248</v>
      </c>
      <c r="D1202">
        <v>0</v>
      </c>
      <c r="E1202">
        <v>0</v>
      </c>
      <c r="F1202">
        <v>0</v>
      </c>
    </row>
    <row r="1203" spans="1:6" x14ac:dyDescent="0.25">
      <c r="A1203" s="172" t="s">
        <v>3151</v>
      </c>
      <c r="B1203" t="s">
        <v>3152</v>
      </c>
      <c r="C1203" t="s">
        <v>248</v>
      </c>
      <c r="D1203">
        <v>0</v>
      </c>
      <c r="E1203">
        <v>0</v>
      </c>
      <c r="F1203">
        <v>0</v>
      </c>
    </row>
    <row r="1204" spans="1:6" x14ac:dyDescent="0.25">
      <c r="A1204" s="172" t="s">
        <v>3153</v>
      </c>
      <c r="B1204" t="s">
        <v>2586</v>
      </c>
      <c r="C1204" t="s">
        <v>248</v>
      </c>
      <c r="D1204">
        <v>0</v>
      </c>
      <c r="E1204">
        <v>0</v>
      </c>
      <c r="F1204">
        <v>0</v>
      </c>
    </row>
    <row r="1205" spans="1:6" x14ac:dyDescent="0.25">
      <c r="A1205" s="172" t="s">
        <v>3154</v>
      </c>
      <c r="B1205" t="s">
        <v>2588</v>
      </c>
      <c r="C1205" t="s">
        <v>248</v>
      </c>
      <c r="D1205">
        <v>0</v>
      </c>
      <c r="E1205">
        <v>0</v>
      </c>
      <c r="F1205">
        <v>0</v>
      </c>
    </row>
    <row r="1206" spans="1:6" x14ac:dyDescent="0.25">
      <c r="A1206" s="172" t="s">
        <v>3155</v>
      </c>
      <c r="B1206" t="s">
        <v>2590</v>
      </c>
      <c r="C1206" t="s">
        <v>248</v>
      </c>
      <c r="D1206">
        <v>0</v>
      </c>
      <c r="E1206">
        <v>0</v>
      </c>
      <c r="F1206">
        <v>0</v>
      </c>
    </row>
    <row r="1207" spans="1:6" x14ac:dyDescent="0.25">
      <c r="A1207" s="172" t="s">
        <v>3156</v>
      </c>
      <c r="B1207" t="s">
        <v>3157</v>
      </c>
      <c r="C1207" t="s">
        <v>248</v>
      </c>
      <c r="D1207">
        <v>0</v>
      </c>
      <c r="E1207">
        <v>0</v>
      </c>
      <c r="F1207">
        <v>0</v>
      </c>
    </row>
    <row r="1208" spans="1:6" x14ac:dyDescent="0.25">
      <c r="A1208" s="172" t="s">
        <v>3158</v>
      </c>
      <c r="B1208" t="s">
        <v>2592</v>
      </c>
      <c r="C1208" t="s">
        <v>248</v>
      </c>
      <c r="D1208">
        <v>0</v>
      </c>
      <c r="E1208">
        <v>0</v>
      </c>
      <c r="F1208">
        <v>0</v>
      </c>
    </row>
    <row r="1209" spans="1:6" x14ac:dyDescent="0.25">
      <c r="A1209" s="172" t="s">
        <v>3159</v>
      </c>
      <c r="B1209" t="s">
        <v>3160</v>
      </c>
      <c r="C1209" t="s">
        <v>248</v>
      </c>
      <c r="D1209">
        <v>0</v>
      </c>
      <c r="E1209">
        <v>0</v>
      </c>
      <c r="F1209">
        <v>0</v>
      </c>
    </row>
    <row r="1210" spans="1:6" x14ac:dyDescent="0.25">
      <c r="A1210" s="172" t="s">
        <v>3161</v>
      </c>
      <c r="B1210" t="s">
        <v>2596</v>
      </c>
      <c r="C1210" t="s">
        <v>248</v>
      </c>
      <c r="D1210">
        <v>0</v>
      </c>
      <c r="E1210">
        <v>0</v>
      </c>
      <c r="F1210">
        <v>0</v>
      </c>
    </row>
    <row r="1211" spans="1:6" x14ac:dyDescent="0.25">
      <c r="A1211" s="172" t="s">
        <v>3162</v>
      </c>
      <c r="B1211" t="s">
        <v>2598</v>
      </c>
      <c r="C1211" t="s">
        <v>248</v>
      </c>
      <c r="D1211">
        <v>0</v>
      </c>
      <c r="E1211">
        <v>0</v>
      </c>
      <c r="F1211">
        <v>0</v>
      </c>
    </row>
    <row r="1212" spans="1:6" x14ac:dyDescent="0.25">
      <c r="A1212" s="172" t="s">
        <v>3163</v>
      </c>
      <c r="B1212" t="s">
        <v>2600</v>
      </c>
      <c r="C1212" t="s">
        <v>248</v>
      </c>
      <c r="D1212">
        <v>0</v>
      </c>
      <c r="E1212">
        <v>0</v>
      </c>
      <c r="F1212">
        <v>0</v>
      </c>
    </row>
    <row r="1213" spans="1:6" x14ac:dyDescent="0.25">
      <c r="A1213" s="172" t="s">
        <v>3164</v>
      </c>
      <c r="B1213" t="s">
        <v>2602</v>
      </c>
      <c r="C1213" t="s">
        <v>248</v>
      </c>
      <c r="D1213">
        <v>0</v>
      </c>
      <c r="E1213">
        <v>0</v>
      </c>
      <c r="F1213">
        <v>0</v>
      </c>
    </row>
    <row r="1214" spans="1:6" x14ac:dyDescent="0.25">
      <c r="A1214" s="172" t="s">
        <v>3165</v>
      </c>
      <c r="B1214" t="s">
        <v>2606</v>
      </c>
      <c r="C1214" t="s">
        <v>248</v>
      </c>
      <c r="D1214">
        <v>0</v>
      </c>
      <c r="E1214">
        <v>0</v>
      </c>
      <c r="F1214">
        <v>0</v>
      </c>
    </row>
    <row r="1215" spans="1:6" x14ac:dyDescent="0.25">
      <c r="A1215" s="172" t="s">
        <v>3166</v>
      </c>
      <c r="B1215" t="s">
        <v>2608</v>
      </c>
      <c r="C1215" t="s">
        <v>248</v>
      </c>
      <c r="D1215">
        <v>0</v>
      </c>
      <c r="E1215">
        <v>0</v>
      </c>
      <c r="F1215">
        <v>0</v>
      </c>
    </row>
    <row r="1216" spans="1:6" x14ac:dyDescent="0.25">
      <c r="A1216" s="172" t="s">
        <v>3167</v>
      </c>
      <c r="B1216" t="s">
        <v>2610</v>
      </c>
      <c r="C1216" t="s">
        <v>248</v>
      </c>
      <c r="D1216">
        <v>0</v>
      </c>
      <c r="E1216">
        <v>0</v>
      </c>
      <c r="F1216">
        <v>0</v>
      </c>
    </row>
    <row r="1217" spans="1:6" x14ac:dyDescent="0.25">
      <c r="A1217" s="172" t="s">
        <v>3168</v>
      </c>
      <c r="B1217" t="s">
        <v>2612</v>
      </c>
      <c r="C1217" t="s">
        <v>248</v>
      </c>
      <c r="D1217">
        <v>0</v>
      </c>
      <c r="E1217">
        <v>0</v>
      </c>
      <c r="F1217">
        <v>0</v>
      </c>
    </row>
    <row r="1218" spans="1:6" x14ac:dyDescent="0.25">
      <c r="A1218" s="172" t="s">
        <v>3169</v>
      </c>
      <c r="B1218" t="s">
        <v>2614</v>
      </c>
      <c r="C1218" t="s">
        <v>248</v>
      </c>
      <c r="D1218">
        <v>0</v>
      </c>
      <c r="E1218">
        <v>0</v>
      </c>
      <c r="F1218">
        <v>0</v>
      </c>
    </row>
    <row r="1219" spans="1:6" x14ac:dyDescent="0.25">
      <c r="A1219" s="172" t="s">
        <v>3170</v>
      </c>
      <c r="B1219" t="s">
        <v>2616</v>
      </c>
      <c r="C1219" t="s">
        <v>248</v>
      </c>
      <c r="D1219">
        <v>0</v>
      </c>
      <c r="E1219">
        <v>0</v>
      </c>
      <c r="F1219">
        <v>0</v>
      </c>
    </row>
    <row r="1220" spans="1:6" x14ac:dyDescent="0.25">
      <c r="A1220" s="172" t="s">
        <v>3171</v>
      </c>
      <c r="B1220" t="s">
        <v>2618</v>
      </c>
      <c r="C1220" t="s">
        <v>248</v>
      </c>
      <c r="D1220">
        <v>0</v>
      </c>
      <c r="E1220">
        <v>0</v>
      </c>
      <c r="F1220">
        <v>0</v>
      </c>
    </row>
    <row r="1221" spans="1:6" x14ac:dyDescent="0.25">
      <c r="A1221" s="172" t="s">
        <v>3172</v>
      </c>
      <c r="B1221" t="s">
        <v>2620</v>
      </c>
      <c r="C1221" t="s">
        <v>248</v>
      </c>
      <c r="D1221">
        <v>0</v>
      </c>
      <c r="E1221">
        <v>0</v>
      </c>
      <c r="F1221">
        <v>0</v>
      </c>
    </row>
    <row r="1222" spans="1:6" x14ac:dyDescent="0.25">
      <c r="A1222" s="172" t="s">
        <v>3173</v>
      </c>
      <c r="B1222" t="s">
        <v>2622</v>
      </c>
      <c r="C1222" t="s">
        <v>248</v>
      </c>
      <c r="D1222">
        <v>0</v>
      </c>
      <c r="E1222">
        <v>0</v>
      </c>
      <c r="F1222">
        <v>0</v>
      </c>
    </row>
    <row r="1223" spans="1:6" x14ac:dyDescent="0.25">
      <c r="A1223" s="172" t="s">
        <v>3174</v>
      </c>
      <c r="B1223" t="s">
        <v>2624</v>
      </c>
      <c r="C1223" t="s">
        <v>248</v>
      </c>
      <c r="D1223">
        <v>0</v>
      </c>
      <c r="E1223">
        <v>0</v>
      </c>
      <c r="F1223">
        <v>0</v>
      </c>
    </row>
    <row r="1224" spans="1:6" x14ac:dyDescent="0.25">
      <c r="A1224" s="172" t="s">
        <v>3175</v>
      </c>
      <c r="B1224" t="s">
        <v>3176</v>
      </c>
      <c r="C1224" t="s">
        <v>248</v>
      </c>
      <c r="D1224">
        <v>0</v>
      </c>
      <c r="E1224">
        <v>0</v>
      </c>
      <c r="F1224">
        <v>0</v>
      </c>
    </row>
    <row r="1225" spans="1:6" x14ac:dyDescent="0.25">
      <c r="A1225" s="172" t="s">
        <v>3177</v>
      </c>
      <c r="B1225" t="s">
        <v>2628</v>
      </c>
      <c r="C1225" t="s">
        <v>248</v>
      </c>
      <c r="D1225">
        <v>0</v>
      </c>
      <c r="E1225">
        <v>0</v>
      </c>
      <c r="F1225">
        <v>0</v>
      </c>
    </row>
    <row r="1226" spans="1:6" x14ac:dyDescent="0.25">
      <c r="A1226" s="172" t="s">
        <v>3178</v>
      </c>
      <c r="B1226" t="s">
        <v>2630</v>
      </c>
      <c r="C1226" t="s">
        <v>248</v>
      </c>
      <c r="D1226">
        <v>0</v>
      </c>
      <c r="E1226">
        <v>0</v>
      </c>
      <c r="F1226">
        <v>0</v>
      </c>
    </row>
    <row r="1227" spans="1:6" x14ac:dyDescent="0.25">
      <c r="A1227" s="172" t="s">
        <v>3179</v>
      </c>
      <c r="B1227" t="s">
        <v>2632</v>
      </c>
      <c r="C1227" t="s">
        <v>248</v>
      </c>
      <c r="D1227">
        <v>0</v>
      </c>
      <c r="E1227">
        <v>0</v>
      </c>
      <c r="F1227">
        <v>0</v>
      </c>
    </row>
    <row r="1228" spans="1:6" x14ac:dyDescent="0.25">
      <c r="A1228" s="172" t="s">
        <v>3180</v>
      </c>
      <c r="B1228" t="s">
        <v>2634</v>
      </c>
      <c r="C1228" t="s">
        <v>248</v>
      </c>
      <c r="D1228">
        <v>0</v>
      </c>
      <c r="E1228">
        <v>0</v>
      </c>
      <c r="F1228">
        <v>0</v>
      </c>
    </row>
    <row r="1229" spans="1:6" x14ac:dyDescent="0.25">
      <c r="A1229" s="172" t="s">
        <v>3181</v>
      </c>
      <c r="B1229" t="s">
        <v>2636</v>
      </c>
      <c r="C1229" t="s">
        <v>248</v>
      </c>
      <c r="D1229">
        <v>0</v>
      </c>
      <c r="E1229">
        <v>0</v>
      </c>
      <c r="F1229">
        <v>0</v>
      </c>
    </row>
    <row r="1230" spans="1:6" x14ac:dyDescent="0.25">
      <c r="A1230" s="172" t="s">
        <v>3182</v>
      </c>
      <c r="B1230" t="s">
        <v>2638</v>
      </c>
      <c r="C1230" t="s">
        <v>248</v>
      </c>
      <c r="D1230">
        <v>0</v>
      </c>
      <c r="E1230">
        <v>0</v>
      </c>
      <c r="F1230">
        <v>0</v>
      </c>
    </row>
    <row r="1231" spans="1:6" x14ac:dyDescent="0.25">
      <c r="A1231" s="172" t="s">
        <v>3183</v>
      </c>
      <c r="B1231" t="s">
        <v>2640</v>
      </c>
      <c r="C1231" t="s">
        <v>248</v>
      </c>
      <c r="D1231">
        <v>0</v>
      </c>
      <c r="E1231">
        <v>0</v>
      </c>
      <c r="F1231">
        <v>0</v>
      </c>
    </row>
    <row r="1232" spans="1:6" x14ac:dyDescent="0.25">
      <c r="A1232" s="172" t="s">
        <v>3184</v>
      </c>
      <c r="B1232" t="s">
        <v>2642</v>
      </c>
      <c r="C1232" t="s">
        <v>248</v>
      </c>
      <c r="D1232">
        <v>0</v>
      </c>
      <c r="E1232">
        <v>0</v>
      </c>
      <c r="F1232">
        <v>0</v>
      </c>
    </row>
    <row r="1233" spans="1:6" x14ac:dyDescent="0.25">
      <c r="A1233" s="172" t="s">
        <v>3185</v>
      </c>
      <c r="B1233" t="s">
        <v>2644</v>
      </c>
      <c r="C1233" t="s">
        <v>248</v>
      </c>
      <c r="D1233">
        <v>0</v>
      </c>
      <c r="E1233">
        <v>0</v>
      </c>
      <c r="F1233">
        <v>0</v>
      </c>
    </row>
    <row r="1234" spans="1:6" x14ac:dyDescent="0.25">
      <c r="A1234" s="172" t="s">
        <v>3186</v>
      </c>
      <c r="B1234" t="s">
        <v>2646</v>
      </c>
      <c r="C1234" t="s">
        <v>248</v>
      </c>
      <c r="D1234">
        <v>0</v>
      </c>
      <c r="E1234">
        <v>0</v>
      </c>
      <c r="F1234">
        <v>0</v>
      </c>
    </row>
    <row r="1235" spans="1:6" x14ac:dyDescent="0.25">
      <c r="A1235" s="172" t="s">
        <v>3187</v>
      </c>
      <c r="B1235" t="s">
        <v>2648</v>
      </c>
      <c r="C1235" t="s">
        <v>248</v>
      </c>
      <c r="D1235">
        <v>0</v>
      </c>
      <c r="E1235">
        <v>0</v>
      </c>
      <c r="F1235">
        <v>0</v>
      </c>
    </row>
    <row r="1236" spans="1:6" x14ac:dyDescent="0.25">
      <c r="A1236" s="172" t="s">
        <v>3188</v>
      </c>
      <c r="B1236" t="s">
        <v>2650</v>
      </c>
      <c r="C1236" t="s">
        <v>248</v>
      </c>
      <c r="D1236">
        <v>0</v>
      </c>
      <c r="E1236">
        <v>0</v>
      </c>
      <c r="F1236">
        <v>0</v>
      </c>
    </row>
    <row r="1237" spans="1:6" x14ac:dyDescent="0.25">
      <c r="A1237" s="172" t="s">
        <v>3189</v>
      </c>
      <c r="B1237" t="s">
        <v>2652</v>
      </c>
      <c r="C1237" t="s">
        <v>248</v>
      </c>
      <c r="D1237">
        <v>0</v>
      </c>
      <c r="E1237">
        <v>0</v>
      </c>
      <c r="F1237">
        <v>0</v>
      </c>
    </row>
    <row r="1238" spans="1:6" x14ac:dyDescent="0.25">
      <c r="A1238" s="172" t="s">
        <v>3190</v>
      </c>
      <c r="B1238" t="s">
        <v>3191</v>
      </c>
      <c r="C1238" t="s">
        <v>248</v>
      </c>
      <c r="D1238">
        <v>0</v>
      </c>
      <c r="E1238">
        <v>0</v>
      </c>
      <c r="F1238">
        <v>0</v>
      </c>
    </row>
    <row r="1239" spans="1:6" x14ac:dyDescent="0.25">
      <c r="A1239" s="172" t="s">
        <v>3192</v>
      </c>
      <c r="B1239" t="s">
        <v>3062</v>
      </c>
      <c r="C1239" t="s">
        <v>248</v>
      </c>
      <c r="D1239">
        <v>0</v>
      </c>
      <c r="E1239">
        <v>0</v>
      </c>
      <c r="F1239">
        <v>0</v>
      </c>
    </row>
    <row r="1240" spans="1:6" x14ac:dyDescent="0.25">
      <c r="A1240" s="172" t="s">
        <v>3193</v>
      </c>
      <c r="B1240" t="s">
        <v>3194</v>
      </c>
      <c r="C1240" t="s">
        <v>248</v>
      </c>
      <c r="D1240">
        <v>0</v>
      </c>
      <c r="E1240">
        <v>0</v>
      </c>
      <c r="F1240">
        <v>0</v>
      </c>
    </row>
    <row r="1241" spans="1:6" x14ac:dyDescent="0.25">
      <c r="A1241" s="172" t="s">
        <v>3195</v>
      </c>
      <c r="B1241" t="s">
        <v>3196</v>
      </c>
      <c r="C1241" t="s">
        <v>248</v>
      </c>
      <c r="D1241">
        <v>0</v>
      </c>
      <c r="E1241">
        <v>0</v>
      </c>
      <c r="F1241">
        <v>0</v>
      </c>
    </row>
    <row r="1242" spans="1:6" x14ac:dyDescent="0.25">
      <c r="A1242" s="172" t="s">
        <v>3197</v>
      </c>
      <c r="B1242" t="s">
        <v>3191</v>
      </c>
      <c r="C1242" t="s">
        <v>248</v>
      </c>
      <c r="D1242">
        <v>0</v>
      </c>
      <c r="E1242">
        <v>0</v>
      </c>
      <c r="F1242">
        <v>0</v>
      </c>
    </row>
    <row r="1243" spans="1:6" x14ac:dyDescent="0.25">
      <c r="A1243" s="172" t="s">
        <v>3198</v>
      </c>
      <c r="B1243" t="s">
        <v>2376</v>
      </c>
      <c r="C1243" t="s">
        <v>248</v>
      </c>
      <c r="D1243">
        <v>0</v>
      </c>
      <c r="E1243">
        <v>0</v>
      </c>
      <c r="F1243">
        <v>0</v>
      </c>
    </row>
    <row r="1244" spans="1:6" x14ac:dyDescent="0.25">
      <c r="A1244" s="172" t="s">
        <v>3199</v>
      </c>
      <c r="B1244" t="s">
        <v>2666</v>
      </c>
      <c r="C1244" t="s">
        <v>248</v>
      </c>
      <c r="D1244">
        <v>0</v>
      </c>
      <c r="E1244">
        <v>0</v>
      </c>
      <c r="F1244">
        <v>0</v>
      </c>
    </row>
    <row r="1245" spans="1:6" x14ac:dyDescent="0.25">
      <c r="A1245" s="172" t="s">
        <v>3200</v>
      </c>
      <c r="B1245" t="s">
        <v>2668</v>
      </c>
      <c r="C1245" t="s">
        <v>248</v>
      </c>
      <c r="D1245">
        <v>0</v>
      </c>
      <c r="E1245">
        <v>0</v>
      </c>
      <c r="F1245">
        <v>0</v>
      </c>
    </row>
    <row r="1246" spans="1:6" x14ac:dyDescent="0.25">
      <c r="A1246" s="172" t="s">
        <v>3201</v>
      </c>
      <c r="B1246" t="s">
        <v>2670</v>
      </c>
      <c r="C1246" t="s">
        <v>248</v>
      </c>
      <c r="D1246">
        <v>0</v>
      </c>
      <c r="E1246">
        <v>0</v>
      </c>
      <c r="F1246">
        <v>0</v>
      </c>
    </row>
    <row r="1247" spans="1:6" x14ac:dyDescent="0.25">
      <c r="A1247" s="172" t="s">
        <v>3202</v>
      </c>
      <c r="B1247" t="s">
        <v>2672</v>
      </c>
      <c r="C1247" t="s">
        <v>248</v>
      </c>
      <c r="D1247">
        <v>0</v>
      </c>
      <c r="E1247">
        <v>0</v>
      </c>
      <c r="F1247">
        <v>0</v>
      </c>
    </row>
    <row r="1248" spans="1:6" x14ac:dyDescent="0.25">
      <c r="A1248" s="172" t="s">
        <v>3203</v>
      </c>
      <c r="B1248" t="s">
        <v>2674</v>
      </c>
      <c r="C1248" t="s">
        <v>248</v>
      </c>
      <c r="D1248">
        <v>0</v>
      </c>
      <c r="E1248">
        <v>0</v>
      </c>
      <c r="F1248">
        <v>0</v>
      </c>
    </row>
    <row r="1249" spans="1:6" x14ac:dyDescent="0.25">
      <c r="A1249" s="172" t="s">
        <v>3204</v>
      </c>
      <c r="B1249" t="s">
        <v>2676</v>
      </c>
      <c r="C1249" t="s">
        <v>248</v>
      </c>
      <c r="D1249">
        <v>0</v>
      </c>
      <c r="E1249">
        <v>0</v>
      </c>
      <c r="F1249">
        <v>0</v>
      </c>
    </row>
    <row r="1250" spans="1:6" x14ac:dyDescent="0.25">
      <c r="A1250" s="172" t="s">
        <v>3205</v>
      </c>
      <c r="B1250" t="s">
        <v>2678</v>
      </c>
      <c r="C1250" t="s">
        <v>248</v>
      </c>
      <c r="D1250">
        <v>0</v>
      </c>
      <c r="E1250">
        <v>0</v>
      </c>
      <c r="F1250">
        <v>0</v>
      </c>
    </row>
    <row r="1251" spans="1:6" x14ac:dyDescent="0.25">
      <c r="A1251" s="172" t="s">
        <v>3206</v>
      </c>
      <c r="B1251" t="s">
        <v>2680</v>
      </c>
      <c r="C1251" t="s">
        <v>248</v>
      </c>
      <c r="D1251">
        <v>0</v>
      </c>
      <c r="E1251">
        <v>0</v>
      </c>
      <c r="F1251">
        <v>0</v>
      </c>
    </row>
    <row r="1252" spans="1:6" x14ac:dyDescent="0.25">
      <c r="A1252" s="172" t="s">
        <v>3207</v>
      </c>
      <c r="B1252" t="s">
        <v>2682</v>
      </c>
      <c r="C1252" t="s">
        <v>248</v>
      </c>
      <c r="D1252">
        <v>0</v>
      </c>
      <c r="E1252">
        <v>0</v>
      </c>
      <c r="F1252">
        <v>0</v>
      </c>
    </row>
    <row r="1253" spans="1:6" x14ac:dyDescent="0.25">
      <c r="A1253" s="172" t="s">
        <v>3208</v>
      </c>
      <c r="B1253" t="s">
        <v>2684</v>
      </c>
      <c r="C1253" t="s">
        <v>248</v>
      </c>
      <c r="D1253">
        <v>0</v>
      </c>
      <c r="E1253">
        <v>0</v>
      </c>
      <c r="F1253">
        <v>0</v>
      </c>
    </row>
    <row r="1254" spans="1:6" x14ac:dyDescent="0.25">
      <c r="A1254" s="172" t="s">
        <v>3209</v>
      </c>
      <c r="B1254" t="s">
        <v>2686</v>
      </c>
      <c r="C1254" t="s">
        <v>248</v>
      </c>
      <c r="D1254">
        <v>0</v>
      </c>
      <c r="E1254">
        <v>0</v>
      </c>
      <c r="F1254">
        <v>0</v>
      </c>
    </row>
    <row r="1255" spans="1:6" x14ac:dyDescent="0.25">
      <c r="A1255" s="172" t="s">
        <v>3210</v>
      </c>
      <c r="B1255" t="s">
        <v>3211</v>
      </c>
      <c r="C1255" t="s">
        <v>248</v>
      </c>
      <c r="D1255">
        <v>0</v>
      </c>
      <c r="E1255">
        <v>0</v>
      </c>
      <c r="F1255">
        <v>0</v>
      </c>
    </row>
    <row r="1256" spans="1:6" x14ac:dyDescent="0.25">
      <c r="A1256" s="172" t="s">
        <v>3212</v>
      </c>
      <c r="B1256" t="s">
        <v>2690</v>
      </c>
      <c r="C1256" t="s">
        <v>248</v>
      </c>
      <c r="D1256">
        <v>0</v>
      </c>
      <c r="E1256">
        <v>0</v>
      </c>
      <c r="F1256">
        <v>0</v>
      </c>
    </row>
    <row r="1257" spans="1:6" x14ac:dyDescent="0.25">
      <c r="A1257" s="172" t="s">
        <v>3213</v>
      </c>
      <c r="B1257" t="s">
        <v>2692</v>
      </c>
      <c r="C1257" t="s">
        <v>248</v>
      </c>
      <c r="D1257">
        <v>0</v>
      </c>
      <c r="E1257">
        <v>0</v>
      </c>
      <c r="F1257">
        <v>0</v>
      </c>
    </row>
    <row r="1258" spans="1:6" x14ac:dyDescent="0.25">
      <c r="A1258" s="172" t="s">
        <v>3214</v>
      </c>
      <c r="B1258" t="s">
        <v>2694</v>
      </c>
      <c r="C1258" t="s">
        <v>248</v>
      </c>
      <c r="D1258">
        <v>0</v>
      </c>
      <c r="E1258">
        <v>0</v>
      </c>
      <c r="F1258">
        <v>0</v>
      </c>
    </row>
    <row r="1259" spans="1:6" x14ac:dyDescent="0.25">
      <c r="A1259" s="172" t="s">
        <v>3215</v>
      </c>
      <c r="B1259" t="s">
        <v>3216</v>
      </c>
      <c r="C1259" t="s">
        <v>248</v>
      </c>
      <c r="D1259">
        <v>0</v>
      </c>
      <c r="E1259">
        <v>0</v>
      </c>
      <c r="F1259">
        <v>0</v>
      </c>
    </row>
    <row r="1260" spans="1:6" x14ac:dyDescent="0.25">
      <c r="A1260" s="172" t="s">
        <v>3217</v>
      </c>
      <c r="B1260" t="s">
        <v>3218</v>
      </c>
      <c r="C1260" t="s">
        <v>248</v>
      </c>
      <c r="D1260">
        <v>0</v>
      </c>
      <c r="E1260">
        <v>0</v>
      </c>
      <c r="F1260">
        <v>0</v>
      </c>
    </row>
    <row r="1261" spans="1:6" x14ac:dyDescent="0.25">
      <c r="A1261" s="172" t="s">
        <v>3219</v>
      </c>
      <c r="B1261" t="s">
        <v>3220</v>
      </c>
      <c r="C1261" t="s">
        <v>3221</v>
      </c>
      <c r="D1261">
        <v>11.86</v>
      </c>
      <c r="E1261">
        <v>19.81</v>
      </c>
      <c r="F1261">
        <v>51.5</v>
      </c>
    </row>
    <row r="1262" spans="1:6" x14ac:dyDescent="0.25">
      <c r="A1262" s="172" t="s">
        <v>3222</v>
      </c>
      <c r="B1262" t="s">
        <v>3223</v>
      </c>
      <c r="C1262" t="s">
        <v>248</v>
      </c>
      <c r="D1262">
        <v>0</v>
      </c>
      <c r="E1262">
        <v>0</v>
      </c>
      <c r="F1262">
        <v>0</v>
      </c>
    </row>
    <row r="1263" spans="1:6" x14ac:dyDescent="0.25">
      <c r="A1263" s="172" t="s">
        <v>3224</v>
      </c>
      <c r="B1263" t="s">
        <v>3225</v>
      </c>
      <c r="C1263" t="s">
        <v>3226</v>
      </c>
      <c r="D1263">
        <v>0.1</v>
      </c>
      <c r="E1263">
        <v>0</v>
      </c>
      <c r="F1263">
        <v>0</v>
      </c>
    </row>
    <row r="1264" spans="1:6" x14ac:dyDescent="0.25">
      <c r="A1264" s="172" t="s">
        <v>3227</v>
      </c>
      <c r="B1264" t="s">
        <v>3228</v>
      </c>
      <c r="C1264" t="s">
        <v>3229</v>
      </c>
      <c r="D1264">
        <v>0</v>
      </c>
      <c r="E1264">
        <v>0</v>
      </c>
      <c r="F1264">
        <v>0</v>
      </c>
    </row>
    <row r="1265" spans="1:6" x14ac:dyDescent="0.25">
      <c r="A1265" s="172" t="s">
        <v>3230</v>
      </c>
      <c r="B1265" t="s">
        <v>3231</v>
      </c>
      <c r="C1265" t="s">
        <v>248</v>
      </c>
      <c r="D1265">
        <v>0</v>
      </c>
      <c r="E1265">
        <v>0</v>
      </c>
      <c r="F1265">
        <v>0</v>
      </c>
    </row>
    <row r="1266" spans="1:6" x14ac:dyDescent="0.25">
      <c r="A1266" s="172" t="s">
        <v>3232</v>
      </c>
      <c r="B1266" t="s">
        <v>3233</v>
      </c>
      <c r="C1266" t="s">
        <v>248</v>
      </c>
      <c r="D1266">
        <v>0</v>
      </c>
      <c r="E1266">
        <v>0</v>
      </c>
      <c r="F1266">
        <v>0</v>
      </c>
    </row>
    <row r="1267" spans="1:6" x14ac:dyDescent="0.25">
      <c r="A1267" s="172" t="s">
        <v>3234</v>
      </c>
      <c r="B1267" t="s">
        <v>3235</v>
      </c>
      <c r="C1267" t="s">
        <v>3236</v>
      </c>
      <c r="D1267">
        <v>9</v>
      </c>
      <c r="E1267">
        <v>0</v>
      </c>
      <c r="F1267">
        <v>0</v>
      </c>
    </row>
    <row r="1268" spans="1:6" x14ac:dyDescent="0.25">
      <c r="A1268" s="172" t="s">
        <v>3237</v>
      </c>
      <c r="B1268" t="s">
        <v>3238</v>
      </c>
      <c r="C1268" t="s">
        <v>3239</v>
      </c>
      <c r="D1268">
        <v>0</v>
      </c>
      <c r="E1268">
        <v>0</v>
      </c>
      <c r="F1268">
        <v>0</v>
      </c>
    </row>
    <row r="1269" spans="1:6" x14ac:dyDescent="0.25">
      <c r="A1269" s="172" t="s">
        <v>3240</v>
      </c>
      <c r="B1269" t="s">
        <v>3241</v>
      </c>
      <c r="C1269" t="s">
        <v>3242</v>
      </c>
      <c r="D1269">
        <v>0</v>
      </c>
      <c r="E1269">
        <v>0</v>
      </c>
      <c r="F1269">
        <v>0</v>
      </c>
    </row>
    <row r="1270" spans="1:6" x14ac:dyDescent="0.25">
      <c r="A1270" s="172" t="s">
        <v>3243</v>
      </c>
      <c r="B1270" t="s">
        <v>15</v>
      </c>
      <c r="C1270" t="s">
        <v>248</v>
      </c>
      <c r="D1270">
        <v>0</v>
      </c>
      <c r="E1270">
        <v>0</v>
      </c>
      <c r="F1270">
        <v>0</v>
      </c>
    </row>
    <row r="1271" spans="1:6" x14ac:dyDescent="0.25">
      <c r="A1271" s="172" t="s">
        <v>3244</v>
      </c>
      <c r="B1271" t="s">
        <v>3245</v>
      </c>
      <c r="C1271" t="s">
        <v>3246</v>
      </c>
      <c r="D1271">
        <v>0</v>
      </c>
      <c r="E1271">
        <v>0</v>
      </c>
      <c r="F1271">
        <v>0</v>
      </c>
    </row>
    <row r="1272" spans="1:6" x14ac:dyDescent="0.25">
      <c r="A1272" s="172" t="s">
        <v>3247</v>
      </c>
      <c r="B1272" t="s">
        <v>3248</v>
      </c>
      <c r="C1272" t="s">
        <v>248</v>
      </c>
      <c r="D1272">
        <v>0.39</v>
      </c>
      <c r="E1272">
        <v>0</v>
      </c>
      <c r="F1272">
        <v>0</v>
      </c>
    </row>
    <row r="1273" spans="1:6" x14ac:dyDescent="0.25">
      <c r="A1273" s="172" t="s">
        <v>3249</v>
      </c>
      <c r="B1273" t="s">
        <v>3250</v>
      </c>
      <c r="C1273" t="s">
        <v>248</v>
      </c>
      <c r="D1273">
        <v>0</v>
      </c>
      <c r="E1273">
        <v>10</v>
      </c>
      <c r="F1273">
        <v>0</v>
      </c>
    </row>
    <row r="1274" spans="1:6" x14ac:dyDescent="0.25">
      <c r="A1274" s="172" t="s">
        <v>3251</v>
      </c>
      <c r="B1274" t="s">
        <v>3252</v>
      </c>
      <c r="C1274" t="s">
        <v>248</v>
      </c>
      <c r="D1274">
        <v>0</v>
      </c>
      <c r="E1274">
        <v>1</v>
      </c>
      <c r="F1274">
        <v>0</v>
      </c>
    </row>
    <row r="1275" spans="1:6" x14ac:dyDescent="0.25">
      <c r="A1275" s="172" t="s">
        <v>3253</v>
      </c>
      <c r="B1275" t="s">
        <v>3254</v>
      </c>
      <c r="C1275" t="s">
        <v>248</v>
      </c>
      <c r="D1275">
        <v>0</v>
      </c>
      <c r="E1275">
        <v>0</v>
      </c>
      <c r="F1275">
        <v>0</v>
      </c>
    </row>
    <row r="1276" spans="1:6" x14ac:dyDescent="0.25">
      <c r="A1276" s="172" t="s">
        <v>3255</v>
      </c>
      <c r="B1276" t="s">
        <v>3254</v>
      </c>
      <c r="C1276" t="s">
        <v>248</v>
      </c>
      <c r="D1276">
        <v>0</v>
      </c>
      <c r="E1276">
        <v>0</v>
      </c>
      <c r="F1276">
        <v>0</v>
      </c>
    </row>
    <row r="1277" spans="1:6" x14ac:dyDescent="0.25">
      <c r="A1277" s="172" t="s">
        <v>3256</v>
      </c>
      <c r="B1277" t="s">
        <v>3257</v>
      </c>
      <c r="C1277" t="s">
        <v>248</v>
      </c>
      <c r="D1277">
        <v>0</v>
      </c>
      <c r="E1277">
        <v>0</v>
      </c>
      <c r="F1277">
        <v>0</v>
      </c>
    </row>
    <row r="1278" spans="1:6" x14ac:dyDescent="0.25">
      <c r="A1278" s="172" t="s">
        <v>3258</v>
      </c>
      <c r="B1278" t="s">
        <v>3259</v>
      </c>
      <c r="C1278" t="s">
        <v>248</v>
      </c>
      <c r="D1278">
        <v>0</v>
      </c>
      <c r="E1278">
        <v>0</v>
      </c>
      <c r="F1278">
        <v>0</v>
      </c>
    </row>
    <row r="1279" spans="1:6" x14ac:dyDescent="0.25">
      <c r="A1279" s="172" t="s">
        <v>3260</v>
      </c>
      <c r="B1279" t="s">
        <v>3261</v>
      </c>
      <c r="C1279" t="s">
        <v>3262</v>
      </c>
      <c r="D1279">
        <v>0</v>
      </c>
      <c r="E1279">
        <v>0</v>
      </c>
      <c r="F1279">
        <v>0</v>
      </c>
    </row>
    <row r="1280" spans="1:6" x14ac:dyDescent="0.25">
      <c r="A1280" s="172" t="s">
        <v>3263</v>
      </c>
      <c r="B1280" t="s">
        <v>3264</v>
      </c>
      <c r="C1280" t="s">
        <v>3265</v>
      </c>
      <c r="D1280">
        <v>0</v>
      </c>
      <c r="E1280">
        <v>0</v>
      </c>
      <c r="F1280">
        <v>0</v>
      </c>
    </row>
    <row r="1281" spans="1:6" x14ac:dyDescent="0.25">
      <c r="A1281" s="172" t="s">
        <v>3266</v>
      </c>
      <c r="B1281" t="s">
        <v>3267</v>
      </c>
      <c r="C1281" t="s">
        <v>248</v>
      </c>
      <c r="D1281">
        <v>6.5</v>
      </c>
      <c r="E1281">
        <v>30</v>
      </c>
      <c r="F1281">
        <v>30</v>
      </c>
    </row>
    <row r="1282" spans="1:6" x14ac:dyDescent="0.25">
      <c r="A1282" s="172" t="s">
        <v>3268</v>
      </c>
      <c r="B1282" t="s">
        <v>3269</v>
      </c>
      <c r="C1282" t="s">
        <v>3270</v>
      </c>
      <c r="D1282">
        <v>0</v>
      </c>
      <c r="E1282">
        <v>0</v>
      </c>
      <c r="F1282">
        <v>0</v>
      </c>
    </row>
    <row r="1283" spans="1:6" x14ac:dyDescent="0.25">
      <c r="A1283" s="172" t="s">
        <v>3271</v>
      </c>
      <c r="B1283" t="s">
        <v>3272</v>
      </c>
      <c r="C1283" t="s">
        <v>248</v>
      </c>
      <c r="D1283">
        <v>1.8</v>
      </c>
      <c r="E1283">
        <v>0</v>
      </c>
      <c r="F1283">
        <v>0</v>
      </c>
    </row>
    <row r="1284" spans="1:6" x14ac:dyDescent="0.25">
      <c r="A1284" s="172" t="s">
        <v>3273</v>
      </c>
      <c r="B1284" t="s">
        <v>3274</v>
      </c>
      <c r="C1284" t="s">
        <v>3275</v>
      </c>
      <c r="D1284">
        <v>12.37</v>
      </c>
      <c r="E1284">
        <v>0</v>
      </c>
      <c r="F1284">
        <v>0</v>
      </c>
    </row>
    <row r="1285" spans="1:6" x14ac:dyDescent="0.25">
      <c r="A1285" s="172" t="s">
        <v>3276</v>
      </c>
      <c r="B1285" t="s">
        <v>3277</v>
      </c>
      <c r="C1285" t="s">
        <v>3278</v>
      </c>
      <c r="D1285">
        <v>0</v>
      </c>
      <c r="E1285">
        <v>0</v>
      </c>
      <c r="F1285">
        <v>0</v>
      </c>
    </row>
    <row r="1286" spans="1:6" x14ac:dyDescent="0.25">
      <c r="A1286" s="172" t="s">
        <v>3279</v>
      </c>
      <c r="B1286" t="s">
        <v>3280</v>
      </c>
      <c r="C1286" t="s">
        <v>3281</v>
      </c>
      <c r="D1286">
        <v>0</v>
      </c>
      <c r="E1286">
        <v>0</v>
      </c>
      <c r="F1286">
        <v>0</v>
      </c>
    </row>
    <row r="1287" spans="1:6" x14ac:dyDescent="0.25">
      <c r="A1287" s="172" t="s">
        <v>3282</v>
      </c>
      <c r="B1287" t="s">
        <v>3283</v>
      </c>
      <c r="C1287" t="s">
        <v>3284</v>
      </c>
      <c r="D1287">
        <v>0</v>
      </c>
      <c r="E1287">
        <v>0</v>
      </c>
      <c r="F1287">
        <v>0</v>
      </c>
    </row>
    <row r="1288" spans="1:6" x14ac:dyDescent="0.25">
      <c r="A1288" s="172" t="s">
        <v>3285</v>
      </c>
      <c r="B1288" t="s">
        <v>3286</v>
      </c>
      <c r="C1288" t="s">
        <v>3287</v>
      </c>
      <c r="D1288">
        <v>0</v>
      </c>
      <c r="E1288">
        <v>0</v>
      </c>
      <c r="F1288">
        <v>0</v>
      </c>
    </row>
    <row r="1289" spans="1:6" x14ac:dyDescent="0.25">
      <c r="A1289" s="172" t="s">
        <v>3288</v>
      </c>
      <c r="B1289" t="s">
        <v>3289</v>
      </c>
      <c r="C1289" t="s">
        <v>3290</v>
      </c>
      <c r="D1289">
        <v>0</v>
      </c>
      <c r="E1289">
        <v>0</v>
      </c>
      <c r="F1289">
        <v>0</v>
      </c>
    </row>
    <row r="1290" spans="1:6" x14ac:dyDescent="0.25">
      <c r="A1290" s="172" t="s">
        <v>3291</v>
      </c>
      <c r="B1290" t="s">
        <v>3292</v>
      </c>
      <c r="C1290" t="s">
        <v>3293</v>
      </c>
      <c r="D1290">
        <v>0</v>
      </c>
      <c r="E1290">
        <v>0</v>
      </c>
      <c r="F1290">
        <v>0</v>
      </c>
    </row>
    <row r="1291" spans="1:6" x14ac:dyDescent="0.25">
      <c r="A1291" s="172" t="s">
        <v>3294</v>
      </c>
      <c r="B1291" t="s">
        <v>3295</v>
      </c>
      <c r="C1291" t="s">
        <v>3296</v>
      </c>
      <c r="D1291">
        <v>0</v>
      </c>
      <c r="E1291">
        <v>0</v>
      </c>
      <c r="F1291">
        <v>0</v>
      </c>
    </row>
    <row r="1292" spans="1:6" x14ac:dyDescent="0.25">
      <c r="A1292" s="172" t="s">
        <v>3297</v>
      </c>
      <c r="B1292" t="s">
        <v>3298</v>
      </c>
      <c r="C1292" t="s">
        <v>248</v>
      </c>
      <c r="D1292">
        <v>0</v>
      </c>
      <c r="E1292">
        <v>0</v>
      </c>
      <c r="F1292">
        <v>0</v>
      </c>
    </row>
    <row r="1293" spans="1:6" x14ac:dyDescent="0.25">
      <c r="A1293" s="172" t="s">
        <v>3299</v>
      </c>
      <c r="B1293" t="s">
        <v>3300</v>
      </c>
      <c r="C1293" t="s">
        <v>248</v>
      </c>
      <c r="D1293">
        <v>0</v>
      </c>
      <c r="E1293">
        <v>0</v>
      </c>
      <c r="F1293">
        <v>0</v>
      </c>
    </row>
    <row r="1294" spans="1:6" x14ac:dyDescent="0.25">
      <c r="A1294" s="172" t="s">
        <v>3301</v>
      </c>
      <c r="B1294" t="s">
        <v>3302</v>
      </c>
      <c r="C1294" t="s">
        <v>248</v>
      </c>
      <c r="D1294">
        <v>0</v>
      </c>
      <c r="E1294">
        <v>0</v>
      </c>
      <c r="F1294">
        <v>0</v>
      </c>
    </row>
    <row r="1295" spans="1:6" x14ac:dyDescent="0.25">
      <c r="A1295" s="172" t="s">
        <v>3303</v>
      </c>
      <c r="B1295" t="s">
        <v>3304</v>
      </c>
      <c r="C1295" t="s">
        <v>3305</v>
      </c>
      <c r="D1295">
        <v>0</v>
      </c>
      <c r="E1295">
        <v>0</v>
      </c>
      <c r="F1295">
        <v>0</v>
      </c>
    </row>
    <row r="1296" spans="1:6" x14ac:dyDescent="0.25">
      <c r="A1296" s="172" t="s">
        <v>3306</v>
      </c>
      <c r="B1296" t="s">
        <v>3307</v>
      </c>
      <c r="C1296" t="s">
        <v>248</v>
      </c>
      <c r="D1296">
        <v>0</v>
      </c>
      <c r="E1296">
        <v>0</v>
      </c>
      <c r="F1296">
        <v>0</v>
      </c>
    </row>
    <row r="1297" spans="1:6" x14ac:dyDescent="0.25">
      <c r="A1297" s="172" t="s">
        <v>3308</v>
      </c>
      <c r="B1297" t="s">
        <v>2983</v>
      </c>
      <c r="C1297" t="s">
        <v>248</v>
      </c>
      <c r="D1297">
        <v>0</v>
      </c>
      <c r="E1297">
        <v>0</v>
      </c>
      <c r="F1297">
        <v>0</v>
      </c>
    </row>
    <row r="1298" spans="1:6" x14ac:dyDescent="0.25">
      <c r="A1298" s="172" t="s">
        <v>3309</v>
      </c>
      <c r="B1298" t="s">
        <v>2980</v>
      </c>
      <c r="C1298" t="s">
        <v>248</v>
      </c>
      <c r="D1298">
        <v>0</v>
      </c>
      <c r="E1298">
        <v>0</v>
      </c>
      <c r="F1298">
        <v>0</v>
      </c>
    </row>
    <row r="1299" spans="1:6" x14ac:dyDescent="0.25">
      <c r="A1299" s="172" t="s">
        <v>3310</v>
      </c>
      <c r="B1299" t="s">
        <v>3311</v>
      </c>
      <c r="C1299" t="s">
        <v>3312</v>
      </c>
      <c r="D1299">
        <v>3.95</v>
      </c>
      <c r="E1299">
        <v>8.58</v>
      </c>
      <c r="F1299">
        <v>0</v>
      </c>
    </row>
    <row r="1300" spans="1:6" x14ac:dyDescent="0.25">
      <c r="A1300" s="172" t="s">
        <v>3313</v>
      </c>
      <c r="B1300" t="s">
        <v>3314</v>
      </c>
      <c r="C1300" t="s">
        <v>3315</v>
      </c>
      <c r="D1300">
        <v>3.95</v>
      </c>
      <c r="E1300">
        <v>8.58</v>
      </c>
      <c r="F1300">
        <v>0</v>
      </c>
    </row>
    <row r="1301" spans="1:6" x14ac:dyDescent="0.25">
      <c r="A1301" s="172" t="s">
        <v>3316</v>
      </c>
      <c r="B1301" t="s">
        <v>3317</v>
      </c>
      <c r="C1301" t="s">
        <v>3318</v>
      </c>
      <c r="D1301">
        <v>4.8</v>
      </c>
      <c r="E1301">
        <v>10.89</v>
      </c>
      <c r="F1301">
        <v>0</v>
      </c>
    </row>
    <row r="1302" spans="1:6" x14ac:dyDescent="0.25">
      <c r="A1302" s="172" t="s">
        <v>3319</v>
      </c>
      <c r="B1302" t="s">
        <v>3320</v>
      </c>
      <c r="C1302" t="s">
        <v>3321</v>
      </c>
      <c r="D1302">
        <v>5.1</v>
      </c>
      <c r="E1302">
        <v>10.89</v>
      </c>
      <c r="F1302">
        <v>0</v>
      </c>
    </row>
    <row r="1303" spans="1:6" x14ac:dyDescent="0.25">
      <c r="A1303" s="172" t="s">
        <v>3322</v>
      </c>
      <c r="B1303" t="s">
        <v>3323</v>
      </c>
      <c r="C1303" t="s">
        <v>3324</v>
      </c>
      <c r="D1303">
        <v>5.75</v>
      </c>
      <c r="E1303">
        <v>12.99</v>
      </c>
      <c r="F1303">
        <v>0</v>
      </c>
    </row>
    <row r="1304" spans="1:6" x14ac:dyDescent="0.25">
      <c r="A1304" s="172" t="s">
        <v>3325</v>
      </c>
      <c r="B1304" t="s">
        <v>3326</v>
      </c>
      <c r="C1304" t="s">
        <v>3327</v>
      </c>
      <c r="D1304">
        <v>6.65</v>
      </c>
      <c r="E1304">
        <v>15.08</v>
      </c>
      <c r="F1304">
        <v>0</v>
      </c>
    </row>
    <row r="1305" spans="1:6" x14ac:dyDescent="0.25">
      <c r="A1305" s="172" t="s">
        <v>3328</v>
      </c>
      <c r="B1305" t="s">
        <v>3329</v>
      </c>
      <c r="C1305" t="s">
        <v>3330</v>
      </c>
      <c r="D1305">
        <v>5.7</v>
      </c>
      <c r="E1305">
        <v>12.99</v>
      </c>
      <c r="F1305">
        <v>0</v>
      </c>
    </row>
    <row r="1306" spans="1:6" x14ac:dyDescent="0.25">
      <c r="A1306" s="172" t="s">
        <v>3331</v>
      </c>
      <c r="B1306" t="s">
        <v>3332</v>
      </c>
      <c r="C1306" t="s">
        <v>3333</v>
      </c>
      <c r="D1306">
        <v>6.65</v>
      </c>
      <c r="E1306">
        <v>15.08</v>
      </c>
      <c r="F1306">
        <v>0</v>
      </c>
    </row>
    <row r="1307" spans="1:6" x14ac:dyDescent="0.25">
      <c r="A1307" s="172" t="s">
        <v>3334</v>
      </c>
      <c r="B1307" t="s">
        <v>3335</v>
      </c>
      <c r="C1307" t="s">
        <v>3336</v>
      </c>
      <c r="D1307">
        <v>6.6</v>
      </c>
      <c r="E1307">
        <v>15.08</v>
      </c>
      <c r="F1307">
        <v>0</v>
      </c>
    </row>
    <row r="1308" spans="1:6" x14ac:dyDescent="0.25">
      <c r="A1308" s="172" t="s">
        <v>3337</v>
      </c>
      <c r="B1308" t="s">
        <v>3338</v>
      </c>
      <c r="C1308" t="s">
        <v>3339</v>
      </c>
      <c r="D1308">
        <v>6.65</v>
      </c>
      <c r="E1308">
        <v>15.08</v>
      </c>
      <c r="F1308">
        <v>0</v>
      </c>
    </row>
    <row r="1309" spans="1:6" x14ac:dyDescent="0.25">
      <c r="A1309" s="172" t="s">
        <v>3340</v>
      </c>
      <c r="B1309" t="s">
        <v>3341</v>
      </c>
      <c r="C1309" t="s">
        <v>3342</v>
      </c>
      <c r="D1309">
        <v>7.95</v>
      </c>
      <c r="E1309">
        <v>17.28</v>
      </c>
      <c r="F1309">
        <v>0</v>
      </c>
    </row>
    <row r="1310" spans="1:6" x14ac:dyDescent="0.25">
      <c r="A1310" s="172" t="s">
        <v>3343</v>
      </c>
      <c r="B1310" t="s">
        <v>3344</v>
      </c>
      <c r="C1310" t="s">
        <v>3345</v>
      </c>
      <c r="D1310">
        <v>6.1</v>
      </c>
      <c r="E1310">
        <v>13.1</v>
      </c>
      <c r="F1310">
        <v>0</v>
      </c>
    </row>
    <row r="1311" spans="1:6" x14ac:dyDescent="0.25">
      <c r="A1311" s="172" t="s">
        <v>3346</v>
      </c>
      <c r="B1311" t="s">
        <v>3347</v>
      </c>
      <c r="C1311" t="s">
        <v>3348</v>
      </c>
      <c r="D1311">
        <v>6.1</v>
      </c>
      <c r="E1311">
        <v>13.1</v>
      </c>
      <c r="F1311">
        <v>0</v>
      </c>
    </row>
    <row r="1312" spans="1:6" x14ac:dyDescent="0.25">
      <c r="A1312" s="172" t="s">
        <v>3349</v>
      </c>
      <c r="B1312" t="s">
        <v>3350</v>
      </c>
      <c r="C1312" t="s">
        <v>3351</v>
      </c>
      <c r="D1312">
        <v>6</v>
      </c>
      <c r="E1312">
        <v>13.1</v>
      </c>
      <c r="F1312">
        <v>0</v>
      </c>
    </row>
    <row r="1313" spans="1:6" x14ac:dyDescent="0.25">
      <c r="A1313" s="172" t="s">
        <v>3352</v>
      </c>
      <c r="B1313" t="s">
        <v>3353</v>
      </c>
      <c r="C1313" t="s">
        <v>248</v>
      </c>
      <c r="D1313">
        <v>6.6</v>
      </c>
      <c r="E1313">
        <v>20.6</v>
      </c>
      <c r="F1313">
        <v>0</v>
      </c>
    </row>
    <row r="1314" spans="1:6" x14ac:dyDescent="0.25">
      <c r="A1314" s="172" t="s">
        <v>3354</v>
      </c>
      <c r="B1314" t="s">
        <v>3355</v>
      </c>
      <c r="C1314" t="s">
        <v>3356</v>
      </c>
      <c r="D1314">
        <v>1.85</v>
      </c>
      <c r="E1314">
        <v>8.25</v>
      </c>
      <c r="F1314">
        <v>0</v>
      </c>
    </row>
    <row r="1315" spans="1:6" x14ac:dyDescent="0.25">
      <c r="A1315" s="172" t="s">
        <v>3357</v>
      </c>
      <c r="B1315" t="s">
        <v>3358</v>
      </c>
      <c r="C1315" t="s">
        <v>3359</v>
      </c>
      <c r="D1315">
        <v>10.23</v>
      </c>
      <c r="E1315">
        <v>21.63</v>
      </c>
      <c r="F1315">
        <v>0</v>
      </c>
    </row>
    <row r="1316" spans="1:6" x14ac:dyDescent="0.25">
      <c r="A1316" s="172" t="s">
        <v>3360</v>
      </c>
      <c r="B1316" t="s">
        <v>3361</v>
      </c>
      <c r="C1316" t="s">
        <v>3362</v>
      </c>
      <c r="D1316">
        <v>9.1</v>
      </c>
      <c r="E1316">
        <v>19.48</v>
      </c>
      <c r="F1316">
        <v>0</v>
      </c>
    </row>
    <row r="1317" spans="1:6" x14ac:dyDescent="0.25">
      <c r="A1317" s="172" t="s">
        <v>3363</v>
      </c>
      <c r="B1317" t="s">
        <v>3364</v>
      </c>
      <c r="C1317" t="s">
        <v>3365</v>
      </c>
      <c r="D1317">
        <v>8.95</v>
      </c>
      <c r="E1317">
        <v>19.48</v>
      </c>
      <c r="F1317">
        <v>0</v>
      </c>
    </row>
    <row r="1318" spans="1:6" x14ac:dyDescent="0.25">
      <c r="A1318" s="172" t="s">
        <v>3366</v>
      </c>
      <c r="B1318" t="s">
        <v>3367</v>
      </c>
      <c r="C1318" t="s">
        <v>3368</v>
      </c>
      <c r="D1318">
        <v>10.05</v>
      </c>
      <c r="E1318">
        <v>21.57</v>
      </c>
      <c r="F1318">
        <v>0</v>
      </c>
    </row>
    <row r="1319" spans="1:6" x14ac:dyDescent="0.25">
      <c r="A1319" s="172" t="s">
        <v>3369</v>
      </c>
      <c r="B1319" t="s">
        <v>3370</v>
      </c>
      <c r="C1319" t="s">
        <v>3371</v>
      </c>
      <c r="D1319">
        <v>11.1</v>
      </c>
      <c r="E1319">
        <v>23.77</v>
      </c>
      <c r="F1319">
        <v>0</v>
      </c>
    </row>
    <row r="1320" spans="1:6" x14ac:dyDescent="0.25">
      <c r="A1320" s="172" t="s">
        <v>3372</v>
      </c>
      <c r="B1320" t="s">
        <v>3373</v>
      </c>
      <c r="C1320" t="s">
        <v>248</v>
      </c>
      <c r="D1320">
        <v>15</v>
      </c>
      <c r="E1320">
        <v>23.25</v>
      </c>
      <c r="F1320">
        <v>0</v>
      </c>
    </row>
    <row r="1321" spans="1:6" x14ac:dyDescent="0.25">
      <c r="A1321" s="172" t="s">
        <v>3374</v>
      </c>
      <c r="B1321" t="s">
        <v>3375</v>
      </c>
      <c r="C1321" t="s">
        <v>248</v>
      </c>
      <c r="D1321">
        <v>10.75</v>
      </c>
      <c r="E1321">
        <v>18.74</v>
      </c>
      <c r="F1321">
        <v>0</v>
      </c>
    </row>
    <row r="1322" spans="1:6" x14ac:dyDescent="0.25">
      <c r="A1322" s="172" t="s">
        <v>3376</v>
      </c>
      <c r="B1322" t="s">
        <v>3377</v>
      </c>
      <c r="C1322" t="s">
        <v>3378</v>
      </c>
      <c r="D1322">
        <v>3.9</v>
      </c>
      <c r="E1322">
        <v>8.5</v>
      </c>
      <c r="F1322">
        <v>0</v>
      </c>
    </row>
    <row r="1323" spans="1:6" x14ac:dyDescent="0.25">
      <c r="A1323" s="172" t="s">
        <v>3379</v>
      </c>
      <c r="B1323" t="s">
        <v>3380</v>
      </c>
      <c r="C1323" t="s">
        <v>3381</v>
      </c>
      <c r="D1323">
        <v>3.75</v>
      </c>
      <c r="E1323">
        <v>8.5</v>
      </c>
      <c r="F1323">
        <v>0</v>
      </c>
    </row>
    <row r="1324" spans="1:6" x14ac:dyDescent="0.25">
      <c r="A1324" s="172" t="s">
        <v>3382</v>
      </c>
      <c r="B1324" t="s">
        <v>3383</v>
      </c>
      <c r="C1324" t="s">
        <v>3384</v>
      </c>
      <c r="D1324">
        <v>3.75</v>
      </c>
      <c r="E1324">
        <v>8.5</v>
      </c>
      <c r="F1324">
        <v>0</v>
      </c>
    </row>
    <row r="1325" spans="1:6" x14ac:dyDescent="0.25">
      <c r="A1325" s="172" t="s">
        <v>3385</v>
      </c>
      <c r="B1325" t="s">
        <v>3386</v>
      </c>
      <c r="C1325" t="s">
        <v>248</v>
      </c>
      <c r="D1325">
        <v>3.7</v>
      </c>
      <c r="E1325">
        <v>3.4</v>
      </c>
      <c r="F1325">
        <v>3.4</v>
      </c>
    </row>
    <row r="1326" spans="1:6" x14ac:dyDescent="0.25">
      <c r="A1326" s="172" t="s">
        <v>3387</v>
      </c>
      <c r="B1326" t="s">
        <v>3388</v>
      </c>
      <c r="C1326" t="s">
        <v>248</v>
      </c>
      <c r="D1326">
        <v>3.75</v>
      </c>
      <c r="E1326">
        <v>8.39</v>
      </c>
      <c r="F1326">
        <v>0</v>
      </c>
    </row>
    <row r="1327" spans="1:6" x14ac:dyDescent="0.25">
      <c r="A1327" s="172" t="s">
        <v>3389</v>
      </c>
      <c r="B1327" t="s">
        <v>3390</v>
      </c>
      <c r="C1327" t="s">
        <v>3391</v>
      </c>
      <c r="D1327">
        <v>1.9</v>
      </c>
      <c r="E1327">
        <v>0</v>
      </c>
      <c r="F1327">
        <v>0</v>
      </c>
    </row>
    <row r="1328" spans="1:6" x14ac:dyDescent="0.25">
      <c r="A1328" s="172" t="s">
        <v>3392</v>
      </c>
      <c r="B1328" t="s">
        <v>3393</v>
      </c>
      <c r="C1328" t="s">
        <v>248</v>
      </c>
      <c r="D1328">
        <v>1.9</v>
      </c>
      <c r="E1328">
        <v>0</v>
      </c>
      <c r="F1328">
        <v>0</v>
      </c>
    </row>
    <row r="1329" spans="1:6" x14ac:dyDescent="0.25">
      <c r="A1329" s="172" t="s">
        <v>3394</v>
      </c>
      <c r="B1329" t="s">
        <v>3395</v>
      </c>
      <c r="C1329" t="s">
        <v>3396</v>
      </c>
      <c r="D1329">
        <v>1.9</v>
      </c>
      <c r="E1329">
        <v>0</v>
      </c>
      <c r="F1329">
        <v>0</v>
      </c>
    </row>
    <row r="1330" spans="1:6" x14ac:dyDescent="0.25">
      <c r="A1330" s="172" t="s">
        <v>3397</v>
      </c>
      <c r="B1330" t="s">
        <v>3398</v>
      </c>
      <c r="C1330" t="s">
        <v>248</v>
      </c>
      <c r="D1330">
        <v>1.9</v>
      </c>
      <c r="E1330">
        <v>0</v>
      </c>
      <c r="F1330">
        <v>0</v>
      </c>
    </row>
    <row r="1331" spans="1:6" x14ac:dyDescent="0.25">
      <c r="A1331" s="172" t="s">
        <v>3399</v>
      </c>
      <c r="B1331" t="s">
        <v>3400</v>
      </c>
      <c r="C1331" t="s">
        <v>3401</v>
      </c>
      <c r="D1331">
        <v>1.8</v>
      </c>
      <c r="E1331">
        <v>0</v>
      </c>
      <c r="F1331">
        <v>0</v>
      </c>
    </row>
    <row r="1332" spans="1:6" x14ac:dyDescent="0.25">
      <c r="A1332" s="172" t="s">
        <v>3402</v>
      </c>
      <c r="B1332" t="s">
        <v>3403</v>
      </c>
      <c r="C1332" t="s">
        <v>3404</v>
      </c>
      <c r="D1332">
        <v>1.9</v>
      </c>
      <c r="E1332">
        <v>0</v>
      </c>
      <c r="F1332">
        <v>0</v>
      </c>
    </row>
    <row r="1333" spans="1:6" x14ac:dyDescent="0.25">
      <c r="A1333" s="172" t="s">
        <v>3405</v>
      </c>
      <c r="B1333" t="s">
        <v>3406</v>
      </c>
      <c r="C1333" t="s">
        <v>248</v>
      </c>
      <c r="D1333">
        <v>1.8</v>
      </c>
      <c r="E1333">
        <v>0</v>
      </c>
      <c r="F1333">
        <v>0</v>
      </c>
    </row>
    <row r="1334" spans="1:6" x14ac:dyDescent="0.25">
      <c r="A1334" s="172" t="s">
        <v>3407</v>
      </c>
      <c r="B1334" t="s">
        <v>3408</v>
      </c>
      <c r="C1334" t="s">
        <v>248</v>
      </c>
      <c r="D1334">
        <v>1.8</v>
      </c>
      <c r="E1334">
        <v>0</v>
      </c>
      <c r="F1334">
        <v>0</v>
      </c>
    </row>
    <row r="1335" spans="1:6" x14ac:dyDescent="0.25">
      <c r="A1335" s="172" t="s">
        <v>3409</v>
      </c>
      <c r="B1335" t="s">
        <v>3410</v>
      </c>
      <c r="C1335" t="s">
        <v>3411</v>
      </c>
      <c r="D1335">
        <v>1.5</v>
      </c>
      <c r="E1335">
        <v>0</v>
      </c>
      <c r="F1335">
        <v>0</v>
      </c>
    </row>
    <row r="1336" spans="1:6" x14ac:dyDescent="0.25">
      <c r="A1336" s="172" t="s">
        <v>3412</v>
      </c>
      <c r="B1336" t="s">
        <v>3413</v>
      </c>
      <c r="C1336" t="s">
        <v>3414</v>
      </c>
      <c r="D1336">
        <v>1.9</v>
      </c>
      <c r="E1336">
        <v>0</v>
      </c>
      <c r="F1336">
        <v>0</v>
      </c>
    </row>
    <row r="1337" spans="1:6" x14ac:dyDescent="0.25">
      <c r="A1337" s="172" t="s">
        <v>3415</v>
      </c>
      <c r="B1337" t="s">
        <v>3416</v>
      </c>
      <c r="C1337" t="s">
        <v>3417</v>
      </c>
      <c r="D1337">
        <v>1.8</v>
      </c>
      <c r="E1337">
        <v>0</v>
      </c>
      <c r="F1337">
        <v>0</v>
      </c>
    </row>
    <row r="1338" spans="1:6" x14ac:dyDescent="0.25">
      <c r="A1338" s="172" t="s">
        <v>3418</v>
      </c>
      <c r="B1338" t="s">
        <v>3419</v>
      </c>
      <c r="C1338" t="s">
        <v>3420</v>
      </c>
      <c r="D1338">
        <v>2.2</v>
      </c>
      <c r="E1338">
        <v>0</v>
      </c>
      <c r="F1338">
        <v>0</v>
      </c>
    </row>
    <row r="1339" spans="1:6" x14ac:dyDescent="0.25">
      <c r="A1339" s="172" t="s">
        <v>3421</v>
      </c>
      <c r="B1339" t="s">
        <v>3422</v>
      </c>
      <c r="C1339" t="s">
        <v>248</v>
      </c>
      <c r="D1339">
        <v>2.1</v>
      </c>
      <c r="E1339">
        <v>0</v>
      </c>
      <c r="F1339">
        <v>0</v>
      </c>
    </row>
    <row r="1340" spans="1:6" x14ac:dyDescent="0.25">
      <c r="A1340" s="172" t="s">
        <v>3423</v>
      </c>
      <c r="B1340" t="s">
        <v>3424</v>
      </c>
      <c r="C1340" t="s">
        <v>3425</v>
      </c>
      <c r="D1340">
        <v>2.1</v>
      </c>
      <c r="E1340">
        <v>0</v>
      </c>
      <c r="F1340">
        <v>0</v>
      </c>
    </row>
    <row r="1341" spans="1:6" x14ac:dyDescent="0.25">
      <c r="A1341" s="172" t="s">
        <v>3426</v>
      </c>
      <c r="B1341" t="s">
        <v>3427</v>
      </c>
      <c r="C1341" t="s">
        <v>248</v>
      </c>
      <c r="D1341">
        <v>2.1</v>
      </c>
      <c r="E1341">
        <v>0</v>
      </c>
      <c r="F1341">
        <v>0</v>
      </c>
    </row>
    <row r="1342" spans="1:6" x14ac:dyDescent="0.25">
      <c r="A1342" s="172" t="s">
        <v>3428</v>
      </c>
      <c r="B1342" t="s">
        <v>3429</v>
      </c>
      <c r="C1342" t="s">
        <v>248</v>
      </c>
      <c r="D1342">
        <v>1.8</v>
      </c>
      <c r="E1342">
        <v>0</v>
      </c>
      <c r="F1342">
        <v>0</v>
      </c>
    </row>
    <row r="1343" spans="1:6" x14ac:dyDescent="0.25">
      <c r="A1343" s="172" t="s">
        <v>3430</v>
      </c>
      <c r="B1343" t="s">
        <v>3431</v>
      </c>
      <c r="C1343" t="s">
        <v>3432</v>
      </c>
      <c r="D1343">
        <v>1.4</v>
      </c>
      <c r="E1343">
        <v>0</v>
      </c>
      <c r="F1343">
        <v>0</v>
      </c>
    </row>
    <row r="1344" spans="1:6" x14ac:dyDescent="0.25">
      <c r="A1344" s="172" t="s">
        <v>3433</v>
      </c>
      <c r="B1344" t="s">
        <v>3434</v>
      </c>
      <c r="C1344" t="s">
        <v>248</v>
      </c>
      <c r="D1344">
        <v>2.1</v>
      </c>
      <c r="E1344">
        <v>0</v>
      </c>
      <c r="F1344">
        <v>0</v>
      </c>
    </row>
    <row r="1345" spans="1:6" x14ac:dyDescent="0.25">
      <c r="A1345" s="172" t="s">
        <v>3435</v>
      </c>
      <c r="B1345" t="s">
        <v>3436</v>
      </c>
      <c r="C1345" t="s">
        <v>3437</v>
      </c>
      <c r="D1345">
        <v>1.8</v>
      </c>
      <c r="E1345">
        <v>0</v>
      </c>
      <c r="F1345">
        <v>0</v>
      </c>
    </row>
    <row r="1346" spans="1:6" x14ac:dyDescent="0.25">
      <c r="A1346" s="172" t="s">
        <v>3438</v>
      </c>
      <c r="B1346" t="s">
        <v>3439</v>
      </c>
      <c r="C1346" t="s">
        <v>3440</v>
      </c>
      <c r="D1346">
        <v>0</v>
      </c>
      <c r="E1346">
        <v>21.63</v>
      </c>
      <c r="F1346">
        <v>0</v>
      </c>
    </row>
    <row r="1347" spans="1:6" x14ac:dyDescent="0.25">
      <c r="A1347" s="172" t="s">
        <v>3441</v>
      </c>
      <c r="B1347" t="s">
        <v>3442</v>
      </c>
      <c r="C1347" t="s">
        <v>3443</v>
      </c>
      <c r="D1347">
        <v>1.8</v>
      </c>
      <c r="E1347">
        <v>0</v>
      </c>
      <c r="F1347">
        <v>0</v>
      </c>
    </row>
    <row r="1348" spans="1:6" x14ac:dyDescent="0.25">
      <c r="A1348" s="172" t="s">
        <v>3444</v>
      </c>
      <c r="B1348" t="s">
        <v>3445</v>
      </c>
      <c r="C1348" t="s">
        <v>3446</v>
      </c>
      <c r="D1348">
        <v>1.8</v>
      </c>
      <c r="E1348">
        <v>0</v>
      </c>
      <c r="F1348">
        <v>0</v>
      </c>
    </row>
    <row r="1349" spans="1:6" x14ac:dyDescent="0.25">
      <c r="A1349" s="172" t="s">
        <v>3447</v>
      </c>
      <c r="B1349" t="s">
        <v>3448</v>
      </c>
      <c r="C1349" t="s">
        <v>3449</v>
      </c>
      <c r="D1349">
        <v>1.9</v>
      </c>
      <c r="E1349">
        <v>0</v>
      </c>
      <c r="F1349">
        <v>0</v>
      </c>
    </row>
    <row r="1350" spans="1:6" x14ac:dyDescent="0.25">
      <c r="A1350" s="172" t="s">
        <v>3450</v>
      </c>
      <c r="B1350" t="s">
        <v>3451</v>
      </c>
      <c r="C1350" t="s">
        <v>3452</v>
      </c>
      <c r="D1350">
        <v>1.8</v>
      </c>
      <c r="E1350">
        <v>0</v>
      </c>
      <c r="F1350">
        <v>0</v>
      </c>
    </row>
    <row r="1351" spans="1:6" x14ac:dyDescent="0.25">
      <c r="A1351" s="172" t="s">
        <v>3453</v>
      </c>
      <c r="B1351" t="s">
        <v>3454</v>
      </c>
      <c r="C1351" t="s">
        <v>3455</v>
      </c>
      <c r="D1351">
        <v>1.9</v>
      </c>
      <c r="E1351">
        <v>0</v>
      </c>
      <c r="F1351">
        <v>0</v>
      </c>
    </row>
    <row r="1352" spans="1:6" x14ac:dyDescent="0.25">
      <c r="A1352" s="172" t="s">
        <v>3456</v>
      </c>
      <c r="B1352" t="s">
        <v>3457</v>
      </c>
      <c r="C1352" t="s">
        <v>3458</v>
      </c>
      <c r="D1352">
        <v>0</v>
      </c>
      <c r="E1352">
        <v>0</v>
      </c>
      <c r="F1352">
        <v>0</v>
      </c>
    </row>
    <row r="1353" spans="1:6" x14ac:dyDescent="0.25">
      <c r="A1353" s="172" t="s">
        <v>3459</v>
      </c>
      <c r="B1353" t="s">
        <v>3460</v>
      </c>
      <c r="C1353" t="s">
        <v>3461</v>
      </c>
      <c r="D1353">
        <v>1.8</v>
      </c>
      <c r="E1353">
        <v>0</v>
      </c>
      <c r="F1353">
        <v>0</v>
      </c>
    </row>
    <row r="1354" spans="1:6" x14ac:dyDescent="0.25">
      <c r="A1354" s="172" t="s">
        <v>3462</v>
      </c>
      <c r="B1354" t="s">
        <v>3463</v>
      </c>
      <c r="C1354" t="s">
        <v>3464</v>
      </c>
      <c r="D1354">
        <v>1.9</v>
      </c>
      <c r="E1354">
        <v>0</v>
      </c>
      <c r="F1354">
        <v>0</v>
      </c>
    </row>
    <row r="1355" spans="1:6" x14ac:dyDescent="0.25">
      <c r="A1355" s="172" t="s">
        <v>3465</v>
      </c>
      <c r="B1355" t="s">
        <v>3466</v>
      </c>
      <c r="C1355" t="s">
        <v>3467</v>
      </c>
      <c r="D1355">
        <v>1.8</v>
      </c>
      <c r="E1355">
        <v>0</v>
      </c>
      <c r="F1355">
        <v>0</v>
      </c>
    </row>
    <row r="1356" spans="1:6" x14ac:dyDescent="0.25">
      <c r="A1356" s="172" t="s">
        <v>3468</v>
      </c>
      <c r="B1356" t="s">
        <v>3469</v>
      </c>
      <c r="C1356" t="s">
        <v>3470</v>
      </c>
      <c r="D1356">
        <v>2.1</v>
      </c>
      <c r="E1356">
        <v>0</v>
      </c>
      <c r="F1356">
        <v>0</v>
      </c>
    </row>
    <row r="1357" spans="1:6" x14ac:dyDescent="0.25">
      <c r="A1357" s="172" t="s">
        <v>3471</v>
      </c>
      <c r="B1357" t="s">
        <v>3472</v>
      </c>
      <c r="C1357" t="s">
        <v>248</v>
      </c>
      <c r="D1357">
        <v>0</v>
      </c>
      <c r="E1357">
        <v>0</v>
      </c>
      <c r="F1357">
        <v>0</v>
      </c>
    </row>
    <row r="1358" spans="1:6" x14ac:dyDescent="0.25">
      <c r="A1358" s="172" t="s">
        <v>3473</v>
      </c>
      <c r="B1358" t="s">
        <v>3474</v>
      </c>
      <c r="C1358" t="s">
        <v>248</v>
      </c>
      <c r="D1358">
        <v>0</v>
      </c>
      <c r="E1358">
        <v>0</v>
      </c>
      <c r="F1358">
        <v>0</v>
      </c>
    </row>
    <row r="1359" spans="1:6" x14ac:dyDescent="0.25">
      <c r="A1359" s="172" t="s">
        <v>3475</v>
      </c>
      <c r="B1359" t="s">
        <v>3476</v>
      </c>
      <c r="C1359" t="s">
        <v>248</v>
      </c>
      <c r="D1359">
        <v>0</v>
      </c>
      <c r="E1359">
        <v>0</v>
      </c>
      <c r="F1359">
        <v>0</v>
      </c>
    </row>
    <row r="1360" spans="1:6" x14ac:dyDescent="0.25">
      <c r="A1360" s="172" t="s">
        <v>3477</v>
      </c>
      <c r="B1360" t="s">
        <v>3478</v>
      </c>
      <c r="C1360" t="s">
        <v>248</v>
      </c>
      <c r="D1360">
        <v>0</v>
      </c>
      <c r="E1360">
        <v>1</v>
      </c>
      <c r="F1360">
        <v>0</v>
      </c>
    </row>
    <row r="1361" spans="1:6" x14ac:dyDescent="0.25">
      <c r="A1361" s="172" t="s">
        <v>3479</v>
      </c>
      <c r="B1361" t="s">
        <v>3480</v>
      </c>
      <c r="C1361" t="s">
        <v>248</v>
      </c>
      <c r="D1361">
        <v>0</v>
      </c>
      <c r="E1361">
        <v>1</v>
      </c>
      <c r="F1361">
        <v>0</v>
      </c>
    </row>
    <row r="1362" spans="1:6" x14ac:dyDescent="0.25">
      <c r="A1362" s="172" t="s">
        <v>3481</v>
      </c>
      <c r="B1362" t="s">
        <v>3482</v>
      </c>
      <c r="C1362" t="s">
        <v>248</v>
      </c>
      <c r="D1362">
        <v>0</v>
      </c>
      <c r="E1362">
        <v>0</v>
      </c>
      <c r="F1362">
        <v>0</v>
      </c>
    </row>
    <row r="1363" spans="1:6" x14ac:dyDescent="0.25">
      <c r="A1363" s="172" t="s">
        <v>3483</v>
      </c>
      <c r="B1363" t="s">
        <v>3484</v>
      </c>
      <c r="C1363" t="s">
        <v>248</v>
      </c>
      <c r="D1363">
        <v>0</v>
      </c>
      <c r="E1363">
        <v>0</v>
      </c>
      <c r="F1363">
        <v>0</v>
      </c>
    </row>
    <row r="1364" spans="1:6" x14ac:dyDescent="0.25">
      <c r="A1364" s="172" t="s">
        <v>3485</v>
      </c>
      <c r="B1364" t="s">
        <v>3486</v>
      </c>
      <c r="C1364" t="s">
        <v>248</v>
      </c>
      <c r="D1364">
        <v>0</v>
      </c>
      <c r="E1364">
        <v>0</v>
      </c>
      <c r="F1364">
        <v>0</v>
      </c>
    </row>
    <row r="1365" spans="1:6" x14ac:dyDescent="0.25">
      <c r="A1365" s="172" t="s">
        <v>3487</v>
      </c>
      <c r="B1365" t="s">
        <v>3488</v>
      </c>
      <c r="C1365" t="s">
        <v>248</v>
      </c>
      <c r="D1365">
        <v>0</v>
      </c>
      <c r="E1365">
        <v>0</v>
      </c>
      <c r="F1365">
        <v>0</v>
      </c>
    </row>
    <row r="1366" spans="1:6" x14ac:dyDescent="0.25">
      <c r="A1366" s="172" t="s">
        <v>3489</v>
      </c>
      <c r="B1366" t="s">
        <v>3490</v>
      </c>
      <c r="C1366" t="s">
        <v>248</v>
      </c>
      <c r="D1366">
        <v>0</v>
      </c>
      <c r="E1366">
        <v>0</v>
      </c>
      <c r="F1366">
        <v>0</v>
      </c>
    </row>
    <row r="1367" spans="1:6" x14ac:dyDescent="0.25">
      <c r="A1367" s="172" t="s">
        <v>3491</v>
      </c>
      <c r="B1367" t="s">
        <v>3492</v>
      </c>
      <c r="C1367" t="s">
        <v>248</v>
      </c>
      <c r="D1367">
        <v>0</v>
      </c>
      <c r="E1367">
        <v>0</v>
      </c>
      <c r="F1367">
        <v>0</v>
      </c>
    </row>
    <row r="1368" spans="1:6" x14ac:dyDescent="0.25">
      <c r="A1368" s="172" t="s">
        <v>3493</v>
      </c>
      <c r="B1368" t="s">
        <v>3494</v>
      </c>
      <c r="C1368" t="s">
        <v>248</v>
      </c>
      <c r="D1368">
        <v>0</v>
      </c>
      <c r="E1368">
        <v>0</v>
      </c>
      <c r="F1368">
        <v>0</v>
      </c>
    </row>
    <row r="1369" spans="1:6" x14ac:dyDescent="0.25">
      <c r="A1369" s="172" t="s">
        <v>3495</v>
      </c>
      <c r="B1369" t="s">
        <v>3496</v>
      </c>
      <c r="C1369" t="s">
        <v>248</v>
      </c>
      <c r="D1369">
        <v>0</v>
      </c>
      <c r="E1369">
        <v>0</v>
      </c>
      <c r="F1369">
        <v>0</v>
      </c>
    </row>
    <row r="1370" spans="1:6" x14ac:dyDescent="0.25">
      <c r="A1370" s="172" t="s">
        <v>3497</v>
      </c>
      <c r="B1370" t="s">
        <v>3498</v>
      </c>
      <c r="C1370" t="s">
        <v>248</v>
      </c>
      <c r="D1370">
        <v>0</v>
      </c>
      <c r="E1370">
        <v>0</v>
      </c>
      <c r="F1370">
        <v>0</v>
      </c>
    </row>
    <row r="1371" spans="1:6" x14ac:dyDescent="0.25">
      <c r="A1371" s="172" t="s">
        <v>3499</v>
      </c>
      <c r="B1371" t="s">
        <v>3500</v>
      </c>
      <c r="C1371" t="s">
        <v>248</v>
      </c>
      <c r="D1371">
        <v>0</v>
      </c>
      <c r="E1371">
        <v>0</v>
      </c>
      <c r="F1371">
        <v>0</v>
      </c>
    </row>
    <row r="1372" spans="1:6" x14ac:dyDescent="0.25">
      <c r="A1372" s="172" t="s">
        <v>3501</v>
      </c>
      <c r="B1372" t="s">
        <v>3484</v>
      </c>
      <c r="C1372" t="s">
        <v>248</v>
      </c>
      <c r="D1372">
        <v>0</v>
      </c>
      <c r="E1372">
        <v>0</v>
      </c>
      <c r="F1372">
        <v>0</v>
      </c>
    </row>
    <row r="1373" spans="1:6" x14ac:dyDescent="0.25">
      <c r="A1373" s="172" t="s">
        <v>3502</v>
      </c>
      <c r="B1373" t="s">
        <v>3503</v>
      </c>
      <c r="C1373" t="s">
        <v>248</v>
      </c>
      <c r="D1373">
        <v>0</v>
      </c>
      <c r="E1373">
        <v>0</v>
      </c>
      <c r="F1373">
        <v>0</v>
      </c>
    </row>
    <row r="1374" spans="1:6" x14ac:dyDescent="0.25">
      <c r="A1374" s="172" t="s">
        <v>3504</v>
      </c>
      <c r="B1374" t="s">
        <v>3505</v>
      </c>
      <c r="C1374" t="s">
        <v>248</v>
      </c>
      <c r="D1374">
        <v>0</v>
      </c>
      <c r="E1374">
        <v>0</v>
      </c>
      <c r="F1374">
        <v>0</v>
      </c>
    </row>
    <row r="1375" spans="1:6" x14ac:dyDescent="0.25">
      <c r="A1375" s="172" t="s">
        <v>3506</v>
      </c>
      <c r="B1375" t="s">
        <v>3507</v>
      </c>
      <c r="C1375" t="s">
        <v>248</v>
      </c>
      <c r="D1375">
        <v>0</v>
      </c>
      <c r="E1375">
        <v>0</v>
      </c>
      <c r="F1375">
        <v>0</v>
      </c>
    </row>
    <row r="1376" spans="1:6" x14ac:dyDescent="0.25">
      <c r="A1376" s="172" t="s">
        <v>3508</v>
      </c>
      <c r="B1376" t="s">
        <v>3509</v>
      </c>
      <c r="C1376" t="s">
        <v>248</v>
      </c>
      <c r="D1376">
        <v>0</v>
      </c>
      <c r="E1376">
        <v>0</v>
      </c>
      <c r="F1376">
        <v>0</v>
      </c>
    </row>
    <row r="1377" spans="1:6" x14ac:dyDescent="0.25">
      <c r="A1377" s="172" t="s">
        <v>3510</v>
      </c>
      <c r="B1377" t="s">
        <v>3511</v>
      </c>
      <c r="C1377" t="s">
        <v>248</v>
      </c>
      <c r="D1377">
        <v>0</v>
      </c>
      <c r="E1377">
        <v>0</v>
      </c>
      <c r="F1377">
        <v>0</v>
      </c>
    </row>
    <row r="1378" spans="1:6" x14ac:dyDescent="0.25">
      <c r="A1378" s="172" t="s">
        <v>3512</v>
      </c>
      <c r="B1378" t="s">
        <v>3513</v>
      </c>
      <c r="C1378" t="s">
        <v>248</v>
      </c>
      <c r="D1378">
        <v>0</v>
      </c>
      <c r="E1378">
        <v>0</v>
      </c>
      <c r="F1378">
        <v>0</v>
      </c>
    </row>
    <row r="1379" spans="1:6" x14ac:dyDescent="0.25">
      <c r="A1379" s="172" t="s">
        <v>3514</v>
      </c>
      <c r="B1379" t="s">
        <v>3515</v>
      </c>
      <c r="C1379" t="s">
        <v>248</v>
      </c>
      <c r="D1379">
        <v>0</v>
      </c>
      <c r="E1379">
        <v>0</v>
      </c>
      <c r="F1379">
        <v>0</v>
      </c>
    </row>
    <row r="1380" spans="1:6" x14ac:dyDescent="0.25">
      <c r="A1380" s="172" t="s">
        <v>3516</v>
      </c>
      <c r="B1380" t="s">
        <v>3517</v>
      </c>
      <c r="C1380" t="s">
        <v>248</v>
      </c>
      <c r="D1380">
        <v>0</v>
      </c>
      <c r="E1380">
        <v>0</v>
      </c>
      <c r="F1380">
        <v>0</v>
      </c>
    </row>
    <row r="1381" spans="1:6" x14ac:dyDescent="0.25">
      <c r="A1381" s="172" t="s">
        <v>3518</v>
      </c>
      <c r="B1381" t="s">
        <v>3519</v>
      </c>
      <c r="C1381" t="s">
        <v>248</v>
      </c>
      <c r="D1381">
        <v>0</v>
      </c>
      <c r="E1381">
        <v>0</v>
      </c>
      <c r="F1381">
        <v>0</v>
      </c>
    </row>
    <row r="1382" spans="1:6" x14ac:dyDescent="0.25">
      <c r="A1382" s="172" t="s">
        <v>3520</v>
      </c>
      <c r="B1382" t="s">
        <v>3520</v>
      </c>
      <c r="C1382" t="s">
        <v>248</v>
      </c>
      <c r="D1382">
        <v>0.1</v>
      </c>
      <c r="E1382">
        <v>0</v>
      </c>
      <c r="F138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showGridLines="0" zoomScale="100" zoomScaleNormal="100">
      <selection activeCell="D4" sqref="D4"/>
    </sheetView>
  </sheetViews>
  <sheetFormatPr defaultRowHeight="15" outlineLevelRow="0" outlineLevelCol="0" x14ac:dyDescent="0"/>
  <cols>
    <col min="1" max="1" width="16" customWidth="1"/>
    <col min="2" max="2" width="42" customWidth="1"/>
    <col min="3" max="3" width="15.42578125" customWidth="1"/>
    <col min="4" max="7" width="12" customWidth="1"/>
  </cols>
  <sheetData>
    <row r="1" ht="24" customHeight="1" spans="1:7" x14ac:dyDescent="0.25">
      <c r="A1" s="174"/>
    </row>
    <row r="2" spans="1:7" x14ac:dyDescent="0.25"/>
    <row r="3" ht="20.1" customHeight="1" spans="1:7" x14ac:dyDescent="0.25">
      <c r="A3" s="175"/>
      <c r="B3" s="175"/>
      <c r="C3" s="175"/>
      <c r="D3" s="175"/>
      <c r="E3" s="175"/>
      <c r="F3" s="175"/>
      <c r="G3" s="175"/>
    </row>
    <row r="4" spans="1:7" x14ac:dyDescent="0.25">
      <c r="A4" s="176"/>
      <c r="B4" s="177"/>
      <c r="C4" s="178"/>
      <c r="D4" s="178"/>
      <c r="E4" s="178"/>
      <c r="F4" s="178"/>
      <c r="G4" s="179"/>
    </row>
    <row r="5" spans="1:7" x14ac:dyDescent="0.25">
      <c r="A5" s="176"/>
      <c r="B5" s="177"/>
      <c r="C5" s="178"/>
      <c r="D5" s="178"/>
      <c r="E5" s="178"/>
      <c r="F5" s="178"/>
      <c r="G5" s="179"/>
    </row>
    <row r="6" spans="1:7" x14ac:dyDescent="0.25">
      <c r="A6" s="176"/>
      <c r="B6" s="177"/>
      <c r="C6" s="178"/>
      <c r="D6" s="178"/>
      <c r="E6" s="178"/>
      <c r="F6" s="178"/>
      <c r="G6" s="179"/>
    </row>
    <row r="7" spans="1:7" x14ac:dyDescent="0.25">
      <c r="A7" s="176"/>
      <c r="B7" s="177"/>
      <c r="C7" s="178"/>
      <c r="D7" s="178"/>
      <c r="E7" s="178"/>
      <c r="F7" s="178"/>
      <c r="G7" s="179"/>
    </row>
    <row r="8" spans="1:7" x14ac:dyDescent="0.25">
      <c r="A8" s="176"/>
      <c r="B8" s="177"/>
      <c r="C8" s="178"/>
      <c r="D8" s="178"/>
      <c r="E8" s="178"/>
      <c r="F8" s="178"/>
      <c r="G8" s="179"/>
    </row>
    <row r="9" spans="1:7" x14ac:dyDescent="0.25">
      <c r="A9" s="180"/>
      <c r="B9" s="180"/>
      <c r="C9" s="181"/>
      <c r="D9" s="181"/>
      <c r="E9" s="181"/>
      <c r="F9" s="181"/>
      <c r="G9" s="181"/>
    </row>
    <row r="10" spans="1:7" x14ac:dyDescent="0.25"/>
    <row r="11" spans="1:7" x14ac:dyDescent="0.25">
      <c r="A11" s="182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Proposition template</vt:lpstr>
      <vt:lpstr>Mapping</vt:lpstr>
      <vt:lpstr>Synthèse logistique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2026-06-19T13:39:57Z</dcterms:created>
  <dcterms:modified xsi:type="dcterms:W3CDTF">2026-07-08T13:19:37Z</dcterms:modified>
</cp:coreProperties>
</file>