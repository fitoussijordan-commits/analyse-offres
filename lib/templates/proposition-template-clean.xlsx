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960" windowWidth="29040" windowHeight="15720" tabRatio="600" firstSheet="0" autoFilterDateGrouping="1"/>
  </bookViews>
  <sheets>
    <sheet xmlns:r="http://schemas.openxmlformats.org/officeDocument/2006/relationships" name="Proposition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;\(#,##0\);&quot; - &quot;"/>
    <numFmt numFmtId="165" formatCode="0.0%"/>
    <numFmt numFmtId="166" formatCode="#,##0.0;\(#,##0.0\);&quot; - &quot;"/>
    <numFmt numFmtId="167" formatCode="#,##0.0%;\(#,##0.0\)%;&quot; - &quot;"/>
    <numFmt numFmtId="168" formatCode="#,##0.00;\(#,##0.00\);&quot; - &quot;"/>
    <numFmt numFmtId="169" formatCode="#,##0.0_);\(#,##0.0\)"/>
    <numFmt numFmtId="170" formatCode="#,##0.000;\(#,##0.000\);&quot; - &quot;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iacultura-Normal"/>
      <color rgb="FF354A5D"/>
      <sz val="10"/>
    </font>
    <font>
      <name val="Viacultura-Normal"/>
      <b val="1"/>
      <color rgb="FFA6A6A6"/>
      <sz val="10"/>
    </font>
    <font>
      <name val="Viacultura-Normal"/>
      <b val="1"/>
      <color rgb="FF354A5D"/>
      <sz val="10"/>
    </font>
    <font>
      <name val="Viacultura-Normal"/>
      <b val="1"/>
      <color theme="0"/>
      <sz val="10"/>
    </font>
    <font>
      <name val="Viacultura-Normal"/>
      <color theme="0"/>
      <sz val="10"/>
    </font>
    <font>
      <name val="Viacultura-Normal"/>
      <b val="1"/>
      <color theme="7"/>
      <sz val="10"/>
    </font>
    <font>
      <name val="Viacultura-Normal"/>
      <b val="1"/>
      <color theme="8"/>
      <sz val="10"/>
    </font>
    <font>
      <name val="Viacultura-Normal"/>
      <b val="1"/>
      <color theme="6"/>
      <sz val="10"/>
    </font>
    <font>
      <name val="Viacultura-Normal"/>
      <b val="1"/>
      <color rgb="FFC00000"/>
      <sz val="10"/>
    </font>
    <font>
      <name val="Viacultura-Normal"/>
      <b val="1"/>
      <color theme="4"/>
      <sz val="10"/>
    </font>
    <font>
      <name val="Viacultura-Normal"/>
      <b val="1"/>
      <color theme="5"/>
      <sz val="10"/>
    </font>
    <font>
      <name val="Agfa Rotis Semisans"/>
      <family val="2"/>
      <sz val="10"/>
    </font>
    <font>
      <name val="Viacultura-Normal"/>
      <b val="1"/>
      <color theme="3"/>
      <sz val="10"/>
    </font>
    <font>
      <name val="Viacultura-Normal"/>
      <color rgb="FF354A5D"/>
      <sz val="12"/>
    </font>
    <font>
      <name val="Viacultura-Normal"/>
      <b val="1"/>
      <i val="1"/>
      <color rgb="FF354A5D"/>
      <sz val="10"/>
    </font>
    <font>
      <name val="Viacultura-Normal"/>
      <b val="1"/>
      <color rgb="FF354A5D"/>
      <sz val="11"/>
    </font>
    <font>
      <name val="Viacultura-Normal"/>
      <color rgb="FF00B050"/>
      <sz val="10"/>
    </font>
    <font>
      <name val="Viacultura-Normal"/>
      <i val="1"/>
      <color rgb="FF354A5D"/>
      <sz val="10"/>
    </font>
    <font>
      <name val="Viacultura-Normal"/>
      <i val="1"/>
      <color theme="0" tint="-0.249977111117893"/>
      <sz val="10"/>
    </font>
    <font>
      <name val="Viacultura-Normal"/>
      <color theme="1"/>
      <sz val="10"/>
    </font>
    <font>
      <name val="Viacultura-Normal"/>
      <color theme="1"/>
      <sz val="11"/>
    </font>
    <font>
      <name val="Viacultura-Normal"/>
      <color theme="9" tint="-0.249977111117893"/>
      <sz val="11"/>
    </font>
    <font>
      <name val="Viacultura-Normal"/>
      <color theme="9" tint="-0.249977111117893"/>
      <sz val="10"/>
    </font>
    <font>
      <name val="Viacultura-Normal"/>
      <b val="1"/>
      <i val="1"/>
      <color theme="0" tint="-0.249977111117893"/>
      <sz val="10"/>
    </font>
    <font>
      <name val="Viacultura-Normal"/>
      <b val="1"/>
      <sz val="10"/>
    </font>
  </fonts>
  <fills count="2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CD9E1"/>
        <bgColor indexed="64"/>
      </patternFill>
    </fill>
    <fill>
      <patternFill patternType="solid">
        <fgColor rgb="FFCAF6DB"/>
        <bgColor indexed="64"/>
      </patternFill>
    </fill>
    <fill>
      <patternFill patternType="solid">
        <fgColor rgb="FFFFEBD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838CF"/>
        <bgColor indexed="64"/>
      </patternFill>
    </fill>
    <fill>
      <patternFill patternType="solid">
        <fgColor rgb="FF7B39E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2A2E8"/>
        <bgColor indexed="64"/>
      </patternFill>
    </fill>
    <fill>
      <patternFill patternType="solid">
        <fgColor rgb="FF0070C0"/>
        <bgColor indexed="64"/>
      </patternFill>
    </fill>
  </fills>
  <borders count="8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354A5D"/>
      </bottom>
      <diagonal/>
    </border>
    <border>
      <left style="thin">
        <color rgb="FFC43E67"/>
      </left>
      <right/>
      <top style="thin">
        <color rgb="FFC43E67"/>
      </top>
      <bottom/>
      <diagonal/>
    </border>
    <border>
      <left/>
      <right/>
      <top style="thin">
        <color rgb="FFC43E67"/>
      </top>
      <bottom/>
      <diagonal/>
    </border>
    <border>
      <left/>
      <right style="thin">
        <color rgb="FFC43E67"/>
      </right>
      <top style="thin">
        <color rgb="FFC43E67"/>
      </top>
      <bottom/>
      <diagonal/>
    </border>
    <border>
      <left style="thin">
        <color rgb="FFC43E67"/>
      </left>
      <right/>
      <top/>
      <bottom/>
      <diagonal/>
    </border>
    <border>
      <left/>
      <right style="thin">
        <color rgb="FFC43E67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3"/>
      </bottom>
      <diagonal/>
    </border>
    <border>
      <left style="hair">
        <color rgb="FF354A5D"/>
      </left>
      <right style="hair">
        <color rgb="FF354A5D"/>
      </right>
      <top style="hair">
        <color rgb="FF354A5D"/>
      </top>
      <bottom style="hair">
        <color rgb="FF354A5D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hair">
        <color theme="3"/>
      </left>
      <right style="thin">
        <color theme="3"/>
      </right>
      <top style="hair">
        <color theme="3"/>
      </top>
      <bottom style="hair">
        <color theme="3"/>
      </bottom>
      <diagonal/>
    </border>
    <border>
      <left style="thin">
        <color indexed="64"/>
      </left>
      <right style="thin">
        <color indexed="64"/>
      </right>
      <top style="hair">
        <color theme="3"/>
      </top>
      <bottom style="hair">
        <color theme="3"/>
      </bottom>
      <diagonal/>
    </border>
    <border>
      <left style="thin">
        <color theme="3"/>
      </left>
      <right style="thin">
        <color theme="3"/>
      </right>
      <top style="hair">
        <color theme="3"/>
      </top>
      <bottom style="hair">
        <color theme="3"/>
      </bottom>
      <diagonal/>
    </border>
    <border>
      <left/>
      <right style="hair">
        <color theme="3"/>
      </right>
      <top style="hair">
        <color theme="3"/>
      </top>
      <bottom style="hair">
        <color theme="3"/>
      </bottom>
      <diagonal/>
    </border>
    <border>
      <left style="hair">
        <color theme="3"/>
      </left>
      <right style="thin">
        <color indexed="64"/>
      </right>
      <top style="hair">
        <color theme="3"/>
      </top>
      <bottom style="hair">
        <color theme="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hair">
        <color theme="3"/>
      </left>
      <right style="hair">
        <color theme="3"/>
      </right>
      <top style="hair">
        <color theme="3"/>
      </top>
      <bottom/>
      <diagonal/>
    </border>
    <border>
      <left style="thin">
        <color theme="3"/>
      </left>
      <right style="thin">
        <color theme="3"/>
      </right>
      <top style="hair">
        <color theme="3"/>
      </top>
      <bottom/>
      <diagonal/>
    </border>
    <border>
      <left style="thin">
        <color theme="3"/>
      </left>
      <right style="hair">
        <color theme="3"/>
      </right>
      <top style="hair">
        <color theme="3"/>
      </top>
      <bottom/>
      <diagonal/>
    </border>
    <border>
      <left style="hair">
        <color theme="3"/>
      </left>
      <right style="thin">
        <color theme="3"/>
      </right>
      <top style="hair">
        <color theme="3"/>
      </top>
      <bottom/>
      <diagonal/>
    </border>
    <border>
      <left style="hair">
        <color theme="3"/>
      </left>
      <right style="thin">
        <color theme="3"/>
      </right>
      <top/>
      <bottom style="hair">
        <color theme="3"/>
      </bottom>
      <diagonal/>
    </border>
    <border>
      <left style="thin">
        <color indexed="64"/>
      </left>
      <right style="thin">
        <color indexed="64"/>
      </right>
      <top style="hair">
        <color theme="3"/>
      </top>
      <bottom/>
      <diagonal/>
    </border>
    <border>
      <left style="hair">
        <color theme="3"/>
      </left>
      <right style="thin">
        <color indexed="64"/>
      </right>
      <top style="hair">
        <color theme="3"/>
      </top>
      <bottom/>
      <diagonal/>
    </border>
    <border>
      <left/>
      <right style="hair">
        <color theme="3"/>
      </right>
      <top style="hair">
        <color theme="3"/>
      </top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theme="3"/>
      </left>
      <right style="hair">
        <color theme="3"/>
      </right>
      <top/>
      <bottom style="hair">
        <color theme="3"/>
      </bottom>
      <diagonal/>
    </border>
    <border>
      <left style="hair">
        <color theme="3"/>
      </left>
      <right style="hair">
        <color theme="3"/>
      </right>
      <top/>
      <bottom style="hair">
        <color theme="3"/>
      </bottom>
      <diagonal/>
    </border>
    <border>
      <left style="hair">
        <color theme="3"/>
      </left>
      <right style="thin">
        <color indexed="64"/>
      </right>
      <top/>
      <bottom style="hair">
        <color theme="3"/>
      </bottom>
      <diagonal/>
    </border>
    <border>
      <left/>
      <right style="hair">
        <color theme="3"/>
      </right>
      <top/>
      <bottom style="hair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3"/>
      </left>
      <right/>
      <top style="hair">
        <color theme="3"/>
      </top>
      <bottom style="hair">
        <color theme="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354A5D"/>
      </bottom>
      <diagonal/>
    </border>
    <border>
      <left/>
      <right style="medium">
        <color indexed="64"/>
      </right>
      <top/>
      <bottom style="medium">
        <color rgb="FF354A5D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theme="3"/>
      </left>
      <right/>
      <top style="hair">
        <color theme="3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theme="3"/>
      </right>
      <top style="hair">
        <color theme="3"/>
      </top>
      <bottom style="medium">
        <color indexed="64"/>
      </bottom>
      <diagonal/>
    </border>
    <border>
      <left style="medium">
        <color indexed="64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medium">
        <color indexed="64"/>
      </left>
      <right style="hair">
        <color theme="3"/>
      </right>
      <top style="hair">
        <color theme="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1" fillId="0" borderId="0"/>
    <xf numFmtId="9" fontId="1" fillId="0" borderId="0"/>
    <xf numFmtId="0" fontId="2" fillId="0" borderId="0"/>
    <xf numFmtId="0" fontId="14" fillId="0" borderId="0"/>
  </cellStyleXfs>
  <cellXfs count="34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1" fontId="3" fillId="0" borderId="0" pivotButton="0" quotePrefix="0" xfId="0"/>
    <xf numFmtId="0" fontId="3" fillId="0" borderId="0" applyProtection="1" pivotButton="0" quotePrefix="0" xfId="0">
      <protection locked="0" hidden="0"/>
    </xf>
    <xf numFmtId="1" fontId="3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right"/>
    </xf>
    <xf numFmtId="0" fontId="3" fillId="3" borderId="0" applyProtection="1" pivotButton="0" quotePrefix="0" xfId="0">
      <protection locked="0" hidden="0"/>
    </xf>
    <xf numFmtId="0" fontId="4" fillId="4" borderId="1" applyAlignment="1" pivotButton="0" quotePrefix="0" xfId="0">
      <alignment horizontal="left" indent="1"/>
    </xf>
    <xf numFmtId="0" fontId="3" fillId="3" borderId="0" applyAlignment="1" pivotButton="0" quotePrefix="0" xfId="0">
      <alignment horizontal="center"/>
    </xf>
    <xf numFmtId="0" fontId="5" fillId="4" borderId="2" applyAlignment="1" pivotButton="0" quotePrefix="0" xfId="0">
      <alignment horizontal="left" indent="1"/>
    </xf>
    <xf numFmtId="164" fontId="3" fillId="3" borderId="0" pivotButton="0" quotePrefix="0" xfId="0"/>
    <xf numFmtId="0" fontId="2" fillId="4" borderId="3" applyAlignment="1" pivotButton="0" quotePrefix="0" xfId="2">
      <alignment horizontal="left" indent="1"/>
    </xf>
    <xf numFmtId="0" fontId="3" fillId="3" borderId="4" pivotButton="0" quotePrefix="0" xfId="0"/>
    <xf numFmtId="0" fontId="3" fillId="3" borderId="4" applyAlignment="1" pivotButton="0" quotePrefix="0" xfId="0">
      <alignment horizontal="right"/>
    </xf>
    <xf numFmtId="1" fontId="3" fillId="3" borderId="4" pivotButton="0" quotePrefix="0" xfId="0"/>
    <xf numFmtId="0" fontId="3" fillId="3" borderId="4" applyProtection="1" pivotButton="0" quotePrefix="0" xfId="0">
      <protection locked="0" hidden="0"/>
    </xf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165" fontId="3" fillId="0" borderId="0" pivotButton="0" quotePrefix="0" xfId="0"/>
    <xf numFmtId="0" fontId="6" fillId="5" borderId="0" applyAlignment="1" pivotButton="0" quotePrefix="0" xfId="0">
      <alignment horizontal="left" indent="2"/>
    </xf>
    <xf numFmtId="0" fontId="3" fillId="5" borderId="0" pivotButton="0" quotePrefix="0" xfId="0"/>
    <xf numFmtId="0" fontId="3" fillId="5" borderId="0" applyAlignment="1" pivotButton="0" quotePrefix="0" xfId="0">
      <alignment horizontal="right"/>
    </xf>
    <xf numFmtId="0" fontId="7" fillId="5" borderId="0" pivotButton="0" quotePrefix="0" xfId="0"/>
    <xf numFmtId="9" fontId="3" fillId="0" borderId="0" pivotButton="0" quotePrefix="0" xfId="1"/>
    <xf numFmtId="0" fontId="3" fillId="4" borderId="5" pivotButton="0" quotePrefix="0" xfId="0"/>
    <xf numFmtId="0" fontId="3" fillId="4" borderId="6" pivotButton="0" quotePrefix="0" xfId="0"/>
    <xf numFmtId="0" fontId="3" fillId="4" borderId="7" pivotButton="0" quotePrefix="0" xfId="0"/>
    <xf numFmtId="0" fontId="6" fillId="6" borderId="0" applyAlignment="1" pivotButton="0" quotePrefix="0" xfId="0">
      <alignment horizontal="centerContinuous" vertical="center"/>
    </xf>
    <xf numFmtId="0" fontId="6" fillId="7" borderId="0" applyAlignment="1" pivotButton="0" quotePrefix="0" xfId="0">
      <alignment horizontal="centerContinuous" vertical="center"/>
    </xf>
    <xf numFmtId="0" fontId="6" fillId="8" borderId="0" applyAlignment="1" pivotButton="0" quotePrefix="0" xfId="0">
      <alignment horizontal="centerContinuous" vertical="center"/>
    </xf>
    <xf numFmtId="0" fontId="3" fillId="4" borderId="8" pivotButton="0" quotePrefix="0" xfId="0"/>
    <xf numFmtId="0" fontId="6" fillId="9" borderId="0" applyAlignment="1" pivotButton="0" quotePrefix="0" xfId="0">
      <alignment horizontal="centerContinuous" vertical="center"/>
    </xf>
    <xf numFmtId="0" fontId="3" fillId="4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4" borderId="0" pivotButton="0" quotePrefix="0" xfId="0"/>
    <xf numFmtId="0" fontId="3" fillId="0" borderId="13" pivotButton="0" quotePrefix="0" xfId="0"/>
    <xf numFmtId="0" fontId="3" fillId="0" borderId="14" pivotButton="0" quotePrefix="0" xfId="0"/>
    <xf numFmtId="0" fontId="8" fillId="10" borderId="0" applyAlignment="1" pivotButton="0" quotePrefix="0" xfId="0">
      <alignment horizontal="centerContinuous" vertical="center"/>
    </xf>
    <xf numFmtId="0" fontId="9" fillId="11" borderId="0" applyAlignment="1" pivotButton="0" quotePrefix="0" xfId="0">
      <alignment horizontal="centerContinuous" vertical="center"/>
    </xf>
    <xf numFmtId="0" fontId="10" fillId="12" borderId="0" applyAlignment="1" pivotButton="0" quotePrefix="0" xfId="0">
      <alignment horizontal="centerContinuous" vertical="center"/>
    </xf>
    <xf numFmtId="0" fontId="11" fillId="13" borderId="0" applyAlignment="1" pivotButton="0" quotePrefix="0" xfId="0">
      <alignment horizontal="centerContinuous" vertical="center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center" wrapText="1"/>
    </xf>
    <xf numFmtId="0" fontId="3" fillId="4" borderId="8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3" fillId="4" borderId="9" applyAlignment="1" pivotButton="0" quotePrefix="0" xfId="0">
      <alignment wrapText="1"/>
    </xf>
    <xf numFmtId="1" fontId="3" fillId="0" borderId="0" applyAlignment="1" pivotButton="0" quotePrefix="0" xfId="0">
      <alignment wrapText="1"/>
    </xf>
    <xf numFmtId="0" fontId="15" fillId="14" borderId="0" applyAlignment="1" pivotButton="0" quotePrefix="0" xfId="3">
      <alignment vertical="top"/>
    </xf>
    <xf numFmtId="0" fontId="15" fillId="15" borderId="0" applyAlignment="1" applyProtection="1" pivotButton="0" quotePrefix="0" xfId="3">
      <alignment horizontal="center" vertical="center"/>
      <protection locked="0" hidden="0"/>
    </xf>
    <xf numFmtId="0" fontId="15" fillId="10" borderId="0" applyAlignment="1" applyProtection="1" pivotButton="0" quotePrefix="0" xfId="3">
      <alignment horizontal="center" vertical="center"/>
      <protection locked="0" hidden="0"/>
    </xf>
    <xf numFmtId="0" fontId="15" fillId="18" borderId="0" applyAlignment="1" applyProtection="1" pivotButton="0" quotePrefix="0" xfId="3">
      <alignment horizontal="center" vertical="center"/>
      <protection locked="0" hidden="0"/>
    </xf>
    <xf numFmtId="0" fontId="3" fillId="0" borderId="13" applyAlignment="1" pivotButton="0" quotePrefix="0" xfId="0">
      <alignment wrapText="1"/>
    </xf>
    <xf numFmtId="0" fontId="16" fillId="12" borderId="15" applyAlignment="1" pivotButton="0" quotePrefix="0" xfId="0">
      <alignment horizontal="center" wrapText="1"/>
    </xf>
    <xf numFmtId="0" fontId="3" fillId="0" borderId="14" applyAlignment="1" pivotButton="0" quotePrefix="0" xfId="0">
      <alignment wrapTex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1" xfId="0">
      <alignment horizontal="center" vertical="center" wrapText="1"/>
    </xf>
    <xf numFmtId="0" fontId="5" fillId="0" borderId="0" applyAlignment="1" pivotButton="0" quotePrefix="1" xfId="0">
      <alignment horizontal="center" vertical="center" wrapText="1"/>
    </xf>
    <xf numFmtId="0" fontId="5" fillId="4" borderId="4" applyAlignment="1" pivotButton="0" quotePrefix="1" xfId="0">
      <alignment horizontal="center" vertical="center" wrapText="1"/>
    </xf>
    <xf numFmtId="0" fontId="5" fillId="0" borderId="0" pivotButton="0" quotePrefix="0" xfId="0"/>
    <xf numFmtId="0" fontId="5" fillId="12" borderId="16" pivotButton="0" quotePrefix="0" xfId="0"/>
    <xf numFmtId="0" fontId="5" fillId="12" borderId="16" applyAlignment="1" pivotButton="0" quotePrefix="0" xfId="0">
      <alignment horizontal="right"/>
    </xf>
    <xf numFmtId="164" fontId="5" fillId="12" borderId="16" applyAlignment="1" pivotButton="0" quotePrefix="0" xfId="0">
      <alignment horizontal="right" vertical="center"/>
    </xf>
    <xf numFmtId="166" fontId="5" fillId="12" borderId="16" applyAlignment="1" pivotButton="0" quotePrefix="0" xfId="0">
      <alignment horizontal="right" vertical="center"/>
    </xf>
    <xf numFmtId="167" fontId="17" fillId="12" borderId="16" applyAlignment="1" pivotButton="0" quotePrefix="0" xfId="0">
      <alignment horizontal="right" vertical="center"/>
    </xf>
    <xf numFmtId="166" fontId="5" fillId="12" borderId="0" applyAlignment="1" pivotButton="0" quotePrefix="0" xfId="0">
      <alignment horizontal="right" vertical="center"/>
    </xf>
    <xf numFmtId="164" fontId="5" fillId="2" borderId="16" applyAlignment="1" pivotButton="0" quotePrefix="0" xfId="0">
      <alignment horizontal="right" vertical="center"/>
    </xf>
    <xf numFmtId="9" fontId="5" fillId="12" borderId="16" pivotButton="0" quotePrefix="0" xfId="0"/>
    <xf numFmtId="0" fontId="5" fillId="4" borderId="8" pivotButton="0" quotePrefix="0" xfId="0"/>
    <xf numFmtId="167" fontId="17" fillId="4" borderId="16" applyAlignment="1" pivotButton="0" quotePrefix="0" xfId="0">
      <alignment horizontal="right" vertical="center"/>
    </xf>
    <xf numFmtId="0" fontId="5" fillId="4" borderId="9" pivotButton="0" quotePrefix="0" xfId="0"/>
    <xf numFmtId="1" fontId="5" fillId="0" borderId="0" pivotButton="0" quotePrefix="0" xfId="0"/>
    <xf numFmtId="166" fontId="3" fillId="0" borderId="0" applyAlignment="1" pivotButton="0" quotePrefix="0" xfId="0">
      <alignment horizontal="right" vertical="center"/>
    </xf>
    <xf numFmtId="0" fontId="5" fillId="0" borderId="17" applyAlignment="1" pivotButton="0" quotePrefix="0" xfId="0">
      <alignment horizontal="center" wrapText="1"/>
    </xf>
    <xf numFmtId="0" fontId="5" fillId="0" borderId="17" applyAlignment="1" applyProtection="1" pivotButton="0" quotePrefix="0" xfId="0">
      <alignment horizontal="center" wrapText="1"/>
      <protection locked="0" hidden="0"/>
    </xf>
    <xf numFmtId="0" fontId="5" fillId="0" borderId="13" pivotButton="0" quotePrefix="0" xfId="0"/>
    <xf numFmtId="0" fontId="18" fillId="0" borderId="0" applyAlignment="1" pivotButton="0" quotePrefix="0" xfId="0">
      <alignment horizontal="center"/>
    </xf>
    <xf numFmtId="0" fontId="5" fillId="0" borderId="14" pivotButton="0" quotePrefix="0" xfId="0"/>
    <xf numFmtId="0" fontId="19" fillId="0" borderId="0" pivotButton="0" quotePrefix="0" xfId="0"/>
    <xf numFmtId="0" fontId="3" fillId="2" borderId="0" pivotButton="0" quotePrefix="0" xfId="0"/>
    <xf numFmtId="0" fontId="3" fillId="2" borderId="18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1" fontId="3" fillId="0" borderId="0" applyAlignment="1" pivotButton="0" quotePrefix="0" xfId="0">
      <alignment horizontal="right" vertical="center"/>
    </xf>
    <xf numFmtId="164" fontId="3" fillId="2" borderId="19" applyAlignment="1" pivotButton="0" quotePrefix="0" xfId="0">
      <alignment horizontal="center" vertical="center"/>
    </xf>
    <xf numFmtId="166" fontId="3" fillId="2" borderId="19" applyAlignment="1" pivotButton="0" quotePrefix="0" xfId="0">
      <alignment horizontal="right" vertical="center"/>
    </xf>
    <xf numFmtId="168" fontId="3" fillId="0" borderId="19" applyAlignment="1" pivotButton="0" quotePrefix="0" xfId="0">
      <alignment horizontal="right" vertical="center"/>
    </xf>
    <xf numFmtId="168" fontId="3" fillId="0" borderId="0" pivotButton="0" quotePrefix="0" xfId="0"/>
    <xf numFmtId="167" fontId="20" fillId="2" borderId="19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9" fontId="7" fillId="0" borderId="0" pivotButton="0" quotePrefix="0" xfId="0"/>
    <xf numFmtId="0" fontId="3" fillId="12" borderId="20" pivotButton="0" quotePrefix="0" xfId="0"/>
    <xf numFmtId="9" fontId="7" fillId="12" borderId="0" pivotButton="0" quotePrefix="0" xfId="0"/>
    <xf numFmtId="0" fontId="3" fillId="12" borderId="0" pivotButton="0" quotePrefix="0" xfId="0"/>
    <xf numFmtId="0" fontId="3" fillId="12" borderId="21" pivotButton="0" quotePrefix="0" xfId="0"/>
    <xf numFmtId="1" fontId="21" fillId="0" borderId="0" pivotButton="0" quotePrefix="0" xfId="0"/>
    <xf numFmtId="164" fontId="3" fillId="2" borderId="22" applyAlignment="1" pivotButton="0" quotePrefix="0" xfId="0">
      <alignment horizontal="right" vertical="center"/>
    </xf>
    <xf numFmtId="164" fontId="3" fillId="2" borderId="19" applyAlignment="1" pivotButton="0" quotePrefix="0" xfId="0">
      <alignment horizontal="right" vertical="center"/>
    </xf>
    <xf numFmtId="164" fontId="3" fillId="2" borderId="23" applyAlignment="1" pivotButton="0" quotePrefix="0" xfId="0">
      <alignment horizontal="right" vertical="center"/>
    </xf>
    <xf numFmtId="164" fontId="3" fillId="2" borderId="24" applyAlignment="1" pivotButton="0" quotePrefix="0" xfId="0">
      <alignment horizontal="right" vertical="center"/>
    </xf>
    <xf numFmtId="164" fontId="3" fillId="2" borderId="19" applyAlignment="1" applyProtection="1" pivotButton="0" quotePrefix="0" xfId="0">
      <alignment horizontal="right" vertical="center"/>
      <protection locked="0" hidden="0"/>
    </xf>
    <xf numFmtId="164" fontId="3" fillId="2" borderId="25" applyAlignment="1" applyProtection="1" pivotButton="0" quotePrefix="0" xfId="0">
      <alignment horizontal="right" vertical="center"/>
      <protection locked="0" hidden="0"/>
    </xf>
    <xf numFmtId="164" fontId="3" fillId="2" borderId="26" applyAlignment="1" applyProtection="1" pivotButton="0" quotePrefix="0" xfId="0">
      <alignment horizontal="right" vertical="center"/>
      <protection locked="0" hidden="0"/>
    </xf>
    <xf numFmtId="164" fontId="3" fillId="2" borderId="27" applyAlignment="1" applyProtection="1" pivotButton="0" quotePrefix="0" xfId="0">
      <alignment horizontal="right" vertical="center"/>
      <protection locked="0" hidden="0"/>
    </xf>
    <xf numFmtId="164" fontId="3" fillId="2" borderId="22" applyAlignment="1" applyProtection="1" pivotButton="0" quotePrefix="0" xfId="0">
      <alignment horizontal="right" vertical="center"/>
      <protection locked="0" hidden="0"/>
    </xf>
    <xf numFmtId="164" fontId="3" fillId="2" borderId="23" applyAlignment="1" applyProtection="1" pivotButton="0" quotePrefix="0" xfId="0">
      <alignment horizontal="right" vertical="center"/>
      <protection locked="0" hidden="0"/>
    </xf>
    <xf numFmtId="164" fontId="22" fillId="2" borderId="19" applyAlignment="1" pivotButton="0" quotePrefix="0" xfId="0">
      <alignment horizontal="left" vertical="center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9" fontId="15" fillId="19" borderId="28" pivotButton="0" quotePrefix="0" xfId="0"/>
    <xf numFmtId="9" fontId="15" fillId="19" borderId="29" applyAlignment="1" pivotButton="0" quotePrefix="0" xfId="0">
      <alignment horizontal="right" indent="1"/>
    </xf>
    <xf numFmtId="166" fontId="5" fillId="15" borderId="30" applyAlignment="1" pivotButton="0" quotePrefix="0" xfId="0">
      <alignment horizontal="center" vertical="center"/>
    </xf>
    <xf numFmtId="169" fontId="3" fillId="0" borderId="0" pivotButton="0" quotePrefix="0" xfId="0"/>
    <xf numFmtId="167" fontId="17" fillId="15" borderId="30" applyAlignment="1" pivotButton="0" quotePrefix="0" xfId="0">
      <alignment horizontal="center" vertical="center"/>
    </xf>
    <xf numFmtId="0" fontId="25" fillId="0" borderId="0" pivotButton="0" quotePrefix="0" xfId="0"/>
    <xf numFmtId="165" fontId="20" fillId="12" borderId="0" pivotButton="0" quotePrefix="0" xfId="1"/>
    <xf numFmtId="0" fontId="3" fillId="0" borderId="31" pivotButton="0" quotePrefix="0" xfId="0"/>
    <xf numFmtId="0" fontId="24" fillId="0" borderId="32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3" fillId="0" borderId="36" pivotButton="0" quotePrefix="0" xfId="0"/>
    <xf numFmtId="0" fontId="5" fillId="12" borderId="0" pivotButton="0" quotePrefix="0" xfId="0"/>
    <xf numFmtId="0" fontId="3" fillId="0" borderId="37" pivotButton="0" quotePrefix="0" xfId="0"/>
    <xf numFmtId="0" fontId="3" fillId="0" borderId="38" pivotButton="0" quotePrefix="0" xfId="0"/>
    <xf numFmtId="166" fontId="3" fillId="0" borderId="19" applyAlignment="1" pivotButton="0" quotePrefix="0" xfId="0">
      <alignment horizontal="right" vertical="center"/>
    </xf>
    <xf numFmtId="166" fontId="3" fillId="0" borderId="0" pivotButton="0" quotePrefix="0" xfId="0"/>
    <xf numFmtId="164" fontId="3" fillId="12" borderId="0" pivotButton="0" quotePrefix="0" xfId="0"/>
    <xf numFmtId="164" fontId="3" fillId="12" borderId="0" applyAlignment="1" pivotButton="0" quotePrefix="0" xfId="0">
      <alignment horizontal="right" vertical="center"/>
    </xf>
    <xf numFmtId="165" fontId="3" fillId="12" borderId="0" pivotButton="0" quotePrefix="0" xfId="1"/>
    <xf numFmtId="164" fontId="3" fillId="2" borderId="39" applyAlignment="1" applyProtection="1" pivotButton="0" quotePrefix="0" xfId="0">
      <alignment horizontal="right" vertical="center"/>
      <protection locked="0" hidden="0"/>
    </xf>
    <xf numFmtId="164" fontId="3" fillId="2" borderId="40" applyAlignment="1" applyProtection="1" pivotButton="0" quotePrefix="0" xfId="0">
      <alignment horizontal="right" vertical="center"/>
      <protection locked="0" hidden="0"/>
    </xf>
    <xf numFmtId="164" fontId="3" fillId="2" borderId="41" applyAlignment="1" applyProtection="1" pivotButton="0" quotePrefix="0" xfId="0">
      <alignment horizontal="right" vertical="center"/>
      <protection locked="0" hidden="0"/>
    </xf>
    <xf numFmtId="164" fontId="3" fillId="2" borderId="42" applyAlignment="1" applyProtection="1" pivotButton="0" quotePrefix="0" xfId="0">
      <alignment horizontal="right" vertical="center"/>
      <protection locked="0" hidden="0"/>
    </xf>
    <xf numFmtId="0" fontId="3" fillId="0" borderId="37" applyAlignment="1" pivotButton="0" quotePrefix="0" xfId="0">
      <alignment wrapText="1"/>
    </xf>
    <xf numFmtId="0" fontId="3" fillId="0" borderId="38" applyAlignment="1" pivotButton="0" quotePrefix="0" xfId="0">
      <alignment wrapText="1"/>
    </xf>
    <xf numFmtId="0" fontId="5" fillId="0" borderId="37" pivotButton="0" quotePrefix="0" xfId="0"/>
    <xf numFmtId="0" fontId="5" fillId="0" borderId="38" pivotButton="0" quotePrefix="0" xfId="0"/>
    <xf numFmtId="164" fontId="3" fillId="2" borderId="43" applyAlignment="1" pivotButton="0" quotePrefix="0" xfId="0">
      <alignment horizontal="right" vertical="center"/>
    </xf>
    <xf numFmtId="0" fontId="22" fillId="2" borderId="19" applyAlignment="1" pivotButton="0" quotePrefix="0" xfId="0">
      <alignment horizontal="left" vertical="center"/>
    </xf>
    <xf numFmtId="164" fontId="3" fillId="2" borderId="41" applyAlignment="1" pivotButton="0" quotePrefix="0" xfId="0">
      <alignment horizontal="right" vertical="center"/>
    </xf>
    <xf numFmtId="164" fontId="3" fillId="2" borderId="39" applyAlignment="1" pivotButton="0" quotePrefix="0" xfId="0">
      <alignment horizontal="right" vertical="center"/>
    </xf>
    <xf numFmtId="164" fontId="3" fillId="2" borderId="44" applyAlignment="1" pivotButton="0" quotePrefix="0" xfId="0">
      <alignment horizontal="right" vertical="center"/>
    </xf>
    <xf numFmtId="164" fontId="3" fillId="2" borderId="45" applyAlignment="1" applyProtection="1" pivotButton="0" quotePrefix="0" xfId="0">
      <alignment horizontal="right" vertical="center"/>
      <protection locked="0" hidden="0"/>
    </xf>
    <xf numFmtId="164" fontId="3" fillId="2" borderId="46" applyAlignment="1" applyProtection="1" pivotButton="0" quotePrefix="0" xfId="0">
      <alignment horizontal="right" vertical="center"/>
      <protection locked="0" hidden="0"/>
    </xf>
    <xf numFmtId="0" fontId="3" fillId="0" borderId="47" pivotButton="0" quotePrefix="0" xfId="0"/>
    <xf numFmtId="0" fontId="24" fillId="0" borderId="48" pivotButton="0" quotePrefix="0" xfId="0"/>
    <xf numFmtId="0" fontId="3" fillId="0" borderId="48" pivotButton="0" quotePrefix="0" xfId="0"/>
    <xf numFmtId="0" fontId="3" fillId="0" borderId="49" pivotButton="0" quotePrefix="0" xfId="0"/>
    <xf numFmtId="0" fontId="3" fillId="12" borderId="50" pivotButton="0" quotePrefix="0" xfId="0"/>
    <xf numFmtId="0" fontId="3" fillId="12" borderId="51" pivotButton="0" quotePrefix="0" xfId="0"/>
    <xf numFmtId="0" fontId="3" fillId="12" borderId="52" pivotButton="0" quotePrefix="0" xfId="0"/>
    <xf numFmtId="164" fontId="3" fillId="0" borderId="0" applyAlignment="1" pivotButton="0" quotePrefix="0" xfId="0">
      <alignment horizontal="right" vertical="center"/>
    </xf>
    <xf numFmtId="164" fontId="3" fillId="0" borderId="0" applyAlignment="1" applyProtection="1" pivotButton="0" quotePrefix="0" xfId="0">
      <alignment horizontal="right" vertical="center"/>
      <protection locked="0" hidden="0"/>
    </xf>
    <xf numFmtId="1" fontId="21" fillId="0" borderId="0" applyAlignment="1" pivotButton="0" quotePrefix="0" xfId="0">
      <alignment wrapText="1"/>
    </xf>
    <xf numFmtId="0" fontId="5" fillId="0" borderId="4" applyAlignment="1" pivotButton="0" quotePrefix="0" xfId="0">
      <alignment horizontal="right" vertical="center" wrapText="1"/>
    </xf>
    <xf numFmtId="1" fontId="26" fillId="0" borderId="0" pivotButton="0" quotePrefix="0" xfId="0"/>
    <xf numFmtId="170" fontId="3" fillId="0" borderId="19" applyAlignment="1" pivotButton="0" quotePrefix="0" xfId="0">
      <alignment horizontal="right" vertical="center"/>
    </xf>
    <xf numFmtId="164" fontId="3" fillId="2" borderId="53" applyAlignment="1" pivotButton="0" quotePrefix="0" xfId="0">
      <alignment horizontal="right" vertical="center"/>
    </xf>
    <xf numFmtId="164" fontId="3" fillId="2" borderId="54" applyAlignment="1" pivotButton="0" quotePrefix="0" xfId="0">
      <alignment horizontal="right" vertical="center"/>
    </xf>
    <xf numFmtId="164" fontId="3" fillId="2" borderId="55" applyAlignment="1" pivotButton="0" quotePrefix="0" xfId="0">
      <alignment horizontal="right" vertical="center"/>
    </xf>
    <xf numFmtId="164" fontId="3" fillId="2" borderId="56" applyAlignment="1" pivotButton="0" quotePrefix="0" xfId="0">
      <alignment horizontal="right" vertical="center"/>
    </xf>
    <xf numFmtId="164" fontId="3" fillId="2" borderId="56" applyAlignment="1" applyProtection="1" pivotButton="0" quotePrefix="0" xfId="0">
      <alignment horizontal="right" vertical="center"/>
      <protection locked="0" hidden="0"/>
    </xf>
    <xf numFmtId="164" fontId="3" fillId="2" borderId="55" applyAlignment="1" applyProtection="1" pivotButton="0" quotePrefix="0" xfId="0">
      <alignment horizontal="right" vertical="center"/>
      <protection locked="0" hidden="0"/>
    </xf>
    <xf numFmtId="164" fontId="3" fillId="2" borderId="54" applyAlignment="1" applyProtection="1" pivotButton="0" quotePrefix="0" xfId="0">
      <alignment horizontal="right" vertical="center"/>
      <protection locked="0" hidden="0"/>
    </xf>
    <xf numFmtId="164" fontId="3" fillId="2" borderId="27" applyAlignment="1" pivotButton="0" quotePrefix="0" xfId="0">
      <alignment horizontal="right" vertical="center"/>
    </xf>
    <xf numFmtId="164" fontId="3" fillId="2" borderId="26" applyAlignment="1" pivotButton="0" quotePrefix="0" xfId="0">
      <alignment horizontal="right" vertical="center"/>
    </xf>
    <xf numFmtId="164" fontId="3" fillId="2" borderId="45" applyAlignment="1" pivotButton="0" quotePrefix="0" xfId="0">
      <alignment horizontal="right" vertical="center"/>
    </xf>
    <xf numFmtId="164" fontId="3" fillId="2" borderId="46" applyAlignment="1" pivotButton="0" quotePrefix="0" xfId="0">
      <alignment horizontal="right" vertical="center"/>
    </xf>
    <xf numFmtId="164" fontId="3" fillId="12" borderId="51" applyAlignment="1" pivotButton="0" quotePrefix="0" xfId="0">
      <alignment horizontal="right" vertical="center"/>
    </xf>
    <xf numFmtId="0" fontId="3" fillId="0" borderId="0" applyAlignment="1" applyProtection="1" pivotButton="0" quotePrefix="0" xfId="0">
      <alignment wrapText="1"/>
      <protection locked="0" hidden="0"/>
    </xf>
    <xf numFmtId="0" fontId="5" fillId="0" borderId="0" applyProtection="1" pivotButton="0" quotePrefix="0" xfId="0">
      <protection locked="0" hidden="0"/>
    </xf>
    <xf numFmtId="9" fontId="7" fillId="12" borderId="51" pivotButton="0" quotePrefix="0" xfId="0"/>
    <xf numFmtId="0" fontId="0" fillId="0" borderId="57" pivotButton="0" quotePrefix="0" xfId="0"/>
    <xf numFmtId="0" fontId="3" fillId="19" borderId="18" applyAlignment="1" pivotButton="0" quotePrefix="0" xfId="0">
      <alignment horizontal="left"/>
    </xf>
    <xf numFmtId="0" fontId="3" fillId="19" borderId="0" applyAlignment="1" pivotButton="0" quotePrefix="0" xfId="0">
      <alignment horizontal="left" indent="1"/>
    </xf>
    <xf numFmtId="1" fontId="3" fillId="19" borderId="0" applyAlignment="1" pivotButton="0" quotePrefix="0" xfId="0">
      <alignment horizontal="right" vertical="center"/>
    </xf>
    <xf numFmtId="164" fontId="3" fillId="19" borderId="19" applyAlignment="1" pivotButton="0" quotePrefix="0" xfId="0">
      <alignment horizontal="center" vertical="center"/>
    </xf>
    <xf numFmtId="0" fontId="0" fillId="19" borderId="0" pivotButton="0" quotePrefix="0" xfId="0"/>
    <xf numFmtId="168" fontId="3" fillId="20" borderId="19" applyAlignment="1" pivotButton="0" quotePrefix="0" xfId="0">
      <alignment horizontal="right" vertical="center"/>
    </xf>
    <xf numFmtId="166" fontId="3" fillId="20" borderId="19" applyAlignment="1" pivotButton="0" quotePrefix="0" xfId="0">
      <alignment horizontal="right" vertical="center"/>
    </xf>
    <xf numFmtId="0" fontId="0" fillId="20" borderId="0" pivotButton="0" quotePrefix="0" xfId="0"/>
    <xf numFmtId="168" fontId="3" fillId="10" borderId="19" applyAlignment="1" pivotButton="0" quotePrefix="0" xfId="0">
      <alignment horizontal="right" vertical="center"/>
    </xf>
    <xf numFmtId="0" fontId="0" fillId="10" borderId="0" pivotButton="0" quotePrefix="0" xfId="0"/>
    <xf numFmtId="2" fontId="3" fillId="10" borderId="19" applyAlignment="1" pivotButton="0" quotePrefix="0" xfId="0">
      <alignment horizontal="right" vertical="center"/>
    </xf>
    <xf numFmtId="168" fontId="3" fillId="10" borderId="58" applyAlignment="1" pivotButton="0" quotePrefix="0" xfId="0">
      <alignment horizontal="right" vertical="center"/>
    </xf>
    <xf numFmtId="0" fontId="3" fillId="0" borderId="62" pivotButton="0" quotePrefix="0" xfId="0"/>
    <xf numFmtId="0" fontId="3" fillId="0" borderId="63" pivotButton="0" quotePrefix="0" xfId="0"/>
    <xf numFmtId="0" fontId="5" fillId="0" borderId="62" applyAlignment="1" pivotButton="0" quotePrefix="0" xfId="0">
      <alignment horizontal="center" wrapText="1"/>
    </xf>
    <xf numFmtId="0" fontId="5" fillId="0" borderId="63" applyAlignment="1" pivotButton="0" quotePrefix="0" xfId="0">
      <alignment horizontal="center" wrapText="1"/>
    </xf>
    <xf numFmtId="0" fontId="5" fillId="0" borderId="64" applyAlignment="1" pivotButton="0" quotePrefix="1" xfId="0">
      <alignment horizontal="center" vertical="center" wrapText="1"/>
    </xf>
    <xf numFmtId="0" fontId="5" fillId="0" borderId="65" applyAlignment="1" pivotButton="0" quotePrefix="1" xfId="0">
      <alignment horizontal="center" vertical="center" wrapText="1"/>
    </xf>
    <xf numFmtId="0" fontId="3" fillId="0" borderId="69" pivotButton="0" quotePrefix="0" xfId="0"/>
    <xf numFmtId="0" fontId="3" fillId="0" borderId="71" pivotButton="0" quotePrefix="0" xfId="0"/>
    <xf numFmtId="0" fontId="3" fillId="0" borderId="59" pivotButton="0" quotePrefix="0" xfId="0"/>
    <xf numFmtId="0" fontId="3" fillId="0" borderId="60" pivotButton="0" quotePrefix="0" xfId="0"/>
    <xf numFmtId="0" fontId="3" fillId="0" borderId="61" pivotButton="0" quotePrefix="0" xfId="0"/>
    <xf numFmtId="0" fontId="6" fillId="7" borderId="73" applyAlignment="1" pivotButton="0" quotePrefix="0" xfId="0">
      <alignment horizontal="centerContinuous" vertical="center"/>
    </xf>
    <xf numFmtId="0" fontId="6" fillId="7" borderId="74" applyAlignment="1" pivotButton="0" quotePrefix="0" xfId="0">
      <alignment horizontal="centerContinuous" vertical="center"/>
    </xf>
    <xf numFmtId="0" fontId="9" fillId="14" borderId="0" applyAlignment="1" pivotButton="0" quotePrefix="0" xfId="0">
      <alignment vertical="center"/>
    </xf>
    <xf numFmtId="0" fontId="9" fillId="14" borderId="0" applyAlignment="1" pivotButton="0" quotePrefix="0" xfId="0">
      <alignment horizontal="centerContinuous" vertical="center"/>
    </xf>
    <xf numFmtId="0" fontId="9" fillId="14" borderId="63" applyAlignment="1" pivotButton="0" quotePrefix="0" xfId="0">
      <alignment horizontal="centerContinuous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Continuous" vertical="center"/>
    </xf>
    <xf numFmtId="0" fontId="6" fillId="22" borderId="0" applyAlignment="1" pivotButton="0" quotePrefix="0" xfId="0">
      <alignment horizontal="left" vertical="center"/>
    </xf>
    <xf numFmtId="0" fontId="6" fillId="22" borderId="0" applyAlignment="1" pivotButton="0" quotePrefix="0" xfId="0">
      <alignment horizontal="centerContinuous" vertical="center"/>
    </xf>
    <xf numFmtId="0" fontId="27" fillId="22" borderId="0" applyAlignment="1" pivotButton="0" quotePrefix="0" xfId="0">
      <alignment vertical="center"/>
    </xf>
    <xf numFmtId="0" fontId="27" fillId="22" borderId="0" applyAlignment="1" pivotButton="0" quotePrefix="0" xfId="0">
      <alignment horizontal="centerContinuous" vertical="center"/>
    </xf>
    <xf numFmtId="0" fontId="27" fillId="22" borderId="63" applyAlignment="1" pivotButton="0" quotePrefix="0" xfId="0">
      <alignment horizontal="centerContinuous" vertical="center"/>
    </xf>
    <xf numFmtId="9" fontId="0" fillId="0" borderId="57" pivotButton="0" quotePrefix="0" xfId="0"/>
    <xf numFmtId="167" fontId="20" fillId="24" borderId="19" applyAlignment="1" pivotButton="0" quotePrefix="0" xfId="0">
      <alignment horizontal="right" vertical="center"/>
    </xf>
    <xf numFmtId="0" fontId="3" fillId="19" borderId="0" pivotButton="0" quotePrefix="0" xfId="0"/>
    <xf numFmtId="164" fontId="5" fillId="19" borderId="16" applyAlignment="1" pivotButton="0" quotePrefix="0" xfId="0">
      <alignment horizontal="right" vertical="center"/>
    </xf>
    <xf numFmtId="0" fontId="20" fillId="19" borderId="18" applyAlignment="1" pivotButton="0" quotePrefix="0" xfId="0">
      <alignment horizontal="left"/>
    </xf>
    <xf numFmtId="0" fontId="20" fillId="19" borderId="0" applyAlignment="1" pivotButton="0" quotePrefix="0" xfId="0">
      <alignment horizontal="left" indent="1"/>
    </xf>
    <xf numFmtId="1" fontId="20" fillId="19" borderId="0" applyAlignment="1" pivotButton="0" quotePrefix="0" xfId="0">
      <alignment horizontal="right" vertical="center"/>
    </xf>
    <xf numFmtId="164" fontId="20" fillId="19" borderId="19" applyAlignment="1" pivotButton="0" quotePrefix="0" xfId="0">
      <alignment horizontal="center" vertical="center"/>
    </xf>
    <xf numFmtId="166" fontId="20" fillId="19" borderId="19" applyAlignment="1" pivotButton="0" quotePrefix="0" xfId="0">
      <alignment horizontal="right" vertical="center"/>
    </xf>
    <xf numFmtId="166" fontId="5" fillId="19" borderId="19" applyAlignment="1" pivotButton="0" quotePrefix="0" xfId="0">
      <alignment horizontal="right" vertical="center"/>
    </xf>
    <xf numFmtId="9" fontId="15" fillId="15" borderId="28" pivotButton="0" quotePrefix="0" xfId="0"/>
    <xf numFmtId="9" fontId="15" fillId="15" borderId="29" applyAlignment="1" pivotButton="0" quotePrefix="0" xfId="0">
      <alignment horizontal="right" indent="1"/>
    </xf>
    <xf numFmtId="0" fontId="3" fillId="4" borderId="59" pivotButton="0" quotePrefix="0" xfId="0"/>
    <xf numFmtId="0" fontId="3" fillId="4" borderId="60" pivotButton="0" quotePrefix="0" xfId="0"/>
    <xf numFmtId="0" fontId="3" fillId="4" borderId="61" pivotButton="0" quotePrefix="0" xfId="0"/>
    <xf numFmtId="0" fontId="3" fillId="4" borderId="62" pivotButton="0" quotePrefix="0" xfId="0"/>
    <xf numFmtId="0" fontId="3" fillId="4" borderId="63" pivotButton="0" quotePrefix="0" xfId="0"/>
    <xf numFmtId="0" fontId="3" fillId="4" borderId="62" applyAlignment="1" pivotButton="0" quotePrefix="0" xfId="0">
      <alignment wrapText="1"/>
    </xf>
    <xf numFmtId="0" fontId="3" fillId="4" borderId="63" applyAlignment="1" pivotButton="0" quotePrefix="0" xfId="0">
      <alignment wrapText="1"/>
    </xf>
    <xf numFmtId="0" fontId="5" fillId="4" borderId="62" pivotButton="0" quotePrefix="0" xfId="0"/>
    <xf numFmtId="0" fontId="5" fillId="4" borderId="63" pivotButton="0" quotePrefix="0" xfId="0"/>
    <xf numFmtId="0" fontId="3" fillId="12" borderId="62" pivotButton="0" quotePrefix="0" xfId="0"/>
    <xf numFmtId="0" fontId="3" fillId="12" borderId="63" pivotButton="0" quotePrefix="0" xfId="0"/>
    <xf numFmtId="0" fontId="3" fillId="15" borderId="62" pivotButton="0" quotePrefix="0" xfId="0"/>
    <xf numFmtId="165" fontId="20" fillId="12" borderId="0" pivotButton="0" quotePrefix="0" xfId="1"/>
    <xf numFmtId="165" fontId="3" fillId="12" borderId="0" pivotButton="0" quotePrefix="0" xfId="1"/>
    <xf numFmtId="0" fontId="3" fillId="12" borderId="68" pivotButton="0" quotePrefix="0" xfId="0"/>
    <xf numFmtId="9" fontId="7" fillId="12" borderId="69" pivotButton="0" quotePrefix="0" xfId="0"/>
    <xf numFmtId="0" fontId="3" fillId="12" borderId="69" pivotButton="0" quotePrefix="0" xfId="0"/>
    <xf numFmtId="164" fontId="3" fillId="12" borderId="69" pivotButton="0" quotePrefix="0" xfId="0"/>
    <xf numFmtId="0" fontId="3" fillId="12" borderId="71" pivotButton="0" quotePrefix="0" xfId="0"/>
    <xf numFmtId="0" fontId="9" fillId="14" borderId="0" applyAlignment="1" pivotButton="0" quotePrefix="0" xfId="0">
      <alignment horizontal="center" vertical="center"/>
    </xf>
    <xf numFmtId="0" fontId="9" fillId="14" borderId="63" applyAlignment="1" pivotButton="0" quotePrefix="0" xfId="0">
      <alignment horizontal="center" vertical="center"/>
    </xf>
    <xf numFmtId="164" fontId="3" fillId="19" borderId="58" applyAlignment="1" pivotButton="0" quotePrefix="0" xfId="0">
      <alignment horizontal="center" vertical="center"/>
    </xf>
    <xf numFmtId="164" fontId="20" fillId="19" borderId="58" applyAlignment="1" pivotButton="0" quotePrefix="0" xfId="0">
      <alignment horizontal="center" vertical="center"/>
    </xf>
    <xf numFmtId="0" fontId="0" fillId="0" borderId="76" pivotButton="0" quotePrefix="0" xfId="0"/>
    <xf numFmtId="0" fontId="0" fillId="0" borderId="77" pivotButton="0" quotePrefix="0" xfId="0"/>
    <xf numFmtId="0" fontId="0" fillId="0" borderId="75" pivotButton="0" quotePrefix="0" xfId="0"/>
    <xf numFmtId="0" fontId="0" fillId="10" borderId="75" pivotButton="0" quotePrefix="0" xfId="0"/>
    <xf numFmtId="0" fontId="0" fillId="10" borderId="76" pivotButton="0" quotePrefix="0" xfId="0"/>
    <xf numFmtId="0" fontId="0" fillId="10" borderId="77" pivotButton="0" quotePrefix="0" xfId="0"/>
    <xf numFmtId="0" fontId="16" fillId="0" borderId="0" applyAlignment="1" pivotButton="0" quotePrefix="0" xfId="0">
      <alignment horizontal="center" wrapText="1"/>
    </xf>
    <xf numFmtId="0" fontId="16" fillId="0" borderId="15" applyAlignment="1" pivotButton="0" quotePrefix="0" xfId="0">
      <alignment horizontal="center" wrapText="1"/>
    </xf>
    <xf numFmtId="0" fontId="16" fillId="12" borderId="0" applyAlignment="1" pivotButton="0" quotePrefix="0" xfId="0">
      <alignment horizontal="center" wrapText="1"/>
    </xf>
    <xf numFmtId="0" fontId="16" fillId="12" borderId="15" applyAlignment="1" pivotButton="0" quotePrefix="0" xfId="0">
      <alignment horizontal="center" wrapText="1"/>
    </xf>
    <xf numFmtId="0" fontId="15" fillId="2" borderId="0" applyAlignment="1" pivotButton="0" quotePrefix="0" xfId="3">
      <alignment horizontal="center" vertical="center"/>
    </xf>
    <xf numFmtId="0" fontId="15" fillId="11" borderId="0" applyAlignment="1" pivotButton="0" quotePrefix="0" xfId="3">
      <alignment horizontal="center" vertical="center"/>
    </xf>
    <xf numFmtId="0" fontId="15" fillId="11" borderId="0" applyAlignment="1" applyProtection="1" pivotButton="0" quotePrefix="0" xfId="3">
      <alignment horizontal="center" vertical="center"/>
      <protection locked="0" hidden="0"/>
    </xf>
    <xf numFmtId="0" fontId="15" fillId="16" borderId="0" applyAlignment="1" applyProtection="1" pivotButton="0" quotePrefix="0" xfId="3">
      <alignment horizontal="center" vertical="center"/>
      <protection locked="0" hidden="0"/>
    </xf>
    <xf numFmtId="0" fontId="15" fillId="17" borderId="0" applyAlignment="1" applyProtection="1" pivotButton="0" quotePrefix="0" xfId="3">
      <alignment horizontal="center" vertical="center"/>
      <protection locked="0" hidden="0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0" fillId="0" borderId="0" pivotButton="0" quotePrefix="0" xfId="0"/>
    <xf numFmtId="0" fontId="3" fillId="0" borderId="62" pivotButton="0" quotePrefix="0" xfId="0"/>
    <xf numFmtId="0" fontId="11" fillId="0" borderId="0" applyAlignment="1" pivotButton="0" quotePrefix="0" xfId="0">
      <alignment horizontal="centerContinuous" vertical="center"/>
    </xf>
    <xf numFmtId="0" fontId="3" fillId="0" borderId="63" pivotButton="0" quotePrefix="0" xfId="0"/>
    <xf numFmtId="0" fontId="3" fillId="5" borderId="62" pivotButton="0" quotePrefix="0" xfId="0"/>
    <xf numFmtId="0" fontId="3" fillId="5" borderId="63" pivotButton="0" quotePrefix="0" xfId="0"/>
    <xf numFmtId="0" fontId="6" fillId="7" borderId="81" applyAlignment="1" pivotButton="0" quotePrefix="0" xfId="0">
      <alignment horizontal="centerContinuous" vertical="center"/>
    </xf>
    <xf numFmtId="0" fontId="3" fillId="4" borderId="0" pivotButton="0" quotePrefix="0" xfId="0"/>
    <xf numFmtId="0" fontId="5" fillId="0" borderId="0" applyAlignment="1" pivotButton="0" quotePrefix="0" xfId="0">
      <alignment horizontal="center" wrapText="1"/>
    </xf>
    <xf numFmtId="0" fontId="5" fillId="0" borderId="68" applyAlignment="1" pivotButton="0" quotePrefix="1" xfId="0">
      <alignment horizontal="center" vertical="center" wrapText="1"/>
    </xf>
    <xf numFmtId="0" fontId="5" fillId="0" borderId="71" applyAlignment="1" pivotButton="0" quotePrefix="1" xfId="0">
      <alignment horizontal="center" vertical="center" wrapText="1"/>
    </xf>
    <xf numFmtId="0" fontId="3" fillId="0" borderId="62" applyAlignment="1" pivotButton="0" quotePrefix="0" xfId="0">
      <alignment horizontal="left"/>
    </xf>
    <xf numFmtId="9" fontId="15" fillId="19" borderId="6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9" fontId="15" fillId="19" borderId="0" applyAlignment="1" pivotButton="0" quotePrefix="0" xfId="0">
      <alignment horizontal="left" vertical="center"/>
    </xf>
    <xf numFmtId="0" fontId="9" fillId="0" borderId="62" applyAlignment="1" pivotButton="0" quotePrefix="0" xfId="0">
      <alignment horizontal="left" vertical="center"/>
    </xf>
    <xf numFmtId="9" fontId="3" fillId="20" borderId="63" applyAlignment="1" pivotButton="0" quotePrefix="0" xfId="0">
      <alignment horizontal="left"/>
    </xf>
    <xf numFmtId="10" fontId="3" fillId="20" borderId="63" applyAlignment="1" pivotButton="0" quotePrefix="0" xfId="0">
      <alignment horizontal="left"/>
    </xf>
    <xf numFmtId="9" fontId="3" fillId="20" borderId="0" applyAlignment="1" pivotButton="0" quotePrefix="0" xfId="0">
      <alignment horizontal="left"/>
    </xf>
    <xf numFmtId="164" fontId="5" fillId="10" borderId="63" applyAlignment="1" pivotButton="0" quotePrefix="0" xfId="0">
      <alignment horizontal="left" vertical="center"/>
    </xf>
    <xf numFmtId="164" fontId="5" fillId="10" borderId="0" applyAlignment="1" pivotButton="0" quotePrefix="0" xfId="0">
      <alignment horizontal="left" vertical="center"/>
    </xf>
    <xf numFmtId="0" fontId="3" fillId="5" borderId="0" pivotButton="0" quotePrefix="0" xfId="0"/>
    <xf numFmtId="0" fontId="6" fillId="6" borderId="81" applyAlignment="1" pivotButton="0" quotePrefix="0" xfId="0">
      <alignment horizontal="center" vertical="center"/>
    </xf>
    <xf numFmtId="0" fontId="6" fillId="6" borderId="73" applyAlignment="1" pivotButton="0" quotePrefix="0" xfId="0">
      <alignment horizontal="center" vertical="center"/>
    </xf>
    <xf numFmtId="0" fontId="6" fillId="6" borderId="74" applyAlignment="1" pivotButton="0" quotePrefix="0" xfId="0">
      <alignment horizontal="center" vertical="center"/>
    </xf>
    <xf numFmtId="0" fontId="8" fillId="10" borderId="62" applyAlignment="1" pivotButton="0" quotePrefix="0" xfId="0">
      <alignment horizontal="center" vertical="center"/>
    </xf>
    <xf numFmtId="0" fontId="8" fillId="10" borderId="63" applyAlignment="1" pivotButton="0" quotePrefix="0" xfId="0">
      <alignment horizontal="center" vertical="center"/>
    </xf>
    <xf numFmtId="0" fontId="9" fillId="11" borderId="62" applyAlignment="1" pivotButton="0" quotePrefix="0" xfId="0">
      <alignment horizontal="center" vertical="center"/>
    </xf>
    <xf numFmtId="0" fontId="9" fillId="11" borderId="63" applyAlignment="1" pivotButton="0" quotePrefix="0" xfId="0">
      <alignment horizontal="center" vertical="center"/>
    </xf>
    <xf numFmtId="168" fontId="3" fillId="10" borderId="79" applyAlignment="1" pivotButton="0" quotePrefix="0" xfId="0">
      <alignment horizontal="right" vertical="center"/>
    </xf>
    <xf numFmtId="168" fontId="3" fillId="10" borderId="80" applyAlignment="1" pivotButton="0" quotePrefix="0" xfId="0">
      <alignment horizontal="right" vertical="center"/>
    </xf>
    <xf numFmtId="168" fontId="3" fillId="10" borderId="26" applyAlignment="1" pivotButton="0" quotePrefix="0" xfId="0">
      <alignment horizontal="right" vertical="center"/>
    </xf>
    <xf numFmtId="168" fontId="3" fillId="10" borderId="78" applyAlignment="1" pivotButton="0" quotePrefix="0" xfId="0">
      <alignment horizontal="right" vertical="center"/>
    </xf>
    <xf numFmtId="168" fontId="3" fillId="10" borderId="70" applyAlignment="1" pivotButton="0" quotePrefix="0" xfId="0">
      <alignment horizontal="right" vertical="center"/>
    </xf>
    <xf numFmtId="168" fontId="3" fillId="10" borderId="72" applyAlignment="1" pivotButton="0" quotePrefix="0" xfId="0">
      <alignment horizontal="right" vertical="center"/>
    </xf>
    <xf numFmtId="166" fontId="5" fillId="10" borderId="66" applyAlignment="1" pivotButton="0" quotePrefix="0" xfId="0">
      <alignment horizontal="right" vertical="center"/>
    </xf>
    <xf numFmtId="167" fontId="17" fillId="10" borderId="67" applyAlignment="1" pivotButton="0" quotePrefix="0" xfId="0">
      <alignment horizontal="right" vertical="center"/>
    </xf>
    <xf numFmtId="166" fontId="5" fillId="10" borderId="16" applyAlignment="1" pivotButton="0" quotePrefix="0" xfId="0">
      <alignment horizontal="right" vertical="center"/>
    </xf>
    <xf numFmtId="167" fontId="17" fillId="10" borderId="16" applyAlignment="1" pivotButton="0" quotePrefix="0" xfId="0">
      <alignment horizontal="right" vertical="center"/>
    </xf>
    <xf numFmtId="0" fontId="6" fillId="23" borderId="69" applyAlignment="1" pivotButton="0" quotePrefix="0" xfId="0">
      <alignment horizontal="center" vertical="center"/>
    </xf>
    <xf numFmtId="0" fontId="6" fillId="25" borderId="69" applyAlignment="1" pivotButton="0" quotePrefix="0" xfId="0">
      <alignment horizontal="center" vertical="center"/>
    </xf>
    <xf numFmtId="0" fontId="9" fillId="26" borderId="0" applyAlignment="1" pivotButton="0" quotePrefix="0" xfId="0">
      <alignment vertical="center"/>
    </xf>
    <xf numFmtId="0" fontId="9" fillId="26" borderId="0" applyAlignment="1" pivotButton="0" quotePrefix="0" xfId="0">
      <alignment horizontal="centerContinuous" vertical="center"/>
    </xf>
    <xf numFmtId="0" fontId="9" fillId="26" borderId="63" applyAlignment="1" pivotButton="0" quotePrefix="0" xfId="0">
      <alignment horizontal="centerContinuous" vertical="center"/>
    </xf>
    <xf numFmtId="0" fontId="9" fillId="26" borderId="0" applyAlignment="1" pivotButton="0" quotePrefix="0" xfId="0">
      <alignment horizontal="center" vertical="center"/>
    </xf>
    <xf numFmtId="0" fontId="9" fillId="26" borderId="63" applyAlignment="1" pivotButton="0" quotePrefix="0" xfId="0">
      <alignment horizontal="center" vertical="center"/>
    </xf>
    <xf numFmtId="164" fontId="5" fillId="10" borderId="16" applyAlignment="1" pivotButton="0" quotePrefix="0" xfId="0">
      <alignment horizontal="right" vertical="center"/>
    </xf>
    <xf numFmtId="9" fontId="5" fillId="20" borderId="63" pivotButton="0" quotePrefix="0" xfId="0"/>
    <xf numFmtId="10" fontId="5" fillId="20" borderId="63" pivotButton="0" quotePrefix="0" xfId="0"/>
    <xf numFmtId="0" fontId="3" fillId="10" borderId="63" pivotButton="0" quotePrefix="0" xfId="0"/>
    <xf numFmtId="0" fontId="3" fillId="10" borderId="71" pivotButton="0" quotePrefix="0" xfId="0"/>
    <xf numFmtId="166" fontId="5" fillId="10" borderId="19" applyAlignment="1" pivotButton="0" quotePrefix="0" xfId="0">
      <alignment horizontal="right" vertical="center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1" xfId="0">
      <alignment horizontal="center" vertical="center" wrapText="1"/>
    </xf>
    <xf numFmtId="0" fontId="0" fillId="7" borderId="59" pivotButton="0" quotePrefix="0" xfId="0"/>
    <xf numFmtId="0" fontId="0" fillId="7" borderId="75" pivotButton="0" quotePrefix="0" xfId="0"/>
    <xf numFmtId="0" fontId="0" fillId="7" borderId="61" pivotButton="0" quotePrefix="0" xfId="0"/>
    <xf numFmtId="0" fontId="0" fillId="7" borderId="62" pivotButton="0" quotePrefix="0" xfId="0"/>
    <xf numFmtId="0" fontId="0" fillId="7" borderId="76" pivotButton="0" quotePrefix="0" xfId="0"/>
    <xf numFmtId="0" fontId="0" fillId="7" borderId="63" pivotButton="0" quotePrefix="0" xfId="0"/>
    <xf numFmtId="0" fontId="0" fillId="7" borderId="68" pivotButton="0" quotePrefix="0" xfId="0"/>
    <xf numFmtId="0" fontId="0" fillId="7" borderId="77" pivotButton="0" quotePrefix="0" xfId="0"/>
    <xf numFmtId="0" fontId="0" fillId="7" borderId="71" pivotButton="0" quotePrefix="0" xfId="0"/>
    <xf numFmtId="9" fontId="7" fillId="7" borderId="0" pivotButton="0" quotePrefix="0" xfId="0"/>
    <xf numFmtId="9" fontId="7" fillId="7" borderId="69" pivotButton="0" quotePrefix="0" xfId="0"/>
    <xf numFmtId="0" fontId="5" fillId="12" borderId="82" applyAlignment="1" pivotButton="0" quotePrefix="0" xfId="0">
      <alignment horizontal="center"/>
    </xf>
    <xf numFmtId="9" fontId="5" fillId="0" borderId="0" applyAlignment="1" pivotButton="0" quotePrefix="0" xfId="0">
      <alignment horizontal="center" wrapText="1"/>
    </xf>
    <xf numFmtId="166" fontId="0" fillId="0" borderId="75" pivotButton="0" quotePrefix="0" xfId="0"/>
    <xf numFmtId="0" fontId="5" fillId="0" borderId="83" applyAlignment="1" pivotButton="0" quotePrefix="0" xfId="0">
      <alignment horizontal="center" wrapText="1"/>
    </xf>
    <xf numFmtId="0" fontId="0" fillId="27" borderId="0" pivotButton="0" quotePrefix="0" xfId="0"/>
    <xf numFmtId="0" fontId="6" fillId="6" borderId="85" applyAlignment="1" pivotButton="0" quotePrefix="0" xfId="0">
      <alignment horizontal="center" vertical="center"/>
    </xf>
    <xf numFmtId="0" fontId="0" fillId="0" borderId="73" pivotButton="0" quotePrefix="0" xfId="0"/>
    <xf numFmtId="0" fontId="0" fillId="0" borderId="74" pivotButton="0" quotePrefix="0" xfId="0"/>
    <xf numFmtId="0" fontId="8" fillId="10" borderId="76" applyAlignment="1" pivotButton="0" quotePrefix="0" xfId="0">
      <alignment horizontal="center" vertical="center"/>
    </xf>
    <xf numFmtId="0" fontId="0" fillId="0" borderId="63" pivotButton="0" quotePrefix="0" xfId="0"/>
    <xf numFmtId="0" fontId="9" fillId="11" borderId="76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82" pivotButton="0" quotePrefix="0" xfId="0"/>
  </cellXfs>
  <cellStyles count="4">
    <cellStyle name="Normal" xfId="0" builtinId="0"/>
    <cellStyle name="Percent" xfId="1" builtinId="5"/>
    <cellStyle name="Hyperlink" xfId="2" builtinId="8"/>
    <cellStyle name="Normal 2 2" xfId="3"/>
  </cellStyles>
  <dxfs count="192"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AI171"/>
  <sheetViews>
    <sheetView showGridLines="0" tabSelected="1" topLeftCell="A61" workbookViewId="0">
      <selection activeCell="C84" sqref="C84"/>
    </sheetView>
  </sheetViews>
  <sheetFormatPr baseColWidth="8" defaultRowHeight="15"/>
  <cols>
    <col width="17.140625" customWidth="1" style="267" min="1" max="1"/>
    <col width="21.28515625" customWidth="1" style="267" min="2" max="2"/>
    <col width="15.140625" customWidth="1" style="267" min="3" max="3"/>
    <col width="12.28515625" customWidth="1" style="267" min="4" max="4"/>
    <col width="14.140625" customWidth="1" style="267" min="5" max="5"/>
    <col width="12.28515625" customWidth="1" style="267" min="6" max="6"/>
    <col width="15.140625" customWidth="1" style="267" min="8" max="8"/>
    <col width="12.28515625" customWidth="1" style="267" min="12" max="12"/>
  </cols>
  <sheetData>
    <row r="1">
      <c r="A1" s="265" t="n"/>
      <c r="B1" s="265" t="n"/>
      <c r="C1" s="266" t="n"/>
      <c r="D1" s="265" t="n"/>
      <c r="E1" s="265" t="n"/>
      <c r="F1" s="265" t="n"/>
      <c r="G1" s="265" t="n"/>
      <c r="H1" s="265" t="n"/>
      <c r="I1" s="265" t="n"/>
      <c r="J1" s="265" t="n"/>
      <c r="K1" s="265" t="n"/>
      <c r="L1" s="265" t="n"/>
      <c r="M1" s="265" t="n"/>
      <c r="N1" s="265" t="n"/>
      <c r="O1" s="265" t="n"/>
      <c r="P1" s="265" t="n"/>
      <c r="Q1" s="265" t="n"/>
      <c r="R1" s="265" t="n"/>
      <c r="S1" s="265" t="n"/>
      <c r="T1" s="265" t="n"/>
      <c r="U1" s="265" t="n"/>
      <c r="V1" s="265" t="n"/>
      <c r="W1" s="265" t="n"/>
      <c r="X1" s="265" t="n"/>
      <c r="Y1" s="265" t="n"/>
      <c r="Z1" s="265" t="n"/>
      <c r="AA1" s="265" t="n"/>
      <c r="AB1" s="265" t="n"/>
      <c r="AC1" s="265" t="n"/>
      <c r="AD1" s="265" t="n"/>
      <c r="AE1" s="265" t="n"/>
      <c r="AF1" s="19" t="n"/>
    </row>
    <row r="2">
      <c r="A2" s="265" t="n"/>
      <c r="B2" s="265" t="n"/>
      <c r="C2" s="266" t="n"/>
      <c r="D2" s="265" t="n"/>
      <c r="E2" s="265" t="n"/>
      <c r="F2" s="265" t="n"/>
      <c r="G2" s="265" t="n"/>
      <c r="H2" s="265" t="n"/>
      <c r="I2" s="265" t="n"/>
      <c r="J2" s="265" t="n"/>
      <c r="K2" s="265" t="n"/>
      <c r="L2" s="265" t="n"/>
      <c r="M2" s="265" t="n"/>
      <c r="N2" s="265" t="n"/>
      <c r="O2" s="265" t="n"/>
      <c r="P2" s="265" t="n"/>
      <c r="Q2" s="265" t="n"/>
      <c r="R2" s="265" t="n"/>
      <c r="S2" s="265" t="n"/>
      <c r="T2" s="265" t="n"/>
      <c r="U2" s="265" t="n"/>
      <c r="V2" s="265" t="n"/>
      <c r="W2" s="265" t="n"/>
      <c r="X2" s="265" t="n"/>
      <c r="Y2" s="265" t="n"/>
      <c r="Z2" s="265" t="n"/>
      <c r="AA2" s="265" t="n"/>
      <c r="AB2" s="265" t="n"/>
      <c r="AC2" s="265" t="n"/>
      <c r="AD2" s="265" t="n"/>
      <c r="AE2" s="265" t="n"/>
      <c r="AF2" s="20" t="n"/>
    </row>
    <row r="3">
      <c r="A3" s="22" t="inlineStr">
        <is>
          <t>REGENERANTS 1 - Premium</t>
        </is>
      </c>
      <c r="B3" s="288" t="n"/>
      <c r="C3" s="24" t="n"/>
      <c r="D3" s="25" t="inlineStr">
        <is>
          <t>Panachage 50 unités // Remise 15% pour BRI conso 10€ sur 4 produits : Sérum J/N, CDJR, CDJRI, sérum nuit RI (-10€ = prix plancher, à imprimer sur 1 SR sur le présentoir)</t>
        </is>
      </c>
      <c r="E3" s="288" t="n"/>
      <c r="F3" s="288" t="n"/>
      <c r="G3" s="288" t="n"/>
      <c r="H3" s="288" t="n"/>
      <c r="I3" s="288" t="n"/>
      <c r="J3" s="288" t="n"/>
      <c r="K3" s="288" t="n"/>
      <c r="L3" s="288" t="n"/>
      <c r="M3" s="288" t="n"/>
      <c r="N3" s="288" t="n"/>
      <c r="O3" s="288" t="n"/>
      <c r="P3" s="288" t="n"/>
      <c r="Q3" s="288" t="n"/>
      <c r="R3" s="288" t="n"/>
      <c r="S3" s="288" t="n"/>
      <c r="T3" s="288" t="n"/>
      <c r="U3" s="288" t="n"/>
      <c r="V3" s="288" t="n"/>
      <c r="W3" s="288" t="n"/>
      <c r="X3" s="288" t="n"/>
      <c r="Y3" s="288" t="n"/>
      <c r="Z3" s="288" t="n"/>
      <c r="AA3" s="288" t="n"/>
      <c r="AB3" s="288" t="n"/>
      <c r="AC3" s="288" t="n"/>
      <c r="AD3" s="288" t="n"/>
      <c r="AE3" s="288" t="n"/>
      <c r="AF3" s="20" t="n"/>
    </row>
    <row r="4" ht="15.75" customHeight="1" s="267" thickBot="1">
      <c r="A4" s="64" t="inlineStr">
        <is>
          <t>Nombre d'offres</t>
        </is>
      </c>
      <c r="B4" s="217" t="n">
        <v>30</v>
      </c>
      <c r="C4" s="266" t="n"/>
      <c r="D4" s="265" t="n"/>
      <c r="E4" s="265" t="n"/>
      <c r="F4" s="265" t="n"/>
      <c r="G4" s="265" t="n"/>
      <c r="H4" s="265" t="n"/>
      <c r="I4" s="265" t="n"/>
      <c r="J4" s="265" t="n"/>
      <c r="K4" s="265" t="n"/>
      <c r="L4" s="265" t="n"/>
      <c r="M4" s="265" t="n"/>
      <c r="N4" s="265" t="n"/>
      <c r="O4" s="265" t="n"/>
      <c r="P4" s="265" t="n"/>
      <c r="Q4" s="265" t="n"/>
      <c r="R4" s="265" t="n"/>
      <c r="S4" s="265" t="n"/>
      <c r="T4" s="265" t="n"/>
      <c r="U4" s="265" t="n"/>
      <c r="V4" s="265" t="n"/>
      <c r="W4" s="265" t="n"/>
      <c r="X4" s="265" t="n"/>
      <c r="Y4" s="265" t="n"/>
      <c r="Z4" s="265" t="n"/>
      <c r="AA4" s="265" t="n"/>
      <c r="AB4" s="265" t="n"/>
      <c r="AC4" s="265" t="n"/>
      <c r="AD4" s="265" t="n"/>
      <c r="AE4" s="265" t="n"/>
      <c r="AF4" s="265" t="n"/>
    </row>
    <row r="5" ht="15.75" customHeight="1" s="267" thickBot="1">
      <c r="A5" s="64" t="inlineStr">
        <is>
          <t>Nombre de produits</t>
        </is>
      </c>
      <c r="B5" s="217" t="n">
        <v>50</v>
      </c>
      <c r="C5" s="266" t="n"/>
      <c r="D5" s="265" t="n"/>
      <c r="E5" s="265" t="n"/>
      <c r="F5" s="265" t="n"/>
      <c r="G5" s="265" t="n"/>
      <c r="H5" s="265" t="n"/>
      <c r="I5" s="265" t="n"/>
      <c r="J5" s="265" t="n"/>
      <c r="K5" s="265" t="n"/>
      <c r="L5" s="265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27" t="n"/>
      <c r="AB5" s="228" t="n"/>
      <c r="AC5" s="228" t="n"/>
      <c r="AD5" s="228" t="n"/>
      <c r="AE5" s="229" t="n"/>
      <c r="AF5" s="265" t="n"/>
    </row>
    <row r="6" ht="15.75" customHeight="1" s="267" thickBot="1">
      <c r="A6" s="265" t="n"/>
      <c r="B6" s="265" t="n"/>
      <c r="C6" s="266" t="n"/>
      <c r="D6" s="265" t="n"/>
      <c r="E6" s="265" t="n"/>
      <c r="F6" s="265" t="n"/>
      <c r="G6" s="265" t="n"/>
      <c r="H6" s="265" t="n"/>
      <c r="I6" s="265" t="n"/>
      <c r="J6" s="265" t="n"/>
      <c r="K6" s="265" t="n"/>
      <c r="L6" s="265" t="n"/>
      <c r="M6" s="337" t="inlineStr">
        <is>
          <t>RETAIL</t>
        </is>
      </c>
      <c r="N6" s="338" t="n"/>
      <c r="O6" s="338" t="n"/>
      <c r="P6" s="338" t="n"/>
      <c r="Q6" s="338" t="n"/>
      <c r="R6" s="339" t="n"/>
      <c r="S6" s="273" t="inlineStr">
        <is>
          <t>INSTITUT</t>
        </is>
      </c>
      <c r="T6" s="204" t="n"/>
      <c r="U6" s="203" t="n"/>
      <c r="V6" s="203" t="n"/>
      <c r="W6" s="203" t="n"/>
      <c r="X6" s="203" t="n"/>
      <c r="Y6" s="273" t="n"/>
      <c r="Z6" s="204" t="n"/>
      <c r="AA6" s="274" t="n"/>
      <c r="AB6" s="34" t="inlineStr">
        <is>
          <t>Retail + Institut</t>
        </is>
      </c>
      <c r="AC6" s="34" t="n"/>
      <c r="AD6" s="34" t="n"/>
      <c r="AE6" s="231" t="n"/>
      <c r="AF6" s="265" t="n"/>
    </row>
    <row r="7">
      <c r="A7" s="265" t="n"/>
      <c r="B7" s="265" t="n"/>
      <c r="C7" s="266" t="n"/>
      <c r="D7" s="265" t="n"/>
      <c r="E7" s="265" t="n"/>
      <c r="F7" s="265" t="n"/>
      <c r="G7" s="265" t="n"/>
      <c r="H7" s="265" t="n"/>
      <c r="I7" s="265" t="n"/>
      <c r="J7" s="265" t="n"/>
      <c r="K7" s="265" t="n"/>
      <c r="L7" s="265" t="n"/>
      <c r="M7" s="200" t="n"/>
      <c r="N7" s="202" t="n"/>
      <c r="O7" s="200" t="n"/>
      <c r="P7" s="202" t="n"/>
      <c r="Q7" s="201" t="n"/>
      <c r="R7" s="201" t="n"/>
      <c r="S7" s="200" t="n"/>
      <c r="T7" s="202" t="n"/>
      <c r="U7" s="201" t="n"/>
      <c r="V7" s="202" t="n"/>
      <c r="W7" s="201" t="n"/>
      <c r="X7" s="201" t="n"/>
      <c r="Y7" s="268" t="n"/>
      <c r="Z7" s="270" t="n"/>
      <c r="AA7" s="230" t="n"/>
      <c r="AB7" s="274" t="n"/>
      <c r="AC7" s="274" t="n"/>
      <c r="AD7" s="274" t="n"/>
      <c r="AE7" s="231" t="n"/>
      <c r="AF7" s="265" t="n"/>
    </row>
    <row r="8">
      <c r="A8" s="265" t="n"/>
      <c r="B8" s="265" t="n"/>
      <c r="C8" s="266" t="n"/>
      <c r="D8" s="265" t="n"/>
      <c r="E8" s="265" t="n"/>
      <c r="F8" s="265" t="n"/>
      <c r="G8" s="265" t="n"/>
      <c r="H8" s="265" t="n"/>
      <c r="J8" s="265" t="n"/>
      <c r="K8" s="265" t="n"/>
      <c r="L8" s="265" t="n"/>
      <c r="M8" s="340" t="inlineStr">
        <is>
          <t>Ambassadeur</t>
        </is>
      </c>
      <c r="N8" s="341" t="n"/>
      <c r="O8" s="340" t="inlineStr">
        <is>
          <t>Compagnon</t>
        </is>
      </c>
      <c r="P8" s="341" t="n"/>
      <c r="Q8" s="340" t="inlineStr">
        <is>
          <t>Challenger</t>
        </is>
      </c>
      <c r="R8" s="341" t="n"/>
      <c r="S8" s="342" t="inlineStr">
        <is>
          <t>Rose</t>
        </is>
      </c>
      <c r="T8" s="341" t="n"/>
      <c r="U8" s="342" t="inlineStr">
        <is>
          <t>Prunelier</t>
        </is>
      </c>
      <c r="V8" s="341" t="n"/>
      <c r="W8" s="342" t="inlineStr">
        <is>
          <t>Anthylide</t>
        </is>
      </c>
      <c r="X8" s="341" t="n"/>
      <c r="Y8" s="342" t="inlineStr">
        <is>
          <t>Calendula</t>
        </is>
      </c>
      <c r="Z8" s="341" t="n"/>
      <c r="AA8" s="230" t="n"/>
      <c r="AB8" s="45" t="inlineStr">
        <is>
          <t>Total</t>
        </is>
      </c>
      <c r="AC8" s="45" t="n"/>
      <c r="AD8" s="45" t="n"/>
      <c r="AE8" s="231" t="n"/>
      <c r="AF8" s="265" t="n"/>
    </row>
    <row r="9" s="267">
      <c r="A9" s="265" t="n"/>
      <c r="B9" s="265" t="n"/>
      <c r="C9" s="266" t="n"/>
      <c r="D9" s="265" t="n"/>
      <c r="E9" s="265" t="n"/>
      <c r="F9" s="265" t="n"/>
      <c r="G9" s="265" t="n"/>
      <c r="H9" s="265" t="n"/>
      <c r="J9" s="265" t="n"/>
      <c r="K9" s="265" t="n"/>
      <c r="L9" s="265" t="n"/>
      <c r="M9" s="278" t="inlineStr">
        <is>
          <t>% Offres</t>
        </is>
      </c>
      <c r="N9" s="279" t="n">
        <v>0.5</v>
      </c>
      <c r="O9" s="278" t="inlineStr">
        <is>
          <t>% Offres</t>
        </is>
      </c>
      <c r="P9" s="279" t="n">
        <v>0.1</v>
      </c>
      <c r="Q9" s="278" t="inlineStr">
        <is>
          <t>% Offres</t>
        </is>
      </c>
      <c r="R9" s="279" t="n">
        <v>0.1</v>
      </c>
      <c r="S9" s="278" t="inlineStr">
        <is>
          <t>% Offres</t>
        </is>
      </c>
      <c r="T9" s="279" t="n">
        <v>0.1</v>
      </c>
      <c r="U9" s="280" t="inlineStr">
        <is>
          <t>% Offres</t>
        </is>
      </c>
      <c r="V9" s="281" t="n">
        <v>0.1</v>
      </c>
      <c r="W9" s="278" t="inlineStr">
        <is>
          <t>% Offres</t>
        </is>
      </c>
      <c r="X9" s="281" t="n">
        <v>0.05</v>
      </c>
      <c r="Y9" s="282" t="n"/>
      <c r="Z9" s="279" t="n">
        <v>0.05</v>
      </c>
      <c r="AA9" s="268" t="n"/>
      <c r="AB9" s="269" t="n"/>
      <c r="AC9" s="269" t="n"/>
      <c r="AD9" s="269" t="n"/>
      <c r="AE9" s="270" t="n"/>
      <c r="AF9" s="265" t="n"/>
    </row>
    <row r="10">
      <c r="A10" s="265" t="n"/>
      <c r="B10" s="265" t="n"/>
      <c r="C10" s="266" t="n"/>
      <c r="D10" s="265" t="n"/>
      <c r="E10" s="265" t="n"/>
      <c r="F10" s="265" t="n"/>
      <c r="G10" s="265" t="n"/>
      <c r="H10" s="265" t="n"/>
      <c r="I10" s="265" t="n"/>
      <c r="J10" s="265" t="n"/>
      <c r="K10" s="265" t="n"/>
      <c r="L10" s="265" t="n"/>
      <c r="M10" s="278" t="inlineStr">
        <is>
          <t>Remise</t>
        </is>
      </c>
      <c r="N10" s="283" t="n">
        <v>0.17</v>
      </c>
      <c r="O10" s="278" t="inlineStr">
        <is>
          <t>Remise</t>
        </is>
      </c>
      <c r="P10" s="283" t="n">
        <v>0.13</v>
      </c>
      <c r="Q10" s="278" t="inlineStr">
        <is>
          <t>Remise</t>
        </is>
      </c>
      <c r="R10" s="283" t="n">
        <v>0.08</v>
      </c>
      <c r="S10" s="278" t="inlineStr">
        <is>
          <t>Remise</t>
        </is>
      </c>
      <c r="T10" s="284" t="n">
        <v>0.325</v>
      </c>
      <c r="U10" s="280" t="inlineStr">
        <is>
          <t>Remise</t>
        </is>
      </c>
      <c r="V10" s="285" t="n">
        <v>0.3</v>
      </c>
      <c r="W10" s="278" t="inlineStr">
        <is>
          <t>Remise</t>
        </is>
      </c>
      <c r="X10" s="285" t="n">
        <v>0.28</v>
      </c>
      <c r="Y10" s="278" t="inlineStr">
        <is>
          <t>Remise</t>
        </is>
      </c>
      <c r="Z10" s="283" t="n">
        <v>0.25</v>
      </c>
      <c r="AA10" s="230" t="n"/>
      <c r="AB10" s="274" t="n"/>
      <c r="AC10" s="274" t="n"/>
      <c r="AD10" s="274" t="n"/>
      <c r="AE10" s="231" t="n"/>
      <c r="AF10" s="265" t="n"/>
    </row>
    <row r="11">
      <c r="A11" s="265" t="n"/>
      <c r="B11" s="265" t="n"/>
      <c r="C11" s="266" t="n"/>
      <c r="D11" s="265" t="n"/>
      <c r="E11" s="265" t="n"/>
      <c r="F11" s="265" t="n"/>
      <c r="G11" s="265" t="n"/>
      <c r="H11" s="265" t="n"/>
      <c r="I11" s="265" t="n"/>
      <c r="J11" s="265" t="n"/>
      <c r="K11" s="265" t="n"/>
      <c r="L11" s="265" t="n"/>
      <c r="M11" s="278" t="inlineStr">
        <is>
          <t>Nb Offres</t>
        </is>
      </c>
      <c r="N11" s="286">
        <f>N9*$B$4</f>
        <v/>
      </c>
      <c r="O11" s="278" t="inlineStr">
        <is>
          <t>Nb Offres</t>
        </is>
      </c>
      <c r="P11" s="286">
        <f>P9*$B$4</f>
        <v/>
      </c>
      <c r="Q11" s="278" t="inlineStr">
        <is>
          <t>Nb Offres</t>
        </is>
      </c>
      <c r="R11" s="286">
        <f>R9*$B$4</f>
        <v/>
      </c>
      <c r="S11" s="278" t="inlineStr">
        <is>
          <t>Nb Offres</t>
        </is>
      </c>
      <c r="T11" s="286">
        <f>T9*$B$4</f>
        <v/>
      </c>
      <c r="U11" s="280" t="inlineStr">
        <is>
          <t>Nb Offres</t>
        </is>
      </c>
      <c r="V11" s="286">
        <f>V9*$B$4</f>
        <v/>
      </c>
      <c r="W11" s="278" t="inlineStr">
        <is>
          <t>Nb Offres</t>
        </is>
      </c>
      <c r="X11" s="287">
        <f>X9*$B$4</f>
        <v/>
      </c>
      <c r="Y11" s="278" t="inlineStr">
        <is>
          <t>Nb Offres</t>
        </is>
      </c>
      <c r="Z11" s="286">
        <f>Z9*$B$4</f>
        <v/>
      </c>
      <c r="AA11" s="230" t="n"/>
      <c r="AB11" s="274" t="n"/>
      <c r="AC11" s="274" t="n"/>
      <c r="AD11" s="274" t="n"/>
      <c r="AE11" s="231" t="n"/>
      <c r="AF11" s="265" t="n"/>
    </row>
    <row r="12" ht="93" customHeight="1" s="267">
      <c r="A12" s="46" t="n"/>
      <c r="B12" s="46" t="n"/>
      <c r="C12" s="47" t="n"/>
      <c r="D12" s="46" t="n"/>
      <c r="E12" s="275" t="inlineStr">
        <is>
          <t>Pdt dans offre</t>
        </is>
      </c>
      <c r="F12" s="275" t="inlineStr">
        <is>
          <t>Coût achat unitaire</t>
        </is>
      </c>
      <c r="G12" s="275" t="inlineStr">
        <is>
          <t>Coûts achats total</t>
        </is>
      </c>
      <c r="H12" s="275" t="inlineStr">
        <is>
          <t>Tarif revendeur unitaire</t>
        </is>
      </c>
      <c r="I12" s="275" t="inlineStr">
        <is>
          <t>Remise additionnelle</t>
        </is>
      </c>
      <c r="J12" s="275" t="inlineStr">
        <is>
          <t>PPC</t>
        </is>
      </c>
      <c r="K12" s="275" t="inlineStr">
        <is>
          <t>PPC Remisé</t>
        </is>
      </c>
      <c r="L12" s="275" t="inlineStr">
        <is>
          <t>Montant BRI</t>
        </is>
      </c>
      <c r="M12" s="194" t="inlineStr">
        <is>
          <t>CA</t>
        </is>
      </c>
      <c r="N12" s="195" t="inlineStr">
        <is>
          <t>Marges</t>
        </is>
      </c>
      <c r="O12" s="194" t="inlineStr">
        <is>
          <t>CA</t>
        </is>
      </c>
      <c r="P12" s="195" t="inlineStr">
        <is>
          <t>Marges</t>
        </is>
      </c>
      <c r="Q12" s="194" t="inlineStr">
        <is>
          <t>CA</t>
        </is>
      </c>
      <c r="R12" s="195" t="inlineStr">
        <is>
          <t>Marges</t>
        </is>
      </c>
      <c r="S12" s="194" t="inlineStr">
        <is>
          <t>CA</t>
        </is>
      </c>
      <c r="T12" s="195" t="inlineStr">
        <is>
          <t>Marges</t>
        </is>
      </c>
      <c r="U12" s="275" t="inlineStr">
        <is>
          <t>CA</t>
        </is>
      </c>
      <c r="V12" s="195" t="inlineStr">
        <is>
          <t>Marges</t>
        </is>
      </c>
      <c r="W12" s="275" t="inlineStr">
        <is>
          <t>CA</t>
        </is>
      </c>
      <c r="X12" s="275" t="inlineStr">
        <is>
          <t>Marges</t>
        </is>
      </c>
      <c r="Y12" s="194" t="inlineStr">
        <is>
          <t>CA</t>
        </is>
      </c>
      <c r="Z12" s="195" t="inlineStr">
        <is>
          <t>Marges</t>
        </is>
      </c>
      <c r="AA12" s="232" t="n"/>
      <c r="AB12" s="50" t="inlineStr">
        <is>
          <t>Nbrs Offres planifiées</t>
        </is>
      </c>
      <c r="AC12" s="50" t="inlineStr">
        <is>
          <t>CA</t>
        </is>
      </c>
      <c r="AD12" s="50" t="inlineStr">
        <is>
          <t>Marges</t>
        </is>
      </c>
      <c r="AE12" s="233" t="n"/>
    </row>
    <row r="13" ht="26.25" customHeight="1" s="267" thickBot="1">
      <c r="A13" s="319" t="inlineStr">
        <is>
          <t>Code article</t>
        </is>
      </c>
      <c r="B13" s="319" t="inlineStr">
        <is>
          <t>Libellé article</t>
        </is>
      </c>
      <c r="C13" s="319" t="inlineStr">
        <is>
          <t>Code à barres (EAN)</t>
        </is>
      </c>
      <c r="D13" s="319" t="inlineStr">
        <is>
          <t>Typ. Prod</t>
        </is>
      </c>
      <c r="E13" s="320" t="inlineStr">
        <is>
          <t>'#</t>
        </is>
      </c>
      <c r="F13" s="320" t="inlineStr">
        <is>
          <t>'€</t>
        </is>
      </c>
      <c r="G13" s="320" t="inlineStr">
        <is>
          <t>'€</t>
        </is>
      </c>
      <c r="H13" s="320" t="inlineStr">
        <is>
          <t>'€</t>
        </is>
      </c>
      <c r="I13" s="320" t="inlineStr">
        <is>
          <t>'€</t>
        </is>
      </c>
      <c r="J13" s="320" t="inlineStr">
        <is>
          <t>'€</t>
        </is>
      </c>
      <c r="K13" s="320" t="inlineStr">
        <is>
          <t>'€</t>
        </is>
      </c>
      <c r="L13" s="320" t="inlineStr">
        <is>
          <t>'€</t>
        </is>
      </c>
      <c r="M13" s="196" t="inlineStr">
        <is>
          <t>'€</t>
        </is>
      </c>
      <c r="N13" s="197" t="inlineStr">
        <is>
          <t>'€</t>
        </is>
      </c>
      <c r="O13" s="196" t="inlineStr">
        <is>
          <t>'€</t>
        </is>
      </c>
      <c r="P13" s="197" t="inlineStr">
        <is>
          <t>'€</t>
        </is>
      </c>
      <c r="Q13" s="196" t="inlineStr">
        <is>
          <t>'€</t>
        </is>
      </c>
      <c r="R13" s="197" t="inlineStr">
        <is>
          <t>'€</t>
        </is>
      </c>
      <c r="S13" s="196" t="inlineStr">
        <is>
          <t>'€</t>
        </is>
      </c>
      <c r="T13" s="197" t="inlineStr">
        <is>
          <t>'€</t>
        </is>
      </c>
      <c r="U13" s="320" t="inlineStr">
        <is>
          <t>'€</t>
        </is>
      </c>
      <c r="V13" s="197" t="inlineStr">
        <is>
          <t>'€</t>
        </is>
      </c>
      <c r="W13" s="320" t="inlineStr">
        <is>
          <t>'€</t>
        </is>
      </c>
      <c r="X13" s="320" t="inlineStr">
        <is>
          <t>'€</t>
        </is>
      </c>
      <c r="Y13" s="276" t="inlineStr">
        <is>
          <t>'€</t>
        </is>
      </c>
      <c r="Z13" s="277" t="inlineStr">
        <is>
          <t>'€</t>
        </is>
      </c>
      <c r="AA13" s="230" t="n"/>
      <c r="AB13" s="63" t="inlineStr">
        <is>
          <t>'#</t>
        </is>
      </c>
      <c r="AC13" s="63" t="inlineStr">
        <is>
          <t>'€</t>
        </is>
      </c>
      <c r="AD13" s="63" t="inlineStr">
        <is>
          <t>'€</t>
        </is>
      </c>
      <c r="AE13" s="231" t="n"/>
    </row>
    <row r="14">
      <c r="A14" s="265" t="n"/>
      <c r="B14" s="265" t="n"/>
      <c r="C14" s="266" t="n"/>
      <c r="D14" s="265" t="n"/>
      <c r="E14" s="265" t="n"/>
      <c r="F14" s="265" t="n"/>
      <c r="G14" s="265" t="n"/>
      <c r="H14" s="265" t="n"/>
      <c r="I14" s="265" t="n"/>
      <c r="J14" s="265" t="n"/>
      <c r="M14" s="268" t="n"/>
      <c r="N14" s="270" t="n"/>
      <c r="O14" s="268" t="n"/>
      <c r="P14" s="270" t="n"/>
      <c r="Q14" s="268" t="n"/>
      <c r="R14" s="270" t="n"/>
      <c r="S14" s="268" t="n"/>
      <c r="T14" s="270" t="n"/>
      <c r="U14" s="265" t="n"/>
      <c r="V14" s="270" t="n"/>
      <c r="W14" s="265" t="n"/>
      <c r="X14" s="270" t="n"/>
      <c r="Y14" s="265" t="n"/>
      <c r="Z14" s="265" t="n"/>
      <c r="AA14" s="230" t="n"/>
      <c r="AB14" s="274" t="n"/>
      <c r="AC14" s="274" t="n"/>
      <c r="AD14" s="274" t="n"/>
      <c r="AE14" s="231" t="n"/>
    </row>
    <row r="15" ht="23.1" customHeight="1" s="267">
      <c r="A15" s="65" t="inlineStr">
        <is>
          <t>Synthèse</t>
        </is>
      </c>
      <c r="B15" s="65" t="n"/>
      <c r="C15" s="66" t="n"/>
      <c r="D15" s="65" t="n"/>
      <c r="E15" s="218">
        <f>IFERROR(SUMIFS(E17:E36,D17:D36,"Produit Vente"),"Non trouvé")</f>
        <v/>
      </c>
      <c r="F15" s="68" t="n"/>
      <c r="G15" s="68">
        <f>IFERROR(SUM(G17:G36),"Non Trouvé")</f>
        <v/>
      </c>
      <c r="H15" s="68" t="n"/>
      <c r="I15" s="69" t="n"/>
      <c r="J15" s="68">
        <f>IFERROR(SUM(J17:J36),"Non Trouvé")</f>
        <v/>
      </c>
      <c r="K15" s="68">
        <f>IFERROR(SUM(K17:K36),"Non Trouvé")</f>
        <v/>
      </c>
      <c r="L15" s="68">
        <f>IFERROR(SUM(L17:L36),"Non Trouvé")</f>
        <v/>
      </c>
      <c r="M15" s="302">
        <f>SUM(M17:M36)</f>
        <v/>
      </c>
      <c r="N15" s="303">
        <f>(M15-G15)/M15</f>
        <v/>
      </c>
      <c r="O15" s="302" t="n"/>
      <c r="P15" s="303" t="n"/>
      <c r="Q15" s="302" t="n"/>
      <c r="R15" s="303" t="n"/>
      <c r="S15" s="302" t="n"/>
      <c r="T15" s="303" t="n"/>
      <c r="U15" s="304" t="n"/>
      <c r="V15" s="303" t="n"/>
      <c r="W15" s="304" t="n"/>
      <c r="X15" s="303" t="n"/>
      <c r="Y15" s="304" t="n"/>
      <c r="Z15" s="305" t="n"/>
      <c r="AA15" s="234" t="n"/>
      <c r="AB15" s="67">
        <f>B4</f>
        <v/>
      </c>
      <c r="AC15" s="67">
        <f>Y15+W15+U15+S15+O15+M15+Q15</f>
        <v/>
      </c>
      <c r="AD15" s="74">
        <f>Z15+X15+V15+T15+P15+N15+R15</f>
        <v/>
      </c>
      <c r="AE15" s="235" t="n"/>
    </row>
    <row r="16">
      <c r="A16" s="265" t="n"/>
      <c r="B16" s="265" t="n"/>
      <c r="C16" s="266" t="n"/>
      <c r="D16" s="265" t="n"/>
      <c r="E16" s="265" t="n"/>
      <c r="F16" s="265" t="n"/>
      <c r="G16" s="265" t="n"/>
      <c r="H16" s="265" t="n"/>
      <c r="I16" s="265" t="n"/>
      <c r="J16" s="265" t="n"/>
      <c r="M16" s="268" t="n"/>
      <c r="N16" s="270" t="n"/>
      <c r="O16" s="268" t="n"/>
      <c r="P16" s="270" t="n"/>
      <c r="Q16" s="268" t="n"/>
      <c r="R16" s="270" t="n"/>
      <c r="S16" s="268" t="n"/>
      <c r="T16" s="270" t="n"/>
      <c r="U16" s="265" t="n"/>
      <c r="V16" s="270" t="n"/>
      <c r="W16" s="265" t="n"/>
      <c r="X16" s="270" t="n"/>
      <c r="Y16" s="265" t="n"/>
      <c r="Z16" s="265" t="n"/>
      <c r="AA16" s="230" t="n"/>
      <c r="AB16" s="274" t="n"/>
      <c r="AC16" s="274" t="n"/>
      <c r="AD16" s="274" t="n"/>
      <c r="AE16" s="231" t="n"/>
    </row>
    <row r="17" ht="15.75" customHeight="1" s="267" thickBot="1">
      <c r="A17" s="180" t="n">
        <v>1020202</v>
      </c>
      <c r="B17" s="181" t="n"/>
      <c r="C17" s="182" t="n"/>
      <c r="D17" s="183" t="inlineStr">
        <is>
          <t>Produit Vente</t>
        </is>
      </c>
      <c r="E17" s="224" t="n">
        <v>7</v>
      </c>
      <c r="F17" s="185" t="n"/>
      <c r="G17" s="190">
        <f>E17*F17</f>
        <v/>
      </c>
      <c r="H17" s="185" t="n"/>
      <c r="I17" s="216" t="n">
        <v>0.15</v>
      </c>
      <c r="J17" s="185" t="n"/>
      <c r="K17" s="188">
        <f>J17*(1-I17)</f>
        <v/>
      </c>
      <c r="L17" s="191">
        <f>IFERROR(J17-K17,"")</f>
        <v/>
      </c>
      <c r="M17" s="296">
        <f>H17*(1-I17)*$N$11*(1-$N$10)</f>
        <v/>
      </c>
      <c r="N17" s="270" t="n"/>
      <c r="O17" s="296" t="n"/>
      <c r="P17" s="270" t="n"/>
      <c r="Q17" s="296" t="n"/>
      <c r="R17" s="270" t="n"/>
      <c r="S17" s="296" t="n"/>
      <c r="T17" s="270" t="n"/>
      <c r="U17" s="298" t="n"/>
      <c r="V17" s="270" t="n"/>
      <c r="W17" s="188" t="n"/>
      <c r="X17" s="270" t="n"/>
      <c r="Y17" s="191" t="n"/>
      <c r="Z17" s="265" t="n"/>
      <c r="AA17" s="236" t="n"/>
      <c r="AB17" s="96" t="n"/>
      <c r="AC17" s="97" t="n"/>
      <c r="AD17" s="97" t="n"/>
      <c r="AE17" s="237" t="n"/>
    </row>
    <row r="18" ht="15.75" customHeight="1" s="267" thickBot="1">
      <c r="A18" s="180" t="n">
        <v>1020310</v>
      </c>
      <c r="B18" s="181" t="n"/>
      <c r="C18" s="182" t="n"/>
      <c r="D18" s="183" t="inlineStr">
        <is>
          <t>Produit Vente</t>
        </is>
      </c>
      <c r="E18" s="224" t="n">
        <v>4</v>
      </c>
      <c r="F18" s="185" t="n"/>
      <c r="G18" s="190">
        <f>E18*F18</f>
        <v/>
      </c>
      <c r="H18" s="185" t="n"/>
      <c r="I18" s="216" t="n">
        <v>0.15</v>
      </c>
      <c r="J18" s="185" t="n"/>
      <c r="K18" s="188">
        <f>J18*(1-I18)</f>
        <v/>
      </c>
      <c r="L18" s="191">
        <f>IFERROR(J18-K18,"")</f>
        <v/>
      </c>
      <c r="M18" s="296">
        <f>H18*(1-I18)*$N$11*(1-$N$10)</f>
        <v/>
      </c>
      <c r="N18" s="270" t="n"/>
      <c r="O18" s="296" t="n"/>
      <c r="P18" s="270" t="n"/>
      <c r="Q18" s="296" t="n"/>
      <c r="R18" s="270" t="n"/>
      <c r="S18" s="296" t="n"/>
      <c r="T18" s="270" t="n"/>
      <c r="U18" s="298" t="n"/>
      <c r="V18" s="270" t="n"/>
      <c r="W18" s="188" t="n"/>
      <c r="X18" s="270" t="n"/>
      <c r="Y18" s="191" t="n"/>
      <c r="Z18" s="265" t="n"/>
      <c r="AA18" s="238" t="n"/>
      <c r="AB18" s="225" t="n"/>
      <c r="AC18" s="226" t="inlineStr">
        <is>
          <t>Prix Offre Moy. Remisé :</t>
        </is>
      </c>
      <c r="AD18" s="116">
        <f>AC15/AB15</f>
        <v/>
      </c>
      <c r="AE18" s="237" t="n"/>
    </row>
    <row r="19" ht="15.75" customHeight="1" s="267" thickBot="1">
      <c r="A19" s="180" t="n">
        <v>1020401</v>
      </c>
      <c r="B19" s="181" t="n"/>
      <c r="C19" s="182" t="n"/>
      <c r="D19" s="183" t="inlineStr">
        <is>
          <t>Produit Vente</t>
        </is>
      </c>
      <c r="E19" s="224" t="n">
        <v>5</v>
      </c>
      <c r="F19" s="185" t="n"/>
      <c r="G19" s="190">
        <f>E19*F19</f>
        <v/>
      </c>
      <c r="H19" s="185" t="n"/>
      <c r="I19" s="216" t="n">
        <v>0.15</v>
      </c>
      <c r="J19" s="185" t="n"/>
      <c r="K19" s="188">
        <f>J19*(1-I19)</f>
        <v/>
      </c>
      <c r="L19" s="191">
        <f>IFERROR(J19-K19,"")</f>
        <v/>
      </c>
      <c r="M19" s="296">
        <f>H19*(1-I19)*$N$11*(1-$N$10)</f>
        <v/>
      </c>
      <c r="N19" s="270" t="n"/>
      <c r="O19" s="296" t="n"/>
      <c r="P19" s="270" t="n"/>
      <c r="Q19" s="296" t="n"/>
      <c r="R19" s="270" t="n"/>
      <c r="S19" s="296" t="n"/>
      <c r="T19" s="270" t="n"/>
      <c r="U19" s="298" t="n"/>
      <c r="V19" s="270" t="n"/>
      <c r="W19" s="188" t="n"/>
      <c r="X19" s="270" t="n"/>
      <c r="Y19" s="191" t="n"/>
      <c r="Z19" s="265" t="n"/>
      <c r="AA19" s="238" t="n"/>
      <c r="AB19" s="225" t="n"/>
      <c r="AC19" s="226" t="inlineStr">
        <is>
          <t>Poids Gratuités achats :</t>
        </is>
      </c>
      <c r="AD19" s="118">
        <f>SUM(AD21:AD24)</f>
        <v/>
      </c>
      <c r="AE19" s="237" t="n"/>
    </row>
    <row r="20">
      <c r="A20" s="180" t="n">
        <v>1020302</v>
      </c>
      <c r="B20" s="181" t="n"/>
      <c r="C20" s="182" t="n"/>
      <c r="D20" s="183" t="inlineStr">
        <is>
          <t>Produit Vente</t>
        </is>
      </c>
      <c r="E20" s="224" t="n">
        <v>1</v>
      </c>
      <c r="F20" s="185" t="n"/>
      <c r="G20" s="190">
        <f>E20*F20</f>
        <v/>
      </c>
      <c r="H20" s="185" t="n"/>
      <c r="I20" s="216" t="n">
        <v>0.15</v>
      </c>
      <c r="J20" s="185" t="n"/>
      <c r="K20" s="188">
        <f>J20*(1-I20)</f>
        <v/>
      </c>
      <c r="L20" s="191">
        <f>IFERROR(J20-K20,"")</f>
        <v/>
      </c>
      <c r="M20" s="296">
        <f>H20*(1-I20)*$N$11*(1-$N$10)</f>
        <v/>
      </c>
      <c r="N20" s="270" t="n"/>
      <c r="O20" s="296" t="n"/>
      <c r="P20" s="270" t="n"/>
      <c r="Q20" s="296" t="n"/>
      <c r="R20" s="270" t="n"/>
      <c r="S20" s="296" t="n"/>
      <c r="T20" s="270" t="n"/>
      <c r="U20" s="298" t="n"/>
      <c r="V20" s="270" t="n"/>
      <c r="W20" s="188" t="n"/>
      <c r="X20" s="270" t="n"/>
      <c r="Y20" s="191" t="n"/>
      <c r="Z20" s="265" t="n"/>
      <c r="AA20" s="236" t="n"/>
      <c r="AB20" s="96" t="n"/>
      <c r="AC20" s="97" t="n"/>
      <c r="AD20" s="97" t="n"/>
      <c r="AE20" s="237" t="n"/>
    </row>
    <row r="21">
      <c r="A21" s="180" t="n">
        <v>1020721</v>
      </c>
      <c r="B21" s="181" t="n"/>
      <c r="C21" s="182" t="n"/>
      <c r="D21" s="183" t="inlineStr">
        <is>
          <t>Produit Vente</t>
        </is>
      </c>
      <c r="E21" s="224" t="n">
        <v>0</v>
      </c>
      <c r="F21" s="185" t="n"/>
      <c r="G21" s="190">
        <f>E21*F21</f>
        <v/>
      </c>
      <c r="H21" s="185" t="n"/>
      <c r="I21" s="216" t="n">
        <v>0.15</v>
      </c>
      <c r="J21" s="185" t="n"/>
      <c r="K21" s="188">
        <f>J21*(1-I21)</f>
        <v/>
      </c>
      <c r="L21" s="191">
        <f>IFERROR(J21-K21,"")</f>
        <v/>
      </c>
      <c r="M21" s="296">
        <f>H21*(1-I21)*$N$11*(1-$N$10)</f>
        <v/>
      </c>
      <c r="N21" s="270" t="n"/>
      <c r="O21" s="296" t="n"/>
      <c r="P21" s="270" t="n"/>
      <c r="Q21" s="296" t="n"/>
      <c r="R21" s="270" t="n"/>
      <c r="S21" s="296" t="n"/>
      <c r="T21" s="270" t="n"/>
      <c r="U21" s="298" t="n"/>
      <c r="V21" s="270" t="n"/>
      <c r="W21" s="188" t="n"/>
      <c r="X21" s="270" t="n"/>
      <c r="Y21" s="191" t="n"/>
      <c r="Z21" s="265" t="n"/>
      <c r="AA21" s="236" t="n"/>
      <c r="AB21" s="96" t="n"/>
      <c r="AC21" s="88" t="inlineStr">
        <is>
          <t>UG</t>
        </is>
      </c>
      <c r="AD21" s="239">
        <f>SUMIF($D$16:$D$36,AC21,$G$16:$G$36)/$AC$15</f>
        <v/>
      </c>
      <c r="AE21" s="237" t="n"/>
    </row>
    <row r="22">
      <c r="A22" s="180" t="n">
        <v>1020107</v>
      </c>
      <c r="B22" s="181" t="n"/>
      <c r="C22" s="182" t="n"/>
      <c r="D22" s="183" t="inlineStr">
        <is>
          <t>Produit Vente</t>
        </is>
      </c>
      <c r="E22" s="224" t="n">
        <v>3</v>
      </c>
      <c r="F22" s="185" t="n"/>
      <c r="G22" s="190">
        <f>E22*F22</f>
        <v/>
      </c>
      <c r="H22" s="185" t="n"/>
      <c r="I22" s="216" t="n">
        <v>0.15</v>
      </c>
      <c r="J22" s="185" t="n"/>
      <c r="K22" s="188">
        <f>J22*(1-I22)</f>
        <v/>
      </c>
      <c r="L22" s="191">
        <f>IFERROR(J22-K22,"")</f>
        <v/>
      </c>
      <c r="M22" s="296">
        <f>H22*(1-I22)*$N$11*(1-$N$10)</f>
        <v/>
      </c>
      <c r="N22" s="270" t="n"/>
      <c r="O22" s="296" t="n"/>
      <c r="P22" s="270" t="n"/>
      <c r="Q22" s="296" t="n"/>
      <c r="R22" s="270" t="n"/>
      <c r="S22" s="296" t="n"/>
      <c r="T22" s="270" t="n"/>
      <c r="U22" s="298" t="n"/>
      <c r="V22" s="270" t="n"/>
      <c r="W22" s="188" t="n"/>
      <c r="X22" s="270" t="n"/>
      <c r="Y22" s="191" t="n"/>
      <c r="Z22" s="265" t="n"/>
      <c r="AA22" s="236" t="n"/>
      <c r="AB22" s="96" t="n"/>
      <c r="AC22" s="88" t="inlineStr">
        <is>
          <t>PLV</t>
        </is>
      </c>
      <c r="AD22" s="239">
        <f>SUMIF($D$16:$D$36,AC22,$G$16:$G$36)/$AC$15</f>
        <v/>
      </c>
      <c r="AE22" s="237" t="n"/>
    </row>
    <row r="23">
      <c r="A23" s="180" t="n">
        <v>1020102</v>
      </c>
      <c r="B23" s="181" t="n"/>
      <c r="C23" s="182" t="n"/>
      <c r="D23" s="183" t="inlineStr">
        <is>
          <t>Produit Vente</t>
        </is>
      </c>
      <c r="E23" s="224" t="n">
        <v>3</v>
      </c>
      <c r="F23" s="185" t="n"/>
      <c r="G23" s="190">
        <f>E23*F23</f>
        <v/>
      </c>
      <c r="H23" s="185" t="n"/>
      <c r="I23" s="216" t="n">
        <v>0.15</v>
      </c>
      <c r="J23" s="185" t="n"/>
      <c r="K23" s="188">
        <f>J23*(1-I23)</f>
        <v/>
      </c>
      <c r="L23" s="191">
        <f>IFERROR(J23-K23,"")</f>
        <v/>
      </c>
      <c r="M23" s="296">
        <f>H23*(1-I23)*$N$11*(1-$N$10)</f>
        <v/>
      </c>
      <c r="N23" s="270" t="n"/>
      <c r="O23" s="296" t="n"/>
      <c r="P23" s="270" t="n"/>
      <c r="Q23" s="296" t="n"/>
      <c r="R23" s="270" t="n"/>
      <c r="S23" s="296" t="n"/>
      <c r="T23" s="270" t="n"/>
      <c r="U23" s="298" t="n"/>
      <c r="V23" s="270" t="n"/>
      <c r="W23" s="188" t="n"/>
      <c r="X23" s="270" t="n"/>
      <c r="Y23" s="191" t="n"/>
      <c r="Z23" s="265" t="n"/>
      <c r="AA23" s="236" t="n"/>
      <c r="AB23" s="96" t="n"/>
      <c r="AC23" s="88" t="inlineStr">
        <is>
          <t>Echantillon</t>
        </is>
      </c>
      <c r="AD23" s="239">
        <f>SUMIF($D$16:$D$36,AC23,$G$16:$G$36)/$AC$15</f>
        <v/>
      </c>
      <c r="AE23" s="237" t="n"/>
    </row>
    <row r="24">
      <c r="A24" s="180" t="n">
        <v>1020722</v>
      </c>
      <c r="B24" s="181" t="n"/>
      <c r="C24" s="182" t="n"/>
      <c r="D24" s="183" t="inlineStr">
        <is>
          <t>Produit Vente</t>
        </is>
      </c>
      <c r="E24" s="224" t="n">
        <v>0</v>
      </c>
      <c r="F24" s="185" t="n"/>
      <c r="G24" s="190">
        <f>E24*F24</f>
        <v/>
      </c>
      <c r="H24" s="185" t="n"/>
      <c r="I24" s="216" t="n">
        <v>0.15</v>
      </c>
      <c r="J24" s="185" t="n"/>
      <c r="K24" s="188">
        <f>J24*(1-I24)</f>
        <v/>
      </c>
      <c r="L24" s="191">
        <f>IFERROR(J24-K24,"")</f>
        <v/>
      </c>
      <c r="M24" s="296">
        <f>H24*(1-I24)*$N$11*(1-$N$10)</f>
        <v/>
      </c>
      <c r="N24" s="270" t="n"/>
      <c r="O24" s="296" t="n"/>
      <c r="P24" s="270" t="n"/>
      <c r="Q24" s="296" t="n"/>
      <c r="R24" s="270" t="n"/>
      <c r="S24" s="296" t="n"/>
      <c r="T24" s="270" t="n"/>
      <c r="U24" s="298" t="n"/>
      <c r="V24" s="270" t="n"/>
      <c r="W24" s="188" t="n"/>
      <c r="X24" s="270" t="n"/>
      <c r="Y24" s="191" t="n"/>
      <c r="Z24" s="265" t="n"/>
      <c r="AA24" s="236" t="n"/>
      <c r="AB24" s="96" t="n"/>
      <c r="AC24" s="88" t="inlineStr">
        <is>
          <t>Testeur</t>
        </is>
      </c>
      <c r="AD24" s="239">
        <f>SUMIF($D$16:$D$36,AC24,$G$16:$G$36)/$AC$15</f>
        <v/>
      </c>
      <c r="AE24" s="237" t="n"/>
    </row>
    <row r="25">
      <c r="A25" s="180" t="n">
        <v>1020719</v>
      </c>
      <c r="B25" s="181" t="n"/>
      <c r="C25" s="182" t="n"/>
      <c r="D25" s="183" t="inlineStr">
        <is>
          <t>Produit Vente</t>
        </is>
      </c>
      <c r="E25" s="224" t="n">
        <v>3</v>
      </c>
      <c r="F25" s="185" t="n"/>
      <c r="G25" s="190">
        <f>E25*F25</f>
        <v/>
      </c>
      <c r="H25" s="185" t="n"/>
      <c r="I25" s="216" t="n">
        <v>0.15</v>
      </c>
      <c r="J25" s="185" t="n"/>
      <c r="K25" s="188">
        <f>J25*(1-I25)</f>
        <v/>
      </c>
      <c r="L25" s="191">
        <f>IFERROR(J25-K25,"")</f>
        <v/>
      </c>
      <c r="M25" s="296">
        <f>H25*(1-I25)*$N$11*(1-$N$10)</f>
        <v/>
      </c>
      <c r="N25" s="270" t="n"/>
      <c r="O25" s="296" t="n"/>
      <c r="P25" s="270" t="n"/>
      <c r="Q25" s="296" t="n"/>
      <c r="R25" s="270" t="n"/>
      <c r="S25" s="296" t="n"/>
      <c r="T25" s="270" t="n"/>
      <c r="U25" s="298" t="n"/>
      <c r="V25" s="270" t="n"/>
      <c r="W25" s="188" t="n"/>
      <c r="X25" s="270" t="n"/>
      <c r="Y25" s="191" t="n"/>
      <c r="Z25" s="265" t="n"/>
      <c r="AA25" s="236" t="n"/>
      <c r="AB25" s="96" t="n"/>
      <c r="AC25" s="97" t="n"/>
      <c r="AD25" s="97" t="n"/>
      <c r="AE25" s="237" t="n"/>
    </row>
    <row r="26">
      <c r="A26" s="180" t="n">
        <v>1020717</v>
      </c>
      <c r="B26" s="181" t="n"/>
      <c r="C26" s="182" t="n"/>
      <c r="D26" s="183" t="inlineStr">
        <is>
          <t>Produit Vente</t>
        </is>
      </c>
      <c r="E26" s="224" t="n">
        <v>3</v>
      </c>
      <c r="F26" s="185" t="n"/>
      <c r="G26" s="190">
        <f>E26*F26</f>
        <v/>
      </c>
      <c r="H26" s="185" t="n"/>
      <c r="I26" s="216" t="n">
        <v>0.15</v>
      </c>
      <c r="J26" s="185" t="n"/>
      <c r="K26" s="188">
        <f>J26*(1-I26)</f>
        <v/>
      </c>
      <c r="L26" s="191">
        <f>IFERROR(J26-K26,"")</f>
        <v/>
      </c>
      <c r="M26" s="296">
        <f>H26*(1-I26)*$N$11*(1-$N$10)</f>
        <v/>
      </c>
      <c r="N26" s="270" t="n"/>
      <c r="O26" s="296" t="n"/>
      <c r="P26" s="270" t="n"/>
      <c r="Q26" s="296" t="n"/>
      <c r="R26" s="270" t="n"/>
      <c r="S26" s="296" t="n"/>
      <c r="T26" s="270" t="n"/>
      <c r="U26" s="298" t="n"/>
      <c r="V26" s="270" t="n"/>
      <c r="W26" s="188" t="n"/>
      <c r="X26" s="270" t="n"/>
      <c r="Y26" s="191" t="n"/>
      <c r="Z26" s="265" t="n"/>
      <c r="AA26" s="236" t="n"/>
      <c r="AB26" s="96" t="n"/>
      <c r="AC26" s="97" t="n"/>
      <c r="AD26" s="97" t="n"/>
      <c r="AE26" s="237" t="n"/>
    </row>
    <row r="27">
      <c r="A27" s="180" t="n">
        <v>1020718</v>
      </c>
      <c r="B27" s="181" t="n"/>
      <c r="C27" s="182" t="n"/>
      <c r="D27" s="183" t="inlineStr">
        <is>
          <t>Produit Vente</t>
        </is>
      </c>
      <c r="E27" s="224" t="n">
        <v>5</v>
      </c>
      <c r="F27" s="185" t="n"/>
      <c r="G27" s="190">
        <f>E27*F27</f>
        <v/>
      </c>
      <c r="H27" s="185" t="n"/>
      <c r="I27" s="216" t="n">
        <v>0.15</v>
      </c>
      <c r="J27" s="185" t="n"/>
      <c r="K27" s="188">
        <f>J27*(1-I27)</f>
        <v/>
      </c>
      <c r="L27" s="191">
        <f>IFERROR(J27-K27,"")</f>
        <v/>
      </c>
      <c r="M27" s="296">
        <f>H27*(1-I27)*$N$11*(1-$N$10)</f>
        <v/>
      </c>
      <c r="N27" s="270" t="n"/>
      <c r="O27" s="296" t="n"/>
      <c r="P27" s="270" t="n"/>
      <c r="Q27" s="296" t="n"/>
      <c r="R27" s="270" t="n"/>
      <c r="S27" s="296" t="n"/>
      <c r="T27" s="270" t="n"/>
      <c r="U27" s="298" t="n"/>
      <c r="V27" s="270" t="n"/>
      <c r="W27" s="188" t="n"/>
      <c r="X27" s="270" t="n"/>
      <c r="Y27" s="191" t="n"/>
      <c r="Z27" s="265" t="n"/>
      <c r="AA27" s="236" t="n"/>
      <c r="AB27" s="96" t="n"/>
      <c r="AC27" s="97" t="n"/>
      <c r="AD27" s="97" t="n"/>
      <c r="AE27" s="237" t="n"/>
    </row>
    <row r="28">
      <c r="A28" s="180" t="n">
        <v>1020301</v>
      </c>
      <c r="B28" s="181" t="n"/>
      <c r="C28" s="182" t="n"/>
      <c r="D28" s="183" t="inlineStr">
        <is>
          <t>Produit Vente</t>
        </is>
      </c>
      <c r="E28" s="224" t="n">
        <v>8</v>
      </c>
      <c r="F28" s="185" t="n"/>
      <c r="G28" s="190">
        <f>E28*F28</f>
        <v/>
      </c>
      <c r="H28" s="185" t="n"/>
      <c r="I28" s="216" t="n">
        <v>0.15</v>
      </c>
      <c r="J28" s="185" t="n"/>
      <c r="K28" s="188">
        <f>J28*(1-I28)</f>
        <v/>
      </c>
      <c r="L28" s="191">
        <f>IFERROR(J28-K28,"")</f>
        <v/>
      </c>
      <c r="M28" s="296">
        <f>H28*(1-I28)*$N$11*(1-$N$10)</f>
        <v/>
      </c>
      <c r="N28" s="270" t="n"/>
      <c r="O28" s="296" t="n"/>
      <c r="P28" s="270" t="n"/>
      <c r="Q28" s="296" t="n"/>
      <c r="R28" s="270" t="n"/>
      <c r="S28" s="296" t="n"/>
      <c r="T28" s="270" t="n"/>
      <c r="U28" s="298" t="n"/>
      <c r="V28" s="270" t="n"/>
      <c r="W28" s="188" t="n"/>
      <c r="X28" s="270" t="n"/>
      <c r="Y28" s="191" t="n"/>
      <c r="Z28" s="265" t="n"/>
      <c r="AA28" s="236" t="n"/>
      <c r="AB28" s="96" t="n"/>
      <c r="AC28" s="97" t="n"/>
      <c r="AD28" s="97" t="n"/>
      <c r="AE28" s="237" t="n"/>
    </row>
    <row r="29">
      <c r="A29" s="180" t="n">
        <v>1020720</v>
      </c>
      <c r="B29" s="181" t="n"/>
      <c r="C29" s="182" t="n"/>
      <c r="D29" s="183" t="inlineStr">
        <is>
          <t>Produit Vente</t>
        </is>
      </c>
      <c r="E29" s="224" t="n">
        <v>8</v>
      </c>
      <c r="F29" s="185" t="n"/>
      <c r="G29" s="190">
        <f>E29*F29</f>
        <v/>
      </c>
      <c r="H29" s="185" t="n"/>
      <c r="I29" s="216" t="n">
        <v>0.15</v>
      </c>
      <c r="J29" s="185" t="n"/>
      <c r="K29" s="188">
        <f>J29*(1-I29)</f>
        <v/>
      </c>
      <c r="L29" s="191">
        <f>IFERROR(J29-K29,"")</f>
        <v/>
      </c>
      <c r="M29" s="296">
        <f>H29*(1-I29)*$N$11*(1-$N$10)</f>
        <v/>
      </c>
      <c r="N29" s="270" t="n"/>
      <c r="O29" s="296" t="n"/>
      <c r="P29" s="270" t="n"/>
      <c r="Q29" s="296" t="n"/>
      <c r="R29" s="270" t="n"/>
      <c r="S29" s="296" t="n"/>
      <c r="T29" s="270" t="n"/>
      <c r="U29" s="298" t="n"/>
      <c r="V29" s="270" t="n"/>
      <c r="W29" s="188" t="n"/>
      <c r="X29" s="270" t="n"/>
      <c r="Y29" s="191" t="n"/>
      <c r="Z29" s="265" t="n"/>
      <c r="AA29" s="236" t="n"/>
      <c r="AB29" s="96" t="n"/>
      <c r="AC29" s="128" t="n"/>
      <c r="AD29" s="97" t="n"/>
      <c r="AE29" s="237" t="n"/>
    </row>
    <row r="30">
      <c r="A30" s="219" t="inlineStr">
        <is>
          <t>PANNEAU REGE</t>
        </is>
      </c>
      <c r="B30" s="220" t="n"/>
      <c r="C30" s="221" t="n"/>
      <c r="D30" s="222" t="inlineStr">
        <is>
          <t>PLV</t>
        </is>
      </c>
      <c r="E30" s="223" t="n">
        <v>1</v>
      </c>
      <c r="F30" s="185" t="n"/>
      <c r="G30" s="190">
        <f>E30*F30</f>
        <v/>
      </c>
      <c r="H30" s="186" t="n"/>
      <c r="I30" s="216" t="n"/>
      <c r="J30" s="185" t="n"/>
      <c r="K30" s="188" t="n"/>
      <c r="L30" s="191">
        <f>IFERROR(J30-K30,"")</f>
        <v/>
      </c>
      <c r="M30" s="296" t="n"/>
      <c r="N30" s="270" t="n"/>
      <c r="O30" s="296" t="n"/>
      <c r="P30" s="270" t="n"/>
      <c r="Q30" s="296" t="n"/>
      <c r="R30" s="270" t="n"/>
      <c r="S30" s="296" t="n"/>
      <c r="T30" s="270" t="n"/>
      <c r="U30" s="298" t="n"/>
      <c r="V30" s="270" t="n"/>
      <c r="W30" s="188" t="n"/>
      <c r="X30" s="270" t="n"/>
      <c r="Y30" s="191" t="n"/>
      <c r="Z30" s="265" t="n"/>
      <c r="AA30" s="236" t="n"/>
      <c r="AB30" s="96" t="n"/>
      <c r="AC30" s="97" t="n"/>
      <c r="AD30" s="133" t="n"/>
      <c r="AE30" s="237" t="n"/>
    </row>
    <row r="31" ht="14.45" customHeight="1" s="267">
      <c r="A31" s="219" t="inlineStr">
        <is>
          <t>PRESENTOIR REGE</t>
        </is>
      </c>
      <c r="B31" s="220" t="n"/>
      <c r="C31" s="221" t="n"/>
      <c r="D31" s="222" t="inlineStr">
        <is>
          <t>PLV</t>
        </is>
      </c>
      <c r="E31" s="223" t="n">
        <v>1</v>
      </c>
      <c r="F31" s="185" t="n"/>
      <c r="G31" s="190">
        <f>E31*F31</f>
        <v/>
      </c>
      <c r="H31" s="186" t="n"/>
      <c r="I31" s="216" t="n"/>
      <c r="J31" s="185" t="n"/>
      <c r="K31" s="188" t="n"/>
      <c r="L31" s="191">
        <f>IFERROR(J31-K31,"")</f>
        <v/>
      </c>
      <c r="M31" s="296" t="n"/>
      <c r="N31" s="270" t="n"/>
      <c r="O31" s="296" t="n"/>
      <c r="P31" s="270" t="n"/>
      <c r="Q31" s="296" t="n"/>
      <c r="R31" s="270" t="n"/>
      <c r="S31" s="296" t="n"/>
      <c r="T31" s="270" t="n"/>
      <c r="U31" s="298" t="n"/>
      <c r="V31" s="270" t="n"/>
      <c r="W31" s="188" t="n"/>
      <c r="X31" s="270" t="n"/>
      <c r="Y31" s="191" t="n"/>
      <c r="Z31" s="265" t="n"/>
      <c r="AA31" s="236" t="n"/>
      <c r="AB31" s="96" t="n"/>
      <c r="AC31" s="97" t="n"/>
      <c r="AD31" s="134" t="n"/>
      <c r="AE31" s="237" t="n"/>
    </row>
    <row r="32" ht="14.45" customHeight="1" s="267">
      <c r="A32" s="219" t="n">
        <v>3020202</v>
      </c>
      <c r="B32" s="220" t="n"/>
      <c r="C32" s="221" t="n"/>
      <c r="D32" s="222" t="inlineStr">
        <is>
          <t>Testeur</t>
        </is>
      </c>
      <c r="E32" s="223" t="n">
        <v>1</v>
      </c>
      <c r="F32" s="185" t="n"/>
      <c r="G32" s="190">
        <f>E32*F32</f>
        <v/>
      </c>
      <c r="H32" s="186" t="n"/>
      <c r="I32" s="216" t="n"/>
      <c r="J32" s="185" t="n"/>
      <c r="K32" s="188" t="n"/>
      <c r="L32" s="191">
        <f>IFERROR(J32-K32,"")</f>
        <v/>
      </c>
      <c r="M32" s="296" t="n"/>
      <c r="N32" s="270" t="n"/>
      <c r="O32" s="296" t="n"/>
      <c r="P32" s="270" t="n"/>
      <c r="Q32" s="296" t="n"/>
      <c r="R32" s="270" t="n"/>
      <c r="S32" s="296" t="n"/>
      <c r="T32" s="270" t="n"/>
      <c r="U32" s="298" t="n"/>
      <c r="V32" s="270" t="n"/>
      <c r="W32" s="188" t="n"/>
      <c r="X32" s="270" t="n"/>
      <c r="Y32" s="191" t="n"/>
      <c r="Z32" s="265" t="n"/>
      <c r="AA32" s="236" t="n"/>
      <c r="AB32" s="96" t="n"/>
      <c r="AC32" s="97" t="n"/>
      <c r="AD32" s="240" t="n"/>
      <c r="AE32" s="237" t="n"/>
    </row>
    <row r="33">
      <c r="A33" s="219" t="n">
        <v>3020301</v>
      </c>
      <c r="B33" s="220" t="n"/>
      <c r="C33" s="221" t="n"/>
      <c r="D33" s="222" t="inlineStr">
        <is>
          <t>Testeur</t>
        </is>
      </c>
      <c r="E33" s="223" t="n">
        <v>1</v>
      </c>
      <c r="F33" s="185" t="n"/>
      <c r="G33" s="190">
        <f>E33*F33</f>
        <v/>
      </c>
      <c r="H33" s="186" t="n"/>
      <c r="I33" s="216" t="n"/>
      <c r="J33" s="185" t="n"/>
      <c r="K33" s="188" t="n"/>
      <c r="L33" s="191">
        <f>IFERROR(J33-K33,"")</f>
        <v/>
      </c>
      <c r="M33" s="296" t="n"/>
      <c r="N33" s="270" t="n"/>
      <c r="O33" s="296" t="n"/>
      <c r="P33" s="270" t="n"/>
      <c r="Q33" s="296" t="n"/>
      <c r="R33" s="270" t="n"/>
      <c r="S33" s="296" t="n"/>
      <c r="T33" s="270" t="n"/>
      <c r="U33" s="298" t="n"/>
      <c r="V33" s="270" t="n"/>
      <c r="W33" s="188" t="n"/>
      <c r="X33" s="270" t="n"/>
      <c r="Y33" s="191" t="n"/>
      <c r="Z33" s="265" t="n"/>
      <c r="AA33" s="236" t="n"/>
      <c r="AB33" s="96" t="n"/>
      <c r="AC33" s="97" t="n"/>
      <c r="AD33" s="134" t="n"/>
      <c r="AE33" s="237" t="n"/>
    </row>
    <row r="34">
      <c r="A34" s="219" t="n">
        <v>3020720</v>
      </c>
      <c r="B34" s="220" t="n"/>
      <c r="C34" s="221" t="n"/>
      <c r="D34" s="222" t="inlineStr">
        <is>
          <t>Testeur</t>
        </is>
      </c>
      <c r="E34" s="223" t="n">
        <v>1</v>
      </c>
      <c r="F34" s="185" t="n"/>
      <c r="G34" s="190">
        <f>E34*F34</f>
        <v/>
      </c>
      <c r="H34" s="186" t="n"/>
      <c r="I34" s="216" t="n"/>
      <c r="J34" s="185" t="n"/>
      <c r="K34" s="188" t="n"/>
      <c r="L34" s="191">
        <f>IFERROR(J34-K34,"")</f>
        <v/>
      </c>
      <c r="M34" s="296" t="n"/>
      <c r="N34" s="270" t="n"/>
      <c r="O34" s="296" t="n"/>
      <c r="P34" s="270" t="n"/>
      <c r="Q34" s="296" t="n"/>
      <c r="R34" s="270" t="n"/>
      <c r="S34" s="296" t="n"/>
      <c r="T34" s="270" t="n"/>
      <c r="U34" s="298" t="n"/>
      <c r="V34" s="270" t="n"/>
      <c r="W34" s="188" t="n"/>
      <c r="X34" s="270" t="n"/>
      <c r="Y34" s="191" t="n"/>
      <c r="Z34" s="265" t="n"/>
      <c r="AA34" s="236" t="n"/>
      <c r="AB34" s="96" t="n"/>
      <c r="AC34" s="96" t="n"/>
      <c r="AD34" s="96" t="n"/>
      <c r="AE34" s="237" t="n"/>
    </row>
    <row r="35">
      <c r="A35" s="219" t="n">
        <v>3020718</v>
      </c>
      <c r="B35" s="220" t="n"/>
      <c r="C35" s="221" t="n"/>
      <c r="D35" s="222" t="inlineStr">
        <is>
          <t>Testeur</t>
        </is>
      </c>
      <c r="E35" s="223" t="n">
        <v>1</v>
      </c>
      <c r="F35" s="185" t="n"/>
      <c r="G35" s="190">
        <f>E35*F35</f>
        <v/>
      </c>
      <c r="H35" s="186" t="n"/>
      <c r="I35" s="216" t="n"/>
      <c r="J35" s="185" t="n"/>
      <c r="K35" s="188" t="n"/>
      <c r="L35" s="191">
        <f>IFERROR(J35-K35,"")</f>
        <v/>
      </c>
      <c r="M35" s="296" t="n"/>
      <c r="N35" s="270" t="n"/>
      <c r="O35" s="296" t="n"/>
      <c r="P35" s="270" t="n"/>
      <c r="Q35" s="296" t="n"/>
      <c r="R35" s="270" t="n"/>
      <c r="S35" s="296" t="n"/>
      <c r="T35" s="270" t="n"/>
      <c r="U35" s="298" t="n"/>
      <c r="V35" s="270" t="n"/>
      <c r="W35" s="188" t="n"/>
      <c r="X35" s="270" t="n"/>
      <c r="Y35" s="191" t="n"/>
      <c r="Z35" s="265" t="n"/>
      <c r="AA35" s="236" t="n"/>
      <c r="AB35" s="96" t="n"/>
      <c r="AC35" s="128" t="n"/>
      <c r="AD35" s="96" t="n"/>
      <c r="AE35" s="237" t="n"/>
    </row>
    <row r="36" ht="15.75" customHeight="1" s="267" thickBot="1">
      <c r="A36" s="219" t="inlineStr">
        <is>
          <t>SR REGE RETAIL 1</t>
        </is>
      </c>
      <c r="B36" s="220" t="n"/>
      <c r="C36" s="221" t="n"/>
      <c r="D36" s="222" t="inlineStr">
        <is>
          <t>PLV</t>
        </is>
      </c>
      <c r="E36" s="223" t="n">
        <v>1</v>
      </c>
      <c r="F36" s="185" t="n"/>
      <c r="G36" s="190">
        <f>E36*F36</f>
        <v/>
      </c>
      <c r="H36" s="186" t="n"/>
      <c r="I36" s="216" t="n"/>
      <c r="J36" s="185" t="n"/>
      <c r="K36" s="188" t="n"/>
      <c r="L36" s="191">
        <f>IFERROR(J36-K36,"")</f>
        <v/>
      </c>
      <c r="M36" s="297" t="n"/>
      <c r="N36" s="199" t="n"/>
      <c r="O36" s="297" t="n"/>
      <c r="P36" s="199" t="n"/>
      <c r="Q36" s="297" t="n"/>
      <c r="R36" s="199" t="n"/>
      <c r="S36" s="297" t="n"/>
      <c r="T36" s="199" t="n"/>
      <c r="U36" s="299" t="n"/>
      <c r="V36" s="199" t="n"/>
      <c r="W36" s="300" t="n"/>
      <c r="X36" s="199" t="n"/>
      <c r="Y36" s="301" t="n"/>
      <c r="Z36" s="198" t="n"/>
      <c r="AA36" s="241" t="n"/>
      <c r="AB36" s="242" t="n"/>
      <c r="AC36" s="243" t="n"/>
      <c r="AD36" s="244" t="n"/>
      <c r="AE36" s="245" t="n"/>
    </row>
    <row r="37"/>
    <row r="38"/>
    <row r="39"/>
    <row r="40">
      <c r="A40" s="22" t="inlineStr">
        <is>
          <t>REGENERANTS 2 - Standard</t>
        </is>
      </c>
      <c r="B40" s="288" t="n"/>
      <c r="C40" s="24" t="n"/>
      <c r="D40" s="25" t="inlineStr">
        <is>
          <t>Panachage 24 unités // Remise 10% pour BRI conso 10€ sur 4 produits : Sérum J/N, CDJR, CDJRI, sérum nuit RI (-10€ = prix plancher, à imprimer sur 1 SR sur le présentoir)</t>
        </is>
      </c>
      <c r="E40" s="288" t="n"/>
      <c r="F40" s="288" t="n"/>
      <c r="G40" s="288" t="n"/>
      <c r="H40" s="288" t="n"/>
      <c r="I40" s="288" t="n"/>
      <c r="J40" s="288" t="n"/>
      <c r="K40" s="288" t="n"/>
      <c r="L40" s="288" t="n"/>
      <c r="M40" s="271" t="n"/>
      <c r="N40" s="272" t="n"/>
      <c r="O40" s="271" t="n"/>
      <c r="P40" s="272" t="n"/>
      <c r="Q40" s="288" t="n"/>
      <c r="R40" s="288" t="n"/>
      <c r="S40" s="288" t="n"/>
      <c r="T40" s="288" t="n"/>
      <c r="U40" s="288" t="n"/>
      <c r="V40" s="288" t="n"/>
      <c r="W40" s="288" t="n"/>
      <c r="X40" s="288" t="n"/>
      <c r="Y40" s="288" t="n"/>
      <c r="Z40" s="288" t="n"/>
      <c r="AA40" s="288" t="n"/>
      <c r="AB40" s="288" t="n"/>
      <c r="AC40" s="288" t="n"/>
      <c r="AD40" s="288" t="n"/>
      <c r="AE40" s="288" t="n"/>
      <c r="AF40" s="158" t="n"/>
    </row>
    <row r="41"/>
    <row r="42" ht="15.75" customHeight="1" s="267" thickBot="1">
      <c r="A42" s="64" t="inlineStr">
        <is>
          <t>Nombre d'offres</t>
        </is>
      </c>
      <c r="B42" s="217" t="n">
        <v>100</v>
      </c>
      <c r="C42" s="266" t="n"/>
      <c r="D42" s="265" t="n"/>
      <c r="E42" s="265" t="n"/>
      <c r="F42" s="265" t="n"/>
      <c r="G42" s="265" t="n"/>
      <c r="H42" s="265" t="n"/>
      <c r="I42" s="265" t="n"/>
      <c r="J42" s="265" t="n"/>
      <c r="K42" s="265" t="n"/>
      <c r="L42" s="265" t="n"/>
      <c r="M42" s="265" t="n"/>
      <c r="N42" s="265" t="n"/>
      <c r="O42" s="265" t="n"/>
      <c r="P42" s="265" t="n"/>
      <c r="Q42" s="265" t="n"/>
      <c r="R42" s="265" t="n"/>
      <c r="S42" s="265" t="n"/>
      <c r="T42" s="265" t="n"/>
      <c r="U42" s="265" t="n"/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5" t="n"/>
      <c r="AE42" s="265" t="n"/>
    </row>
    <row r="43" ht="15.75" customHeight="1" s="267" thickBot="1">
      <c r="A43" s="64" t="inlineStr">
        <is>
          <t>Nombre de produits</t>
        </is>
      </c>
      <c r="B43" s="217" t="n">
        <v>24</v>
      </c>
      <c r="C43" s="266" t="n"/>
      <c r="D43" s="265" t="n"/>
      <c r="E43" s="265" t="n"/>
      <c r="F43" s="265" t="n"/>
      <c r="G43" s="265" t="n"/>
      <c r="H43" s="265" t="n"/>
      <c r="I43" s="265" t="n"/>
      <c r="J43" s="265" t="n"/>
      <c r="K43" s="265" t="n"/>
      <c r="L43" s="265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27" t="n"/>
      <c r="AB43" s="228" t="n"/>
      <c r="AC43" s="228" t="n"/>
      <c r="AD43" s="228" t="n"/>
      <c r="AE43" s="229" t="n"/>
    </row>
    <row r="44" ht="15.75" customHeight="1" s="267" thickBot="1">
      <c r="A44" s="265" t="n"/>
      <c r="B44" s="265" t="n"/>
      <c r="C44" s="266" t="n"/>
      <c r="D44" s="265" t="n"/>
      <c r="E44" s="265" t="n"/>
      <c r="F44" s="265" t="n"/>
      <c r="G44" s="265" t="n"/>
      <c r="H44" s="265" t="n"/>
      <c r="I44" s="265" t="n"/>
      <c r="J44" s="265" t="n"/>
      <c r="K44" s="265" t="n"/>
      <c r="L44" s="265" t="n"/>
      <c r="M44" s="337" t="inlineStr">
        <is>
          <t>RETAIL</t>
        </is>
      </c>
      <c r="N44" s="338" t="n"/>
      <c r="O44" s="338" t="n"/>
      <c r="P44" s="338" t="n"/>
      <c r="Q44" s="338" t="n"/>
      <c r="R44" s="339" t="n"/>
      <c r="S44" s="273" t="inlineStr">
        <is>
          <t>INSTITUT</t>
        </is>
      </c>
      <c r="T44" s="204" t="n"/>
      <c r="U44" s="203" t="n"/>
      <c r="V44" s="203" t="n"/>
      <c r="W44" s="203" t="n"/>
      <c r="X44" s="203" t="n"/>
      <c r="Y44" s="273" t="n"/>
      <c r="Z44" s="204" t="n"/>
      <c r="AA44" s="274" t="n"/>
      <c r="AB44" s="34" t="inlineStr">
        <is>
          <t>Retail + Institut</t>
        </is>
      </c>
      <c r="AC44" s="34" t="n"/>
      <c r="AD44" s="34" t="n"/>
      <c r="AE44" s="231" t="n"/>
    </row>
    <row r="45">
      <c r="A45" s="265" t="n"/>
      <c r="B45" s="265" t="n"/>
      <c r="C45" s="266" t="n"/>
      <c r="D45" s="265" t="n"/>
      <c r="E45" s="265" t="n"/>
      <c r="F45" s="265" t="n"/>
      <c r="G45" s="265" t="n"/>
      <c r="H45" s="265" t="n"/>
      <c r="I45" s="265" t="n"/>
      <c r="J45" s="265" t="n"/>
      <c r="K45" s="265" t="n"/>
      <c r="L45" s="265" t="n"/>
      <c r="M45" s="200" t="n"/>
      <c r="N45" s="202" t="n"/>
      <c r="O45" s="200" t="n"/>
      <c r="P45" s="202" t="n"/>
      <c r="Q45" s="201" t="n"/>
      <c r="R45" s="201" t="n"/>
      <c r="S45" s="200" t="n"/>
      <c r="T45" s="202" t="n"/>
      <c r="U45" s="201" t="n"/>
      <c r="V45" s="202" t="n"/>
      <c r="W45" s="201" t="n"/>
      <c r="X45" s="201" t="n"/>
      <c r="Y45" s="268" t="n"/>
      <c r="Z45" s="270" t="n"/>
      <c r="AA45" s="230" t="n"/>
      <c r="AB45" s="274" t="n"/>
      <c r="AC45" s="274" t="n"/>
      <c r="AD45" s="274" t="n"/>
      <c r="AE45" s="231" t="n"/>
    </row>
    <row r="46">
      <c r="A46" s="265" t="n"/>
      <c r="B46" s="265" t="n"/>
      <c r="C46" s="266" t="n"/>
      <c r="D46" s="265" t="n"/>
      <c r="E46" s="265" t="n"/>
      <c r="F46" s="265" t="n"/>
      <c r="G46" s="265" t="n"/>
      <c r="H46" s="265" t="n"/>
      <c r="J46" s="265" t="n"/>
      <c r="K46" s="265" t="n"/>
      <c r="L46" s="265" t="n"/>
      <c r="M46" s="340" t="inlineStr">
        <is>
          <t>Ambassadeur</t>
        </is>
      </c>
      <c r="N46" s="341" t="n"/>
      <c r="O46" s="340" t="inlineStr">
        <is>
          <t>Compagnon</t>
        </is>
      </c>
      <c r="P46" s="341" t="n"/>
      <c r="Q46" s="340" t="inlineStr">
        <is>
          <t>Challenger</t>
        </is>
      </c>
      <c r="R46" s="341" t="n"/>
      <c r="S46" s="342" t="inlineStr">
        <is>
          <t>Rose</t>
        </is>
      </c>
      <c r="T46" s="341" t="n"/>
      <c r="U46" s="342" t="inlineStr">
        <is>
          <t>Prunelier</t>
        </is>
      </c>
      <c r="V46" s="341" t="n"/>
      <c r="W46" s="342" t="inlineStr">
        <is>
          <t>Anthylide</t>
        </is>
      </c>
      <c r="X46" s="341" t="n"/>
      <c r="Y46" s="342" t="inlineStr">
        <is>
          <t>Calendula</t>
        </is>
      </c>
      <c r="Z46" s="341" t="n"/>
      <c r="AA46" s="230" t="n"/>
      <c r="AB46" s="45" t="inlineStr">
        <is>
          <t>Total</t>
        </is>
      </c>
      <c r="AC46" s="45" t="n"/>
      <c r="AD46" s="45" t="n"/>
      <c r="AE46" s="231" t="n"/>
    </row>
    <row r="47">
      <c r="A47" s="265" t="n"/>
      <c r="B47" s="265" t="n"/>
      <c r="C47" s="266" t="n"/>
      <c r="D47" s="265" t="n"/>
      <c r="E47" s="265" t="n"/>
      <c r="F47" s="265" t="n"/>
      <c r="G47" s="265" t="n"/>
      <c r="H47" s="265" t="n"/>
      <c r="J47" s="265" t="n"/>
      <c r="K47" s="265" t="n"/>
      <c r="L47" s="265" t="n"/>
      <c r="M47" s="278" t="inlineStr">
        <is>
          <t>% Offres</t>
        </is>
      </c>
      <c r="N47" s="279" t="n">
        <v>0.5</v>
      </c>
      <c r="O47" s="278" t="inlineStr">
        <is>
          <t>% Offres</t>
        </is>
      </c>
      <c r="P47" s="279" t="n">
        <v>0.1</v>
      </c>
      <c r="Q47" s="278" t="inlineStr">
        <is>
          <t>% Offres</t>
        </is>
      </c>
      <c r="R47" s="279" t="n">
        <v>0.1</v>
      </c>
      <c r="S47" s="278" t="inlineStr">
        <is>
          <t>% Offres</t>
        </is>
      </c>
      <c r="T47" s="279" t="n">
        <v>0.1</v>
      </c>
      <c r="U47" s="280" t="inlineStr">
        <is>
          <t>% Offres</t>
        </is>
      </c>
      <c r="V47" s="281" t="n">
        <v>0.1</v>
      </c>
      <c r="W47" s="278" t="inlineStr">
        <is>
          <t>% Offres</t>
        </is>
      </c>
      <c r="X47" s="281" t="n">
        <v>0.05</v>
      </c>
      <c r="Y47" s="282" t="n"/>
      <c r="Z47" s="279" t="n">
        <v>0.05</v>
      </c>
      <c r="AA47" s="268" t="n"/>
      <c r="AB47" s="269" t="n"/>
      <c r="AC47" s="269" t="n"/>
      <c r="AD47" s="269" t="n"/>
      <c r="AE47" s="270" t="n"/>
    </row>
    <row r="48">
      <c r="A48" s="265" t="n"/>
      <c r="B48" s="265" t="n"/>
      <c r="C48" s="266" t="n"/>
      <c r="D48" s="265" t="n"/>
      <c r="E48" s="265" t="n"/>
      <c r="F48" s="265" t="n"/>
      <c r="G48" s="265" t="n"/>
      <c r="H48" s="265" t="n"/>
      <c r="I48" s="265" t="n"/>
      <c r="J48" s="265" t="n"/>
      <c r="K48" s="265" t="n"/>
      <c r="L48" s="265" t="n"/>
      <c r="M48" s="278" t="inlineStr">
        <is>
          <t>Remise</t>
        </is>
      </c>
      <c r="N48" s="283" t="n">
        <v>0.17</v>
      </c>
      <c r="O48" s="278" t="inlineStr">
        <is>
          <t>Remise</t>
        </is>
      </c>
      <c r="P48" s="283" t="n">
        <v>0.13</v>
      </c>
      <c r="Q48" s="278" t="inlineStr">
        <is>
          <t>Remise</t>
        </is>
      </c>
      <c r="R48" s="283" t="n">
        <v>0.08</v>
      </c>
      <c r="S48" s="278" t="inlineStr">
        <is>
          <t>Remise</t>
        </is>
      </c>
      <c r="T48" s="284" t="n">
        <v>0.325</v>
      </c>
      <c r="U48" s="280" t="inlineStr">
        <is>
          <t>Remise</t>
        </is>
      </c>
      <c r="V48" s="285" t="n">
        <v>0.3</v>
      </c>
      <c r="W48" s="278" t="inlineStr">
        <is>
          <t>Remise</t>
        </is>
      </c>
      <c r="X48" s="285" t="n">
        <v>0.28</v>
      </c>
      <c r="Y48" s="278" t="inlineStr">
        <is>
          <t>Remise</t>
        </is>
      </c>
      <c r="Z48" s="283" t="n">
        <v>0.25</v>
      </c>
      <c r="AA48" s="230" t="n"/>
      <c r="AB48" s="274" t="n"/>
      <c r="AC48" s="274" t="n"/>
      <c r="AD48" s="274" t="n"/>
      <c r="AE48" s="231" t="n"/>
    </row>
    <row r="49">
      <c r="A49" s="265" t="n"/>
      <c r="B49" s="265" t="n"/>
      <c r="C49" s="266" t="n"/>
      <c r="D49" s="265" t="n"/>
      <c r="E49" s="265" t="n"/>
      <c r="F49" s="265" t="n"/>
      <c r="G49" s="265" t="n"/>
      <c r="H49" s="265" t="n"/>
      <c r="I49" s="265" t="n"/>
      <c r="J49" s="265" t="n"/>
      <c r="K49" s="265" t="n"/>
      <c r="L49" s="265" t="n"/>
      <c r="M49" s="278" t="inlineStr">
        <is>
          <t>Nb Offres</t>
        </is>
      </c>
      <c r="N49" s="286">
        <f>N47*$B$4</f>
        <v/>
      </c>
      <c r="O49" s="278" t="inlineStr">
        <is>
          <t>Nb Offres</t>
        </is>
      </c>
      <c r="P49" s="286">
        <f>P47*$B$4</f>
        <v/>
      </c>
      <c r="Q49" s="278" t="inlineStr">
        <is>
          <t>Nb Offres</t>
        </is>
      </c>
      <c r="R49" s="286">
        <f>R47*$B$4</f>
        <v/>
      </c>
      <c r="S49" s="278" t="inlineStr">
        <is>
          <t>Nb Offres</t>
        </is>
      </c>
      <c r="T49" s="286">
        <f>T47*$B$4</f>
        <v/>
      </c>
      <c r="U49" s="280" t="inlineStr">
        <is>
          <t>Nb Offres</t>
        </is>
      </c>
      <c r="V49" s="286">
        <f>V47*$B$4</f>
        <v/>
      </c>
      <c r="W49" s="278" t="inlineStr">
        <is>
          <t>Nb Offres</t>
        </is>
      </c>
      <c r="X49" s="287">
        <f>X47*$B$4</f>
        <v/>
      </c>
      <c r="Y49" s="278" t="inlineStr">
        <is>
          <t>Nb Offres</t>
        </is>
      </c>
      <c r="Z49" s="286">
        <f>Z47*$B$4</f>
        <v/>
      </c>
      <c r="AA49" s="230" t="n"/>
      <c r="AB49" s="274" t="n"/>
      <c r="AC49" s="274" t="n"/>
      <c r="AD49" s="274" t="n"/>
      <c r="AE49" s="231" t="n"/>
    </row>
    <row r="50" ht="51.75" customHeight="1" s="267">
      <c r="A50" s="46" t="n"/>
      <c r="B50" s="46" t="n"/>
      <c r="C50" s="47" t="n"/>
      <c r="D50" s="46" t="n"/>
      <c r="E50" s="275" t="inlineStr">
        <is>
          <t>Pdt dans offre</t>
        </is>
      </c>
      <c r="F50" s="275" t="inlineStr">
        <is>
          <t>Coût achat unitaire</t>
        </is>
      </c>
      <c r="G50" s="275" t="inlineStr">
        <is>
          <t>Coûts achats total</t>
        </is>
      </c>
      <c r="H50" s="275" t="inlineStr">
        <is>
          <t>Tarif revendeur unitaire</t>
        </is>
      </c>
      <c r="I50" s="275" t="inlineStr">
        <is>
          <t>Remise additionnelle</t>
        </is>
      </c>
      <c r="J50" s="275" t="inlineStr">
        <is>
          <t>PPC</t>
        </is>
      </c>
      <c r="K50" s="275" t="inlineStr">
        <is>
          <t>PPC Remisé</t>
        </is>
      </c>
      <c r="L50" s="275" t="inlineStr">
        <is>
          <t>Montant BRI</t>
        </is>
      </c>
      <c r="M50" s="194" t="inlineStr">
        <is>
          <t>CA</t>
        </is>
      </c>
      <c r="N50" s="195" t="inlineStr">
        <is>
          <t>Marges</t>
        </is>
      </c>
      <c r="O50" s="194" t="inlineStr">
        <is>
          <t>CA</t>
        </is>
      </c>
      <c r="P50" s="195" t="inlineStr">
        <is>
          <t>Marges</t>
        </is>
      </c>
      <c r="Q50" s="194" t="inlineStr">
        <is>
          <t>CA</t>
        </is>
      </c>
      <c r="R50" s="195" t="inlineStr">
        <is>
          <t>Marges</t>
        </is>
      </c>
      <c r="S50" s="194" t="inlineStr">
        <is>
          <t>CA</t>
        </is>
      </c>
      <c r="T50" s="195" t="inlineStr">
        <is>
          <t>Marges</t>
        </is>
      </c>
      <c r="U50" s="275" t="inlineStr">
        <is>
          <t>CA</t>
        </is>
      </c>
      <c r="V50" s="195" t="inlineStr">
        <is>
          <t>Marges</t>
        </is>
      </c>
      <c r="W50" s="275" t="inlineStr">
        <is>
          <t>CA</t>
        </is>
      </c>
      <c r="X50" s="275" t="inlineStr">
        <is>
          <t>Marges</t>
        </is>
      </c>
      <c r="Y50" s="194" t="inlineStr">
        <is>
          <t>CA</t>
        </is>
      </c>
      <c r="Z50" s="195" t="inlineStr">
        <is>
          <t>Marges</t>
        </is>
      </c>
      <c r="AA50" s="232" t="n"/>
      <c r="AB50" s="50" t="inlineStr">
        <is>
          <t>Nbrs Offres planifiées</t>
        </is>
      </c>
      <c r="AC50" s="50" t="inlineStr">
        <is>
          <t>CA</t>
        </is>
      </c>
      <c r="AD50" s="50" t="inlineStr">
        <is>
          <t>Marges</t>
        </is>
      </c>
      <c r="AE50" s="233" t="n"/>
    </row>
    <row r="51" ht="26.25" customHeight="1" s="267" thickBot="1">
      <c r="A51" s="319" t="inlineStr">
        <is>
          <t>Code article</t>
        </is>
      </c>
      <c r="B51" s="319" t="inlineStr">
        <is>
          <t>Libellé article</t>
        </is>
      </c>
      <c r="C51" s="319" t="inlineStr">
        <is>
          <t>Code à barres (EAN)</t>
        </is>
      </c>
      <c r="D51" s="319" t="inlineStr">
        <is>
          <t>Typ. Prod</t>
        </is>
      </c>
      <c r="E51" s="320" t="inlineStr">
        <is>
          <t>'#</t>
        </is>
      </c>
      <c r="F51" s="320" t="inlineStr">
        <is>
          <t>'€</t>
        </is>
      </c>
      <c r="G51" s="320" t="inlineStr">
        <is>
          <t>'€</t>
        </is>
      </c>
      <c r="H51" s="320" t="inlineStr">
        <is>
          <t>'€</t>
        </is>
      </c>
      <c r="I51" s="320" t="inlineStr">
        <is>
          <t>'€</t>
        </is>
      </c>
      <c r="J51" s="320" t="inlineStr">
        <is>
          <t>'€</t>
        </is>
      </c>
      <c r="K51" s="320" t="inlineStr">
        <is>
          <t>'€</t>
        </is>
      </c>
      <c r="L51" s="320" t="inlineStr">
        <is>
          <t>'€</t>
        </is>
      </c>
      <c r="M51" s="196" t="inlineStr">
        <is>
          <t>'€</t>
        </is>
      </c>
      <c r="N51" s="197" t="inlineStr">
        <is>
          <t>'€</t>
        </is>
      </c>
      <c r="O51" s="196" t="inlineStr">
        <is>
          <t>'€</t>
        </is>
      </c>
      <c r="P51" s="197" t="inlineStr">
        <is>
          <t>'€</t>
        </is>
      </c>
      <c r="Q51" s="196" t="inlineStr">
        <is>
          <t>'€</t>
        </is>
      </c>
      <c r="R51" s="197" t="inlineStr">
        <is>
          <t>'€</t>
        </is>
      </c>
      <c r="S51" s="196" t="inlineStr">
        <is>
          <t>'€</t>
        </is>
      </c>
      <c r="T51" s="197" t="inlineStr">
        <is>
          <t>'€</t>
        </is>
      </c>
      <c r="U51" s="320" t="inlineStr">
        <is>
          <t>'€</t>
        </is>
      </c>
      <c r="V51" s="197" t="inlineStr">
        <is>
          <t>'€</t>
        </is>
      </c>
      <c r="W51" s="320" t="inlineStr">
        <is>
          <t>'€</t>
        </is>
      </c>
      <c r="X51" s="320" t="inlineStr">
        <is>
          <t>'€</t>
        </is>
      </c>
      <c r="Y51" s="276" t="inlineStr">
        <is>
          <t>'€</t>
        </is>
      </c>
      <c r="Z51" s="277" t="inlineStr">
        <is>
          <t>'€</t>
        </is>
      </c>
      <c r="AA51" s="230" t="n"/>
      <c r="AB51" s="63" t="inlineStr">
        <is>
          <t>'#</t>
        </is>
      </c>
      <c r="AC51" s="63" t="inlineStr">
        <is>
          <t>'€</t>
        </is>
      </c>
      <c r="AD51" s="63" t="inlineStr">
        <is>
          <t>'€</t>
        </is>
      </c>
      <c r="AE51" s="231" t="n"/>
    </row>
    <row r="52">
      <c r="A52" s="265" t="n"/>
      <c r="B52" s="265" t="n"/>
      <c r="C52" s="266" t="n"/>
      <c r="D52" s="265" t="n"/>
      <c r="E52" s="265" t="n"/>
      <c r="F52" s="265" t="n"/>
      <c r="G52" s="265" t="n"/>
      <c r="H52" s="265" t="n"/>
      <c r="I52" s="265" t="n"/>
      <c r="J52" s="265" t="n"/>
      <c r="M52" s="268" t="n"/>
      <c r="N52" s="270" t="n"/>
      <c r="O52" s="268" t="n"/>
      <c r="P52" s="270" t="n"/>
      <c r="Q52" s="268" t="n"/>
      <c r="R52" s="270" t="n"/>
      <c r="S52" s="268" t="n"/>
      <c r="T52" s="270" t="n"/>
      <c r="U52" s="265" t="n"/>
      <c r="V52" s="270" t="n"/>
      <c r="W52" s="265" t="n"/>
      <c r="X52" s="270" t="n"/>
      <c r="Y52" s="265" t="n"/>
      <c r="Z52" s="265" t="n"/>
      <c r="AA52" s="230" t="n"/>
      <c r="AB52" s="274" t="n"/>
      <c r="AC52" s="274" t="n"/>
      <c r="AD52" s="274" t="n"/>
      <c r="AE52" s="231" t="n"/>
    </row>
    <row r="53">
      <c r="A53" s="65" t="inlineStr">
        <is>
          <t>Synthèse</t>
        </is>
      </c>
      <c r="B53" s="65" t="n"/>
      <c r="C53" s="66" t="n"/>
      <c r="D53" s="65" t="n"/>
      <c r="E53" s="218">
        <f>IFERROR(SUMIFS(E55:E74,D55:D74,"Produit Vente"),"Non trouvé")</f>
        <v/>
      </c>
      <c r="F53" s="68" t="n"/>
      <c r="G53" s="68">
        <f>IFERROR(SUM(G55:G74),"Non Trouvé")</f>
        <v/>
      </c>
      <c r="H53" s="68" t="n"/>
      <c r="I53" s="69" t="n"/>
      <c r="J53" s="68">
        <f>IFERROR(SUM(J55:J74),"Non Trouvé")</f>
        <v/>
      </c>
      <c r="K53" s="68">
        <f>IFERROR(SUM(K55:K74),"Non Trouvé")</f>
        <v/>
      </c>
      <c r="L53" s="68">
        <f>IFERROR(SUM(L55:L74),"Non Trouvé")</f>
        <v/>
      </c>
      <c r="M53" s="302">
        <f>SUM(M55:M74)</f>
        <v/>
      </c>
      <c r="N53" s="303">
        <f>(M53-G53)/M53</f>
        <v/>
      </c>
      <c r="O53" s="302" t="n"/>
      <c r="P53" s="303" t="n"/>
      <c r="Q53" s="302" t="n"/>
      <c r="R53" s="303" t="n"/>
      <c r="S53" s="302" t="n"/>
      <c r="T53" s="303" t="n"/>
      <c r="U53" s="304" t="n"/>
      <c r="V53" s="303" t="n"/>
      <c r="W53" s="304" t="n"/>
      <c r="X53" s="303" t="n"/>
      <c r="Y53" s="304" t="n"/>
      <c r="Z53" s="305" t="n"/>
      <c r="AA53" s="234" t="n"/>
      <c r="AB53" s="67">
        <f>B42</f>
        <v/>
      </c>
      <c r="AC53" s="67">
        <f>Y53+W53+U53+S53+O53+M53+Q53</f>
        <v/>
      </c>
      <c r="AD53" s="74">
        <f>Z53+X53+V53+T53+P53+N53+R53</f>
        <v/>
      </c>
      <c r="AE53" s="235" t="n"/>
    </row>
    <row r="54">
      <c r="A54" s="265" t="n"/>
      <c r="B54" s="265" t="n"/>
      <c r="C54" s="266" t="n"/>
      <c r="D54" s="265" t="n"/>
      <c r="E54" s="265" t="n"/>
      <c r="F54" s="265" t="n"/>
      <c r="G54" s="265" t="n"/>
      <c r="H54" s="265" t="n"/>
      <c r="I54" s="265" t="n"/>
      <c r="J54" s="265" t="n"/>
      <c r="M54" s="268" t="n"/>
      <c r="N54" s="270" t="n"/>
      <c r="O54" s="268" t="n"/>
      <c r="P54" s="270" t="n"/>
      <c r="Q54" s="268" t="n"/>
      <c r="R54" s="270" t="n"/>
      <c r="S54" s="268" t="n"/>
      <c r="T54" s="270" t="n"/>
      <c r="U54" s="265" t="n"/>
      <c r="V54" s="270" t="n"/>
      <c r="W54" s="265" t="n"/>
      <c r="X54" s="270" t="n"/>
      <c r="Y54" s="265" t="n"/>
      <c r="Z54" s="265" t="n"/>
      <c r="AA54" s="230" t="n"/>
      <c r="AB54" s="274" t="n"/>
      <c r="AC54" s="274" t="n"/>
      <c r="AD54" s="274" t="n"/>
      <c r="AE54" s="231" t="n"/>
    </row>
    <row r="55" ht="15.75" customHeight="1" s="267" thickBot="1">
      <c r="A55" s="180" t="n">
        <v>1020202</v>
      </c>
      <c r="B55" s="181" t="n"/>
      <c r="C55" s="182" t="n"/>
      <c r="D55" s="183" t="inlineStr">
        <is>
          <t>Produit Vente</t>
        </is>
      </c>
      <c r="E55" s="224" t="n">
        <v>8</v>
      </c>
      <c r="F55" s="185" t="n"/>
      <c r="G55" s="190">
        <f>E55*F55</f>
        <v/>
      </c>
      <c r="H55" s="185" t="n"/>
      <c r="I55" s="216" t="n">
        <v>0.15</v>
      </c>
      <c r="J55" s="185" t="n"/>
      <c r="K55" s="188">
        <f>J55*(1-I55)</f>
        <v/>
      </c>
      <c r="L55" s="191">
        <f>IFERROR(J55-K55,"")</f>
        <v/>
      </c>
      <c r="M55" s="296">
        <f>H55*(1-I55)*$N$11*(1-$N$10)</f>
        <v/>
      </c>
      <c r="N55" s="270" t="n"/>
      <c r="O55" s="296" t="n"/>
      <c r="P55" s="270" t="n"/>
      <c r="Q55" s="296" t="n"/>
      <c r="R55" s="270" t="n"/>
      <c r="S55" s="296" t="n"/>
      <c r="T55" s="270" t="n"/>
      <c r="U55" s="298" t="n"/>
      <c r="V55" s="270" t="n"/>
      <c r="W55" s="188" t="n"/>
      <c r="X55" s="270" t="n"/>
      <c r="Y55" s="191" t="n"/>
      <c r="Z55" s="265" t="n"/>
      <c r="AA55" s="236" t="n"/>
      <c r="AB55" s="96" t="n"/>
      <c r="AC55" s="97" t="n"/>
      <c r="AD55" s="97" t="n"/>
      <c r="AE55" s="237" t="n"/>
    </row>
    <row r="56" ht="15.75" customHeight="1" s="267" thickBot="1">
      <c r="A56" s="180" t="n">
        <v>1020310</v>
      </c>
      <c r="B56" s="181" t="n"/>
      <c r="C56" s="182" t="n"/>
      <c r="D56" s="183" t="inlineStr">
        <is>
          <t>Produit Vente</t>
        </is>
      </c>
      <c r="E56" s="224" t="n">
        <v>4</v>
      </c>
      <c r="F56" s="185" t="n"/>
      <c r="G56" s="190">
        <f>E56*F56</f>
        <v/>
      </c>
      <c r="H56" s="185" t="n"/>
      <c r="I56" s="216" t="n">
        <v>0.15</v>
      </c>
      <c r="J56" s="185" t="n"/>
      <c r="K56" s="188">
        <f>J56*(1-I56)</f>
        <v/>
      </c>
      <c r="L56" s="191">
        <f>IFERROR(J56-K56,"")</f>
        <v/>
      </c>
      <c r="M56" s="296">
        <f>H56*(1-I56)*$N$11*(1-$N$10)</f>
        <v/>
      </c>
      <c r="N56" s="270" t="n"/>
      <c r="O56" s="296" t="n"/>
      <c r="P56" s="270" t="n"/>
      <c r="Q56" s="296" t="n"/>
      <c r="R56" s="270" t="n"/>
      <c r="S56" s="296" t="n"/>
      <c r="T56" s="270" t="n"/>
      <c r="U56" s="298" t="n"/>
      <c r="V56" s="270" t="n"/>
      <c r="W56" s="188" t="n"/>
      <c r="X56" s="270" t="n"/>
      <c r="Y56" s="191" t="n"/>
      <c r="Z56" s="265" t="n"/>
      <c r="AA56" s="238" t="n"/>
      <c r="AB56" s="225" t="n"/>
      <c r="AC56" s="226" t="inlineStr">
        <is>
          <t>Prix Offre Moy. Remisé :</t>
        </is>
      </c>
      <c r="AD56" s="116">
        <f>AC53/AB53</f>
        <v/>
      </c>
      <c r="AE56" s="237" t="n"/>
    </row>
    <row r="57" ht="15.75" customHeight="1" s="267" thickBot="1">
      <c r="A57" s="180" t="n">
        <v>1020401</v>
      </c>
      <c r="B57" s="181" t="n"/>
      <c r="C57" s="182" t="n"/>
      <c r="D57" s="183" t="inlineStr">
        <is>
          <t>Produit Vente</t>
        </is>
      </c>
      <c r="E57" s="224" t="n">
        <v>5</v>
      </c>
      <c r="F57" s="185" t="n"/>
      <c r="G57" s="190">
        <f>E57*F57</f>
        <v/>
      </c>
      <c r="H57" s="185" t="n"/>
      <c r="I57" s="216" t="n">
        <v>0.15</v>
      </c>
      <c r="J57" s="185" t="n"/>
      <c r="K57" s="188">
        <f>J57*(1-I57)</f>
        <v/>
      </c>
      <c r="L57" s="191">
        <f>IFERROR(J57-K57,"")</f>
        <v/>
      </c>
      <c r="M57" s="296">
        <f>H57*(1-I57)*$N$11*(1-$N$10)</f>
        <v/>
      </c>
      <c r="N57" s="270" t="n"/>
      <c r="O57" s="296" t="n"/>
      <c r="P57" s="270" t="n"/>
      <c r="Q57" s="296" t="n"/>
      <c r="R57" s="270" t="n"/>
      <c r="S57" s="296" t="n"/>
      <c r="T57" s="270" t="n"/>
      <c r="U57" s="298" t="n"/>
      <c r="V57" s="270" t="n"/>
      <c r="W57" s="188" t="n"/>
      <c r="X57" s="270" t="n"/>
      <c r="Y57" s="191" t="n"/>
      <c r="Z57" s="265" t="n"/>
      <c r="AA57" s="238" t="n"/>
      <c r="AB57" s="225" t="n"/>
      <c r="AC57" s="226" t="inlineStr">
        <is>
          <t>Poids Gratuités achats :</t>
        </is>
      </c>
      <c r="AD57" s="118">
        <f>SUM(AD59:AD62)</f>
        <v/>
      </c>
      <c r="AE57" s="237" t="n"/>
    </row>
    <row r="58">
      <c r="A58" s="180" t="n">
        <v>1020302</v>
      </c>
      <c r="B58" s="181" t="n"/>
      <c r="C58" s="182" t="n"/>
      <c r="D58" s="183" t="inlineStr">
        <is>
          <t>Produit Vente</t>
        </is>
      </c>
      <c r="E58" s="224" t="n">
        <v>1</v>
      </c>
      <c r="F58" s="185" t="n"/>
      <c r="G58" s="190">
        <f>E58*F58</f>
        <v/>
      </c>
      <c r="H58" s="185" t="n"/>
      <c r="I58" s="216" t="n">
        <v>0.15</v>
      </c>
      <c r="J58" s="185" t="n"/>
      <c r="K58" s="188">
        <f>J58*(1-I58)</f>
        <v/>
      </c>
      <c r="L58" s="191">
        <f>IFERROR(J58-K58,"")</f>
        <v/>
      </c>
      <c r="M58" s="296">
        <f>H58*(1-I58)*$N$11*(1-$N$10)</f>
        <v/>
      </c>
      <c r="N58" s="270" t="n"/>
      <c r="O58" s="296" t="n"/>
      <c r="P58" s="270" t="n"/>
      <c r="Q58" s="296" t="n"/>
      <c r="R58" s="270" t="n"/>
      <c r="S58" s="296" t="n"/>
      <c r="T58" s="270" t="n"/>
      <c r="U58" s="298" t="n"/>
      <c r="V58" s="270" t="n"/>
      <c r="W58" s="188" t="n"/>
      <c r="X58" s="270" t="n"/>
      <c r="Y58" s="191" t="n"/>
      <c r="Z58" s="265" t="n"/>
      <c r="AA58" s="236" t="n"/>
      <c r="AB58" s="96" t="n"/>
      <c r="AC58" s="97" t="n"/>
      <c r="AD58" s="97" t="n"/>
      <c r="AE58" s="237" t="n"/>
    </row>
    <row r="59">
      <c r="A59" s="180" t="n">
        <v>1020721</v>
      </c>
      <c r="B59" s="181" t="n"/>
      <c r="C59" s="182" t="n"/>
      <c r="D59" s="183" t="inlineStr">
        <is>
          <t>Produit Vente</t>
        </is>
      </c>
      <c r="E59" s="224" t="n">
        <v>0</v>
      </c>
      <c r="F59" s="185" t="n"/>
      <c r="G59" s="190">
        <f>E59*F59</f>
        <v/>
      </c>
      <c r="H59" s="185" t="n"/>
      <c r="I59" s="216" t="n">
        <v>0.15</v>
      </c>
      <c r="J59" s="185" t="n"/>
      <c r="K59" s="188">
        <f>J59*(1-I59)</f>
        <v/>
      </c>
      <c r="L59" s="191">
        <f>IFERROR(J59-K59,"")</f>
        <v/>
      </c>
      <c r="M59" s="296">
        <f>H59*(1-I59)*$N$11*(1-$N$10)</f>
        <v/>
      </c>
      <c r="N59" s="270" t="n"/>
      <c r="O59" s="296" t="n"/>
      <c r="P59" s="270" t="n"/>
      <c r="Q59" s="296" t="n"/>
      <c r="R59" s="270" t="n"/>
      <c r="S59" s="296" t="n"/>
      <c r="T59" s="270" t="n"/>
      <c r="U59" s="298" t="n"/>
      <c r="V59" s="270" t="n"/>
      <c r="W59" s="188" t="n"/>
      <c r="X59" s="270" t="n"/>
      <c r="Y59" s="191" t="n"/>
      <c r="Z59" s="265" t="n"/>
      <c r="AA59" s="236" t="n"/>
      <c r="AB59" s="96" t="n"/>
      <c r="AC59" s="88" t="inlineStr">
        <is>
          <t>UG</t>
        </is>
      </c>
      <c r="AD59" s="239">
        <f>SUMIF($D$16:$D$36,AC59,$G$16:$G$36)/$AC$15</f>
        <v/>
      </c>
      <c r="AE59" s="237" t="n"/>
    </row>
    <row r="60">
      <c r="A60" s="180" t="n">
        <v>1020107</v>
      </c>
      <c r="B60" s="181" t="n"/>
      <c r="C60" s="182" t="n"/>
      <c r="D60" s="183" t="inlineStr">
        <is>
          <t>Produit Vente</t>
        </is>
      </c>
      <c r="E60" s="224" t="n">
        <v>3</v>
      </c>
      <c r="F60" s="185" t="n"/>
      <c r="G60" s="190">
        <f>E60*F60</f>
        <v/>
      </c>
      <c r="H60" s="185" t="n"/>
      <c r="I60" s="216" t="n">
        <v>0.15</v>
      </c>
      <c r="J60" s="185" t="n"/>
      <c r="K60" s="188">
        <f>J60*(1-I60)</f>
        <v/>
      </c>
      <c r="L60" s="191">
        <f>IFERROR(J60-K60,"")</f>
        <v/>
      </c>
      <c r="M60" s="296">
        <f>H60*(1-I60)*$N$11*(1-$N$10)</f>
        <v/>
      </c>
      <c r="N60" s="270" t="n"/>
      <c r="O60" s="296" t="n"/>
      <c r="P60" s="270" t="n"/>
      <c r="Q60" s="296" t="n"/>
      <c r="R60" s="270" t="n"/>
      <c r="S60" s="296" t="n"/>
      <c r="T60" s="270" t="n"/>
      <c r="U60" s="298" t="n"/>
      <c r="V60" s="270" t="n"/>
      <c r="W60" s="188" t="n"/>
      <c r="X60" s="270" t="n"/>
      <c r="Y60" s="191" t="n"/>
      <c r="Z60" s="265" t="n"/>
      <c r="AA60" s="236" t="n"/>
      <c r="AB60" s="96" t="n"/>
      <c r="AC60" s="88" t="inlineStr">
        <is>
          <t>PLV</t>
        </is>
      </c>
      <c r="AD60" s="239">
        <f>SUMIF($D$16:$D$36,AC60,$G$16:$G$36)/$AC$15</f>
        <v/>
      </c>
      <c r="AE60" s="237" t="n"/>
    </row>
    <row r="61">
      <c r="A61" s="180" t="n">
        <v>1020102</v>
      </c>
      <c r="B61" s="181" t="n"/>
      <c r="C61" s="182" t="n"/>
      <c r="D61" s="183" t="inlineStr">
        <is>
          <t>Produit Vente</t>
        </is>
      </c>
      <c r="E61" s="224" t="n">
        <v>3</v>
      </c>
      <c r="F61" s="185" t="n"/>
      <c r="G61" s="190">
        <f>E61*F61</f>
        <v/>
      </c>
      <c r="H61" s="185" t="n"/>
      <c r="I61" s="216" t="n">
        <v>0.15</v>
      </c>
      <c r="J61" s="185" t="n"/>
      <c r="K61" s="188">
        <f>J61*(1-I61)</f>
        <v/>
      </c>
      <c r="L61" s="191">
        <f>IFERROR(J61-K61,"")</f>
        <v/>
      </c>
      <c r="M61" s="296">
        <f>H61*(1-I61)*$N$11*(1-$N$10)</f>
        <v/>
      </c>
      <c r="N61" s="270" t="n"/>
      <c r="O61" s="296" t="n"/>
      <c r="P61" s="270" t="n"/>
      <c r="Q61" s="296" t="n"/>
      <c r="R61" s="270" t="n"/>
      <c r="S61" s="296" t="n"/>
      <c r="T61" s="270" t="n"/>
      <c r="U61" s="298" t="n"/>
      <c r="V61" s="270" t="n"/>
      <c r="W61" s="188" t="n"/>
      <c r="X61" s="270" t="n"/>
      <c r="Y61" s="191" t="n"/>
      <c r="Z61" s="265" t="n"/>
      <c r="AA61" s="236" t="n"/>
      <c r="AB61" s="96" t="n"/>
      <c r="AC61" s="88" t="inlineStr">
        <is>
          <t>Echantillon</t>
        </is>
      </c>
      <c r="AD61" s="239">
        <f>SUMIF($D$16:$D$36,AC61,$G$16:$G$36)/$AC$15</f>
        <v/>
      </c>
      <c r="AE61" s="237" t="n"/>
    </row>
    <row r="62">
      <c r="A62" s="180" t="n">
        <v>1020722</v>
      </c>
      <c r="B62" s="181" t="n"/>
      <c r="C62" s="182" t="n"/>
      <c r="D62" s="183" t="inlineStr">
        <is>
          <t>Produit Vente</t>
        </is>
      </c>
      <c r="E62" s="224" t="n">
        <v>0</v>
      </c>
      <c r="F62" s="185" t="n"/>
      <c r="G62" s="190">
        <f>E62*F62</f>
        <v/>
      </c>
      <c r="H62" s="185" t="n"/>
      <c r="I62" s="216" t="n">
        <v>0.15</v>
      </c>
      <c r="J62" s="185" t="n"/>
      <c r="K62" s="188">
        <f>J62*(1-I62)</f>
        <v/>
      </c>
      <c r="L62" s="191">
        <f>IFERROR(J62-K62,"")</f>
        <v/>
      </c>
      <c r="M62" s="296">
        <f>H62*(1-I62)*$N$11*(1-$N$10)</f>
        <v/>
      </c>
      <c r="N62" s="270" t="n"/>
      <c r="O62" s="296" t="n"/>
      <c r="P62" s="270" t="n"/>
      <c r="Q62" s="296" t="n"/>
      <c r="R62" s="270" t="n"/>
      <c r="S62" s="296" t="n"/>
      <c r="T62" s="270" t="n"/>
      <c r="U62" s="298" t="n"/>
      <c r="V62" s="270" t="n"/>
      <c r="W62" s="188" t="n"/>
      <c r="X62" s="270" t="n"/>
      <c r="Y62" s="191" t="n"/>
      <c r="Z62" s="265" t="n"/>
      <c r="AA62" s="236" t="n"/>
      <c r="AB62" s="96" t="n"/>
      <c r="AC62" s="88" t="inlineStr">
        <is>
          <t>Testeur</t>
        </is>
      </c>
      <c r="AD62" s="239">
        <f>SUMIF($D$16:$D$36,AC62,$G$16:$G$36)/$AC$15</f>
        <v/>
      </c>
      <c r="AE62" s="237" t="n"/>
    </row>
    <row r="63">
      <c r="A63" s="180" t="n">
        <v>1020719</v>
      </c>
      <c r="B63" s="181" t="n"/>
      <c r="C63" s="182" t="n"/>
      <c r="D63" s="183" t="inlineStr">
        <is>
          <t>Produit Vente</t>
        </is>
      </c>
      <c r="E63" s="224" t="n"/>
      <c r="F63" s="185" t="n"/>
      <c r="G63" s="190">
        <f>E63*F63</f>
        <v/>
      </c>
      <c r="H63" s="185" t="n"/>
      <c r="I63" s="216" t="n">
        <v>0.15</v>
      </c>
      <c r="J63" s="185" t="n"/>
      <c r="K63" s="188">
        <f>J63*(1-I63)</f>
        <v/>
      </c>
      <c r="L63" s="191">
        <f>IFERROR(J63-K63,"")</f>
        <v/>
      </c>
      <c r="M63" s="296">
        <f>H63*(1-I63)*$N$11*(1-$N$10)</f>
        <v/>
      </c>
      <c r="N63" s="270" t="n"/>
      <c r="O63" s="296" t="n"/>
      <c r="P63" s="270" t="n"/>
      <c r="Q63" s="296" t="n"/>
      <c r="R63" s="270" t="n"/>
      <c r="S63" s="296" t="n"/>
      <c r="T63" s="270" t="n"/>
      <c r="U63" s="298" t="n"/>
      <c r="V63" s="270" t="n"/>
      <c r="W63" s="188" t="n"/>
      <c r="X63" s="270" t="n"/>
      <c r="Y63" s="191" t="n"/>
      <c r="Z63" s="265" t="n"/>
      <c r="AA63" s="236" t="n"/>
      <c r="AB63" s="96" t="n"/>
      <c r="AC63" s="97" t="n"/>
      <c r="AD63" s="97" t="n"/>
      <c r="AE63" s="237" t="n"/>
    </row>
    <row r="64">
      <c r="A64" s="180" t="n">
        <v>1020717</v>
      </c>
      <c r="B64" s="181" t="n"/>
      <c r="C64" s="182" t="n"/>
      <c r="D64" s="183" t="inlineStr">
        <is>
          <t>Produit Vente</t>
        </is>
      </c>
      <c r="E64" s="224" t="n"/>
      <c r="F64" s="185" t="n"/>
      <c r="G64" s="190">
        <f>E64*F64</f>
        <v/>
      </c>
      <c r="H64" s="185" t="n"/>
      <c r="I64" s="216" t="n">
        <v>0.15</v>
      </c>
      <c r="J64" s="185" t="n"/>
      <c r="K64" s="188">
        <f>J64*(1-I64)</f>
        <v/>
      </c>
      <c r="L64" s="191">
        <f>IFERROR(J64-K64,"")</f>
        <v/>
      </c>
      <c r="M64" s="296">
        <f>H64*(1-I64)*$N$11*(1-$N$10)</f>
        <v/>
      </c>
      <c r="N64" s="270" t="n"/>
      <c r="O64" s="296" t="n"/>
      <c r="P64" s="270" t="n"/>
      <c r="Q64" s="296" t="n"/>
      <c r="R64" s="270" t="n"/>
      <c r="S64" s="296" t="n"/>
      <c r="T64" s="270" t="n"/>
      <c r="U64" s="298" t="n"/>
      <c r="V64" s="270" t="n"/>
      <c r="W64" s="188" t="n"/>
      <c r="X64" s="270" t="n"/>
      <c r="Y64" s="191" t="n"/>
      <c r="Z64" s="265" t="n"/>
      <c r="AA64" s="236" t="n"/>
      <c r="AB64" s="96" t="n"/>
      <c r="AC64" s="97" t="n"/>
      <c r="AD64" s="97" t="n"/>
      <c r="AE64" s="237" t="n"/>
    </row>
    <row r="65">
      <c r="A65" s="180" t="n">
        <v>1020718</v>
      </c>
      <c r="B65" s="181" t="n"/>
      <c r="C65" s="182" t="n"/>
      <c r="D65" s="183" t="inlineStr">
        <is>
          <t>Produit Vente</t>
        </is>
      </c>
      <c r="E65" s="224" t="n"/>
      <c r="F65" s="185" t="n"/>
      <c r="G65" s="190">
        <f>E65*F65</f>
        <v/>
      </c>
      <c r="H65" s="185" t="n"/>
      <c r="I65" s="216" t="n">
        <v>0.15</v>
      </c>
      <c r="J65" s="185" t="n"/>
      <c r="K65" s="188">
        <f>J65*(1-I65)</f>
        <v/>
      </c>
      <c r="L65" s="191">
        <f>IFERROR(J65-K65,"")</f>
        <v/>
      </c>
      <c r="M65" s="296">
        <f>H65*(1-I65)*$N$11*(1-$N$10)</f>
        <v/>
      </c>
      <c r="N65" s="270" t="n"/>
      <c r="O65" s="296" t="n"/>
      <c r="P65" s="270" t="n"/>
      <c r="Q65" s="296" t="n"/>
      <c r="R65" s="270" t="n"/>
      <c r="S65" s="296" t="n"/>
      <c r="T65" s="270" t="n"/>
      <c r="U65" s="298" t="n"/>
      <c r="V65" s="270" t="n"/>
      <c r="W65" s="188" t="n"/>
      <c r="X65" s="270" t="n"/>
      <c r="Y65" s="191" t="n"/>
      <c r="Z65" s="265" t="n"/>
      <c r="AA65" s="236" t="n"/>
      <c r="AB65" s="96" t="n"/>
      <c r="AC65" s="97" t="n"/>
      <c r="AD65" s="97" t="n"/>
      <c r="AE65" s="237" t="n"/>
    </row>
    <row r="66">
      <c r="A66" s="180" t="n">
        <v>1020301</v>
      </c>
      <c r="B66" s="181" t="n"/>
      <c r="C66" s="182" t="n"/>
      <c r="D66" s="183" t="inlineStr">
        <is>
          <t>Produit Vente</t>
        </is>
      </c>
      <c r="E66" s="224" t="n"/>
      <c r="F66" s="185" t="n"/>
      <c r="G66" s="190">
        <f>E66*F66</f>
        <v/>
      </c>
      <c r="H66" s="185" t="n"/>
      <c r="I66" s="216" t="n">
        <v>0.15</v>
      </c>
      <c r="J66" s="185" t="n"/>
      <c r="K66" s="188">
        <f>J66*(1-I66)</f>
        <v/>
      </c>
      <c r="L66" s="191">
        <f>IFERROR(J66-K66,"")</f>
        <v/>
      </c>
      <c r="M66" s="296">
        <f>H66*(1-I66)*$N$11*(1-$N$10)</f>
        <v/>
      </c>
      <c r="N66" s="270" t="n"/>
      <c r="O66" s="296" t="n"/>
      <c r="P66" s="270" t="n"/>
      <c r="Q66" s="296" t="n"/>
      <c r="R66" s="270" t="n"/>
      <c r="S66" s="296" t="n"/>
      <c r="T66" s="270" t="n"/>
      <c r="U66" s="298" t="n"/>
      <c r="V66" s="270" t="n"/>
      <c r="W66" s="188" t="n"/>
      <c r="X66" s="270" t="n"/>
      <c r="Y66" s="191" t="n"/>
      <c r="Z66" s="265" t="n"/>
      <c r="AA66" s="236" t="n"/>
      <c r="AB66" s="96" t="n"/>
      <c r="AC66" s="97" t="n"/>
      <c r="AD66" s="97" t="n"/>
      <c r="AE66" s="237" t="n"/>
    </row>
    <row r="67">
      <c r="A67" s="180" t="n">
        <v>1020720</v>
      </c>
      <c r="B67" s="181" t="n"/>
      <c r="C67" s="182" t="n"/>
      <c r="D67" s="183" t="inlineStr">
        <is>
          <t>Produit Vente</t>
        </is>
      </c>
      <c r="E67" s="224" t="n"/>
      <c r="F67" s="185" t="n"/>
      <c r="G67" s="190">
        <f>E67*F67</f>
        <v/>
      </c>
      <c r="H67" s="185" t="n"/>
      <c r="I67" s="216" t="n">
        <v>0.15</v>
      </c>
      <c r="J67" s="185" t="n"/>
      <c r="K67" s="188">
        <f>J67*(1-I67)</f>
        <v/>
      </c>
      <c r="L67" s="191">
        <f>IFERROR(J67-K67,"")</f>
        <v/>
      </c>
      <c r="M67" s="296">
        <f>H67*(1-I67)*$N$11*(1-$N$10)</f>
        <v/>
      </c>
      <c r="N67" s="270" t="n"/>
      <c r="O67" s="296" t="n"/>
      <c r="P67" s="270" t="n"/>
      <c r="Q67" s="296" t="n"/>
      <c r="R67" s="270" t="n"/>
      <c r="S67" s="296" t="n"/>
      <c r="T67" s="270" t="n"/>
      <c r="U67" s="298" t="n"/>
      <c r="V67" s="270" t="n"/>
      <c r="W67" s="188" t="n"/>
      <c r="X67" s="270" t="n"/>
      <c r="Y67" s="191" t="n"/>
      <c r="Z67" s="265" t="n"/>
      <c r="AA67" s="236" t="n"/>
      <c r="AB67" s="96" t="n"/>
      <c r="AC67" s="128" t="n"/>
      <c r="AD67" s="97" t="n"/>
      <c r="AE67" s="237" t="n"/>
    </row>
    <row r="68">
      <c r="A68" s="219" t="inlineStr">
        <is>
          <t>PANNEAU REGE</t>
        </is>
      </c>
      <c r="B68" s="220" t="n"/>
      <c r="C68" s="221" t="n"/>
      <c r="D68" s="222" t="inlineStr">
        <is>
          <t>PLV</t>
        </is>
      </c>
      <c r="E68" s="223" t="n">
        <v>1</v>
      </c>
      <c r="F68" s="185" t="n"/>
      <c r="G68" s="190">
        <f>E68*F68</f>
        <v/>
      </c>
      <c r="H68" s="186" t="n"/>
      <c r="I68" s="216" t="n"/>
      <c r="J68" s="185" t="n"/>
      <c r="K68" s="188" t="n"/>
      <c r="L68" s="191">
        <f>IFERROR(J68-K68,"")</f>
        <v/>
      </c>
      <c r="M68" s="296" t="n"/>
      <c r="N68" s="270" t="n"/>
      <c r="O68" s="296" t="n"/>
      <c r="P68" s="270" t="n"/>
      <c r="Q68" s="296" t="n"/>
      <c r="R68" s="270" t="n"/>
      <c r="S68" s="296" t="n"/>
      <c r="T68" s="270" t="n"/>
      <c r="U68" s="298" t="n"/>
      <c r="V68" s="270" t="n"/>
      <c r="W68" s="188" t="n"/>
      <c r="X68" s="270" t="n"/>
      <c r="Y68" s="191" t="n"/>
      <c r="Z68" s="265" t="n"/>
      <c r="AA68" s="236" t="n"/>
      <c r="AB68" s="96" t="n"/>
      <c r="AC68" s="97" t="n"/>
      <c r="AD68" s="133" t="n"/>
      <c r="AE68" s="237" t="n"/>
    </row>
    <row r="69">
      <c r="A69" s="219" t="inlineStr">
        <is>
          <t>PRESENTOIR REGE</t>
        </is>
      </c>
      <c r="B69" s="220" t="n"/>
      <c r="C69" s="221" t="n"/>
      <c r="D69" s="222" t="inlineStr">
        <is>
          <t>PLV</t>
        </is>
      </c>
      <c r="E69" s="223" t="n">
        <v>1</v>
      </c>
      <c r="F69" s="185" t="n"/>
      <c r="G69" s="190">
        <f>E69*F69</f>
        <v/>
      </c>
      <c r="H69" s="186" t="n"/>
      <c r="I69" s="216" t="n"/>
      <c r="J69" s="185" t="n"/>
      <c r="K69" s="188" t="n"/>
      <c r="L69" s="191">
        <f>IFERROR(J69-K69,"")</f>
        <v/>
      </c>
      <c r="M69" s="296" t="n"/>
      <c r="N69" s="270" t="n"/>
      <c r="O69" s="296" t="n"/>
      <c r="P69" s="270" t="n"/>
      <c r="Q69" s="296" t="n"/>
      <c r="R69" s="270" t="n"/>
      <c r="S69" s="296" t="n"/>
      <c r="T69" s="270" t="n"/>
      <c r="U69" s="298" t="n"/>
      <c r="V69" s="270" t="n"/>
      <c r="W69" s="188" t="n"/>
      <c r="X69" s="270" t="n"/>
      <c r="Y69" s="191" t="n"/>
      <c r="Z69" s="265" t="n"/>
      <c r="AA69" s="236" t="n"/>
      <c r="AB69" s="96" t="n"/>
      <c r="AC69" s="97" t="n"/>
      <c r="AD69" s="134" t="n"/>
      <c r="AE69" s="237" t="n"/>
    </row>
    <row r="70">
      <c r="A70" s="219" t="n">
        <v>3020202</v>
      </c>
      <c r="B70" s="220" t="n"/>
      <c r="C70" s="221" t="n"/>
      <c r="D70" s="222" t="inlineStr">
        <is>
          <t>Testeur</t>
        </is>
      </c>
      <c r="E70" s="223" t="n">
        <v>1</v>
      </c>
      <c r="F70" s="185" t="n"/>
      <c r="G70" s="190">
        <f>E70*F70</f>
        <v/>
      </c>
      <c r="H70" s="186" t="n"/>
      <c r="I70" s="216" t="n"/>
      <c r="J70" s="185" t="n"/>
      <c r="K70" s="188" t="n"/>
      <c r="L70" s="191">
        <f>IFERROR(J70-K70,"")</f>
        <v/>
      </c>
      <c r="M70" s="296" t="n"/>
      <c r="N70" s="270" t="n"/>
      <c r="O70" s="296" t="n"/>
      <c r="P70" s="270" t="n"/>
      <c r="Q70" s="296" t="n"/>
      <c r="R70" s="270" t="n"/>
      <c r="S70" s="296" t="n"/>
      <c r="T70" s="270" t="n"/>
      <c r="U70" s="298" t="n"/>
      <c r="V70" s="270" t="n"/>
      <c r="W70" s="188" t="n"/>
      <c r="X70" s="270" t="n"/>
      <c r="Y70" s="191" t="n"/>
      <c r="Z70" s="265" t="n"/>
      <c r="AA70" s="236" t="n"/>
      <c r="AB70" s="96" t="n"/>
      <c r="AC70" s="97" t="n"/>
      <c r="AD70" s="240" t="n"/>
      <c r="AE70" s="237" t="n"/>
    </row>
    <row r="71">
      <c r="A71" s="219" t="n">
        <v>3020301</v>
      </c>
      <c r="B71" s="220" t="n"/>
      <c r="C71" s="221" t="n"/>
      <c r="D71" s="222" t="inlineStr">
        <is>
          <t>Testeur</t>
        </is>
      </c>
      <c r="E71" s="223" t="n">
        <v>1</v>
      </c>
      <c r="F71" s="185" t="n"/>
      <c r="G71" s="190">
        <f>E71*F71</f>
        <v/>
      </c>
      <c r="H71" s="186" t="n"/>
      <c r="I71" s="216" t="n"/>
      <c r="J71" s="185" t="n"/>
      <c r="K71" s="188" t="n"/>
      <c r="L71" s="191">
        <f>IFERROR(J71-K71,"")</f>
        <v/>
      </c>
      <c r="M71" s="296" t="n"/>
      <c r="N71" s="270" t="n"/>
      <c r="O71" s="296" t="n"/>
      <c r="P71" s="270" t="n"/>
      <c r="Q71" s="296" t="n"/>
      <c r="R71" s="270" t="n"/>
      <c r="S71" s="296" t="n"/>
      <c r="T71" s="270" t="n"/>
      <c r="U71" s="298" t="n"/>
      <c r="V71" s="270" t="n"/>
      <c r="W71" s="188" t="n"/>
      <c r="X71" s="270" t="n"/>
      <c r="Y71" s="191" t="n"/>
      <c r="Z71" s="265" t="n"/>
      <c r="AA71" s="236" t="n"/>
      <c r="AB71" s="96" t="n"/>
      <c r="AC71" s="97" t="n"/>
      <c r="AD71" s="134" t="n"/>
      <c r="AE71" s="237" t="n"/>
    </row>
    <row r="72">
      <c r="A72" s="219" t="n">
        <v>3020720</v>
      </c>
      <c r="B72" s="220" t="n"/>
      <c r="C72" s="221" t="n"/>
      <c r="D72" s="222" t="inlineStr">
        <is>
          <t>Testeur</t>
        </is>
      </c>
      <c r="E72" s="223" t="n">
        <v>1</v>
      </c>
      <c r="F72" s="185" t="n"/>
      <c r="G72" s="190">
        <f>E72*F72</f>
        <v/>
      </c>
      <c r="H72" s="186" t="n"/>
      <c r="I72" s="216" t="n"/>
      <c r="J72" s="185" t="n"/>
      <c r="K72" s="188" t="n"/>
      <c r="L72" s="191">
        <f>IFERROR(J72-K72,"")</f>
        <v/>
      </c>
      <c r="M72" s="296" t="n"/>
      <c r="N72" s="270" t="n"/>
      <c r="O72" s="296" t="n"/>
      <c r="P72" s="270" t="n"/>
      <c r="Q72" s="296" t="n"/>
      <c r="R72" s="270" t="n"/>
      <c r="S72" s="296" t="n"/>
      <c r="T72" s="270" t="n"/>
      <c r="U72" s="298" t="n"/>
      <c r="V72" s="270" t="n"/>
      <c r="W72" s="188" t="n"/>
      <c r="X72" s="270" t="n"/>
      <c r="Y72" s="191" t="n"/>
      <c r="Z72" s="265" t="n"/>
      <c r="AA72" s="236" t="n"/>
      <c r="AB72" s="96" t="n"/>
      <c r="AC72" s="96" t="n"/>
      <c r="AD72" s="96" t="n"/>
      <c r="AE72" s="237" t="n"/>
    </row>
    <row r="73">
      <c r="A73" s="219" t="n">
        <v>3020718</v>
      </c>
      <c r="B73" s="220" t="n"/>
      <c r="C73" s="221" t="n"/>
      <c r="D73" s="222" t="inlineStr">
        <is>
          <t>Testeur</t>
        </is>
      </c>
      <c r="E73" s="223" t="n">
        <v>1</v>
      </c>
      <c r="F73" s="185" t="n"/>
      <c r="G73" s="190">
        <f>E73*F73</f>
        <v/>
      </c>
      <c r="H73" s="186" t="n"/>
      <c r="I73" s="216" t="n"/>
      <c r="J73" s="185" t="n"/>
      <c r="K73" s="188" t="n"/>
      <c r="L73" s="191">
        <f>IFERROR(J73-K73,"")</f>
        <v/>
      </c>
      <c r="M73" s="296" t="n"/>
      <c r="N73" s="270" t="n"/>
      <c r="O73" s="296" t="n"/>
      <c r="P73" s="270" t="n"/>
      <c r="Q73" s="296" t="n"/>
      <c r="R73" s="270" t="n"/>
      <c r="S73" s="296" t="n"/>
      <c r="T73" s="270" t="n"/>
      <c r="U73" s="298" t="n"/>
      <c r="V73" s="270" t="n"/>
      <c r="W73" s="188" t="n"/>
      <c r="X73" s="270" t="n"/>
      <c r="Y73" s="191" t="n"/>
      <c r="Z73" s="265" t="n"/>
      <c r="AA73" s="236" t="n"/>
      <c r="AB73" s="96" t="n"/>
      <c r="AC73" s="128" t="n"/>
      <c r="AD73" s="96" t="n"/>
      <c r="AE73" s="237" t="n"/>
    </row>
    <row r="74" ht="15.75" customHeight="1" s="267" thickBot="1">
      <c r="A74" s="219" t="inlineStr">
        <is>
          <t>SR REGE RETAIL 1</t>
        </is>
      </c>
      <c r="B74" s="220" t="n"/>
      <c r="C74" s="221" t="n"/>
      <c r="D74" s="222" t="inlineStr">
        <is>
          <t>PLV</t>
        </is>
      </c>
      <c r="E74" s="223" t="n">
        <v>1</v>
      </c>
      <c r="F74" s="185" t="n"/>
      <c r="G74" s="190">
        <f>E74*F74</f>
        <v/>
      </c>
      <c r="H74" s="186" t="n"/>
      <c r="I74" s="216" t="n"/>
      <c r="J74" s="185" t="n"/>
      <c r="K74" s="188" t="n"/>
      <c r="L74" s="191">
        <f>IFERROR(J74-K74,"")</f>
        <v/>
      </c>
      <c r="M74" s="297" t="n"/>
      <c r="N74" s="199" t="n"/>
      <c r="O74" s="297" t="n"/>
      <c r="P74" s="199" t="n"/>
      <c r="Q74" s="297" t="n"/>
      <c r="R74" s="199" t="n"/>
      <c r="S74" s="297" t="n"/>
      <c r="T74" s="199" t="n"/>
      <c r="U74" s="299" t="n"/>
      <c r="V74" s="199" t="n"/>
      <c r="W74" s="300" t="n"/>
      <c r="X74" s="199" t="n"/>
      <c r="Y74" s="301" t="n"/>
      <c r="Z74" s="198" t="n"/>
      <c r="AA74" s="241" t="n"/>
      <c r="AB74" s="242" t="n"/>
      <c r="AC74" s="243" t="n"/>
      <c r="AD74" s="244" t="n"/>
      <c r="AE74" s="245" t="n"/>
    </row>
    <row r="75"/>
    <row r="76">
      <c r="A76" s="22" t="inlineStr">
        <is>
          <t>REGENERANTS 3 - Essentiel</t>
        </is>
      </c>
      <c r="B76" s="288" t="n"/>
      <c r="C76" s="24" t="n"/>
      <c r="D76" s="25" t="inlineStr">
        <is>
          <t>Panachage 12 unités // 5% de remise</t>
        </is>
      </c>
      <c r="E76" s="288" t="n"/>
      <c r="F76" s="288" t="n"/>
      <c r="G76" s="288" t="n"/>
      <c r="H76" s="288" t="n"/>
      <c r="I76" s="288" t="n"/>
      <c r="J76" s="288" t="n"/>
      <c r="K76" s="288" t="n"/>
      <c r="L76" s="288" t="n"/>
      <c r="M76" s="271" t="n"/>
      <c r="N76" s="272" t="n"/>
      <c r="O76" s="271" t="n"/>
      <c r="P76" s="272" t="n"/>
      <c r="Q76" s="288" t="n"/>
      <c r="R76" s="288" t="n"/>
      <c r="S76" s="288" t="n"/>
      <c r="T76" s="288" t="n"/>
      <c r="U76" s="288" t="n"/>
      <c r="V76" s="288" t="n"/>
      <c r="W76" s="288" t="n"/>
      <c r="X76" s="288" t="n"/>
      <c r="Y76" s="288" t="n"/>
      <c r="Z76" s="288" t="n"/>
      <c r="AA76" s="288" t="n"/>
      <c r="AB76" s="288" t="n"/>
      <c r="AC76" s="288" t="n"/>
      <c r="AD76" s="288" t="n"/>
      <c r="AE76" s="288" t="n"/>
    </row>
    <row r="77"/>
    <row r="78" ht="15.75" customHeight="1" s="267" thickBot="1">
      <c r="A78" s="64" t="inlineStr">
        <is>
          <t>Nombre d'offres</t>
        </is>
      </c>
      <c r="B78" s="217" t="n">
        <v>200</v>
      </c>
      <c r="C78" s="266" t="n"/>
      <c r="D78" s="265" t="n"/>
      <c r="E78" s="265" t="n"/>
      <c r="F78" s="265" t="n"/>
      <c r="G78" s="265" t="n"/>
      <c r="H78" s="265" t="n"/>
      <c r="I78" s="265" t="n"/>
      <c r="J78" s="265" t="n"/>
      <c r="K78" s="265" t="n"/>
      <c r="L78" s="265" t="n"/>
      <c r="M78" s="265" t="n"/>
      <c r="N78" s="265" t="n"/>
      <c r="O78" s="265" t="n"/>
      <c r="P78" s="265" t="n"/>
      <c r="Q78" s="265" t="n"/>
      <c r="R78" s="265" t="n"/>
      <c r="S78" s="265" t="n"/>
      <c r="T78" s="265" t="n"/>
      <c r="U78" s="265" t="n"/>
      <c r="V78" s="265" t="n"/>
      <c r="W78" s="265" t="n"/>
      <c r="X78" s="265" t="n"/>
      <c r="Y78" s="265" t="n"/>
      <c r="Z78" s="265" t="n"/>
      <c r="AA78" s="265" t="n"/>
      <c r="AB78" s="265" t="n"/>
      <c r="AC78" s="265" t="n"/>
      <c r="AD78" s="265" t="n"/>
      <c r="AE78" s="265" t="n"/>
    </row>
    <row r="79" ht="15.75" customHeight="1" s="267" thickBot="1">
      <c r="A79" s="64" t="inlineStr">
        <is>
          <t>Nombre de produits</t>
        </is>
      </c>
      <c r="B79" s="217" t="n">
        <v>12</v>
      </c>
      <c r="C79" s="266" t="n"/>
      <c r="D79" s="265" t="n"/>
      <c r="E79" s="265" t="n"/>
      <c r="F79" s="265" t="n"/>
      <c r="G79" s="265" t="n"/>
      <c r="H79" s="265" t="n"/>
      <c r="I79" s="265" t="n"/>
      <c r="J79" s="265" t="n"/>
      <c r="K79" s="265" t="n"/>
      <c r="L79" s="265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  <c r="AA79" s="227" t="n"/>
      <c r="AB79" s="228" t="n"/>
      <c r="AC79" s="228" t="n"/>
      <c r="AD79" s="228" t="n"/>
      <c r="AE79" s="229" t="n"/>
    </row>
    <row r="80" ht="15.75" customHeight="1" s="267" thickBot="1">
      <c r="A80" s="265" t="n"/>
      <c r="B80" s="265" t="n"/>
      <c r="C80" s="266" t="n"/>
      <c r="D80" s="265" t="n"/>
      <c r="E80" s="265" t="n"/>
      <c r="F80" s="265" t="n"/>
      <c r="G80" s="265" t="n"/>
      <c r="H80" s="265" t="n"/>
      <c r="I80" s="265" t="n"/>
      <c r="J80" s="265" t="n"/>
      <c r="K80" s="265" t="n"/>
      <c r="L80" s="265" t="n"/>
      <c r="M80" s="337" t="inlineStr">
        <is>
          <t>RETAIL</t>
        </is>
      </c>
      <c r="N80" s="338" t="n"/>
      <c r="O80" s="338" t="n"/>
      <c r="P80" s="338" t="n"/>
      <c r="Q80" s="338" t="n"/>
      <c r="R80" s="339" t="n"/>
      <c r="S80" s="273" t="inlineStr">
        <is>
          <t>INSTITUT</t>
        </is>
      </c>
      <c r="T80" s="204" t="n"/>
      <c r="U80" s="203" t="n"/>
      <c r="V80" s="203" t="n"/>
      <c r="W80" s="203" t="n"/>
      <c r="X80" s="203" t="n"/>
      <c r="Y80" s="273" t="n"/>
      <c r="Z80" s="204" t="n"/>
      <c r="AA80" s="274" t="n"/>
      <c r="AB80" s="34" t="inlineStr">
        <is>
          <t>Retail + Institut</t>
        </is>
      </c>
      <c r="AC80" s="34" t="n"/>
      <c r="AD80" s="34" t="n"/>
      <c r="AE80" s="231" t="n"/>
    </row>
    <row r="81">
      <c r="A81" s="265" t="n"/>
      <c r="B81" s="265" t="n"/>
      <c r="C81" s="266" t="n"/>
      <c r="D81" s="265" t="n"/>
      <c r="E81" s="265" t="n"/>
      <c r="F81" s="265" t="n"/>
      <c r="G81" s="265" t="n"/>
      <c r="H81" s="265" t="n"/>
      <c r="I81" s="265" t="n"/>
      <c r="J81" s="265" t="n"/>
      <c r="K81" s="265" t="n"/>
      <c r="L81" s="265" t="n"/>
      <c r="M81" s="200" t="n"/>
      <c r="N81" s="202" t="n"/>
      <c r="O81" s="200" t="n"/>
      <c r="P81" s="202" t="n"/>
      <c r="Q81" s="201" t="n"/>
      <c r="R81" s="201" t="n"/>
      <c r="S81" s="200" t="n"/>
      <c r="T81" s="202" t="n"/>
      <c r="U81" s="201" t="n"/>
      <c r="V81" s="202" t="n"/>
      <c r="W81" s="201" t="n"/>
      <c r="X81" s="201" t="n"/>
      <c r="Y81" s="268" t="n"/>
      <c r="Z81" s="270" t="n"/>
      <c r="AA81" s="230" t="n"/>
      <c r="AB81" s="274" t="n"/>
      <c r="AC81" s="274" t="n"/>
      <c r="AD81" s="274" t="n"/>
      <c r="AE81" s="231" t="n"/>
    </row>
    <row r="82">
      <c r="A82" s="265" t="n"/>
      <c r="B82" s="265" t="n"/>
      <c r="C82" s="266" t="n"/>
      <c r="D82" s="265" t="n"/>
      <c r="E82" s="265" t="n"/>
      <c r="F82" s="265" t="n"/>
      <c r="G82" s="265" t="n"/>
      <c r="H82" s="265" t="n"/>
      <c r="J82" s="265" t="n"/>
      <c r="K82" s="265" t="n"/>
      <c r="L82" s="265" t="n"/>
      <c r="M82" s="340" t="inlineStr">
        <is>
          <t>Ambassadeur</t>
        </is>
      </c>
      <c r="N82" s="341" t="n"/>
      <c r="O82" s="340" t="inlineStr">
        <is>
          <t>Compagnon</t>
        </is>
      </c>
      <c r="P82" s="341" t="n"/>
      <c r="Q82" s="340" t="inlineStr">
        <is>
          <t>Challenger</t>
        </is>
      </c>
      <c r="R82" s="341" t="n"/>
      <c r="S82" s="342" t="inlineStr">
        <is>
          <t>Rose</t>
        </is>
      </c>
      <c r="T82" s="341" t="n"/>
      <c r="U82" s="342" t="inlineStr">
        <is>
          <t>Prunelier</t>
        </is>
      </c>
      <c r="V82" s="341" t="n"/>
      <c r="W82" s="342" t="inlineStr">
        <is>
          <t>Anthylide</t>
        </is>
      </c>
      <c r="X82" s="341" t="n"/>
      <c r="Y82" s="342" t="inlineStr">
        <is>
          <t>Calendula</t>
        </is>
      </c>
      <c r="Z82" s="341" t="n"/>
      <c r="AA82" s="230" t="n"/>
      <c r="AB82" s="45" t="inlineStr">
        <is>
          <t>Total</t>
        </is>
      </c>
      <c r="AC82" s="45" t="n"/>
      <c r="AD82" s="45" t="n"/>
      <c r="AE82" s="231" t="n"/>
    </row>
    <row r="83">
      <c r="A83" s="265" t="n"/>
      <c r="B83" s="265" t="n"/>
      <c r="C83" s="266" t="n"/>
      <c r="D83" s="265" t="n"/>
      <c r="E83" s="265" t="n"/>
      <c r="F83" s="265" t="n"/>
      <c r="G83" s="265" t="n"/>
      <c r="H83" s="265" t="n"/>
      <c r="J83" s="265" t="n"/>
      <c r="K83" s="265" t="n"/>
      <c r="L83" s="265" t="n"/>
      <c r="M83" s="278" t="inlineStr">
        <is>
          <t>% Offres</t>
        </is>
      </c>
      <c r="N83" s="279" t="n">
        <v>0.5</v>
      </c>
      <c r="O83" s="278" t="inlineStr">
        <is>
          <t>% Offres</t>
        </is>
      </c>
      <c r="P83" s="279" t="n">
        <v>0.1</v>
      </c>
      <c r="Q83" s="278" t="inlineStr">
        <is>
          <t>% Offres</t>
        </is>
      </c>
      <c r="R83" s="279" t="n">
        <v>0.1</v>
      </c>
      <c r="S83" s="278" t="inlineStr">
        <is>
          <t>% Offres</t>
        </is>
      </c>
      <c r="T83" s="279" t="n">
        <v>0.1</v>
      </c>
      <c r="U83" s="280" t="inlineStr">
        <is>
          <t>% Offres</t>
        </is>
      </c>
      <c r="V83" s="281" t="n">
        <v>0.1</v>
      </c>
      <c r="W83" s="278" t="inlineStr">
        <is>
          <t>% Offres</t>
        </is>
      </c>
      <c r="X83" s="281" t="n">
        <v>0.05</v>
      </c>
      <c r="Y83" s="282" t="n"/>
      <c r="Z83" s="279" t="n">
        <v>0.05</v>
      </c>
      <c r="AA83" s="268" t="n"/>
      <c r="AB83" s="269" t="n"/>
      <c r="AC83" s="269" t="n"/>
      <c r="AD83" s="269" t="n"/>
      <c r="AE83" s="270" t="n"/>
    </row>
    <row r="84">
      <c r="A84" s="265" t="n"/>
      <c r="B84" s="265" t="n"/>
      <c r="C84" s="266" t="n"/>
      <c r="D84" s="265" t="n"/>
      <c r="E84" s="265" t="n"/>
      <c r="F84" s="265" t="n"/>
      <c r="G84" s="265" t="n"/>
      <c r="H84" s="265" t="n"/>
      <c r="I84" s="265" t="n"/>
      <c r="J84" s="265" t="n"/>
      <c r="K84" s="265" t="n"/>
      <c r="L84" s="265" t="n"/>
      <c r="M84" s="278" t="inlineStr">
        <is>
          <t>Remise</t>
        </is>
      </c>
      <c r="N84" s="283" t="n">
        <v>0.17</v>
      </c>
      <c r="O84" s="278" t="inlineStr">
        <is>
          <t>Remise</t>
        </is>
      </c>
      <c r="P84" s="283" t="n">
        <v>0.13</v>
      </c>
      <c r="Q84" s="278" t="inlineStr">
        <is>
          <t>Remise</t>
        </is>
      </c>
      <c r="R84" s="283" t="n">
        <v>0.08</v>
      </c>
      <c r="S84" s="278" t="inlineStr">
        <is>
          <t>Remise</t>
        </is>
      </c>
      <c r="T84" s="284" t="n">
        <v>0.325</v>
      </c>
      <c r="U84" s="280" t="inlineStr">
        <is>
          <t>Remise</t>
        </is>
      </c>
      <c r="V84" s="285" t="n">
        <v>0.3</v>
      </c>
      <c r="W84" s="278" t="inlineStr">
        <is>
          <t>Remise</t>
        </is>
      </c>
      <c r="X84" s="285" t="n">
        <v>0.28</v>
      </c>
      <c r="Y84" s="278" t="inlineStr">
        <is>
          <t>Remise</t>
        </is>
      </c>
      <c r="Z84" s="283" t="n">
        <v>0.25</v>
      </c>
      <c r="AA84" s="230" t="n"/>
      <c r="AB84" s="274" t="n"/>
      <c r="AC84" s="274" t="n"/>
      <c r="AD84" s="274" t="n"/>
      <c r="AE84" s="231" t="n"/>
    </row>
    <row r="85">
      <c r="A85" s="265" t="n"/>
      <c r="B85" s="265" t="n"/>
      <c r="C85" s="266" t="n"/>
      <c r="D85" s="265" t="n"/>
      <c r="E85" s="265" t="n"/>
      <c r="F85" s="265" t="n"/>
      <c r="G85" s="265" t="n"/>
      <c r="H85" s="265" t="n"/>
      <c r="I85" s="265" t="n"/>
      <c r="J85" s="265" t="n"/>
      <c r="K85" s="265" t="n"/>
      <c r="L85" s="265" t="n"/>
      <c r="M85" s="278" t="inlineStr">
        <is>
          <t>Nb Offres</t>
        </is>
      </c>
      <c r="N85" s="286">
        <f>N83*$B$4</f>
        <v/>
      </c>
      <c r="O85" s="278" t="inlineStr">
        <is>
          <t>Nb Offres</t>
        </is>
      </c>
      <c r="P85" s="286">
        <f>P83*$B$4</f>
        <v/>
      </c>
      <c r="Q85" s="278" t="inlineStr">
        <is>
          <t>Nb Offres</t>
        </is>
      </c>
      <c r="R85" s="286">
        <f>R83*$B$4</f>
        <v/>
      </c>
      <c r="S85" s="278" t="inlineStr">
        <is>
          <t>Nb Offres</t>
        </is>
      </c>
      <c r="T85" s="286">
        <f>T83*$B$4</f>
        <v/>
      </c>
      <c r="U85" s="280" t="inlineStr">
        <is>
          <t>Nb Offres</t>
        </is>
      </c>
      <c r="V85" s="286">
        <f>V83*$B$4</f>
        <v/>
      </c>
      <c r="W85" s="278" t="inlineStr">
        <is>
          <t>Nb Offres</t>
        </is>
      </c>
      <c r="X85" s="287">
        <f>X83*$B$4</f>
        <v/>
      </c>
      <c r="Y85" s="278" t="inlineStr">
        <is>
          <t>Nb Offres</t>
        </is>
      </c>
      <c r="Z85" s="286">
        <f>Z83*$B$4</f>
        <v/>
      </c>
      <c r="AA85" s="230" t="n"/>
      <c r="AB85" s="274" t="n"/>
      <c r="AC85" s="274" t="n"/>
      <c r="AD85" s="274" t="n"/>
      <c r="AE85" s="231" t="n"/>
    </row>
    <row r="86" ht="51.75" customHeight="1" s="267">
      <c r="A86" s="46" t="n"/>
      <c r="B86" s="46" t="n"/>
      <c r="C86" s="47" t="n"/>
      <c r="D86" s="46" t="n"/>
      <c r="E86" s="275" t="inlineStr">
        <is>
          <t>Pdt dans offre</t>
        </is>
      </c>
      <c r="F86" s="275" t="inlineStr">
        <is>
          <t>Coût achat unitaire</t>
        </is>
      </c>
      <c r="G86" s="275" t="inlineStr">
        <is>
          <t>Coûts achats total</t>
        </is>
      </c>
      <c r="H86" s="275" t="inlineStr">
        <is>
          <t>Tarif revendeur unitaire</t>
        </is>
      </c>
      <c r="I86" s="275" t="inlineStr">
        <is>
          <t>Remise additionnelle</t>
        </is>
      </c>
      <c r="J86" s="275" t="inlineStr">
        <is>
          <t>PPC</t>
        </is>
      </c>
      <c r="K86" s="275" t="inlineStr">
        <is>
          <t>PPC Remisé</t>
        </is>
      </c>
      <c r="L86" s="275" t="inlineStr">
        <is>
          <t>Montant BRI</t>
        </is>
      </c>
      <c r="M86" s="194" t="inlineStr">
        <is>
          <t>CA</t>
        </is>
      </c>
      <c r="N86" s="195" t="inlineStr">
        <is>
          <t>Marges</t>
        </is>
      </c>
      <c r="O86" s="194" t="inlineStr">
        <is>
          <t>CA</t>
        </is>
      </c>
      <c r="P86" s="195" t="inlineStr">
        <is>
          <t>Marges</t>
        </is>
      </c>
      <c r="Q86" s="194" t="inlineStr">
        <is>
          <t>CA</t>
        </is>
      </c>
      <c r="R86" s="195" t="inlineStr">
        <is>
          <t>Marges</t>
        </is>
      </c>
      <c r="S86" s="194" t="inlineStr">
        <is>
          <t>CA</t>
        </is>
      </c>
      <c r="T86" s="195" t="inlineStr">
        <is>
          <t>Marges</t>
        </is>
      </c>
      <c r="U86" s="275" t="inlineStr">
        <is>
          <t>CA</t>
        </is>
      </c>
      <c r="V86" s="195" t="inlineStr">
        <is>
          <t>Marges</t>
        </is>
      </c>
      <c r="W86" s="275" t="inlineStr">
        <is>
          <t>CA</t>
        </is>
      </c>
      <c r="X86" s="275" t="inlineStr">
        <is>
          <t>Marges</t>
        </is>
      </c>
      <c r="Y86" s="194" t="inlineStr">
        <is>
          <t>CA</t>
        </is>
      </c>
      <c r="Z86" s="195" t="inlineStr">
        <is>
          <t>Marges</t>
        </is>
      </c>
      <c r="AA86" s="232" t="n"/>
      <c r="AB86" s="50" t="inlineStr">
        <is>
          <t>Nbrs Offres planifiées</t>
        </is>
      </c>
      <c r="AC86" s="50" t="inlineStr">
        <is>
          <t>CA</t>
        </is>
      </c>
      <c r="AD86" s="50" t="inlineStr">
        <is>
          <t>Marges</t>
        </is>
      </c>
      <c r="AE86" s="233" t="n"/>
    </row>
    <row r="87" ht="26.25" customHeight="1" s="267" thickBot="1">
      <c r="A87" s="319" t="inlineStr">
        <is>
          <t>Code article</t>
        </is>
      </c>
      <c r="B87" s="319" t="inlineStr">
        <is>
          <t>Libellé article</t>
        </is>
      </c>
      <c r="C87" s="319" t="inlineStr">
        <is>
          <t>Code à barres (EAN)</t>
        </is>
      </c>
      <c r="D87" s="319" t="inlineStr">
        <is>
          <t>Typ. Prod</t>
        </is>
      </c>
      <c r="E87" s="320" t="inlineStr">
        <is>
          <t>'#</t>
        </is>
      </c>
      <c r="F87" s="320" t="inlineStr">
        <is>
          <t>'€</t>
        </is>
      </c>
      <c r="G87" s="320" t="inlineStr">
        <is>
          <t>'€</t>
        </is>
      </c>
      <c r="H87" s="320" t="inlineStr">
        <is>
          <t>'€</t>
        </is>
      </c>
      <c r="I87" s="320" t="inlineStr">
        <is>
          <t>'€</t>
        </is>
      </c>
      <c r="J87" s="320" t="inlineStr">
        <is>
          <t>'€</t>
        </is>
      </c>
      <c r="K87" s="320" t="inlineStr">
        <is>
          <t>'€</t>
        </is>
      </c>
      <c r="L87" s="320" t="inlineStr">
        <is>
          <t>'€</t>
        </is>
      </c>
      <c r="M87" s="196" t="inlineStr">
        <is>
          <t>'€</t>
        </is>
      </c>
      <c r="N87" s="197" t="inlineStr">
        <is>
          <t>'€</t>
        </is>
      </c>
      <c r="O87" s="196" t="inlineStr">
        <is>
          <t>'€</t>
        </is>
      </c>
      <c r="P87" s="197" t="inlineStr">
        <is>
          <t>'€</t>
        </is>
      </c>
      <c r="Q87" s="196" t="inlineStr">
        <is>
          <t>'€</t>
        </is>
      </c>
      <c r="R87" s="197" t="inlineStr">
        <is>
          <t>'€</t>
        </is>
      </c>
      <c r="S87" s="196" t="inlineStr">
        <is>
          <t>'€</t>
        </is>
      </c>
      <c r="T87" s="197" t="inlineStr">
        <is>
          <t>'€</t>
        </is>
      </c>
      <c r="U87" s="320" t="inlineStr">
        <is>
          <t>'€</t>
        </is>
      </c>
      <c r="V87" s="197" t="inlineStr">
        <is>
          <t>'€</t>
        </is>
      </c>
      <c r="W87" s="320" t="inlineStr">
        <is>
          <t>'€</t>
        </is>
      </c>
      <c r="X87" s="320" t="inlineStr">
        <is>
          <t>'€</t>
        </is>
      </c>
      <c r="Y87" s="276" t="inlineStr">
        <is>
          <t>'€</t>
        </is>
      </c>
      <c r="Z87" s="277" t="inlineStr">
        <is>
          <t>'€</t>
        </is>
      </c>
      <c r="AA87" s="230" t="n"/>
      <c r="AB87" s="63" t="inlineStr">
        <is>
          <t>'#</t>
        </is>
      </c>
      <c r="AC87" s="63" t="inlineStr">
        <is>
          <t>'€</t>
        </is>
      </c>
      <c r="AD87" s="63" t="inlineStr">
        <is>
          <t>'€</t>
        </is>
      </c>
      <c r="AE87" s="231" t="n"/>
    </row>
    <row r="88">
      <c r="A88" s="265" t="n"/>
      <c r="B88" s="265" t="n"/>
      <c r="C88" s="266" t="n"/>
      <c r="D88" s="265" t="n"/>
      <c r="E88" s="265" t="n"/>
      <c r="F88" s="265" t="n"/>
      <c r="G88" s="265" t="n"/>
      <c r="H88" s="265" t="n"/>
      <c r="I88" s="265" t="n"/>
      <c r="J88" s="265" t="n"/>
      <c r="M88" s="268" t="n"/>
      <c r="N88" s="270" t="n"/>
      <c r="O88" s="268" t="n"/>
      <c r="P88" s="270" t="n"/>
      <c r="Q88" s="268" t="n"/>
      <c r="R88" s="270" t="n"/>
      <c r="S88" s="268" t="n"/>
      <c r="T88" s="270" t="n"/>
      <c r="U88" s="265" t="n"/>
      <c r="V88" s="270" t="n"/>
      <c r="W88" s="265" t="n"/>
      <c r="X88" s="270" t="n"/>
      <c r="Y88" s="265" t="n"/>
      <c r="Z88" s="265" t="n"/>
      <c r="AA88" s="230" t="n"/>
      <c r="AB88" s="274" t="n"/>
      <c r="AC88" s="274" t="n"/>
      <c r="AD88" s="274" t="n"/>
      <c r="AE88" s="231" t="n"/>
    </row>
    <row r="89">
      <c r="A89" s="65" t="inlineStr">
        <is>
          <t>Synthèse</t>
        </is>
      </c>
      <c r="B89" s="65" t="n"/>
      <c r="C89" s="66" t="n"/>
      <c r="D89" s="65" t="n"/>
      <c r="E89" s="218">
        <f>IFERROR(SUMIFS(E91:E110,D91:D110,"Produit Vente"),"Non trouvé")</f>
        <v/>
      </c>
      <c r="F89" s="68" t="n"/>
      <c r="G89" s="68">
        <f>IFERROR(SUM(G91:G110),"Non Trouvé")</f>
        <v/>
      </c>
      <c r="H89" s="68" t="n"/>
      <c r="I89" s="69" t="n"/>
      <c r="J89" s="68">
        <f>IFERROR(SUM(J91:J110),"Non Trouvé")</f>
        <v/>
      </c>
      <c r="K89" s="68">
        <f>IFERROR(SUM(K91:K110),"Non Trouvé")</f>
        <v/>
      </c>
      <c r="L89" s="68">
        <f>IFERROR(SUM(L91:L110),"Non Trouvé")</f>
        <v/>
      </c>
      <c r="M89" s="302">
        <f>SUM(M91:M110)</f>
        <v/>
      </c>
      <c r="N89" s="303">
        <f>(M89-G89)/M89</f>
        <v/>
      </c>
      <c r="O89" s="302" t="n"/>
      <c r="P89" s="303" t="n"/>
      <c r="Q89" s="302" t="n"/>
      <c r="R89" s="303" t="n"/>
      <c r="S89" s="302" t="n"/>
      <c r="T89" s="303" t="n"/>
      <c r="U89" s="304" t="n"/>
      <c r="V89" s="303" t="n"/>
      <c r="W89" s="304" t="n"/>
      <c r="X89" s="303" t="n"/>
      <c r="Y89" s="304" t="n"/>
      <c r="Z89" s="305" t="n"/>
      <c r="AA89" s="234" t="n"/>
      <c r="AB89" s="67">
        <f>B78</f>
        <v/>
      </c>
      <c r="AC89" s="67">
        <f>Y89+W89+U89+S89+O89+M89+Q89</f>
        <v/>
      </c>
      <c r="AD89" s="74">
        <f>Z89+X89+V89+T89+P89+N89+R89</f>
        <v/>
      </c>
      <c r="AE89" s="235" t="n"/>
    </row>
    <row r="90">
      <c r="A90" s="265" t="n"/>
      <c r="B90" s="265" t="n"/>
      <c r="C90" s="266" t="n"/>
      <c r="D90" s="265" t="n"/>
      <c r="E90" s="265" t="n"/>
      <c r="F90" s="265" t="n"/>
      <c r="G90" s="265" t="n"/>
      <c r="H90" s="265" t="n"/>
      <c r="I90" s="265" t="n"/>
      <c r="J90" s="265" t="n"/>
      <c r="M90" s="268" t="n"/>
      <c r="N90" s="270" t="n"/>
      <c r="O90" s="268" t="n"/>
      <c r="P90" s="270" t="n"/>
      <c r="Q90" s="268" t="n"/>
      <c r="R90" s="270" t="n"/>
      <c r="S90" s="268" t="n"/>
      <c r="T90" s="270" t="n"/>
      <c r="U90" s="265" t="n"/>
      <c r="V90" s="270" t="n"/>
      <c r="W90" s="265" t="n"/>
      <c r="X90" s="270" t="n"/>
      <c r="Y90" s="265" t="n"/>
      <c r="Z90" s="265" t="n"/>
      <c r="AA90" s="230" t="n"/>
      <c r="AB90" s="274" t="n"/>
      <c r="AC90" s="274" t="n"/>
      <c r="AD90" s="274" t="n"/>
      <c r="AE90" s="231" t="n"/>
    </row>
    <row r="91" ht="15.75" customHeight="1" s="267" thickBot="1">
      <c r="A91" s="180" t="n">
        <v>1020202</v>
      </c>
      <c r="B91" s="181" t="n"/>
      <c r="C91" s="182" t="n"/>
      <c r="D91" s="183" t="inlineStr">
        <is>
          <t>Produit Vente</t>
        </is>
      </c>
      <c r="E91" s="224" t="n">
        <v>7</v>
      </c>
      <c r="F91" s="185" t="n"/>
      <c r="G91" s="190">
        <f>E91*F91</f>
        <v/>
      </c>
      <c r="H91" s="185" t="n"/>
      <c r="I91" s="216" t="n">
        <v>0.15</v>
      </c>
      <c r="J91" s="185" t="n"/>
      <c r="K91" s="188">
        <f>J91*(1-I91)</f>
        <v/>
      </c>
      <c r="L91" s="191">
        <f>IFERROR(J91-K91,"")</f>
        <v/>
      </c>
      <c r="M91" s="296">
        <f>H91*(1-I91)*$N$11*(1-$N$10)</f>
        <v/>
      </c>
      <c r="N91" s="270" t="n"/>
      <c r="O91" s="296" t="n"/>
      <c r="P91" s="270" t="n"/>
      <c r="Q91" s="296" t="n"/>
      <c r="R91" s="270" t="n"/>
      <c r="S91" s="296" t="n"/>
      <c r="T91" s="270" t="n"/>
      <c r="U91" s="298" t="n"/>
      <c r="V91" s="270" t="n"/>
      <c r="W91" s="188" t="n"/>
      <c r="X91" s="270" t="n"/>
      <c r="Y91" s="191" t="n"/>
      <c r="Z91" s="265" t="n"/>
      <c r="AA91" s="236" t="n"/>
      <c r="AB91" s="96" t="n"/>
      <c r="AC91" s="97" t="n"/>
      <c r="AD91" s="97" t="n"/>
      <c r="AE91" s="237" t="n"/>
    </row>
    <row r="92" ht="15.75" customHeight="1" s="267" thickBot="1">
      <c r="A92" s="180" t="n">
        <v>1020310</v>
      </c>
      <c r="B92" s="181" t="n"/>
      <c r="C92" s="182" t="n"/>
      <c r="D92" s="183" t="inlineStr">
        <is>
          <t>Produit Vente</t>
        </is>
      </c>
      <c r="E92" s="224" t="n">
        <v>4</v>
      </c>
      <c r="F92" s="185" t="n"/>
      <c r="G92" s="190">
        <f>E92*F92</f>
        <v/>
      </c>
      <c r="H92" s="185" t="n"/>
      <c r="I92" s="216" t="n">
        <v>0.15</v>
      </c>
      <c r="J92" s="185" t="n"/>
      <c r="K92" s="188">
        <f>J92*(1-I92)</f>
        <v/>
      </c>
      <c r="L92" s="191">
        <f>IFERROR(J92-K92,"")</f>
        <v/>
      </c>
      <c r="M92" s="296">
        <f>H92*(1-I92)*$N$11*(1-$N$10)</f>
        <v/>
      </c>
      <c r="N92" s="270" t="n"/>
      <c r="O92" s="296" t="n"/>
      <c r="P92" s="270" t="n"/>
      <c r="Q92" s="296" t="n"/>
      <c r="R92" s="270" t="n"/>
      <c r="S92" s="296" t="n"/>
      <c r="T92" s="270" t="n"/>
      <c r="U92" s="298" t="n"/>
      <c r="V92" s="270" t="n"/>
      <c r="W92" s="188" t="n"/>
      <c r="X92" s="270" t="n"/>
      <c r="Y92" s="191" t="n"/>
      <c r="Z92" s="265" t="n"/>
      <c r="AA92" s="238" t="n"/>
      <c r="AB92" s="225" t="n"/>
      <c r="AC92" s="226" t="inlineStr">
        <is>
          <t>Prix Offre Moy. Remisé :</t>
        </is>
      </c>
      <c r="AD92" s="116">
        <f>AC89/AB89</f>
        <v/>
      </c>
      <c r="AE92" s="237" t="n"/>
    </row>
    <row r="93" ht="15.75" customHeight="1" s="267" thickBot="1">
      <c r="A93" s="180" t="n">
        <v>1020401</v>
      </c>
      <c r="B93" s="181" t="n"/>
      <c r="C93" s="182" t="n"/>
      <c r="D93" s="183" t="inlineStr">
        <is>
          <t>Produit Vente</t>
        </is>
      </c>
      <c r="E93" s="224" t="n"/>
      <c r="F93" s="185" t="n"/>
      <c r="G93" s="190">
        <f>E93*F93</f>
        <v/>
      </c>
      <c r="H93" s="185" t="n"/>
      <c r="I93" s="216" t="n">
        <v>0.15</v>
      </c>
      <c r="J93" s="185" t="n"/>
      <c r="K93" s="188">
        <f>J93*(1-I93)</f>
        <v/>
      </c>
      <c r="L93" s="191">
        <f>IFERROR(J93-K93,"")</f>
        <v/>
      </c>
      <c r="M93" s="296">
        <f>H93*(1-I93)*$N$11*(1-$N$10)</f>
        <v/>
      </c>
      <c r="N93" s="270" t="n"/>
      <c r="O93" s="296" t="n"/>
      <c r="P93" s="270" t="n"/>
      <c r="Q93" s="296" t="n"/>
      <c r="R93" s="270" t="n"/>
      <c r="S93" s="296" t="n"/>
      <c r="T93" s="270" t="n"/>
      <c r="U93" s="298" t="n"/>
      <c r="V93" s="270" t="n"/>
      <c r="W93" s="188" t="n"/>
      <c r="X93" s="270" t="n"/>
      <c r="Y93" s="191" t="n"/>
      <c r="Z93" s="265" t="n"/>
      <c r="AA93" s="238" t="n"/>
      <c r="AB93" s="225" t="n"/>
      <c r="AC93" s="226" t="inlineStr">
        <is>
          <t>Poids Gratuités achats :</t>
        </is>
      </c>
      <c r="AD93" s="118">
        <f>SUM(AD95:AD98)</f>
        <v/>
      </c>
      <c r="AE93" s="237" t="n"/>
    </row>
    <row r="94">
      <c r="A94" s="180" t="n">
        <v>1020302</v>
      </c>
      <c r="B94" s="181" t="n"/>
      <c r="C94" s="182" t="n"/>
      <c r="D94" s="183" t="inlineStr">
        <is>
          <t>Produit Vente</t>
        </is>
      </c>
      <c r="E94" s="224" t="n">
        <v>1</v>
      </c>
      <c r="F94" s="185" t="n"/>
      <c r="G94" s="190">
        <f>E94*F94</f>
        <v/>
      </c>
      <c r="H94" s="185" t="n"/>
      <c r="I94" s="216" t="n">
        <v>0.15</v>
      </c>
      <c r="J94" s="185" t="n"/>
      <c r="K94" s="188">
        <f>J94*(1-I94)</f>
        <v/>
      </c>
      <c r="L94" s="191">
        <f>IFERROR(J94-K94,"")</f>
        <v/>
      </c>
      <c r="M94" s="296">
        <f>H94*(1-I94)*$N$11*(1-$N$10)</f>
        <v/>
      </c>
      <c r="N94" s="270" t="n"/>
      <c r="O94" s="296" t="n"/>
      <c r="P94" s="270" t="n"/>
      <c r="Q94" s="296" t="n"/>
      <c r="R94" s="270" t="n"/>
      <c r="S94" s="296" t="n"/>
      <c r="T94" s="270" t="n"/>
      <c r="U94" s="298" t="n"/>
      <c r="V94" s="270" t="n"/>
      <c r="W94" s="188" t="n"/>
      <c r="X94" s="270" t="n"/>
      <c r="Y94" s="191" t="n"/>
      <c r="Z94" s="265" t="n"/>
      <c r="AA94" s="236" t="n"/>
      <c r="AB94" s="96" t="n"/>
      <c r="AC94" s="97" t="n"/>
      <c r="AD94" s="97" t="n"/>
      <c r="AE94" s="237" t="n"/>
    </row>
    <row r="95">
      <c r="A95" s="180" t="n">
        <v>1020721</v>
      </c>
      <c r="B95" s="181" t="n"/>
      <c r="C95" s="182" t="n"/>
      <c r="D95" s="183" t="inlineStr">
        <is>
          <t>Produit Vente</t>
        </is>
      </c>
      <c r="E95" s="224" t="n"/>
      <c r="F95" s="185" t="n"/>
      <c r="G95" s="190">
        <f>E95*F95</f>
        <v/>
      </c>
      <c r="H95" s="185" t="n"/>
      <c r="I95" s="216" t="n">
        <v>0.15</v>
      </c>
      <c r="J95" s="185" t="n"/>
      <c r="K95" s="188">
        <f>J95*(1-I95)</f>
        <v/>
      </c>
      <c r="L95" s="191">
        <f>IFERROR(J95-K95,"")</f>
        <v/>
      </c>
      <c r="M95" s="296">
        <f>H95*(1-I95)*$N$11*(1-$N$10)</f>
        <v/>
      </c>
      <c r="N95" s="270" t="n"/>
      <c r="O95" s="296" t="n"/>
      <c r="P95" s="270" t="n"/>
      <c r="Q95" s="296" t="n"/>
      <c r="R95" s="270" t="n"/>
      <c r="S95" s="296" t="n"/>
      <c r="T95" s="270" t="n"/>
      <c r="U95" s="298" t="n"/>
      <c r="V95" s="270" t="n"/>
      <c r="W95" s="188" t="n"/>
      <c r="X95" s="270" t="n"/>
      <c r="Y95" s="191" t="n"/>
      <c r="Z95" s="265" t="n"/>
      <c r="AA95" s="236" t="n"/>
      <c r="AB95" s="96" t="n"/>
      <c r="AC95" s="88" t="inlineStr">
        <is>
          <t>UG</t>
        </is>
      </c>
      <c r="AD95" s="239">
        <f>SUMIF($D$16:$D$36,AC95,$G$16:$G$36)/$AC$15</f>
        <v/>
      </c>
      <c r="AE95" s="237" t="n"/>
    </row>
    <row r="96">
      <c r="A96" s="180" t="n">
        <v>1020107</v>
      </c>
      <c r="B96" s="181" t="n"/>
      <c r="C96" s="182" t="n"/>
      <c r="D96" s="183" t="inlineStr">
        <is>
          <t>Produit Vente</t>
        </is>
      </c>
      <c r="E96" s="224" t="n"/>
      <c r="F96" s="185" t="n"/>
      <c r="G96" s="190">
        <f>E96*F96</f>
        <v/>
      </c>
      <c r="H96" s="185" t="n"/>
      <c r="I96" s="216" t="n">
        <v>0.15</v>
      </c>
      <c r="J96" s="185" t="n"/>
      <c r="K96" s="188">
        <f>J96*(1-I96)</f>
        <v/>
      </c>
      <c r="L96" s="191">
        <f>IFERROR(J96-K96,"")</f>
        <v/>
      </c>
      <c r="M96" s="296">
        <f>H96*(1-I96)*$N$11*(1-$N$10)</f>
        <v/>
      </c>
      <c r="N96" s="270" t="n"/>
      <c r="O96" s="296" t="n"/>
      <c r="P96" s="270" t="n"/>
      <c r="Q96" s="296" t="n"/>
      <c r="R96" s="270" t="n"/>
      <c r="S96" s="296" t="n"/>
      <c r="T96" s="270" t="n"/>
      <c r="U96" s="298" t="n"/>
      <c r="V96" s="270" t="n"/>
      <c r="W96" s="188" t="n"/>
      <c r="X96" s="270" t="n"/>
      <c r="Y96" s="191" t="n"/>
      <c r="Z96" s="265" t="n"/>
      <c r="AA96" s="236" t="n"/>
      <c r="AB96" s="96" t="n"/>
      <c r="AC96" s="88" t="inlineStr">
        <is>
          <t>PLV</t>
        </is>
      </c>
      <c r="AD96" s="239">
        <f>SUMIF($D$16:$D$36,AC96,$G$16:$G$36)/$AC$15</f>
        <v/>
      </c>
      <c r="AE96" s="237" t="n"/>
    </row>
    <row r="97">
      <c r="A97" s="180" t="n">
        <v>1020102</v>
      </c>
      <c r="B97" s="181" t="n"/>
      <c r="C97" s="182" t="n"/>
      <c r="D97" s="183" t="inlineStr">
        <is>
          <t>Produit Vente</t>
        </is>
      </c>
      <c r="E97" s="224" t="n"/>
      <c r="F97" s="185" t="n"/>
      <c r="G97" s="190">
        <f>E97*F97</f>
        <v/>
      </c>
      <c r="H97" s="185" t="n"/>
      <c r="I97" s="216" t="n">
        <v>0.15</v>
      </c>
      <c r="J97" s="185" t="n"/>
      <c r="K97" s="188">
        <f>J97*(1-I97)</f>
        <v/>
      </c>
      <c r="L97" s="191">
        <f>IFERROR(J97-K97,"")</f>
        <v/>
      </c>
      <c r="M97" s="296">
        <f>H97*(1-I97)*$N$11*(1-$N$10)</f>
        <v/>
      </c>
      <c r="N97" s="270" t="n"/>
      <c r="O97" s="296" t="n"/>
      <c r="P97" s="270" t="n"/>
      <c r="Q97" s="296" t="n"/>
      <c r="R97" s="270" t="n"/>
      <c r="S97" s="296" t="n"/>
      <c r="T97" s="270" t="n"/>
      <c r="U97" s="298" t="n"/>
      <c r="V97" s="270" t="n"/>
      <c r="W97" s="188" t="n"/>
      <c r="X97" s="270" t="n"/>
      <c r="Y97" s="191" t="n"/>
      <c r="Z97" s="265" t="n"/>
      <c r="AA97" s="236" t="n"/>
      <c r="AB97" s="96" t="n"/>
      <c r="AC97" s="88" t="inlineStr">
        <is>
          <t>Echantillon</t>
        </is>
      </c>
      <c r="AD97" s="239">
        <f>SUMIF($D$16:$D$36,AC97,$G$16:$G$36)/$AC$15</f>
        <v/>
      </c>
      <c r="AE97" s="237" t="n"/>
    </row>
    <row r="98">
      <c r="A98" s="180" t="n">
        <v>1020722</v>
      </c>
      <c r="B98" s="181" t="n"/>
      <c r="C98" s="182" t="n"/>
      <c r="D98" s="183" t="inlineStr">
        <is>
          <t>Produit Vente</t>
        </is>
      </c>
      <c r="E98" s="224" t="n">
        <v>0</v>
      </c>
      <c r="F98" s="185" t="n"/>
      <c r="G98" s="190">
        <f>E98*F98</f>
        <v/>
      </c>
      <c r="H98" s="185" t="n"/>
      <c r="I98" s="216" t="n">
        <v>0.15</v>
      </c>
      <c r="J98" s="185" t="n"/>
      <c r="K98" s="188">
        <f>J98*(1-I98)</f>
        <v/>
      </c>
      <c r="L98" s="191">
        <f>IFERROR(J98-K98,"")</f>
        <v/>
      </c>
      <c r="M98" s="296">
        <f>H98*(1-I98)*$N$11*(1-$N$10)</f>
        <v/>
      </c>
      <c r="N98" s="270" t="n"/>
      <c r="O98" s="296" t="n"/>
      <c r="P98" s="270" t="n"/>
      <c r="Q98" s="296" t="n"/>
      <c r="R98" s="270" t="n"/>
      <c r="S98" s="296" t="n"/>
      <c r="T98" s="270" t="n"/>
      <c r="U98" s="298" t="n"/>
      <c r="V98" s="270" t="n"/>
      <c r="W98" s="188" t="n"/>
      <c r="X98" s="270" t="n"/>
      <c r="Y98" s="191" t="n"/>
      <c r="Z98" s="265" t="n"/>
      <c r="AA98" s="236" t="n"/>
      <c r="AB98" s="96" t="n"/>
      <c r="AC98" s="88" t="inlineStr">
        <is>
          <t>Testeur</t>
        </is>
      </c>
      <c r="AD98" s="239">
        <f>SUMIF($D$16:$D$36,AC98,$G$16:$G$36)/$AC$15</f>
        <v/>
      </c>
      <c r="AE98" s="237" t="n"/>
    </row>
    <row r="99">
      <c r="A99" s="180" t="n">
        <v>1020719</v>
      </c>
      <c r="B99" s="181" t="n"/>
      <c r="C99" s="182" t="n"/>
      <c r="D99" s="183" t="inlineStr">
        <is>
          <t>Produit Vente</t>
        </is>
      </c>
      <c r="E99" s="224" t="n"/>
      <c r="F99" s="185" t="n"/>
      <c r="G99" s="190">
        <f>E99*F99</f>
        <v/>
      </c>
      <c r="H99" s="185" t="n"/>
      <c r="I99" s="216" t="n">
        <v>0.15</v>
      </c>
      <c r="J99" s="185" t="n"/>
      <c r="K99" s="188">
        <f>J99*(1-I99)</f>
        <v/>
      </c>
      <c r="L99" s="191">
        <f>IFERROR(J99-K99,"")</f>
        <v/>
      </c>
      <c r="M99" s="296">
        <f>H99*(1-I99)*$N$11*(1-$N$10)</f>
        <v/>
      </c>
      <c r="N99" s="270" t="n"/>
      <c r="O99" s="296" t="n"/>
      <c r="P99" s="270" t="n"/>
      <c r="Q99" s="296" t="n"/>
      <c r="R99" s="270" t="n"/>
      <c r="S99" s="296" t="n"/>
      <c r="T99" s="270" t="n"/>
      <c r="U99" s="298" t="n"/>
      <c r="V99" s="270" t="n"/>
      <c r="W99" s="188" t="n"/>
      <c r="X99" s="270" t="n"/>
      <c r="Y99" s="191" t="n"/>
      <c r="Z99" s="265" t="n"/>
      <c r="AA99" s="236" t="n"/>
      <c r="AB99" s="96" t="n"/>
      <c r="AC99" s="97" t="n"/>
      <c r="AD99" s="97" t="n"/>
      <c r="AE99" s="237" t="n"/>
    </row>
    <row r="100">
      <c r="A100" s="180" t="n">
        <v>1020717</v>
      </c>
      <c r="B100" s="181" t="n"/>
      <c r="C100" s="182" t="n"/>
      <c r="D100" s="183" t="inlineStr">
        <is>
          <t>Produit Vente</t>
        </is>
      </c>
      <c r="E100" s="224" t="n"/>
      <c r="F100" s="185" t="n"/>
      <c r="G100" s="190">
        <f>E100*F100</f>
        <v/>
      </c>
      <c r="H100" s="185" t="n"/>
      <c r="I100" s="216" t="n">
        <v>0.15</v>
      </c>
      <c r="J100" s="185" t="n"/>
      <c r="K100" s="188">
        <f>J100*(1-I100)</f>
        <v/>
      </c>
      <c r="L100" s="191">
        <f>IFERROR(J100-K100,"")</f>
        <v/>
      </c>
      <c r="M100" s="296">
        <f>H100*(1-I100)*$N$11*(1-$N$10)</f>
        <v/>
      </c>
      <c r="N100" s="270" t="n"/>
      <c r="O100" s="296" t="n"/>
      <c r="P100" s="270" t="n"/>
      <c r="Q100" s="296" t="n"/>
      <c r="R100" s="270" t="n"/>
      <c r="S100" s="296" t="n"/>
      <c r="T100" s="270" t="n"/>
      <c r="U100" s="298" t="n"/>
      <c r="V100" s="270" t="n"/>
      <c r="W100" s="188" t="n"/>
      <c r="X100" s="270" t="n"/>
      <c r="Y100" s="191" t="n"/>
      <c r="Z100" s="265" t="n"/>
      <c r="AA100" s="236" t="n"/>
      <c r="AB100" s="96" t="n"/>
      <c r="AC100" s="97" t="n"/>
      <c r="AD100" s="97" t="n"/>
      <c r="AE100" s="237" t="n"/>
    </row>
    <row r="101">
      <c r="A101" s="180" t="n">
        <v>1020718</v>
      </c>
      <c r="B101" s="181" t="n"/>
      <c r="C101" s="182" t="n"/>
      <c r="D101" s="183" t="inlineStr">
        <is>
          <t>Produit Vente</t>
        </is>
      </c>
      <c r="E101" s="224" t="n"/>
      <c r="F101" s="185" t="n"/>
      <c r="G101" s="190">
        <f>E101*F101</f>
        <v/>
      </c>
      <c r="H101" s="185" t="n"/>
      <c r="I101" s="216" t="n">
        <v>0.15</v>
      </c>
      <c r="J101" s="185" t="n"/>
      <c r="K101" s="188">
        <f>J101*(1-I101)</f>
        <v/>
      </c>
      <c r="L101" s="191">
        <f>IFERROR(J101-K101,"")</f>
        <v/>
      </c>
      <c r="M101" s="296">
        <f>H101*(1-I101)*$N$11*(1-$N$10)</f>
        <v/>
      </c>
      <c r="N101" s="270" t="n"/>
      <c r="O101" s="296" t="n"/>
      <c r="P101" s="270" t="n"/>
      <c r="Q101" s="296" t="n"/>
      <c r="R101" s="270" t="n"/>
      <c r="S101" s="296" t="n"/>
      <c r="T101" s="270" t="n"/>
      <c r="U101" s="298" t="n"/>
      <c r="V101" s="270" t="n"/>
      <c r="W101" s="188" t="n"/>
      <c r="X101" s="270" t="n"/>
      <c r="Y101" s="191" t="n"/>
      <c r="Z101" s="265" t="n"/>
      <c r="AA101" s="236" t="n"/>
      <c r="AB101" s="96" t="n"/>
      <c r="AC101" s="97" t="n"/>
      <c r="AD101" s="97" t="n"/>
      <c r="AE101" s="237" t="n"/>
    </row>
    <row r="102">
      <c r="A102" s="180" t="n">
        <v>1020301</v>
      </c>
      <c r="B102" s="181" t="n"/>
      <c r="C102" s="182" t="n"/>
      <c r="D102" s="183" t="inlineStr">
        <is>
          <t>Produit Vente</t>
        </is>
      </c>
      <c r="E102" s="224" t="n"/>
      <c r="F102" s="185" t="n"/>
      <c r="G102" s="190">
        <f>E102*F102</f>
        <v/>
      </c>
      <c r="H102" s="185" t="n"/>
      <c r="I102" s="216" t="n">
        <v>0.15</v>
      </c>
      <c r="J102" s="185" t="n"/>
      <c r="K102" s="188">
        <f>J102*(1-I102)</f>
        <v/>
      </c>
      <c r="L102" s="191">
        <f>IFERROR(J102-K102,"")</f>
        <v/>
      </c>
      <c r="M102" s="296">
        <f>H102*(1-I102)*$N$11*(1-$N$10)</f>
        <v/>
      </c>
      <c r="N102" s="270" t="n"/>
      <c r="O102" s="296" t="n"/>
      <c r="P102" s="270" t="n"/>
      <c r="Q102" s="296" t="n"/>
      <c r="R102" s="270" t="n"/>
      <c r="S102" s="296" t="n"/>
      <c r="T102" s="270" t="n"/>
      <c r="U102" s="298" t="n"/>
      <c r="V102" s="270" t="n"/>
      <c r="W102" s="188" t="n"/>
      <c r="X102" s="270" t="n"/>
      <c r="Y102" s="191" t="n"/>
      <c r="Z102" s="265" t="n"/>
      <c r="AA102" s="236" t="n"/>
      <c r="AB102" s="96" t="n"/>
      <c r="AC102" s="97" t="n"/>
      <c r="AD102" s="97" t="n"/>
      <c r="AE102" s="237" t="n"/>
    </row>
    <row r="103">
      <c r="A103" s="180" t="n">
        <v>1020720</v>
      </c>
      <c r="B103" s="181" t="n"/>
      <c r="C103" s="182" t="n"/>
      <c r="D103" s="183" t="inlineStr">
        <is>
          <t>Produit Vente</t>
        </is>
      </c>
      <c r="E103" s="224" t="n"/>
      <c r="F103" s="185" t="n"/>
      <c r="G103" s="190">
        <f>E103*F103</f>
        <v/>
      </c>
      <c r="H103" s="185" t="n"/>
      <c r="I103" s="216" t="n">
        <v>0.15</v>
      </c>
      <c r="J103" s="185" t="n"/>
      <c r="K103" s="188">
        <f>J103*(1-I103)</f>
        <v/>
      </c>
      <c r="L103" s="191">
        <f>IFERROR(J103-K103,"")</f>
        <v/>
      </c>
      <c r="M103" s="296">
        <f>H103*(1-I103)*$N$11*(1-$N$10)</f>
        <v/>
      </c>
      <c r="N103" s="270" t="n"/>
      <c r="O103" s="296" t="n"/>
      <c r="P103" s="270" t="n"/>
      <c r="Q103" s="296" t="n"/>
      <c r="R103" s="270" t="n"/>
      <c r="S103" s="296" t="n"/>
      <c r="T103" s="270" t="n"/>
      <c r="U103" s="298" t="n"/>
      <c r="V103" s="270" t="n"/>
      <c r="W103" s="188" t="n"/>
      <c r="X103" s="270" t="n"/>
      <c r="Y103" s="191" t="n"/>
      <c r="Z103" s="265" t="n"/>
      <c r="AA103" s="236" t="n"/>
      <c r="AB103" s="96" t="n"/>
      <c r="AC103" s="128" t="n"/>
      <c r="AD103" s="97" t="n"/>
      <c r="AE103" s="237" t="n"/>
    </row>
    <row r="104">
      <c r="A104" s="219" t="inlineStr">
        <is>
          <t>PANNEAU REGE</t>
        </is>
      </c>
      <c r="B104" s="220" t="n"/>
      <c r="C104" s="221" t="n"/>
      <c r="D104" s="222" t="inlineStr">
        <is>
          <t>PLV</t>
        </is>
      </c>
      <c r="E104" s="223" t="n">
        <v>1</v>
      </c>
      <c r="F104" s="185" t="n"/>
      <c r="G104" s="190">
        <f>E104*F104</f>
        <v/>
      </c>
      <c r="H104" s="186" t="n"/>
      <c r="I104" s="216" t="n"/>
      <c r="J104" s="185" t="n"/>
      <c r="K104" s="188" t="n"/>
      <c r="L104" s="191">
        <f>IFERROR(J104-K104,"")</f>
        <v/>
      </c>
      <c r="M104" s="296" t="n"/>
      <c r="N104" s="270" t="n"/>
      <c r="O104" s="296" t="n"/>
      <c r="P104" s="270" t="n"/>
      <c r="Q104" s="296" t="n"/>
      <c r="R104" s="270" t="n"/>
      <c r="S104" s="296" t="n"/>
      <c r="T104" s="270" t="n"/>
      <c r="U104" s="298" t="n"/>
      <c r="V104" s="270" t="n"/>
      <c r="W104" s="188" t="n"/>
      <c r="X104" s="270" t="n"/>
      <c r="Y104" s="191" t="n"/>
      <c r="Z104" s="265" t="n"/>
      <c r="AA104" s="236" t="n"/>
      <c r="AB104" s="96" t="n"/>
      <c r="AC104" s="97" t="n"/>
      <c r="AD104" s="133" t="n"/>
      <c r="AE104" s="237" t="n"/>
    </row>
    <row r="105">
      <c r="A105" s="219" t="inlineStr">
        <is>
          <t>PRESENTOIR REGE</t>
        </is>
      </c>
      <c r="B105" s="220" t="n"/>
      <c r="C105" s="221" t="n"/>
      <c r="D105" s="222" t="inlineStr">
        <is>
          <t>PLV</t>
        </is>
      </c>
      <c r="E105" s="223" t="n">
        <v>1</v>
      </c>
      <c r="F105" s="185" t="n"/>
      <c r="G105" s="190">
        <f>E105*F105</f>
        <v/>
      </c>
      <c r="H105" s="186" t="n"/>
      <c r="I105" s="216" t="n"/>
      <c r="J105" s="185" t="n"/>
      <c r="K105" s="188" t="n"/>
      <c r="L105" s="191">
        <f>IFERROR(J105-K105,"")</f>
        <v/>
      </c>
      <c r="M105" s="296" t="n"/>
      <c r="N105" s="270" t="n"/>
      <c r="O105" s="296" t="n"/>
      <c r="P105" s="270" t="n"/>
      <c r="Q105" s="296" t="n"/>
      <c r="R105" s="270" t="n"/>
      <c r="S105" s="296" t="n"/>
      <c r="T105" s="270" t="n"/>
      <c r="U105" s="298" t="n"/>
      <c r="V105" s="270" t="n"/>
      <c r="W105" s="188" t="n"/>
      <c r="X105" s="270" t="n"/>
      <c r="Y105" s="191" t="n"/>
      <c r="Z105" s="265" t="n"/>
      <c r="AA105" s="236" t="n"/>
      <c r="AB105" s="96" t="n"/>
      <c r="AC105" s="97" t="n"/>
      <c r="AD105" s="134" t="n"/>
      <c r="AE105" s="237" t="n"/>
    </row>
    <row r="106">
      <c r="A106" s="219" t="n">
        <v>3020202</v>
      </c>
      <c r="B106" s="220" t="n"/>
      <c r="C106" s="221" t="n"/>
      <c r="D106" s="222" t="inlineStr">
        <is>
          <t>Testeur</t>
        </is>
      </c>
      <c r="E106" s="223" t="n">
        <v>1</v>
      </c>
      <c r="F106" s="185" t="n"/>
      <c r="G106" s="190">
        <f>E106*F106</f>
        <v/>
      </c>
      <c r="H106" s="186" t="n"/>
      <c r="I106" s="216" t="n"/>
      <c r="J106" s="185" t="n"/>
      <c r="K106" s="188" t="n"/>
      <c r="L106" s="191">
        <f>IFERROR(J106-K106,"")</f>
        <v/>
      </c>
      <c r="M106" s="296" t="n"/>
      <c r="N106" s="270" t="n"/>
      <c r="O106" s="296" t="n"/>
      <c r="P106" s="270" t="n"/>
      <c r="Q106" s="296" t="n"/>
      <c r="R106" s="270" t="n"/>
      <c r="S106" s="296" t="n"/>
      <c r="T106" s="270" t="n"/>
      <c r="U106" s="298" t="n"/>
      <c r="V106" s="270" t="n"/>
      <c r="W106" s="188" t="n"/>
      <c r="X106" s="270" t="n"/>
      <c r="Y106" s="191" t="n"/>
      <c r="Z106" s="265" t="n"/>
      <c r="AA106" s="236" t="n"/>
      <c r="AB106" s="96" t="n"/>
      <c r="AC106" s="97" t="n"/>
      <c r="AD106" s="240" t="n"/>
      <c r="AE106" s="237" t="n"/>
    </row>
    <row r="107">
      <c r="A107" s="219" t="n">
        <v>3020301</v>
      </c>
      <c r="B107" s="220" t="n"/>
      <c r="C107" s="221" t="n"/>
      <c r="D107" s="222" t="inlineStr">
        <is>
          <t>Testeur</t>
        </is>
      </c>
      <c r="E107" s="223" t="n">
        <v>1</v>
      </c>
      <c r="F107" s="185" t="n"/>
      <c r="G107" s="190">
        <f>E107*F107</f>
        <v/>
      </c>
      <c r="H107" s="186" t="n"/>
      <c r="I107" s="216" t="n"/>
      <c r="J107" s="185" t="n"/>
      <c r="K107" s="188" t="n"/>
      <c r="L107" s="191">
        <f>IFERROR(J107-K107,"")</f>
        <v/>
      </c>
      <c r="M107" s="296" t="n"/>
      <c r="N107" s="270" t="n"/>
      <c r="O107" s="296" t="n"/>
      <c r="P107" s="270" t="n"/>
      <c r="Q107" s="296" t="n"/>
      <c r="R107" s="270" t="n"/>
      <c r="S107" s="296" t="n"/>
      <c r="T107" s="270" t="n"/>
      <c r="U107" s="298" t="n"/>
      <c r="V107" s="270" t="n"/>
      <c r="W107" s="188" t="n"/>
      <c r="X107" s="270" t="n"/>
      <c r="Y107" s="191" t="n"/>
      <c r="Z107" s="265" t="n"/>
      <c r="AA107" s="236" t="n"/>
      <c r="AB107" s="96" t="n"/>
      <c r="AC107" s="97" t="n"/>
      <c r="AD107" s="134" t="n"/>
      <c r="AE107" s="237" t="n"/>
    </row>
    <row r="108">
      <c r="A108" s="219" t="n">
        <v>3020720</v>
      </c>
      <c r="B108" s="220" t="n"/>
      <c r="C108" s="221" t="n"/>
      <c r="D108" s="222" t="inlineStr">
        <is>
          <t>Testeur</t>
        </is>
      </c>
      <c r="E108" s="223" t="n">
        <v>1</v>
      </c>
      <c r="F108" s="185" t="n"/>
      <c r="G108" s="190">
        <f>E108*F108</f>
        <v/>
      </c>
      <c r="H108" s="186" t="n"/>
      <c r="I108" s="216" t="n"/>
      <c r="J108" s="185" t="n"/>
      <c r="K108" s="188" t="n"/>
      <c r="L108" s="191">
        <f>IFERROR(J108-K108,"")</f>
        <v/>
      </c>
      <c r="M108" s="296" t="n"/>
      <c r="N108" s="270" t="n"/>
      <c r="O108" s="296" t="n"/>
      <c r="P108" s="270" t="n"/>
      <c r="Q108" s="296" t="n"/>
      <c r="R108" s="270" t="n"/>
      <c r="S108" s="296" t="n"/>
      <c r="T108" s="270" t="n"/>
      <c r="U108" s="298" t="n"/>
      <c r="V108" s="270" t="n"/>
      <c r="W108" s="188" t="n"/>
      <c r="X108" s="270" t="n"/>
      <c r="Y108" s="191" t="n"/>
      <c r="Z108" s="265" t="n"/>
      <c r="AA108" s="236" t="n"/>
      <c r="AB108" s="96" t="n"/>
      <c r="AC108" s="96" t="n"/>
      <c r="AD108" s="96" t="n"/>
      <c r="AE108" s="237" t="n"/>
    </row>
    <row r="109">
      <c r="A109" s="219" t="n">
        <v>3020718</v>
      </c>
      <c r="B109" s="220" t="n"/>
      <c r="C109" s="221" t="n"/>
      <c r="D109" s="222" t="inlineStr">
        <is>
          <t>Testeur</t>
        </is>
      </c>
      <c r="E109" s="223" t="n">
        <v>1</v>
      </c>
      <c r="F109" s="185" t="n"/>
      <c r="G109" s="190">
        <f>E109*F109</f>
        <v/>
      </c>
      <c r="H109" s="186" t="n"/>
      <c r="I109" s="216" t="n"/>
      <c r="J109" s="185" t="n"/>
      <c r="K109" s="188" t="n"/>
      <c r="L109" s="191">
        <f>IFERROR(J109-K109,"")</f>
        <v/>
      </c>
      <c r="M109" s="296" t="n"/>
      <c r="N109" s="270" t="n"/>
      <c r="O109" s="296" t="n"/>
      <c r="P109" s="270" t="n"/>
      <c r="Q109" s="296" t="n"/>
      <c r="R109" s="270" t="n"/>
      <c r="S109" s="296" t="n"/>
      <c r="T109" s="270" t="n"/>
      <c r="U109" s="298" t="n"/>
      <c r="V109" s="270" t="n"/>
      <c r="W109" s="188" t="n"/>
      <c r="X109" s="270" t="n"/>
      <c r="Y109" s="191" t="n"/>
      <c r="Z109" s="265" t="n"/>
      <c r="AA109" s="236" t="n"/>
      <c r="AB109" s="96" t="n"/>
      <c r="AC109" s="128" t="n"/>
      <c r="AD109" s="96" t="n"/>
      <c r="AE109" s="237" t="n"/>
    </row>
    <row r="110" ht="15.75" customHeight="1" s="267" thickBot="1">
      <c r="A110" s="219" t="inlineStr">
        <is>
          <t>SR REGE RETAIL 1</t>
        </is>
      </c>
      <c r="B110" s="220" t="n"/>
      <c r="C110" s="221" t="n"/>
      <c r="D110" s="222" t="inlineStr">
        <is>
          <t>PLV</t>
        </is>
      </c>
      <c r="E110" s="223" t="n">
        <v>1</v>
      </c>
      <c r="F110" s="185" t="n"/>
      <c r="G110" s="190">
        <f>E110*F110</f>
        <v/>
      </c>
      <c r="H110" s="186" t="n"/>
      <c r="I110" s="216" t="n"/>
      <c r="J110" s="185" t="n"/>
      <c r="K110" s="188" t="n"/>
      <c r="L110" s="191">
        <f>IFERROR(J110-K110,"")</f>
        <v/>
      </c>
      <c r="M110" s="297" t="n"/>
      <c r="N110" s="199" t="n"/>
      <c r="O110" s="297" t="n"/>
      <c r="P110" s="199" t="n"/>
      <c r="Q110" s="297" t="n"/>
      <c r="R110" s="199" t="n"/>
      <c r="S110" s="297" t="n"/>
      <c r="T110" s="199" t="n"/>
      <c r="U110" s="299" t="n"/>
      <c r="V110" s="199" t="n"/>
      <c r="W110" s="300" t="n"/>
      <c r="X110" s="199" t="n"/>
      <c r="Y110" s="301" t="n"/>
      <c r="Z110" s="198" t="n"/>
      <c r="AA110" s="241" t="n"/>
      <c r="AB110" s="242" t="n"/>
      <c r="AC110" s="243" t="n"/>
      <c r="AD110" s="244" t="n"/>
      <c r="AE110" s="245" t="n"/>
    </row>
    <row r="111"/>
    <row r="112"/>
    <row r="113">
      <c r="A113" s="22" t="inlineStr">
        <is>
          <t>GRANDS COMPTES</t>
        </is>
      </c>
      <c r="B113" s="288" t="n"/>
      <c r="C113" s="24" t="n"/>
      <c r="D113" s="25" t="n"/>
      <c r="E113" s="288" t="n"/>
      <c r="F113" s="288" t="n"/>
      <c r="G113" s="288" t="n"/>
      <c r="H113" s="288" t="n"/>
      <c r="I113" s="288" t="n"/>
      <c r="J113" s="288" t="n"/>
      <c r="K113" s="288" t="n"/>
      <c r="L113" s="288" t="n"/>
      <c r="M113" s="288" t="n"/>
      <c r="N113" s="288" t="n"/>
      <c r="O113" s="288" t="n"/>
      <c r="P113" s="288" t="n"/>
      <c r="Q113" s="288" t="n"/>
      <c r="R113" s="288" t="n"/>
      <c r="S113" s="288" t="n"/>
      <c r="T113" s="288" t="n"/>
      <c r="U113" s="288" t="n"/>
      <c r="V113" s="288" t="n"/>
      <c r="W113" s="288" t="n"/>
      <c r="X113" s="288" t="n"/>
      <c r="Y113" s="288" t="n"/>
      <c r="Z113" s="288" t="n"/>
      <c r="AA113" s="288" t="n"/>
      <c r="AB113" s="288" t="n"/>
      <c r="AC113" s="288" t="n"/>
      <c r="AD113" s="288" t="n"/>
      <c r="AE113" s="288" t="n"/>
      <c r="AF113" s="288" t="n"/>
      <c r="AG113" s="288" t="n"/>
      <c r="AH113" s="288" t="n"/>
      <c r="AI113" s="288" t="n"/>
    </row>
    <row r="114" ht="15.75" customHeight="1" s="267" thickBot="1">
      <c r="M114" s="208" t="inlineStr">
        <is>
          <t>BIO</t>
        </is>
      </c>
      <c r="N114" s="209" t="n"/>
      <c r="O114" s="209" t="n"/>
      <c r="P114" s="210" t="inlineStr">
        <is>
          <t>Non-Alimentaire</t>
        </is>
      </c>
      <c r="Q114" s="211" t="n"/>
      <c r="R114" s="211" t="n"/>
      <c r="S114" s="306" t="inlineStr">
        <is>
          <t>Grands Magasins</t>
        </is>
      </c>
      <c r="T114" s="343" t="n"/>
      <c r="U114" s="343" t="n"/>
      <c r="V114" s="343" t="n"/>
      <c r="W114" s="343" t="n"/>
      <c r="X114" s="343" t="n"/>
      <c r="Y114" s="307" t="inlineStr">
        <is>
          <t>PURE PLAYERS</t>
        </is>
      </c>
      <c r="Z114" s="343" t="n"/>
      <c r="AA114" s="343" t="n"/>
      <c r="AB114" s="343" t="n"/>
      <c r="AC114" s="343" t="n"/>
      <c r="AD114" s="343" t="n"/>
    </row>
    <row r="115">
      <c r="M115" s="201" t="n"/>
      <c r="N115" s="201" t="n"/>
      <c r="O115" s="202" t="n"/>
      <c r="P115" s="201" t="n"/>
      <c r="Q115" s="201" t="n"/>
      <c r="R115" s="202" t="n"/>
      <c r="S115" s="201" t="n"/>
      <c r="T115" s="201" t="n"/>
      <c r="U115" s="202" t="n"/>
      <c r="V115" s="201" t="n"/>
      <c r="W115" s="201" t="n"/>
      <c r="X115" s="202" t="n"/>
      <c r="Y115" s="201" t="n"/>
      <c r="Z115" s="201" t="n"/>
      <c r="AA115" s="202" t="n"/>
      <c r="AB115" s="201" t="n"/>
      <c r="AC115" s="201" t="n"/>
      <c r="AD115" s="202" t="n"/>
    </row>
    <row r="116">
      <c r="M116" s="205" t="inlineStr">
        <is>
          <t>BIOCOOP</t>
        </is>
      </c>
      <c r="N116" s="206" t="n"/>
      <c r="O116" s="207" t="n"/>
      <c r="P116" s="212" t="inlineStr">
        <is>
          <t>Mlle Bio</t>
        </is>
      </c>
      <c r="Q116" s="213" t="n"/>
      <c r="R116" s="214" t="n"/>
      <c r="S116" s="308" t="inlineStr">
        <is>
          <t>Galeries Lafayette</t>
        </is>
      </c>
      <c r="T116" s="309" t="n"/>
      <c r="U116" s="310" t="n"/>
      <c r="V116" s="308" t="inlineStr">
        <is>
          <t>Printemps</t>
        </is>
      </c>
      <c r="W116" s="311" t="n"/>
      <c r="X116" s="312" t="n"/>
      <c r="Y116" s="205" t="inlineStr">
        <is>
          <t>Place des tendances</t>
        </is>
      </c>
      <c r="Z116" s="246" t="n"/>
      <c r="AA116" s="247" t="n"/>
      <c r="AB116" s="205" t="inlineStr">
        <is>
          <t>NewPharma</t>
        </is>
      </c>
      <c r="AC116" s="246" t="n"/>
      <c r="AD116" s="247" t="n"/>
    </row>
    <row r="117">
      <c r="M117" s="64" t="inlineStr">
        <is>
          <t>Remise</t>
        </is>
      </c>
      <c r="N117" s="64" t="n"/>
      <c r="O117" s="314" t="n">
        <v>0.25</v>
      </c>
      <c r="P117" s="64" t="inlineStr">
        <is>
          <t>Remise</t>
        </is>
      </c>
      <c r="Q117" s="64" t="n"/>
      <c r="R117" s="314" t="n">
        <v>0.2</v>
      </c>
      <c r="S117" s="64" t="inlineStr">
        <is>
          <t>Remise</t>
        </is>
      </c>
      <c r="T117" s="64" t="n"/>
      <c r="U117" s="314" t="n">
        <v>0.16</v>
      </c>
      <c r="V117" s="64" t="inlineStr">
        <is>
          <t>Remise</t>
        </is>
      </c>
      <c r="W117" s="64" t="n"/>
      <c r="X117" s="315" t="n">
        <v>0.185</v>
      </c>
      <c r="Y117" s="64" t="inlineStr">
        <is>
          <t>Remise</t>
        </is>
      </c>
      <c r="Z117" s="64" t="n"/>
      <c r="AA117" s="314" t="n">
        <v>0.15</v>
      </c>
      <c r="AB117" s="64" t="inlineStr">
        <is>
          <t>Remise</t>
        </is>
      </c>
      <c r="AC117" s="64" t="n"/>
      <c r="AD117" s="314" t="n">
        <v>0.2</v>
      </c>
    </row>
    <row r="118" ht="39" customHeight="1" s="267">
      <c r="A118" s="46" t="n"/>
      <c r="B118" s="46" t="n"/>
      <c r="C118" s="47" t="n"/>
      <c r="D118" s="46" t="n"/>
      <c r="E118" s="275" t="n"/>
      <c r="F118" s="275" t="inlineStr">
        <is>
          <t>Coût achat unitaire</t>
        </is>
      </c>
      <c r="H118" s="275" t="inlineStr">
        <is>
          <t>Tarif revendeur unitaire</t>
        </is>
      </c>
      <c r="I118" s="275" t="inlineStr">
        <is>
          <t>Remise additionnelle</t>
        </is>
      </c>
      <c r="J118" s="275" t="inlineStr">
        <is>
          <t>PPC</t>
        </is>
      </c>
      <c r="K118" s="275" t="inlineStr">
        <is>
          <t>PPC Remisé</t>
        </is>
      </c>
      <c r="L118" s="275" t="inlineStr">
        <is>
          <t>Montant BRI</t>
        </is>
      </c>
      <c r="M118" s="275" t="inlineStr">
        <is>
          <t>Qtités</t>
        </is>
      </c>
      <c r="N118" s="275" t="inlineStr">
        <is>
          <t>CA</t>
        </is>
      </c>
      <c r="O118" s="195" t="inlineStr">
        <is>
          <t>Marges</t>
        </is>
      </c>
      <c r="P118" s="275" t="inlineStr">
        <is>
          <t>Qtités</t>
        </is>
      </c>
      <c r="Q118" s="275" t="inlineStr">
        <is>
          <t>CA</t>
        </is>
      </c>
      <c r="R118" s="195" t="inlineStr">
        <is>
          <t>Marges</t>
        </is>
      </c>
      <c r="S118" s="275" t="inlineStr">
        <is>
          <t>Qtités</t>
        </is>
      </c>
      <c r="T118" s="275" t="inlineStr">
        <is>
          <t>CA</t>
        </is>
      </c>
      <c r="U118" s="195" t="inlineStr">
        <is>
          <t>Marges</t>
        </is>
      </c>
      <c r="V118" s="275" t="inlineStr">
        <is>
          <t>Qtités</t>
        </is>
      </c>
      <c r="W118" s="275" t="inlineStr">
        <is>
          <t>CA</t>
        </is>
      </c>
      <c r="X118" s="195" t="inlineStr">
        <is>
          <t>Marges</t>
        </is>
      </c>
      <c r="Y118" s="275" t="inlineStr">
        <is>
          <t>Qtités</t>
        </is>
      </c>
      <c r="Z118" s="275" t="inlineStr">
        <is>
          <t>CA</t>
        </is>
      </c>
      <c r="AA118" s="195" t="inlineStr">
        <is>
          <t>Marges</t>
        </is>
      </c>
      <c r="AB118" s="275" t="inlineStr">
        <is>
          <t>Qtités</t>
        </is>
      </c>
      <c r="AC118" s="275" t="inlineStr">
        <is>
          <t>CA</t>
        </is>
      </c>
      <c r="AD118" s="195" t="inlineStr">
        <is>
          <t>Marges</t>
        </is>
      </c>
    </row>
    <row r="119" ht="26.25" customHeight="1" s="267" thickBot="1">
      <c r="A119" s="319" t="inlineStr">
        <is>
          <t>Code article</t>
        </is>
      </c>
      <c r="B119" s="319" t="inlineStr">
        <is>
          <t>Libellé article</t>
        </is>
      </c>
      <c r="C119" s="319" t="inlineStr">
        <is>
          <t>Code à barres (EAN)</t>
        </is>
      </c>
      <c r="D119" s="319" t="inlineStr">
        <is>
          <t>Typ. Prod</t>
        </is>
      </c>
      <c r="E119" s="320" t="inlineStr">
        <is>
          <t>Qtités totale</t>
        </is>
      </c>
      <c r="F119" s="320" t="inlineStr">
        <is>
          <t>'€</t>
        </is>
      </c>
      <c r="H119" s="320" t="inlineStr">
        <is>
          <t>'€</t>
        </is>
      </c>
      <c r="I119" s="320" t="inlineStr">
        <is>
          <t>'€</t>
        </is>
      </c>
      <c r="J119" s="320" t="inlineStr">
        <is>
          <t>'€</t>
        </is>
      </c>
      <c r="K119" s="320" t="inlineStr">
        <is>
          <t>'€</t>
        </is>
      </c>
      <c r="L119" s="320" t="inlineStr">
        <is>
          <t>'€</t>
        </is>
      </c>
      <c r="M119" s="320" t="inlineStr">
        <is>
          <t>'#</t>
        </is>
      </c>
      <c r="N119" s="320" t="inlineStr">
        <is>
          <t>'€</t>
        </is>
      </c>
      <c r="O119" s="197" t="inlineStr">
        <is>
          <t>'€</t>
        </is>
      </c>
      <c r="P119" s="320" t="inlineStr">
        <is>
          <t>'#</t>
        </is>
      </c>
      <c r="Q119" s="320" t="inlineStr">
        <is>
          <t>'€</t>
        </is>
      </c>
      <c r="R119" s="197" t="inlineStr">
        <is>
          <t>'€</t>
        </is>
      </c>
      <c r="S119" s="320" t="inlineStr">
        <is>
          <t>'#</t>
        </is>
      </c>
      <c r="T119" s="320" t="inlineStr">
        <is>
          <t>'€</t>
        </is>
      </c>
      <c r="U119" s="197" t="inlineStr">
        <is>
          <t>'€</t>
        </is>
      </c>
      <c r="V119" s="320" t="inlineStr">
        <is>
          <t>'#</t>
        </is>
      </c>
      <c r="W119" s="320" t="inlineStr">
        <is>
          <t>'€</t>
        </is>
      </c>
      <c r="X119" s="197" t="inlineStr">
        <is>
          <t>'€</t>
        </is>
      </c>
      <c r="Y119" s="320" t="inlineStr">
        <is>
          <t>'#</t>
        </is>
      </c>
      <c r="Z119" s="320" t="inlineStr">
        <is>
          <t>'€</t>
        </is>
      </c>
      <c r="AA119" s="197" t="inlineStr">
        <is>
          <t>'€</t>
        </is>
      </c>
      <c r="AB119" s="320" t="inlineStr">
        <is>
          <t>'#</t>
        </is>
      </c>
      <c r="AC119" s="320" t="inlineStr">
        <is>
          <t>'€</t>
        </is>
      </c>
      <c r="AD119" s="197" t="inlineStr">
        <is>
          <t>'€</t>
        </is>
      </c>
    </row>
    <row r="120">
      <c r="A120" s="265" t="n"/>
      <c r="B120" s="265" t="n"/>
      <c r="C120" s="266" t="n"/>
      <c r="D120" s="265" t="n"/>
      <c r="E120" s="265" t="n"/>
      <c r="F120" s="265" t="n"/>
      <c r="H120" s="265" t="n"/>
      <c r="I120" s="265" t="n"/>
      <c r="J120" s="265" t="n"/>
      <c r="M120" s="265" t="n"/>
      <c r="N120" s="265" t="n"/>
      <c r="O120" s="270" t="n"/>
      <c r="P120" s="265" t="n"/>
      <c r="Q120" s="265" t="n"/>
      <c r="R120" s="270" t="n"/>
      <c r="S120" s="265" t="n"/>
      <c r="T120" s="265" t="n"/>
      <c r="U120" s="270" t="n"/>
      <c r="V120" s="265" t="n"/>
      <c r="W120" s="265" t="n"/>
      <c r="X120" s="270" t="n"/>
      <c r="Y120" s="265" t="n"/>
      <c r="Z120" s="265" t="n"/>
      <c r="AA120" s="270" t="n"/>
      <c r="AB120" s="265" t="n"/>
      <c r="AC120" s="265" t="n"/>
      <c r="AD120" s="270" t="n"/>
    </row>
    <row r="121">
      <c r="A121" s="65" t="inlineStr">
        <is>
          <t>Synthèse</t>
        </is>
      </c>
      <c r="B121" s="65" t="n"/>
      <c r="C121" s="66" t="n"/>
      <c r="D121" s="65" t="n"/>
      <c r="E121" s="313">
        <f>SUM(E123:E142)</f>
        <v/>
      </c>
      <c r="F121" s="68" t="n"/>
      <c r="H121" s="68" t="n"/>
      <c r="I121" s="69" t="n"/>
      <c r="J121" s="68">
        <f>IFERROR(SUM(J123:J142),"Non Trouvé")</f>
        <v/>
      </c>
      <c r="K121" s="68">
        <f>IFERROR(SUM(K123:K142),"Non Trouvé")</f>
        <v/>
      </c>
      <c r="L121" s="68">
        <f>IFERROR(SUM(L123:L142),"Non Trouvé")</f>
        <v/>
      </c>
      <c r="M121" s="313">
        <f>SUM(M123:M142)</f>
        <v/>
      </c>
      <c r="N121" s="304">
        <f>SUM(N123:N142)</f>
        <v/>
      </c>
      <c r="O121" s="303">
        <f>SUM(O123:O142)</f>
        <v/>
      </c>
      <c r="P121" s="313" t="n"/>
      <c r="Q121" s="304" t="n"/>
      <c r="R121" s="303" t="n"/>
      <c r="S121" s="313" t="n"/>
      <c r="T121" s="304" t="n"/>
      <c r="U121" s="303" t="n"/>
      <c r="V121" s="313" t="n"/>
      <c r="W121" s="304" t="n"/>
      <c r="X121" s="303" t="n"/>
      <c r="Y121" s="313" t="n"/>
      <c r="Z121" s="304" t="n"/>
      <c r="AA121" s="303" t="n"/>
      <c r="AB121" s="313" t="n"/>
      <c r="AC121" s="304" t="n"/>
      <c r="AD121" s="303" t="n"/>
    </row>
    <row r="122">
      <c r="A122" s="265" t="n"/>
      <c r="B122" s="265" t="n"/>
      <c r="C122" s="266" t="n"/>
      <c r="D122" s="265" t="n"/>
      <c r="E122" s="265" t="n"/>
      <c r="F122" s="265" t="n"/>
      <c r="H122" s="265" t="n"/>
      <c r="I122" s="265" t="n"/>
      <c r="J122" s="265" t="n"/>
      <c r="M122" s="265" t="n"/>
      <c r="N122" s="265" t="n"/>
      <c r="O122" s="270" t="n"/>
      <c r="P122" s="265" t="n"/>
      <c r="Q122" s="265" t="n"/>
      <c r="R122" s="270" t="n"/>
      <c r="S122" s="265" t="n"/>
      <c r="T122" s="265" t="n"/>
      <c r="U122" s="270" t="n"/>
      <c r="V122" s="265" t="n"/>
      <c r="W122" s="265" t="n"/>
      <c r="X122" s="270" t="n"/>
      <c r="Y122" s="265" t="n"/>
      <c r="Z122" s="265" t="n"/>
      <c r="AA122" s="270" t="n"/>
      <c r="AB122" s="265" t="n"/>
      <c r="AC122" s="265" t="n"/>
      <c r="AD122" s="270" t="n"/>
    </row>
    <row r="123">
      <c r="A123" s="180" t="n">
        <v>1020202</v>
      </c>
      <c r="B123" s="181" t="n"/>
      <c r="C123" s="182" t="n"/>
      <c r="D123" s="183" t="inlineStr">
        <is>
          <t>Produit Vente</t>
        </is>
      </c>
      <c r="E123" s="318">
        <f>M123+P123+S123+V123+Y123+AB123</f>
        <v/>
      </c>
      <c r="F123" s="185" t="n"/>
      <c r="H123" s="185" t="n"/>
      <c r="I123" s="216" t="n"/>
      <c r="J123" s="185" t="n"/>
      <c r="K123" s="188">
        <f>J123*(1-I123)</f>
        <v/>
      </c>
      <c r="L123" s="191">
        <f>IFERROR(J123-K123,"")</f>
        <v/>
      </c>
      <c r="M123" s="330" t="n"/>
      <c r="N123" s="191">
        <f>M123*H123*(1-I123)*(1-$O$117)</f>
        <v/>
      </c>
      <c r="O123" s="316">
        <f>N123-(F123*M123)</f>
        <v/>
      </c>
      <c r="P123" s="330" t="n"/>
      <c r="Q123" s="191" t="n"/>
      <c r="R123" s="270" t="n"/>
      <c r="S123" s="330" t="n"/>
      <c r="T123" s="191" t="n"/>
      <c r="U123" s="270" t="n"/>
      <c r="V123" s="330" t="n"/>
      <c r="W123" s="191" t="n"/>
      <c r="X123" s="270" t="n"/>
      <c r="Y123" s="330" t="n"/>
      <c r="Z123" s="191" t="n"/>
      <c r="AA123" s="270" t="n"/>
      <c r="AB123" s="330" t="n"/>
      <c r="AC123" s="191" t="n"/>
      <c r="AD123" s="270" t="n"/>
    </row>
    <row r="124">
      <c r="A124" s="180" t="n">
        <v>1020310</v>
      </c>
      <c r="B124" s="181" t="n"/>
      <c r="C124" s="182" t="n"/>
      <c r="D124" s="183" t="inlineStr">
        <is>
          <t>Produit Vente</t>
        </is>
      </c>
      <c r="E124" s="318">
        <f>M124+P124+S124+V124+Y124+AB124</f>
        <v/>
      </c>
      <c r="F124" s="185" t="n"/>
      <c r="H124" s="185" t="n"/>
      <c r="I124" s="216" t="n"/>
      <c r="J124" s="185" t="n"/>
      <c r="K124" s="188">
        <f>J124*(1-I124)</f>
        <v/>
      </c>
      <c r="L124" s="191">
        <f>IFERROR(J124-K124,"")</f>
        <v/>
      </c>
      <c r="M124" s="330" t="n"/>
      <c r="N124" s="191">
        <f>M124*H124*(1-I124)*(1-$O$117)</f>
        <v/>
      </c>
      <c r="O124" s="316">
        <f>N124-(F124*M124)</f>
        <v/>
      </c>
      <c r="P124" s="330" t="n"/>
      <c r="Q124" s="191" t="n"/>
      <c r="R124" s="270" t="n"/>
      <c r="S124" s="330" t="n"/>
      <c r="T124" s="191" t="n"/>
      <c r="U124" s="270" t="n"/>
      <c r="V124" s="330" t="n"/>
      <c r="W124" s="191" t="n"/>
      <c r="X124" s="270" t="n"/>
      <c r="Y124" s="330" t="n"/>
      <c r="Z124" s="191" t="n"/>
      <c r="AA124" s="270" t="n"/>
      <c r="AB124" s="330" t="n"/>
      <c r="AC124" s="191" t="n"/>
      <c r="AD124" s="270" t="n"/>
    </row>
    <row r="125">
      <c r="A125" s="180" t="n">
        <v>1020401</v>
      </c>
      <c r="B125" s="181" t="n"/>
      <c r="C125" s="182" t="n"/>
      <c r="D125" s="183" t="inlineStr">
        <is>
          <t>Produit Vente</t>
        </is>
      </c>
      <c r="E125" s="318">
        <f>M125+P125+S125+V125+Y125+AB125</f>
        <v/>
      </c>
      <c r="F125" s="185" t="n"/>
      <c r="H125" s="185" t="n"/>
      <c r="I125" s="216" t="n"/>
      <c r="J125" s="185" t="n"/>
      <c r="K125" s="188">
        <f>J125*(1-I125)</f>
        <v/>
      </c>
      <c r="L125" s="191">
        <f>IFERROR(J125-K125,"")</f>
        <v/>
      </c>
      <c r="M125" s="330" t="n"/>
      <c r="N125" s="191">
        <f>M125*H125*(1-I125)*(1-$O$117)</f>
        <v/>
      </c>
      <c r="O125" s="316">
        <f>N125-(F125*M125)</f>
        <v/>
      </c>
      <c r="P125" s="330" t="n"/>
      <c r="Q125" s="191" t="n"/>
      <c r="R125" s="270" t="n"/>
      <c r="S125" s="330" t="n"/>
      <c r="T125" s="191" t="n"/>
      <c r="U125" s="270" t="n"/>
      <c r="V125" s="330" t="n"/>
      <c r="W125" s="191" t="n"/>
      <c r="X125" s="270" t="n"/>
      <c r="Y125" s="330" t="n"/>
      <c r="Z125" s="191" t="n"/>
      <c r="AA125" s="270" t="n"/>
      <c r="AB125" s="330" t="n"/>
      <c r="AC125" s="191" t="n"/>
      <c r="AD125" s="270" t="n"/>
    </row>
    <row r="126">
      <c r="A126" s="180" t="n">
        <v>1020302</v>
      </c>
      <c r="B126" s="181" t="n"/>
      <c r="C126" s="182" t="n"/>
      <c r="D126" s="183" t="inlineStr">
        <is>
          <t>Produit Vente</t>
        </is>
      </c>
      <c r="E126" s="318">
        <f>M126+P126+S126+V126+Y126+AB126</f>
        <v/>
      </c>
      <c r="F126" s="185" t="n"/>
      <c r="H126" s="185" t="n"/>
      <c r="I126" s="216" t="n"/>
      <c r="J126" s="185" t="n"/>
      <c r="K126" s="188">
        <f>J126*(1-I126)</f>
        <v/>
      </c>
      <c r="L126" s="191">
        <f>IFERROR(J126-K126,"")</f>
        <v/>
      </c>
      <c r="M126" s="330" t="n"/>
      <c r="N126" s="191">
        <f>M126*H126*(1-I126)*(1-$O$117)</f>
        <v/>
      </c>
      <c r="O126" s="316">
        <f>N126-(F126*M126)</f>
        <v/>
      </c>
      <c r="P126" s="330" t="n"/>
      <c r="Q126" s="191" t="n"/>
      <c r="R126" s="270" t="n"/>
      <c r="S126" s="330" t="n"/>
      <c r="T126" s="191" t="n"/>
      <c r="U126" s="270" t="n"/>
      <c r="V126" s="330" t="n"/>
      <c r="W126" s="191" t="n"/>
      <c r="X126" s="270" t="n"/>
      <c r="Y126" s="330" t="n"/>
      <c r="Z126" s="191" t="n"/>
      <c r="AA126" s="270" t="n"/>
      <c r="AB126" s="330" t="n"/>
      <c r="AC126" s="191" t="n"/>
      <c r="AD126" s="270" t="n"/>
    </row>
    <row r="127">
      <c r="A127" s="180" t="n">
        <v>1020721</v>
      </c>
      <c r="B127" s="181" t="n"/>
      <c r="C127" s="182" t="n"/>
      <c r="D127" s="183" t="inlineStr">
        <is>
          <t>Produit Vente</t>
        </is>
      </c>
      <c r="E127" s="318">
        <f>M127+P127+S127+V127+Y127+AB127</f>
        <v/>
      </c>
      <c r="F127" s="185" t="n"/>
      <c r="H127" s="185" t="n"/>
      <c r="I127" s="216" t="n"/>
      <c r="J127" s="185" t="n"/>
      <c r="K127" s="188">
        <f>J127*(1-I127)</f>
        <v/>
      </c>
      <c r="L127" s="191">
        <f>IFERROR(J127-K127,"")</f>
        <v/>
      </c>
      <c r="M127" s="330" t="n"/>
      <c r="N127" s="191">
        <f>M127*H127*(1-I127)*(1-$O$117)</f>
        <v/>
      </c>
      <c r="O127" s="316">
        <f>N127-(F127*M127)</f>
        <v/>
      </c>
      <c r="P127" s="330" t="n"/>
      <c r="Q127" s="191" t="n"/>
      <c r="R127" s="270" t="n"/>
      <c r="S127" s="330" t="n"/>
      <c r="T127" s="191" t="n"/>
      <c r="U127" s="270" t="n"/>
      <c r="V127" s="330" t="n"/>
      <c r="W127" s="191" t="n"/>
      <c r="X127" s="270" t="n"/>
      <c r="Y127" s="330" t="n"/>
      <c r="Z127" s="191" t="n"/>
      <c r="AA127" s="270" t="n"/>
      <c r="AB127" s="330" t="n"/>
      <c r="AC127" s="191" t="n"/>
      <c r="AD127" s="270" t="n"/>
    </row>
    <row r="128">
      <c r="A128" s="180" t="n">
        <v>1020107</v>
      </c>
      <c r="B128" s="181" t="n"/>
      <c r="C128" s="182" t="n"/>
      <c r="D128" s="183" t="inlineStr">
        <is>
          <t>Produit Vente</t>
        </is>
      </c>
      <c r="E128" s="318">
        <f>M128+P128+S128+V128+Y128+AB128</f>
        <v/>
      </c>
      <c r="F128" s="185" t="n"/>
      <c r="H128" s="185" t="n"/>
      <c r="I128" s="216" t="n"/>
      <c r="J128" s="185" t="n"/>
      <c r="K128" s="188">
        <f>J128*(1-I128)</f>
        <v/>
      </c>
      <c r="L128" s="191">
        <f>IFERROR(J128-K128,"")</f>
        <v/>
      </c>
      <c r="M128" s="330" t="n"/>
      <c r="N128" s="191">
        <f>M128*H128*(1-I128)*(1-$O$117)</f>
        <v/>
      </c>
      <c r="O128" s="316">
        <f>N128-(F128*M128)</f>
        <v/>
      </c>
      <c r="P128" s="330" t="n"/>
      <c r="Q128" s="191" t="n"/>
      <c r="R128" s="270" t="n"/>
      <c r="S128" s="330" t="n"/>
      <c r="T128" s="191" t="n"/>
      <c r="U128" s="270" t="n"/>
      <c r="V128" s="330" t="n"/>
      <c r="W128" s="191" t="n"/>
      <c r="X128" s="270" t="n"/>
      <c r="Y128" s="330" t="n"/>
      <c r="Z128" s="191" t="n"/>
      <c r="AA128" s="270" t="n"/>
      <c r="AB128" s="330" t="n"/>
      <c r="AC128" s="191" t="n"/>
      <c r="AD128" s="270" t="n"/>
    </row>
    <row r="129">
      <c r="A129" s="180" t="n">
        <v>1020102</v>
      </c>
      <c r="B129" s="181" t="n"/>
      <c r="C129" s="182" t="n"/>
      <c r="D129" s="183" t="inlineStr">
        <is>
          <t>Produit Vente</t>
        </is>
      </c>
      <c r="E129" s="318">
        <f>M129+P129+S129+V129+Y129+AB129</f>
        <v/>
      </c>
      <c r="F129" s="185" t="n"/>
      <c r="H129" s="185" t="n"/>
      <c r="I129" s="216" t="n"/>
      <c r="J129" s="185" t="n"/>
      <c r="K129" s="188">
        <f>J129*(1-I129)</f>
        <v/>
      </c>
      <c r="L129" s="191">
        <f>IFERROR(J129-K129,"")</f>
        <v/>
      </c>
      <c r="M129" s="330" t="n"/>
      <c r="N129" s="191">
        <f>M129*H129*(1-I129)*(1-$O$117)</f>
        <v/>
      </c>
      <c r="O129" s="316">
        <f>N129-(F129*M129)</f>
        <v/>
      </c>
      <c r="P129" s="330" t="n"/>
      <c r="Q129" s="191" t="n"/>
      <c r="R129" s="270" t="n"/>
      <c r="S129" s="330" t="n"/>
      <c r="T129" s="191" t="n"/>
      <c r="U129" s="270" t="n"/>
      <c r="V129" s="330" t="n"/>
      <c r="W129" s="191" t="n"/>
      <c r="X129" s="270" t="n"/>
      <c r="Y129" s="330" t="n"/>
      <c r="Z129" s="191" t="n"/>
      <c r="AA129" s="270" t="n"/>
      <c r="AB129" s="330" t="n"/>
      <c r="AC129" s="191" t="n"/>
      <c r="AD129" s="270" t="n"/>
    </row>
    <row r="130">
      <c r="A130" s="180" t="n">
        <v>1020722</v>
      </c>
      <c r="B130" s="181" t="n"/>
      <c r="C130" s="182" t="n"/>
      <c r="D130" s="183" t="inlineStr">
        <is>
          <t>Produit Vente</t>
        </is>
      </c>
      <c r="E130" s="318">
        <f>M130+P130+S130+V130+Y130+AB130</f>
        <v/>
      </c>
      <c r="F130" s="185" t="n"/>
      <c r="H130" s="185" t="n"/>
      <c r="I130" s="216" t="n"/>
      <c r="J130" s="185" t="n"/>
      <c r="K130" s="188">
        <f>J130*(1-I130)</f>
        <v/>
      </c>
      <c r="L130" s="191">
        <f>IFERROR(J130-K130,"")</f>
        <v/>
      </c>
      <c r="M130" s="330" t="n"/>
      <c r="N130" s="191">
        <f>M130*H130*(1-I130)*(1-$O$117)</f>
        <v/>
      </c>
      <c r="O130" s="316">
        <f>N130-(F130*M130)</f>
        <v/>
      </c>
      <c r="P130" s="330" t="n"/>
      <c r="Q130" s="191" t="n"/>
      <c r="R130" s="270" t="n"/>
      <c r="S130" s="330" t="n"/>
      <c r="T130" s="191" t="n"/>
      <c r="U130" s="270" t="n"/>
      <c r="V130" s="330" t="n"/>
      <c r="W130" s="191" t="n"/>
      <c r="X130" s="270" t="n"/>
      <c r="Y130" s="330" t="n"/>
      <c r="Z130" s="191" t="n"/>
      <c r="AA130" s="270" t="n"/>
      <c r="AB130" s="330" t="n"/>
      <c r="AC130" s="191" t="n"/>
      <c r="AD130" s="270" t="n"/>
    </row>
    <row r="131">
      <c r="A131" s="180" t="n">
        <v>1020719</v>
      </c>
      <c r="B131" s="181" t="n"/>
      <c r="C131" s="182" t="n"/>
      <c r="D131" s="183" t="inlineStr">
        <is>
          <t>Produit Vente</t>
        </is>
      </c>
      <c r="E131" s="318">
        <f>M131+P131+S131+V131+Y131+AB131</f>
        <v/>
      </c>
      <c r="F131" s="185" t="n"/>
      <c r="H131" s="185" t="n"/>
      <c r="I131" s="216" t="n"/>
      <c r="J131" s="185" t="n"/>
      <c r="K131" s="188">
        <f>J131*(1-I131)</f>
        <v/>
      </c>
      <c r="L131" s="191">
        <f>IFERROR(J131-K131,"")</f>
        <v/>
      </c>
      <c r="M131" s="330" t="n"/>
      <c r="N131" s="191">
        <f>M131*H131*(1-I131)*(1-$O$117)</f>
        <v/>
      </c>
      <c r="O131" s="316">
        <f>N131-(F131*M131)</f>
        <v/>
      </c>
      <c r="P131" s="330" t="n"/>
      <c r="Q131" s="191" t="n"/>
      <c r="R131" s="270" t="n"/>
      <c r="S131" s="330" t="n"/>
      <c r="T131" s="191" t="n"/>
      <c r="U131" s="270" t="n"/>
      <c r="V131" s="330" t="n"/>
      <c r="W131" s="191" t="n"/>
      <c r="X131" s="270" t="n"/>
      <c r="Y131" s="330" t="n"/>
      <c r="Z131" s="191" t="n"/>
      <c r="AA131" s="270" t="n"/>
      <c r="AB131" s="330" t="n"/>
      <c r="AC131" s="191" t="n"/>
      <c r="AD131" s="270" t="n"/>
    </row>
    <row r="132">
      <c r="A132" s="180" t="n">
        <v>1020717</v>
      </c>
      <c r="B132" s="181" t="n"/>
      <c r="C132" s="182" t="n"/>
      <c r="D132" s="183" t="inlineStr">
        <is>
          <t>Produit Vente</t>
        </is>
      </c>
      <c r="E132" s="318">
        <f>M132+P132+S132+V132+Y132+AB132</f>
        <v/>
      </c>
      <c r="F132" s="185" t="n"/>
      <c r="H132" s="185" t="n"/>
      <c r="I132" s="216" t="n"/>
      <c r="J132" s="185" t="n"/>
      <c r="K132" s="188">
        <f>J132*(1-I132)</f>
        <v/>
      </c>
      <c r="L132" s="191">
        <f>IFERROR(J132-K132,"")</f>
        <v/>
      </c>
      <c r="M132" s="330" t="n"/>
      <c r="N132" s="191">
        <f>M132*H132*(1-I132)*(1-$O$117)</f>
        <v/>
      </c>
      <c r="O132" s="316">
        <f>N132-(F132*M132)</f>
        <v/>
      </c>
      <c r="P132" s="330" t="n"/>
      <c r="Q132" s="191" t="n"/>
      <c r="R132" s="270" t="n"/>
      <c r="S132" s="330" t="n"/>
      <c r="T132" s="191" t="n"/>
      <c r="U132" s="270" t="n"/>
      <c r="V132" s="330" t="n"/>
      <c r="W132" s="191" t="n"/>
      <c r="X132" s="270" t="n"/>
      <c r="Y132" s="330" t="n"/>
      <c r="Z132" s="191" t="n"/>
      <c r="AA132" s="270" t="n"/>
      <c r="AB132" s="330" t="n"/>
      <c r="AC132" s="191" t="n"/>
      <c r="AD132" s="270" t="n"/>
    </row>
    <row r="133">
      <c r="A133" s="180" t="n">
        <v>1020718</v>
      </c>
      <c r="B133" s="181" t="n"/>
      <c r="C133" s="182" t="n"/>
      <c r="D133" s="183" t="inlineStr">
        <is>
          <t>Produit Vente</t>
        </is>
      </c>
      <c r="E133" s="318">
        <f>M133+P133+S133+V133+Y133+AB133</f>
        <v/>
      </c>
      <c r="F133" s="185" t="n"/>
      <c r="H133" s="185" t="n"/>
      <c r="I133" s="216" t="n"/>
      <c r="J133" s="185" t="n"/>
      <c r="K133" s="188">
        <f>J133*(1-I133)</f>
        <v/>
      </c>
      <c r="L133" s="191">
        <f>IFERROR(J133-K133,"")</f>
        <v/>
      </c>
      <c r="M133" s="330" t="n"/>
      <c r="N133" s="191">
        <f>M133*H133*(1-I133)*(1-$O$117)</f>
        <v/>
      </c>
      <c r="O133" s="316">
        <f>N133-(F133*M133)</f>
        <v/>
      </c>
      <c r="P133" s="330" t="n"/>
      <c r="Q133" s="191" t="n"/>
      <c r="R133" s="270" t="n"/>
      <c r="S133" s="330" t="n"/>
      <c r="T133" s="191" t="n"/>
      <c r="U133" s="270" t="n"/>
      <c r="V133" s="330" t="n"/>
      <c r="W133" s="191" t="n"/>
      <c r="X133" s="270" t="n"/>
      <c r="Y133" s="330" t="n"/>
      <c r="Z133" s="191" t="n"/>
      <c r="AA133" s="270" t="n"/>
      <c r="AB133" s="330" t="n"/>
      <c r="AC133" s="191" t="n"/>
      <c r="AD133" s="270" t="n"/>
    </row>
    <row r="134">
      <c r="A134" s="180" t="n">
        <v>1020301</v>
      </c>
      <c r="B134" s="181" t="n"/>
      <c r="C134" s="182" t="n"/>
      <c r="D134" s="183" t="inlineStr">
        <is>
          <t>Produit Vente</t>
        </is>
      </c>
      <c r="E134" s="318">
        <f>M134+P134+S134+V134+Y134+AB134</f>
        <v/>
      </c>
      <c r="F134" s="185" t="n"/>
      <c r="H134" s="185" t="n"/>
      <c r="I134" s="216" t="n"/>
      <c r="J134" s="185" t="n"/>
      <c r="K134" s="188">
        <f>J134*(1-I134)</f>
        <v/>
      </c>
      <c r="L134" s="191">
        <f>IFERROR(J134-K134,"")</f>
        <v/>
      </c>
      <c r="M134" s="330" t="n"/>
      <c r="N134" s="191">
        <f>M134*H134*(1-I134)*(1-$O$117)</f>
        <v/>
      </c>
      <c r="O134" s="316">
        <f>N134-(F134*M134)</f>
        <v/>
      </c>
      <c r="P134" s="330" t="n"/>
      <c r="Q134" s="191" t="n"/>
      <c r="R134" s="270" t="n"/>
      <c r="S134" s="330" t="n"/>
      <c r="T134" s="191" t="n"/>
      <c r="U134" s="270" t="n"/>
      <c r="V134" s="330" t="n"/>
      <c r="W134" s="191" t="n"/>
      <c r="X134" s="270" t="n"/>
      <c r="Y134" s="330" t="n"/>
      <c r="Z134" s="191" t="n"/>
      <c r="AA134" s="270" t="n"/>
      <c r="AB134" s="330" t="n"/>
      <c r="AC134" s="191" t="n"/>
      <c r="AD134" s="270" t="n"/>
    </row>
    <row r="135">
      <c r="A135" s="180" t="n">
        <v>1020720</v>
      </c>
      <c r="B135" s="181" t="n"/>
      <c r="C135" s="182" t="n"/>
      <c r="D135" s="183" t="inlineStr">
        <is>
          <t>Produit Vente</t>
        </is>
      </c>
      <c r="E135" s="318">
        <f>M135+P135+S135+V135+Y135+AB135</f>
        <v/>
      </c>
      <c r="F135" s="185" t="n"/>
      <c r="H135" s="185" t="n"/>
      <c r="I135" s="216" t="n"/>
      <c r="J135" s="185" t="n"/>
      <c r="K135" s="188">
        <f>J135*(1-I135)</f>
        <v/>
      </c>
      <c r="L135" s="191">
        <f>IFERROR(J135-K135,"")</f>
        <v/>
      </c>
      <c r="M135" s="330" t="n"/>
      <c r="N135" s="191">
        <f>M135*H135*(1-I135)*(1-$O$117)</f>
        <v/>
      </c>
      <c r="O135" s="316">
        <f>N135-(F135*M135)</f>
        <v/>
      </c>
      <c r="P135" s="330" t="n"/>
      <c r="Q135" s="191" t="n"/>
      <c r="R135" s="270" t="n"/>
      <c r="S135" s="330" t="n"/>
      <c r="T135" s="191" t="n"/>
      <c r="U135" s="270" t="n"/>
      <c r="V135" s="330" t="n"/>
      <c r="W135" s="191" t="n"/>
      <c r="X135" s="270" t="n"/>
      <c r="Y135" s="330" t="n"/>
      <c r="Z135" s="191" t="n"/>
      <c r="AA135" s="270" t="n"/>
      <c r="AB135" s="330" t="n"/>
      <c r="AC135" s="191" t="n"/>
      <c r="AD135" s="270" t="n"/>
    </row>
    <row r="136">
      <c r="A136" s="219" t="inlineStr">
        <is>
          <t>PANNEAU REGE</t>
        </is>
      </c>
      <c r="B136" s="220" t="n"/>
      <c r="C136" s="221" t="n"/>
      <c r="D136" s="222" t="inlineStr">
        <is>
          <t>PLV</t>
        </is>
      </c>
      <c r="E136" s="318">
        <f>M136+P136+S136+V136+Y136+AB136</f>
        <v/>
      </c>
      <c r="F136" s="185" t="n"/>
      <c r="H136" s="186" t="n"/>
      <c r="I136" s="216" t="n"/>
      <c r="J136" s="185" t="n"/>
      <c r="K136" s="188" t="n"/>
      <c r="L136" s="191">
        <f>IFERROR(J136-K136,"")</f>
        <v/>
      </c>
      <c r="M136" s="330" t="n"/>
      <c r="N136" s="191">
        <f>M136*H136*(1-I136)*(1-$O$117)</f>
        <v/>
      </c>
      <c r="O136" s="316">
        <f>N136-(F136*M136)</f>
        <v/>
      </c>
      <c r="P136" s="330" t="n"/>
      <c r="Q136" s="191" t="n"/>
      <c r="R136" s="270" t="n"/>
      <c r="S136" s="330" t="n"/>
      <c r="T136" s="191" t="n"/>
      <c r="U136" s="270" t="n"/>
      <c r="V136" s="330" t="n"/>
      <c r="W136" s="191" t="n"/>
      <c r="X136" s="270" t="n"/>
      <c r="Y136" s="330" t="n"/>
      <c r="Z136" s="191" t="n"/>
      <c r="AA136" s="270" t="n"/>
      <c r="AB136" s="330" t="n"/>
      <c r="AC136" s="191" t="n"/>
      <c r="AD136" s="270" t="n"/>
    </row>
    <row r="137">
      <c r="A137" s="219" t="inlineStr">
        <is>
          <t>PRESENTOIR REGE</t>
        </is>
      </c>
      <c r="B137" s="220" t="n"/>
      <c r="C137" s="221" t="n"/>
      <c r="D137" s="222" t="inlineStr">
        <is>
          <t>PLV</t>
        </is>
      </c>
      <c r="E137" s="318">
        <f>M137+P137+S137+V137+Y137+AB137</f>
        <v/>
      </c>
      <c r="F137" s="185" t="n"/>
      <c r="H137" s="186" t="n"/>
      <c r="I137" s="216" t="n"/>
      <c r="J137" s="185" t="n"/>
      <c r="K137" s="188" t="n"/>
      <c r="L137" s="191">
        <f>IFERROR(J137-K137,"")</f>
        <v/>
      </c>
      <c r="M137" s="330" t="n"/>
      <c r="N137" s="191">
        <f>M137*H137*(1-I137)*(1-$O$117)</f>
        <v/>
      </c>
      <c r="O137" s="316">
        <f>N137-(F137*M137)</f>
        <v/>
      </c>
      <c r="P137" s="330" t="n"/>
      <c r="Q137" s="191" t="n"/>
      <c r="R137" s="270" t="n"/>
      <c r="S137" s="330" t="n"/>
      <c r="T137" s="191" t="n"/>
      <c r="U137" s="270" t="n"/>
      <c r="V137" s="330" t="n"/>
      <c r="W137" s="191" t="n"/>
      <c r="X137" s="270" t="n"/>
      <c r="Y137" s="330" t="n"/>
      <c r="Z137" s="191" t="n"/>
      <c r="AA137" s="270" t="n"/>
      <c r="AB137" s="330" t="n"/>
      <c r="AC137" s="191" t="n"/>
      <c r="AD137" s="270" t="n"/>
    </row>
    <row r="138">
      <c r="A138" s="219" t="n">
        <v>3020202</v>
      </c>
      <c r="B138" s="220" t="n"/>
      <c r="C138" s="221" t="n"/>
      <c r="D138" s="222" t="inlineStr">
        <is>
          <t>Testeur</t>
        </is>
      </c>
      <c r="E138" s="318">
        <f>M138+P138+S138+V138+Y138+AB138</f>
        <v/>
      </c>
      <c r="F138" s="185" t="n"/>
      <c r="H138" s="186" t="n"/>
      <c r="I138" s="216" t="n"/>
      <c r="J138" s="185" t="n"/>
      <c r="K138" s="188" t="n"/>
      <c r="L138" s="191">
        <f>IFERROR(J138-K138,"")</f>
        <v/>
      </c>
      <c r="M138" s="330" t="n"/>
      <c r="N138" s="191">
        <f>M138*H138*(1-I138)*(1-$O$117)</f>
        <v/>
      </c>
      <c r="O138" s="316">
        <f>N138-(F138*M138)</f>
        <v/>
      </c>
      <c r="P138" s="330" t="n"/>
      <c r="Q138" s="191" t="n"/>
      <c r="R138" s="270" t="n"/>
      <c r="S138" s="330" t="n"/>
      <c r="T138" s="191" t="n"/>
      <c r="U138" s="270" t="n"/>
      <c r="V138" s="330" t="n"/>
      <c r="W138" s="191" t="n"/>
      <c r="X138" s="270" t="n"/>
      <c r="Y138" s="330" t="n"/>
      <c r="Z138" s="191" t="n"/>
      <c r="AA138" s="270" t="n"/>
      <c r="AB138" s="330" t="n"/>
      <c r="AC138" s="191" t="n"/>
      <c r="AD138" s="270" t="n"/>
    </row>
    <row r="139">
      <c r="A139" s="219" t="n">
        <v>3020301</v>
      </c>
      <c r="B139" s="220" t="n"/>
      <c r="C139" s="221" t="n"/>
      <c r="D139" s="222" t="inlineStr">
        <is>
          <t>Testeur</t>
        </is>
      </c>
      <c r="E139" s="318">
        <f>M139+P139+S139+V139+Y139+AB139</f>
        <v/>
      </c>
      <c r="F139" s="185" t="n"/>
      <c r="H139" s="186" t="n"/>
      <c r="I139" s="216" t="n"/>
      <c r="J139" s="185" t="n"/>
      <c r="K139" s="188" t="n"/>
      <c r="L139" s="191">
        <f>IFERROR(J139-K139,"")</f>
        <v/>
      </c>
      <c r="M139" s="330" t="n"/>
      <c r="N139" s="191">
        <f>M139*H139*(1-I139)*(1-$O$117)</f>
        <v/>
      </c>
      <c r="O139" s="316">
        <f>N139-(F139*M139)</f>
        <v/>
      </c>
      <c r="P139" s="330" t="n"/>
      <c r="Q139" s="191" t="n"/>
      <c r="R139" s="270" t="n"/>
      <c r="S139" s="330" t="n"/>
      <c r="T139" s="191" t="n"/>
      <c r="U139" s="270" t="n"/>
      <c r="V139" s="330" t="n"/>
      <c r="W139" s="191" t="n"/>
      <c r="X139" s="270" t="n"/>
      <c r="Y139" s="330" t="n"/>
      <c r="Z139" s="191" t="n"/>
      <c r="AA139" s="270" t="n"/>
      <c r="AB139" s="330" t="n"/>
      <c r="AC139" s="191" t="n"/>
      <c r="AD139" s="270" t="n"/>
    </row>
    <row r="140">
      <c r="A140" s="219" t="n">
        <v>3020720</v>
      </c>
      <c r="B140" s="220" t="n"/>
      <c r="C140" s="221" t="n"/>
      <c r="D140" s="222" t="inlineStr">
        <is>
          <t>Testeur</t>
        </is>
      </c>
      <c r="E140" s="318">
        <f>M140+P140+S140+V140+Y140+AB140</f>
        <v/>
      </c>
      <c r="F140" s="185" t="n"/>
      <c r="H140" s="186" t="n"/>
      <c r="I140" s="216" t="n"/>
      <c r="J140" s="185" t="n"/>
      <c r="K140" s="188" t="n"/>
      <c r="L140" s="191">
        <f>IFERROR(J140-K140,"")</f>
        <v/>
      </c>
      <c r="M140" s="330" t="n"/>
      <c r="N140" s="191">
        <f>M140*H140*(1-I140)*(1-$O$117)</f>
        <v/>
      </c>
      <c r="O140" s="316">
        <f>N140-(F140*M140)</f>
        <v/>
      </c>
      <c r="P140" s="330" t="n"/>
      <c r="Q140" s="191" t="n"/>
      <c r="R140" s="270" t="n"/>
      <c r="S140" s="330" t="n"/>
      <c r="T140" s="191" t="n"/>
      <c r="U140" s="270" t="n"/>
      <c r="V140" s="330" t="n"/>
      <c r="W140" s="191" t="n"/>
      <c r="X140" s="270" t="n"/>
      <c r="Y140" s="330" t="n"/>
      <c r="Z140" s="191" t="n"/>
      <c r="AA140" s="270" t="n"/>
      <c r="AB140" s="330" t="n"/>
      <c r="AC140" s="191" t="n"/>
      <c r="AD140" s="270" t="n"/>
    </row>
    <row r="141">
      <c r="A141" s="219" t="n">
        <v>3020718</v>
      </c>
      <c r="B141" s="220" t="n"/>
      <c r="C141" s="221" t="n"/>
      <c r="D141" s="222" t="inlineStr">
        <is>
          <t>Testeur</t>
        </is>
      </c>
      <c r="E141" s="318">
        <f>M141+P141+S141+V141+Y141+AB141</f>
        <v/>
      </c>
      <c r="F141" s="185" t="n"/>
      <c r="H141" s="186" t="n"/>
      <c r="I141" s="216" t="n"/>
      <c r="J141" s="185" t="n"/>
      <c r="K141" s="188" t="n"/>
      <c r="L141" s="191">
        <f>IFERROR(J141-K141,"")</f>
        <v/>
      </c>
      <c r="M141" s="330" t="n"/>
      <c r="N141" s="191">
        <f>M141*H141*(1-I141)*(1-$O$117)</f>
        <v/>
      </c>
      <c r="O141" s="316">
        <f>N141-(F141*M141)</f>
        <v/>
      </c>
      <c r="P141" s="330" t="n"/>
      <c r="Q141" s="191" t="n"/>
      <c r="R141" s="270" t="n"/>
      <c r="S141" s="330" t="n"/>
      <c r="T141" s="191" t="n"/>
      <c r="U141" s="270" t="n"/>
      <c r="V141" s="330" t="n"/>
      <c r="W141" s="191" t="n"/>
      <c r="X141" s="270" t="n"/>
      <c r="Y141" s="330" t="n"/>
      <c r="Z141" s="191" t="n"/>
      <c r="AA141" s="270" t="n"/>
      <c r="AB141" s="330" t="n"/>
      <c r="AC141" s="191" t="n"/>
      <c r="AD141" s="270" t="n"/>
    </row>
    <row r="142" ht="15.75" customHeight="1" s="267" thickBot="1">
      <c r="A142" s="219" t="inlineStr">
        <is>
          <t>SR REGE RETAIL 1</t>
        </is>
      </c>
      <c r="B142" s="220" t="n"/>
      <c r="C142" s="221" t="n"/>
      <c r="D142" s="222" t="inlineStr">
        <is>
          <t>PLV</t>
        </is>
      </c>
      <c r="E142" s="318">
        <f>M142+P142+S142+V142+Y142+AB142</f>
        <v/>
      </c>
      <c r="F142" s="185" t="n"/>
      <c r="H142" s="186" t="n"/>
      <c r="I142" s="216" t="n"/>
      <c r="J142" s="185" t="n"/>
      <c r="K142" s="188" t="n"/>
      <c r="L142" s="191">
        <f>IFERROR(J142-K142,"")</f>
        <v/>
      </c>
      <c r="M142" s="331" t="n"/>
      <c r="N142" s="301">
        <f>M142*H142*(1-I142)*(1-$O$117)</f>
        <v/>
      </c>
      <c r="O142" s="317">
        <f>N142-(F142*M142)</f>
        <v/>
      </c>
      <c r="P142" s="331" t="n"/>
      <c r="Q142" s="301" t="n"/>
      <c r="R142" s="199" t="n"/>
      <c r="S142" s="331" t="n"/>
      <c r="T142" s="301" t="n"/>
      <c r="U142" s="199" t="n"/>
      <c r="V142" s="331" t="n"/>
      <c r="W142" s="301" t="n"/>
      <c r="X142" s="199" t="n"/>
      <c r="Y142" s="331" t="n"/>
      <c r="Z142" s="301" t="n"/>
      <c r="AA142" s="199" t="n"/>
      <c r="AB142" s="331" t="n"/>
      <c r="AC142" s="301" t="n"/>
      <c r="AD142" s="199" t="n"/>
    </row>
    <row r="143"/>
    <row r="144"/>
    <row r="145"/>
    <row r="146" ht="15.75" customHeight="1" s="267" thickBot="1">
      <c r="A146" s="332" t="inlineStr">
        <is>
          <t>Besoins logistiques</t>
        </is>
      </c>
      <c r="B146" s="344" t="n"/>
      <c r="C146" s="344" t="n"/>
      <c r="D146" s="344" t="n"/>
      <c r="E146" s="344" t="n"/>
      <c r="F146" s="344" t="n"/>
      <c r="G146" s="344" t="n"/>
      <c r="H146" s="344" t="n"/>
      <c r="I146" s="344" t="n"/>
      <c r="J146" s="344" t="n"/>
      <c r="K146" s="344" t="n"/>
      <c r="L146" s="344" t="n"/>
      <c r="M146" s="344" t="n"/>
      <c r="N146" s="344" t="n"/>
      <c r="O146" s="344" t="n"/>
    </row>
    <row r="147" ht="40.5" customHeight="1" s="267" thickBot="1" thickTop="1">
      <c r="E147" s="335" t="inlineStr">
        <is>
          <t>Retail + Institut</t>
        </is>
      </c>
      <c r="F147" s="335" t="inlineStr">
        <is>
          <t>GC</t>
        </is>
      </c>
      <c r="G147" s="335" t="inlineStr">
        <is>
          <t>ESHOP</t>
        </is>
      </c>
      <c r="H147" s="335" t="inlineStr">
        <is>
          <t>RP/Comm/Opé</t>
        </is>
      </c>
      <c r="I147" s="335" t="inlineStr">
        <is>
          <t>Maison DRH</t>
        </is>
      </c>
      <c r="J147" s="335" t="inlineStr">
        <is>
          <t>Dotation Commerciaux</t>
        </is>
      </c>
      <c r="K147" s="335" t="inlineStr">
        <is>
          <t>Total</t>
        </is>
      </c>
      <c r="L147" s="335" t="inlineStr">
        <is>
          <t>Date de démarrage campagne</t>
        </is>
      </c>
      <c r="M147" s="335" t="inlineStr">
        <is>
          <t>Livraison M1</t>
        </is>
      </c>
      <c r="N147" s="335" t="inlineStr">
        <is>
          <t>Livraison M2</t>
        </is>
      </c>
      <c r="O147" s="335" t="inlineStr">
        <is>
          <t>Livraison M3</t>
        </is>
      </c>
    </row>
    <row r="148" ht="16.5" customHeight="1" s="267" thickBot="1" thickTop="1">
      <c r="E148" s="275" t="n"/>
      <c r="F148" s="275" t="n"/>
      <c r="G148" s="275" t="n"/>
      <c r="H148" s="275" t="n"/>
      <c r="I148" s="275" t="n"/>
      <c r="J148" s="275" t="n"/>
      <c r="K148" s="275" t="n"/>
      <c r="L148" s="275" t="n"/>
      <c r="M148" s="333" t="n">
        <v>0.4</v>
      </c>
      <c r="N148" s="333" t="n">
        <v>0.4</v>
      </c>
      <c r="O148" s="333" t="n">
        <v>0.2</v>
      </c>
    </row>
    <row r="149">
      <c r="A149" s="180" t="n">
        <v>1020202</v>
      </c>
      <c r="B149" s="181" t="n"/>
      <c r="C149" s="182" t="n"/>
      <c r="D149" s="248" t="inlineStr">
        <is>
          <t>Produit Vente</t>
        </is>
      </c>
      <c r="E149" s="252">
        <f>E17*($B$4+$B$42+$B$78)</f>
        <v/>
      </c>
      <c r="F149" s="334">
        <f>E123</f>
        <v/>
      </c>
      <c r="G149" s="321" t="n"/>
      <c r="H149" s="322" t="n"/>
      <c r="I149" s="322" t="n"/>
      <c r="J149" s="323" t="n"/>
      <c r="K149" s="253">
        <f>SUM(E149:J149)</f>
        <v/>
      </c>
      <c r="L149" s="323" t="n"/>
      <c r="M149" s="253">
        <f>K149*$M$148</f>
        <v/>
      </c>
      <c r="N149" s="253">
        <f>K149*$N$148</f>
        <v/>
      </c>
      <c r="O149" s="253">
        <f>K149*$O$148</f>
        <v/>
      </c>
    </row>
    <row r="150">
      <c r="A150" s="180" t="n">
        <v>1020310</v>
      </c>
      <c r="B150" s="181" t="n"/>
      <c r="C150" s="182" t="n"/>
      <c r="D150" s="248" t="inlineStr">
        <is>
          <t>Produit Vente</t>
        </is>
      </c>
      <c r="E150" s="250">
        <f>E18*($B$4+$B$42+$B$78)</f>
        <v/>
      </c>
      <c r="F150" s="250">
        <f>E124</f>
        <v/>
      </c>
      <c r="G150" s="324" t="n"/>
      <c r="H150" s="325" t="n"/>
      <c r="I150" s="325" t="n"/>
      <c r="J150" s="326" t="n"/>
      <c r="K150" s="254">
        <f>SUM(E150:J150)</f>
        <v/>
      </c>
      <c r="L150" s="326" t="n"/>
      <c r="M150" s="254">
        <f>K150*$M$148</f>
        <v/>
      </c>
      <c r="N150" s="254">
        <f>K150*$N$148</f>
        <v/>
      </c>
      <c r="O150" s="254">
        <f>K150*$O$148</f>
        <v/>
      </c>
    </row>
    <row r="151">
      <c r="A151" s="180" t="n">
        <v>1020401</v>
      </c>
      <c r="B151" s="181" t="n"/>
      <c r="C151" s="182" t="n"/>
      <c r="D151" s="248" t="inlineStr">
        <is>
          <t>Produit Vente</t>
        </is>
      </c>
      <c r="E151" s="250">
        <f>E19*($B$4+$B$42+$B$78)</f>
        <v/>
      </c>
      <c r="F151" s="250">
        <f>E125</f>
        <v/>
      </c>
      <c r="G151" s="324" t="n"/>
      <c r="H151" s="325" t="n"/>
      <c r="I151" s="325" t="n"/>
      <c r="J151" s="326" t="n"/>
      <c r="K151" s="254">
        <f>SUM(E151:J151)</f>
        <v/>
      </c>
      <c r="L151" s="326" t="n"/>
      <c r="M151" s="254">
        <f>K151*$M$148</f>
        <v/>
      </c>
      <c r="N151" s="254">
        <f>K151*$N$148</f>
        <v/>
      </c>
      <c r="O151" s="254">
        <f>K151*$O$148</f>
        <v/>
      </c>
    </row>
    <row r="152">
      <c r="A152" s="180" t="n">
        <v>1020302</v>
      </c>
      <c r="B152" s="181" t="n"/>
      <c r="C152" s="182" t="n"/>
      <c r="D152" s="248" t="inlineStr">
        <is>
          <t>Produit Vente</t>
        </is>
      </c>
      <c r="E152" s="250">
        <f>E20*($B$4+$B$42+$B$78)</f>
        <v/>
      </c>
      <c r="F152" s="250">
        <f>E126</f>
        <v/>
      </c>
      <c r="G152" s="324" t="n"/>
      <c r="H152" s="325" t="n"/>
      <c r="I152" s="325" t="n"/>
      <c r="J152" s="326" t="n"/>
      <c r="K152" s="254">
        <f>SUM(E152:J152)</f>
        <v/>
      </c>
      <c r="L152" s="326" t="n"/>
      <c r="M152" s="254">
        <f>K152*$M$148</f>
        <v/>
      </c>
      <c r="N152" s="254">
        <f>K152*$N$148</f>
        <v/>
      </c>
      <c r="O152" s="254">
        <f>K152*$O$148</f>
        <v/>
      </c>
    </row>
    <row r="153">
      <c r="A153" s="180" t="n">
        <v>1020721</v>
      </c>
      <c r="B153" s="181" t="n"/>
      <c r="C153" s="182" t="n"/>
      <c r="D153" s="248" t="inlineStr">
        <is>
          <t>Produit Vente</t>
        </is>
      </c>
      <c r="E153" s="250">
        <f>E21*($B$4+$B$42+$B$78)</f>
        <v/>
      </c>
      <c r="F153" s="250">
        <f>E127</f>
        <v/>
      </c>
      <c r="G153" s="324" t="n"/>
      <c r="H153" s="325" t="n"/>
      <c r="I153" s="325" t="n"/>
      <c r="J153" s="326" t="n"/>
      <c r="K153" s="254">
        <f>SUM(E153:J153)</f>
        <v/>
      </c>
      <c r="L153" s="326" t="n"/>
      <c r="M153" s="254">
        <f>K153*$M$148</f>
        <v/>
      </c>
      <c r="N153" s="254">
        <f>K153*$N$148</f>
        <v/>
      </c>
      <c r="O153" s="254">
        <f>K153*$O$148</f>
        <v/>
      </c>
    </row>
    <row r="154">
      <c r="A154" s="180" t="n">
        <v>1020107</v>
      </c>
      <c r="B154" s="181" t="n"/>
      <c r="C154" s="182" t="n"/>
      <c r="D154" s="248" t="inlineStr">
        <is>
          <t>Produit Vente</t>
        </is>
      </c>
      <c r="E154" s="250">
        <f>E22*($B$4+$B$42+$B$78)</f>
        <v/>
      </c>
      <c r="F154" s="250">
        <f>E128</f>
        <v/>
      </c>
      <c r="G154" s="324" t="n"/>
      <c r="H154" s="325" t="n"/>
      <c r="I154" s="325" t="n"/>
      <c r="J154" s="326" t="n"/>
      <c r="K154" s="254">
        <f>SUM(E154:J154)</f>
        <v/>
      </c>
      <c r="L154" s="326" t="n"/>
      <c r="M154" s="254">
        <f>K154*$M$148</f>
        <v/>
      </c>
      <c r="N154" s="254">
        <f>K154*$N$148</f>
        <v/>
      </c>
      <c r="O154" s="254">
        <f>K154*$O$148</f>
        <v/>
      </c>
    </row>
    <row r="155">
      <c r="A155" s="180" t="n">
        <v>1020102</v>
      </c>
      <c r="B155" s="181" t="n"/>
      <c r="C155" s="182" t="n"/>
      <c r="D155" s="248" t="inlineStr">
        <is>
          <t>Produit Vente</t>
        </is>
      </c>
      <c r="E155" s="250">
        <f>E23*($B$4+$B$42+$B$78)</f>
        <v/>
      </c>
      <c r="F155" s="250">
        <f>E129</f>
        <v/>
      </c>
      <c r="G155" s="324" t="n"/>
      <c r="H155" s="325" t="n"/>
      <c r="I155" s="325" t="n"/>
      <c r="J155" s="326" t="n"/>
      <c r="K155" s="254">
        <f>SUM(E155:J155)</f>
        <v/>
      </c>
      <c r="L155" s="326" t="n"/>
      <c r="M155" s="254">
        <f>K155*$M$148</f>
        <v/>
      </c>
      <c r="N155" s="254">
        <f>K155*$N$148</f>
        <v/>
      </c>
      <c r="O155" s="254">
        <f>K155*$O$148</f>
        <v/>
      </c>
    </row>
    <row r="156">
      <c r="A156" s="180" t="n">
        <v>1020722</v>
      </c>
      <c r="B156" s="181" t="n"/>
      <c r="C156" s="182" t="n"/>
      <c r="D156" s="248" t="inlineStr">
        <is>
          <t>Produit Vente</t>
        </is>
      </c>
      <c r="E156" s="250">
        <f>E24*($B$4+$B$42+$B$78)</f>
        <v/>
      </c>
      <c r="F156" s="250">
        <f>E130</f>
        <v/>
      </c>
      <c r="G156" s="324" t="n"/>
      <c r="H156" s="325" t="n"/>
      <c r="I156" s="325" t="n"/>
      <c r="J156" s="326" t="n"/>
      <c r="K156" s="254">
        <f>SUM(E156:J156)</f>
        <v/>
      </c>
      <c r="L156" s="326" t="n"/>
      <c r="M156" s="254">
        <f>K156*$M$148</f>
        <v/>
      </c>
      <c r="N156" s="254">
        <f>K156*$N$148</f>
        <v/>
      </c>
      <c r="O156" s="254">
        <f>K156*$O$148</f>
        <v/>
      </c>
    </row>
    <row r="157">
      <c r="A157" s="180" t="n">
        <v>1020719</v>
      </c>
      <c r="B157" s="181" t="n"/>
      <c r="C157" s="182" t="n"/>
      <c r="D157" s="248" t="inlineStr">
        <is>
          <t>Produit Vente</t>
        </is>
      </c>
      <c r="E157" s="250">
        <f>E25*($B$4+$B$42+$B$78)</f>
        <v/>
      </c>
      <c r="F157" s="250">
        <f>E131</f>
        <v/>
      </c>
      <c r="G157" s="324" t="n"/>
      <c r="H157" s="325" t="n"/>
      <c r="I157" s="325" t="n"/>
      <c r="J157" s="326" t="n"/>
      <c r="K157" s="254">
        <f>SUM(E157:J157)</f>
        <v/>
      </c>
      <c r="L157" s="326" t="n"/>
      <c r="M157" s="254">
        <f>K157*$M$148</f>
        <v/>
      </c>
      <c r="N157" s="254">
        <f>K157*$N$148</f>
        <v/>
      </c>
      <c r="O157" s="254">
        <f>K157*$O$148</f>
        <v/>
      </c>
    </row>
    <row r="158">
      <c r="A158" s="180" t="n">
        <v>1020717</v>
      </c>
      <c r="B158" s="181" t="n"/>
      <c r="C158" s="182" t="n"/>
      <c r="D158" s="248" t="inlineStr">
        <is>
          <t>Produit Vente</t>
        </is>
      </c>
      <c r="E158" s="250">
        <f>E26*($B$4+$B$42+$B$78)</f>
        <v/>
      </c>
      <c r="F158" s="250">
        <f>E132</f>
        <v/>
      </c>
      <c r="G158" s="324" t="n"/>
      <c r="H158" s="325" t="n"/>
      <c r="I158" s="325" t="n"/>
      <c r="J158" s="326" t="n"/>
      <c r="K158" s="254">
        <f>SUM(E158:J158)</f>
        <v/>
      </c>
      <c r="L158" s="326" t="n"/>
      <c r="M158" s="254">
        <f>K158*$M$148</f>
        <v/>
      </c>
      <c r="N158" s="254">
        <f>K158*$N$148</f>
        <v/>
      </c>
      <c r="O158" s="254">
        <f>K158*$O$148</f>
        <v/>
      </c>
    </row>
    <row r="159">
      <c r="A159" s="180" t="n">
        <v>1020718</v>
      </c>
      <c r="B159" s="181" t="n"/>
      <c r="C159" s="182" t="n"/>
      <c r="D159" s="248" t="inlineStr">
        <is>
          <t>Produit Vente</t>
        </is>
      </c>
      <c r="E159" s="250">
        <f>E27*($B$4+$B$42+$B$78)</f>
        <v/>
      </c>
      <c r="F159" s="250">
        <f>E133</f>
        <v/>
      </c>
      <c r="G159" s="324" t="n"/>
      <c r="H159" s="325" t="n"/>
      <c r="I159" s="325" t="n"/>
      <c r="J159" s="326" t="n"/>
      <c r="K159" s="254">
        <f>SUM(E159:J159)</f>
        <v/>
      </c>
      <c r="L159" s="326" t="n"/>
      <c r="M159" s="254">
        <f>K159*$M$148</f>
        <v/>
      </c>
      <c r="N159" s="254">
        <f>K159*$N$148</f>
        <v/>
      </c>
      <c r="O159" s="254">
        <f>K159*$O$148</f>
        <v/>
      </c>
    </row>
    <row r="160">
      <c r="A160" s="180" t="n">
        <v>1020301</v>
      </c>
      <c r="B160" s="181" t="n"/>
      <c r="C160" s="182" t="n"/>
      <c r="D160" s="248" t="inlineStr">
        <is>
          <t>Produit Vente</t>
        </is>
      </c>
      <c r="E160" s="250">
        <f>E28*($B$4+$B$42+$B$78)</f>
        <v/>
      </c>
      <c r="F160" s="250">
        <f>E134</f>
        <v/>
      </c>
      <c r="G160" s="324" t="n"/>
      <c r="H160" s="325" t="n"/>
      <c r="I160" s="325" t="n"/>
      <c r="J160" s="326" t="n"/>
      <c r="K160" s="254">
        <f>SUM(E160:J160)</f>
        <v/>
      </c>
      <c r="L160" s="326" t="n"/>
      <c r="M160" s="254">
        <f>K160*$M$148</f>
        <v/>
      </c>
      <c r="N160" s="254">
        <f>K160*$N$148</f>
        <v/>
      </c>
      <c r="O160" s="254">
        <f>K160*$O$148</f>
        <v/>
      </c>
    </row>
    <row r="161">
      <c r="A161" s="180" t="n">
        <v>1020720</v>
      </c>
      <c r="B161" s="181" t="n"/>
      <c r="C161" s="182" t="n"/>
      <c r="D161" s="248" t="inlineStr">
        <is>
          <t>Produit Vente</t>
        </is>
      </c>
      <c r="E161" s="250">
        <f>E29*($B$4+$B$42+$B$78)</f>
        <v/>
      </c>
      <c r="F161" s="250">
        <f>E135</f>
        <v/>
      </c>
      <c r="G161" s="324" t="n"/>
      <c r="H161" s="325" t="n"/>
      <c r="I161" s="325" t="n"/>
      <c r="J161" s="326" t="n"/>
      <c r="K161" s="254">
        <f>SUM(E161:J161)</f>
        <v/>
      </c>
      <c r="L161" s="326" t="n"/>
      <c r="M161" s="254">
        <f>K161*$M$148</f>
        <v/>
      </c>
      <c r="N161" s="254">
        <f>K161*$N$148</f>
        <v/>
      </c>
      <c r="O161" s="254">
        <f>K161*$O$148</f>
        <v/>
      </c>
    </row>
    <row r="162">
      <c r="A162" s="219" t="inlineStr">
        <is>
          <t>PANNEAU REGE</t>
        </is>
      </c>
      <c r="B162" s="220" t="n"/>
      <c r="C162" s="221" t="n"/>
      <c r="D162" s="249" t="inlineStr">
        <is>
          <t>PLV</t>
        </is>
      </c>
      <c r="E162" s="250">
        <f>E30*($B$4+$B$42+$B$78)</f>
        <v/>
      </c>
      <c r="F162" s="250">
        <f>E136</f>
        <v/>
      </c>
      <c r="G162" s="324" t="n"/>
      <c r="H162" s="325" t="n"/>
      <c r="I162" s="325" t="n"/>
      <c r="J162" s="326" t="n"/>
      <c r="K162" s="254">
        <f>SUM(E162:J162)</f>
        <v/>
      </c>
      <c r="L162" s="326" t="n"/>
      <c r="M162" s="254">
        <f>K162*$M$148</f>
        <v/>
      </c>
      <c r="N162" s="254">
        <f>K162*$N$148</f>
        <v/>
      </c>
      <c r="O162" s="254">
        <f>K162*$O$148</f>
        <v/>
      </c>
    </row>
    <row r="163">
      <c r="A163" s="219" t="inlineStr">
        <is>
          <t>PRESENTOIR REGE</t>
        </is>
      </c>
      <c r="B163" s="220" t="n"/>
      <c r="C163" s="221" t="n"/>
      <c r="D163" s="249" t="inlineStr">
        <is>
          <t>PLV</t>
        </is>
      </c>
      <c r="E163" s="250">
        <f>E31*($B$4+$B$42+$B$78)</f>
        <v/>
      </c>
      <c r="F163" s="250">
        <f>E137</f>
        <v/>
      </c>
      <c r="G163" s="324" t="n"/>
      <c r="H163" s="325" t="n"/>
      <c r="I163" s="325" t="n"/>
      <c r="J163" s="326" t="n"/>
      <c r="K163" s="254">
        <f>SUM(E163:J163)</f>
        <v/>
      </c>
      <c r="L163" s="326" t="n"/>
      <c r="M163" s="254">
        <f>K163*$M$148</f>
        <v/>
      </c>
      <c r="N163" s="254">
        <f>K163*$N$148</f>
        <v/>
      </c>
      <c r="O163" s="254">
        <f>K163*$O$148</f>
        <v/>
      </c>
    </row>
    <row r="164">
      <c r="A164" s="219" t="n">
        <v>3020202</v>
      </c>
      <c r="B164" s="220" t="n"/>
      <c r="C164" s="221" t="n"/>
      <c r="D164" s="249" t="inlineStr">
        <is>
          <t>Testeur</t>
        </is>
      </c>
      <c r="E164" s="250">
        <f>E32*($B$4+$B$42+$B$78)</f>
        <v/>
      </c>
      <c r="F164" s="250">
        <f>E138</f>
        <v/>
      </c>
      <c r="G164" s="324" t="n"/>
      <c r="H164" s="325" t="n"/>
      <c r="I164" s="325" t="n"/>
      <c r="J164" s="326" t="n"/>
      <c r="K164" s="254">
        <f>SUM(E164:J164)</f>
        <v/>
      </c>
      <c r="L164" s="326" t="n"/>
      <c r="M164" s="254">
        <f>K164*$M$148</f>
        <v/>
      </c>
      <c r="N164" s="254">
        <f>K164*$N$148</f>
        <v/>
      </c>
      <c r="O164" s="254">
        <f>K164*$O$148</f>
        <v/>
      </c>
    </row>
    <row r="165">
      <c r="A165" s="219" t="n">
        <v>3020301</v>
      </c>
      <c r="B165" s="220" t="n"/>
      <c r="C165" s="221" t="n"/>
      <c r="D165" s="249" t="inlineStr">
        <is>
          <t>Testeur</t>
        </is>
      </c>
      <c r="E165" s="250">
        <f>E33*($B$4+$B$42+$B$78)</f>
        <v/>
      </c>
      <c r="F165" s="250">
        <f>E139</f>
        <v/>
      </c>
      <c r="G165" s="324" t="n"/>
      <c r="H165" s="325" t="n"/>
      <c r="I165" s="325" t="n"/>
      <c r="J165" s="326" t="n"/>
      <c r="K165" s="254">
        <f>SUM(E165:J165)</f>
        <v/>
      </c>
      <c r="L165" s="326" t="n"/>
      <c r="M165" s="254">
        <f>K165*$M$148</f>
        <v/>
      </c>
      <c r="N165" s="254">
        <f>K165*$N$148</f>
        <v/>
      </c>
      <c r="O165" s="254">
        <f>K165*$O$148</f>
        <v/>
      </c>
    </row>
    <row r="166">
      <c r="A166" s="219" t="n">
        <v>3020720</v>
      </c>
      <c r="B166" s="220" t="n"/>
      <c r="C166" s="221" t="n"/>
      <c r="D166" s="249" t="inlineStr">
        <is>
          <t>Testeur</t>
        </is>
      </c>
      <c r="E166" s="250">
        <f>E34*($B$4+$B$42+$B$78)</f>
        <v/>
      </c>
      <c r="F166" s="250">
        <f>E140</f>
        <v/>
      </c>
      <c r="G166" s="324" t="n"/>
      <c r="H166" s="325" t="n"/>
      <c r="I166" s="325" t="n"/>
      <c r="J166" s="326" t="n"/>
      <c r="K166" s="254">
        <f>SUM(E166:J166)</f>
        <v/>
      </c>
      <c r="L166" s="326" t="n"/>
      <c r="M166" s="254">
        <f>K166*$M$148</f>
        <v/>
      </c>
      <c r="N166" s="254">
        <f>K166*$N$148</f>
        <v/>
      </c>
      <c r="O166" s="254">
        <f>K166*$O$148</f>
        <v/>
      </c>
    </row>
    <row r="167">
      <c r="A167" s="219" t="n">
        <v>3020718</v>
      </c>
      <c r="B167" s="220" t="n"/>
      <c r="C167" s="221" t="n"/>
      <c r="D167" s="249" t="inlineStr">
        <is>
          <t>Testeur</t>
        </is>
      </c>
      <c r="E167" s="250">
        <f>E35*($B$4+$B$42+$B$78)</f>
        <v/>
      </c>
      <c r="F167" s="250">
        <f>E141</f>
        <v/>
      </c>
      <c r="G167" s="324" t="n"/>
      <c r="H167" s="325" t="n"/>
      <c r="I167" s="325" t="n"/>
      <c r="J167" s="326" t="n"/>
      <c r="K167" s="254">
        <f>SUM(E167:J167)</f>
        <v/>
      </c>
      <c r="L167" s="326" t="n"/>
      <c r="M167" s="254">
        <f>K167*$M$148</f>
        <v/>
      </c>
      <c r="N167" s="254">
        <f>K167*$N$148</f>
        <v/>
      </c>
      <c r="O167" s="254">
        <f>K167*$O$148</f>
        <v/>
      </c>
    </row>
    <row r="168" ht="15.75" customHeight="1" s="267" thickBot="1">
      <c r="A168" s="219" t="inlineStr">
        <is>
          <t>SR REGE RETAIL 1</t>
        </is>
      </c>
      <c r="B168" s="220" t="n"/>
      <c r="C168" s="221" t="n"/>
      <c r="D168" s="249" t="inlineStr">
        <is>
          <t>PLV</t>
        </is>
      </c>
      <c r="E168" s="251">
        <f>E36*($B$4+$B$42+$B$78)</f>
        <v/>
      </c>
      <c r="F168" s="251">
        <f>E142</f>
        <v/>
      </c>
      <c r="G168" s="327" t="n"/>
      <c r="H168" s="328" t="n"/>
      <c r="I168" s="328" t="n"/>
      <c r="J168" s="329" t="n"/>
      <c r="K168" s="255">
        <f>SUM(E168:J168)</f>
        <v/>
      </c>
      <c r="L168" s="329" t="n"/>
      <c r="M168" s="255">
        <f>K168*$M$148</f>
        <v/>
      </c>
      <c r="N168" s="255">
        <f>K168*$N$148</f>
        <v/>
      </c>
      <c r="O168" s="255">
        <f>K168*$O$148</f>
        <v/>
      </c>
    </row>
    <row r="169">
      <c r="M169" t="inlineStr">
        <is>
          <t>M1 = Mois avant le début de la campagne</t>
        </is>
      </c>
    </row>
    <row r="170">
      <c r="M170" t="inlineStr">
        <is>
          <t>M2 =Mois de la campagne</t>
        </is>
      </c>
    </row>
    <row r="171">
      <c r="M171" t="inlineStr">
        <is>
          <t>M3= 2 mois après le début de la campagne</t>
        </is>
      </c>
    </row>
  </sheetData>
  <mergeCells count="27">
    <mergeCell ref="S46:T46"/>
    <mergeCell ref="U46:V46"/>
    <mergeCell ref="M6:R6"/>
    <mergeCell ref="Q8:R8"/>
    <mergeCell ref="S8:T8"/>
    <mergeCell ref="M82:N82"/>
    <mergeCell ref="M80:R80"/>
    <mergeCell ref="Q82:R82"/>
    <mergeCell ref="S82:T82"/>
    <mergeCell ref="Y82:Z82"/>
    <mergeCell ref="A146:O146"/>
    <mergeCell ref="S114:X114"/>
    <mergeCell ref="M46:N46"/>
    <mergeCell ref="O46:P46"/>
    <mergeCell ref="Q46:R46"/>
    <mergeCell ref="W46:X46"/>
    <mergeCell ref="Y46:Z46"/>
    <mergeCell ref="M8:N8"/>
    <mergeCell ref="O8:P8"/>
    <mergeCell ref="U8:V8"/>
    <mergeCell ref="W8:X8"/>
    <mergeCell ref="M44:R44"/>
    <mergeCell ref="O82:P82"/>
    <mergeCell ref="U82:V82"/>
    <mergeCell ref="W82:X82"/>
    <mergeCell ref="Y114:AD114"/>
    <mergeCell ref="Y8:Z8"/>
  </mergeCells>
  <conditionalFormatting sqref="B17:C36 J17:L36">
    <cfRule type="cellIs" priority="183" operator="equal" dxfId="0">
      <formula>"Non trouvé"</formula>
    </cfRule>
  </conditionalFormatting>
  <conditionalFormatting sqref="F17:G36">
    <cfRule type="cellIs" priority="182" operator="equal" dxfId="0">
      <formula>"Non trouvé"</formula>
    </cfRule>
  </conditionalFormatting>
  <conditionalFormatting sqref="M17:M36">
    <cfRule type="cellIs" priority="148" operator="equal" dxfId="0">
      <formula>"Non trouvé"</formula>
    </cfRule>
  </conditionalFormatting>
  <conditionalFormatting sqref="O17:O36">
    <cfRule type="cellIs" priority="147" operator="equal" dxfId="0">
      <formula>"Non trouvé"</formula>
    </cfRule>
  </conditionalFormatting>
  <conditionalFormatting sqref="S17:S36">
    <cfRule type="cellIs" priority="144" operator="equal" dxfId="0">
      <formula>"Non trouvé"</formula>
    </cfRule>
  </conditionalFormatting>
  <conditionalFormatting sqref="U17:U36">
    <cfRule type="cellIs" priority="143" operator="equal" dxfId="0">
      <formula>"Non trouvé"</formula>
    </cfRule>
  </conditionalFormatting>
  <conditionalFormatting sqref="W17:W36">
    <cfRule type="cellIs" priority="142" operator="equal" dxfId="0">
      <formula>"Non trouvé"</formula>
    </cfRule>
  </conditionalFormatting>
  <conditionalFormatting sqref="Y17:Y36">
    <cfRule type="cellIs" priority="141" operator="equal" dxfId="0">
      <formula>"Non trouvé"</formula>
    </cfRule>
  </conditionalFormatting>
  <conditionalFormatting sqref="Q17:Q36">
    <cfRule type="cellIs" priority="31" operator="equal" dxfId="0">
      <formula>"Non trouvé"</formula>
    </cfRule>
  </conditionalFormatting>
  <conditionalFormatting sqref="B55:C74 J55:L74">
    <cfRule type="cellIs" priority="30" operator="equal" dxfId="0">
      <formula>"Non trouvé"</formula>
    </cfRule>
  </conditionalFormatting>
  <conditionalFormatting sqref="F55:G74">
    <cfRule type="cellIs" priority="29" operator="equal" dxfId="0">
      <formula>"Non trouvé"</formula>
    </cfRule>
  </conditionalFormatting>
  <conditionalFormatting sqref="M55:M74">
    <cfRule type="cellIs" priority="28" operator="equal" dxfId="0">
      <formula>"Non trouvé"</formula>
    </cfRule>
  </conditionalFormatting>
  <conditionalFormatting sqref="O55:O74">
    <cfRule type="cellIs" priority="27" operator="equal" dxfId="0">
      <formula>"Non trouvé"</formula>
    </cfRule>
  </conditionalFormatting>
  <conditionalFormatting sqref="S55:S74">
    <cfRule type="cellIs" priority="26" operator="equal" dxfId="0">
      <formula>"Non trouvé"</formula>
    </cfRule>
  </conditionalFormatting>
  <conditionalFormatting sqref="U55:U74">
    <cfRule type="cellIs" priority="25" operator="equal" dxfId="0">
      <formula>"Non trouvé"</formula>
    </cfRule>
  </conditionalFormatting>
  <conditionalFormatting sqref="W55:W74">
    <cfRule type="cellIs" priority="24" operator="equal" dxfId="0">
      <formula>"Non trouvé"</formula>
    </cfRule>
  </conditionalFormatting>
  <conditionalFormatting sqref="Y55:Y74">
    <cfRule type="cellIs" priority="23" operator="equal" dxfId="0">
      <formula>"Non trouvé"</formula>
    </cfRule>
  </conditionalFormatting>
  <conditionalFormatting sqref="Q55:Q74">
    <cfRule type="cellIs" priority="22" operator="equal" dxfId="0">
      <formula>"Non trouvé"</formula>
    </cfRule>
  </conditionalFormatting>
  <conditionalFormatting sqref="B91:C110 J91:L110">
    <cfRule type="cellIs" priority="21" operator="equal" dxfId="0">
      <formula>"Non trouvé"</formula>
    </cfRule>
  </conditionalFormatting>
  <conditionalFormatting sqref="F91:G110">
    <cfRule type="cellIs" priority="20" operator="equal" dxfId="0">
      <formula>"Non trouvé"</formula>
    </cfRule>
  </conditionalFormatting>
  <conditionalFormatting sqref="M91:M110">
    <cfRule type="cellIs" priority="19" operator="equal" dxfId="0">
      <formula>"Non trouvé"</formula>
    </cfRule>
  </conditionalFormatting>
  <conditionalFormatting sqref="O91:O110">
    <cfRule type="cellIs" priority="18" operator="equal" dxfId="0">
      <formula>"Non trouvé"</formula>
    </cfRule>
  </conditionalFormatting>
  <conditionalFormatting sqref="S91:S110">
    <cfRule type="cellIs" priority="17" operator="equal" dxfId="0">
      <formula>"Non trouvé"</formula>
    </cfRule>
  </conditionalFormatting>
  <conditionalFormatting sqref="U91:U110">
    <cfRule type="cellIs" priority="16" operator="equal" dxfId="0">
      <formula>"Non trouvé"</formula>
    </cfRule>
  </conditionalFormatting>
  <conditionalFormatting sqref="W91:W110">
    <cfRule type="cellIs" priority="15" operator="equal" dxfId="0">
      <formula>"Non trouvé"</formula>
    </cfRule>
  </conditionalFormatting>
  <conditionalFormatting sqref="Y91:Y110">
    <cfRule type="cellIs" priority="14" operator="equal" dxfId="0">
      <formula>"Non trouvé"</formula>
    </cfRule>
  </conditionalFormatting>
  <conditionalFormatting sqref="Q91:Q110">
    <cfRule type="cellIs" priority="13" operator="equal" dxfId="0">
      <formula>"Non trouvé"</formula>
    </cfRule>
  </conditionalFormatting>
  <conditionalFormatting sqref="N123:N142">
    <cfRule type="cellIs" priority="12" operator="equal" dxfId="0">
      <formula>"Non trouvé"</formula>
    </cfRule>
  </conditionalFormatting>
  <conditionalFormatting sqref="Q123:Q142">
    <cfRule type="cellIs" priority="11" operator="equal" dxfId="0">
      <formula>"Non trouvé"</formula>
    </cfRule>
  </conditionalFormatting>
  <conditionalFormatting sqref="T123:T142">
    <cfRule type="cellIs" priority="10" operator="equal" dxfId="0">
      <formula>"Non trouvé"</formula>
    </cfRule>
  </conditionalFormatting>
  <conditionalFormatting sqref="W123:W142">
    <cfRule type="cellIs" priority="7" operator="equal" dxfId="0">
      <formula>"Non trouvé"</formula>
    </cfRule>
  </conditionalFormatting>
  <conditionalFormatting sqref="Z123:Z142">
    <cfRule type="cellIs" priority="6" operator="equal" dxfId="0">
      <formula>"Non trouvé"</formula>
    </cfRule>
  </conditionalFormatting>
  <conditionalFormatting sqref="B123:C142 J123:L142">
    <cfRule type="cellIs" priority="5" operator="equal" dxfId="0">
      <formula>"Non trouvé"</formula>
    </cfRule>
  </conditionalFormatting>
  <conditionalFormatting sqref="F123:F142">
    <cfRule type="cellIs" priority="4" operator="equal" dxfId="0">
      <formula>"Non trouvé"</formula>
    </cfRule>
  </conditionalFormatting>
  <conditionalFormatting sqref="AC123:AC142">
    <cfRule type="cellIs" priority="3" operator="equal" dxfId="0">
      <formula>"Non trouvé"</formula>
    </cfRule>
  </conditionalFormatting>
  <conditionalFormatting sqref="B149:C168">
    <cfRule type="cellIs" priority="2" operator="equal" dxfId="0">
      <formula>"Non trouvé"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Sissi Giraud</dc:creator>
  <dcterms:created xmlns:dcterms="http://purl.org/dc/terms/" xmlns:xsi="http://www.w3.org/2001/XMLSchema-instance" xsi:type="dcterms:W3CDTF">2026-06-19T13:39:57Z</dcterms:created>
  <dcterms:modified xmlns:dcterms="http://purl.org/dc/terms/" xmlns:xsi="http://www.w3.org/2001/XMLSchema-instance" xsi:type="dcterms:W3CDTF">2026-06-24T12:20:53Z</dcterms:modified>
  <cp:lastModifiedBy>Sissi Giraud</cp:lastModifiedBy>
</cp:coreProperties>
</file>