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960" windowWidth="29040" windowHeight="15720" tabRatio="600" firstSheet="0" activeTab="2" autoFilterDateGrouping="1"/>
  </bookViews>
  <sheets>
    <sheet xmlns:r="http://schemas.openxmlformats.org/officeDocument/2006/relationships" name="REGENERANTS" sheetId="1" state="visible" r:id="rId1"/>
    <sheet xmlns:r="http://schemas.openxmlformats.org/officeDocument/2006/relationships" name="Fiche paramètrage" sheetId="2" state="visible" r:id="rId2"/>
    <sheet xmlns:r="http://schemas.openxmlformats.org/officeDocument/2006/relationships" name="Proposition templ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12">
    <numFmt numFmtId="164" formatCode="#,##0;(#,##0);&quot; - &quot;"/>
    <numFmt numFmtId="165" formatCode="0.0%"/>
    <numFmt numFmtId="166" formatCode="#,##0.0;(#,##0.0);&quot; - &quot;"/>
    <numFmt numFmtId="167" formatCode="#,##0.0%;(#,##0.0)%;&quot; - &quot;"/>
    <numFmt numFmtId="168" formatCode="#,##0.00;(#,##0.00);&quot; - &quot;"/>
    <numFmt numFmtId="169" formatCode="#,##0.0_);(#,##0.0)"/>
    <numFmt numFmtId="170" formatCode="#,##0.000;(#,##0.000);&quot; - &quot;"/>
    <numFmt numFmtId="171" formatCode="#,##0.0 &quot;€&quot;;(#,##0.0) &quot;€&quot;;&quot; - &quot;"/>
    <numFmt numFmtId="172" formatCode="#,##0;\(#,##0\);&quot; - &quot;"/>
    <numFmt numFmtId="173" formatCode="#,##0.0;\(#,##0.0\);&quot; - &quot;"/>
    <numFmt numFmtId="174" formatCode="#,##0.0%;\(#,##0.0\)%;&quot; - &quot;"/>
    <numFmt numFmtId="175" formatCode="#,##0.00;\(#,##0.00\);&quot; - &quot;"/>
  </numFmts>
  <fonts count="24">
    <font>
      <name val="Calibri"/>
      <family val="2"/>
      <color theme="1"/>
      <sz val="11"/>
      <scheme val="minor"/>
    </font>
    <font>
      <name val="Viacultura-Normal"/>
      <color rgb="FF354A5D"/>
      <sz val="10"/>
    </font>
    <font>
      <name val="Viacultura-Normal"/>
      <b val="1"/>
      <color rgb="FFA6A6A6"/>
      <sz val="10"/>
    </font>
    <font>
      <name val="Viacultura-Normal"/>
      <b val="1"/>
      <color rgb="FF354A5D"/>
      <sz val="10"/>
    </font>
    <font>
      <name val="Calibri"/>
      <family val="2"/>
      <color theme="10"/>
      <sz val="11"/>
      <u val="single"/>
      <scheme val="minor"/>
    </font>
    <font>
      <name val="Viacultura-Normal"/>
      <b val="1"/>
      <color theme="0"/>
      <sz val="10"/>
    </font>
    <font>
      <name val="Viacultura-Normal"/>
      <color theme="0"/>
      <sz val="10"/>
    </font>
    <font>
      <name val="Viacultura-Normal"/>
      <b val="1"/>
      <color theme="7"/>
      <sz val="10"/>
    </font>
    <font>
      <name val="Viacultura-Normal"/>
      <b val="1"/>
      <color theme="8"/>
      <sz val="10"/>
    </font>
    <font>
      <name val="Viacultura-Normal"/>
      <b val="1"/>
      <color theme="6"/>
      <sz val="10"/>
    </font>
    <font>
      <name val="Viacultura-Normal"/>
      <b val="1"/>
      <color rgb="FFC00000"/>
      <sz val="10"/>
    </font>
    <font>
      <name val="Viacultura-Normal"/>
      <b val="1"/>
      <color theme="3"/>
      <sz val="10"/>
    </font>
    <font>
      <name val="Viacultura-Normal"/>
      <color rgb="FF354A5D"/>
      <sz val="12"/>
    </font>
    <font>
      <name val="Viacultura-Normal"/>
      <b val="1"/>
      <i val="1"/>
      <color rgb="FF354A5D"/>
      <sz val="10"/>
    </font>
    <font>
      <name val="Viacultura-Normal"/>
      <b val="1"/>
      <color rgb="FF354A5D"/>
      <sz val="11"/>
    </font>
    <font>
      <name val="Viacultura-Normal"/>
      <color rgb="FF00B050"/>
      <sz val="10"/>
    </font>
    <font>
      <name val="Viacultura-Normal"/>
      <i val="1"/>
      <color rgb="FF354A5D"/>
      <sz val="10"/>
    </font>
    <font>
      <name val="Viacultura-Normal"/>
      <i val="1"/>
      <color theme="0" tint="-0.249977111117893"/>
      <sz val="10"/>
    </font>
    <font>
      <name val="Viacultura-Normal"/>
      <color theme="1"/>
      <sz val="10"/>
    </font>
    <font>
      <name val="Viacultura-Normal"/>
      <color theme="1"/>
      <sz val="11"/>
    </font>
    <font>
      <name val="Viacultura-Normal"/>
      <color theme="9" tint="-0.249977111117893"/>
      <sz val="11"/>
    </font>
    <font>
      <name val="Viacultura-Normal"/>
      <color theme="9" tint="-0.249977111117893"/>
      <sz val="10"/>
    </font>
    <font>
      <name val="Viacultura-Normal"/>
      <b val="1"/>
      <i val="1"/>
      <color theme="0" tint="-0.249977111117893"/>
      <sz val="10"/>
    </font>
    <font>
      <name val="Viacultura-Normal"/>
      <b val="1"/>
      <sz val="10"/>
    </font>
  </fonts>
  <fills count="2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CD9E1"/>
        <bgColor indexed="64"/>
      </patternFill>
    </fill>
    <fill>
      <patternFill patternType="solid">
        <fgColor rgb="FFCAF6DB"/>
        <bgColor indexed="64"/>
      </patternFill>
    </fill>
    <fill>
      <patternFill patternType="solid">
        <fgColor rgb="FFFFEBD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838CF"/>
        <bgColor indexed="64"/>
      </patternFill>
    </fill>
    <fill>
      <patternFill patternType="solid">
        <fgColor rgb="FF7B39E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2A2E8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354A5D"/>
      </bottom>
      <diagonal/>
    </border>
    <border>
      <left style="thin">
        <color rgb="FFC43E67"/>
      </left>
      <right/>
      <top style="thin">
        <color rgb="FFC43E67"/>
      </top>
      <bottom/>
      <diagonal/>
    </border>
    <border>
      <left/>
      <right/>
      <top style="thin">
        <color rgb="FFC43E67"/>
      </top>
      <bottom/>
      <diagonal/>
    </border>
    <border>
      <left/>
      <right style="thin">
        <color rgb="FFC43E67"/>
      </right>
      <top style="thin">
        <color rgb="FFC43E67"/>
      </top>
      <bottom/>
      <diagonal/>
    </border>
    <border>
      <left style="thin">
        <color rgb="FFC43E67"/>
      </left>
      <right/>
      <top/>
      <bottom/>
      <diagonal/>
    </border>
    <border>
      <left/>
      <right style="thin">
        <color rgb="FFC43E67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/>
      </bottom>
      <diagonal/>
    </border>
    <border>
      <left style="hair">
        <color rgb="FF354A5D"/>
      </left>
      <right style="hair">
        <color rgb="FF354A5D"/>
      </right>
      <top style="hair">
        <color rgb="FF354A5D"/>
      </top>
      <bottom style="hair">
        <color rgb="FF354A5D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thin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thin">
        <color theme="3"/>
      </left>
      <right style="thin">
        <color theme="3"/>
      </right>
      <top style="hair">
        <color theme="3"/>
      </top>
      <bottom/>
      <diagonal/>
    </border>
    <border>
      <left style="thin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/>
      <diagonal/>
    </border>
    <border>
      <left style="hair">
        <color theme="3"/>
      </left>
      <right style="thin">
        <color indexed="64"/>
      </right>
      <top style="hair">
        <color theme="3"/>
      </top>
      <bottom/>
      <diagonal/>
    </border>
    <border>
      <left/>
      <right style="hair">
        <color theme="3"/>
      </right>
      <top style="hair">
        <color theme="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thin">
        <color indexed="64"/>
      </right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354A5D"/>
      </bottom>
      <diagonal/>
    </border>
    <border>
      <left/>
      <right style="medium">
        <color indexed="64"/>
      </right>
      <top/>
      <bottom style="medium">
        <color rgb="FF354A5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/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/>
      <top style="hair">
        <color theme="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1" fillId="0" borderId="0" pivotButton="0" quotePrefix="0" xfId="0"/>
    <xf numFmtId="0" fontId="1" fillId="0" borderId="0" applyProtection="1" pivotButton="0" quotePrefix="0" xfId="0">
      <protection locked="0" hidden="0"/>
    </xf>
    <xf numFmtId="1" fontId="1" fillId="2" borderId="0" pivotButton="0" quotePrefix="0" xfId="0"/>
    <xf numFmtId="1" fontId="1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right"/>
    </xf>
    <xf numFmtId="0" fontId="1" fillId="3" borderId="0" applyProtection="1" pivotButton="0" quotePrefix="0" xfId="0">
      <protection locked="0" hidden="0"/>
    </xf>
    <xf numFmtId="0" fontId="2" fillId="4" borderId="1" applyAlignment="1" pivotButton="0" quotePrefix="0" xfId="0">
      <alignment horizontal="left" indent="1"/>
    </xf>
    <xf numFmtId="0" fontId="1" fillId="3" borderId="0" applyAlignment="1" pivotButton="0" quotePrefix="0" xfId="0">
      <alignment horizontal="center"/>
    </xf>
    <xf numFmtId="0" fontId="3" fillId="4" borderId="2" applyAlignment="1" pivotButton="0" quotePrefix="0" xfId="0">
      <alignment horizontal="left" indent="1"/>
    </xf>
    <xf numFmtId="164" fontId="1" fillId="3" borderId="0" pivotButton="0" quotePrefix="0" xfId="0"/>
    <xf numFmtId="0" fontId="4" fillId="4" borderId="3" applyAlignment="1" pivotButton="0" quotePrefix="0" xfId="0">
      <alignment horizontal="left" indent="1"/>
    </xf>
    <xf numFmtId="0" fontId="1" fillId="3" borderId="4" pivotButton="0" quotePrefix="0" xfId="0"/>
    <xf numFmtId="0" fontId="1" fillId="3" borderId="4" applyAlignment="1" pivotButton="0" quotePrefix="0" xfId="0">
      <alignment horizontal="right"/>
    </xf>
    <xf numFmtId="1" fontId="1" fillId="3" borderId="4" pivotButton="0" quotePrefix="0" xfId="0"/>
    <xf numFmtId="0" fontId="1" fillId="3" borderId="4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165" fontId="1" fillId="0" borderId="0" pivotButton="0" quotePrefix="0" xfId="0"/>
    <xf numFmtId="0" fontId="5" fillId="5" borderId="0" applyAlignment="1" pivotButton="0" quotePrefix="0" xfId="0">
      <alignment horizontal="left" indent="2"/>
    </xf>
    <xf numFmtId="0" fontId="1" fillId="5" borderId="0" pivotButton="0" quotePrefix="0" xfId="0"/>
    <xf numFmtId="0" fontId="1" fillId="5" borderId="0" applyAlignment="1" pivotButton="0" quotePrefix="0" xfId="0">
      <alignment horizontal="right"/>
    </xf>
    <xf numFmtId="0" fontId="6" fillId="5" borderId="0" pivotButton="0" quotePrefix="0" xfId="0"/>
    <xf numFmtId="9" fontId="1" fillId="0" borderId="0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5" fillId="6" borderId="0" applyAlignment="1" pivotButton="0" quotePrefix="0" xfId="0">
      <alignment horizontal="centerContinuous" vertical="center"/>
    </xf>
    <xf numFmtId="0" fontId="5" fillId="7" borderId="0" applyAlignment="1" pivotButton="0" quotePrefix="0" xfId="0">
      <alignment horizontal="centerContinuous" vertical="center"/>
    </xf>
    <xf numFmtId="0" fontId="5" fillId="8" borderId="0" applyAlignment="1" pivotButton="0" quotePrefix="0" xfId="0">
      <alignment horizontal="centerContinuous" vertical="center"/>
    </xf>
    <xf numFmtId="0" fontId="1" fillId="4" borderId="8" pivotButton="0" quotePrefix="0" xfId="0"/>
    <xf numFmtId="0" fontId="5" fillId="9" borderId="0" applyAlignment="1" pivotButton="0" quotePrefix="0" xfId="0">
      <alignment horizontal="centerContinuous" vertical="center"/>
    </xf>
    <xf numFmtId="0" fontId="1" fillId="4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4" borderId="0" pivotButton="0" quotePrefix="0" xfId="0"/>
    <xf numFmtId="0" fontId="1" fillId="0" borderId="13" pivotButton="0" quotePrefix="0" xfId="0"/>
    <xf numFmtId="0" fontId="1" fillId="0" borderId="14" pivotButton="0" quotePrefix="0" xfId="0"/>
    <xf numFmtId="0" fontId="7" fillId="10" borderId="0" applyAlignment="1" pivotButton="0" quotePrefix="0" xfId="0">
      <alignment horizontal="centerContinuous" vertical="center"/>
    </xf>
    <xf numFmtId="0" fontId="8" fillId="11" borderId="0" applyAlignment="1" pivotButton="0" quotePrefix="0" xfId="0">
      <alignment horizontal="centerContinuous" vertical="center"/>
    </xf>
    <xf numFmtId="0" fontId="9" fillId="12" borderId="0" applyAlignment="1" pivotButton="0" quotePrefix="0" xfId="0">
      <alignment horizontal="centerContinuous" vertical="center"/>
    </xf>
    <xf numFmtId="0" fontId="10" fillId="13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wrapText="1"/>
    </xf>
    <xf numFmtId="0" fontId="1" fillId="4" borderId="8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1" fillId="4" borderId="9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4" borderId="0" applyAlignment="1" pivotButton="0" quotePrefix="0" xfId="0">
      <alignment vertical="top"/>
    </xf>
    <xf numFmtId="0" fontId="11" fillId="15" borderId="0" applyAlignment="1" applyProtection="1" pivotButton="0" quotePrefix="0" xfId="0">
      <alignment horizontal="center" vertical="center"/>
      <protection locked="0" hidden="0"/>
    </xf>
    <xf numFmtId="0" fontId="11" fillId="10" borderId="0" applyAlignment="1" applyProtection="1" pivotButton="0" quotePrefix="0" xfId="0">
      <alignment horizontal="center" vertical="center"/>
      <protection locked="0" hidden="0"/>
    </xf>
    <xf numFmtId="0" fontId="11" fillId="11" borderId="0" applyAlignment="1" applyProtection="1" pivotButton="0" quotePrefix="0" xfId="0">
      <alignment horizontal="center" vertical="center"/>
      <protection locked="0" hidden="0"/>
    </xf>
    <xf numFmtId="0" fontId="11" fillId="16" borderId="0" applyAlignment="1" applyProtection="1" pivotButton="0" quotePrefix="0" xfId="0">
      <alignment horizontal="center" vertical="center"/>
      <protection locked="0" hidden="0"/>
    </xf>
    <xf numFmtId="0" fontId="11" fillId="17" borderId="0" applyAlignment="1" applyProtection="1" pivotButton="0" quotePrefix="0" xfId="0">
      <alignment horizontal="center" vertical="center"/>
      <protection locked="0" hidden="0"/>
    </xf>
    <xf numFmtId="0" fontId="11" fillId="18" borderId="0" applyAlignment="1" applyProtection="1" pivotButton="0" quotePrefix="0" xfId="0">
      <alignment horizontal="center" vertical="center"/>
      <protection locked="0" hidden="0"/>
    </xf>
    <xf numFmtId="0" fontId="1" fillId="0" borderId="13" applyAlignment="1" pivotButton="0" quotePrefix="0" xfId="0">
      <alignment wrapText="1"/>
    </xf>
    <xf numFmtId="0" fontId="12" fillId="0" borderId="15" applyAlignment="1" pivotButton="0" quotePrefix="0" xfId="0">
      <alignment horizontal="center" wrapText="1"/>
    </xf>
    <xf numFmtId="0" fontId="12" fillId="12" borderId="15" applyAlignment="1" pivotButton="0" quotePrefix="0" xfId="0">
      <alignment horizontal="center" wrapText="1"/>
    </xf>
    <xf numFmtId="0" fontId="1" fillId="0" borderId="14" applyAlignment="1" pivotButton="0" quotePrefix="0" xfId="0">
      <alignment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12" borderId="16" pivotButton="0" quotePrefix="0" xfId="0"/>
    <xf numFmtId="0" fontId="3" fillId="12" borderId="16" applyAlignment="1" pivotButton="0" quotePrefix="0" xfId="0">
      <alignment horizontal="right"/>
    </xf>
    <xf numFmtId="164" fontId="3" fillId="12" borderId="16" applyAlignment="1" pivotButton="0" quotePrefix="0" xfId="0">
      <alignment horizontal="right" vertical="center"/>
    </xf>
    <xf numFmtId="166" fontId="3" fillId="12" borderId="16" applyAlignment="1" pivotButton="0" quotePrefix="0" xfId="0">
      <alignment horizontal="right" vertical="center"/>
    </xf>
    <xf numFmtId="167" fontId="13" fillId="12" borderId="16" applyAlignment="1" pivotButton="0" quotePrefix="0" xfId="0">
      <alignment horizontal="right" vertical="center"/>
    </xf>
    <xf numFmtId="166" fontId="3" fillId="12" borderId="0" applyAlignment="1" pivotButton="0" quotePrefix="0" xfId="0">
      <alignment horizontal="right" vertical="center"/>
    </xf>
    <xf numFmtId="164" fontId="3" fillId="2" borderId="16" applyAlignment="1" pivotButton="0" quotePrefix="0" xfId="0">
      <alignment horizontal="right" vertical="center"/>
    </xf>
    <xf numFmtId="9" fontId="3" fillId="12" borderId="16" pivotButton="0" quotePrefix="0" xfId="0"/>
    <xf numFmtId="0" fontId="3" fillId="4" borderId="8" pivotButton="0" quotePrefix="0" xfId="0"/>
    <xf numFmtId="167" fontId="13" fillId="4" borderId="16" applyAlignment="1" pivotButton="0" quotePrefix="0" xfId="0">
      <alignment horizontal="right" vertical="center"/>
    </xf>
    <xf numFmtId="0" fontId="3" fillId="4" borderId="9" pivotButton="0" quotePrefix="0" xfId="0"/>
    <xf numFmtId="1" fontId="3" fillId="0" borderId="0" pivotButton="0" quotePrefix="0" xfId="0"/>
    <xf numFmtId="166" fontId="1" fillId="0" borderId="0" applyAlignment="1" pivotButton="0" quotePrefix="0" xfId="0">
      <alignment horizontal="right" vertical="center"/>
    </xf>
    <xf numFmtId="0" fontId="3" fillId="0" borderId="17" applyAlignment="1" pivotButton="0" quotePrefix="0" xfId="0">
      <alignment horizontal="center" wrapText="1"/>
    </xf>
    <xf numFmtId="0" fontId="3" fillId="0" borderId="17" applyAlignment="1" applyProtection="1" pivotButton="0" quotePrefix="0" xfId="0">
      <alignment horizontal="center" wrapText="1"/>
      <protection locked="0" hidden="0"/>
    </xf>
    <xf numFmtId="0" fontId="3" fillId="0" borderId="13" pivotButton="0" quotePrefix="0" xfId="0"/>
    <xf numFmtId="0" fontId="14" fillId="0" borderId="0" applyAlignment="1" pivotButton="0" quotePrefix="0" xfId="0">
      <alignment horizontal="center"/>
    </xf>
    <xf numFmtId="0" fontId="3" fillId="0" borderId="14" pivotButton="0" quotePrefix="0" xfId="0"/>
    <xf numFmtId="0" fontId="15" fillId="0" borderId="0" pivotButton="0" quotePrefix="0" xfId="0"/>
    <xf numFmtId="0" fontId="1" fillId="2" borderId="0" pivotButton="0" quotePrefix="0" xfId="0"/>
    <xf numFmtId="0" fontId="1" fillId="2" borderId="18" applyAlignment="1" pivotButton="0" quotePrefix="0" xfId="0">
      <alignment horizontal="left"/>
    </xf>
    <xf numFmtId="0" fontId="1" fillId="0" borderId="0" applyAlignment="1" pivotButton="0" quotePrefix="0" xfId="0">
      <alignment horizontal="left" indent="1"/>
    </xf>
    <xf numFmtId="1" fontId="1" fillId="0" borderId="0" applyAlignment="1" pivotButton="0" quotePrefix="0" xfId="0">
      <alignment horizontal="right" vertical="center"/>
    </xf>
    <xf numFmtId="164" fontId="1" fillId="2" borderId="19" applyAlignment="1" pivotButton="0" quotePrefix="0" xfId="0">
      <alignment horizontal="center" vertical="center"/>
    </xf>
    <xf numFmtId="166" fontId="1" fillId="2" borderId="19" applyAlignment="1" pivotButton="0" quotePrefix="0" xfId="0">
      <alignment horizontal="right" vertical="center"/>
    </xf>
    <xf numFmtId="168" fontId="1" fillId="0" borderId="19" applyAlignment="1" pivotButton="0" quotePrefix="0" xfId="0">
      <alignment horizontal="right" vertical="center"/>
    </xf>
    <xf numFmtId="168" fontId="1" fillId="0" borderId="0" pivotButton="0" quotePrefix="0" xfId="0"/>
    <xf numFmtId="167" fontId="16" fillId="2" borderId="19" applyAlignment="1" pivotButton="0" quotePrefix="0" xfId="0">
      <alignment horizontal="right" vertical="center"/>
    </xf>
    <xf numFmtId="168" fontId="1" fillId="0" borderId="0" applyAlignment="1" pivotButton="0" quotePrefix="0" xfId="0">
      <alignment horizontal="right" vertical="center"/>
    </xf>
    <xf numFmtId="9" fontId="6" fillId="0" borderId="0" pivotButton="0" quotePrefix="0" xfId="0"/>
    <xf numFmtId="0" fontId="1" fillId="12" borderId="20" pivotButton="0" quotePrefix="0" xfId="0"/>
    <xf numFmtId="9" fontId="6" fillId="12" borderId="0" pivotButton="0" quotePrefix="0" xfId="0"/>
    <xf numFmtId="0" fontId="1" fillId="12" borderId="0" pivotButton="0" quotePrefix="0" xfId="0"/>
    <xf numFmtId="0" fontId="1" fillId="12" borderId="21" pivotButton="0" quotePrefix="0" xfId="0"/>
    <xf numFmtId="1" fontId="17" fillId="0" borderId="0" pivotButton="0" quotePrefix="0" xfId="0"/>
    <xf numFmtId="164" fontId="1" fillId="2" borderId="22" applyAlignment="1" pivotButton="0" quotePrefix="0" xfId="0">
      <alignment horizontal="right" vertical="center"/>
    </xf>
    <xf numFmtId="164" fontId="1" fillId="2" borderId="19" applyAlignment="1" pivotButton="0" quotePrefix="0" xfId="0">
      <alignment horizontal="right" vertical="center"/>
    </xf>
    <xf numFmtId="164" fontId="1" fillId="2" borderId="23" applyAlignment="1" pivotButton="0" quotePrefix="0" xfId="0">
      <alignment horizontal="right" vertical="center"/>
    </xf>
    <xf numFmtId="164" fontId="1" fillId="2" borderId="24" applyAlignment="1" pivotButton="0" quotePrefix="0" xfId="0">
      <alignment horizontal="right" vertical="center"/>
    </xf>
    <xf numFmtId="164" fontId="1" fillId="2" borderId="19" applyAlignment="1" applyProtection="1" pivotButton="0" quotePrefix="0" xfId="0">
      <alignment horizontal="right" vertical="center"/>
      <protection locked="0" hidden="0"/>
    </xf>
    <xf numFmtId="164" fontId="1" fillId="2" borderId="25" applyAlignment="1" applyProtection="1" pivotButton="0" quotePrefix="0" xfId="0">
      <alignment horizontal="right" vertical="center"/>
      <protection locked="0" hidden="0"/>
    </xf>
    <xf numFmtId="164" fontId="1" fillId="2" borderId="26" applyAlignment="1" applyProtection="1" pivotButton="0" quotePrefix="0" xfId="0">
      <alignment horizontal="right" vertical="center"/>
      <protection locked="0" hidden="0"/>
    </xf>
    <xf numFmtId="164" fontId="1" fillId="2" borderId="27" applyAlignment="1" applyProtection="1" pivotButton="0" quotePrefix="0" xfId="0">
      <alignment horizontal="right" vertical="center"/>
      <protection locked="0" hidden="0"/>
    </xf>
    <xf numFmtId="164" fontId="1" fillId="2" borderId="22" applyAlignment="1" applyProtection="1" pivotButton="0" quotePrefix="0" xfId="0">
      <alignment horizontal="right" vertical="center"/>
      <protection locked="0" hidden="0"/>
    </xf>
    <xf numFmtId="164" fontId="1" fillId="2" borderId="23" applyAlignment="1" applyProtection="1" pivotButton="0" quotePrefix="0" xfId="0">
      <alignment horizontal="right" vertical="center"/>
      <protection locked="0" hidden="0"/>
    </xf>
    <xf numFmtId="164" fontId="18" fillId="2" borderId="19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9" fontId="11" fillId="19" borderId="28" pivotButton="0" quotePrefix="0" xfId="0"/>
    <xf numFmtId="9" fontId="11" fillId="19" borderId="29" applyAlignment="1" pivotButton="0" quotePrefix="0" xfId="0">
      <alignment horizontal="right" indent="1"/>
    </xf>
    <xf numFmtId="166" fontId="3" fillId="15" borderId="30" applyAlignment="1" pivotButton="0" quotePrefix="0" xfId="0">
      <alignment horizontal="center" vertical="center"/>
    </xf>
    <xf numFmtId="169" fontId="1" fillId="0" borderId="0" pivotButton="0" quotePrefix="0" xfId="0"/>
    <xf numFmtId="167" fontId="13" fillId="15" borderId="30" applyAlignment="1" pivotButton="0" quotePrefix="0" xfId="0">
      <alignment horizontal="center" vertical="center"/>
    </xf>
    <xf numFmtId="0" fontId="21" fillId="0" borderId="0" pivotButton="0" quotePrefix="0" xfId="0"/>
    <xf numFmtId="165" fontId="16" fillId="12" borderId="0" pivotButton="0" quotePrefix="0" xfId="0"/>
    <xf numFmtId="0" fontId="1" fillId="0" borderId="31" pivotButton="0" quotePrefix="0" xfId="0"/>
    <xf numFmtId="0" fontId="20" fillId="0" borderId="32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1" fillId="0" borderId="35" pivotButton="0" quotePrefix="0" xfId="0"/>
    <xf numFmtId="0" fontId="1" fillId="0" borderId="36" pivotButton="0" quotePrefix="0" xfId="0"/>
    <xf numFmtId="0" fontId="3" fillId="12" borderId="0" pivotButton="0" quotePrefix="0" xfId="0"/>
    <xf numFmtId="0" fontId="1" fillId="0" borderId="37" pivotButton="0" quotePrefix="0" xfId="0"/>
    <xf numFmtId="0" fontId="1" fillId="0" borderId="38" pivotButton="0" quotePrefix="0" xfId="0"/>
    <xf numFmtId="166" fontId="1" fillId="0" borderId="19" applyAlignment="1" pivotButton="0" quotePrefix="0" xfId="0">
      <alignment horizontal="right" vertical="center"/>
    </xf>
    <xf numFmtId="166" fontId="1" fillId="0" borderId="0" pivotButton="0" quotePrefix="0" xfId="0"/>
    <xf numFmtId="164" fontId="1" fillId="12" borderId="0" pivotButton="0" quotePrefix="0" xfId="0"/>
    <xf numFmtId="164" fontId="1" fillId="1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wrapText="1"/>
    </xf>
    <xf numFmtId="0" fontId="12" fillId="12" borderId="0" applyAlignment="1" pivotButton="0" quotePrefix="0" xfId="0">
      <alignment horizontal="center" wrapText="1"/>
    </xf>
    <xf numFmtId="165" fontId="1" fillId="12" borderId="0" pivotButton="0" quotePrefix="0" xfId="0"/>
    <xf numFmtId="164" fontId="1" fillId="2" borderId="39" applyAlignment="1" applyProtection="1" pivotButton="0" quotePrefix="0" xfId="0">
      <alignment horizontal="right" vertical="center"/>
      <protection locked="0" hidden="0"/>
    </xf>
    <xf numFmtId="164" fontId="1" fillId="2" borderId="40" applyAlignment="1" applyProtection="1" pivotButton="0" quotePrefix="0" xfId="0">
      <alignment horizontal="right" vertical="center"/>
      <protection locked="0" hidden="0"/>
    </xf>
    <xf numFmtId="164" fontId="1" fillId="2" borderId="41" applyAlignment="1" applyProtection="1" pivotButton="0" quotePrefix="0" xfId="0">
      <alignment horizontal="right" vertical="center"/>
      <protection locked="0" hidden="0"/>
    </xf>
    <xf numFmtId="164" fontId="1" fillId="2" borderId="42" applyAlignment="1" applyProtection="1" pivotButton="0" quotePrefix="0" xfId="0">
      <alignment horizontal="right" vertical="center"/>
      <protection locked="0" hidden="0"/>
    </xf>
    <xf numFmtId="0" fontId="1" fillId="0" borderId="37" applyAlignment="1" pivotButton="0" quotePrefix="0" xfId="0">
      <alignment wrapText="1"/>
    </xf>
    <xf numFmtId="0" fontId="1" fillId="0" borderId="38" applyAlignment="1" pivotButton="0" quotePrefix="0" xfId="0">
      <alignment wrapText="1"/>
    </xf>
    <xf numFmtId="0" fontId="3" fillId="0" borderId="37" pivotButton="0" quotePrefix="0" xfId="0"/>
    <xf numFmtId="0" fontId="3" fillId="0" borderId="38" pivotButton="0" quotePrefix="0" xfId="0"/>
    <xf numFmtId="164" fontId="1" fillId="2" borderId="43" applyAlignment="1" pivotButton="0" quotePrefix="0" xfId="0">
      <alignment horizontal="right" vertical="center"/>
    </xf>
    <xf numFmtId="0" fontId="18" fillId="2" borderId="19" applyAlignment="1" pivotButton="0" quotePrefix="0" xfId="0">
      <alignment horizontal="left" vertical="center"/>
    </xf>
    <xf numFmtId="164" fontId="1" fillId="2" borderId="41" applyAlignment="1" pivotButton="0" quotePrefix="0" xfId="0">
      <alignment horizontal="right" vertical="center"/>
    </xf>
    <xf numFmtId="164" fontId="1" fillId="2" borderId="39" applyAlignment="1" pivotButton="0" quotePrefix="0" xfId="0">
      <alignment horizontal="right" vertical="center"/>
    </xf>
    <xf numFmtId="164" fontId="1" fillId="2" borderId="44" applyAlignment="1" pivotButton="0" quotePrefix="0" xfId="0">
      <alignment horizontal="right" vertical="center"/>
    </xf>
    <xf numFmtId="164" fontId="1" fillId="2" borderId="45" applyAlignment="1" applyProtection="1" pivotButton="0" quotePrefix="0" xfId="0">
      <alignment horizontal="right" vertical="center"/>
      <protection locked="0" hidden="0"/>
    </xf>
    <xf numFmtId="164" fontId="1" fillId="2" borderId="46" applyAlignment="1" applyProtection="1" pivotButton="0" quotePrefix="0" xfId="0">
      <alignment horizontal="right" vertical="center"/>
      <protection locked="0" hidden="0"/>
    </xf>
    <xf numFmtId="0" fontId="1" fillId="0" borderId="47" pivotButton="0" quotePrefix="0" xfId="0"/>
    <xf numFmtId="0" fontId="20" fillId="0" borderId="48" pivotButton="0" quotePrefix="0" xfId="0"/>
    <xf numFmtId="0" fontId="1" fillId="0" borderId="48" pivotButton="0" quotePrefix="0" xfId="0"/>
    <xf numFmtId="0" fontId="1" fillId="0" borderId="49" pivotButton="0" quotePrefix="0" xfId="0"/>
    <xf numFmtId="0" fontId="1" fillId="12" borderId="50" pivotButton="0" quotePrefix="0" xfId="0"/>
    <xf numFmtId="0" fontId="1" fillId="12" borderId="51" pivotButton="0" quotePrefix="0" xfId="0"/>
    <xf numFmtId="0" fontId="1" fillId="12" borderId="52" pivotButton="0" quotePrefix="0" xfId="0"/>
    <xf numFmtId="164" fontId="1" fillId="0" borderId="0" applyAlignment="1" pivotButton="0" quotePrefix="0" xfId="0">
      <alignment horizontal="right" vertical="center"/>
    </xf>
    <xf numFmtId="164" fontId="1" fillId="0" borderId="0" applyAlignment="1" applyProtection="1" pivotButton="0" quotePrefix="0" xfId="0">
      <alignment horizontal="right" vertical="center"/>
      <protection locked="0" hidden="0"/>
    </xf>
    <xf numFmtId="1" fontId="17" fillId="0" borderId="0" applyAlignment="1" pivotButton="0" quotePrefix="0" xfId="0">
      <alignment wrapText="1"/>
    </xf>
    <xf numFmtId="0" fontId="3" fillId="0" borderId="4" applyAlignment="1" pivotButton="0" quotePrefix="0" xfId="0">
      <alignment horizontal="right" vertical="center" wrapText="1"/>
    </xf>
    <xf numFmtId="1" fontId="22" fillId="0" borderId="0" pivotButton="0" quotePrefix="0" xfId="0"/>
    <xf numFmtId="170" fontId="1" fillId="0" borderId="19" applyAlignment="1" pivotButton="0" quotePrefix="0" xfId="0">
      <alignment horizontal="right" vertical="center"/>
    </xf>
    <xf numFmtId="164" fontId="1" fillId="2" borderId="53" applyAlignment="1" pivotButton="0" quotePrefix="0" xfId="0">
      <alignment horizontal="right" vertical="center"/>
    </xf>
    <xf numFmtId="164" fontId="1" fillId="2" borderId="54" applyAlignment="1" pivotButton="0" quotePrefix="0" xfId="0">
      <alignment horizontal="right" vertical="center"/>
    </xf>
    <xf numFmtId="164" fontId="1" fillId="2" borderId="55" applyAlignment="1" pivotButton="0" quotePrefix="0" xfId="0">
      <alignment horizontal="right" vertical="center"/>
    </xf>
    <xf numFmtId="164" fontId="1" fillId="2" borderId="56" applyAlignment="1" pivotButton="0" quotePrefix="0" xfId="0">
      <alignment horizontal="right" vertical="center"/>
    </xf>
    <xf numFmtId="164" fontId="1" fillId="2" borderId="56" applyAlignment="1" applyProtection="1" pivotButton="0" quotePrefix="0" xfId="0">
      <alignment horizontal="right" vertical="center"/>
      <protection locked="0" hidden="0"/>
    </xf>
    <xf numFmtId="164" fontId="1" fillId="2" borderId="55" applyAlignment="1" applyProtection="1" pivotButton="0" quotePrefix="0" xfId="0">
      <alignment horizontal="right" vertical="center"/>
      <protection locked="0" hidden="0"/>
    </xf>
    <xf numFmtId="164" fontId="1" fillId="2" borderId="54" applyAlignment="1" applyProtection="1" pivotButton="0" quotePrefix="0" xfId="0">
      <alignment horizontal="right" vertical="center"/>
      <protection locked="0" hidden="0"/>
    </xf>
    <xf numFmtId="164" fontId="1" fillId="2" borderId="27" applyAlignment="1" pivotButton="0" quotePrefix="0" xfId="0">
      <alignment horizontal="right" vertical="center"/>
    </xf>
    <xf numFmtId="164" fontId="1" fillId="2" borderId="26" applyAlignment="1" pivotButton="0" quotePrefix="0" xfId="0">
      <alignment horizontal="right" vertical="center"/>
    </xf>
    <xf numFmtId="164" fontId="1" fillId="2" borderId="45" applyAlignment="1" pivotButton="0" quotePrefix="0" xfId="0">
      <alignment horizontal="right" vertical="center"/>
    </xf>
    <xf numFmtId="164" fontId="1" fillId="2" borderId="46" applyAlignment="1" pivotButton="0" quotePrefix="0" xfId="0">
      <alignment horizontal="right" vertical="center"/>
    </xf>
    <xf numFmtId="164" fontId="1" fillId="12" borderId="51" applyAlignment="1" pivotButton="0" quotePrefix="0" xfId="0">
      <alignment horizontal="right" vertical="center"/>
    </xf>
    <xf numFmtId="0" fontId="1" fillId="0" borderId="0" applyAlignment="1" applyProtection="1" pivotButton="0" quotePrefix="0" xfId="0">
      <alignment wrapText="1"/>
      <protection locked="0" hidden="0"/>
    </xf>
    <xf numFmtId="0" fontId="3" fillId="0" borderId="0" applyProtection="1" pivotButton="0" quotePrefix="0" xfId="0">
      <protection locked="0" hidden="0"/>
    </xf>
    <xf numFmtId="9" fontId="6" fillId="12" borderId="51" pivotButton="0" quotePrefix="0" xfId="0"/>
    <xf numFmtId="0" fontId="0" fillId="0" borderId="57" pivotButton="0" quotePrefix="0" xfId="0"/>
    <xf numFmtId="9" fontId="0" fillId="0" borderId="57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10" borderId="0" pivotButton="0" quotePrefix="0" xfId="0"/>
    <xf numFmtId="0" fontId="0" fillId="21" borderId="0" pivotButton="0" quotePrefix="0" xfId="0"/>
    <xf numFmtId="0" fontId="1" fillId="19" borderId="0" pivotButton="0" quotePrefix="0" xfId="0"/>
    <xf numFmtId="0" fontId="1" fillId="4" borderId="58" pivotButton="0" quotePrefix="0" xfId="0"/>
    <xf numFmtId="0" fontId="1" fillId="4" borderId="59" pivotButton="0" quotePrefix="0" xfId="0"/>
    <xf numFmtId="0" fontId="1" fillId="4" borderId="60" pivotButton="0" quotePrefix="0" xfId="0"/>
    <xf numFmtId="0" fontId="5" fillId="6" borderId="61" applyAlignment="1" pivotButton="0" quotePrefix="0" xfId="0">
      <alignment horizontal="center" vertical="center"/>
    </xf>
    <xf numFmtId="0" fontId="5" fillId="7" borderId="61" applyAlignment="1" pivotButton="0" quotePrefix="0" xfId="0">
      <alignment horizontal="centerContinuous" vertical="center"/>
    </xf>
    <xf numFmtId="0" fontId="5" fillId="7" borderId="62" applyAlignment="1" pivotButton="0" quotePrefix="0" xfId="0">
      <alignment horizontal="centerContinuous" vertical="center"/>
    </xf>
    <xf numFmtId="0" fontId="5" fillId="7" borderId="63" applyAlignment="1" pivotButton="0" quotePrefix="0" xfId="0">
      <alignment horizontal="centerContinuous" vertical="center"/>
    </xf>
    <xf numFmtId="0" fontId="1" fillId="4" borderId="64" pivotButton="0" quotePrefix="0" xfId="0"/>
    <xf numFmtId="0" fontId="1" fillId="0" borderId="58" pivotButton="0" quotePrefix="0" xfId="0"/>
    <xf numFmtId="0" fontId="1" fillId="0" borderId="60" pivotButton="0" quotePrefix="0" xfId="0"/>
    <xf numFmtId="0" fontId="1" fillId="0" borderId="59" pivotButton="0" quotePrefix="0" xfId="0"/>
    <xf numFmtId="0" fontId="1" fillId="0" borderId="65" pivotButton="0" quotePrefix="0" xfId="0"/>
    <xf numFmtId="0" fontId="1" fillId="0" borderId="64" pivotButton="0" quotePrefix="0" xfId="0"/>
    <xf numFmtId="0" fontId="1" fillId="4" borderId="65" pivotButton="0" quotePrefix="0" xfId="0"/>
    <xf numFmtId="0" fontId="7" fillId="10" borderId="65" applyAlignment="1" pivotButton="0" quotePrefix="0" xfId="0">
      <alignment horizontal="center" vertical="center"/>
    </xf>
    <xf numFmtId="0" fontId="8" fillId="11" borderId="65" applyAlignment="1" pivotButton="0" quotePrefix="0" xfId="0">
      <alignment horizontal="center" vertical="center"/>
    </xf>
    <xf numFmtId="0" fontId="1" fillId="0" borderId="65" applyAlignment="1" pivotButton="0" quotePrefix="0" xfId="0">
      <alignment horizontal="left"/>
    </xf>
    <xf numFmtId="9" fontId="11" fillId="19" borderId="6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9" fontId="11" fillId="19" borderId="0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Continuous" vertical="center"/>
    </xf>
    <xf numFmtId="9" fontId="1" fillId="20" borderId="64" applyAlignment="1" pivotButton="0" quotePrefix="0" xfId="0">
      <alignment horizontal="left"/>
    </xf>
    <xf numFmtId="10" fontId="1" fillId="20" borderId="64" applyAlignment="1" pivotButton="0" quotePrefix="0" xfId="0">
      <alignment horizontal="left"/>
    </xf>
    <xf numFmtId="9" fontId="1" fillId="20" borderId="0" applyAlignment="1" pivotButton="0" quotePrefix="0" xfId="0">
      <alignment horizontal="left"/>
    </xf>
    <xf numFmtId="164" fontId="3" fillId="10" borderId="64" applyAlignment="1" pivotButton="0" quotePrefix="0" xfId="0">
      <alignment horizontal="left" vertical="center"/>
    </xf>
    <xf numFmtId="164" fontId="3" fillId="10" borderId="0" applyAlignment="1" pivotButton="0" quotePrefix="0" xfId="0">
      <alignment horizontal="left" vertical="center"/>
    </xf>
    <xf numFmtId="0" fontId="3" fillId="0" borderId="65" applyAlignment="1" pivotButton="0" quotePrefix="0" xfId="0">
      <alignment horizontal="center" wrapText="1"/>
    </xf>
    <xf numFmtId="0" fontId="3" fillId="0" borderId="64" applyAlignment="1" pivotButton="0" quotePrefix="0" xfId="0">
      <alignment horizontal="center" wrapText="1"/>
    </xf>
    <xf numFmtId="0" fontId="1" fillId="4" borderId="65" applyAlignment="1" pivotButton="0" quotePrefix="0" xfId="0">
      <alignment wrapText="1"/>
    </xf>
    <xf numFmtId="0" fontId="1" fillId="4" borderId="64" applyAlignment="1" pivotButton="0" quotePrefix="0" xfId="0">
      <alignment wrapText="1"/>
    </xf>
    <xf numFmtId="0" fontId="3" fillId="0" borderId="66" applyAlignment="1" pivotButton="0" quotePrefix="0" xfId="0">
      <alignment horizontal="center" vertical="center" wrapText="1"/>
    </xf>
    <xf numFmtId="0" fontId="3" fillId="0" borderId="6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64" fontId="3" fillId="19" borderId="16" applyAlignment="1" pivotButton="0" quotePrefix="0" xfId="0">
      <alignment horizontal="right" vertical="center"/>
    </xf>
    <xf numFmtId="171" fontId="3" fillId="10" borderId="70" applyAlignment="1" pivotButton="0" quotePrefix="0" xfId="0">
      <alignment horizontal="right" vertical="center"/>
    </xf>
    <xf numFmtId="171" fontId="13" fillId="10" borderId="71" applyAlignment="1" pivotButton="0" quotePrefix="0" xfId="0">
      <alignment horizontal="right" vertical="center"/>
    </xf>
    <xf numFmtId="171" fontId="3" fillId="10" borderId="16" applyAlignment="1" pivotButton="0" quotePrefix="0" xfId="0">
      <alignment horizontal="right" vertical="center"/>
    </xf>
    <xf numFmtId="171" fontId="13" fillId="10" borderId="16" applyAlignment="1" pivotButton="0" quotePrefix="0" xfId="0">
      <alignment horizontal="right" vertical="center"/>
    </xf>
    <xf numFmtId="0" fontId="3" fillId="4" borderId="65" pivotButton="0" quotePrefix="0" xfId="0"/>
    <xf numFmtId="171" fontId="3" fillId="12" borderId="16" applyAlignment="1" pivotButton="0" quotePrefix="0" xfId="0">
      <alignment horizontal="right" vertical="center"/>
    </xf>
    <xf numFmtId="171" fontId="13" fillId="4" borderId="16" applyAlignment="1" pivotButton="0" quotePrefix="0" xfId="0">
      <alignment horizontal="right" vertical="center"/>
    </xf>
    <xf numFmtId="0" fontId="3" fillId="4" borderId="64" pivotButton="0" quotePrefix="0" xfId="0"/>
    <xf numFmtId="0" fontId="1" fillId="19" borderId="18" applyAlignment="1" pivotButton="0" quotePrefix="0" xfId="0">
      <alignment horizontal="left"/>
    </xf>
    <xf numFmtId="0" fontId="1" fillId="19" borderId="0" applyAlignment="1" pivotButton="0" quotePrefix="0" xfId="0">
      <alignment horizontal="left" indent="1"/>
    </xf>
    <xf numFmtId="1" fontId="1" fillId="19" borderId="0" applyAlignment="1" pivotButton="0" quotePrefix="0" xfId="0">
      <alignment horizontal="right" vertical="center"/>
    </xf>
    <xf numFmtId="164" fontId="1" fillId="19" borderId="19" applyAlignment="1" pivotButton="0" quotePrefix="0" xfId="0">
      <alignment horizontal="center" vertical="center"/>
    </xf>
    <xf numFmtId="166" fontId="3" fillId="19" borderId="19" applyAlignment="1" pivotButton="0" quotePrefix="0" xfId="0">
      <alignment horizontal="right" vertical="center"/>
    </xf>
    <xf numFmtId="168" fontId="1" fillId="20" borderId="19" applyAlignment="1" pivotButton="0" quotePrefix="0" xfId="0">
      <alignment horizontal="right" vertical="center"/>
    </xf>
    <xf numFmtId="2" fontId="1" fillId="10" borderId="19" applyAlignment="1" pivotButton="0" quotePrefix="0" xfId="0">
      <alignment horizontal="right" vertical="center"/>
    </xf>
    <xf numFmtId="167" fontId="16" fillId="22" borderId="19" applyAlignment="1" pivotButton="0" quotePrefix="0" xfId="0">
      <alignment horizontal="right" vertical="center"/>
    </xf>
    <xf numFmtId="168" fontId="1" fillId="10" borderId="19" applyAlignment="1" pivotButton="0" quotePrefix="0" xfId="0">
      <alignment horizontal="right" vertical="center"/>
    </xf>
    <xf numFmtId="168" fontId="1" fillId="10" borderId="72" applyAlignment="1" pivotButton="0" quotePrefix="0" xfId="0">
      <alignment horizontal="right" vertical="center"/>
    </xf>
    <xf numFmtId="171" fontId="1" fillId="10" borderId="73" applyAlignment="1" pivotButton="0" quotePrefix="0" xfId="0">
      <alignment horizontal="right" vertical="center"/>
    </xf>
    <xf numFmtId="171" fontId="1" fillId="0" borderId="64" pivotButton="0" quotePrefix="0" xfId="0"/>
    <xf numFmtId="171" fontId="1" fillId="10" borderId="26" applyAlignment="1" pivotButton="0" quotePrefix="0" xfId="0">
      <alignment horizontal="right" vertical="center"/>
    </xf>
    <xf numFmtId="171" fontId="1" fillId="10" borderId="19" applyAlignment="1" pivotButton="0" quotePrefix="0" xfId="0">
      <alignment horizontal="right" vertical="center"/>
    </xf>
    <xf numFmtId="171" fontId="1" fillId="10" borderId="72" applyAlignment="1" pivotButton="0" quotePrefix="0" xfId="0">
      <alignment horizontal="right" vertical="center"/>
    </xf>
    <xf numFmtId="171" fontId="1" fillId="0" borderId="0" pivotButton="0" quotePrefix="0" xfId="0"/>
    <xf numFmtId="0" fontId="1" fillId="12" borderId="65" pivotButton="0" quotePrefix="0" xfId="0"/>
    <xf numFmtId="0" fontId="1" fillId="12" borderId="64" pivotButton="0" quotePrefix="0" xfId="0"/>
    <xf numFmtId="0" fontId="1" fillId="15" borderId="65" pivotButton="0" quotePrefix="0" xfId="0"/>
    <xf numFmtId="9" fontId="11" fillId="15" borderId="28" pivotButton="0" quotePrefix="0" xfId="0"/>
    <xf numFmtId="9" fontId="11" fillId="15" borderId="29" applyAlignment="1" pivotButton="0" quotePrefix="0" xfId="0">
      <alignment horizontal="right" indent="1"/>
    </xf>
    <xf numFmtId="0" fontId="16" fillId="19" borderId="18" applyAlignment="1" pivotButton="0" quotePrefix="0" xfId="0">
      <alignment horizontal="left"/>
    </xf>
    <xf numFmtId="0" fontId="16" fillId="19" borderId="0" applyAlignment="1" pivotButton="0" quotePrefix="0" xfId="0">
      <alignment horizontal="left" indent="1"/>
    </xf>
    <xf numFmtId="1" fontId="16" fillId="19" borderId="0" applyAlignment="1" pivotButton="0" quotePrefix="0" xfId="0">
      <alignment horizontal="right" vertical="center"/>
    </xf>
    <xf numFmtId="164" fontId="16" fillId="19" borderId="19" applyAlignment="1" pivotButton="0" quotePrefix="0" xfId="0">
      <alignment horizontal="center" vertical="center"/>
    </xf>
    <xf numFmtId="166" fontId="16" fillId="19" borderId="19" applyAlignment="1" pivotButton="0" quotePrefix="0" xfId="0">
      <alignment horizontal="right" vertical="center"/>
    </xf>
    <xf numFmtId="166" fontId="1" fillId="20" borderId="19" applyAlignment="1" pivotButton="0" quotePrefix="0" xfId="0">
      <alignment horizontal="right" vertical="center"/>
    </xf>
    <xf numFmtId="171" fontId="1" fillId="10" borderId="74" applyAlignment="1" pivotButton="0" quotePrefix="0" xfId="0">
      <alignment horizontal="right" vertical="center"/>
    </xf>
    <xf numFmtId="171" fontId="1" fillId="0" borderId="69" pivotButton="0" quotePrefix="0" xfId="0"/>
    <xf numFmtId="171" fontId="1" fillId="10" borderId="75" applyAlignment="1" pivotButton="0" quotePrefix="0" xfId="0">
      <alignment horizontal="right" vertical="center"/>
    </xf>
    <xf numFmtId="171" fontId="1" fillId="10" borderId="76" applyAlignment="1" pivotButton="0" quotePrefix="0" xfId="0">
      <alignment horizontal="right" vertical="center"/>
    </xf>
    <xf numFmtId="171" fontId="1" fillId="10" borderId="77" applyAlignment="1" pivotButton="0" quotePrefix="0" xfId="0">
      <alignment horizontal="right" vertical="center"/>
    </xf>
    <xf numFmtId="171" fontId="1" fillId="0" borderId="78" pivotButton="0" quotePrefix="0" xfId="0"/>
    <xf numFmtId="0" fontId="1" fillId="12" borderId="68" pivotButton="0" quotePrefix="0" xfId="0"/>
    <xf numFmtId="9" fontId="6" fillId="12" borderId="78" pivotButton="0" quotePrefix="0" xfId="0"/>
    <xf numFmtId="0" fontId="1" fillId="12" borderId="78" pivotButton="0" quotePrefix="0" xfId="0"/>
    <xf numFmtId="164" fontId="1" fillId="12" borderId="78" pivotButton="0" quotePrefix="0" xfId="0"/>
    <xf numFmtId="0" fontId="1" fillId="12" borderId="69" pivotButton="0" quotePrefix="0" xfId="0"/>
    <xf numFmtId="0" fontId="1" fillId="5" borderId="65" pivotButton="0" quotePrefix="0" xfId="0"/>
    <xf numFmtId="0" fontId="1" fillId="5" borderId="64" pivotButton="0" quotePrefix="0" xfId="0"/>
    <xf numFmtId="164" fontId="16" fillId="19" borderId="72" applyAlignment="1" pivotButton="0" quotePrefix="0" xfId="0">
      <alignment horizontal="center" vertical="center"/>
    </xf>
    <xf numFmtId="0" fontId="0" fillId="0" borderId="79" pivotButton="0" quotePrefix="0" xfId="0"/>
    <xf numFmtId="0" fontId="0" fillId="7" borderId="65" pivotButton="0" quotePrefix="0" xfId="0"/>
    <xf numFmtId="0" fontId="0" fillId="7" borderId="79" pivotButton="0" quotePrefix="0" xfId="0"/>
    <xf numFmtId="0" fontId="0" fillId="7" borderId="64" pivotButton="0" quotePrefix="0" xfId="0"/>
    <xf numFmtId="0" fontId="0" fillId="10" borderId="79" pivotButton="0" quotePrefix="0" xfId="0"/>
    <xf numFmtId="0" fontId="0" fillId="0" borderId="80" pivotButton="0" quotePrefix="0" xfId="0"/>
    <xf numFmtId="0" fontId="0" fillId="7" borderId="68" pivotButton="0" quotePrefix="0" xfId="0"/>
    <xf numFmtId="0" fontId="0" fillId="7" borderId="80" pivotButton="0" quotePrefix="0" xfId="0"/>
    <xf numFmtId="0" fontId="0" fillId="7" borderId="69" pivotButton="0" quotePrefix="0" xfId="0"/>
    <xf numFmtId="0" fontId="0" fillId="10" borderId="80" pivotButton="0" quotePrefix="0" xfId="0"/>
    <xf numFmtId="0" fontId="0" fillId="0" borderId="0" applyProtection="1" pivotButton="0" quotePrefix="0" xfId="0">
      <protection locked="0" hidden="0"/>
    </xf>
    <xf numFmtId="0" fontId="0" fillId="0" borderId="15" pivotButton="0" quotePrefix="0" xfId="0"/>
    <xf numFmtId="0" fontId="0" fillId="0" borderId="63" pivotButton="0" quotePrefix="0" xfId="0"/>
    <xf numFmtId="0" fontId="5" fillId="23" borderId="0" applyAlignment="1" pivotButton="0" quotePrefix="0" xfId="0">
      <alignment horizontal="left" vertical="center"/>
    </xf>
    <xf numFmtId="0" fontId="5" fillId="23" borderId="0" applyAlignment="1" pivotButton="0" quotePrefix="0" xfId="0">
      <alignment horizontal="centerContinuous" vertical="center"/>
    </xf>
    <xf numFmtId="0" fontId="5" fillId="24" borderId="0" applyAlignment="1" pivotButton="0" quotePrefix="0" xfId="0">
      <alignment horizontal="left" vertical="center"/>
    </xf>
    <xf numFmtId="0" fontId="5" fillId="24" borderId="0" applyAlignment="1" pivotButton="0" quotePrefix="0" xfId="0">
      <alignment horizontal="centerContinuous" vertical="center"/>
    </xf>
    <xf numFmtId="0" fontId="5" fillId="25" borderId="78" applyAlignment="1" pivotButton="0" quotePrefix="0" xfId="0">
      <alignment horizontal="center" vertical="center"/>
    </xf>
    <xf numFmtId="0" fontId="0" fillId="0" borderId="78" pivotButton="0" quotePrefix="0" xfId="0"/>
    <xf numFmtId="0" fontId="5" fillId="26" borderId="78" applyAlignment="1" pivotButton="0" quotePrefix="0" xfId="0">
      <alignment horizontal="center" vertical="center"/>
    </xf>
    <xf numFmtId="0" fontId="8" fillId="14" borderId="0" applyAlignment="1" pivotButton="0" quotePrefix="0" xfId="0">
      <alignment vertical="center"/>
    </xf>
    <xf numFmtId="0" fontId="8" fillId="14" borderId="0" applyAlignment="1" pivotButton="0" quotePrefix="0" xfId="0">
      <alignment horizontal="centerContinuous" vertical="center"/>
    </xf>
    <xf numFmtId="0" fontId="8" fillId="14" borderId="64" applyAlignment="1" pivotButton="0" quotePrefix="0" xfId="0">
      <alignment horizontal="centerContinuous" vertical="center"/>
    </xf>
    <xf numFmtId="0" fontId="23" fillId="24" borderId="0" applyAlignment="1" pivotButton="0" quotePrefix="0" xfId="0">
      <alignment vertical="center"/>
    </xf>
    <xf numFmtId="0" fontId="23" fillId="24" borderId="0" applyAlignment="1" pivotButton="0" quotePrefix="0" xfId="0">
      <alignment horizontal="centerContinuous" vertical="center"/>
    </xf>
    <xf numFmtId="0" fontId="23" fillId="24" borderId="64" applyAlignment="1" pivotButton="0" quotePrefix="0" xfId="0">
      <alignment horizontal="centerContinuous" vertical="center"/>
    </xf>
    <xf numFmtId="0" fontId="8" fillId="27" borderId="0" applyAlignment="1" pivotButton="0" quotePrefix="0" xfId="0">
      <alignment vertical="center"/>
    </xf>
    <xf numFmtId="0" fontId="8" fillId="27" borderId="0" applyAlignment="1" pivotButton="0" quotePrefix="0" xfId="0">
      <alignment horizontal="centerContinuous" vertical="center"/>
    </xf>
    <xf numFmtId="0" fontId="8" fillId="27" borderId="64" applyAlignment="1" pivotButton="0" quotePrefix="0" xfId="0">
      <alignment horizontal="centerContinuous" vertical="center"/>
    </xf>
    <xf numFmtId="0" fontId="8" fillId="27" borderId="0" applyAlignment="1" pivotButton="0" quotePrefix="0" xfId="0">
      <alignment horizontal="center" vertical="center"/>
    </xf>
    <xf numFmtId="0" fontId="8" fillId="27" borderId="64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4" borderId="64" applyAlignment="1" pivotButton="0" quotePrefix="0" xfId="0">
      <alignment horizontal="center" vertical="center"/>
    </xf>
    <xf numFmtId="9" fontId="3" fillId="20" borderId="64" pivotButton="0" quotePrefix="0" xfId="0"/>
    <xf numFmtId="10" fontId="3" fillId="20" borderId="64" pivotButton="0" quotePrefix="0" xfId="0"/>
    <xf numFmtId="172" fontId="3" fillId="10" borderId="16" applyAlignment="1" pivotButton="0" quotePrefix="0" xfId="0">
      <alignment horizontal="right" vertical="center"/>
    </xf>
    <xf numFmtId="173" fontId="3" fillId="12" borderId="16" applyAlignment="1" pivotButton="0" quotePrefix="0" xfId="0">
      <alignment horizontal="right" vertical="center"/>
    </xf>
    <xf numFmtId="174" fontId="13" fillId="12" borderId="16" applyAlignment="1" pivotButton="0" quotePrefix="0" xfId="0">
      <alignment horizontal="right" vertical="center"/>
    </xf>
    <xf numFmtId="173" fontId="3" fillId="10" borderId="16" applyAlignment="1" pivotButton="0" quotePrefix="0" xfId="0">
      <alignment horizontal="right" vertical="center"/>
    </xf>
    <xf numFmtId="174" fontId="13" fillId="10" borderId="71" applyAlignment="1" pivotButton="0" quotePrefix="0" xfId="0">
      <alignment horizontal="right" vertical="center"/>
    </xf>
    <xf numFmtId="172" fontId="1" fillId="19" borderId="19" applyAlignment="1" pivotButton="0" quotePrefix="0" xfId="0">
      <alignment horizontal="center" vertical="center"/>
    </xf>
    <xf numFmtId="173" fontId="3" fillId="10" borderId="19" applyAlignment="1" pivotButton="0" quotePrefix="0" xfId="0">
      <alignment horizontal="right" vertical="center"/>
    </xf>
    <xf numFmtId="175" fontId="1" fillId="20" borderId="19" applyAlignment="1" pivotButton="0" quotePrefix="0" xfId="0">
      <alignment horizontal="right" vertical="center"/>
    </xf>
    <xf numFmtId="174" fontId="16" fillId="22" borderId="19" applyAlignment="1" pivotButton="0" quotePrefix="0" xfId="0">
      <alignment horizontal="right" vertical="center"/>
    </xf>
    <xf numFmtId="175" fontId="1" fillId="10" borderId="19" applyAlignment="1" pivotButton="0" quotePrefix="0" xfId="0">
      <alignment horizontal="right" vertical="center"/>
    </xf>
    <xf numFmtId="175" fontId="1" fillId="10" borderId="72" applyAlignment="1" pivotButton="0" quotePrefix="0" xfId="0">
      <alignment horizontal="right" vertical="center"/>
    </xf>
    <xf numFmtId="9" fontId="6" fillId="7" borderId="0" pivotButton="0" quotePrefix="0" xfId="0"/>
    <xf numFmtId="0" fontId="1" fillId="10" borderId="64" pivotButton="0" quotePrefix="0" xfId="0"/>
    <xf numFmtId="172" fontId="16" fillId="19" borderId="19" applyAlignment="1" pivotButton="0" quotePrefix="0" xfId="0">
      <alignment horizontal="center" vertical="center"/>
    </xf>
    <xf numFmtId="173" fontId="1" fillId="20" borderId="19" applyAlignment="1" pivotButton="0" quotePrefix="0" xfId="0">
      <alignment horizontal="right" vertical="center"/>
    </xf>
    <xf numFmtId="9" fontId="6" fillId="7" borderId="78" pivotButton="0" quotePrefix="0" xfId="0"/>
    <xf numFmtId="175" fontId="1" fillId="10" borderId="77" applyAlignment="1" pivotButton="0" quotePrefix="0" xfId="0">
      <alignment horizontal="right" vertical="center"/>
    </xf>
    <xf numFmtId="0" fontId="1" fillId="10" borderId="69" pivotButton="0" quotePrefix="0" xfId="0"/>
    <xf numFmtId="0" fontId="1" fillId="0" borderId="69" pivotButton="0" quotePrefix="0" xfId="0"/>
    <xf numFmtId="0" fontId="3" fillId="12" borderId="81" applyAlignment="1" pivotButton="0" quotePrefix="0" xfId="0">
      <alignment horizontal="center"/>
    </xf>
    <xf numFmtId="0" fontId="0" fillId="0" borderId="81" pivotButton="0" quotePrefix="0" xfId="0"/>
    <xf numFmtId="0" fontId="3" fillId="0" borderId="82" applyAlignment="1" pivotButton="0" quotePrefix="0" xfId="0">
      <alignment horizontal="center" wrapText="1"/>
    </xf>
    <xf numFmtId="9" fontId="3" fillId="0" borderId="0" applyAlignment="1" pivotButton="0" quotePrefix="0" xfId="0">
      <alignment horizontal="center" wrapText="1"/>
    </xf>
    <xf numFmtId="172" fontId="1" fillId="19" borderId="72" applyAlignment="1" pivotButton="0" quotePrefix="0" xfId="0">
      <alignment horizontal="center" vertical="center"/>
    </xf>
    <xf numFmtId="0" fontId="0" fillId="0" borderId="83" pivotButton="0" quotePrefix="0" xfId="0"/>
    <xf numFmtId="173" fontId="0" fillId="0" borderId="83" pivotButton="0" quotePrefix="0" xfId="0"/>
    <xf numFmtId="0" fontId="0" fillId="7" borderId="58" pivotButton="0" quotePrefix="0" xfId="0"/>
    <xf numFmtId="0" fontId="0" fillId="7" borderId="83" pivotButton="0" quotePrefix="0" xfId="0"/>
    <xf numFmtId="0" fontId="0" fillId="7" borderId="60" pivotButton="0" quotePrefix="0" xfId="0"/>
    <xf numFmtId="0" fontId="0" fillId="10" borderId="83" pivotButton="0" quotePrefix="0" xfId="0"/>
    <xf numFmtId="172" fontId="16" fillId="19" borderId="72" applyAlignment="1" pivotButton="0" quotePrefix="0" xfId="0">
      <alignment horizontal="center" vertical="center"/>
    </xf>
  </cellXfs>
  <cellStyles count="1">
    <cellStyle name="Normal" xfId="0" builtinId="0"/>
  </cellStyles>
  <dxfs count="157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1:EB370"/>
  <sheetViews>
    <sheetView showGridLines="0" zoomScale="90" zoomScaleNormal="90" workbookViewId="0">
      <pane xSplit="6" ySplit="20" topLeftCell="L21" activePane="bottomRight" state="frozen"/>
      <selection pane="bottomRight" activeCell="T22" sqref="T22"/>
    </sheetView>
  </sheetViews>
  <sheetFormatPr baseColWidth="8" defaultColWidth="12.5703125" defaultRowHeight="12.75" customHeight="1" outlineLevelRow="1"/>
  <cols>
    <col width="0.85546875" customWidth="1" style="1" min="1" max="1"/>
    <col outlineLevel="1" collapsed="1" width="4.42578125" customWidth="1" style="1" min="2" max="2"/>
    <col width="12.5703125" customWidth="1" style="1" min="3" max="3"/>
    <col width="49.140625" customWidth="1" style="1" min="4" max="4"/>
    <col outlineLevel="1" collapsed="1" width="15.85546875" customWidth="1" style="2" min="5" max="5"/>
    <col width="12.5703125" customWidth="1" style="1" min="6" max="6"/>
    <col width="0.85546875" customWidth="1" style="1" min="7" max="7"/>
    <col width="12.5703125" customWidth="1" style="1" min="8" max="8"/>
    <col width="0.85546875" customWidth="1" style="1" min="9" max="9"/>
    <col width="12.5703125" customWidth="1" style="1" min="10" max="10"/>
    <col outlineLevel="1" collapsed="1" width="12.5703125" customWidth="1" style="1" min="11" max="11"/>
    <col width="0.85546875" customWidth="1" style="1" min="12" max="12"/>
    <col width="12.5703125" customWidth="1" style="1" min="13" max="13"/>
    <col outlineLevel="1" collapsed="1" width="12.5703125" customWidth="1" style="1" min="14" max="14"/>
    <col width="0.85546875" customWidth="1" style="1" min="15" max="15"/>
    <col width="12.5703125" customWidth="1" style="1" min="16" max="16"/>
    <col width="0.85546875" customWidth="1" style="1" min="17" max="17"/>
    <col width="12.5703125" customWidth="1" style="1" min="18" max="18"/>
    <col width="0.85546875" customWidth="1" style="1" min="19" max="19"/>
    <col width="12.5703125" customWidth="1" style="1" min="20" max="20"/>
    <col width="0.5703125" customWidth="1" style="1" min="21" max="21"/>
    <col width="12.5703125" customWidth="1" style="1" min="22" max="22"/>
    <col width="0.85546875" customWidth="1" style="1" min="23" max="23"/>
    <col width="12.5703125" customWidth="1" style="1" min="24" max="24"/>
    <col width="0.85546875" customWidth="1" style="1" min="25" max="25"/>
    <col width="12.5703125" customWidth="1" style="1" min="26" max="26"/>
    <col width="0.85546875" customWidth="1" style="1" min="27" max="27"/>
    <col outlineLevel="1" collapsed="1" width="12.5703125" customWidth="1" style="1" min="28" max="31"/>
    <col outlineLevel="1" collapsed="1" width="0.85546875" customWidth="1" style="1" min="32" max="32"/>
    <col outlineLevel="1" collapsed="1" width="12.5703125" customWidth="1" style="1" min="33" max="36"/>
    <col outlineLevel="1" collapsed="1" width="0.85546875" customWidth="1" style="1" min="37" max="37"/>
    <col outlineLevel="1" collapsed="1" width="12.5703125" customWidth="1" style="1" min="38" max="41"/>
    <col outlineLevel="1" collapsed="1" width="0.85546875" customWidth="1" style="1" min="42" max="42"/>
    <col outlineLevel="1" collapsed="1" width="12.5703125" customWidth="1" style="1" min="43" max="46"/>
    <col outlineLevel="1" collapsed="1" width="0.85546875" customWidth="1" style="1" min="47" max="47"/>
    <col outlineLevel="1" collapsed="1" width="12.5703125" customWidth="1" style="1" min="48" max="51"/>
    <col outlineLevel="1" collapsed="1" width="0.85546875" customWidth="1" style="1" min="52" max="52"/>
    <col outlineLevel="1" collapsed="1" width="12.5703125" customWidth="1" style="1" min="53" max="56"/>
    <col outlineLevel="1" collapsed="1" width="0.85546875" customWidth="1" style="1" min="57" max="57"/>
    <col outlineLevel="1" collapsed="1" width="12.5703125" customWidth="1" style="1" min="58" max="61"/>
    <col outlineLevel="1" collapsed="1" width="0.85546875" customWidth="1" style="1" min="62" max="62"/>
    <col outlineLevel="1" collapsed="1" width="12.5703125" customWidth="1" style="1" min="63" max="66"/>
    <col outlineLevel="1" collapsed="1" width="0.85546875" customWidth="1" style="1" min="67" max="67"/>
    <col outlineLevel="1" collapsed="1" width="12.5703125" customWidth="1" style="1" min="68" max="71"/>
    <col outlineLevel="1" collapsed="1" width="0.85546875" customWidth="1" style="1" min="72" max="72"/>
    <col outlineLevel="1" collapsed="1" width="12.5703125" customWidth="1" style="1" min="73" max="76"/>
    <col outlineLevel="1" collapsed="1" width="0.85546875" customWidth="1" style="1" min="77" max="77"/>
    <col outlineLevel="1" collapsed="1" width="12.5703125" customWidth="1" style="1" min="78" max="81"/>
    <col width="0.85546875" customWidth="1" style="1" min="82" max="83"/>
    <col width="12.5703125" customWidth="1" style="1" min="84" max="86"/>
    <col width="0.85546875" customWidth="1" style="1" min="87" max="87"/>
    <col width="12.5703125" customWidth="1" style="1" min="88" max="88"/>
    <col width="12.5703125" customWidth="1" style="3" min="89" max="89"/>
    <col width="12.5703125" customWidth="1" style="1" min="90" max="100"/>
    <col width="12.5703125" customWidth="1" style="4" min="101" max="120"/>
    <col width="12.5703125" customWidth="1" style="1" min="121" max="121"/>
    <col outlineLevel="1" collapsed="1" width="12.5703125" customWidth="1" style="1" min="122" max="125"/>
    <col width="12.5703125" customWidth="1" style="1" min="126" max="126"/>
    <col width="4.85546875" customWidth="1" style="1" min="127" max="127"/>
    <col width="24.42578125" customWidth="1" style="1" min="128" max="128"/>
    <col width="44.85546875" customWidth="1" style="1" min="129" max="129"/>
    <col width="28" customWidth="1" style="1" min="130" max="130"/>
    <col width="26.85546875" customWidth="1" style="1" min="131" max="131"/>
    <col width="6.42578125" customWidth="1" style="1" min="132" max="132"/>
    <col width="12.5703125" customWidth="1" style="1" min="133" max="16384"/>
  </cols>
  <sheetData>
    <row r="1" outlineLevel="1" collapsed="1">
      <c r="C1" s="1" t="n">
        <v>2</v>
      </c>
      <c r="D1" s="1" t="n">
        <v>3</v>
      </c>
      <c r="E1" s="2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16</v>
      </c>
      <c r="T1" s="1" t="n">
        <v>17</v>
      </c>
      <c r="Y1" s="1" t="n">
        <v>16</v>
      </c>
      <c r="Z1" s="1" t="n">
        <v>17</v>
      </c>
      <c r="AA1" s="1" t="n">
        <v>18</v>
      </c>
      <c r="AB1" s="1" t="n">
        <v>19</v>
      </c>
      <c r="AC1" s="1" t="n">
        <v>20</v>
      </c>
      <c r="AD1" s="1" t="n">
        <v>21</v>
      </c>
      <c r="AE1" s="1" t="n">
        <v>22</v>
      </c>
      <c r="AF1" s="1" t="n">
        <v>23</v>
      </c>
      <c r="AG1" s="1" t="n">
        <v>24</v>
      </c>
      <c r="AH1" s="1" t="n">
        <v>25</v>
      </c>
      <c r="AI1" s="1" t="n">
        <v>26</v>
      </c>
      <c r="AJ1" s="1" t="n">
        <v>27</v>
      </c>
      <c r="AK1" s="1" t="n">
        <v>28</v>
      </c>
      <c r="AL1" s="1" t="n">
        <v>29</v>
      </c>
      <c r="AM1" s="1" t="n">
        <v>30</v>
      </c>
      <c r="AN1" s="1" t="n">
        <v>31</v>
      </c>
      <c r="AO1" s="1" t="n">
        <v>32</v>
      </c>
      <c r="AP1" s="1" t="n">
        <v>33</v>
      </c>
      <c r="AQ1" s="1" t="n">
        <v>34</v>
      </c>
      <c r="AR1" s="1" t="n">
        <v>35</v>
      </c>
      <c r="AS1" s="1" t="n">
        <v>36</v>
      </c>
      <c r="AT1" s="1" t="n">
        <v>37</v>
      </c>
      <c r="AU1" s="1" t="n">
        <v>38</v>
      </c>
      <c r="AV1" s="1" t="n">
        <v>39</v>
      </c>
      <c r="AW1" s="1" t="n">
        <v>40</v>
      </c>
      <c r="AX1" s="1" t="n">
        <v>41</v>
      </c>
      <c r="AY1" s="1" t="n">
        <v>42</v>
      </c>
      <c r="AZ1" s="1" t="n">
        <v>43</v>
      </c>
      <c r="BA1" s="1" t="n">
        <v>44</v>
      </c>
      <c r="BB1" s="1" t="n">
        <v>45</v>
      </c>
      <c r="BC1" s="1" t="n">
        <v>46</v>
      </c>
      <c r="BD1" s="1" t="n">
        <v>47</v>
      </c>
      <c r="BE1" s="1" t="n">
        <v>48</v>
      </c>
      <c r="BF1" s="1" t="n">
        <v>49</v>
      </c>
      <c r="BG1" s="1" t="n">
        <v>50</v>
      </c>
      <c r="BH1" s="1" t="n">
        <v>51</v>
      </c>
      <c r="BI1" s="1" t="n">
        <v>52</v>
      </c>
      <c r="BJ1" s="1" t="n">
        <v>53</v>
      </c>
      <c r="BK1" s="1" t="n">
        <v>54</v>
      </c>
      <c r="BL1" s="1" t="n">
        <v>55</v>
      </c>
      <c r="BM1" s="1" t="n">
        <v>56</v>
      </c>
      <c r="BN1" s="1" t="n">
        <v>57</v>
      </c>
      <c r="BO1" s="1" t="n">
        <v>58</v>
      </c>
      <c r="BP1" s="1" t="n">
        <v>59</v>
      </c>
      <c r="BQ1" s="1" t="n">
        <v>60</v>
      </c>
      <c r="BR1" s="1" t="n">
        <v>61</v>
      </c>
      <c r="BS1" s="1" t="n">
        <v>62</v>
      </c>
      <c r="BT1" s="1" t="n">
        <v>63</v>
      </c>
      <c r="BU1" s="1" t="n">
        <v>64</v>
      </c>
      <c r="BV1" s="1" t="n">
        <v>65</v>
      </c>
      <c r="BW1" s="1" t="n">
        <v>66</v>
      </c>
      <c r="BX1" s="1" t="n">
        <v>67</v>
      </c>
      <c r="BY1" s="1" t="n">
        <v>68</v>
      </c>
      <c r="BZ1" s="1" t="n">
        <v>69</v>
      </c>
      <c r="CA1" s="1" t="n">
        <v>70</v>
      </c>
      <c r="CB1" s="1" t="n">
        <v>71</v>
      </c>
      <c r="CC1" s="1" t="n">
        <v>72</v>
      </c>
      <c r="CD1" s="1" t="n">
        <v>73</v>
      </c>
      <c r="CE1" s="1" t="n">
        <v>74</v>
      </c>
      <c r="CF1" s="1" t="n">
        <v>75</v>
      </c>
      <c r="CG1" s="1" t="n">
        <v>76</v>
      </c>
      <c r="CH1" s="1" t="n">
        <v>77</v>
      </c>
      <c r="CI1" s="1" t="n">
        <v>78</v>
      </c>
      <c r="CK1" s="3">
        <f>SUM(CK11:CK370)</f>
        <v/>
      </c>
      <c r="DQ1" s="1">
        <f>SUM(DQ11:DQ317)</f>
        <v/>
      </c>
      <c r="DU1" s="1">
        <f>SUM(DU11:DU370)</f>
        <v/>
      </c>
    </row>
    <row r="2" outlineLevel="1" collapsed="1">
      <c r="H2" s="5">
        <f>(SUMIF($F$22:$F$62,"&lt;&gt;*PLV*",$H$22:$H$62)*$CF$20)+(SUMIF($F$22:$F$62,"PLV (PDC ou autre)",$H$22:$H$62)*$CJ$20)+(SUMIF($F$22:$F$62,"PLV (vitrine)",$H$22:$H$62)*$CJ$18)+(SUMIF($F$77:$F$98,"&lt;&gt;*PLV*",$H$77:$H$98)*$CF$75)+(SUMIF($F$77:$F$98,"PLV (PDC ou autre)",$H$77:$H$98)*$CJ$75)+(SUMIF($F$77:$F$98,"PLV (vitrine)",$H$77:$H$98)*$CJ$73)+(SUMIF($F$114:$F$153,"&lt;&gt;*PLV*",$H$114:$H$153)*$CF$112)+(SUMIF($F$114:$F$153,"PLV (PDC ou autre)",$H$114:$H$153)*$CJ$112)+(SUMIF($F$114:$F$153,"PLV (vitrine)",$H$114:$H$153)*$CJ$110)+(SUMIF($F$168:$F$207,"&lt;&gt;*PLV*",$H$168:$H$207)*$CF$166)+(SUMIF($F$168:$F$207,"PLV (PDC ou autre)",$H$168:$H$207)*$CJ$166)+(SUMIF($F$168:$F$207,"PLV (vitrine)",$H$168:$H$207)*$CJ$164)+(SUMIF($F$223:$F$262,"&lt;&gt;*PLV*",$H$223:$H$262)*$CF$221)+(SUMIF($F$223:$F$262,"PLV (PDC ou autre)",$H$223:$H$262)*$CJ$221)+(SUMIF($F$223:$F$262,"PLV (vitrine)",$H$223:$H$262)*$CJ$219)+(SUMIF($F$277:$F$316,"&lt;&gt;*PLV*",$H$277:$H$316)*$CF$275)+(SUMIF($F$277:$F$316,"PLV (PDC ou autre)",$H$277:$H$316)*$CJ$275)+(SUMIF($F$277:$F$316,"PLV (vitrine)",$H$277:$H$316)*$CJ$273)+(SUMIF($F$331:$F$370,"&lt;&gt;*PLV*",$H$331:$H$370)*$CF$329)+(SUMIF($F$331:$F$370,"PLV (PDC ou autre)",$H$331:$H$370)*$CJ$329)+(SUMIF($F$331:$F$370,"PLV (vitrine)",$H$331:$H$370)*$CJ$327)</f>
        <v/>
      </c>
      <c r="K2" s="1">
        <f>K20*CF20+K75*CF75+K112*CF112+K166*CF166+K221*CF221+K275*CF275+K329*CF329</f>
        <v/>
      </c>
      <c r="CK2" s="6">
        <f>IFERROR(H2=CK1,"FAUX")</f>
        <v/>
      </c>
      <c r="DU2" s="1">
        <f>SUMIFS(DU22:DU371,F22:F371,"*PLV*")</f>
        <v/>
      </c>
    </row>
    <row r="3" customFormat="1" s="7">
      <c r="E3" s="8" t="n"/>
      <c r="K3" s="7">
        <f>(SUMIFS($K$22:$K$62,$F$22:$F$62,"*PLV*")*$CF$20)+(SUMIFS($K$77:$K$98,$F$77:$F$98,"*PLV*")*$CF$75)+(SUMIFS($K$114:$K$153,$F$114:$F$153,"*PLV*")*$CF$112)+(SUMIFS($K$168:$K$207,$F$168:$F$207,"*PLV*")*$CF$166)+(SUMIFS($K$223:$K$262,$F$223:$F$262,"*PLV*")*$CF$221)+(SUMIFS($K$277:$K$316,$F$277:$F$316,"*PLV*")*$CF$275)+(SUMIFS($K$331:$K$370,$F$331:$F$370,"*PLV*")*$CF$329)</f>
        <v/>
      </c>
      <c r="CG3" s="7">
        <f>SUM(CG8:CG370)</f>
        <v/>
      </c>
      <c r="CK3" s="6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  <c r="DH3" s="9" t="n"/>
      <c r="DI3" s="9" t="n"/>
      <c r="DJ3" s="9" t="n"/>
      <c r="DK3" s="9" t="n"/>
      <c r="DL3" s="9" t="n"/>
      <c r="DM3" s="9" t="n"/>
      <c r="DN3" s="9" t="n"/>
      <c r="DO3" s="9" t="n"/>
      <c r="DP3" s="9" t="n"/>
      <c r="DS3" s="7">
        <f>SUM(DS8:DS371,DT8:DT371)</f>
        <v/>
      </c>
      <c r="DU3" s="7">
        <f>SUMIFS(DU22:DU371,F22:F371,"Produit Vente")</f>
        <v/>
      </c>
    </row>
    <row r="4" customFormat="1" s="7">
      <c r="C4" s="10" t="n"/>
      <c r="E4" s="8" t="n"/>
      <c r="K4" s="6">
        <f>(SUMIFS($K$22:$K$62,$F$22:$F$62,"Produit Vente")*$CF$20)+(SUMIFS($K$77:$K$98,$F$77:$F$98,"Produit Vente")*$CF$75)+(SUMIFS($K$114:$K$153,$F$114:$F$153,"Produit Vente")*$CF$112)+(SUMIFS($K$168:$K$207,$F$168:$F$207,"Produit Vente")*$CF$166)+(SUMIFS($K$223:$K$262,$F$223:$F$262,"Produit Vente")*$CF$221)+(SUMIFS($K$277:$K$316,$F$277:$F$316,"Produit Vente")*$CF$275)+(SUMIFS($K$331:$K$370,$F$331:$F$370,"Produit Vente")*$CF$329)</f>
        <v/>
      </c>
      <c r="CF4" s="11" t="n"/>
      <c r="CG4" s="11" t="n"/>
      <c r="CH4" s="11" t="n"/>
      <c r="CK4" s="6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  <c r="DK4" s="9" t="n"/>
      <c r="DL4" s="9" t="n"/>
      <c r="DM4" s="9" t="n"/>
      <c r="DN4" s="9" t="n"/>
      <c r="DO4" s="9" t="n"/>
      <c r="DP4" s="9" t="n"/>
      <c r="DU4" s="7">
        <f>SUMIFS(DU22:DU371,F22:F371,"UG")</f>
        <v/>
      </c>
    </row>
    <row r="5" customFormat="1" s="7">
      <c r="C5" s="12">
        <f>MID(CELL("filename",C5),FIND("]",CELL("filename",C5))+1,255)</f>
        <v/>
      </c>
      <c r="E5" s="8" t="n"/>
      <c r="K5" s="6">
        <f>(SUMIFS($K$22:$K$62,$F$22:$F$62,"UG")*$CF$20)+(SUMIFS($K$77:$K$98,$F$77:$F$98,"UG")*$CF$75)+(SUMIFS($K$114:$K$153,$F$114:$F$153,"UG")*$CF$112)+(SUMIFS($K$168:$K$207,$F$168:$F$207,"UG")*$CF$166)+(SUMIFS($K$223:$K$262,$F$223:$F$262,"UG")*$CF$221)+(SUMIFS($K$277:$K$316,$F$277:$F$316,"UG")*$CF$275)+(SUMIFS($K$331:$K$370,$F$331:$F$370,"UG")*$CF$329)</f>
        <v/>
      </c>
      <c r="CF5" s="13" t="n"/>
      <c r="CG5" s="6" t="n"/>
      <c r="CK5" s="6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  <c r="DH5" s="9" t="n"/>
      <c r="DI5" s="9" t="n"/>
      <c r="DJ5" s="9" t="n"/>
      <c r="DK5" s="9" t="n"/>
      <c r="DL5" s="9" t="n"/>
      <c r="DM5" s="9" t="n"/>
      <c r="DN5" s="9" t="n"/>
      <c r="DO5" s="9" t="n"/>
      <c r="DP5" s="9" t="n"/>
      <c r="DU5" s="7">
        <f>SUMIFS(DU22:DU371,F22:F371,"Testeur")</f>
        <v/>
      </c>
    </row>
    <row r="6" ht="15" customFormat="1" customHeight="1" s="7">
      <c r="C6" s="14">
        <f>"&lt;&lt;"</f>
        <v/>
      </c>
      <c r="E6" s="8" t="n"/>
      <c r="K6" s="6">
        <f>(SUMIFS($K$22:$K$62,$F$22:$F$62,"Testeur")*$CF$20)+(SUMIFS($K$77:$K$98,$F$77:$F$98,"Testeur")*$CF$75)+(SUMIFS($K$114:$K$153,$F$114:$F$153,"Testeur")*$CF$112)+(SUMIFS($K$168:$K$207,$F$168:$F$207,"Testeur")*$CF$166)+(SUMIFS($K$223:$K$262,$F$223:$F$262,"Testeur")*$CF$221)+(SUMIFS($K$277:$K$316,$F$277:$F$316,"Testeur")*$CF$275)+(SUMIFS($K$331:$K$370,$F$331:$F$370,"Testeur")*$CF$329)</f>
        <v/>
      </c>
      <c r="CF6" s="13" t="n"/>
      <c r="CK6" s="6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  <c r="DH6" s="9" t="n"/>
      <c r="DI6" s="9" t="n"/>
      <c r="DJ6" s="9" t="n"/>
      <c r="DK6" s="9" t="n"/>
      <c r="DL6" s="9" t="n"/>
      <c r="DM6" s="9" t="n"/>
      <c r="DN6" s="9" t="n"/>
      <c r="DO6" s="9" t="n"/>
      <c r="DP6" s="9" t="n"/>
    </row>
    <row r="7" ht="13.5" customFormat="1" customHeight="1" s="15">
      <c r="E7" s="16" t="n"/>
      <c r="CK7" s="17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</row>
    <row r="8">
      <c r="CN8" s="19" t="inlineStr">
        <is>
          <t>Nbrs Offres planifiées</t>
        </is>
      </c>
      <c r="CO8" s="19" t="inlineStr">
        <is>
          <t>CA</t>
        </is>
      </c>
      <c r="CP8" s="19" t="inlineStr">
        <is>
          <t>Marges</t>
        </is>
      </c>
    </row>
    <row r="9" ht="15" customHeight="1">
      <c r="C9" s="1" t="inlineStr">
        <is>
          <t>670 offres budgétées en 2025 / 457 offres réalisées --&gt; 730 offres en 2026 (+10%)</t>
        </is>
      </c>
      <c r="AB9" s="1" t="n">
        <v>65</v>
      </c>
      <c r="CM9" s="1" t="inlineStr">
        <is>
          <t>Retail</t>
        </is>
      </c>
      <c r="CN9" s="20">
        <f>SUMIFS($AB20:$AT20,$AB17:$AT17,CN8)+SUMIFS($BZ20:$CC20,$BZ17:$CC17,CN8)+SUMIFS($AB75:$AT75,$AB72:$AT72,CN8)+SUMIFS($BZ75:$CC75,$BZ72:$CC72,CN8)+SUMIFS($AB112:$AT112,$AB109:$AT109,CN8)+SUMIFS($BZ112:$CC112,$BZ109:$CC109,CN8)+SUMIFS($AB166:$AT166,$AB163:$AT163,CN8)+SUMIFS($BZ166:$CC166,$BZ163:$CC163,CN8)+SUMIFS($AB221:$AT221,$AB218:$AT218,CN8)+SUMIFS($BZ221:$CC221,$BZ218:$CC218,CN8)+SUMIFS($AB275:$AT275,$AB272:$AT272,CN8)+SUMIFS($BZ275:$CC275,$BZ272:$CC272,CN8)+SUMIFS($AB329:$AT329,$AB326:$AT326,CN8)+SUMIFS($BZ329:$CC329,$BZ326:$CC326,CN8)</f>
        <v/>
      </c>
      <c r="CO9" s="20">
        <f>SUMIFS($AB20:$AT20,$AB17:$AT17,CO8)+SUMIFS($BZ20:$CC20,$BZ17:$CC17,CO8)+SUMIFS($AB75:$AT75,$AB72:$AT72,CO8)+SUMIFS($BZ75:$CC75,$BZ72:$CC72,CO8)+SUMIFS($AB112:$AT112,$AB109:$AT109,CO8)+SUMIFS($BZ112:$CC112,$BZ109:$CC109,CO8)+SUMIFS($AB166:$AT166,$AB163:$AT163,CO8)+SUMIFS($BZ166:$CC166,$BZ163:$CC163,CO8)+SUMIFS($AB221:$AT221,$AB218:$AT218,CO8)+SUMIFS($BZ221:$CC221,$BZ218:$CC218,CO8)+SUMIFS($AB275:$AT275,$AB272:$AT272,CO8)+SUMIFS($BZ275:$CC275,$BZ272:$CC272,CO8)+SUMIFS($AB329:$AT329,$AB326:$AT326,CO8)+SUMIFS($BZ329:$CC329,$BZ326:$CC326,CO8)</f>
        <v/>
      </c>
      <c r="CP9" s="21">
        <f>IFERROR(SUM(CH38,CH93,CH130,CH184,CH239,CH293,CH347)/CO9,0)</f>
        <v/>
      </c>
    </row>
    <row r="10">
      <c r="C10" s="22" t="inlineStr">
        <is>
          <t>REGENERANTS 1 - Premium</t>
        </is>
      </c>
      <c r="D10" s="23" t="n"/>
      <c r="E10" s="24" t="n"/>
      <c r="F10" s="25" t="inlineStr">
        <is>
          <t>Panachage 50 unités // Remise 15% pour BRI conso 10€ sur 4 produits : Sérum J/N, CDJR, CDJRI, sérum nuit RI (-10€ = prix plancher, à imprimer sur 1 SR sur le présentoir)</t>
        </is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M10" s="1" t="inlineStr">
        <is>
          <t>Institut</t>
        </is>
      </c>
      <c r="CN10" s="20">
        <f>SUMIFS($AV20:$BX20,$AV17:$BX17,CN8)+SUMIFS($AV75:$BX75,$AV72:$BX72,CN8)+SUMIFS($AV112:$BX112,$AV109:$BX109,CN8)+SUMIFS($AV166:$BX166,$AV163:$BX163,CN8)+SUMIFS($AV221:$BX221,$AV218:$BX218,CN8)+SUMIFS($AV275:$BX275,$AV272:$BX272,CN8)+SUMIFS($AV329:$BX329,$AV326:$BX326,CN8)</f>
        <v/>
      </c>
      <c r="CO10" s="20">
        <f>SUMIFS($AV20:$BX20,$AV17:$BX17,CO8)+SUMIFS($AV75:$BX75,$AV72:$BX72,CO8)+SUMIFS($AV112:$BX112,$AV109:$BX109,CO8)+SUMIFS($AV166:$BX166,$AV163:$BX163,CO8)+SUMIFS($AV221:$BX221,$AV218:$BX218,CO8)+SUMIFS($AV275:$BX275,$AV272:$BX272,CO8)+SUMIFS($AV329:$BX329,$AV326:$BX326,CO8)</f>
        <v/>
      </c>
      <c r="CP10" s="21">
        <f>IFERROR(SUM(CH44,CH99,CH136,CH190,CH245,CH299,CH353)/CO10,0)</f>
        <v/>
      </c>
    </row>
    <row r="11" ht="5.25" customHeight="1"/>
    <row r="12" ht="12.95" customHeight="1">
      <c r="AB12" s="26" t="n">
        <v>0.5</v>
      </c>
      <c r="AC12" s="26" t="n"/>
      <c r="AD12" s="26" t="n"/>
      <c r="AE12" s="26" t="n"/>
      <c r="AF12" s="26" t="n"/>
      <c r="AG12" s="26" t="n">
        <v>0.2</v>
      </c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>
        <v>0.19</v>
      </c>
      <c r="AW12" s="26" t="n"/>
      <c r="AX12" s="26" t="n"/>
      <c r="AY12" s="26" t="n"/>
      <c r="AZ12" s="26" t="n"/>
      <c r="BA12" s="26" t="n">
        <v>0.1</v>
      </c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E12" s="27" t="n"/>
      <c r="CF12" s="28" t="n"/>
      <c r="CG12" s="28" t="n"/>
      <c r="CH12" s="28" t="n"/>
      <c r="CI12" s="29" t="n"/>
    </row>
    <row r="13">
      <c r="AB13" s="30" t="inlineStr">
        <is>
          <t>Tarif Retail</t>
        </is>
      </c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V13" s="31" t="inlineStr">
        <is>
          <t>Tarif Institut</t>
        </is>
      </c>
      <c r="AW13" s="31" t="n"/>
      <c r="AX13" s="31" t="n"/>
      <c r="AY13" s="31" t="n"/>
      <c r="AZ13" s="31" t="n"/>
      <c r="BA13" s="31" t="n"/>
      <c r="BB13" s="31" t="n"/>
      <c r="BC13" s="31" t="n"/>
      <c r="BD13" s="31" t="n"/>
      <c r="BE13" s="31" t="n"/>
      <c r="BF13" s="31" t="n"/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Z13" s="32" t="inlineStr">
        <is>
          <t>Autres</t>
        </is>
      </c>
      <c r="CA13" s="32" t="n"/>
      <c r="CB13" s="32" t="n"/>
      <c r="CC13" s="32" t="n"/>
      <c r="CE13" s="33" t="n"/>
      <c r="CF13" s="34" t="inlineStr">
        <is>
          <t>Tous réseaux</t>
        </is>
      </c>
      <c r="CG13" s="34" t="n"/>
      <c r="CH13" s="34" t="n"/>
      <c r="CI13" s="35" t="n"/>
      <c r="DW13" s="36" t="n"/>
      <c r="DX13" s="37" t="n"/>
      <c r="DY13" s="37" t="n"/>
      <c r="DZ13" s="37" t="n"/>
      <c r="EA13" s="37" t="n"/>
      <c r="EB13" s="38" t="n"/>
    </row>
    <row r="14" ht="5.25" customHeight="1">
      <c r="CE14" s="33" t="n"/>
      <c r="CF14" s="39" t="n"/>
      <c r="CG14" s="39" t="n"/>
      <c r="CH14" s="39" t="n"/>
      <c r="CI14" s="35" t="n"/>
      <c r="DW14" s="40" t="n"/>
      <c r="EB14" s="41" t="n"/>
    </row>
    <row r="15">
      <c r="P15" s="1" t="inlineStr">
        <is>
          <t>Additionnelle</t>
        </is>
      </c>
      <c r="AB15" s="42" t="inlineStr">
        <is>
          <t>Ambassadeur</t>
        </is>
      </c>
      <c r="AC15" s="42" t="n"/>
      <c r="AD15" s="42" t="n"/>
      <c r="AE15" s="42" t="n"/>
      <c r="AG15" s="42" t="inlineStr">
        <is>
          <t>Compagnon</t>
        </is>
      </c>
      <c r="AH15" s="42" t="n"/>
      <c r="AI15" s="42" t="n"/>
      <c r="AJ15" s="42" t="n"/>
      <c r="AL15" s="42" t="inlineStr">
        <is>
          <t>Challenger</t>
        </is>
      </c>
      <c r="AM15" s="42" t="n"/>
      <c r="AN15" s="42" t="n"/>
      <c r="AO15" s="42" t="n"/>
      <c r="AQ15" s="42" t="inlineStr">
        <is>
          <t>Partenaire</t>
        </is>
      </c>
      <c r="AR15" s="42" t="n"/>
      <c r="AS15" s="42" t="n"/>
      <c r="AT15" s="42" t="n"/>
      <c r="AV15" s="43" t="inlineStr">
        <is>
          <t>Rose</t>
        </is>
      </c>
      <c r="AW15" s="43" t="n"/>
      <c r="AX15" s="43" t="n"/>
      <c r="AY15" s="43" t="n"/>
      <c r="BA15" s="43" t="inlineStr">
        <is>
          <t>Prunelier</t>
        </is>
      </c>
      <c r="BB15" s="43" t="n"/>
      <c r="BC15" s="43" t="n"/>
      <c r="BD15" s="43" t="n"/>
      <c r="BF15" s="43" t="inlineStr">
        <is>
          <t>Anthylide</t>
        </is>
      </c>
      <c r="BG15" s="43" t="n"/>
      <c r="BH15" s="43" t="n"/>
      <c r="BI15" s="43" t="n"/>
      <c r="BK15" s="43" t="inlineStr">
        <is>
          <t>Calendula</t>
        </is>
      </c>
      <c r="BL15" s="43" t="n"/>
      <c r="BM15" s="43" t="n"/>
      <c r="BN15" s="43" t="n"/>
      <c r="BP15" s="43" t="inlineStr">
        <is>
          <t>Bourrache</t>
        </is>
      </c>
      <c r="BQ15" s="43" t="n"/>
      <c r="BR15" s="43" t="n"/>
      <c r="BS15" s="43" t="n"/>
      <c r="BU15" s="43" t="inlineStr">
        <is>
          <t>Herbacée</t>
        </is>
      </c>
      <c r="BV15" s="43" t="n"/>
      <c r="BW15" s="43" t="n"/>
      <c r="BX15" s="43" t="n"/>
      <c r="BZ15" s="44" t="inlineStr">
        <is>
          <t>Autres</t>
        </is>
      </c>
      <c r="CA15" s="44" t="n"/>
      <c r="CB15" s="44" t="n"/>
      <c r="CC15" s="44" t="n"/>
      <c r="CE15" s="33" t="n"/>
      <c r="CF15" s="45" t="inlineStr">
        <is>
          <t>Total</t>
        </is>
      </c>
      <c r="CG15" s="45" t="n"/>
      <c r="CH15" s="45" t="n"/>
      <c r="CI15" s="35" t="n"/>
      <c r="DW15" s="40" t="n"/>
      <c r="EB15" s="41" t="n"/>
    </row>
    <row r="16" ht="5.25" customHeight="1">
      <c r="CE16" s="33" t="n"/>
      <c r="CF16" s="39" t="n"/>
      <c r="CG16" s="39" t="n"/>
      <c r="CH16" s="39" t="n"/>
      <c r="CI16" s="35" t="n"/>
      <c r="DW16" s="40" t="n"/>
      <c r="EB16" s="41" t="n"/>
    </row>
    <row r="17" ht="30.95" customFormat="1" customHeight="1" s="46">
      <c r="E17" s="47" t="n"/>
      <c r="H17" s="48" t="inlineStr">
        <is>
          <t>Pdt dans offre</t>
        </is>
      </c>
      <c r="J17" s="48" t="inlineStr">
        <is>
          <t>PA x Unit.</t>
        </is>
      </c>
      <c r="K17" s="48" t="inlineStr">
        <is>
          <t>Coûts Achats</t>
        </is>
      </c>
      <c r="M17" s="48" t="inlineStr">
        <is>
          <t>Tarif Rev.  x Unit.</t>
        </is>
      </c>
      <c r="N17" s="48" t="inlineStr">
        <is>
          <t>Tarif Rev.</t>
        </is>
      </c>
      <c r="P17" s="48" t="inlineStr">
        <is>
          <t>Remise Offres x Prod.</t>
        </is>
      </c>
      <c r="R17" s="48" t="inlineStr">
        <is>
          <t>Tarif Rev. Remisé</t>
        </is>
      </c>
      <c r="T17" s="48" t="inlineStr">
        <is>
          <t>PPC Unitaire Indicatif</t>
        </is>
      </c>
      <c r="U17" s="48" t="n"/>
      <c r="V17" s="48" t="inlineStr">
        <is>
          <t>PPC Unitaire Remisé</t>
        </is>
      </c>
      <c r="X17" s="48" t="inlineStr">
        <is>
          <t>Montant BRI</t>
        </is>
      </c>
      <c r="Z17" s="48" t="inlineStr">
        <is>
          <t>PPC global Indicatif</t>
        </is>
      </c>
      <c r="AB17" s="48" t="inlineStr">
        <is>
          <t>Nbrs Offres planifiées</t>
        </is>
      </c>
      <c r="AC17" s="48" t="inlineStr">
        <is>
          <t>Remise Statut</t>
        </is>
      </c>
      <c r="AD17" s="48" t="inlineStr">
        <is>
          <t>CA</t>
        </is>
      </c>
      <c r="AE17" s="48" t="inlineStr">
        <is>
          <t>Marges</t>
        </is>
      </c>
      <c r="AG17" s="48" t="inlineStr">
        <is>
          <t>Nbrs Offres planifiées</t>
        </is>
      </c>
      <c r="AH17" s="48" t="inlineStr">
        <is>
          <t>Remise Statut</t>
        </is>
      </c>
      <c r="AI17" s="48" t="inlineStr">
        <is>
          <t>CA</t>
        </is>
      </c>
      <c r="AJ17" s="48" t="inlineStr">
        <is>
          <t>Marges</t>
        </is>
      </c>
      <c r="AL17" s="48" t="inlineStr">
        <is>
          <t>Nbrs Offres planifiées</t>
        </is>
      </c>
      <c r="AM17" s="48" t="inlineStr">
        <is>
          <t>Remise Statut</t>
        </is>
      </c>
      <c r="AN17" s="48" t="inlineStr">
        <is>
          <t>CA</t>
        </is>
      </c>
      <c r="AO17" s="48" t="inlineStr">
        <is>
          <t>Marges</t>
        </is>
      </c>
      <c r="AQ17" s="48" t="inlineStr">
        <is>
          <t>Nbrs Offres planifiées</t>
        </is>
      </c>
      <c r="AR17" s="48" t="inlineStr">
        <is>
          <t>Remise Statut</t>
        </is>
      </c>
      <c r="AS17" s="48" t="inlineStr">
        <is>
          <t>CA</t>
        </is>
      </c>
      <c r="AT17" s="48" t="inlineStr">
        <is>
          <t>Marges</t>
        </is>
      </c>
      <c r="AV17" s="48" t="inlineStr">
        <is>
          <t>Nbrs Offres planifiées</t>
        </is>
      </c>
      <c r="AW17" s="48" t="inlineStr">
        <is>
          <t>Remise Statut</t>
        </is>
      </c>
      <c r="AX17" s="48" t="inlineStr">
        <is>
          <t>CA</t>
        </is>
      </c>
      <c r="AY17" s="48" t="inlineStr">
        <is>
          <t>Marges</t>
        </is>
      </c>
      <c r="BA17" s="48" t="inlineStr">
        <is>
          <t>Nbrs Offres planifiées</t>
        </is>
      </c>
      <c r="BB17" s="48" t="inlineStr">
        <is>
          <t>Remise Statut</t>
        </is>
      </c>
      <c r="BC17" s="48" t="inlineStr">
        <is>
          <t>CA</t>
        </is>
      </c>
      <c r="BD17" s="48" t="inlineStr">
        <is>
          <t>Marges</t>
        </is>
      </c>
      <c r="BF17" s="48" t="inlineStr">
        <is>
          <t>Nbrs Offres planifiées</t>
        </is>
      </c>
      <c r="BG17" s="48" t="inlineStr">
        <is>
          <t>Remise Statut</t>
        </is>
      </c>
      <c r="BH17" s="48" t="inlineStr">
        <is>
          <t>CA</t>
        </is>
      </c>
      <c r="BI17" s="48" t="inlineStr">
        <is>
          <t>Marges</t>
        </is>
      </c>
      <c r="BK17" s="48" t="inlineStr">
        <is>
          <t>Nbrs Offres planifiées</t>
        </is>
      </c>
      <c r="BL17" s="48" t="inlineStr">
        <is>
          <t>Remise Statut</t>
        </is>
      </c>
      <c r="BM17" s="48" t="inlineStr">
        <is>
          <t>CA</t>
        </is>
      </c>
      <c r="BN17" s="48" t="inlineStr">
        <is>
          <t>Marges</t>
        </is>
      </c>
      <c r="BP17" s="48" t="inlineStr">
        <is>
          <t>Nbrs Offres planifiées</t>
        </is>
      </c>
      <c r="BQ17" s="48" t="inlineStr">
        <is>
          <t>Remise Statut</t>
        </is>
      </c>
      <c r="BR17" s="48" t="inlineStr">
        <is>
          <t>CA</t>
        </is>
      </c>
      <c r="BS17" s="48" t="inlineStr">
        <is>
          <t>Marges</t>
        </is>
      </c>
      <c r="BU17" s="48" t="inlineStr">
        <is>
          <t>Nbrs Offres planifiées</t>
        </is>
      </c>
      <c r="BV17" s="48" t="inlineStr">
        <is>
          <t>Remise Statut</t>
        </is>
      </c>
      <c r="BW17" s="48" t="inlineStr">
        <is>
          <t>CA</t>
        </is>
      </c>
      <c r="BX17" s="48" t="inlineStr">
        <is>
          <t>Marges</t>
        </is>
      </c>
      <c r="BZ17" s="48" t="inlineStr">
        <is>
          <t>Nbrs Offres planifiées</t>
        </is>
      </c>
      <c r="CA17" s="48" t="inlineStr">
        <is>
          <t>Remise Statut</t>
        </is>
      </c>
      <c r="CB17" s="48" t="inlineStr">
        <is>
          <t>CA</t>
        </is>
      </c>
      <c r="CC17" s="48" t="inlineStr">
        <is>
          <t>Marges</t>
        </is>
      </c>
      <c r="CE17" s="49" t="n"/>
      <c r="CF17" s="50" t="inlineStr">
        <is>
          <t>Nbrs Offres planifiées</t>
        </is>
      </c>
      <c r="CG17" s="50" t="inlineStr">
        <is>
          <t>CA</t>
        </is>
      </c>
      <c r="CH17" s="50" t="inlineStr">
        <is>
          <t>Marges</t>
        </is>
      </c>
      <c r="CI17" s="51" t="n"/>
      <c r="CK17" s="52" t="n"/>
      <c r="CN17" s="53" t="inlineStr">
        <is>
          <t>Marketing</t>
        </is>
      </c>
      <c r="CT17" s="54" t="inlineStr">
        <is>
          <t>Commerce</t>
        </is>
      </c>
      <c r="CV17" s="55" t="n"/>
      <c r="CW17" s="56" t="inlineStr">
        <is>
          <t>Diététiques</t>
        </is>
      </c>
      <c r="CX17" s="57" t="inlineStr">
        <is>
          <t>Instituts</t>
        </is>
      </c>
      <c r="CY17" s="58" t="inlineStr">
        <is>
          <t>Pharmacies</t>
        </is>
      </c>
      <c r="CZ17" s="288" t="n"/>
      <c r="DA17" s="288" t="n"/>
      <c r="DB17" s="59" t="inlineStr">
        <is>
          <t>Grands Magasins</t>
        </is>
      </c>
      <c r="DC17" s="288" t="n"/>
      <c r="DD17" s="288" t="n"/>
      <c r="DE17" s="60" t="inlineStr">
        <is>
          <t>Pures Players</t>
        </is>
      </c>
      <c r="DF17" s="288" t="n"/>
      <c r="DG17" s="288" t="n"/>
      <c r="DH17" s="288" t="n"/>
      <c r="DI17" s="288" t="n"/>
      <c r="DJ17" s="288" t="n"/>
      <c r="DK17" s="288" t="n"/>
      <c r="DL17" s="288" t="n"/>
      <c r="DM17" s="288" t="n"/>
      <c r="DN17" s="288" t="n"/>
      <c r="DO17" s="288" t="n"/>
      <c r="DP17" s="61" t="inlineStr">
        <is>
          <t>Autres</t>
        </is>
      </c>
      <c r="DQ17" s="46" t="inlineStr">
        <is>
          <t>Total</t>
        </is>
      </c>
      <c r="DR17" s="46" t="inlineStr">
        <is>
          <t>Dont total GC</t>
        </is>
      </c>
      <c r="DS17" s="46" t="inlineStr">
        <is>
          <t>Proj CA eshop</t>
        </is>
      </c>
      <c r="DT17" s="46" t="inlineStr">
        <is>
          <t>Proj CA GC</t>
        </is>
      </c>
      <c r="DU17" s="46" t="inlineStr">
        <is>
          <t>Total coûts</t>
        </is>
      </c>
      <c r="DW17" s="62" t="n"/>
      <c r="DX17" s="63" t="inlineStr">
        <is>
          <t>BESOIN TOTAL POUR COMMANDE ALLEMAGNE</t>
        </is>
      </c>
      <c r="DY17" s="289" t="n"/>
      <c r="DZ17" s="289" t="n"/>
      <c r="EA17" s="64" t="inlineStr">
        <is>
          <t xml:space="preserve">MAJ le </t>
        </is>
      </c>
      <c r="EB17" s="65" t="n"/>
    </row>
    <row r="18" ht="26.25" customHeight="1">
      <c r="C18" s="66" t="inlineStr">
        <is>
          <t>Code article</t>
        </is>
      </c>
      <c r="D18" s="66" t="inlineStr">
        <is>
          <t>Libellé article</t>
        </is>
      </c>
      <c r="E18" s="66" t="inlineStr">
        <is>
          <t>Code à barres (EAN)</t>
        </is>
      </c>
      <c r="F18" s="66" t="inlineStr">
        <is>
          <t>Typ. Prod</t>
        </is>
      </c>
      <c r="H18" s="66" t="inlineStr">
        <is>
          <t>'#</t>
        </is>
      </c>
      <c r="J18" s="66" t="inlineStr">
        <is>
          <t>'€</t>
        </is>
      </c>
      <c r="K18" s="66" t="inlineStr">
        <is>
          <t>'€</t>
        </is>
      </c>
      <c r="M18" s="66" t="inlineStr">
        <is>
          <t>'€</t>
        </is>
      </c>
      <c r="N18" s="66" t="inlineStr">
        <is>
          <t>'€</t>
        </is>
      </c>
      <c r="P18" s="66" t="inlineStr">
        <is>
          <t>'€</t>
        </is>
      </c>
      <c r="R18" s="66" t="inlineStr">
        <is>
          <t>'€</t>
        </is>
      </c>
      <c r="T18" s="66" t="inlineStr">
        <is>
          <t>'€</t>
        </is>
      </c>
      <c r="U18" s="67" t="n"/>
      <c r="V18" s="66" t="inlineStr">
        <is>
          <t>'€</t>
        </is>
      </c>
      <c r="X18" s="66" t="inlineStr">
        <is>
          <t>'€</t>
        </is>
      </c>
      <c r="Z18" s="66" t="inlineStr">
        <is>
          <t>'€</t>
        </is>
      </c>
      <c r="AB18" s="66" t="inlineStr">
        <is>
          <t>'#</t>
        </is>
      </c>
      <c r="AC18" s="66" t="inlineStr">
        <is>
          <t>'€</t>
        </is>
      </c>
      <c r="AD18" s="66" t="inlineStr">
        <is>
          <t>'€</t>
        </is>
      </c>
      <c r="AE18" s="66" t="inlineStr">
        <is>
          <t>'€</t>
        </is>
      </c>
      <c r="AG18" s="66" t="inlineStr">
        <is>
          <t>'#</t>
        </is>
      </c>
      <c r="AH18" s="66" t="inlineStr">
        <is>
          <t>'€</t>
        </is>
      </c>
      <c r="AI18" s="66" t="inlineStr">
        <is>
          <t>'€</t>
        </is>
      </c>
      <c r="AJ18" s="66" t="inlineStr">
        <is>
          <t>'€</t>
        </is>
      </c>
      <c r="AL18" s="66" t="inlineStr">
        <is>
          <t>'#</t>
        </is>
      </c>
      <c r="AM18" s="66" t="inlineStr">
        <is>
          <t>'€</t>
        </is>
      </c>
      <c r="AN18" s="66" t="inlineStr">
        <is>
          <t>'€</t>
        </is>
      </c>
      <c r="AO18" s="66" t="inlineStr">
        <is>
          <t>'€</t>
        </is>
      </c>
      <c r="AQ18" s="66" t="inlineStr">
        <is>
          <t>'#</t>
        </is>
      </c>
      <c r="AR18" s="66" t="inlineStr">
        <is>
          <t>'€</t>
        </is>
      </c>
      <c r="AS18" s="66" t="inlineStr">
        <is>
          <t>'€</t>
        </is>
      </c>
      <c r="AT18" s="66" t="inlineStr">
        <is>
          <t>'€</t>
        </is>
      </c>
      <c r="AV18" s="66" t="inlineStr">
        <is>
          <t>'#</t>
        </is>
      </c>
      <c r="AW18" s="66" t="inlineStr">
        <is>
          <t>'€</t>
        </is>
      </c>
      <c r="AX18" s="66" t="inlineStr">
        <is>
          <t>'€</t>
        </is>
      </c>
      <c r="AY18" s="66" t="inlineStr">
        <is>
          <t>'€</t>
        </is>
      </c>
      <c r="BA18" s="66" t="inlineStr">
        <is>
          <t>'#</t>
        </is>
      </c>
      <c r="BB18" s="66" t="inlineStr">
        <is>
          <t>'€</t>
        </is>
      </c>
      <c r="BC18" s="66" t="inlineStr">
        <is>
          <t>'€</t>
        </is>
      </c>
      <c r="BD18" s="66" t="inlineStr">
        <is>
          <t>'€</t>
        </is>
      </c>
      <c r="BF18" s="66" t="inlineStr">
        <is>
          <t>'#</t>
        </is>
      </c>
      <c r="BG18" s="66" t="inlineStr">
        <is>
          <t>'€</t>
        </is>
      </c>
      <c r="BH18" s="66" t="inlineStr">
        <is>
          <t>'€</t>
        </is>
      </c>
      <c r="BI18" s="66" t="inlineStr">
        <is>
          <t>'€</t>
        </is>
      </c>
      <c r="BK18" s="66" t="inlineStr">
        <is>
          <t>'#</t>
        </is>
      </c>
      <c r="BL18" s="66" t="inlineStr">
        <is>
          <t>'€</t>
        </is>
      </c>
      <c r="BM18" s="66" t="inlineStr">
        <is>
          <t>'€</t>
        </is>
      </c>
      <c r="BN18" s="66" t="inlineStr">
        <is>
          <t>'€</t>
        </is>
      </c>
      <c r="BP18" s="66" t="inlineStr">
        <is>
          <t>'#</t>
        </is>
      </c>
      <c r="BQ18" s="66" t="inlineStr">
        <is>
          <t>'€</t>
        </is>
      </c>
      <c r="BR18" s="66" t="inlineStr">
        <is>
          <t>'€</t>
        </is>
      </c>
      <c r="BS18" s="66" t="inlineStr">
        <is>
          <t>'€</t>
        </is>
      </c>
      <c r="BU18" s="66" t="inlineStr">
        <is>
          <t>'#</t>
        </is>
      </c>
      <c r="BV18" s="66" t="inlineStr">
        <is>
          <t>'€</t>
        </is>
      </c>
      <c r="BW18" s="66" t="inlineStr">
        <is>
          <t>'€</t>
        </is>
      </c>
      <c r="BX18" s="66" t="inlineStr">
        <is>
          <t>'€</t>
        </is>
      </c>
      <c r="BZ18" s="66" t="inlineStr">
        <is>
          <t>'#</t>
        </is>
      </c>
      <c r="CA18" s="66" t="inlineStr">
        <is>
          <t>'€</t>
        </is>
      </c>
      <c r="CB18" s="66" t="inlineStr">
        <is>
          <t>'€</t>
        </is>
      </c>
      <c r="CC18" s="66" t="inlineStr">
        <is>
          <t>'€</t>
        </is>
      </c>
      <c r="CE18" s="33" t="n"/>
      <c r="CF18" s="68" t="inlineStr">
        <is>
          <t>'#</t>
        </is>
      </c>
      <c r="CG18" s="68" t="inlineStr">
        <is>
          <t>'€</t>
        </is>
      </c>
      <c r="CH18" s="68" t="inlineStr">
        <is>
          <t>'€</t>
        </is>
      </c>
      <c r="CI18" s="35" t="n"/>
      <c r="CJ18" s="69">
        <f>ROUNDUP(CF20*40%,-1)</f>
        <v/>
      </c>
      <c r="DW18" s="40" t="n"/>
      <c r="EB18" s="41" t="n"/>
    </row>
    <row r="19" ht="5.25" customHeight="1">
      <c r="R19" s="1" t="inlineStr">
        <is>
          <t>&lt;</t>
        </is>
      </c>
      <c r="CE19" s="33" t="n"/>
      <c r="CF19" s="39" t="n"/>
      <c r="CG19" s="39" t="n"/>
      <c r="CH19" s="39" t="n"/>
      <c r="CI19" s="35" t="n"/>
      <c r="DW19" s="40" t="n"/>
      <c r="EB19" s="41" t="n"/>
    </row>
    <row r="20" ht="12.95" customFormat="1" customHeight="1" s="69">
      <c r="B20" s="69">
        <f>C10</f>
        <v/>
      </c>
      <c r="C20" s="70" t="inlineStr">
        <is>
          <t>Synthèse</t>
        </is>
      </c>
      <c r="D20" s="70" t="n"/>
      <c r="E20" s="71" t="n"/>
      <c r="F20" s="70" t="n"/>
      <c r="H20" s="72">
        <f>IFERROR(SUMIFS(H22:H62,F22:F62,"Produit Vente"),"Non trouvé")</f>
        <v/>
      </c>
      <c r="J20" s="73">
        <f>IFERROR($K20/$H20,"Non Trouvé")</f>
        <v/>
      </c>
      <c r="K20" s="73">
        <f>IFERROR(SUM(K22:K62),"Non Trouvé")</f>
        <v/>
      </c>
      <c r="M20" s="73">
        <f>IFERROR($N20/$H20,"Non Trouvé")</f>
        <v/>
      </c>
      <c r="N20" s="73">
        <f>IFERROR(SUM(N22:N62),"Non Trouvé")</f>
        <v/>
      </c>
      <c r="P20" s="74">
        <f>IFERROR(-(R20-N20)/N20,"Non Trouvé")</f>
        <v/>
      </c>
      <c r="R20" s="73">
        <f>IFERROR(SUM(R22:R62),"Non Trouvé")</f>
        <v/>
      </c>
      <c r="T20" s="73">
        <f>IFERROR(SUM(T22:T62),"Non Trouvé")</f>
        <v/>
      </c>
      <c r="U20" s="75" t="n"/>
      <c r="V20" s="73">
        <f>IFERROR(SUM(V22:V62),"Non Trouvé")</f>
        <v/>
      </c>
      <c r="X20" s="73">
        <f>IFERROR(SUM(X22:X62),"Non Trouvé")</f>
        <v/>
      </c>
      <c r="Z20" s="73">
        <f>IFERROR(SUM(Z22:Z62),"Non Trouvé")</f>
        <v/>
      </c>
      <c r="AB20" s="76">
        <f>ROUND($AB$9*AB12,0)</f>
        <v/>
      </c>
      <c r="AC20" s="77">
        <f>IFERROR(VLOOKUP(AB15,'[1]Paramètres Généraux'!$O:$P,2,FALSE),"Non Trouvé")</f>
        <v/>
      </c>
      <c r="AD20" s="73">
        <f>IFERROR(SUM(AD22:AD62),"Non Trouvé")</f>
        <v/>
      </c>
      <c r="AE20" s="74">
        <f>IFERROR((AD20-$K20*AB20)/AD20,"Non Trouvé")</f>
        <v/>
      </c>
      <c r="AG20" s="76">
        <f>ROUND($AB$9*AG12,0)</f>
        <v/>
      </c>
      <c r="AH20" s="77">
        <f>IFERROR(VLOOKUP(AG15,'[1]Paramètres Généraux'!$O:$P,2,FALSE),"Non Trouvé")</f>
        <v/>
      </c>
      <c r="AI20" s="73">
        <f>IFERROR(SUM(AI22:AI62),"Non Trouvé")</f>
        <v/>
      </c>
      <c r="AJ20" s="74">
        <f>IFERROR((AI20-$K20*AG20)/AI20,"Non Trouvé")</f>
        <v/>
      </c>
      <c r="AL20" s="76">
        <f>ROUND($AB$9*AL12,0)</f>
        <v/>
      </c>
      <c r="AM20" s="77">
        <f>IFERROR(VLOOKUP(AL15,'[1]Paramètres Généraux'!$O:$P,2,FALSE),"Non Trouvé")</f>
        <v/>
      </c>
      <c r="AN20" s="73">
        <f>IFERROR(SUM(AN22:AN62),"Non Trouvé")</f>
        <v/>
      </c>
      <c r="AO20" s="74">
        <f>IFERROR((AN20-$K20*AL20)/AN20,"Non Trouvé")</f>
        <v/>
      </c>
      <c r="AQ20" s="76">
        <f>ROUND($AB$9*AQ12,0)</f>
        <v/>
      </c>
      <c r="AR20" s="77">
        <f>IFERROR(VLOOKUP(AQ15,'[1]Paramètres Généraux'!$O:$P,2,FALSE),"Non Trouvé")</f>
        <v/>
      </c>
      <c r="AS20" s="73">
        <f>IFERROR(SUM(AS22:AS62),"Non Trouvé")</f>
        <v/>
      </c>
      <c r="AT20" s="74">
        <f>IFERROR((AS20-$K20*AQ20)/AS20,"Non Trouvé")</f>
        <v/>
      </c>
      <c r="AV20" s="76">
        <f>ROUND($AB$9*AV12,0)</f>
        <v/>
      </c>
      <c r="AW20" s="77">
        <f>IFERROR(VLOOKUP(AV15,'[1]Paramètres Généraux'!$O:$P,2,FALSE),"Non Trouvé")</f>
        <v/>
      </c>
      <c r="AX20" s="73">
        <f>IFERROR(SUM(AX22:AX62),"Non Trouvé")</f>
        <v/>
      </c>
      <c r="AY20" s="74">
        <f>IFERROR((AX20-$K20*AV20)/AX20,"Non Trouvé")</f>
        <v/>
      </c>
      <c r="BA20" s="76">
        <f>ROUND($AB$9*BA12,0)</f>
        <v/>
      </c>
      <c r="BB20" s="77">
        <f>IFERROR(VLOOKUP(BA15,'[1]Paramètres Généraux'!$O:$P,2,FALSE),"Non Trouvé")</f>
        <v/>
      </c>
      <c r="BC20" s="73">
        <f>IFERROR(SUM(BC22:BC62),"Non Trouvé")</f>
        <v/>
      </c>
      <c r="BD20" s="74">
        <f>IFERROR((BC20-$K20*BA20)/BC20,"Non Trouvé")</f>
        <v/>
      </c>
      <c r="BF20" s="76">
        <f>ROUND($AB$9*BF12,0)</f>
        <v/>
      </c>
      <c r="BG20" s="77">
        <f>IFERROR(VLOOKUP(BF15,'[1]Paramètres Généraux'!$O:$P,2,FALSE),"Non Trouvé")</f>
        <v/>
      </c>
      <c r="BH20" s="73">
        <f>IFERROR(SUM(BH22:BH62),"Non Trouvé")</f>
        <v/>
      </c>
      <c r="BI20" s="74">
        <f>IFERROR((BH20-$K20*BF20)/BH20,"Non Trouvé")</f>
        <v/>
      </c>
      <c r="BK20" s="76">
        <f>ROUND($AB$9*BK12,0)</f>
        <v/>
      </c>
      <c r="BL20" s="77">
        <f>IFERROR(VLOOKUP(BK15,'[1]Paramètres Généraux'!$O:$P,2,FALSE),"Non Trouvé")</f>
        <v/>
      </c>
      <c r="BM20" s="73">
        <f>IFERROR(SUM(BM22:BM62),"Non Trouvé")</f>
        <v/>
      </c>
      <c r="BN20" s="74">
        <f>IFERROR((BM20-$K20*BK20)/BM20,"Non Trouvé")</f>
        <v/>
      </c>
      <c r="BP20" s="76">
        <f>ROUND($AB$9*BP12,0)</f>
        <v/>
      </c>
      <c r="BQ20" s="77">
        <f>IFERROR(VLOOKUP(BP15,'[1]Paramètres Généraux'!$O:$P,2,FALSE),"Non Trouvé")</f>
        <v/>
      </c>
      <c r="BR20" s="73">
        <f>IFERROR(SUM(BR22:BR62),"Non Trouvé")</f>
        <v/>
      </c>
      <c r="BS20" s="74">
        <f>IFERROR((BR20-$K20*BP20)/BR20,"Non Trouvé")</f>
        <v/>
      </c>
      <c r="BU20" s="76">
        <f>ROUND($AB$9*BU12,0)</f>
        <v/>
      </c>
      <c r="BV20" s="77">
        <f>IFERROR(VLOOKUP(BU15,'[1]Paramètres Généraux'!$O:$P,2,FALSE),"Non Trouvé")</f>
        <v/>
      </c>
      <c r="BW20" s="73">
        <f>IFERROR(SUM(BW22:BW62),"Non Trouvé")</f>
        <v/>
      </c>
      <c r="BX20" s="74">
        <f>IFERROR((BW20-$K20*BU20)/BW20,"Non Trouvé")</f>
        <v/>
      </c>
      <c r="BZ20" s="76">
        <f>ROUND($AB$9*BZ12,0)</f>
        <v/>
      </c>
      <c r="CA20" s="77">
        <f>IFERROR(VLOOKUP(BZ15,'[1]Paramètres Généraux'!$O:$P,2,FALSE),"Non Trouvé")</f>
        <v/>
      </c>
      <c r="CB20" s="73">
        <f>IFERROR(SUM(CB22:CB62),"Non Trouvé")</f>
        <v/>
      </c>
      <c r="CC20" s="74">
        <f>IFERROR((CB20-$K20*BZ20)/CB20,"Non Trouvé")</f>
        <v/>
      </c>
      <c r="CE20" s="78" t="n"/>
      <c r="CF20" s="72">
        <f>SUMIFS($AB20:$CC20,$AB17:$CC17,CF17)</f>
        <v/>
      </c>
      <c r="CG20" s="72">
        <f>SUMIFS($AB20:$CC20,$AB17:$CC17,CG17)</f>
        <v/>
      </c>
      <c r="CH20" s="79">
        <f>IFERROR((CG20-$K20*CF20)/CG20,"Non Trouvé")</f>
        <v/>
      </c>
      <c r="CI20" s="80" t="n"/>
      <c r="CJ20" s="69">
        <f>ROUNDUP(CF20*70%,-1)</f>
        <v/>
      </c>
      <c r="CK20" s="81" t="n"/>
      <c r="CL20" s="82" t="n"/>
      <c r="CN20" s="83" t="inlineStr">
        <is>
          <t>Réassort</t>
        </is>
      </c>
      <c r="CO20" s="83" t="inlineStr">
        <is>
          <t>Eshop</t>
        </is>
      </c>
      <c r="CP20" s="83" t="inlineStr">
        <is>
          <t>Opé Marketing / Communication</t>
        </is>
      </c>
      <c r="CQ20" s="83" t="inlineStr">
        <is>
          <t>Devis</t>
        </is>
      </c>
      <c r="CR20" s="83" t="inlineStr">
        <is>
          <t>Formation</t>
        </is>
      </c>
      <c r="CS20" s="83" t="inlineStr">
        <is>
          <t>Maison DRH</t>
        </is>
      </c>
      <c r="CT20" s="83" t="inlineStr">
        <is>
          <t>Dotation Commerciaux</t>
        </is>
      </c>
      <c r="CU20" s="83" t="inlineStr">
        <is>
          <t>Animation</t>
        </is>
      </c>
      <c r="CV20" s="83" t="inlineStr">
        <is>
          <t>Cadeau Acheteur GC</t>
        </is>
      </c>
      <c r="CW20" s="84" t="inlineStr">
        <is>
          <t>Biocoop</t>
        </is>
      </c>
      <c r="CX20" s="84" t="inlineStr">
        <is>
          <t>Mlle Bio</t>
        </is>
      </c>
      <c r="CY20" s="84" t="inlineStr">
        <is>
          <t>Pharm'O Naturel</t>
        </is>
      </c>
      <c r="CZ20" s="84" t="inlineStr">
        <is>
          <t>Anton &amp; Willem</t>
        </is>
      </c>
      <c r="DA20" s="84" t="inlineStr">
        <is>
          <t>Elsie Santé</t>
        </is>
      </c>
      <c r="DB20" s="84" t="inlineStr">
        <is>
          <t>Printemps &amp; Soprintours</t>
        </is>
      </c>
      <c r="DC20" s="84" t="inlineStr">
        <is>
          <t>Samaritaine</t>
        </is>
      </c>
      <c r="DD20" s="84" t="inlineStr">
        <is>
          <t>Galeries Lafayette</t>
        </is>
      </c>
      <c r="DE20" s="84" t="inlineStr">
        <is>
          <t>Place des Tendances</t>
        </is>
      </c>
      <c r="DF20" s="84" t="inlineStr">
        <is>
          <t>Nocibé</t>
        </is>
      </c>
      <c r="DG20" s="84" t="inlineStr">
        <is>
          <t>Monoprix</t>
        </is>
      </c>
      <c r="DH20" s="84" t="inlineStr">
        <is>
          <t>Nuoo</t>
        </is>
      </c>
      <c r="DI20" s="84" t="inlineStr">
        <is>
          <t>Jolimoi</t>
        </is>
      </c>
      <c r="DJ20" s="84" t="inlineStr">
        <is>
          <t>La Belle Vie</t>
        </is>
      </c>
      <c r="DK20" s="84" t="inlineStr">
        <is>
          <t>Easypara</t>
        </is>
      </c>
      <c r="DL20" s="84" t="inlineStr">
        <is>
          <t>New Pharma</t>
        </is>
      </c>
      <c r="DM20" s="84" t="inlineStr">
        <is>
          <t>My Origins</t>
        </is>
      </c>
      <c r="DN20" s="84" t="inlineStr">
        <is>
          <t>Le Monde du Bio</t>
        </is>
      </c>
      <c r="DO20" s="84" t="inlineStr">
        <is>
          <t>Onatera</t>
        </is>
      </c>
      <c r="DP20" s="84" t="inlineStr">
        <is>
          <t>Boutique Nature</t>
        </is>
      </c>
      <c r="DQ20" s="83" t="n"/>
      <c r="DR20" s="83" t="n"/>
      <c r="DS20" s="83" t="n"/>
      <c r="DT20" s="83" t="n"/>
      <c r="DU20" s="83" t="n"/>
      <c r="DW20" s="85" t="n"/>
      <c r="DX20" s="86" t="inlineStr">
        <is>
          <t>CODE ARTICLE</t>
        </is>
      </c>
      <c r="DY20" s="86" t="inlineStr">
        <is>
          <t>LIBELLE ARTICLE</t>
        </is>
      </c>
      <c r="DZ20" s="86" t="inlineStr">
        <is>
          <t>BESOIN</t>
        </is>
      </c>
      <c r="EA20" s="86" t="inlineStr">
        <is>
          <t>COMMANDE VALIDÉE</t>
        </is>
      </c>
      <c r="EB20" s="87" t="n"/>
    </row>
    <row r="21" ht="5.25" customHeight="1">
      <c r="CE21" s="33" t="n"/>
      <c r="CF21" s="39" t="n"/>
      <c r="CG21" s="39" t="n"/>
      <c r="CH21" s="39" t="n"/>
      <c r="CI21" s="35" t="n"/>
      <c r="DW21" s="40" t="n"/>
      <c r="EA21" s="88" t="n"/>
      <c r="EB21" s="41" t="n"/>
    </row>
    <row r="22" ht="12.95" customHeight="1">
      <c r="B22" s="89" t="n">
        <v>1</v>
      </c>
      <c r="C22" s="90" t="n">
        <v>1020202</v>
      </c>
      <c r="D22" s="91">
        <f>IFERROR(IF($C22="","",VLOOKUP($C22,'[1]Paramètres Articles'!$B:$G,2,FALSE)),"Non Trouvé")</f>
        <v/>
      </c>
      <c r="E22" s="92">
        <f>IFERROR(IF($C22="","",_xlfn.XLOOKUP(REGENERANTS!$C22,'[1]New Base PA'!$F:$F,'[1]New Base PA'!$D:$D,"Not Found",0)),"Non Trouvé")</f>
        <v/>
      </c>
      <c r="F22" s="93" t="inlineStr">
        <is>
          <t>Produit Vente</t>
        </is>
      </c>
      <c r="H22" s="94" t="n">
        <v>7</v>
      </c>
      <c r="J22" s="95">
        <f>IFERROR(IF($C22="","",VLOOKUP($C22,'[1]New Base PA'!$F:$J,5,FALSE)),"Non Trouvé")</f>
        <v/>
      </c>
      <c r="K22" s="95">
        <f>IFERROR(IF($C22="","",$J22*$H22),"Non Trouvé")</f>
        <v/>
      </c>
      <c r="L22" s="96" t="n"/>
      <c r="M22" s="95">
        <f>IFERROR(IF(AND($F22="Produit Vente",H22&gt;0),VLOOKUP($C22,'[1]Paramètres Articles'!$B:$G,6,FALSE),0),"Non Trouvé")</f>
        <v/>
      </c>
      <c r="N22" s="95">
        <f>IFERROR(IF($C22="","",$M22*$H22),"Non Trouvé")</f>
        <v/>
      </c>
      <c r="P22" s="97" t="n">
        <v>0.15</v>
      </c>
      <c r="R22" s="95">
        <f>IFERROR(IF($C22="","",$N22*(1-$P22)),"Non Trouvé")</f>
        <v/>
      </c>
      <c r="S22" s="96" t="n"/>
      <c r="T22" s="95">
        <f>IFERROR(IF($C22="","",VLOOKUP($C22,'[1]Paramètres Articles'!$B:$H,7,FALSE)),"Non Trouvé")</f>
        <v/>
      </c>
      <c r="U22" s="98" t="n"/>
      <c r="V22" s="95">
        <f>IFERROR(IF($C22="","",IF($P22="","",$T22*(1-$P22))),"Non Trouvé")</f>
        <v/>
      </c>
      <c r="W22" s="96" t="n"/>
      <c r="X22" s="95">
        <f>IFERROR(T22-V22,"")</f>
        <v/>
      </c>
      <c r="Y22" s="96" t="n"/>
      <c r="Z22" s="95">
        <f>IFERROR(IF(OR(T22=0,T22=""),0,T22*H22),"Non Trouvé")</f>
        <v/>
      </c>
      <c r="AB22" s="99">
        <f>AB20</f>
        <v/>
      </c>
      <c r="AC22" s="99">
        <f>AC20</f>
        <v/>
      </c>
      <c r="AD22" s="95">
        <f>IFERROR(IF($C22="","",IF($P$15="Cascade",$R22*(1-AC22)*AB22,IF($P$15="Additionnelle",($N22-($N22*($P22+AC22)))*AB22))),"Non Trouvé")</f>
        <v/>
      </c>
      <c r="AG22" s="99">
        <f>AG20</f>
        <v/>
      </c>
      <c r="AH22" s="99">
        <f>AH20</f>
        <v/>
      </c>
      <c r="AI22" s="95">
        <f>IFERROR(IF($C22="","",IF($P$15="Cascade",$R22*(1-AH22)*AG22,IF($P$15="Additionnelle",($N22-($N22*($P22+AH22)))*AG22))),"Non Trouvé")</f>
        <v/>
      </c>
      <c r="AL22" s="99">
        <f>AL20</f>
        <v/>
      </c>
      <c r="AM22" s="99">
        <f>AM20</f>
        <v/>
      </c>
      <c r="AN22" s="95">
        <f>IFERROR(IF($C22="","",IF($P$15="Cascade",$R22*(1-AM22)*AL22,IF($P$15="Additionnelle",($N22-($N22*($P22+AM22)))*AL22))),"Non Trouvé")</f>
        <v/>
      </c>
      <c r="AQ22" s="99">
        <f>AQ20</f>
        <v/>
      </c>
      <c r="AR22" s="99">
        <f>AR20</f>
        <v/>
      </c>
      <c r="AS22" s="95">
        <f>IFERROR(IF($C22="","",IF($P$15="Cascade",$R22*(1-AR22)*AQ22,IF($P$15="Additionnelle",($N22-($N22*($P22+AR22)))*AQ22))),"Non Trouvé")</f>
        <v/>
      </c>
      <c r="AV22" s="99">
        <f>AV20</f>
        <v/>
      </c>
      <c r="AW22" s="99">
        <f>AW20</f>
        <v/>
      </c>
      <c r="AX22" s="95">
        <f>IFERROR(IF($C22="","",IF($P$15="Cascade",$R22*(1-AW22)*AV22,IF($P$15="Additionnelle",($N22-($N22*($P22+AW22)))*AV22))),"Non Trouvé")</f>
        <v/>
      </c>
      <c r="BA22" s="99">
        <f>BA20</f>
        <v/>
      </c>
      <c r="BB22" s="99">
        <f>BB20</f>
        <v/>
      </c>
      <c r="BC22" s="95">
        <f>IFERROR(IF($C22="","",IF($P$15="Cascade",$R22*(1-BB22)*BA22,IF($P$15="Additionnelle",($N22-($N22*($P22+BB22)))*BA22))),"Non Trouvé")</f>
        <v/>
      </c>
      <c r="BF22" s="99">
        <f>BF20</f>
        <v/>
      </c>
      <c r="BG22" s="99">
        <f>BG20</f>
        <v/>
      </c>
      <c r="BH22" s="95">
        <f>IFERROR(IF($C22="","",IF($P$15="Cascade",$R22*(1-BG22)*BF22,IF($P$15="Additionnelle",($N22-($N22*($P22+BG22)))*BF22))),"Non Trouvé")</f>
        <v/>
      </c>
      <c r="BK22" s="99">
        <f>BK20</f>
        <v/>
      </c>
      <c r="BL22" s="99">
        <f>BL20</f>
        <v/>
      </c>
      <c r="BM22" s="95">
        <f>IFERROR(IF($C22="","",IF($P$15="Cascade",$R22*(1-BL22)*BK22,IF($P$15="Additionnelle",($N22-($N22*($P22+BL22)))*BK22))),"Non Trouvé")</f>
        <v/>
      </c>
      <c r="BP22" s="99">
        <f>BP20</f>
        <v/>
      </c>
      <c r="BQ22" s="99">
        <f>BQ20</f>
        <v/>
      </c>
      <c r="BR22" s="95">
        <f>IFERROR(IF($C22="","",IF($P$15="Cascade",$R22*(1-BQ22)*BP22,IF($P$15="Additionnelle",($N22-($N22*($P22+BQ22)))*BP22))),"Non Trouvé")</f>
        <v/>
      </c>
      <c r="BU22" s="99">
        <f>BU20</f>
        <v/>
      </c>
      <c r="BV22" s="99">
        <f>BV20</f>
        <v/>
      </c>
      <c r="BW22" s="95">
        <f>IFERROR(IF($C22="","",IF($P$15="Cascade",$R22*(1-BV22)*BU22,IF($P$15="Additionnelle",($N22-($N22*($P22+BV22)))*BU22))),"Non Trouvé")</f>
        <v/>
      </c>
      <c r="BZ22" s="99">
        <f>BZ20</f>
        <v/>
      </c>
      <c r="CA22" s="99">
        <f>CA20</f>
        <v/>
      </c>
      <c r="CB22" s="95">
        <f>IFERROR(IF($C22="","",IF($P$15="Cascade",$R22*(1-CA22)*BZ22,IF($P$15="Additionnelle",($N22-($N22*($P22+CA22)))*BZ22))),"Non Trouvé")</f>
        <v/>
      </c>
      <c r="CE22" s="100" t="n"/>
      <c r="CF22" s="101" t="n"/>
      <c r="CG22" s="102" t="n"/>
      <c r="CH22" s="102" t="n"/>
      <c r="CI22" s="103" t="n"/>
      <c r="CK22" s="104">
        <f>IFERROR(IF(F22='[1]Paramètres Généraux'!$K$12,ROUNDUP((REGENERANTS!H22*REGENERANTS!$CF$20)*'[1]Paramètres Généraux'!$M$12,-1),IF(F22='[1]Paramètres Généraux'!$K$15,ROUNDUP((REGENERANTS!H22*REGENERANTS!$CF$20)*'[1]Paramètres Généraux'!$M$15,-1),REGENERANTS!H22*REGENERANTS!$CF$20)),"nd")</f>
        <v/>
      </c>
      <c r="CN22" s="105" t="n"/>
      <c r="CO22" s="106" t="n"/>
      <c r="CP22" s="106" t="n"/>
      <c r="CQ22" s="106" t="n"/>
      <c r="CR22" s="106" t="n"/>
      <c r="CS22" s="107" t="n"/>
      <c r="CT22" s="106" t="n"/>
      <c r="CU22" s="106" t="n"/>
      <c r="CV22" s="108" t="n"/>
      <c r="CW22" s="109" t="n"/>
      <c r="CX22" s="110" t="n"/>
      <c r="CY22" s="111" t="n"/>
      <c r="CZ22" s="109" t="n"/>
      <c r="DA22" s="112" t="n"/>
      <c r="DB22" s="113" t="n"/>
      <c r="DC22" s="109" t="n"/>
      <c r="DD22" s="114" t="n"/>
      <c r="DE22" s="113" t="n"/>
      <c r="DF22" s="109" t="n"/>
      <c r="DG22" s="109" t="n"/>
      <c r="DH22" s="109" t="n"/>
      <c r="DI22" s="109" t="n"/>
      <c r="DJ22" s="109" t="n"/>
      <c r="DK22" s="109" t="n"/>
      <c r="DL22" s="109" t="n"/>
      <c r="DM22" s="109" t="n"/>
      <c r="DN22" s="109" t="n"/>
      <c r="DO22" s="112" t="n"/>
      <c r="DP22" s="111" t="n"/>
      <c r="DQ22" s="20">
        <f>SUM(CN22:DP22)</f>
        <v/>
      </c>
      <c r="DR22" s="20">
        <f>SUM(CV22:DP22)</f>
        <v/>
      </c>
      <c r="DS22" s="20">
        <f>IFERROR((IF(AND($F22="Produit Vente",CO22&gt;0),VLOOKUP($C22,'[1]Paramètres Articles'!$B:$H,7,FALSE)*$CO22)*(1-20%)),0)</f>
        <v/>
      </c>
      <c r="DT22" s="20">
        <f>IFERROR((IF(AND($F22="Produit Vente",DR22&gt;0),VLOOKUP($C22,'[1]Paramètres Articles'!$B:$H,6,FALSE)*$DR22)*(1-15%)),0)</f>
        <v/>
      </c>
      <c r="DU22" s="20">
        <f>IFERROR(DQ22*J22,0)</f>
        <v/>
      </c>
      <c r="DW22" s="40" t="n"/>
      <c r="DX22" s="115" t="n"/>
      <c r="DY22" s="116">
        <f>VLOOKUP(DX22,C:D,2,FALSE)</f>
        <v/>
      </c>
      <c r="DZ22" s="117">
        <f>SUMIFS('[1]Moteur Produits'!$C:$C,'[1]Moteur Produits'!$B:$B,$DX22)</f>
        <v/>
      </c>
      <c r="EA22" s="118" t="n"/>
      <c r="EB22" s="41" t="n"/>
    </row>
    <row r="23" ht="12.95" customHeight="1">
      <c r="B23" s="1">
        <f>IF(C23="",0,COUNTIFS($B$22:B22,"&gt;"&amp;0)+1)</f>
        <v/>
      </c>
      <c r="C23" s="90" t="n">
        <v>1020310</v>
      </c>
      <c r="D23" s="91">
        <f>IFERROR(IF($C23="","",VLOOKUP($C23,'[1]Paramètres Articles'!$B:$G,2,FALSE)),"Non Trouvé")</f>
        <v/>
      </c>
      <c r="E23" s="92">
        <f>IFERROR(IF($C23="","",_xlfn.XLOOKUP(REGENERANTS!$C23,'[1]New Base PA'!$F:$F,'[1]New Base PA'!$D:$D,"Not Found",0)),"Non Trouvé")</f>
        <v/>
      </c>
      <c r="F23" s="93" t="inlineStr">
        <is>
          <t>Produit Vente</t>
        </is>
      </c>
      <c r="H23" s="94" t="n">
        <v>4</v>
      </c>
      <c r="J23" s="95">
        <f>IFERROR(IF($C23="","",VLOOKUP($C23,'[1]New Base PA'!$F:$J,5,FALSE)),"Non Trouvé")</f>
        <v/>
      </c>
      <c r="K23" s="95">
        <f>IFERROR(IF($C23="","",$J23*$H23),"Non Trouvé")</f>
        <v/>
      </c>
      <c r="L23" s="96" t="n"/>
      <c r="M23" s="95">
        <f>IFERROR(IF(AND($F23="Produit Vente",H23&gt;0),VLOOKUP($C23,'[1]Paramètres Articles'!$B:$G,6,FALSE),0),"Non Trouvé")</f>
        <v/>
      </c>
      <c r="N23" s="95">
        <f>IFERROR(IF($C23="","",$M23*$H23),"Non Trouvé")</f>
        <v/>
      </c>
      <c r="P23" s="97" t="n">
        <v>0.15</v>
      </c>
      <c r="R23" s="95">
        <f>IFERROR(IF($C23="","",$N23*(1-$P23)),"Non Trouvé")</f>
        <v/>
      </c>
      <c r="S23" s="96" t="n"/>
      <c r="T23" s="95">
        <f>IFERROR(IF($C23="","",VLOOKUP($C23,'[1]Paramètres Articles'!$B:$H,7,FALSE)),"Non Trouvé")</f>
        <v/>
      </c>
      <c r="U23" s="98" t="n"/>
      <c r="V23" s="95">
        <f>IFERROR(IF($C23="","",IF($P23="","",$T23*(1-$P23))),"Non Trouvé")</f>
        <v/>
      </c>
      <c r="W23" s="96" t="n"/>
      <c r="X23" s="95">
        <f>IFERROR(T23-V23,"")</f>
        <v/>
      </c>
      <c r="Y23" s="96" t="n"/>
      <c r="Z23" s="95">
        <f>IFERROR(IF(OR(T23=0,T23=""),0,T23*H23),"Non Trouvé")</f>
        <v/>
      </c>
      <c r="AB23" s="99">
        <f>AB22</f>
        <v/>
      </c>
      <c r="AC23" s="99">
        <f>AC22</f>
        <v/>
      </c>
      <c r="AD23" s="95">
        <f>IFERROR(IF($C23="","",IF($P$15="Cascade",$R23*(1-AC23)*AB23,IF($P$15="Additionnelle",($N23-($N23*($P23+AC23)))*AB23))),"Non Trouvé")</f>
        <v/>
      </c>
      <c r="AG23" s="99">
        <f>AG22</f>
        <v/>
      </c>
      <c r="AH23" s="99">
        <f>AH22</f>
        <v/>
      </c>
      <c r="AI23" s="95">
        <f>IFERROR(IF($C23="","",IF($P$15="Cascade",$R23*(1-AH23)*AG23,IF($P$15="Additionnelle",($N23-($N23*($P23+AH23)))*AG23))),"Non Trouvé")</f>
        <v/>
      </c>
      <c r="AL23" s="99">
        <f>AL22</f>
        <v/>
      </c>
      <c r="AM23" s="99">
        <f>AM22</f>
        <v/>
      </c>
      <c r="AN23" s="95">
        <f>IFERROR(IF($C23="","",IF($P$15="Cascade",$R23*(1-AM23)*AL23,IF($P$15="Additionnelle",($N23-($N23*($P23+AM23)))*AL23))),"Non Trouvé")</f>
        <v/>
      </c>
      <c r="AQ23" s="99">
        <f>AQ22</f>
        <v/>
      </c>
      <c r="AR23" s="99">
        <f>AR22</f>
        <v/>
      </c>
      <c r="AS23" s="95">
        <f>IFERROR(IF($C23="","",IF($P$15="Cascade",$R23*(1-AR23)*AQ23,IF($P$15="Additionnelle",($N23-($N23*($P23+AR23)))*AQ23))),"Non Trouvé")</f>
        <v/>
      </c>
      <c r="AV23" s="99">
        <f>AV22</f>
        <v/>
      </c>
      <c r="AW23" s="99">
        <f>AW22</f>
        <v/>
      </c>
      <c r="AX23" s="95">
        <f>IFERROR(IF($C23="","",IF($P$15="Cascade",$R23*(1-AW23)*AV23,IF($P$15="Additionnelle",($N23-($N23*($P23+AW23)))*AV23))),"Non Trouvé")</f>
        <v/>
      </c>
      <c r="BA23" s="99">
        <f>BA22</f>
        <v/>
      </c>
      <c r="BB23" s="99">
        <f>BB22</f>
        <v/>
      </c>
      <c r="BC23" s="95">
        <f>IFERROR(IF($C23="","",IF($P$15="Cascade",$R23*(1-BB23)*BA23,IF($P$15="Additionnelle",($N23-($N23*($P23+BB23)))*BA23))),"Non Trouvé")</f>
        <v/>
      </c>
      <c r="BF23" s="99">
        <f>BF22</f>
        <v/>
      </c>
      <c r="BG23" s="99">
        <f>BG22</f>
        <v/>
      </c>
      <c r="BH23" s="95">
        <f>IFERROR(IF($C23="","",IF($P$15="Cascade",$R23*(1-BG23)*BF23,IF($P$15="Additionnelle",($N23-($N23*($P23+BG23)))*BF23))),"Non Trouvé")</f>
        <v/>
      </c>
      <c r="BK23" s="99">
        <f>BK22</f>
        <v/>
      </c>
      <c r="BL23" s="99">
        <f>BL22</f>
        <v/>
      </c>
      <c r="BM23" s="95">
        <f>IFERROR(IF($C23="","",IF($P$15="Cascade",$R23*(1-BL23)*BK23,IF($P$15="Additionnelle",($N23-($N23*($P23+BL23)))*BK23))),"Non Trouvé")</f>
        <v/>
      </c>
      <c r="BP23" s="99">
        <f>BP22</f>
        <v/>
      </c>
      <c r="BQ23" s="99">
        <f>BQ22</f>
        <v/>
      </c>
      <c r="BR23" s="95">
        <f>IFERROR(IF($C23="","",IF($P$15="Cascade",$R23*(1-BQ23)*BP23,IF($P$15="Additionnelle",($N23-($N23*($P23+BQ23)))*BP23))),"Non Trouvé")</f>
        <v/>
      </c>
      <c r="BU23" s="99">
        <f>BU22</f>
        <v/>
      </c>
      <c r="BV23" s="99">
        <f>BV22</f>
        <v/>
      </c>
      <c r="BW23" s="95">
        <f>IFERROR(IF($C23="","",IF($P$15="Cascade",$R23*(1-BV23)*BU23,IF($P$15="Additionnelle",($N23-($N23*($P23+BV23)))*BU23))),"Non Trouvé")</f>
        <v/>
      </c>
      <c r="BZ23" s="99">
        <f>BZ22</f>
        <v/>
      </c>
      <c r="CA23" s="99">
        <f>CA22</f>
        <v/>
      </c>
      <c r="CB23" s="95">
        <f>IFERROR(IF($C23="","",IF($P$15="Cascade",$R23*(1-CA23)*BZ23,IF($P$15="Additionnelle",($N23-($N23*($P23+CA23)))*BZ23))),"Non Trouvé")</f>
        <v/>
      </c>
      <c r="CE23" s="100" t="n"/>
      <c r="CF23" s="119" t="n"/>
      <c r="CG23" s="120" t="inlineStr">
        <is>
          <t>Prix Offre Moy. Remisé :</t>
        </is>
      </c>
      <c r="CH23" s="121">
        <f>CG20/CF20</f>
        <v/>
      </c>
      <c r="CI23" s="103" t="n"/>
      <c r="CK23" s="104">
        <f>IFERROR(IF(F23='[1]Paramètres Généraux'!$K$12,ROUNDUP((REGENERANTS!H23*REGENERANTS!$CF$20)*'[1]Paramètres Généraux'!$M$12,-1),IF(F23='[1]Paramètres Généraux'!$K$15,ROUNDUP((REGENERANTS!H23*REGENERANTS!$CF$20)*'[1]Paramètres Généraux'!$M$15,-1),REGENERANTS!H23*REGENERANTS!$CF$20)),"nd")</f>
        <v/>
      </c>
      <c r="CL23" s="122" t="n"/>
      <c r="CN23" s="105" t="n"/>
      <c r="CO23" s="106" t="n"/>
      <c r="CP23" s="106" t="n"/>
      <c r="CQ23" s="106" t="n"/>
      <c r="CR23" s="106" t="n"/>
      <c r="CS23" s="107" t="n"/>
      <c r="CT23" s="106" t="n"/>
      <c r="CU23" s="106" t="n"/>
      <c r="CV23" s="108" t="n"/>
      <c r="CW23" s="109" t="n"/>
      <c r="CX23" s="110" t="n"/>
      <c r="CY23" s="111" t="n"/>
      <c r="CZ23" s="109" t="n"/>
      <c r="DA23" s="112" t="n"/>
      <c r="DB23" s="113" t="n"/>
      <c r="DC23" s="109" t="n"/>
      <c r="DD23" s="114" t="n"/>
      <c r="DE23" s="113" t="n"/>
      <c r="DF23" s="109" t="n"/>
      <c r="DG23" s="109" t="n"/>
      <c r="DH23" s="109" t="n"/>
      <c r="DI23" s="109" t="n"/>
      <c r="DJ23" s="109" t="n"/>
      <c r="DK23" s="109" t="n"/>
      <c r="DL23" s="109" t="n"/>
      <c r="DM23" s="109" t="n"/>
      <c r="DN23" s="109" t="n"/>
      <c r="DO23" s="112" t="n"/>
      <c r="DP23" s="111" t="n"/>
      <c r="DQ23" s="20">
        <f>SUM(CN23:DP23)</f>
        <v/>
      </c>
      <c r="DR23" s="20">
        <f>SUM(CV23:DP23)</f>
        <v/>
      </c>
      <c r="DS23" s="20">
        <f>IFERROR((IF(AND($F23="Produit Vente",CO23&gt;0),VLOOKUP($C23,'[1]Paramètres Articles'!$B:$H,7,FALSE)*$CO23)*(1-20%)),0)</f>
        <v/>
      </c>
      <c r="DT23" s="20">
        <f>IFERROR((IF(AND($F23="Produit Vente",DR23&gt;0),VLOOKUP($C23,'[1]Paramètres Articles'!$B:$H,6,FALSE)*$DR23)*(1-15%)),0)</f>
        <v/>
      </c>
      <c r="DU23" s="20">
        <f>IFERROR(DQ23*J23,0)</f>
        <v/>
      </c>
      <c r="DW23" s="40" t="n"/>
      <c r="DX23" s="115" t="n"/>
      <c r="DY23" s="116">
        <f>VLOOKUP(DX23,C:D,2,FALSE)</f>
        <v/>
      </c>
      <c r="DZ23" s="117">
        <f>SUMIFS('[1]Moteur Produits'!$C:$C,'[1]Moteur Produits'!$B:$B,$DX23)</f>
        <v/>
      </c>
      <c r="EA23" s="118" t="n"/>
      <c r="EB23" s="41" t="n"/>
    </row>
    <row r="24" ht="12.95" customHeight="1">
      <c r="B24" s="1">
        <f>IF(C24="",0,COUNTIFS($B$22:B23,"&gt;"&amp;0)+1)</f>
        <v/>
      </c>
      <c r="C24" s="90" t="n">
        <v>1020401</v>
      </c>
      <c r="D24" s="91">
        <f>IFERROR(IF($C24="","",VLOOKUP($C24,'[1]Paramètres Articles'!$B:$G,2,FALSE)),"Non Trouvé")</f>
        <v/>
      </c>
      <c r="E24" s="92">
        <f>IFERROR(IF($C24="","",_xlfn.XLOOKUP(REGENERANTS!$C24,'[1]New Base PA'!$F:$F,'[1]New Base PA'!$D:$D,"Not Found",0)),"Non Trouvé")</f>
        <v/>
      </c>
      <c r="F24" s="93" t="inlineStr">
        <is>
          <t>Produit Vente</t>
        </is>
      </c>
      <c r="H24" s="94" t="n">
        <v>5</v>
      </c>
      <c r="J24" s="95">
        <f>IFERROR(IF($C24="","",VLOOKUP($C24,'[1]New Base PA'!$F:$J,5,FALSE)),"Non Trouvé")</f>
        <v/>
      </c>
      <c r="K24" s="95">
        <f>IFERROR(IF($C24="","",$J24*$H24),"Non Trouvé")</f>
        <v/>
      </c>
      <c r="L24" s="96" t="n"/>
      <c r="M24" s="95">
        <f>IFERROR(IF(AND($F24="Produit Vente",H24&gt;0),VLOOKUP($C24,'[1]Paramètres Articles'!$B:$G,6,FALSE),0),"Non Trouvé")</f>
        <v/>
      </c>
      <c r="N24" s="95">
        <f>IFERROR(IF($C24="","",$M24*$H24),"Non Trouvé")</f>
        <v/>
      </c>
      <c r="P24" s="97" t="n">
        <v>0.15</v>
      </c>
      <c r="R24" s="95">
        <f>IFERROR(IF($C24="","",$N24*(1-$P24)),"Non Trouvé")</f>
        <v/>
      </c>
      <c r="S24" s="96" t="n"/>
      <c r="T24" s="95">
        <f>IFERROR(IF($C24="","",VLOOKUP($C24,'[1]Paramètres Articles'!$B:$H,7,FALSE)),"Non Trouvé")</f>
        <v/>
      </c>
      <c r="U24" s="98" t="n"/>
      <c r="V24" s="95">
        <f>IFERROR(IF($C24="","",IF($P24="","",$T24*(1-$P24))),"Non Trouvé")</f>
        <v/>
      </c>
      <c r="W24" s="96" t="n"/>
      <c r="X24" s="95">
        <f>IFERROR(T24-V24,"")</f>
        <v/>
      </c>
      <c r="Y24" s="96" t="n"/>
      <c r="Z24" s="95">
        <f>IFERROR(IF(OR(T24=0,T24=""),0,T24*H24),"Non Trouvé")</f>
        <v/>
      </c>
      <c r="AB24" s="99">
        <f>AB23</f>
        <v/>
      </c>
      <c r="AC24" s="99">
        <f>AC23</f>
        <v/>
      </c>
      <c r="AD24" s="95">
        <f>IFERROR(IF($C24="","",IF($P$15="Cascade",$R24*(1-AC24)*AB24,IF($P$15="Additionnelle",($N24-($N24*($P24+AC24)))*AB24))),"Non Trouvé")</f>
        <v/>
      </c>
      <c r="AG24" s="99">
        <f>AG23</f>
        <v/>
      </c>
      <c r="AH24" s="99">
        <f>AH23</f>
        <v/>
      </c>
      <c r="AI24" s="95">
        <f>IFERROR(IF($C24="","",IF($P$15="Cascade",$R24*(1-AH24)*AG24,IF($P$15="Additionnelle",($N24-($N24*($P24+AH24)))*AG24))),"Non Trouvé")</f>
        <v/>
      </c>
      <c r="AL24" s="99">
        <f>AL23</f>
        <v/>
      </c>
      <c r="AM24" s="99">
        <f>AM23</f>
        <v/>
      </c>
      <c r="AN24" s="95">
        <f>IFERROR(IF($C24="","",IF($P$15="Cascade",$R24*(1-AM24)*AL24,IF($P$15="Additionnelle",($N24-($N24*($P24+AM24)))*AL24))),"Non Trouvé")</f>
        <v/>
      </c>
      <c r="AQ24" s="99">
        <f>AQ23</f>
        <v/>
      </c>
      <c r="AR24" s="99">
        <f>AR23</f>
        <v/>
      </c>
      <c r="AS24" s="95">
        <f>IFERROR(IF($C24="","",IF($P$15="Cascade",$R24*(1-AR24)*AQ24,IF($P$15="Additionnelle",($N24-($N24*($P24+AR24)))*AQ24))),"Non Trouvé")</f>
        <v/>
      </c>
      <c r="AV24" s="99">
        <f>AV23</f>
        <v/>
      </c>
      <c r="AW24" s="99">
        <f>AW23</f>
        <v/>
      </c>
      <c r="AX24" s="95">
        <f>IFERROR(IF($C24="","",IF($P$15="Cascade",$R24*(1-AW24)*AV24,IF($P$15="Additionnelle",($N24-($N24*($P24+AW24)))*AV24))),"Non Trouvé")</f>
        <v/>
      </c>
      <c r="BA24" s="99">
        <f>BA23</f>
        <v/>
      </c>
      <c r="BB24" s="99">
        <f>BB23</f>
        <v/>
      </c>
      <c r="BC24" s="95">
        <f>IFERROR(IF($C24="","",IF($P$15="Cascade",$R24*(1-BB24)*BA24,IF($P$15="Additionnelle",($N24-($N24*($P24+BB24)))*BA24))),"Non Trouvé")</f>
        <v/>
      </c>
      <c r="BF24" s="99">
        <f>BF23</f>
        <v/>
      </c>
      <c r="BG24" s="99">
        <f>BG23</f>
        <v/>
      </c>
      <c r="BH24" s="95">
        <f>IFERROR(IF($C24="","",IF($P$15="Cascade",$R24*(1-BG24)*BF24,IF($P$15="Additionnelle",($N24-($N24*($P24+BG24)))*BF24))),"Non Trouvé")</f>
        <v/>
      </c>
      <c r="BK24" s="99">
        <f>BK23</f>
        <v/>
      </c>
      <c r="BL24" s="99">
        <f>BL23</f>
        <v/>
      </c>
      <c r="BM24" s="95">
        <f>IFERROR(IF($C24="","",IF($P$15="Cascade",$R24*(1-BL24)*BK24,IF($P$15="Additionnelle",($N24-($N24*($P24+BL24)))*BK24))),"Non Trouvé")</f>
        <v/>
      </c>
      <c r="BP24" s="99">
        <f>BP23</f>
        <v/>
      </c>
      <c r="BQ24" s="99">
        <f>BQ23</f>
        <v/>
      </c>
      <c r="BR24" s="95">
        <f>IFERROR(IF($C24="","",IF($P$15="Cascade",$R24*(1-BQ24)*BP24,IF($P$15="Additionnelle",($N24-($N24*($P24+BQ24)))*BP24))),"Non Trouvé")</f>
        <v/>
      </c>
      <c r="BU24" s="99">
        <f>BU23</f>
        <v/>
      </c>
      <c r="BV24" s="99">
        <f>BV23</f>
        <v/>
      </c>
      <c r="BW24" s="95">
        <f>IFERROR(IF($C24="","",IF($P$15="Cascade",$R24*(1-BV24)*BU24,IF($P$15="Additionnelle",($N24-($N24*($P24+BV24)))*BU24))),"Non Trouvé")</f>
        <v/>
      </c>
      <c r="BZ24" s="99">
        <f>BZ23</f>
        <v/>
      </c>
      <c r="CA24" s="99">
        <f>CA23</f>
        <v/>
      </c>
      <c r="CB24" s="95">
        <f>IFERROR(IF($C24="","",IF($P$15="Cascade",$R24*(1-CA24)*BZ24,IF($P$15="Additionnelle",($N24-($N24*($P24+CA24)))*BZ24))),"Non Trouvé")</f>
        <v/>
      </c>
      <c r="CE24" s="100" t="n"/>
      <c r="CF24" s="119" t="n"/>
      <c r="CG24" s="120" t="inlineStr">
        <is>
          <t>Poids Gratuités achats :</t>
        </is>
      </c>
      <c r="CH24" s="123">
        <f>SUM(CH26:CH29)</f>
        <v/>
      </c>
      <c r="CI24" s="103" t="n"/>
      <c r="CK24" s="104">
        <f>IFERROR(IF(F24='[1]Paramètres Généraux'!$K$12,ROUNDUP((REGENERANTS!H24*REGENERANTS!$CF$20)*'[1]Paramètres Généraux'!$M$12,-1),IF(F24='[1]Paramètres Généraux'!$K$15,ROUNDUP((REGENERANTS!H24*REGENERANTS!$CF$20)*'[1]Paramètres Généraux'!$M$15,-1),REGENERANTS!H24*REGENERANTS!$CF$20)),"nd")</f>
        <v/>
      </c>
      <c r="CN24" s="105" t="n"/>
      <c r="CO24" s="106" t="n"/>
      <c r="CP24" s="106" t="n"/>
      <c r="CQ24" s="106" t="n"/>
      <c r="CR24" s="106" t="n"/>
      <c r="CS24" s="107" t="n"/>
      <c r="CT24" s="106" t="n"/>
      <c r="CU24" s="106" t="n"/>
      <c r="CV24" s="108" t="n"/>
      <c r="CW24" s="109" t="n"/>
      <c r="CX24" s="110" t="n"/>
      <c r="CY24" s="111" t="n"/>
      <c r="CZ24" s="109" t="n"/>
      <c r="DA24" s="112" t="n"/>
      <c r="DB24" s="113" t="n"/>
      <c r="DC24" s="109" t="n"/>
      <c r="DD24" s="114" t="n"/>
      <c r="DE24" s="113" t="n"/>
      <c r="DF24" s="109" t="n"/>
      <c r="DG24" s="109" t="n"/>
      <c r="DH24" s="109" t="n"/>
      <c r="DI24" s="109" t="n"/>
      <c r="DJ24" s="109" t="n"/>
      <c r="DK24" s="109" t="n"/>
      <c r="DL24" s="109" t="n"/>
      <c r="DM24" s="109" t="n"/>
      <c r="DN24" s="109" t="n"/>
      <c r="DO24" s="112" t="n"/>
      <c r="DP24" s="111" t="n"/>
      <c r="DQ24" s="20">
        <f>SUM(CN24:DP24)</f>
        <v/>
      </c>
      <c r="DR24" s="20">
        <f>SUM(CV24:DP24)</f>
        <v/>
      </c>
      <c r="DS24" s="20">
        <f>IFERROR((IF(AND($F24="Produit Vente",CO24&gt;0),VLOOKUP($C24,'[1]Paramètres Articles'!$B:$H,7,FALSE)*$CO24)*(1-20%)),0)</f>
        <v/>
      </c>
      <c r="DT24" s="20">
        <f>IFERROR((IF(AND($F24="Produit Vente",DR24&gt;0),VLOOKUP($C24,'[1]Paramètres Articles'!$B:$H,6,FALSE)*$DR24)*(1-15%)),0)</f>
        <v/>
      </c>
      <c r="DU24" s="20">
        <f>IFERROR(DQ24*J24,0)</f>
        <v/>
      </c>
      <c r="DW24" s="40" t="n"/>
      <c r="DX24" s="115" t="n"/>
      <c r="DY24" s="116">
        <f>VLOOKUP(DX24,C:D,2,FALSE)</f>
        <v/>
      </c>
      <c r="DZ24" s="117">
        <f>SUMIFS('[1]Moteur Produits'!$C:$C,'[1]Moteur Produits'!$B:$B,$DX24)</f>
        <v/>
      </c>
      <c r="EA24" s="118" t="n"/>
      <c r="EB24" s="41" t="n"/>
    </row>
    <row r="25" ht="12.95" customHeight="1">
      <c r="B25" s="1">
        <f>IF(C25="",0,COUNTIFS($B$22:B24,"&gt;"&amp;0)+1)</f>
        <v/>
      </c>
      <c r="C25" s="90" t="n">
        <v>1020302</v>
      </c>
      <c r="D25" s="91">
        <f>IFERROR(IF($C25="","",VLOOKUP($C25,'[1]Paramètres Articles'!$B:$G,2,FALSE)),"Non Trouvé")</f>
        <v/>
      </c>
      <c r="E25" s="92">
        <f>IFERROR(IF($C25="","",_xlfn.XLOOKUP(REGENERANTS!$C25,'[1]New Base PA'!$F:$F,'[1]New Base PA'!$D:$D,"Not Found",0)),"Non Trouvé")</f>
        <v/>
      </c>
      <c r="F25" s="93" t="inlineStr">
        <is>
          <t>Produit Vente</t>
        </is>
      </c>
      <c r="H25" s="94" t="n">
        <v>1</v>
      </c>
      <c r="J25" s="95">
        <f>IFERROR(IF($C25="","",VLOOKUP($C25,'[1]New Base PA'!$F:$J,5,FALSE)),"Non Trouvé")</f>
        <v/>
      </c>
      <c r="K25" s="95">
        <f>IFERROR(IF($C25="","",$J25*$H25),"Non Trouvé")</f>
        <v/>
      </c>
      <c r="L25" s="96" t="n"/>
      <c r="M25" s="95">
        <f>IFERROR(IF(AND($F25="Produit Vente",H25&gt;0),VLOOKUP($C25,'[1]Paramètres Articles'!$B:$G,6,FALSE),0),"Non Trouvé")</f>
        <v/>
      </c>
      <c r="N25" s="95">
        <f>IFERROR(IF($C25="","",$M25*$H25),"Non Trouvé")</f>
        <v/>
      </c>
      <c r="P25" s="97" t="n">
        <v>0.15</v>
      </c>
      <c r="R25" s="95">
        <f>IFERROR(IF($C25="","",$N25*(1-$P25)),"Non Trouvé")</f>
        <v/>
      </c>
      <c r="S25" s="96" t="n"/>
      <c r="T25" s="95">
        <f>IFERROR(IF($C25="","",VLOOKUP($C25,'[1]Paramètres Articles'!$B:$H,7,FALSE)),"Non Trouvé")</f>
        <v/>
      </c>
      <c r="U25" s="98" t="n"/>
      <c r="V25" s="95">
        <f>IFERROR(IF($C25="","",IF($P25="","",$T25*(1-$P25))),"Non Trouvé")</f>
        <v/>
      </c>
      <c r="W25" s="96" t="n"/>
      <c r="X25" s="95">
        <f>IFERROR(T25-V25,"")</f>
        <v/>
      </c>
      <c r="Y25" s="96" t="n"/>
      <c r="Z25" s="95">
        <f>IFERROR(IF(OR(T25=0,T25=""),0,T25*H25),"Non Trouvé")</f>
        <v/>
      </c>
      <c r="AB25" s="99">
        <f>AB24</f>
        <v/>
      </c>
      <c r="AC25" s="99">
        <f>AC24</f>
        <v/>
      </c>
      <c r="AD25" s="95">
        <f>IFERROR(IF($C25="","",IF($P$15="Cascade",$R25*(1-AC25)*AB25,IF($P$15="Additionnelle",($N25-($N25*($P25+AC25)))*AB25))),"Non Trouvé")</f>
        <v/>
      </c>
      <c r="AG25" s="99">
        <f>AG24</f>
        <v/>
      </c>
      <c r="AH25" s="99">
        <f>AH24</f>
        <v/>
      </c>
      <c r="AI25" s="95">
        <f>IFERROR(IF($C25="","",IF($P$15="Cascade",$R25*(1-AH25)*AG25,IF($P$15="Additionnelle",($N25-($N25*($P25+AH25)))*AG25))),"Non Trouvé")</f>
        <v/>
      </c>
      <c r="AL25" s="99">
        <f>AL24</f>
        <v/>
      </c>
      <c r="AM25" s="99">
        <f>AM24</f>
        <v/>
      </c>
      <c r="AN25" s="95">
        <f>IFERROR(IF($C25="","",IF($P$15="Cascade",$R25*(1-AM25)*AL25,IF($P$15="Additionnelle",($N25-($N25*($P25+AM25)))*AL25))),"Non Trouvé")</f>
        <v/>
      </c>
      <c r="AQ25" s="99">
        <f>AQ24</f>
        <v/>
      </c>
      <c r="AR25" s="99">
        <f>AR24</f>
        <v/>
      </c>
      <c r="AS25" s="95">
        <f>IFERROR(IF($C25="","",IF($P$15="Cascade",$R25*(1-AR25)*AQ25,IF($P$15="Additionnelle",($N25-($N25*($P25+AR25)))*AQ25))),"Non Trouvé")</f>
        <v/>
      </c>
      <c r="AV25" s="99">
        <f>AV24</f>
        <v/>
      </c>
      <c r="AW25" s="99">
        <f>AW24</f>
        <v/>
      </c>
      <c r="AX25" s="95">
        <f>IFERROR(IF($C25="","",IF($P$15="Cascade",$R25*(1-AW25)*AV25,IF($P$15="Additionnelle",($N25-($N25*($P25+AW25)))*AV25))),"Non Trouvé")</f>
        <v/>
      </c>
      <c r="BA25" s="99">
        <f>BA24</f>
        <v/>
      </c>
      <c r="BB25" s="99">
        <f>BB24</f>
        <v/>
      </c>
      <c r="BC25" s="95">
        <f>IFERROR(IF($C25="","",IF($P$15="Cascade",$R25*(1-BB25)*BA25,IF($P$15="Additionnelle",($N25-($N25*($P25+BB25)))*BA25))),"Non Trouvé")</f>
        <v/>
      </c>
      <c r="BF25" s="99">
        <f>BF24</f>
        <v/>
      </c>
      <c r="BG25" s="99">
        <f>BG24</f>
        <v/>
      </c>
      <c r="BH25" s="95">
        <f>IFERROR(IF($C25="","",IF($P$15="Cascade",$R25*(1-BG25)*BF25,IF($P$15="Additionnelle",($N25-($N25*($P25+BG25)))*BF25))),"Non Trouvé")</f>
        <v/>
      </c>
      <c r="BK25" s="99">
        <f>BK24</f>
        <v/>
      </c>
      <c r="BL25" s="99">
        <f>BL24</f>
        <v/>
      </c>
      <c r="BM25" s="95">
        <f>IFERROR(IF($C25="","",IF($P$15="Cascade",$R25*(1-BL25)*BK25,IF($P$15="Additionnelle",($N25-($N25*($P25+BL25)))*BK25))),"Non Trouvé")</f>
        <v/>
      </c>
      <c r="BP25" s="99">
        <f>BP24</f>
        <v/>
      </c>
      <c r="BQ25" s="99">
        <f>BQ24</f>
        <v/>
      </c>
      <c r="BR25" s="95">
        <f>IFERROR(IF($C25="","",IF($P$15="Cascade",$R25*(1-BQ25)*BP25,IF($P$15="Additionnelle",($N25-($N25*($P25+BQ25)))*BP25))),"Non Trouvé")</f>
        <v/>
      </c>
      <c r="BU25" s="99">
        <f>BU24</f>
        <v/>
      </c>
      <c r="BV25" s="99">
        <f>BV24</f>
        <v/>
      </c>
      <c r="BW25" s="95">
        <f>IFERROR(IF($C25="","",IF($P$15="Cascade",$R25*(1-BV25)*BU25,IF($P$15="Additionnelle",($N25-($N25*($P25+BV25)))*BU25))),"Non Trouvé")</f>
        <v/>
      </c>
      <c r="BZ25" s="99">
        <f>BZ24</f>
        <v/>
      </c>
      <c r="CA25" s="99">
        <f>CA24</f>
        <v/>
      </c>
      <c r="CB25" s="95">
        <f>IFERROR(IF($C25="","",IF($P$15="Cascade",$R25*(1-CA25)*BZ25,IF($P$15="Additionnelle",($N25-($N25*($P25+CA25)))*BZ25))),"Non Trouvé")</f>
        <v/>
      </c>
      <c r="CE25" s="100" t="n"/>
      <c r="CF25" s="101" t="n"/>
      <c r="CG25" s="102" t="n"/>
      <c r="CH25" s="102" t="n"/>
      <c r="CI25" s="103" t="n"/>
      <c r="CK25" s="104">
        <f>IFERROR(IF(F25='[1]Paramètres Généraux'!$K$12,ROUNDUP((REGENERANTS!H25*REGENERANTS!$CF$20)*'[1]Paramètres Généraux'!$M$12,-1),IF(F25='[1]Paramètres Généraux'!$K$15,ROUNDUP((REGENERANTS!H25*REGENERANTS!$CF$20)*'[1]Paramètres Généraux'!$M$15,-1),REGENERANTS!H25*REGENERANTS!$CF$20)),"nd")</f>
        <v/>
      </c>
      <c r="CN25" s="105" t="n"/>
      <c r="CO25" s="106" t="n"/>
      <c r="CP25" s="106" t="n"/>
      <c r="CQ25" s="106" t="n"/>
      <c r="CR25" s="106" t="n"/>
      <c r="CS25" s="107" t="n"/>
      <c r="CT25" s="106" t="n"/>
      <c r="CU25" s="106" t="n"/>
      <c r="CV25" s="108" t="n"/>
      <c r="CW25" s="109" t="n"/>
      <c r="CX25" s="110" t="n"/>
      <c r="CY25" s="111" t="n"/>
      <c r="CZ25" s="109" t="n"/>
      <c r="DA25" s="112" t="n"/>
      <c r="DB25" s="113" t="n"/>
      <c r="DC25" s="109" t="n"/>
      <c r="DD25" s="114" t="n"/>
      <c r="DE25" s="113" t="n"/>
      <c r="DF25" s="109" t="n"/>
      <c r="DG25" s="109" t="n"/>
      <c r="DH25" s="109" t="n"/>
      <c r="DI25" s="109" t="n"/>
      <c r="DJ25" s="109" t="n"/>
      <c r="DK25" s="109" t="n"/>
      <c r="DL25" s="109" t="n"/>
      <c r="DM25" s="109" t="n"/>
      <c r="DN25" s="109" t="n"/>
      <c r="DO25" s="112" t="n"/>
      <c r="DP25" s="111" t="n"/>
      <c r="DQ25" s="20">
        <f>SUM(CN25:DP25)</f>
        <v/>
      </c>
      <c r="DR25" s="20">
        <f>SUM(CV25:DP25)</f>
        <v/>
      </c>
      <c r="DS25" s="20">
        <f>IFERROR((IF(AND($F25="Produit Vente",CO25&gt;0),VLOOKUP($C25,'[1]Paramètres Articles'!$B:$H,7,FALSE)*$CO25)*(1-20%)),0)</f>
        <v/>
      </c>
      <c r="DT25" s="20">
        <f>IFERROR((IF(AND($F25="Produit Vente",DR25&gt;0),VLOOKUP($C25,'[1]Paramètres Articles'!$B:$H,6,FALSE)*$DR25)*(1-15%)),0)</f>
        <v/>
      </c>
      <c r="DU25" s="20">
        <f>IFERROR(DQ25*J25,0)</f>
        <v/>
      </c>
      <c r="DW25" s="40" t="n"/>
      <c r="DX25" s="115" t="n"/>
      <c r="DY25" s="116">
        <f>VLOOKUP(DX25,C:D,2,FALSE)</f>
        <v/>
      </c>
      <c r="DZ25" s="117">
        <f>SUMIFS('[1]Moteur Produits'!$C:$C,'[1]Moteur Produits'!$B:$B,$DX25)</f>
        <v/>
      </c>
      <c r="EA25" s="124" t="n"/>
      <c r="EB25" s="41" t="n"/>
    </row>
    <row r="26" ht="12.95" customHeight="1">
      <c r="B26" s="1">
        <f>IF(C26="",0,COUNTIFS($B$22:B25,"&gt;"&amp;0)+1)</f>
        <v/>
      </c>
      <c r="C26" s="90" t="n">
        <v>1020721</v>
      </c>
      <c r="D26" s="91">
        <f>IFERROR(IF($C26="","",VLOOKUP($C26,'[1]Paramètres Articles'!$B:$G,2,FALSE)),"Non Trouvé")</f>
        <v/>
      </c>
      <c r="E26" s="92">
        <f>IFERROR(IF($C26="","",_xlfn.XLOOKUP(REGENERANTS!$C26,'[1]New Base PA'!$F:$F,'[1]New Base PA'!$D:$D,"Not Found",0)),"Non Trouvé")</f>
        <v/>
      </c>
      <c r="F26" s="93" t="inlineStr">
        <is>
          <t>Produit Vente</t>
        </is>
      </c>
      <c r="H26" s="94" t="n">
        <v>0</v>
      </c>
      <c r="J26" s="95">
        <f>IFERROR(IF($C26="","",VLOOKUP($C26,'[1]New Base PA'!$F:$J,5,FALSE)),"Non Trouvé")</f>
        <v/>
      </c>
      <c r="K26" s="95">
        <f>IFERROR(IF($C26="","",$J26*$H26),"Non Trouvé")</f>
        <v/>
      </c>
      <c r="L26" s="96" t="n"/>
      <c r="M26" s="95">
        <f>IFERROR(IF(AND($F26="Produit Vente",H26&gt;0),VLOOKUP($C26,'[1]Paramètres Articles'!$B:$G,6,FALSE),0),"Non Trouvé")</f>
        <v/>
      </c>
      <c r="N26" s="95">
        <f>IFERROR(IF($C26="","",$M26*$H26),"Non Trouvé")</f>
        <v/>
      </c>
      <c r="P26" s="97" t="n">
        <v>0.15</v>
      </c>
      <c r="R26" s="95">
        <f>IFERROR(IF($C26="","",$N26*(1-$P26)),"Non Trouvé")</f>
        <v/>
      </c>
      <c r="S26" s="96" t="n"/>
      <c r="T26" s="95">
        <f>IFERROR(IF($C26="","",VLOOKUP($C26,'[1]Paramètres Articles'!$B:$H,7,FALSE)),"Non Trouvé")</f>
        <v/>
      </c>
      <c r="U26" s="98" t="n"/>
      <c r="V26" s="95">
        <f>IFERROR(IF($C26="","",IF($P26="","",$T26*(1-$P26))),"Non Trouvé")</f>
        <v/>
      </c>
      <c r="W26" s="96" t="n"/>
      <c r="X26" s="95">
        <f>IFERROR(T26-V26,"")</f>
        <v/>
      </c>
      <c r="Y26" s="96" t="n"/>
      <c r="Z26" s="95">
        <f>IFERROR(IF(OR(T26=0,T26=""),0,T26*H26),"Non Trouvé")</f>
        <v/>
      </c>
      <c r="AB26" s="99">
        <f>AB25</f>
        <v/>
      </c>
      <c r="AC26" s="99">
        <f>AC25</f>
        <v/>
      </c>
      <c r="AD26" s="95">
        <f>IFERROR(IF($C26="","",IF($P$15="Cascade",$R26*(1-AC26)*AB26,IF($P$15="Additionnelle",($N26-($N26*($P26+AC26)))*AB26))),"Non Trouvé")</f>
        <v/>
      </c>
      <c r="AG26" s="99">
        <f>AG25</f>
        <v/>
      </c>
      <c r="AH26" s="99">
        <f>AH25</f>
        <v/>
      </c>
      <c r="AI26" s="95">
        <f>IFERROR(IF($C26="","",IF($P$15="Cascade",$R26*(1-AH26)*AG26,IF($P$15="Additionnelle",($N26-($N26*($P26+AH26)))*AG26))),"Non Trouvé")</f>
        <v/>
      </c>
      <c r="AL26" s="99">
        <f>AL25</f>
        <v/>
      </c>
      <c r="AM26" s="99">
        <f>AM25</f>
        <v/>
      </c>
      <c r="AN26" s="95">
        <f>IFERROR(IF($C26="","",IF($P$15="Cascade",$R26*(1-AM26)*AL26,IF($P$15="Additionnelle",($N26-($N26*($P26+AM26)))*AL26))),"Non Trouvé")</f>
        <v/>
      </c>
      <c r="AQ26" s="99">
        <f>AQ25</f>
        <v/>
      </c>
      <c r="AR26" s="99">
        <f>AR25</f>
        <v/>
      </c>
      <c r="AS26" s="95">
        <f>IFERROR(IF($C26="","",IF($P$15="Cascade",$R26*(1-AR26)*AQ26,IF($P$15="Additionnelle",($N26-($N26*($P26+AR26)))*AQ26))),"Non Trouvé")</f>
        <v/>
      </c>
      <c r="AV26" s="99">
        <f>AV25</f>
        <v/>
      </c>
      <c r="AW26" s="99">
        <f>AW25</f>
        <v/>
      </c>
      <c r="AX26" s="95">
        <f>IFERROR(IF($C26="","",IF($P$15="Cascade",$R26*(1-AW26)*AV26,IF($P$15="Additionnelle",($N26-($N26*($P26+AW26)))*AV26))),"Non Trouvé")</f>
        <v/>
      </c>
      <c r="BA26" s="99">
        <f>BA25</f>
        <v/>
      </c>
      <c r="BB26" s="99">
        <f>BB25</f>
        <v/>
      </c>
      <c r="BC26" s="95">
        <f>IFERROR(IF($C26="","",IF($P$15="Cascade",$R26*(1-BB26)*BA26,IF($P$15="Additionnelle",($N26-($N26*($P26+BB26)))*BA26))),"Non Trouvé")</f>
        <v/>
      </c>
      <c r="BF26" s="99">
        <f>BF25</f>
        <v/>
      </c>
      <c r="BG26" s="99">
        <f>BG25</f>
        <v/>
      </c>
      <c r="BH26" s="95">
        <f>IFERROR(IF($C26="","",IF($P$15="Cascade",$R26*(1-BG26)*BF26,IF($P$15="Additionnelle",($N26-($N26*($P26+BG26)))*BF26))),"Non Trouvé")</f>
        <v/>
      </c>
      <c r="BK26" s="99">
        <f>BK25</f>
        <v/>
      </c>
      <c r="BL26" s="99">
        <f>BL25</f>
        <v/>
      </c>
      <c r="BM26" s="95">
        <f>IFERROR(IF($C26="","",IF($P$15="Cascade",$R26*(1-BL26)*BK26,IF($P$15="Additionnelle",($N26-($N26*($P26+BL26)))*BK26))),"Non Trouvé")</f>
        <v/>
      </c>
      <c r="BP26" s="99">
        <f>BP25</f>
        <v/>
      </c>
      <c r="BQ26" s="99">
        <f>BQ25</f>
        <v/>
      </c>
      <c r="BR26" s="95">
        <f>IFERROR(IF($C26="","",IF($P$15="Cascade",$R26*(1-BQ26)*BP26,IF($P$15="Additionnelle",($N26-($N26*($P26+BQ26)))*BP26))),"Non Trouvé")</f>
        <v/>
      </c>
      <c r="BU26" s="99">
        <f>BU25</f>
        <v/>
      </c>
      <c r="BV26" s="99">
        <f>BV25</f>
        <v/>
      </c>
      <c r="BW26" s="95">
        <f>IFERROR(IF($C26="","",IF($P$15="Cascade",$R26*(1-BV26)*BU26,IF($P$15="Additionnelle",($N26-($N26*($P26+BV26)))*BU26))),"Non Trouvé")</f>
        <v/>
      </c>
      <c r="BZ26" s="99">
        <f>BZ25</f>
        <v/>
      </c>
      <c r="CA26" s="99">
        <f>CA25</f>
        <v/>
      </c>
      <c r="CB26" s="95">
        <f>IFERROR(IF($C26="","",IF($P$15="Cascade",$R26*(1-CA26)*BZ26,IF($P$15="Additionnelle",($N26-($N26*($P26+CA26)))*BZ26))),"Non Trouvé")</f>
        <v/>
      </c>
      <c r="CE26" s="100" t="n"/>
      <c r="CF26" s="101" t="n"/>
      <c r="CG26" s="93" t="inlineStr">
        <is>
          <t>UG</t>
        </is>
      </c>
      <c r="CH26" s="125">
        <f>SUMIFS(K22:K62,F22:F62,CG26)/SUMIFS(K22:K62,F22:F62,"Produit Vente")</f>
        <v/>
      </c>
      <c r="CI26" s="103" t="n"/>
      <c r="CK26" s="104">
        <f>IFERROR(IF(F26='[1]Paramètres Généraux'!$K$12,ROUNDUP((REGENERANTS!H26*REGENERANTS!$CF$20)*'[1]Paramètres Généraux'!$M$12,-1),IF(F26='[1]Paramètres Généraux'!$K$15,ROUNDUP((REGENERANTS!H26*REGENERANTS!$CF$20)*'[1]Paramètres Généraux'!$M$15,-1),REGENERANTS!H26*REGENERANTS!$CF$20)),"nd")</f>
        <v/>
      </c>
      <c r="CN26" s="105" t="n"/>
      <c r="CO26" s="106" t="n"/>
      <c r="CP26" s="106" t="n"/>
      <c r="CQ26" s="106" t="n"/>
      <c r="CR26" s="106" t="n"/>
      <c r="CS26" s="107" t="n"/>
      <c r="CT26" s="106" t="n"/>
      <c r="CU26" s="106" t="n"/>
      <c r="CV26" s="108" t="n"/>
      <c r="CW26" s="109" t="n"/>
      <c r="CX26" s="110" t="n"/>
      <c r="CY26" s="111" t="n"/>
      <c r="CZ26" s="109" t="n"/>
      <c r="DA26" s="112" t="n"/>
      <c r="DB26" s="113" t="n"/>
      <c r="DC26" s="109" t="n"/>
      <c r="DD26" s="114" t="n"/>
      <c r="DE26" s="113" t="n"/>
      <c r="DF26" s="109" t="n"/>
      <c r="DG26" s="109" t="n"/>
      <c r="DH26" s="109" t="n"/>
      <c r="DI26" s="109" t="n"/>
      <c r="DJ26" s="109" t="n"/>
      <c r="DK26" s="109" t="n"/>
      <c r="DL26" s="109" t="n"/>
      <c r="DM26" s="109" t="n"/>
      <c r="DN26" s="109" t="n"/>
      <c r="DO26" s="112" t="n"/>
      <c r="DP26" s="111" t="n"/>
      <c r="DQ26" s="20">
        <f>SUM(CN26:DP26)</f>
        <v/>
      </c>
      <c r="DR26" s="20">
        <f>SUM(CV26:DP26)</f>
        <v/>
      </c>
      <c r="DS26" s="20">
        <f>IFERROR((IF(AND($F26="Produit Vente",CO26&gt;0),VLOOKUP($C26,'[1]Paramètres Articles'!$B:$H,7,FALSE)*$CO26)*(1-20%)),0)</f>
        <v/>
      </c>
      <c r="DT26" s="20">
        <f>IFERROR((IF(AND($F26="Produit Vente",DR26&gt;0),VLOOKUP($C26,'[1]Paramètres Articles'!$B:$H,6,FALSE)*$DR26)*(1-15%)),0)</f>
        <v/>
      </c>
      <c r="DU26" s="20">
        <f>IFERROR(DQ26*J26,0)</f>
        <v/>
      </c>
      <c r="DW26" s="40" t="n"/>
      <c r="DX26" s="115" t="n"/>
      <c r="DY26" s="116">
        <f>VLOOKUP(DX26,C:D,2,FALSE)</f>
        <v/>
      </c>
      <c r="DZ26" s="117">
        <f>SUMIFS('[1]Moteur Produits'!$C:$C,'[1]Moteur Produits'!$B:$B,$DX26)</f>
        <v/>
      </c>
      <c r="EA26" s="124" t="n"/>
      <c r="EB26" s="41" t="n"/>
    </row>
    <row r="27" ht="12.95" customHeight="1">
      <c r="B27" s="1">
        <f>IF(C27="",0,COUNTIFS($B$22:B26,"&gt;"&amp;0)+1)</f>
        <v/>
      </c>
      <c r="C27" s="90" t="n">
        <v>1020107</v>
      </c>
      <c r="D27" s="91">
        <f>IFERROR(IF($C27="","",VLOOKUP($C27,'[1]Paramètres Articles'!$B:$G,2,FALSE)),"Non Trouvé")</f>
        <v/>
      </c>
      <c r="E27" s="92">
        <f>IFERROR(IF($C27="","",_xlfn.XLOOKUP(REGENERANTS!$C27,'[1]New Base PA'!$F:$F,'[1]New Base PA'!$D:$D,"Not Found",0)),"Non Trouvé")</f>
        <v/>
      </c>
      <c r="F27" s="93" t="inlineStr">
        <is>
          <t>Produit Vente</t>
        </is>
      </c>
      <c r="H27" s="94" t="n">
        <v>3</v>
      </c>
      <c r="J27" s="95">
        <f>IFERROR(IF($C27="","",VLOOKUP($C27,'[1]New Base PA'!$F:$J,5,FALSE)),"Non Trouvé")</f>
        <v/>
      </c>
      <c r="K27" s="95">
        <f>IFERROR(IF($C27="","",$J27*$H27),"Non Trouvé")</f>
        <v/>
      </c>
      <c r="L27" s="96" t="n"/>
      <c r="M27" s="95">
        <f>IFERROR(IF(AND($F27="Produit Vente",H27&gt;0),VLOOKUP($C27,'[1]Paramètres Articles'!$B:$G,6,FALSE),0),"Non Trouvé")</f>
        <v/>
      </c>
      <c r="N27" s="95">
        <f>IFERROR(IF($C27="","",$M27*$H27),"Non Trouvé")</f>
        <v/>
      </c>
      <c r="P27" s="97" t="n">
        <v>0.15</v>
      </c>
      <c r="R27" s="95">
        <f>IFERROR(IF($C27="","",$N27*(1-$P27)),"Non Trouvé")</f>
        <v/>
      </c>
      <c r="S27" s="96" t="n"/>
      <c r="T27" s="95">
        <f>IFERROR(IF($C27="","",VLOOKUP($C27,'[1]Paramètres Articles'!$B:$H,7,FALSE)),"Non Trouvé")</f>
        <v/>
      </c>
      <c r="U27" s="98" t="n"/>
      <c r="V27" s="95">
        <f>IFERROR(IF($C27="","",IF($P27="","",$T27*(1-$P27))),"Non Trouvé")</f>
        <v/>
      </c>
      <c r="W27" s="96" t="n"/>
      <c r="X27" s="95">
        <f>IFERROR(T27-V27,"")</f>
        <v/>
      </c>
      <c r="Y27" s="96" t="n"/>
      <c r="Z27" s="95">
        <f>IFERROR(IF(OR(T27=0,T27=""),0,T27*H27),"Non Trouvé")</f>
        <v/>
      </c>
      <c r="AB27" s="99">
        <f>AB26</f>
        <v/>
      </c>
      <c r="AC27" s="99">
        <f>AC26</f>
        <v/>
      </c>
      <c r="AD27" s="95">
        <f>IFERROR(IF($C27="","",IF($P$15="Cascade",$R27*(1-AC27)*AB27,IF($P$15="Additionnelle",($N27-($N27*($P27+AC27)))*AB27))),"Non Trouvé")</f>
        <v/>
      </c>
      <c r="AG27" s="99">
        <f>AG26</f>
        <v/>
      </c>
      <c r="AH27" s="99">
        <f>AH26</f>
        <v/>
      </c>
      <c r="AI27" s="95">
        <f>IFERROR(IF($C27="","",IF($P$15="Cascade",$R27*(1-AH27)*AG27,IF($P$15="Additionnelle",($N27-($N27*($P27+AH27)))*AG27))),"Non Trouvé")</f>
        <v/>
      </c>
      <c r="AL27" s="99">
        <f>AL26</f>
        <v/>
      </c>
      <c r="AM27" s="99">
        <f>AM26</f>
        <v/>
      </c>
      <c r="AN27" s="95">
        <f>IFERROR(IF($C27="","",IF($P$15="Cascade",$R27*(1-AM27)*AL27,IF($P$15="Additionnelle",($N27-($N27*($P27+AM27)))*AL27))),"Non Trouvé")</f>
        <v/>
      </c>
      <c r="AQ27" s="99">
        <f>AQ26</f>
        <v/>
      </c>
      <c r="AR27" s="99">
        <f>AR26</f>
        <v/>
      </c>
      <c r="AS27" s="95">
        <f>IFERROR(IF($C27="","",IF($P$15="Cascade",$R27*(1-AR27)*AQ27,IF($P$15="Additionnelle",($N27-($N27*($P27+AR27)))*AQ27))),"Non Trouvé")</f>
        <v/>
      </c>
      <c r="AV27" s="99">
        <f>AV26</f>
        <v/>
      </c>
      <c r="AW27" s="99">
        <f>AW26</f>
        <v/>
      </c>
      <c r="AX27" s="95">
        <f>IFERROR(IF($C27="","",IF($P$15="Cascade",$R27*(1-AW27)*AV27,IF($P$15="Additionnelle",($N27-($N27*($P27+AW27)))*AV27))),"Non Trouvé")</f>
        <v/>
      </c>
      <c r="BA27" s="99">
        <f>BA26</f>
        <v/>
      </c>
      <c r="BB27" s="99">
        <f>BB26</f>
        <v/>
      </c>
      <c r="BC27" s="95">
        <f>IFERROR(IF($C27="","",IF($P$15="Cascade",$R27*(1-BB27)*BA27,IF($P$15="Additionnelle",($N27-($N27*($P27+BB27)))*BA27))),"Non Trouvé")</f>
        <v/>
      </c>
      <c r="BF27" s="99">
        <f>BF26</f>
        <v/>
      </c>
      <c r="BG27" s="99">
        <f>BG26</f>
        <v/>
      </c>
      <c r="BH27" s="95">
        <f>IFERROR(IF($C27="","",IF($P$15="Cascade",$R27*(1-BG27)*BF27,IF($P$15="Additionnelle",($N27-($N27*($P27+BG27)))*BF27))),"Non Trouvé")</f>
        <v/>
      </c>
      <c r="BK27" s="99">
        <f>BK26</f>
        <v/>
      </c>
      <c r="BL27" s="99">
        <f>BL26</f>
        <v/>
      </c>
      <c r="BM27" s="95">
        <f>IFERROR(IF($C27="","",IF($P$15="Cascade",$R27*(1-BL27)*BK27,IF($P$15="Additionnelle",($N27-($N27*($P27+BL27)))*BK27))),"Non Trouvé")</f>
        <v/>
      </c>
      <c r="BP27" s="99">
        <f>BP26</f>
        <v/>
      </c>
      <c r="BQ27" s="99">
        <f>BQ26</f>
        <v/>
      </c>
      <c r="BR27" s="95">
        <f>IFERROR(IF($C27="","",IF($P$15="Cascade",$R27*(1-BQ27)*BP27,IF($P$15="Additionnelle",($N27-($N27*($P27+BQ27)))*BP27))),"Non Trouvé")</f>
        <v/>
      </c>
      <c r="BU27" s="99">
        <f>BU26</f>
        <v/>
      </c>
      <c r="BV27" s="99">
        <f>BV26</f>
        <v/>
      </c>
      <c r="BW27" s="95">
        <f>IFERROR(IF($C27="","",IF($P$15="Cascade",$R27*(1-BV27)*BU27,IF($P$15="Additionnelle",($N27-($N27*($P27+BV27)))*BU27))),"Non Trouvé")</f>
        <v/>
      </c>
      <c r="BZ27" s="99">
        <f>BZ26</f>
        <v/>
      </c>
      <c r="CA27" s="99">
        <f>CA26</f>
        <v/>
      </c>
      <c r="CB27" s="95">
        <f>IFERROR(IF($C27="","",IF($P$15="Cascade",$R27*(1-CA27)*BZ27,IF($P$15="Additionnelle",($N27-($N27*($P27+CA27)))*BZ27))),"Non Trouvé")</f>
        <v/>
      </c>
      <c r="CE27" s="100" t="n"/>
      <c r="CF27" s="101" t="n"/>
      <c r="CG27" s="93" t="inlineStr">
        <is>
          <t>PLV</t>
        </is>
      </c>
      <c r="CH27" s="125">
        <f>(SUMIFS(K22:K62,F22:F62,"PLV (PDC ou autre)")+SUMIFS(K22:K62,F22:F62,"PLV (vitrine)"))/K20</f>
        <v/>
      </c>
      <c r="CI27" s="103" t="n"/>
      <c r="CK27" s="104">
        <f>IFERROR(IF(F27='[1]Paramètres Généraux'!$K$12,ROUNDUP((REGENERANTS!H27*REGENERANTS!$CF$20)*'[1]Paramètres Généraux'!$M$12,-1),IF(F27='[1]Paramètres Généraux'!$K$15,ROUNDUP((REGENERANTS!H27*REGENERANTS!$CF$20)*'[1]Paramètres Généraux'!$M$15,-1),REGENERANTS!H27*REGENERANTS!$CF$20)),"nd")</f>
        <v/>
      </c>
      <c r="CN27" s="105" t="n"/>
      <c r="CO27" s="106" t="n"/>
      <c r="CP27" s="106" t="n"/>
      <c r="CQ27" s="106" t="n"/>
      <c r="CR27" s="106" t="n"/>
      <c r="CS27" s="107" t="n"/>
      <c r="CT27" s="106" t="n"/>
      <c r="CU27" s="106" t="n"/>
      <c r="CV27" s="108" t="n"/>
      <c r="CW27" s="109" t="n"/>
      <c r="CX27" s="110" t="n"/>
      <c r="CY27" s="111" t="n"/>
      <c r="CZ27" s="109" t="n"/>
      <c r="DA27" s="112" t="n"/>
      <c r="DB27" s="113" t="n"/>
      <c r="DC27" s="109" t="n"/>
      <c r="DD27" s="114" t="n"/>
      <c r="DE27" s="113" t="n"/>
      <c r="DF27" s="109" t="n"/>
      <c r="DG27" s="109" t="n"/>
      <c r="DH27" s="109" t="n"/>
      <c r="DI27" s="109" t="n"/>
      <c r="DJ27" s="109" t="n"/>
      <c r="DK27" s="109" t="n"/>
      <c r="DL27" s="109" t="n"/>
      <c r="DM27" s="109" t="n"/>
      <c r="DN27" s="109" t="n"/>
      <c r="DO27" s="112" t="n"/>
      <c r="DP27" s="111" t="n"/>
      <c r="DQ27" s="20">
        <f>SUM(CN27:DP27)</f>
        <v/>
      </c>
      <c r="DR27" s="20">
        <f>SUM(CV27:DP27)</f>
        <v/>
      </c>
      <c r="DS27" s="20">
        <f>IFERROR((IF(AND($F27="Produit Vente",CO27&gt;0),VLOOKUP($C27,'[1]Paramètres Articles'!$B:$H,7,FALSE)*$CO27)*(1-20%)),0)</f>
        <v/>
      </c>
      <c r="DT27" s="20">
        <f>IFERROR((IF(AND($F27="Produit Vente",DR27&gt;0),VLOOKUP($C27,'[1]Paramètres Articles'!$B:$H,6,FALSE)*$DR27)*(1-15%)),0)</f>
        <v/>
      </c>
      <c r="DU27" s="20">
        <f>IFERROR(DQ27*J27,0)</f>
        <v/>
      </c>
      <c r="DW27" s="40" t="n"/>
      <c r="DX27" s="115" t="n"/>
      <c r="EA27" s="124" t="n"/>
      <c r="EB27" s="41" t="n"/>
    </row>
    <row r="28" ht="12.95" customHeight="1">
      <c r="B28" s="1">
        <f>IF(C28="",0,COUNTIFS($B$22:B27,"&gt;"&amp;0)+1)</f>
        <v/>
      </c>
      <c r="C28" s="90" t="n">
        <v>1020102</v>
      </c>
      <c r="D28" s="91">
        <f>IFERROR(IF($C28="","",VLOOKUP($C28,'[1]Paramètres Articles'!$B:$G,2,FALSE)),"Non Trouvé")</f>
        <v/>
      </c>
      <c r="E28" s="92">
        <f>IFERROR(IF($C28="","",_xlfn.XLOOKUP(REGENERANTS!$C28,'[1]New Base PA'!$F:$F,'[1]New Base PA'!$D:$D,"Not Found",0)),"Non Trouvé")</f>
        <v/>
      </c>
      <c r="F28" s="93" t="inlineStr">
        <is>
          <t>Produit Vente</t>
        </is>
      </c>
      <c r="H28" s="94" t="n">
        <v>3</v>
      </c>
      <c r="J28" s="95">
        <f>IFERROR(IF($C28="","",VLOOKUP($C28,'[1]New Base PA'!$F:$J,5,FALSE)),"Non Trouvé")</f>
        <v/>
      </c>
      <c r="K28" s="95">
        <f>IFERROR(IF($C28="","",$J28*$H28),"Non Trouvé")</f>
        <v/>
      </c>
      <c r="L28" s="96" t="n"/>
      <c r="M28" s="95">
        <f>IFERROR(IF(AND($F28="Produit Vente",H28&gt;0),VLOOKUP($C28,'[1]Paramètres Articles'!$B:$G,6,FALSE),0),"Non Trouvé")</f>
        <v/>
      </c>
      <c r="N28" s="95">
        <f>IFERROR(IF($C28="","",$M28*$H28),"Non Trouvé")</f>
        <v/>
      </c>
      <c r="P28" s="97" t="n">
        <v>0.15</v>
      </c>
      <c r="R28" s="95">
        <f>IFERROR(IF($C28="","",$N28*(1-$P28)),"Non Trouvé")</f>
        <v/>
      </c>
      <c r="S28" s="96" t="n"/>
      <c r="T28" s="95">
        <f>IFERROR(IF($C28="","",VLOOKUP($C28,'[1]Paramètres Articles'!$B:$H,7,FALSE)),"Non Trouvé")</f>
        <v/>
      </c>
      <c r="U28" s="98" t="n"/>
      <c r="V28" s="95">
        <f>IFERROR(IF($C28="","",IF($P28="","",$T28*(1-$P28))),"Non Trouvé")</f>
        <v/>
      </c>
      <c r="W28" s="96" t="n"/>
      <c r="X28" s="95">
        <f>IFERROR(T28-V28,"")</f>
        <v/>
      </c>
      <c r="Y28" s="96" t="n"/>
      <c r="Z28" s="95">
        <f>IFERROR(IF(OR(T28=0,T28=""),0,T28*H28),"Non Trouvé")</f>
        <v/>
      </c>
      <c r="AB28" s="99">
        <f>AB27</f>
        <v/>
      </c>
      <c r="AC28" s="99">
        <f>AC27</f>
        <v/>
      </c>
      <c r="AD28" s="95">
        <f>IFERROR(IF($C28="","",IF($P$15="Cascade",$R28*(1-AC28)*AB28,IF($P$15="Additionnelle",($N28-($N28*($P28+AC28)))*AB28))),"Non Trouvé")</f>
        <v/>
      </c>
      <c r="AG28" s="99">
        <f>AG27</f>
        <v/>
      </c>
      <c r="AH28" s="99">
        <f>AH27</f>
        <v/>
      </c>
      <c r="AI28" s="95">
        <f>IFERROR(IF($C28="","",IF($P$15="Cascade",$R28*(1-AH28)*AG28,IF($P$15="Additionnelle",($N28-($N28*($P28+AH28)))*AG28))),"Non Trouvé")</f>
        <v/>
      </c>
      <c r="AL28" s="99">
        <f>AL27</f>
        <v/>
      </c>
      <c r="AM28" s="99">
        <f>AM27</f>
        <v/>
      </c>
      <c r="AN28" s="95">
        <f>IFERROR(IF($C28="","",IF($P$15="Cascade",$R28*(1-AM28)*AL28,IF($P$15="Additionnelle",($N28-($N28*($P28+AM28)))*AL28))),"Non Trouvé")</f>
        <v/>
      </c>
      <c r="AQ28" s="99">
        <f>AQ27</f>
        <v/>
      </c>
      <c r="AR28" s="99">
        <f>AR27</f>
        <v/>
      </c>
      <c r="AS28" s="95">
        <f>IFERROR(IF($C28="","",IF($P$15="Cascade",$R28*(1-AR28)*AQ28,IF($P$15="Additionnelle",($N28-($N28*($P28+AR28)))*AQ28))),"Non Trouvé")</f>
        <v/>
      </c>
      <c r="AV28" s="99">
        <f>AV27</f>
        <v/>
      </c>
      <c r="AW28" s="99">
        <f>AW27</f>
        <v/>
      </c>
      <c r="AX28" s="95">
        <f>IFERROR(IF($C28="","",IF($P$15="Cascade",$R28*(1-AW28)*AV28,IF($P$15="Additionnelle",($N28-($N28*($P28+AW28)))*AV28))),"Non Trouvé")</f>
        <v/>
      </c>
      <c r="BA28" s="99">
        <f>BA27</f>
        <v/>
      </c>
      <c r="BB28" s="99">
        <f>BB27</f>
        <v/>
      </c>
      <c r="BC28" s="95">
        <f>IFERROR(IF($C28="","",IF($P$15="Cascade",$R28*(1-BB28)*BA28,IF($P$15="Additionnelle",($N28-($N28*($P28+BB28)))*BA28))),"Non Trouvé")</f>
        <v/>
      </c>
      <c r="BF28" s="99">
        <f>BF27</f>
        <v/>
      </c>
      <c r="BG28" s="99">
        <f>BG27</f>
        <v/>
      </c>
      <c r="BH28" s="95">
        <f>IFERROR(IF($C28="","",IF($P$15="Cascade",$R28*(1-BG28)*BF28,IF($P$15="Additionnelle",($N28-($N28*($P28+BG28)))*BF28))),"Non Trouvé")</f>
        <v/>
      </c>
      <c r="BK28" s="99">
        <f>BK27</f>
        <v/>
      </c>
      <c r="BL28" s="99">
        <f>BL27</f>
        <v/>
      </c>
      <c r="BM28" s="95">
        <f>IFERROR(IF($C28="","",IF($P$15="Cascade",$R28*(1-BL28)*BK28,IF($P$15="Additionnelle",($N28-($N28*($P28+BL28)))*BK28))),"Non Trouvé")</f>
        <v/>
      </c>
      <c r="BP28" s="99">
        <f>BP27</f>
        <v/>
      </c>
      <c r="BQ28" s="99">
        <f>BQ27</f>
        <v/>
      </c>
      <c r="BR28" s="95">
        <f>IFERROR(IF($C28="","",IF($P$15="Cascade",$R28*(1-BQ28)*BP28,IF($P$15="Additionnelle",($N28-($N28*($P28+BQ28)))*BP28))),"Non Trouvé")</f>
        <v/>
      </c>
      <c r="BU28" s="99">
        <f>BU27</f>
        <v/>
      </c>
      <c r="BV28" s="99">
        <f>BV27</f>
        <v/>
      </c>
      <c r="BW28" s="95">
        <f>IFERROR(IF($C28="","",IF($P$15="Cascade",$R28*(1-BV28)*BU28,IF($P$15="Additionnelle",($N28-($N28*($P28+BV28)))*BU28))),"Non Trouvé")</f>
        <v/>
      </c>
      <c r="BZ28" s="99">
        <f>BZ27</f>
        <v/>
      </c>
      <c r="CA28" s="99">
        <f>CA27</f>
        <v/>
      </c>
      <c r="CB28" s="95">
        <f>IFERROR(IF($C28="","",IF($P$15="Cascade",$R28*(1-CA28)*BZ28,IF($P$15="Additionnelle",($N28-($N28*($P28+CA28)))*BZ28))),"Non Trouvé")</f>
        <v/>
      </c>
      <c r="CE28" s="100" t="n"/>
      <c r="CF28" s="101" t="n"/>
      <c r="CG28" s="93" t="inlineStr">
        <is>
          <t>Echantillon</t>
        </is>
      </c>
      <c r="CH28" s="125">
        <f>SUMIFS(K22:K62,F22:F62,CG28)/K20</f>
        <v/>
      </c>
      <c r="CI28" s="103" t="n"/>
      <c r="CK28" s="104">
        <f>IFERROR(IF(F28='[1]Paramètres Généraux'!$K$12,ROUNDUP((REGENERANTS!H28*REGENERANTS!$CF$20)*'[1]Paramètres Généraux'!$M$12,-1),IF(F28='[1]Paramètres Généraux'!$K$15,ROUNDUP((REGENERANTS!H28*REGENERANTS!$CF$20)*'[1]Paramètres Généraux'!$M$15,-1),REGENERANTS!H28*REGENERANTS!$CF$20)),"nd")</f>
        <v/>
      </c>
      <c r="CN28" s="105" t="n"/>
      <c r="CO28" s="106" t="n"/>
      <c r="CP28" s="106" t="n"/>
      <c r="CQ28" s="106" t="n"/>
      <c r="CR28" s="106" t="n"/>
      <c r="CS28" s="107" t="n"/>
      <c r="CT28" s="106" t="n"/>
      <c r="CU28" s="106" t="n"/>
      <c r="CV28" s="108" t="n"/>
      <c r="CW28" s="109" t="n"/>
      <c r="CX28" s="110" t="n"/>
      <c r="CY28" s="111" t="n"/>
      <c r="CZ28" s="109" t="n"/>
      <c r="DA28" s="112" t="n"/>
      <c r="DB28" s="113" t="n"/>
      <c r="DC28" s="109" t="n"/>
      <c r="DD28" s="114" t="n"/>
      <c r="DE28" s="113" t="n"/>
      <c r="DF28" s="109" t="n"/>
      <c r="DG28" s="109" t="n"/>
      <c r="DH28" s="109" t="n"/>
      <c r="DI28" s="109" t="n"/>
      <c r="DJ28" s="109" t="n"/>
      <c r="DK28" s="109" t="n"/>
      <c r="DL28" s="109" t="n"/>
      <c r="DM28" s="109" t="n"/>
      <c r="DN28" s="109" t="n"/>
      <c r="DO28" s="112" t="n"/>
      <c r="DP28" s="111" t="n"/>
      <c r="DQ28" s="20">
        <f>SUM(CN28:DP28)</f>
        <v/>
      </c>
      <c r="DR28" s="20">
        <f>SUM(CV28:DP28)</f>
        <v/>
      </c>
      <c r="DS28" s="20">
        <f>IFERROR((IF(AND($F28="Produit Vente",CO28&gt;0),VLOOKUP($C28,'[1]Paramètres Articles'!$B:$H,7,FALSE)*$CO28)*(1-20%)),0)</f>
        <v/>
      </c>
      <c r="DT28" s="20">
        <f>IFERROR((IF(AND($F28="Produit Vente",DR28&gt;0),VLOOKUP($C28,'[1]Paramètres Articles'!$B:$H,6,FALSE)*$DR28)*(1-15%)),0)</f>
        <v/>
      </c>
      <c r="DU28" s="20">
        <f>IFERROR(DQ28*J28,0)</f>
        <v/>
      </c>
      <c r="DW28" s="40" t="n"/>
      <c r="DX28" s="115" t="n"/>
      <c r="EA28" s="124" t="n"/>
      <c r="EB28" s="41" t="n"/>
    </row>
    <row r="29" ht="12.95" customHeight="1">
      <c r="B29" s="1">
        <f>IF(C29="",0,COUNTIFS($B$22:B28,"&gt;"&amp;0)+1)</f>
        <v/>
      </c>
      <c r="C29" s="90" t="n">
        <v>1020722</v>
      </c>
      <c r="D29" s="91">
        <f>IFERROR(IF($C29="","",VLOOKUP($C29,'[1]Paramètres Articles'!$B:$G,2,FALSE)),"Non Trouvé")</f>
        <v/>
      </c>
      <c r="E29" s="92">
        <f>IFERROR(IF($C29="","",_xlfn.XLOOKUP(REGENERANTS!$C29,'[1]New Base PA'!$F:$F,'[1]New Base PA'!$D:$D,"Not Found",0)),"Non Trouvé")</f>
        <v/>
      </c>
      <c r="F29" s="93" t="inlineStr">
        <is>
          <t>Produit Vente</t>
        </is>
      </c>
      <c r="H29" s="94" t="n">
        <v>0</v>
      </c>
      <c r="J29" s="95">
        <f>IFERROR(IF($C29="","",VLOOKUP($C29,'[1]New Base PA'!$F:$J,5,FALSE)),"Non Trouvé")</f>
        <v/>
      </c>
      <c r="K29" s="95">
        <f>IFERROR(IF($C29="","",$J29*$H29),"Non Trouvé")</f>
        <v/>
      </c>
      <c r="L29" s="96" t="n"/>
      <c r="M29" s="95">
        <f>IFERROR(IF(AND($F29="Produit Vente",H29&gt;0),VLOOKUP($C29,'[1]Paramètres Articles'!$B:$G,6,FALSE),0),"Non Trouvé")</f>
        <v/>
      </c>
      <c r="N29" s="95">
        <f>IFERROR(IF($C29="","",$M29*$H29),"Non Trouvé")</f>
        <v/>
      </c>
      <c r="P29" s="97" t="n">
        <v>0.15</v>
      </c>
      <c r="R29" s="95">
        <f>IFERROR(IF($C29="","",$N29*(1-$P29)),"Non Trouvé")</f>
        <v/>
      </c>
      <c r="S29" s="96" t="n"/>
      <c r="T29" s="95">
        <f>IFERROR(IF($C29="","",VLOOKUP($C29,'[1]Paramètres Articles'!$B:$H,7,FALSE)),"Non Trouvé")</f>
        <v/>
      </c>
      <c r="U29" s="98" t="n"/>
      <c r="V29" s="95">
        <f>IFERROR(IF($C29="","",IF($P29="","",$T29*(1-$P29))),"Non Trouvé")</f>
        <v/>
      </c>
      <c r="W29" s="96" t="n"/>
      <c r="X29" s="95">
        <f>IFERROR(T29-V29,"")</f>
        <v/>
      </c>
      <c r="Y29" s="96" t="n"/>
      <c r="Z29" s="95">
        <f>IFERROR(IF(OR(T29=0,T29=""),0,T29*H29),"Non Trouvé")</f>
        <v/>
      </c>
      <c r="AB29" s="99">
        <f>AB28</f>
        <v/>
      </c>
      <c r="AC29" s="99">
        <f>AC28</f>
        <v/>
      </c>
      <c r="AD29" s="95">
        <f>IFERROR(IF($C29="","",IF($P$15="Cascade",$R29*(1-AC29)*AB29,IF($P$15="Additionnelle",($N29-($N29*($P29+AC29)))*AB29))),"Non Trouvé")</f>
        <v/>
      </c>
      <c r="AG29" s="99">
        <f>AG28</f>
        <v/>
      </c>
      <c r="AH29" s="99">
        <f>AH28</f>
        <v/>
      </c>
      <c r="AI29" s="95">
        <f>IFERROR(IF($C29="","",IF($P$15="Cascade",$R29*(1-AH29)*AG29,IF($P$15="Additionnelle",($N29-($N29*($P29+AH29)))*AG29))),"Non Trouvé")</f>
        <v/>
      </c>
      <c r="AL29" s="99">
        <f>AL28</f>
        <v/>
      </c>
      <c r="AM29" s="99">
        <f>AM28</f>
        <v/>
      </c>
      <c r="AN29" s="95">
        <f>IFERROR(IF($C29="","",IF($P$15="Cascade",$R29*(1-AM29)*AL29,IF($P$15="Additionnelle",($N29-($N29*($P29+AM29)))*AL29))),"Non Trouvé")</f>
        <v/>
      </c>
      <c r="AQ29" s="99">
        <f>AQ28</f>
        <v/>
      </c>
      <c r="AR29" s="99">
        <f>AR28</f>
        <v/>
      </c>
      <c r="AS29" s="95">
        <f>IFERROR(IF($C29="","",IF($P$15="Cascade",$R29*(1-AR29)*AQ29,IF($P$15="Additionnelle",($N29-($N29*($P29+AR29)))*AQ29))),"Non Trouvé")</f>
        <v/>
      </c>
      <c r="AV29" s="99">
        <f>AV28</f>
        <v/>
      </c>
      <c r="AW29" s="99">
        <f>AW28</f>
        <v/>
      </c>
      <c r="AX29" s="95">
        <f>IFERROR(IF($C29="","",IF($P$15="Cascade",$R29*(1-AW29)*AV29,IF($P$15="Additionnelle",($N29-($N29*($P29+AW29)))*AV29))),"Non Trouvé")</f>
        <v/>
      </c>
      <c r="BA29" s="99">
        <f>BA28</f>
        <v/>
      </c>
      <c r="BB29" s="99">
        <f>BB28</f>
        <v/>
      </c>
      <c r="BC29" s="95">
        <f>IFERROR(IF($C29="","",IF($P$15="Cascade",$R29*(1-BB29)*BA29,IF($P$15="Additionnelle",($N29-($N29*($P29+BB29)))*BA29))),"Non Trouvé")</f>
        <v/>
      </c>
      <c r="BF29" s="99">
        <f>BF28</f>
        <v/>
      </c>
      <c r="BG29" s="99">
        <f>BG28</f>
        <v/>
      </c>
      <c r="BH29" s="95">
        <f>IFERROR(IF($C29="","",IF($P$15="Cascade",$R29*(1-BG29)*BF29,IF($P$15="Additionnelle",($N29-($N29*($P29+BG29)))*BF29))),"Non Trouvé")</f>
        <v/>
      </c>
      <c r="BK29" s="99">
        <f>BK28</f>
        <v/>
      </c>
      <c r="BL29" s="99">
        <f>BL28</f>
        <v/>
      </c>
      <c r="BM29" s="95">
        <f>IFERROR(IF($C29="","",IF($P$15="Cascade",$R29*(1-BL29)*BK29,IF($P$15="Additionnelle",($N29-($N29*($P29+BL29)))*BK29))),"Non Trouvé")</f>
        <v/>
      </c>
      <c r="BP29" s="99">
        <f>BP28</f>
        <v/>
      </c>
      <c r="BQ29" s="99">
        <f>BQ28</f>
        <v/>
      </c>
      <c r="BR29" s="95">
        <f>IFERROR(IF($C29="","",IF($P$15="Cascade",$R29*(1-BQ29)*BP29,IF($P$15="Additionnelle",($N29-($N29*($P29+BQ29)))*BP29))),"Non Trouvé")</f>
        <v/>
      </c>
      <c r="BU29" s="99">
        <f>BU28</f>
        <v/>
      </c>
      <c r="BV29" s="99">
        <f>BV28</f>
        <v/>
      </c>
      <c r="BW29" s="95">
        <f>IFERROR(IF($C29="","",IF($P$15="Cascade",$R29*(1-BV29)*BU29,IF($P$15="Additionnelle",($N29-($N29*($P29+BV29)))*BU29))),"Non Trouvé")</f>
        <v/>
      </c>
      <c r="BZ29" s="99">
        <f>BZ28</f>
        <v/>
      </c>
      <c r="CA29" s="99">
        <f>CA28</f>
        <v/>
      </c>
      <c r="CB29" s="95">
        <f>IFERROR(IF($C29="","",IF($P$15="Cascade",$R29*(1-CA29)*BZ29,IF($P$15="Additionnelle",($N29-($N29*($P29+CA29)))*BZ29))),"Non Trouvé")</f>
        <v/>
      </c>
      <c r="CE29" s="100" t="n"/>
      <c r="CF29" s="101" t="n"/>
      <c r="CG29" s="93" t="inlineStr">
        <is>
          <t>Testeur</t>
        </is>
      </c>
      <c r="CH29" s="125">
        <f>SUMIFS(K22:K62,F22:F62,CG29)/K20</f>
        <v/>
      </c>
      <c r="CI29" s="103" t="n"/>
      <c r="CK29" s="104">
        <f>IFERROR(IF(F29='[1]Paramètres Généraux'!$K$12,ROUNDUP((REGENERANTS!H29*REGENERANTS!$CF$20)*'[1]Paramètres Généraux'!$M$12,-1),IF(F29='[1]Paramètres Généraux'!$K$15,ROUNDUP((REGENERANTS!H29*REGENERANTS!$CF$20)*'[1]Paramètres Généraux'!$M$15,-1),REGENERANTS!H29*REGENERANTS!$CF$20)),"nd")</f>
        <v/>
      </c>
      <c r="CN29" s="105" t="n"/>
      <c r="CO29" s="106" t="n"/>
      <c r="CP29" s="106" t="n"/>
      <c r="CQ29" s="106" t="n"/>
      <c r="CR29" s="106" t="n"/>
      <c r="CS29" s="107" t="n"/>
      <c r="CT29" s="106" t="n"/>
      <c r="CU29" s="106" t="n"/>
      <c r="CV29" s="108" t="n"/>
      <c r="CW29" s="109" t="n"/>
      <c r="CX29" s="110" t="n"/>
      <c r="CY29" s="111" t="n"/>
      <c r="CZ29" s="109" t="n"/>
      <c r="DA29" s="112" t="n"/>
      <c r="DB29" s="113" t="n"/>
      <c r="DC29" s="109" t="n"/>
      <c r="DD29" s="114" t="n"/>
      <c r="DE29" s="113" t="n"/>
      <c r="DF29" s="109" t="n"/>
      <c r="DG29" s="109" t="n"/>
      <c r="DH29" s="109" t="n"/>
      <c r="DI29" s="109" t="n"/>
      <c r="DJ29" s="109" t="n"/>
      <c r="DK29" s="109" t="n"/>
      <c r="DL29" s="109" t="n"/>
      <c r="DM29" s="109" t="n"/>
      <c r="DN29" s="109" t="n"/>
      <c r="DO29" s="112" t="n"/>
      <c r="DP29" s="111" t="n"/>
      <c r="DQ29" s="20">
        <f>SUM(CN29:DP29)</f>
        <v/>
      </c>
      <c r="DR29" s="20">
        <f>SUM(CV29:DP29)</f>
        <v/>
      </c>
      <c r="DS29" s="20">
        <f>IFERROR((IF(AND($F29="Produit Vente",CO29&gt;0),VLOOKUP($C29,'[1]Paramètres Articles'!$B:$H,7,FALSE)*$CO29)*(1-20%)),0)</f>
        <v/>
      </c>
      <c r="DT29" s="20">
        <f>IFERROR((IF(AND($F29="Produit Vente",DR29&gt;0),VLOOKUP($C29,'[1]Paramètres Articles'!$B:$H,6,FALSE)*$DR29)*(1-15%)),0)</f>
        <v/>
      </c>
      <c r="DU29" s="20">
        <f>IFERROR(DQ29*J29,0)</f>
        <v/>
      </c>
      <c r="DW29" s="40" t="n"/>
      <c r="DX29" s="115" t="n"/>
      <c r="EB29" s="41" t="n"/>
    </row>
    <row r="30" ht="12.95" customHeight="1">
      <c r="B30" s="1">
        <f>IF(C30="",0,COUNTIFS($B$22:B29,"&gt;"&amp;0)+1)</f>
        <v/>
      </c>
      <c r="C30" s="90" t="n">
        <v>1020719</v>
      </c>
      <c r="D30" s="91">
        <f>IFERROR(IF($C30="","",VLOOKUP($C30,'[1]Paramètres Articles'!$B:$G,2,FALSE)),"Non Trouvé")</f>
        <v/>
      </c>
      <c r="E30" s="92">
        <f>IFERROR(IF($C30="","",_xlfn.XLOOKUP(REGENERANTS!$C30,'[1]New Base PA'!$F:$F,'[1]New Base PA'!$D:$D,"Not Found",0)),"Non Trouvé")</f>
        <v/>
      </c>
      <c r="F30" s="93" t="inlineStr">
        <is>
          <t>Produit Vente</t>
        </is>
      </c>
      <c r="H30" s="94" t="n">
        <v>3</v>
      </c>
      <c r="J30" s="95">
        <f>IFERROR(IF($C30="","",VLOOKUP($C30,'[1]New Base PA'!$F:$J,5,FALSE)),"Non Trouvé")</f>
        <v/>
      </c>
      <c r="K30" s="95">
        <f>IFERROR(IF($C30="","",$J30*$H30),"Non Trouvé")</f>
        <v/>
      </c>
      <c r="L30" s="96" t="n"/>
      <c r="M30" s="95">
        <f>IFERROR(IF(AND($F30="Produit Vente",H30&gt;0),VLOOKUP($C30,'[1]Paramètres Articles'!$B:$G,6,FALSE),0),"Non Trouvé")</f>
        <v/>
      </c>
      <c r="N30" s="95">
        <f>IFERROR(IF($C30="","",$M30*$H30),"Non Trouvé")</f>
        <v/>
      </c>
      <c r="P30" s="97" t="n">
        <v>0.15</v>
      </c>
      <c r="R30" s="95">
        <f>IFERROR(IF($C30="","",$N30*(1-$P30)),"Non Trouvé")</f>
        <v/>
      </c>
      <c r="S30" s="96" t="n"/>
      <c r="T30" s="95">
        <f>IFERROR(IF($C30="","",VLOOKUP($C30,'[1]Paramètres Articles'!$B:$H,7,FALSE)),"Non Trouvé")</f>
        <v/>
      </c>
      <c r="U30" s="98" t="n"/>
      <c r="V30" s="95">
        <f>IFERROR(IF($C30="","",IF($P30="","",$T30*(1-$P30))),"Non Trouvé")</f>
        <v/>
      </c>
      <c r="W30" s="96" t="n"/>
      <c r="X30" s="95">
        <f>IFERROR(T30-V30,"")</f>
        <v/>
      </c>
      <c r="Y30" s="96" t="n"/>
      <c r="Z30" s="95">
        <f>IFERROR(IF(OR(T30=0,T30=""),0,T30*H30),"Non Trouvé")</f>
        <v/>
      </c>
      <c r="AB30" s="99">
        <f>AB29</f>
        <v/>
      </c>
      <c r="AC30" s="99">
        <f>AC29</f>
        <v/>
      </c>
      <c r="AD30" s="95">
        <f>IFERROR(IF($C30="","",IF($P$15="Cascade",$R30*(1-AC30)*AB30,IF($P$15="Additionnelle",($N30-($N30*($P30+AC30)))*AB30))),"Non Trouvé")</f>
        <v/>
      </c>
      <c r="AG30" s="99">
        <f>AG29</f>
        <v/>
      </c>
      <c r="AH30" s="99">
        <f>AH29</f>
        <v/>
      </c>
      <c r="AI30" s="95">
        <f>IFERROR(IF($C30="","",IF($P$15="Cascade",$R30*(1-AH30)*AG30,IF($P$15="Additionnelle",($N30-($N30*($P30+AH30)))*AG30))),"Non Trouvé")</f>
        <v/>
      </c>
      <c r="AL30" s="99">
        <f>AL29</f>
        <v/>
      </c>
      <c r="AM30" s="99">
        <f>AM29</f>
        <v/>
      </c>
      <c r="AN30" s="95">
        <f>IFERROR(IF($C30="","",IF($P$15="Cascade",$R30*(1-AM30)*AL30,IF($P$15="Additionnelle",($N30-($N30*($P30+AM30)))*AL30))),"Non Trouvé")</f>
        <v/>
      </c>
      <c r="AQ30" s="99">
        <f>AQ29</f>
        <v/>
      </c>
      <c r="AR30" s="99">
        <f>AR29</f>
        <v/>
      </c>
      <c r="AS30" s="95">
        <f>IFERROR(IF($C30="","",IF($P$15="Cascade",$R30*(1-AR30)*AQ30,IF($P$15="Additionnelle",($N30-($N30*($P30+AR30)))*AQ30))),"Non Trouvé")</f>
        <v/>
      </c>
      <c r="AV30" s="99">
        <f>AV29</f>
        <v/>
      </c>
      <c r="AW30" s="99">
        <f>AW29</f>
        <v/>
      </c>
      <c r="AX30" s="95">
        <f>IFERROR(IF($C30="","",IF($P$15="Cascade",$R30*(1-AW30)*AV30,IF($P$15="Additionnelle",($N30-($N30*($P30+AW30)))*AV30))),"Non Trouvé")</f>
        <v/>
      </c>
      <c r="BA30" s="99">
        <f>BA29</f>
        <v/>
      </c>
      <c r="BB30" s="99">
        <f>BB29</f>
        <v/>
      </c>
      <c r="BC30" s="95">
        <f>IFERROR(IF($C30="","",IF($P$15="Cascade",$R30*(1-BB30)*BA30,IF($P$15="Additionnelle",($N30-($N30*($P30+BB30)))*BA30))),"Non Trouvé")</f>
        <v/>
      </c>
      <c r="BF30" s="99">
        <f>BF29</f>
        <v/>
      </c>
      <c r="BG30" s="99">
        <f>BG29</f>
        <v/>
      </c>
      <c r="BH30" s="95">
        <f>IFERROR(IF($C30="","",IF($P$15="Cascade",$R30*(1-BG30)*BF30,IF($P$15="Additionnelle",($N30-($N30*($P30+BG30)))*BF30))),"Non Trouvé")</f>
        <v/>
      </c>
      <c r="BK30" s="99">
        <f>BK29</f>
        <v/>
      </c>
      <c r="BL30" s="99">
        <f>BL29</f>
        <v/>
      </c>
      <c r="BM30" s="95">
        <f>IFERROR(IF($C30="","",IF($P$15="Cascade",$R30*(1-BL30)*BK30,IF($P$15="Additionnelle",($N30-($N30*($P30+BL30)))*BK30))),"Non Trouvé")</f>
        <v/>
      </c>
      <c r="BP30" s="99">
        <f>BP29</f>
        <v/>
      </c>
      <c r="BQ30" s="99">
        <f>BQ29</f>
        <v/>
      </c>
      <c r="BR30" s="95">
        <f>IFERROR(IF($C30="","",IF($P$15="Cascade",$R30*(1-BQ30)*BP30,IF($P$15="Additionnelle",($N30-($N30*($P30+BQ30)))*BP30))),"Non Trouvé")</f>
        <v/>
      </c>
      <c r="BU30" s="99">
        <f>BU29</f>
        <v/>
      </c>
      <c r="BV30" s="99">
        <f>BV29</f>
        <v/>
      </c>
      <c r="BW30" s="95">
        <f>IFERROR(IF($C30="","",IF($P$15="Cascade",$R30*(1-BV30)*BU30,IF($P$15="Additionnelle",($N30-($N30*($P30+BV30)))*BU30))),"Non Trouvé")</f>
        <v/>
      </c>
      <c r="BZ30" s="99">
        <f>BZ29</f>
        <v/>
      </c>
      <c r="CA30" s="99">
        <f>CA29</f>
        <v/>
      </c>
      <c r="CB30" s="95">
        <f>IFERROR(IF($C30="","",IF($P$15="Cascade",$R30*(1-CA30)*BZ30,IF($P$15="Additionnelle",($N30-($N30*($P30+CA30)))*BZ30))),"Non Trouvé")</f>
        <v/>
      </c>
      <c r="CE30" s="100" t="n"/>
      <c r="CF30" s="101" t="n"/>
      <c r="CG30" s="102" t="n"/>
      <c r="CH30" s="102" t="n"/>
      <c r="CI30" s="103" t="n"/>
      <c r="CK30" s="104">
        <f>IFERROR(IF(F30='[1]Paramètres Généraux'!$K$12,ROUNDUP((REGENERANTS!H30*REGENERANTS!$CF$20)*'[1]Paramètres Généraux'!$M$12,-1),IF(F30='[1]Paramètres Généraux'!$K$15,ROUNDUP((REGENERANTS!H30*REGENERANTS!$CF$20)*'[1]Paramètres Généraux'!$M$15,-1),REGENERANTS!H30*REGENERANTS!$CF$20)),"nd")</f>
        <v/>
      </c>
      <c r="CN30" s="105" t="n"/>
      <c r="CO30" s="106" t="n"/>
      <c r="CP30" s="106" t="n"/>
      <c r="CQ30" s="106" t="n"/>
      <c r="CR30" s="106" t="n"/>
      <c r="CS30" s="107" t="n"/>
      <c r="CT30" s="106" t="n"/>
      <c r="CU30" s="106" t="n"/>
      <c r="CV30" s="108" t="n"/>
      <c r="CW30" s="109" t="n"/>
      <c r="CX30" s="110" t="n"/>
      <c r="CY30" s="111" t="n"/>
      <c r="CZ30" s="109" t="n"/>
      <c r="DA30" s="112" t="n"/>
      <c r="DB30" s="113" t="n"/>
      <c r="DC30" s="109" t="n"/>
      <c r="DD30" s="114" t="n"/>
      <c r="DE30" s="113" t="n"/>
      <c r="DF30" s="109" t="n"/>
      <c r="DG30" s="109" t="n"/>
      <c r="DH30" s="109" t="n"/>
      <c r="DI30" s="109" t="n"/>
      <c r="DJ30" s="109" t="n"/>
      <c r="DK30" s="109" t="n"/>
      <c r="DL30" s="109" t="n"/>
      <c r="DM30" s="109" t="n"/>
      <c r="DN30" s="109" t="n"/>
      <c r="DO30" s="112" t="n"/>
      <c r="DP30" s="111" t="n"/>
      <c r="DQ30" s="20">
        <f>SUM(CN30:DP30)</f>
        <v/>
      </c>
      <c r="DR30" s="20">
        <f>SUM(CV30:DP30)</f>
        <v/>
      </c>
      <c r="DS30" s="20">
        <f>IFERROR((IF(AND($F30="Produit Vente",CO30&gt;0),VLOOKUP($C30,'[1]Paramètres Articles'!$B:$H,7,FALSE)*$CO30)*(1-20%)),0)</f>
        <v/>
      </c>
      <c r="DT30" s="20">
        <f>IFERROR((IF(AND($F30="Produit Vente",DR30&gt;0),VLOOKUP($C30,'[1]Paramètres Articles'!$B:$H,6,FALSE)*$DR30)*(1-15%)),0)</f>
        <v/>
      </c>
      <c r="DU30" s="20">
        <f>IFERROR(DQ30*J30,0)</f>
        <v/>
      </c>
      <c r="DW30" s="40" t="n"/>
      <c r="DX30" s="117" t="n"/>
      <c r="EB30" s="41" t="n"/>
    </row>
    <row r="31" ht="12.95" customHeight="1">
      <c r="B31" s="1">
        <f>IF(C31="",0,COUNTIFS($B$22:B30,"&gt;"&amp;0)+1)</f>
        <v/>
      </c>
      <c r="C31" s="90" t="n">
        <v>1020717</v>
      </c>
      <c r="D31" s="91">
        <f>IFERROR(IF($C31="","",VLOOKUP($C31,'[1]Paramètres Articles'!$B:$G,2,FALSE)),"Non Trouvé")</f>
        <v/>
      </c>
      <c r="E31" s="92">
        <f>IFERROR(IF($C31="","",_xlfn.XLOOKUP(REGENERANTS!$C31,'[1]New Base PA'!$F:$F,'[1]New Base PA'!$D:$D,"Not Found",0)),"Non Trouvé")</f>
        <v/>
      </c>
      <c r="F31" s="93" t="inlineStr">
        <is>
          <t>Produit Vente</t>
        </is>
      </c>
      <c r="H31" s="94" t="n">
        <v>3</v>
      </c>
      <c r="J31" s="95">
        <f>IFERROR(IF($C31="","",VLOOKUP($C31,'[1]New Base PA'!$F:$J,5,FALSE)),"Non Trouvé")</f>
        <v/>
      </c>
      <c r="K31" s="95">
        <f>IFERROR(IF($C31="","",$J31*$H31),"Non Trouvé")</f>
        <v/>
      </c>
      <c r="L31" s="96" t="n"/>
      <c r="M31" s="95">
        <f>IFERROR(IF(AND($F31="Produit Vente",H31&gt;0),VLOOKUP($C31,'[1]Paramètres Articles'!$B:$G,6,FALSE),0),"Non Trouvé")</f>
        <v/>
      </c>
      <c r="N31" s="95">
        <f>IFERROR(IF($C31="","",$M31*$H31),"Non Trouvé")</f>
        <v/>
      </c>
      <c r="P31" s="97" t="n">
        <v>0.15</v>
      </c>
      <c r="R31" s="95">
        <f>IFERROR(IF($C31="","",$N31*(1-$P31)),"Non Trouvé")</f>
        <v/>
      </c>
      <c r="S31" s="96" t="n"/>
      <c r="T31" s="95">
        <f>IFERROR(IF($C31="","",VLOOKUP($C31,'[1]Paramètres Articles'!$B:$H,7,FALSE)),"Non Trouvé")</f>
        <v/>
      </c>
      <c r="U31" s="98" t="n"/>
      <c r="V31" s="95">
        <f>IFERROR(IF($C31="","",IF($P31="","",$T31*(1-$P31))),"Non Trouvé")</f>
        <v/>
      </c>
      <c r="W31" s="96" t="n"/>
      <c r="X31" s="95">
        <f>IFERROR(T31-V31,"")</f>
        <v/>
      </c>
      <c r="Y31" s="96" t="n"/>
      <c r="Z31" s="95">
        <f>IFERROR(IF(OR(T31=0,T31=""),0,T31*H31),"Non Trouvé")</f>
        <v/>
      </c>
      <c r="AB31" s="99">
        <f>AB30</f>
        <v/>
      </c>
      <c r="AC31" s="99">
        <f>AC30</f>
        <v/>
      </c>
      <c r="AD31" s="95">
        <f>IFERROR(IF($C31="","",IF($P$15="Cascade",$R31*(1-AC31)*AB31,IF($P$15="Additionnelle",($N31-($N31*($P31+AC31)))*AB31))),"Non Trouvé")</f>
        <v/>
      </c>
      <c r="AG31" s="99">
        <f>AG30</f>
        <v/>
      </c>
      <c r="AH31" s="99">
        <f>AH30</f>
        <v/>
      </c>
      <c r="AI31" s="95">
        <f>IFERROR(IF($C31="","",IF($P$15="Cascade",$R31*(1-AH31)*AG31,IF($P$15="Additionnelle",($N31-($N31*($P31+AH31)))*AG31))),"Non Trouvé")</f>
        <v/>
      </c>
      <c r="AL31" s="99">
        <f>AL30</f>
        <v/>
      </c>
      <c r="AM31" s="99">
        <f>AM30</f>
        <v/>
      </c>
      <c r="AN31" s="95">
        <f>IFERROR(IF($C31="","",IF($P$15="Cascade",$R31*(1-AM31)*AL31,IF($P$15="Additionnelle",($N31-($N31*($P31+AM31)))*AL31))),"Non Trouvé")</f>
        <v/>
      </c>
      <c r="AQ31" s="99">
        <f>AQ30</f>
        <v/>
      </c>
      <c r="AR31" s="99">
        <f>AR30</f>
        <v/>
      </c>
      <c r="AS31" s="95">
        <f>IFERROR(IF($C31="","",IF($P$15="Cascade",$R31*(1-AR31)*AQ31,IF($P$15="Additionnelle",($N31-($N31*($P31+AR31)))*AQ31))),"Non Trouvé")</f>
        <v/>
      </c>
      <c r="AV31" s="99">
        <f>AV30</f>
        <v/>
      </c>
      <c r="AW31" s="99">
        <f>AW30</f>
        <v/>
      </c>
      <c r="AX31" s="95">
        <f>IFERROR(IF($C31="","",IF($P$15="Cascade",$R31*(1-AW31)*AV31,IF($P$15="Additionnelle",($N31-($N31*($P31+AW31)))*AV31))),"Non Trouvé")</f>
        <v/>
      </c>
      <c r="BA31" s="99">
        <f>BA30</f>
        <v/>
      </c>
      <c r="BB31" s="99">
        <f>BB30</f>
        <v/>
      </c>
      <c r="BC31" s="95">
        <f>IFERROR(IF($C31="","",IF($P$15="Cascade",$R31*(1-BB31)*BA31,IF($P$15="Additionnelle",($N31-($N31*($P31+BB31)))*BA31))),"Non Trouvé")</f>
        <v/>
      </c>
      <c r="BF31" s="99">
        <f>BF30</f>
        <v/>
      </c>
      <c r="BG31" s="99">
        <f>BG30</f>
        <v/>
      </c>
      <c r="BH31" s="95">
        <f>IFERROR(IF($C31="","",IF($P$15="Cascade",$R31*(1-BG31)*BF31,IF($P$15="Additionnelle",($N31-($N31*($P31+BG31)))*BF31))),"Non Trouvé")</f>
        <v/>
      </c>
      <c r="BK31" s="99">
        <f>BK30</f>
        <v/>
      </c>
      <c r="BL31" s="99">
        <f>BL30</f>
        <v/>
      </c>
      <c r="BM31" s="95">
        <f>IFERROR(IF($C31="","",IF($P$15="Cascade",$R31*(1-BL31)*BK31,IF($P$15="Additionnelle",($N31-($N31*($P31+BL31)))*BK31))),"Non Trouvé")</f>
        <v/>
      </c>
      <c r="BP31" s="99">
        <f>BP30</f>
        <v/>
      </c>
      <c r="BQ31" s="99">
        <f>BQ30</f>
        <v/>
      </c>
      <c r="BR31" s="95">
        <f>IFERROR(IF($C31="","",IF($P$15="Cascade",$R31*(1-BQ31)*BP31,IF($P$15="Additionnelle",($N31-($N31*($P31+BQ31)))*BP31))),"Non Trouvé")</f>
        <v/>
      </c>
      <c r="BU31" s="99">
        <f>BU30</f>
        <v/>
      </c>
      <c r="BV31" s="99">
        <f>BV30</f>
        <v/>
      </c>
      <c r="BW31" s="95">
        <f>IFERROR(IF($C31="","",IF($P$15="Cascade",$R31*(1-BV31)*BU31,IF($P$15="Additionnelle",($N31-($N31*($P31+BV31)))*BU31))),"Non Trouvé")</f>
        <v/>
      </c>
      <c r="BZ31" s="99">
        <f>BZ30</f>
        <v/>
      </c>
      <c r="CA31" s="99">
        <f>CA30</f>
        <v/>
      </c>
      <c r="CB31" s="95">
        <f>IFERROR(IF($C31="","",IF($P$15="Cascade",$R31*(1-CA31)*BZ31,IF($P$15="Additionnelle",($N31-($N31*($P31+CA31)))*BZ31))),"Non Trouvé")</f>
        <v/>
      </c>
      <c r="CE31" s="100" t="n"/>
      <c r="CF31" s="101" t="n"/>
      <c r="CG31" s="102" t="n"/>
      <c r="CH31" s="102" t="n"/>
      <c r="CI31" s="103" t="n"/>
      <c r="CK31" s="104">
        <f>IFERROR(IF(F31='[1]Paramètres Généraux'!$K$12,ROUNDUP((REGENERANTS!H31*REGENERANTS!$CF$20)*'[1]Paramètres Généraux'!$M$12,-1),IF(F31='[1]Paramètres Généraux'!$K$15,ROUNDUP((REGENERANTS!H31*REGENERANTS!$CF$20)*'[1]Paramètres Généraux'!$M$15,-1),REGENERANTS!H31*REGENERANTS!$CF$20)),"nd")</f>
        <v/>
      </c>
      <c r="CN31" s="105" t="n"/>
      <c r="CO31" s="106" t="n"/>
      <c r="CP31" s="106" t="n"/>
      <c r="CQ31" s="106" t="n"/>
      <c r="CR31" s="106" t="n"/>
      <c r="CS31" s="107" t="n"/>
      <c r="CT31" s="106" t="n"/>
      <c r="CU31" s="106" t="n"/>
      <c r="CV31" s="108" t="n"/>
      <c r="CW31" s="109" t="n"/>
      <c r="CX31" s="110" t="n"/>
      <c r="CY31" s="111" t="n"/>
      <c r="CZ31" s="109" t="n"/>
      <c r="DA31" s="112" t="n"/>
      <c r="DB31" s="113" t="n"/>
      <c r="DC31" s="109" t="n"/>
      <c r="DD31" s="114" t="n"/>
      <c r="DE31" s="113" t="n"/>
      <c r="DF31" s="109" t="n"/>
      <c r="DG31" s="109" t="n"/>
      <c r="DH31" s="109" t="n"/>
      <c r="DI31" s="109" t="n"/>
      <c r="DJ31" s="109" t="n"/>
      <c r="DK31" s="109" t="n"/>
      <c r="DL31" s="109" t="n"/>
      <c r="DM31" s="109" t="n"/>
      <c r="DN31" s="109" t="n"/>
      <c r="DO31" s="112" t="n"/>
      <c r="DP31" s="111" t="n"/>
      <c r="DQ31" s="20">
        <f>SUM(CN31:DP31)</f>
        <v/>
      </c>
      <c r="DR31" s="20">
        <f>SUM(CV31:DP31)</f>
        <v/>
      </c>
      <c r="DS31" s="20">
        <f>IFERROR((IF(AND($F31="Produit Vente",CO31&gt;0),VLOOKUP($C31,'[1]Paramètres Articles'!$B:$H,7,FALSE)*$CO31)*(1-20%)),0)</f>
        <v/>
      </c>
      <c r="DT31" s="20">
        <f>IFERROR((IF(AND($F31="Produit Vente",DR31&gt;0),VLOOKUP($C31,'[1]Paramètres Articles'!$B:$H,6,FALSE)*$DR31)*(1-15%)),0)</f>
        <v/>
      </c>
      <c r="DU31" s="20">
        <f>IFERROR(DQ31*J31,0)</f>
        <v/>
      </c>
      <c r="DW31" s="126" t="n"/>
      <c r="DX31" s="127" t="n"/>
      <c r="DY31" s="128" t="n"/>
      <c r="DZ31" s="128" t="n"/>
      <c r="EA31" s="128" t="n"/>
      <c r="EB31" s="129" t="n"/>
    </row>
    <row r="32" ht="12.95" customHeight="1">
      <c r="B32" s="1">
        <f>IF(C32="",0,COUNTIFS($B$22:B31,"&gt;"&amp;0)+1)</f>
        <v/>
      </c>
      <c r="C32" s="90" t="n">
        <v>1020718</v>
      </c>
      <c r="D32" s="91">
        <f>IFERROR(IF($C32="","",VLOOKUP($C32,'[1]Paramètres Articles'!$B:$G,2,FALSE)),"Non Trouvé")</f>
        <v/>
      </c>
      <c r="E32" s="92">
        <f>IFERROR(IF($C32="","",_xlfn.XLOOKUP(REGENERANTS!$C32,'[1]New Base PA'!$F:$F,'[1]New Base PA'!$D:$D,"Not Found",0)),"Non Trouvé")</f>
        <v/>
      </c>
      <c r="F32" s="93" t="inlineStr">
        <is>
          <t>Produit Vente</t>
        </is>
      </c>
      <c r="H32" s="94" t="n">
        <v>5</v>
      </c>
      <c r="J32" s="95">
        <f>IFERROR(IF($C32="","",VLOOKUP($C32,'[1]New Base PA'!$F:$J,5,FALSE)),"Non Trouvé")</f>
        <v/>
      </c>
      <c r="K32" s="95">
        <f>IFERROR(IF($C32="","",$J32*$H32),"Non Trouvé")</f>
        <v/>
      </c>
      <c r="L32" s="96" t="n"/>
      <c r="M32" s="95">
        <f>IFERROR(IF(AND($F32="Produit Vente",H32&gt;0),VLOOKUP($C32,'[1]Paramètres Articles'!$B:$G,6,FALSE),0),"Non Trouvé")</f>
        <v/>
      </c>
      <c r="N32" s="95">
        <f>IFERROR(IF($C32="","",$M32*$H32),"Non Trouvé")</f>
        <v/>
      </c>
      <c r="P32" s="97" t="n">
        <v>0.15</v>
      </c>
      <c r="R32" s="95">
        <f>IFERROR(IF($C32="","",$N32*(1-$P32)),"Non Trouvé")</f>
        <v/>
      </c>
      <c r="S32" s="96" t="n"/>
      <c r="T32" s="95">
        <f>IFERROR(IF($C32="","",VLOOKUP($C32,'[1]Paramètres Articles'!$B:$H,7,FALSE)),"Non Trouvé")</f>
        <v/>
      </c>
      <c r="U32" s="98" t="n"/>
      <c r="V32" s="95">
        <f>IFERROR(IF($C32="","",IF($P32="","",$T32*(1-$P32))),"Non Trouvé")</f>
        <v/>
      </c>
      <c r="W32" s="96" t="n"/>
      <c r="X32" s="95">
        <f>IFERROR(T32-V32,"")</f>
        <v/>
      </c>
      <c r="Y32" s="96" t="n"/>
      <c r="Z32" s="95">
        <f>IFERROR(IF(OR(T32=0,T32=""),0,T32*H32),"Non Trouvé")</f>
        <v/>
      </c>
      <c r="AB32" s="99">
        <f>AB31</f>
        <v/>
      </c>
      <c r="AC32" s="99">
        <f>AC31</f>
        <v/>
      </c>
      <c r="AD32" s="95">
        <f>IFERROR(IF($C32="","",IF($P$15="Cascade",$R32*(1-AC32)*AB32,IF($P$15="Additionnelle",($N32-($N32*($P32+AC32)))*AB32))),"Non Trouvé")</f>
        <v/>
      </c>
      <c r="AG32" s="99">
        <f>AG31</f>
        <v/>
      </c>
      <c r="AH32" s="99">
        <f>AH31</f>
        <v/>
      </c>
      <c r="AI32" s="95">
        <f>IFERROR(IF($C32="","",IF($P$15="Cascade",$R32*(1-AH32)*AG32,IF($P$15="Additionnelle",($N32-($N32*($P32+AH32)))*AG32))),"Non Trouvé")</f>
        <v/>
      </c>
      <c r="AL32" s="99">
        <f>AL31</f>
        <v/>
      </c>
      <c r="AM32" s="99">
        <f>AM31</f>
        <v/>
      </c>
      <c r="AN32" s="95">
        <f>IFERROR(IF($C32="","",IF($P$15="Cascade",$R32*(1-AM32)*AL32,IF($P$15="Additionnelle",($N32-($N32*($P32+AM32)))*AL32))),"Non Trouvé")</f>
        <v/>
      </c>
      <c r="AQ32" s="99">
        <f>AQ31</f>
        <v/>
      </c>
      <c r="AR32" s="99">
        <f>AR31</f>
        <v/>
      </c>
      <c r="AS32" s="95">
        <f>IFERROR(IF($C32="","",IF($P$15="Cascade",$R32*(1-AR32)*AQ32,IF($P$15="Additionnelle",($N32-($N32*($P32+AR32)))*AQ32))),"Non Trouvé")</f>
        <v/>
      </c>
      <c r="AV32" s="99">
        <f>AV31</f>
        <v/>
      </c>
      <c r="AW32" s="99">
        <f>AW31</f>
        <v/>
      </c>
      <c r="AX32" s="95">
        <f>IFERROR(IF($C32="","",IF($P$15="Cascade",$R32*(1-AW32)*AV32,IF($P$15="Additionnelle",($N32-($N32*($P32+AW32)))*AV32))),"Non Trouvé")</f>
        <v/>
      </c>
      <c r="BA32" s="99">
        <f>BA31</f>
        <v/>
      </c>
      <c r="BB32" s="99">
        <f>BB31</f>
        <v/>
      </c>
      <c r="BC32" s="95">
        <f>IFERROR(IF($C32="","",IF($P$15="Cascade",$R32*(1-BB32)*BA32,IF($P$15="Additionnelle",($N32-($N32*($P32+BB32)))*BA32))),"Non Trouvé")</f>
        <v/>
      </c>
      <c r="BF32" s="99">
        <f>BF31</f>
        <v/>
      </c>
      <c r="BG32" s="99">
        <f>BG31</f>
        <v/>
      </c>
      <c r="BH32" s="95">
        <f>IFERROR(IF($C32="","",IF($P$15="Cascade",$R32*(1-BG32)*BF32,IF($P$15="Additionnelle",($N32-($N32*($P32+BG32)))*BF32))),"Non Trouvé")</f>
        <v/>
      </c>
      <c r="BK32" s="99">
        <f>BK31</f>
        <v/>
      </c>
      <c r="BL32" s="99">
        <f>BL31</f>
        <v/>
      </c>
      <c r="BM32" s="95">
        <f>IFERROR(IF($C32="","",IF($P$15="Cascade",$R32*(1-BL32)*BK32,IF($P$15="Additionnelle",($N32-($N32*($P32+BL32)))*BK32))),"Non Trouvé")</f>
        <v/>
      </c>
      <c r="BP32" s="99">
        <f>BP31</f>
        <v/>
      </c>
      <c r="BQ32" s="99">
        <f>BQ31</f>
        <v/>
      </c>
      <c r="BR32" s="95">
        <f>IFERROR(IF($C32="","",IF($P$15="Cascade",$R32*(1-BQ32)*BP32,IF($P$15="Additionnelle",($N32-($N32*($P32+BQ32)))*BP32))),"Non Trouvé")</f>
        <v/>
      </c>
      <c r="BU32" s="99">
        <f>BU31</f>
        <v/>
      </c>
      <c r="BV32" s="99">
        <f>BV31</f>
        <v/>
      </c>
      <c r="BW32" s="95">
        <f>IFERROR(IF($C32="","",IF($P$15="Cascade",$R32*(1-BV32)*BU32,IF($P$15="Additionnelle",($N32-($N32*($P32+BV32)))*BU32))),"Non Trouvé")</f>
        <v/>
      </c>
      <c r="BZ32" s="99">
        <f>BZ31</f>
        <v/>
      </c>
      <c r="CA32" s="99">
        <f>CA31</f>
        <v/>
      </c>
      <c r="CB32" s="95">
        <f>IFERROR(IF($C32="","",IF($P$15="Cascade",$R32*(1-CA32)*BZ32,IF($P$15="Additionnelle",($N32-($N32*($P32+CA32)))*BZ32))),"Non Trouvé")</f>
        <v/>
      </c>
      <c r="CE32" s="100" t="n"/>
      <c r="CF32" s="101" t="n"/>
      <c r="CG32" s="102" t="n"/>
      <c r="CH32" s="102" t="n"/>
      <c r="CI32" s="103" t="n"/>
      <c r="CK32" s="104">
        <f>IFERROR(IF(F32='[1]Paramètres Généraux'!$K$12,ROUNDUP((REGENERANTS!H32*REGENERANTS!$CF$20)*'[1]Paramètres Généraux'!$M$12,-1),IF(F32='[1]Paramètres Généraux'!$K$15,ROUNDUP((REGENERANTS!H32*REGENERANTS!$CF$20)*'[1]Paramètres Généraux'!$M$15,-1),REGENERANTS!H32*REGENERANTS!$CF$20)),"nd")</f>
        <v/>
      </c>
      <c r="CN32" s="105" t="n"/>
      <c r="CO32" s="106" t="n"/>
      <c r="CP32" s="106" t="n"/>
      <c r="CQ32" s="106" t="n"/>
      <c r="CR32" s="106" t="n"/>
      <c r="CS32" s="107" t="n"/>
      <c r="CT32" s="106" t="n"/>
      <c r="CU32" s="106" t="n"/>
      <c r="CV32" s="108" t="n"/>
      <c r="CW32" s="109" t="n"/>
      <c r="CX32" s="110" t="n"/>
      <c r="CY32" s="111" t="n"/>
      <c r="CZ32" s="109" t="n"/>
      <c r="DA32" s="112" t="n"/>
      <c r="DB32" s="113" t="n"/>
      <c r="DC32" s="109" t="n"/>
      <c r="DD32" s="114" t="n"/>
      <c r="DE32" s="113" t="n"/>
      <c r="DF32" s="109" t="n"/>
      <c r="DG32" s="109" t="n"/>
      <c r="DH32" s="109" t="n"/>
      <c r="DI32" s="109" t="n"/>
      <c r="DJ32" s="109" t="n"/>
      <c r="DK32" s="109" t="n"/>
      <c r="DL32" s="109" t="n"/>
      <c r="DM32" s="109" t="n"/>
      <c r="DN32" s="109" t="n"/>
      <c r="DO32" s="112" t="n"/>
      <c r="DP32" s="111" t="n"/>
      <c r="DQ32" s="20">
        <f>SUM(CN32:DP32)</f>
        <v/>
      </c>
      <c r="DR32" s="20">
        <f>SUM(CV32:DP32)</f>
        <v/>
      </c>
      <c r="DS32" s="20">
        <f>IFERROR((IF(AND($F32="Produit Vente",CO32&gt;0),VLOOKUP($C32,'[1]Paramètres Articles'!$B:$H,7,FALSE)*$CO32)*(1-20%)),0)</f>
        <v/>
      </c>
      <c r="DT32" s="20">
        <f>IFERROR((IF(AND($F32="Produit Vente",DR32&gt;0),VLOOKUP($C32,'[1]Paramètres Articles'!$B:$H,6,FALSE)*$DR32)*(1-15%)),0)</f>
        <v/>
      </c>
      <c r="DU32" s="20">
        <f>IFERROR(DQ32*J32,0)</f>
        <v/>
      </c>
    </row>
    <row r="33" ht="12.95" customHeight="1">
      <c r="B33" s="1">
        <f>IF(C33="",0,COUNTIFS($B$22:B32,"&gt;"&amp;0)+1)</f>
        <v/>
      </c>
      <c r="C33" s="90" t="n">
        <v>1020301</v>
      </c>
      <c r="D33" s="91">
        <f>IFERROR(IF($C33="","",VLOOKUP($C33,'[1]Paramètres Articles'!$B:$G,2,FALSE)),"Non Trouvé")</f>
        <v/>
      </c>
      <c r="E33" s="92">
        <f>IFERROR(IF($C33="","",_xlfn.XLOOKUP(REGENERANTS!$C33,'[1]New Base PA'!$F:$F,'[1]New Base PA'!$D:$D,"Not Found",0)),"Non Trouvé")</f>
        <v/>
      </c>
      <c r="F33" s="93" t="inlineStr">
        <is>
          <t>Produit Vente</t>
        </is>
      </c>
      <c r="H33" s="94" t="n">
        <v>8</v>
      </c>
      <c r="J33" s="95">
        <f>IFERROR(IF($C33="","",VLOOKUP($C33,'[1]New Base PA'!$F:$J,5,FALSE)),"Non Trouvé")</f>
        <v/>
      </c>
      <c r="K33" s="95">
        <f>IFERROR(IF($C33="","",$J33*$H33),"Non Trouvé")</f>
        <v/>
      </c>
      <c r="L33" s="96" t="n"/>
      <c r="M33" s="95">
        <f>IFERROR(IF(AND($F33="Produit Vente",H33&gt;0),VLOOKUP($C33,'[1]Paramètres Articles'!$B:$G,6,FALSE),0),"Non Trouvé")</f>
        <v/>
      </c>
      <c r="N33" s="95">
        <f>IFERROR(IF($C33="","",$M33*$H33),"Non Trouvé")</f>
        <v/>
      </c>
      <c r="P33" s="97" t="n">
        <v>0.15</v>
      </c>
      <c r="R33" s="95">
        <f>IFERROR(IF($C33="","",$N33*(1-$P33)),"Non Trouvé")</f>
        <v/>
      </c>
      <c r="S33" s="96" t="n"/>
      <c r="T33" s="95">
        <f>IFERROR(IF($C33="","",VLOOKUP($C33,'[1]Paramètres Articles'!$B:$H,7,FALSE)),"Non Trouvé")</f>
        <v/>
      </c>
      <c r="U33" s="98" t="n"/>
      <c r="V33" s="95">
        <f>IFERROR(IF($C33="","",IF($P33="","",$T33*(1-$P33))),"Non Trouvé")</f>
        <v/>
      </c>
      <c r="W33" s="96" t="n"/>
      <c r="X33" s="95">
        <f>IFERROR(T33-V33,"")</f>
        <v/>
      </c>
      <c r="Y33" s="96" t="n"/>
      <c r="Z33" s="95">
        <f>IFERROR(IF(OR(T33=0,T33=""),0,T33*H33),"Non Trouvé")</f>
        <v/>
      </c>
      <c r="AB33" s="99">
        <f>AB32</f>
        <v/>
      </c>
      <c r="AC33" s="99">
        <f>AC32</f>
        <v/>
      </c>
      <c r="AD33" s="95">
        <f>IFERROR(IF($C33="","",IF($P$15="Cascade",$R33*(1-AC33)*AB33,IF($P$15="Additionnelle",($N33-($N33*($P33+AC33)))*AB33))),"Non Trouvé")</f>
        <v/>
      </c>
      <c r="AG33" s="99">
        <f>AG32</f>
        <v/>
      </c>
      <c r="AH33" s="99">
        <f>AH32</f>
        <v/>
      </c>
      <c r="AI33" s="95">
        <f>IFERROR(IF($C33="","",IF($P$15="Cascade",$R33*(1-AH33)*AG33,IF($P$15="Additionnelle",($N33-($N33*($P33+AH33)))*AG33))),"Non Trouvé")</f>
        <v/>
      </c>
      <c r="AL33" s="99">
        <f>AL32</f>
        <v/>
      </c>
      <c r="AM33" s="99">
        <f>AM32</f>
        <v/>
      </c>
      <c r="AN33" s="95">
        <f>IFERROR(IF($C33="","",IF($P$15="Cascade",$R33*(1-AM33)*AL33,IF($P$15="Additionnelle",($N33-($N33*($P33+AM33)))*AL33))),"Non Trouvé")</f>
        <v/>
      </c>
      <c r="AQ33" s="99">
        <f>AQ32</f>
        <v/>
      </c>
      <c r="AR33" s="99">
        <f>AR32</f>
        <v/>
      </c>
      <c r="AS33" s="95">
        <f>IFERROR(IF($C33="","",IF($P$15="Cascade",$R33*(1-AR33)*AQ33,IF($P$15="Additionnelle",($N33-($N33*($P33+AR33)))*AQ33))),"Non Trouvé")</f>
        <v/>
      </c>
      <c r="AV33" s="99">
        <f>AV32</f>
        <v/>
      </c>
      <c r="AW33" s="99">
        <f>AW32</f>
        <v/>
      </c>
      <c r="AX33" s="95">
        <f>IFERROR(IF($C33="","",IF($P$15="Cascade",$R33*(1-AW33)*AV33,IF($P$15="Additionnelle",($N33-($N33*($P33+AW33)))*AV33))),"Non Trouvé")</f>
        <v/>
      </c>
      <c r="BA33" s="99">
        <f>BA32</f>
        <v/>
      </c>
      <c r="BB33" s="99">
        <f>BB32</f>
        <v/>
      </c>
      <c r="BC33" s="95">
        <f>IFERROR(IF($C33="","",IF($P$15="Cascade",$R33*(1-BB33)*BA33,IF($P$15="Additionnelle",($N33-($N33*($P33+BB33)))*BA33))),"Non Trouvé")</f>
        <v/>
      </c>
      <c r="BF33" s="99">
        <f>BF32</f>
        <v/>
      </c>
      <c r="BG33" s="99">
        <f>BG32</f>
        <v/>
      </c>
      <c r="BH33" s="95">
        <f>IFERROR(IF($C33="","",IF($P$15="Cascade",$R33*(1-BG33)*BF33,IF($P$15="Additionnelle",($N33-($N33*($P33+BG33)))*BF33))),"Non Trouvé")</f>
        <v/>
      </c>
      <c r="BK33" s="99">
        <f>BK32</f>
        <v/>
      </c>
      <c r="BL33" s="99">
        <f>BL32</f>
        <v/>
      </c>
      <c r="BM33" s="95">
        <f>IFERROR(IF($C33="","",IF($P$15="Cascade",$R33*(1-BL33)*BK33,IF($P$15="Additionnelle",($N33-($N33*($P33+BL33)))*BK33))),"Non Trouvé")</f>
        <v/>
      </c>
      <c r="BP33" s="99">
        <f>BP32</f>
        <v/>
      </c>
      <c r="BQ33" s="99">
        <f>BQ32</f>
        <v/>
      </c>
      <c r="BR33" s="95">
        <f>IFERROR(IF($C33="","",IF($P$15="Cascade",$R33*(1-BQ33)*BP33,IF($P$15="Additionnelle",($N33-($N33*($P33+BQ33)))*BP33))),"Non Trouvé")</f>
        <v/>
      </c>
      <c r="BU33" s="99">
        <f>BU32</f>
        <v/>
      </c>
      <c r="BV33" s="99">
        <f>BV32</f>
        <v/>
      </c>
      <c r="BW33" s="95">
        <f>IFERROR(IF($C33="","",IF($P$15="Cascade",$R33*(1-BV33)*BU33,IF($P$15="Additionnelle",($N33-($N33*($P33+BV33)))*BU33))),"Non Trouvé")</f>
        <v/>
      </c>
      <c r="BZ33" s="99">
        <f>BZ32</f>
        <v/>
      </c>
      <c r="CA33" s="99">
        <f>CA32</f>
        <v/>
      </c>
      <c r="CB33" s="95">
        <f>IFERROR(IF($C33="","",IF($P$15="Cascade",$R33*(1-CA33)*BZ33,IF($P$15="Additionnelle",($N33-($N33*($P33+CA33)))*BZ33))),"Non Trouvé")</f>
        <v/>
      </c>
      <c r="CE33" s="100" t="n"/>
      <c r="CF33" s="101" t="n"/>
      <c r="CG33" s="102" t="n"/>
      <c r="CH33" s="102" t="n"/>
      <c r="CI33" s="103" t="n"/>
      <c r="CK33" s="104">
        <f>IFERROR(IF(F33='[1]Paramètres Généraux'!$K$12,ROUNDUP((REGENERANTS!H33*REGENERANTS!$CF$20)*'[1]Paramètres Généraux'!$M$12,-1),IF(F33='[1]Paramètres Généraux'!$K$15,ROUNDUP((REGENERANTS!H33*REGENERANTS!$CF$20)*'[1]Paramètres Généraux'!$M$15,-1),REGENERANTS!H33*REGENERANTS!$CF$20)),"nd")</f>
        <v/>
      </c>
      <c r="CN33" s="105" t="n"/>
      <c r="CO33" s="106" t="n"/>
      <c r="CP33" s="106" t="n"/>
      <c r="CQ33" s="106" t="n"/>
      <c r="CR33" s="106" t="n"/>
      <c r="CS33" s="107" t="n"/>
      <c r="CT33" s="106" t="n"/>
      <c r="CU33" s="106" t="n"/>
      <c r="CV33" s="108" t="n"/>
      <c r="CW33" s="109" t="n"/>
      <c r="CX33" s="110" t="n"/>
      <c r="CY33" s="111" t="n"/>
      <c r="CZ33" s="109" t="n"/>
      <c r="DA33" s="112" t="n"/>
      <c r="DB33" s="113" t="n"/>
      <c r="DC33" s="109" t="n"/>
      <c r="DD33" s="114" t="n"/>
      <c r="DE33" s="113" t="n"/>
      <c r="DF33" s="109" t="n"/>
      <c r="DG33" s="109" t="n"/>
      <c r="DH33" s="109" t="n"/>
      <c r="DI33" s="109" t="n"/>
      <c r="DJ33" s="109" t="n"/>
      <c r="DK33" s="109" t="n"/>
      <c r="DL33" s="109" t="n"/>
      <c r="DM33" s="109" t="n"/>
      <c r="DN33" s="109" t="n"/>
      <c r="DO33" s="112" t="n"/>
      <c r="DP33" s="111" t="n"/>
      <c r="DQ33" s="20">
        <f>SUM(CN33:DP33)</f>
        <v/>
      </c>
      <c r="DR33" s="20">
        <f>SUM(CV33:DP33)</f>
        <v/>
      </c>
      <c r="DS33" s="20">
        <f>IFERROR((IF(AND($F33="Produit Vente",CO33&gt;0),VLOOKUP($C33,'[1]Paramètres Articles'!$B:$H,7,FALSE)*$CO33)*(1-20%)),0)</f>
        <v/>
      </c>
      <c r="DT33" s="20">
        <f>IFERROR((IF(AND($F33="Produit Vente",DR33&gt;0),VLOOKUP($C33,'[1]Paramètres Articles'!$B:$H,6,FALSE)*$DR33)*(1-15%)),0)</f>
        <v/>
      </c>
      <c r="DU33" s="20">
        <f>IFERROR(DQ33*J33,0)</f>
        <v/>
      </c>
      <c r="DW33" s="130" t="n"/>
      <c r="DX33" s="131" t="n"/>
      <c r="DY33" s="131" t="n"/>
      <c r="DZ33" s="131" t="n"/>
      <c r="EA33" s="131" t="n"/>
      <c r="EB33" s="132" t="n"/>
    </row>
    <row r="34" ht="12.95" customHeight="1">
      <c r="B34" s="1">
        <f>IF(C34="",0,COUNTIFS($B$22:B33,"&gt;"&amp;0)+1)</f>
        <v/>
      </c>
      <c r="C34" s="90" t="n">
        <v>1020720</v>
      </c>
      <c r="D34" s="91">
        <f>IFERROR(IF($C34="","",VLOOKUP($C34,'[1]Paramètres Articles'!$B:$G,2,FALSE)),"Non Trouvé")</f>
        <v/>
      </c>
      <c r="E34" s="92">
        <f>IFERROR(IF($C34="","",_xlfn.XLOOKUP(REGENERANTS!$C34,'[1]New Base PA'!$F:$F,'[1]New Base PA'!$D:$D,"Not Found",0)),"Non Trouvé")</f>
        <v/>
      </c>
      <c r="F34" s="93" t="inlineStr">
        <is>
          <t>Produit Vente</t>
        </is>
      </c>
      <c r="H34" s="94" t="n">
        <v>8</v>
      </c>
      <c r="J34" s="95">
        <f>IFERROR(IF($C34="","",VLOOKUP($C34,'[1]New Base PA'!$F:$J,5,FALSE)),"Non Trouvé")</f>
        <v/>
      </c>
      <c r="K34" s="95">
        <f>IFERROR(IF($C34="","",$J34*$H34),"Non Trouvé")</f>
        <v/>
      </c>
      <c r="L34" s="96" t="n"/>
      <c r="M34" s="95">
        <f>IFERROR(IF(AND($F34="Produit Vente",H34&gt;0),VLOOKUP($C34,'[1]Paramètres Articles'!$B:$G,6,FALSE),0),"Non Trouvé")</f>
        <v/>
      </c>
      <c r="N34" s="95">
        <f>IFERROR(IF($C34="","",$M34*$H34),"Non Trouvé")</f>
        <v/>
      </c>
      <c r="P34" s="97" t="n">
        <v>0.15</v>
      </c>
      <c r="R34" s="95">
        <f>IFERROR(IF($C34="","",$N34*(1-$P34)),"Non Trouvé")</f>
        <v/>
      </c>
      <c r="S34" s="96" t="n"/>
      <c r="T34" s="95">
        <f>IFERROR(IF($C34="","",VLOOKUP($C34,'[1]Paramètres Articles'!$B:$H,7,FALSE)),"Non Trouvé")</f>
        <v/>
      </c>
      <c r="U34" s="98" t="n"/>
      <c r="V34" s="95">
        <f>IFERROR(IF($C34="","",IF($P34="","",$T34*(1-$P34))),"Non Trouvé")</f>
        <v/>
      </c>
      <c r="W34" s="96" t="n"/>
      <c r="X34" s="95">
        <f>IFERROR(T34-V34,"")</f>
        <v/>
      </c>
      <c r="Y34" s="96" t="n"/>
      <c r="Z34" s="95">
        <f>IFERROR(IF(OR(T34=0,T34=""),0,T34*H34),"Non Trouvé")</f>
        <v/>
      </c>
      <c r="AB34" s="99">
        <f>AB33</f>
        <v/>
      </c>
      <c r="AC34" s="99">
        <f>AC33</f>
        <v/>
      </c>
      <c r="AD34" s="95">
        <f>IFERROR(IF($C34="","",IF($P$15="Cascade",$R34*(1-AC34)*AB34,IF($P$15="Additionnelle",($N34-($N34*($P34+AC34)))*AB34))),"Non Trouvé")</f>
        <v/>
      </c>
      <c r="AG34" s="99">
        <f>AG33</f>
        <v/>
      </c>
      <c r="AH34" s="99">
        <f>AH33</f>
        <v/>
      </c>
      <c r="AI34" s="95">
        <f>IFERROR(IF($C34="","",IF($P$15="Cascade",$R34*(1-AH34)*AG34,IF($P$15="Additionnelle",($N34-($N34*($P34+AH34)))*AG34))),"Non Trouvé")</f>
        <v/>
      </c>
      <c r="AL34" s="99">
        <f>AL33</f>
        <v/>
      </c>
      <c r="AM34" s="99">
        <f>AM33</f>
        <v/>
      </c>
      <c r="AN34" s="95">
        <f>IFERROR(IF($C34="","",IF($P$15="Cascade",$R34*(1-AM34)*AL34,IF($P$15="Additionnelle",($N34-($N34*($P34+AM34)))*AL34))),"Non Trouvé")</f>
        <v/>
      </c>
      <c r="AQ34" s="99">
        <f>AQ33</f>
        <v/>
      </c>
      <c r="AR34" s="99">
        <f>AR33</f>
        <v/>
      </c>
      <c r="AS34" s="95">
        <f>IFERROR(IF($C34="","",IF($P$15="Cascade",$R34*(1-AR34)*AQ34,IF($P$15="Additionnelle",($N34-($N34*($P34+AR34)))*AQ34))),"Non Trouvé")</f>
        <v/>
      </c>
      <c r="AV34" s="99">
        <f>AV33</f>
        <v/>
      </c>
      <c r="AW34" s="99">
        <f>AW33</f>
        <v/>
      </c>
      <c r="AX34" s="95">
        <f>IFERROR(IF($C34="","",IF($P$15="Cascade",$R34*(1-AW34)*AV34,IF($P$15="Additionnelle",($N34-($N34*($P34+AW34)))*AV34))),"Non Trouvé")</f>
        <v/>
      </c>
      <c r="BA34" s="99">
        <f>BA33</f>
        <v/>
      </c>
      <c r="BB34" s="99">
        <f>BB33</f>
        <v/>
      </c>
      <c r="BC34" s="95">
        <f>IFERROR(IF($C34="","",IF($P$15="Cascade",$R34*(1-BB34)*BA34,IF($P$15="Additionnelle",($N34-($N34*($P34+BB34)))*BA34))),"Non Trouvé")</f>
        <v/>
      </c>
      <c r="BF34" s="99">
        <f>BF33</f>
        <v/>
      </c>
      <c r="BG34" s="99">
        <f>BG33</f>
        <v/>
      </c>
      <c r="BH34" s="95">
        <f>IFERROR(IF($C34="","",IF($P$15="Cascade",$R34*(1-BG34)*BF34,IF($P$15="Additionnelle",($N34-($N34*($P34+BG34)))*BF34))),"Non Trouvé")</f>
        <v/>
      </c>
      <c r="BK34" s="99">
        <f>BK33</f>
        <v/>
      </c>
      <c r="BL34" s="99">
        <f>BL33</f>
        <v/>
      </c>
      <c r="BM34" s="95">
        <f>IFERROR(IF($C34="","",IF($P$15="Cascade",$R34*(1-BL34)*BK34,IF($P$15="Additionnelle",($N34-($N34*($P34+BL34)))*BK34))),"Non Trouvé")</f>
        <v/>
      </c>
      <c r="BP34" s="99">
        <f>BP33</f>
        <v/>
      </c>
      <c r="BQ34" s="99">
        <f>BQ33</f>
        <v/>
      </c>
      <c r="BR34" s="95">
        <f>IFERROR(IF($C34="","",IF($P$15="Cascade",$R34*(1-BQ34)*BP34,IF($P$15="Additionnelle",($N34-($N34*($P34+BQ34)))*BP34))),"Non Trouvé")</f>
        <v/>
      </c>
      <c r="BU34" s="99">
        <f>BU33</f>
        <v/>
      </c>
      <c r="BV34" s="99">
        <f>BV33</f>
        <v/>
      </c>
      <c r="BW34" s="95">
        <f>IFERROR(IF($C34="","",IF($P$15="Cascade",$R34*(1-BV34)*BU34,IF($P$15="Additionnelle",($N34-($N34*($P34+BV34)))*BU34))),"Non Trouvé")</f>
        <v/>
      </c>
      <c r="BZ34" s="99">
        <f>BZ33</f>
        <v/>
      </c>
      <c r="CA34" s="99">
        <f>CA33</f>
        <v/>
      </c>
      <c r="CB34" s="95">
        <f>IFERROR(IF($C34="","",IF($P$15="Cascade",$R34*(1-CA34)*BZ34,IF($P$15="Additionnelle",($N34-($N34*($P34+CA34)))*BZ34))),"Non Trouvé")</f>
        <v/>
      </c>
      <c r="CE34" s="100" t="n"/>
      <c r="CF34" s="101" t="n"/>
      <c r="CG34" s="133" t="inlineStr">
        <is>
          <t>Retail</t>
        </is>
      </c>
      <c r="CH34" s="102" t="n"/>
      <c r="CI34" s="103" t="n"/>
      <c r="CK34" s="104">
        <f>IFERROR(IF(F34='[1]Paramètres Généraux'!$K$12,ROUNDUP((REGENERANTS!H34*REGENERANTS!$CF$20)*'[1]Paramètres Généraux'!$M$12,-1),IF(F34='[1]Paramètres Généraux'!$K$15,ROUNDUP((REGENERANTS!H34*REGENERANTS!$CF$20)*'[1]Paramètres Généraux'!$M$15,-1),REGENERANTS!H34*REGENERANTS!$CF$20)),"nd")</f>
        <v/>
      </c>
      <c r="CN34" s="105" t="n"/>
      <c r="CO34" s="106" t="n"/>
      <c r="CP34" s="106" t="n"/>
      <c r="CQ34" s="106" t="n"/>
      <c r="CR34" s="106" t="n"/>
      <c r="CS34" s="107" t="n"/>
      <c r="CT34" s="106" t="n"/>
      <c r="CU34" s="106" t="n"/>
      <c r="CV34" s="108" t="n"/>
      <c r="CW34" s="109" t="n"/>
      <c r="CX34" s="110" t="n"/>
      <c r="CY34" s="111" t="n"/>
      <c r="CZ34" s="109" t="n"/>
      <c r="DA34" s="112" t="n"/>
      <c r="DB34" s="113" t="n"/>
      <c r="DC34" s="109" t="n"/>
      <c r="DD34" s="114" t="n"/>
      <c r="DE34" s="113" t="n"/>
      <c r="DF34" s="109" t="n"/>
      <c r="DG34" s="109" t="n"/>
      <c r="DH34" s="109" t="n"/>
      <c r="DI34" s="109" t="n"/>
      <c r="DJ34" s="109" t="n"/>
      <c r="DK34" s="109" t="n"/>
      <c r="DL34" s="109" t="n"/>
      <c r="DM34" s="109" t="n"/>
      <c r="DN34" s="109" t="n"/>
      <c r="DO34" s="112" t="n"/>
      <c r="DP34" s="111" t="n"/>
      <c r="DQ34" s="20">
        <f>SUM(CN34:DP34)</f>
        <v/>
      </c>
      <c r="DR34" s="20">
        <f>SUM(CV34:DP34)</f>
        <v/>
      </c>
      <c r="DS34" s="20">
        <f>IFERROR((IF(AND($F34="Produit Vente",CO34&gt;0),VLOOKUP($C34,'[1]Paramètres Articles'!$B:$H,7,FALSE)*$CO34)*(1-20%)),0)</f>
        <v/>
      </c>
      <c r="DT34" s="20">
        <f>IFERROR((IF(AND($F34="Produit Vente",DR34&gt;0),VLOOKUP($C34,'[1]Paramètres Articles'!$B:$H,6,FALSE)*$DR34)*(1-15%)),0)</f>
        <v/>
      </c>
      <c r="DU34" s="20">
        <f>IFERROR(DQ34*J34,0)</f>
        <v/>
      </c>
      <c r="DW34" s="134" t="n"/>
      <c r="EB34" s="135" t="n"/>
    </row>
    <row r="35" ht="12.95" customHeight="1">
      <c r="B35" s="1">
        <f>IF(C35="",0,COUNTIFS($B$22:B34,"&gt;"&amp;0)+1)</f>
        <v/>
      </c>
      <c r="C35" s="90" t="inlineStr">
        <is>
          <t>PANNEAU REGE</t>
        </is>
      </c>
      <c r="D35" s="91">
        <f>IFERROR(IF($C35="","",VLOOKUP($C35,'[1]Paramètres Articles'!$B:$G,2,FALSE)),"Non Trouvé")</f>
        <v/>
      </c>
      <c r="E35" s="92">
        <f>IFERROR(IF($C35="","",_xlfn.XLOOKUP(REGENERANTS!$C35,'[1]New Base PA'!$F:$F,'[1]New Base PA'!$D:$D,"Not Found",0)),"Non Trouvé")</f>
        <v/>
      </c>
      <c r="F35" s="93" t="inlineStr">
        <is>
          <t>PLV (vitrine)</t>
        </is>
      </c>
      <c r="H35" s="94" t="n">
        <v>1</v>
      </c>
      <c r="J35" s="95">
        <f>IFERROR(IF($C35="","",VLOOKUP($C35,'[1]New Base PA'!$F:$J,5,FALSE)),"Non Trouvé")</f>
        <v/>
      </c>
      <c r="K35" s="136">
        <f>IFERROR(IF($C35="","",$J35*$H35),"Non Trouvé")</f>
        <v/>
      </c>
      <c r="L35" s="137" t="n"/>
      <c r="M35" s="136">
        <f>IFERROR(IF(AND($F35="Produit Vente",H35&gt;0),VLOOKUP($C35,'[1]Paramètres Articles'!$B:$G,6,FALSE),0),"Non Trouvé")</f>
        <v/>
      </c>
      <c r="N35" s="136">
        <f>IFERROR(IF($C35="","",$M35*$H35),"Non Trouvé")</f>
        <v/>
      </c>
      <c r="P35" s="97" t="n"/>
      <c r="R35" s="95">
        <f>IFERROR(IF($C35="","",$N35*(1-$P35)),"Non Trouvé")</f>
        <v/>
      </c>
      <c r="S35" s="96" t="n"/>
      <c r="T35" s="95">
        <f>IFERROR(IF($C35="","",VLOOKUP($C35,'[1]Paramètres Articles'!$B:$H,7,FALSE)),"Non Trouvé")</f>
        <v/>
      </c>
      <c r="U35" s="98" t="n"/>
      <c r="V35" s="95">
        <f>IFERROR(IF($C35="","",IF($P35="","",$T35*(1-$P35))),"Non Trouvé")</f>
        <v/>
      </c>
      <c r="W35" s="96" t="n"/>
      <c r="X35" s="95">
        <f>IFERROR(T35-V35,"")</f>
        <v/>
      </c>
      <c r="Y35" s="96" t="n"/>
      <c r="Z35" s="95">
        <f>IFERROR(IF(OR(T35=0,T35=""),0,T35*H35),"Non Trouvé")</f>
        <v/>
      </c>
      <c r="AB35" s="99">
        <f>AB34</f>
        <v/>
      </c>
      <c r="AC35" s="99">
        <f>AC34</f>
        <v/>
      </c>
      <c r="AD35" s="95">
        <f>IFERROR(IF($C35="","",IF($P$15="Cascade",$R35*(1-AC35)*AB35,IF($P$15="Additionnelle",($N35-($N35*($P35+AC35)))*AB35))),"Non Trouvé")</f>
        <v/>
      </c>
      <c r="AG35" s="99">
        <f>AG34</f>
        <v/>
      </c>
      <c r="AH35" s="99">
        <f>AH34</f>
        <v/>
      </c>
      <c r="AI35" s="95">
        <f>IFERROR(IF($C35="","",IF($P$15="Cascade",$R35*(1-AH35)*AG35,IF($P$15="Additionnelle",($N35-($N35*($P35+AH35)))*AG35))),"Non Trouvé")</f>
        <v/>
      </c>
      <c r="AL35" s="99">
        <f>AL34</f>
        <v/>
      </c>
      <c r="AM35" s="99">
        <f>AM34</f>
        <v/>
      </c>
      <c r="AN35" s="95">
        <f>IFERROR(IF($C35="","",IF($P$15="Cascade",$R35*(1-AM35)*AL35,IF($P$15="Additionnelle",($N35-($N35*($P35+AM35)))*AL35))),"Non Trouvé")</f>
        <v/>
      </c>
      <c r="AQ35" s="99">
        <f>AQ34</f>
        <v/>
      </c>
      <c r="AR35" s="99">
        <f>AR34</f>
        <v/>
      </c>
      <c r="AS35" s="95">
        <f>IFERROR(IF($C35="","",IF($P$15="Cascade",$R35*(1-AR35)*AQ35,IF($P$15="Additionnelle",($N35-($N35*($P35+AR35)))*AQ35))),"Non Trouvé")</f>
        <v/>
      </c>
      <c r="AV35" s="99">
        <f>AV34</f>
        <v/>
      </c>
      <c r="AW35" s="99">
        <f>AW34</f>
        <v/>
      </c>
      <c r="AX35" s="95">
        <f>IFERROR(IF($C35="","",IF($P$15="Cascade",$R35*(1-AW35)*AV35,IF($P$15="Additionnelle",($N35-($N35*($P35+AW35)))*AV35))),"Non Trouvé")</f>
        <v/>
      </c>
      <c r="BA35" s="99">
        <f>BA34</f>
        <v/>
      </c>
      <c r="BB35" s="99">
        <f>BB34</f>
        <v/>
      </c>
      <c r="BC35" s="95">
        <f>IFERROR(IF($C35="","",IF($P$15="Cascade",$R35*(1-BB35)*BA35,IF($P$15="Additionnelle",($N35-($N35*($P35+BB35)))*BA35))),"Non Trouvé")</f>
        <v/>
      </c>
      <c r="BF35" s="99">
        <f>BF34</f>
        <v/>
      </c>
      <c r="BG35" s="99">
        <f>BG34</f>
        <v/>
      </c>
      <c r="BH35" s="95">
        <f>IFERROR(IF($C35="","",IF($P$15="Cascade",$R35*(1-BG35)*BF35,IF($P$15="Additionnelle",($N35-($N35*($P35+BG35)))*BF35))),"Non Trouvé")</f>
        <v/>
      </c>
      <c r="BK35" s="99">
        <f>BK34</f>
        <v/>
      </c>
      <c r="BL35" s="99">
        <f>BL34</f>
        <v/>
      </c>
      <c r="BM35" s="95">
        <f>IFERROR(IF($C35="","",IF($P$15="Cascade",$R35*(1-BL35)*BK35,IF($P$15="Additionnelle",($N35-($N35*($P35+BL35)))*BK35))),"Non Trouvé")</f>
        <v/>
      </c>
      <c r="BP35" s="99">
        <f>BP34</f>
        <v/>
      </c>
      <c r="BQ35" s="99">
        <f>BQ34</f>
        <v/>
      </c>
      <c r="BR35" s="95">
        <f>IFERROR(IF($C35="","",IF($P$15="Cascade",$R35*(1-BQ35)*BP35,IF($P$15="Additionnelle",($N35-($N35*($P35+BQ35)))*BP35))),"Non Trouvé")</f>
        <v/>
      </c>
      <c r="BU35" s="99">
        <f>BU34</f>
        <v/>
      </c>
      <c r="BV35" s="99">
        <f>BV34</f>
        <v/>
      </c>
      <c r="BW35" s="95">
        <f>IFERROR(IF($C35="","",IF($P$15="Cascade",$R35*(1-BV35)*BU35,IF($P$15="Additionnelle",($N35-($N35*($P35+BV35)))*BU35))),"Non Trouvé")</f>
        <v/>
      </c>
      <c r="BZ35" s="99">
        <f>BZ34</f>
        <v/>
      </c>
      <c r="CA35" s="99">
        <f>CA34</f>
        <v/>
      </c>
      <c r="CB35" s="95">
        <f>IFERROR(IF($C35="","",IF($P$15="Cascade",$R35*(1-CA35)*BZ35,IF($P$15="Additionnelle",($N35-($N35*($P35+CA35)))*BZ35))),"Non Trouvé")</f>
        <v/>
      </c>
      <c r="CE35" s="100" t="n"/>
      <c r="CF35" s="101" t="n"/>
      <c r="CG35" s="102" t="inlineStr">
        <is>
          <t>Nbrs Offres planifiées</t>
        </is>
      </c>
      <c r="CH35" s="138">
        <f>SUMIFS($AB20:$AT20,$AB17:$AT17,CG35)+SUMIFS($BZ20:$CC20,$BZ17:$CC17,CG35)</f>
        <v/>
      </c>
      <c r="CI35" s="103" t="n"/>
      <c r="CK35" s="104">
        <f>IFERROR(IF(F35='[1]Paramètres Généraux'!$K$12,ROUNDUP((REGENERANTS!H35*REGENERANTS!$CF$20)*'[1]Paramètres Généraux'!$M$12,-1),IF(F35='[1]Paramètres Généraux'!$K$15,ROUNDUP((REGENERANTS!H35*REGENERANTS!$CF$20)*'[1]Paramètres Généraux'!$M$15,-1),REGENERANTS!H35*REGENERANTS!$CF$20)),"nd")</f>
        <v/>
      </c>
      <c r="CN35" s="105" t="n"/>
      <c r="CO35" s="106" t="n"/>
      <c r="CP35" s="106" t="n"/>
      <c r="CQ35" s="106" t="n"/>
      <c r="CR35" s="106" t="n"/>
      <c r="CS35" s="107" t="n">
        <v>1</v>
      </c>
      <c r="CT35" s="106" t="n"/>
      <c r="CU35" s="106" t="n"/>
      <c r="CV35" s="108" t="n"/>
      <c r="CW35" s="109" t="n"/>
      <c r="CX35" s="110" t="n"/>
      <c r="CY35" s="111" t="n"/>
      <c r="CZ35" s="109" t="n"/>
      <c r="DA35" s="112" t="n"/>
      <c r="DB35" s="113" t="n"/>
      <c r="DC35" s="109" t="n"/>
      <c r="DD35" s="114" t="n"/>
      <c r="DE35" s="113" t="n"/>
      <c r="DF35" s="109" t="n"/>
      <c r="DG35" s="109" t="n"/>
      <c r="DH35" s="109" t="n"/>
      <c r="DI35" s="109" t="n"/>
      <c r="DJ35" s="109" t="n"/>
      <c r="DK35" s="109" t="n"/>
      <c r="DL35" s="109" t="n"/>
      <c r="DM35" s="109" t="n"/>
      <c r="DN35" s="109" t="n"/>
      <c r="DO35" s="112" t="n"/>
      <c r="DP35" s="111" t="n"/>
      <c r="DQ35" s="20">
        <f>SUM(CN35:DP35)</f>
        <v/>
      </c>
      <c r="DR35" s="20">
        <f>SUM(CV35:DP35)</f>
        <v/>
      </c>
      <c r="DS35" s="20">
        <f>IFERROR((IF(AND($F35="Produit Vente",CO35&gt;0),VLOOKUP($C35,'[1]Paramètres Articles'!$B:$H,7,FALSE)*$CO35)*(1-20%)),0)</f>
        <v/>
      </c>
      <c r="DT35" s="20">
        <f>IFERROR((IF(AND($F35="Produit Vente",DR35&gt;0),VLOOKUP($C35,'[1]Paramètres Articles'!$B:$H,6,FALSE)*$DR35)*(1-15%)),0)</f>
        <v/>
      </c>
      <c r="DU35" s="20">
        <f>IFERROR(DQ35*J35,0)</f>
        <v/>
      </c>
      <c r="DW35" s="134" t="n"/>
      <c r="EB35" s="135" t="n"/>
    </row>
    <row r="36" ht="12.95" customHeight="1">
      <c r="B36" s="1">
        <f>IF(C36="",0,COUNTIFS($B$22:B35,"&gt;"&amp;0)+1)</f>
        <v/>
      </c>
      <c r="C36" s="90" t="inlineStr">
        <is>
          <t>PRESENTOIR REGE</t>
        </is>
      </c>
      <c r="D36" s="91">
        <f>IFERROR(IF($C36="","",VLOOKUP($C36,'[1]Paramètres Articles'!$B:$G,2,FALSE)),"Non Trouvé")</f>
        <v/>
      </c>
      <c r="E36" s="92">
        <f>IFERROR(IF($C36="","",_xlfn.XLOOKUP(REGENERANTS!$C36,'[1]New Base PA'!$F:$F,'[1]New Base PA'!$D:$D,"Not Found",0)),"Non Trouvé")</f>
        <v/>
      </c>
      <c r="F36" s="93" t="inlineStr">
        <is>
          <t>PLV (PDC ou autre)</t>
        </is>
      </c>
      <c r="H36" s="94" t="n">
        <v>1</v>
      </c>
      <c r="J36" s="95">
        <f>IFERROR(IF($C36="","",VLOOKUP($C36,'[1]New Base PA'!$F:$J,5,FALSE)),"Non Trouvé")</f>
        <v/>
      </c>
      <c r="K36" s="136">
        <f>IFERROR(IF($C36="","",$J36*$H36),"Non Trouvé")</f>
        <v/>
      </c>
      <c r="L36" s="137" t="n"/>
      <c r="M36" s="136">
        <f>IFERROR(IF(AND($F36="Produit Vente",H36&gt;0),VLOOKUP($C36,'[1]Paramètres Articles'!$B:$G,6,FALSE),0),"Non Trouvé")</f>
        <v/>
      </c>
      <c r="N36" s="136">
        <f>IFERROR(IF($C36="","",$M36*$H36),"Non Trouvé")</f>
        <v/>
      </c>
      <c r="P36" s="97" t="n"/>
      <c r="R36" s="95">
        <f>IFERROR(IF($C36="","",$N36*(1-$P36)),"Non Trouvé")</f>
        <v/>
      </c>
      <c r="S36" s="96" t="n"/>
      <c r="T36" s="95">
        <f>IFERROR(IF($C36="","",VLOOKUP($C36,'[1]Paramètres Articles'!$B:$H,7,FALSE)),"Non Trouvé")</f>
        <v/>
      </c>
      <c r="U36" s="98" t="n"/>
      <c r="V36" s="95">
        <f>IFERROR(IF($C36="","",IF($P36="","",$T36*(1-$P36))),"Non Trouvé")</f>
        <v/>
      </c>
      <c r="W36" s="96" t="n"/>
      <c r="X36" s="95">
        <f>IFERROR(T36-V36,"")</f>
        <v/>
      </c>
      <c r="Y36" s="96" t="n"/>
      <c r="Z36" s="95">
        <f>IFERROR(IF(OR(T36=0,T36=""),0,T36*H36),"Non Trouvé")</f>
        <v/>
      </c>
      <c r="AB36" s="99">
        <f>AB35</f>
        <v/>
      </c>
      <c r="AC36" s="99">
        <f>AC35</f>
        <v/>
      </c>
      <c r="AD36" s="95">
        <f>IFERROR(IF($C36="","",IF($P$15="Cascade",$R36*(1-AC36)*AB36,IF($P$15="Additionnelle",($N36-($N36*($P36+AC36)))*AB36))),"Non Trouvé")</f>
        <v/>
      </c>
      <c r="AG36" s="99">
        <f>AG35</f>
        <v/>
      </c>
      <c r="AH36" s="99">
        <f>AH35</f>
        <v/>
      </c>
      <c r="AI36" s="95">
        <f>IFERROR(IF($C36="","",IF($P$15="Cascade",$R36*(1-AH36)*AG36,IF($P$15="Additionnelle",($N36-($N36*($P36+AH36)))*AG36))),"Non Trouvé")</f>
        <v/>
      </c>
      <c r="AL36" s="99">
        <f>AL35</f>
        <v/>
      </c>
      <c r="AM36" s="99">
        <f>AM35</f>
        <v/>
      </c>
      <c r="AN36" s="95">
        <f>IFERROR(IF($C36="","",IF($P$15="Cascade",$R36*(1-AM36)*AL36,IF($P$15="Additionnelle",($N36-($N36*($P36+AM36)))*AL36))),"Non Trouvé")</f>
        <v/>
      </c>
      <c r="AQ36" s="99">
        <f>AQ35</f>
        <v/>
      </c>
      <c r="AR36" s="99">
        <f>AR35</f>
        <v/>
      </c>
      <c r="AS36" s="95">
        <f>IFERROR(IF($C36="","",IF($P$15="Cascade",$R36*(1-AR36)*AQ36,IF($P$15="Additionnelle",($N36-($N36*($P36+AR36)))*AQ36))),"Non Trouvé")</f>
        <v/>
      </c>
      <c r="AV36" s="99">
        <f>AV35</f>
        <v/>
      </c>
      <c r="AW36" s="99">
        <f>AW35</f>
        <v/>
      </c>
      <c r="AX36" s="95">
        <f>IFERROR(IF($C36="","",IF($P$15="Cascade",$R36*(1-AW36)*AV36,IF($P$15="Additionnelle",($N36-($N36*($P36+AW36)))*AV36))),"Non Trouvé")</f>
        <v/>
      </c>
      <c r="BA36" s="99">
        <f>BA35</f>
        <v/>
      </c>
      <c r="BB36" s="99">
        <f>BB35</f>
        <v/>
      </c>
      <c r="BC36" s="95">
        <f>IFERROR(IF($C36="","",IF($P$15="Cascade",$R36*(1-BB36)*BA36,IF($P$15="Additionnelle",($N36-($N36*($P36+BB36)))*BA36))),"Non Trouvé")</f>
        <v/>
      </c>
      <c r="BF36" s="99">
        <f>BF35</f>
        <v/>
      </c>
      <c r="BG36" s="99">
        <f>BG35</f>
        <v/>
      </c>
      <c r="BH36" s="95">
        <f>IFERROR(IF($C36="","",IF($P$15="Cascade",$R36*(1-BG36)*BF36,IF($P$15="Additionnelle",($N36-($N36*($P36+BG36)))*BF36))),"Non Trouvé")</f>
        <v/>
      </c>
      <c r="BK36" s="99">
        <f>BK35</f>
        <v/>
      </c>
      <c r="BL36" s="99">
        <f>BL35</f>
        <v/>
      </c>
      <c r="BM36" s="95">
        <f>IFERROR(IF($C36="","",IF($P$15="Cascade",$R36*(1-BL36)*BK36,IF($P$15="Additionnelle",($N36-($N36*($P36+BL36)))*BK36))),"Non Trouvé")</f>
        <v/>
      </c>
      <c r="BP36" s="99">
        <f>BP35</f>
        <v/>
      </c>
      <c r="BQ36" s="99">
        <f>BQ35</f>
        <v/>
      </c>
      <c r="BR36" s="95">
        <f>IFERROR(IF($C36="","",IF($P$15="Cascade",$R36*(1-BQ36)*BP36,IF($P$15="Additionnelle",($N36-($N36*($P36+BQ36)))*BP36))),"Non Trouvé")</f>
        <v/>
      </c>
      <c r="BU36" s="99">
        <f>BU35</f>
        <v/>
      </c>
      <c r="BV36" s="99">
        <f>BV35</f>
        <v/>
      </c>
      <c r="BW36" s="95">
        <f>IFERROR(IF($C36="","",IF($P$15="Cascade",$R36*(1-BV36)*BU36,IF($P$15="Additionnelle",($N36-($N36*($P36+BV36)))*BU36))),"Non Trouvé")</f>
        <v/>
      </c>
      <c r="BZ36" s="99">
        <f>BZ35</f>
        <v/>
      </c>
      <c r="CA36" s="99">
        <f>CA35</f>
        <v/>
      </c>
      <c r="CB36" s="95">
        <f>IFERROR(IF($C36="","",IF($P$15="Cascade",$R36*(1-CA36)*BZ36,IF($P$15="Additionnelle",($N36-($N36*($P36+CA36)))*BZ36))),"Non Trouvé")</f>
        <v/>
      </c>
      <c r="CE36" s="100" t="n"/>
      <c r="CF36" s="101" t="n"/>
      <c r="CG36" s="102" t="inlineStr">
        <is>
          <t>CA</t>
        </is>
      </c>
      <c r="CH36" s="139">
        <f>SUMIFS($AB20:$AT20,$AB17:$AT17,CG36)+SUMIFS($BZ20:$CC20,$BZ17:$CC17,CG36)</f>
        <v/>
      </c>
      <c r="CI36" s="103" t="n"/>
      <c r="CK36" s="104">
        <f>IFERROR(IF(F36='[1]Paramètres Généraux'!$K$12,ROUNDUP((REGENERANTS!H36*REGENERANTS!$CF$20)*'[1]Paramètres Généraux'!$M$12,-1),IF(F36='[1]Paramètres Généraux'!$K$15,ROUNDUP((REGENERANTS!H36*REGENERANTS!$CF$20)*'[1]Paramètres Généraux'!$M$15,-1),REGENERANTS!H36*REGENERANTS!$CF$20)),"nd")</f>
        <v/>
      </c>
      <c r="CN36" s="105" t="n"/>
      <c r="CO36" s="106" t="n"/>
      <c r="CP36" s="106" t="n"/>
      <c r="CQ36" s="106" t="n"/>
      <c r="CR36" s="106" t="n"/>
      <c r="CS36" s="107" t="n">
        <v>1</v>
      </c>
      <c r="CT36" s="106" t="n"/>
      <c r="CU36" s="106" t="n"/>
      <c r="CV36" s="108" t="n"/>
      <c r="CW36" s="109" t="n"/>
      <c r="CX36" s="110" t="n">
        <v>15</v>
      </c>
      <c r="CY36" s="111" t="n"/>
      <c r="CZ36" s="109" t="n"/>
      <c r="DA36" s="112" t="n"/>
      <c r="DB36" s="113" t="n"/>
      <c r="DC36" s="109" t="n"/>
      <c r="DD36" s="114" t="n"/>
      <c r="DE36" s="113" t="n"/>
      <c r="DF36" s="109" t="n"/>
      <c r="DG36" s="109" t="n"/>
      <c r="DH36" s="109" t="n"/>
      <c r="DI36" s="109" t="n"/>
      <c r="DJ36" s="109" t="n"/>
      <c r="DK36" s="109" t="n"/>
      <c r="DL36" s="109" t="n"/>
      <c r="DM36" s="109" t="n"/>
      <c r="DN36" s="109" t="n"/>
      <c r="DO36" s="112" t="n"/>
      <c r="DP36" s="111" t="n"/>
      <c r="DQ36" s="20">
        <f>SUM(CN36:DP36)</f>
        <v/>
      </c>
      <c r="DR36" s="20">
        <f>SUM(CV36:DP36)</f>
        <v/>
      </c>
      <c r="DS36" s="20">
        <f>IFERROR((IF(AND($F36="Produit Vente",CO36&gt;0),VLOOKUP($C36,'[1]Paramètres Articles'!$B:$H,7,FALSE)*$CO36)*(1-20%)),0)</f>
        <v/>
      </c>
      <c r="DT36" s="20">
        <f>IFERROR((IF(AND($F36="Produit Vente",DR36&gt;0),VLOOKUP($C36,'[1]Paramètres Articles'!$B:$H,6,FALSE)*$DR36)*(1-15%)),0)</f>
        <v/>
      </c>
      <c r="DU36" s="20">
        <f>IFERROR(DQ36*J36,0)</f>
        <v/>
      </c>
      <c r="DW36" s="134" t="n"/>
      <c r="DX36" s="63" t="inlineStr">
        <is>
          <t>BESOIN TOTAL POUR COMMANDE FRANCE</t>
        </is>
      </c>
      <c r="EA36" s="64" t="inlineStr">
        <is>
          <t>MAJ le</t>
        </is>
      </c>
      <c r="EB36" s="135" t="n"/>
    </row>
    <row r="37" ht="12.95" customHeight="1">
      <c r="B37" s="1">
        <f>IF(C37="",0,COUNTIFS($B$22:B36,"&gt;"&amp;0)+1)</f>
        <v/>
      </c>
      <c r="C37" s="90" t="n">
        <v>3020202</v>
      </c>
      <c r="D37" s="91">
        <f>IFERROR(IF($C37="","",VLOOKUP($C37,'[1]Paramètres Articles'!$B:$G,2,FALSE)),"Non Trouvé")</f>
        <v/>
      </c>
      <c r="E37" s="92">
        <f>IFERROR(IF($C37="","",_xlfn.XLOOKUP(REGENERANTS!$C37,'[1]New Base PA'!$F:$F,'[1]New Base PA'!$D:$D,"Not Found",0)),"Non Trouvé")</f>
        <v/>
      </c>
      <c r="F37" s="93" t="inlineStr">
        <is>
          <t>Testeur</t>
        </is>
      </c>
      <c r="H37" s="94" t="n">
        <v>1</v>
      </c>
      <c r="J37" s="95">
        <f>IFERROR(IF($C37="","",VLOOKUP($C37,'[1]New Base PA'!$F:$J,5,FALSE)),"Non Trouvé")</f>
        <v/>
      </c>
      <c r="K37" s="136">
        <f>IFERROR(IF($C37="","",$J37*$H37),"Non Trouvé")</f>
        <v/>
      </c>
      <c r="L37" s="137" t="n"/>
      <c r="M37" s="136">
        <f>IFERROR(IF(AND($F37="Produit Vente",H37&gt;0),VLOOKUP($C37,'[1]Paramètres Articles'!$B:$G,6,FALSE),0),"Non Trouvé")</f>
        <v/>
      </c>
      <c r="N37" s="136">
        <f>IFERROR(IF($C37="","",$M37*$H37),"Non Trouvé")</f>
        <v/>
      </c>
      <c r="P37" s="97" t="n"/>
      <c r="R37" s="95">
        <f>IFERROR(IF($C37="","",$N37*(1-$P37)),"Non Trouvé")</f>
        <v/>
      </c>
      <c r="S37" s="96" t="n"/>
      <c r="T37" s="95">
        <f>IFERROR(IF($C37="","",VLOOKUP($C37,'[1]Paramètres Articles'!$B:$H,7,FALSE)),"Non Trouvé")</f>
        <v/>
      </c>
      <c r="U37" s="98" t="n"/>
      <c r="V37" s="95">
        <f>IFERROR(IF($C37="","",IF($P37="","",$T37*(1-$P37))),"Non Trouvé")</f>
        <v/>
      </c>
      <c r="W37" s="96" t="n"/>
      <c r="X37" s="95">
        <f>IFERROR(T37-V37,"")</f>
        <v/>
      </c>
      <c r="Y37" s="96" t="n"/>
      <c r="Z37" s="95">
        <f>IFERROR(IF(OR(T37=0,T37=""),0,T37*H37),"Non Trouvé")</f>
        <v/>
      </c>
      <c r="AB37" s="99">
        <f>AB36</f>
        <v/>
      </c>
      <c r="AC37" s="99">
        <f>AC36</f>
        <v/>
      </c>
      <c r="AD37" s="95">
        <f>IFERROR(IF($C37="","",IF($P$15="Cascade",$R37*(1-AC37)*AB37,IF($P$15="Additionnelle",($N37-($N37*($P37+AC37)))*AB37))),"Non Trouvé")</f>
        <v/>
      </c>
      <c r="AG37" s="99">
        <f>AG36</f>
        <v/>
      </c>
      <c r="AH37" s="99">
        <f>AH36</f>
        <v/>
      </c>
      <c r="AI37" s="95">
        <f>IFERROR(IF($C37="","",IF($P$15="Cascade",$R37*(1-AH37)*AG37,IF($P$15="Additionnelle",($N37-($N37*($P37+AH37)))*AG37))),"Non Trouvé")</f>
        <v/>
      </c>
      <c r="AL37" s="99">
        <f>AL36</f>
        <v/>
      </c>
      <c r="AM37" s="99">
        <f>AM36</f>
        <v/>
      </c>
      <c r="AN37" s="95">
        <f>IFERROR(IF($C37="","",IF($P$15="Cascade",$R37*(1-AM37)*AL37,IF($P$15="Additionnelle",($N37-($N37*($P37+AM37)))*AL37))),"Non Trouvé")</f>
        <v/>
      </c>
      <c r="AQ37" s="99">
        <f>AQ36</f>
        <v/>
      </c>
      <c r="AR37" s="99">
        <f>AR36</f>
        <v/>
      </c>
      <c r="AS37" s="95">
        <f>IFERROR(IF($C37="","",IF($P$15="Cascade",$R37*(1-AR37)*AQ37,IF($P$15="Additionnelle",($N37-($N37*($P37+AR37)))*AQ37))),"Non Trouvé")</f>
        <v/>
      </c>
      <c r="AV37" s="99">
        <f>AV36</f>
        <v/>
      </c>
      <c r="AW37" s="99">
        <f>AW36</f>
        <v/>
      </c>
      <c r="AX37" s="95">
        <f>IFERROR(IF($C37="","",IF($P$15="Cascade",$R37*(1-AW37)*AV37,IF($P$15="Additionnelle",($N37-($N37*($P37+AW37)))*AV37))),"Non Trouvé")</f>
        <v/>
      </c>
      <c r="BA37" s="99">
        <f>BA36</f>
        <v/>
      </c>
      <c r="BB37" s="99">
        <f>BB36</f>
        <v/>
      </c>
      <c r="BC37" s="95">
        <f>IFERROR(IF($C37="","",IF($P$15="Cascade",$R37*(1-BB37)*BA37,IF($P$15="Additionnelle",($N37-($N37*($P37+BB37)))*BA37))),"Non Trouvé")</f>
        <v/>
      </c>
      <c r="BF37" s="99">
        <f>BF36</f>
        <v/>
      </c>
      <c r="BG37" s="99">
        <f>BG36</f>
        <v/>
      </c>
      <c r="BH37" s="95">
        <f>IFERROR(IF($C37="","",IF($P$15="Cascade",$R37*(1-BG37)*BF37,IF($P$15="Additionnelle",($N37-($N37*($P37+BG37)))*BF37))),"Non Trouvé")</f>
        <v/>
      </c>
      <c r="BK37" s="99">
        <f>BK36</f>
        <v/>
      </c>
      <c r="BL37" s="99">
        <f>BL36</f>
        <v/>
      </c>
      <c r="BM37" s="95">
        <f>IFERROR(IF($C37="","",IF($P$15="Cascade",$R37*(1-BL37)*BK37,IF($P$15="Additionnelle",($N37-($N37*($P37+BL37)))*BK37))),"Non Trouvé")</f>
        <v/>
      </c>
      <c r="BP37" s="99">
        <f>BP36</f>
        <v/>
      </c>
      <c r="BQ37" s="99">
        <f>BQ36</f>
        <v/>
      </c>
      <c r="BR37" s="95">
        <f>IFERROR(IF($C37="","",IF($P$15="Cascade",$R37*(1-BQ37)*BP37,IF($P$15="Additionnelle",($N37-($N37*($P37+BQ37)))*BP37))),"Non Trouvé")</f>
        <v/>
      </c>
      <c r="BU37" s="99">
        <f>BU36</f>
        <v/>
      </c>
      <c r="BV37" s="99">
        <f>BV36</f>
        <v/>
      </c>
      <c r="BW37" s="95">
        <f>IFERROR(IF($C37="","",IF($P$15="Cascade",$R37*(1-BV37)*BU37,IF($P$15="Additionnelle",($N37-($N37*($P37+BV37)))*BU37))),"Non Trouvé")</f>
        <v/>
      </c>
      <c r="BZ37" s="99">
        <f>BZ36</f>
        <v/>
      </c>
      <c r="CA37" s="99">
        <f>CA36</f>
        <v/>
      </c>
      <c r="CB37" s="95">
        <f>IFERROR(IF($C37="","",IF($P$15="Cascade",$R37*(1-CA37)*BZ37,IF($P$15="Additionnelle",($N37-($N37*($P37+CA37)))*BZ37))),"Non Trouvé")</f>
        <v/>
      </c>
      <c r="CE37" s="100" t="n"/>
      <c r="CF37" s="101" t="n"/>
      <c r="CG37" s="102" t="inlineStr">
        <is>
          <t>Marges</t>
        </is>
      </c>
      <c r="CH37" s="142">
        <f>IFERROR((CH36-$K20*CH35)/CH36,"Non Trouvé")</f>
        <v/>
      </c>
      <c r="CI37" s="103" t="n"/>
      <c r="CK37" s="104">
        <f>IFERROR(IF(F37='[1]Paramètres Généraux'!$K$12,ROUNDUP((REGENERANTS!H37*REGENERANTS!$CF$20)*'[1]Paramètres Généraux'!$M$12,-1),IF(F37='[1]Paramètres Généraux'!$K$15,ROUNDUP((REGENERANTS!H37*REGENERANTS!$CF$20)*'[1]Paramètres Généraux'!$M$15,-1),REGENERANTS!H37*REGENERANTS!$CF$20)),"nd")</f>
        <v/>
      </c>
      <c r="CN37" s="105" t="n"/>
      <c r="CO37" s="106" t="n"/>
      <c r="CP37" s="106" t="n"/>
      <c r="CQ37" s="106" t="n"/>
      <c r="CR37" s="106" t="n"/>
      <c r="CS37" s="107" t="n"/>
      <c r="CT37" s="106" t="n"/>
      <c r="CU37" s="106" t="n"/>
      <c r="CV37" s="108" t="n"/>
      <c r="CW37" s="143" t="n"/>
      <c r="CX37" s="144" t="n"/>
      <c r="CY37" s="111" t="n"/>
      <c r="CZ37" s="109" t="n"/>
      <c r="DA37" s="112" t="n"/>
      <c r="DB37" s="145" t="n"/>
      <c r="DC37" s="143" t="n"/>
      <c r="DD37" s="146" t="n"/>
      <c r="DE37" s="145" t="n"/>
      <c r="DF37" s="109" t="n"/>
      <c r="DG37" s="109" t="n"/>
      <c r="DH37" s="109" t="n"/>
      <c r="DI37" s="109" t="n"/>
      <c r="DJ37" s="109" t="n"/>
      <c r="DK37" s="109" t="n"/>
      <c r="DL37" s="109" t="n"/>
      <c r="DM37" s="109" t="n"/>
      <c r="DN37" s="109" t="n"/>
      <c r="DO37" s="112" t="n"/>
      <c r="DP37" s="111" t="n"/>
      <c r="DQ37" s="20">
        <f>SUM(CN37:DP37)</f>
        <v/>
      </c>
      <c r="DR37" s="20">
        <f>SUM(CV37:DP37)</f>
        <v/>
      </c>
      <c r="DS37" s="20">
        <f>IFERROR((IF(AND($F37="Produit Vente",CO37&gt;0),VLOOKUP($C37,'[1]Paramètres Articles'!$B:$H,7,FALSE)*$CO37)*(1-20%)),0)</f>
        <v/>
      </c>
      <c r="DT37" s="20">
        <f>IFERROR((IF(AND($F37="Produit Vente",DR37&gt;0),VLOOKUP($C37,'[1]Paramètres Articles'!$B:$H,6,FALSE)*$DR37)*(1-15%)),0)</f>
        <v/>
      </c>
      <c r="DU37" s="20">
        <f>IFERROR(DQ37*J37,0)</f>
        <v/>
      </c>
      <c r="DW37" s="147" t="n"/>
      <c r="DX37" s="289" t="n"/>
      <c r="DY37" s="289" t="n"/>
      <c r="DZ37" s="289" t="n"/>
      <c r="EA37" s="289" t="n"/>
      <c r="EB37" s="148" t="n"/>
    </row>
    <row r="38" ht="12.95" customHeight="1">
      <c r="B38" s="1">
        <f>IF(C38="",0,COUNTIFS($B$22:B37,"&gt;"&amp;0)+1)</f>
        <v/>
      </c>
      <c r="C38" s="90" t="n">
        <v>3020301</v>
      </c>
      <c r="D38" s="91">
        <f>IFERROR(IF($C38="","",VLOOKUP($C38,'[1]Paramètres Articles'!$B:$G,2,FALSE)),"Non Trouvé")</f>
        <v/>
      </c>
      <c r="E38" s="92">
        <f>IFERROR(IF($C38="","",_xlfn.XLOOKUP(REGENERANTS!$C38,'[1]New Base PA'!$F:$F,'[1]New Base PA'!$D:$D,"Not Found",0)),"Non Trouvé")</f>
        <v/>
      </c>
      <c r="F38" s="93" t="inlineStr">
        <is>
          <t>Testeur</t>
        </is>
      </c>
      <c r="H38" s="94" t="n">
        <v>1</v>
      </c>
      <c r="J38" s="95">
        <f>IFERROR(IF($C38="","",VLOOKUP($C38,'[1]New Base PA'!$F:$J,5,FALSE)),"Non Trouvé")</f>
        <v/>
      </c>
      <c r="K38" s="136">
        <f>IFERROR(IF($C38="","",$J38*$H38),"Non Trouvé")</f>
        <v/>
      </c>
      <c r="L38" s="137" t="n"/>
      <c r="M38" s="136">
        <f>IFERROR(IF(AND($F38="Produit Vente",H38&gt;0),VLOOKUP($C38,'[1]Paramètres Articles'!$B:$G,6,FALSE),0),"Non Trouvé")</f>
        <v/>
      </c>
      <c r="N38" s="136">
        <f>IFERROR(IF($C38="","",$M38*$H38),"Non Trouvé")</f>
        <v/>
      </c>
      <c r="P38" s="97" t="n"/>
      <c r="R38" s="95">
        <f>IFERROR(IF($C38="","",$N38*(1-$P38)),"Non Trouvé")</f>
        <v/>
      </c>
      <c r="S38" s="96" t="n"/>
      <c r="T38" s="95">
        <f>IFERROR(IF($C38="","",VLOOKUP($C38,'[1]Paramètres Articles'!$B:$H,7,FALSE)),"Non Trouvé")</f>
        <v/>
      </c>
      <c r="U38" s="98" t="n"/>
      <c r="V38" s="95">
        <f>IFERROR(IF($C38="","",IF($P38="","",$T38*(1-$P38))),"Non Trouvé")</f>
        <v/>
      </c>
      <c r="W38" s="96" t="n"/>
      <c r="X38" s="95">
        <f>IFERROR(T38-V38,"")</f>
        <v/>
      </c>
      <c r="Y38" s="96" t="n"/>
      <c r="Z38" s="95">
        <f>IFERROR(IF(OR(T38=0,T38=""),0,T38*H38),"Non Trouvé")</f>
        <v/>
      </c>
      <c r="AB38" s="99">
        <f>AB37</f>
        <v/>
      </c>
      <c r="AC38" s="99">
        <f>AC37</f>
        <v/>
      </c>
      <c r="AD38" s="95">
        <f>IFERROR(IF($C38="","",IF($P$15="Cascade",$R38*(1-AC38)*AB38,IF($P$15="Additionnelle",($N38-($N38*($P38+AC38)))*AB38))),"Non Trouvé")</f>
        <v/>
      </c>
      <c r="AG38" s="99">
        <f>AG37</f>
        <v/>
      </c>
      <c r="AH38" s="99">
        <f>AH37</f>
        <v/>
      </c>
      <c r="AI38" s="95">
        <f>IFERROR(IF($C38="","",IF($P$15="Cascade",$R38*(1-AH38)*AG38,IF($P$15="Additionnelle",($N38-($N38*($P38+AH38)))*AG38))),"Non Trouvé")</f>
        <v/>
      </c>
      <c r="AL38" s="99">
        <f>AL37</f>
        <v/>
      </c>
      <c r="AM38" s="99">
        <f>AM37</f>
        <v/>
      </c>
      <c r="AN38" s="95">
        <f>IFERROR(IF($C38="","",IF($P$15="Cascade",$R38*(1-AM38)*AL38,IF($P$15="Additionnelle",($N38-($N38*($P38+AM38)))*AL38))),"Non Trouvé")</f>
        <v/>
      </c>
      <c r="AQ38" s="99">
        <f>AQ37</f>
        <v/>
      </c>
      <c r="AR38" s="99">
        <f>AR37</f>
        <v/>
      </c>
      <c r="AS38" s="95">
        <f>IFERROR(IF($C38="","",IF($P$15="Cascade",$R38*(1-AR38)*AQ38,IF($P$15="Additionnelle",($N38-($N38*($P38+AR38)))*AQ38))),"Non Trouvé")</f>
        <v/>
      </c>
      <c r="AV38" s="99">
        <f>AV37</f>
        <v/>
      </c>
      <c r="AW38" s="99">
        <f>AW37</f>
        <v/>
      </c>
      <c r="AX38" s="95">
        <f>IFERROR(IF($C38="","",IF($P$15="Cascade",$R38*(1-AW38)*AV38,IF($P$15="Additionnelle",($N38-($N38*($P38+AW38)))*AV38))),"Non Trouvé")</f>
        <v/>
      </c>
      <c r="BA38" s="99">
        <f>BA37</f>
        <v/>
      </c>
      <c r="BB38" s="99">
        <f>BB37</f>
        <v/>
      </c>
      <c r="BC38" s="95">
        <f>IFERROR(IF($C38="","",IF($P$15="Cascade",$R38*(1-BB38)*BA38,IF($P$15="Additionnelle",($N38-($N38*($P38+BB38)))*BA38))),"Non Trouvé")</f>
        <v/>
      </c>
      <c r="BF38" s="99">
        <f>BF37</f>
        <v/>
      </c>
      <c r="BG38" s="99">
        <f>BG37</f>
        <v/>
      </c>
      <c r="BH38" s="95">
        <f>IFERROR(IF($C38="","",IF($P$15="Cascade",$R38*(1-BG38)*BF38,IF($P$15="Additionnelle",($N38-($N38*($P38+BG38)))*BF38))),"Non Trouvé")</f>
        <v/>
      </c>
      <c r="BK38" s="99">
        <f>BK37</f>
        <v/>
      </c>
      <c r="BL38" s="99">
        <f>BL37</f>
        <v/>
      </c>
      <c r="BM38" s="95">
        <f>IFERROR(IF($C38="","",IF($P$15="Cascade",$R38*(1-BL38)*BK38,IF($P$15="Additionnelle",($N38-($N38*($P38+BL38)))*BK38))),"Non Trouvé")</f>
        <v/>
      </c>
      <c r="BP38" s="99">
        <f>BP37</f>
        <v/>
      </c>
      <c r="BQ38" s="99">
        <f>BQ37</f>
        <v/>
      </c>
      <c r="BR38" s="95">
        <f>IFERROR(IF($C38="","",IF($P$15="Cascade",$R38*(1-BQ38)*BP38,IF($P$15="Additionnelle",($N38-($N38*($P38+BQ38)))*BP38))),"Non Trouvé")</f>
        <v/>
      </c>
      <c r="BU38" s="99">
        <f>BU37</f>
        <v/>
      </c>
      <c r="BV38" s="99">
        <f>BV37</f>
        <v/>
      </c>
      <c r="BW38" s="95">
        <f>IFERROR(IF($C38="","",IF($P$15="Cascade",$R38*(1-BV38)*BU38,IF($P$15="Additionnelle",($N38-($N38*($P38+BV38)))*BU38))),"Non Trouvé")</f>
        <v/>
      </c>
      <c r="BZ38" s="99">
        <f>BZ37</f>
        <v/>
      </c>
      <c r="CA38" s="99">
        <f>CA37</f>
        <v/>
      </c>
      <c r="CB38" s="95">
        <f>IFERROR(IF($C38="","",IF($P$15="Cascade",$R38*(1-CA38)*BZ38,IF($P$15="Additionnelle",($N38-($N38*($P38+CA38)))*BZ38))),"Non Trouvé")</f>
        <v/>
      </c>
      <c r="CE38" s="100" t="n"/>
      <c r="CF38" s="101" t="n"/>
      <c r="CG38" s="102" t="inlineStr">
        <is>
          <t>Marges €</t>
        </is>
      </c>
      <c r="CH38" s="139">
        <f>IFERROR(CH36*CH37,0)</f>
        <v/>
      </c>
      <c r="CI38" s="103" t="n"/>
      <c r="CK38" s="104">
        <f>IFERROR(IF(F38='[1]Paramètres Généraux'!$K$12,ROUNDUP((REGENERANTS!H38*REGENERANTS!$CF$20)*'[1]Paramètres Généraux'!$M$12,-1),IF(F38='[1]Paramètres Généraux'!$K$15,ROUNDUP((REGENERANTS!H38*REGENERANTS!$CF$20)*'[1]Paramètres Généraux'!$M$15,-1),REGENERANTS!H38*REGENERANTS!$CF$20)),"nd")</f>
        <v/>
      </c>
      <c r="CN38" s="105" t="n"/>
      <c r="CO38" s="106" t="n"/>
      <c r="CP38" s="106" t="n"/>
      <c r="CQ38" s="106" t="n"/>
      <c r="CR38" s="106" t="n"/>
      <c r="CS38" s="107" t="n"/>
      <c r="CT38" s="106" t="n"/>
      <c r="CU38" s="106" t="n"/>
      <c r="CV38" s="108" t="n"/>
      <c r="CW38" s="109" t="n"/>
      <c r="CX38" s="110" t="n"/>
      <c r="CY38" s="111" t="n"/>
      <c r="CZ38" s="109" t="n"/>
      <c r="DA38" s="112" t="n"/>
      <c r="DB38" s="113" t="n"/>
      <c r="DC38" s="109" t="n"/>
      <c r="DD38" s="114" t="n"/>
      <c r="DE38" s="113" t="n"/>
      <c r="DF38" s="109" t="n"/>
      <c r="DG38" s="109" t="n"/>
      <c r="DH38" s="109" t="n"/>
      <c r="DI38" s="109" t="n"/>
      <c r="DJ38" s="109" t="n"/>
      <c r="DK38" s="109" t="n"/>
      <c r="DL38" s="109" t="n"/>
      <c r="DM38" s="109" t="n"/>
      <c r="DN38" s="109" t="n"/>
      <c r="DO38" s="112" t="n"/>
      <c r="DP38" s="111" t="n"/>
      <c r="DQ38" s="20">
        <f>SUM(CN38:DP38)</f>
        <v/>
      </c>
      <c r="DR38" s="20">
        <f>SUM(CV38:DP38)</f>
        <v/>
      </c>
      <c r="DS38" s="20">
        <f>IFERROR((IF(AND($F38="Produit Vente",CO38&gt;0),VLOOKUP($C38,'[1]Paramètres Articles'!$B:$H,7,FALSE)*$CO38)*(1-20%)),0)</f>
        <v/>
      </c>
      <c r="DT38" s="20">
        <f>IFERROR((IF(AND($F38="Produit Vente",DR38&gt;0),VLOOKUP($C38,'[1]Paramètres Articles'!$B:$H,6,FALSE)*$DR38)*(1-15%)),0)</f>
        <v/>
      </c>
      <c r="DU38" s="20">
        <f>IFERROR(DQ38*J38,0)</f>
        <v/>
      </c>
      <c r="DW38" s="134" t="n"/>
      <c r="EB38" s="135" t="n"/>
    </row>
    <row r="39" ht="12.95" customHeight="1">
      <c r="B39" s="1">
        <f>IF(C39="",0,COUNTIFS($B$22:B38,"&gt;"&amp;0)+1)</f>
        <v/>
      </c>
      <c r="C39" s="90" t="n">
        <v>3020720</v>
      </c>
      <c r="D39" s="91">
        <f>IFERROR(IF($C39="","",VLOOKUP($C39,'[1]Paramètres Articles'!$B:$G,2,FALSE)),"Non Trouvé")</f>
        <v/>
      </c>
      <c r="E39" s="92">
        <f>IFERROR(IF($C39="","",_xlfn.XLOOKUP(REGENERANTS!$C39,'[1]New Base PA'!$F:$F,'[1]New Base PA'!$D:$D,"Not Found",0)),"Non Trouvé")</f>
        <v/>
      </c>
      <c r="F39" s="93" t="inlineStr">
        <is>
          <t>Testeur</t>
        </is>
      </c>
      <c r="H39" s="94" t="n">
        <v>1</v>
      </c>
      <c r="J39" s="95">
        <f>IFERROR(IF($C39="","",VLOOKUP($C39,'[1]New Base PA'!$F:$J,5,FALSE)),"Non Trouvé")</f>
        <v/>
      </c>
      <c r="K39" s="136">
        <f>IFERROR(IF($C39="","",$J39*$H39),"Non Trouvé")</f>
        <v/>
      </c>
      <c r="L39" s="137" t="n"/>
      <c r="M39" s="136">
        <f>IFERROR(IF(AND($F39="Produit Vente",H39&gt;0),VLOOKUP($C39,'[1]Paramètres Articles'!$B:$G,6,FALSE),0),"Non Trouvé")</f>
        <v/>
      </c>
      <c r="N39" s="136">
        <f>IFERROR(IF($C39="","",$M39*$H39),"Non Trouvé")</f>
        <v/>
      </c>
      <c r="P39" s="97" t="n"/>
      <c r="R39" s="95">
        <f>IFERROR(IF($C39="","",$N39*(1-$P39)),"Non Trouvé")</f>
        <v/>
      </c>
      <c r="S39" s="96" t="n"/>
      <c r="T39" s="95">
        <f>IFERROR(IF($C39="","",VLOOKUP($C39,'[1]Paramètres Articles'!$B:$H,7,FALSE)),"Non Trouvé")</f>
        <v/>
      </c>
      <c r="U39" s="98" t="n"/>
      <c r="V39" s="95">
        <f>IFERROR(IF($C39="","",IF($P39="","",$T39*(1-$P39))),"Non Trouvé")</f>
        <v/>
      </c>
      <c r="W39" s="96" t="n"/>
      <c r="X39" s="95">
        <f>IFERROR(T39-V39,"")</f>
        <v/>
      </c>
      <c r="Y39" s="96" t="n"/>
      <c r="Z39" s="95">
        <f>IFERROR(IF(OR(T39=0,T39=""),0,T39*H39),"Non Trouvé")</f>
        <v/>
      </c>
      <c r="AB39" s="99">
        <f>AB38</f>
        <v/>
      </c>
      <c r="AC39" s="99">
        <f>AC38</f>
        <v/>
      </c>
      <c r="AD39" s="95">
        <f>IFERROR(IF($C39="","",IF($P$15="Cascade",$R39*(1-AC39)*AB39,IF($P$15="Additionnelle",($N39-($N39*($P39+AC39)))*AB39))),"Non Trouvé")</f>
        <v/>
      </c>
      <c r="AG39" s="99">
        <f>AG38</f>
        <v/>
      </c>
      <c r="AH39" s="99">
        <f>AH38</f>
        <v/>
      </c>
      <c r="AI39" s="95">
        <f>IFERROR(IF($C39="","",IF($P$15="Cascade",$R39*(1-AH39)*AG39,IF($P$15="Additionnelle",($N39-($N39*($P39+AH39)))*AG39))),"Non Trouvé")</f>
        <v/>
      </c>
      <c r="AL39" s="99">
        <f>AL38</f>
        <v/>
      </c>
      <c r="AM39" s="99">
        <f>AM38</f>
        <v/>
      </c>
      <c r="AN39" s="95">
        <f>IFERROR(IF($C39="","",IF($P$15="Cascade",$R39*(1-AM39)*AL39,IF($P$15="Additionnelle",($N39-($N39*($P39+AM39)))*AL39))),"Non Trouvé")</f>
        <v/>
      </c>
      <c r="AQ39" s="99">
        <f>AQ38</f>
        <v/>
      </c>
      <c r="AR39" s="99">
        <f>AR38</f>
        <v/>
      </c>
      <c r="AS39" s="95">
        <f>IFERROR(IF($C39="","",IF($P$15="Cascade",$R39*(1-AR39)*AQ39,IF($P$15="Additionnelle",($N39-($N39*($P39+AR39)))*AQ39))),"Non Trouvé")</f>
        <v/>
      </c>
      <c r="AV39" s="99">
        <f>AV38</f>
        <v/>
      </c>
      <c r="AW39" s="99">
        <f>AW38</f>
        <v/>
      </c>
      <c r="AX39" s="95">
        <f>IFERROR(IF($C39="","",IF($P$15="Cascade",$R39*(1-AW39)*AV39,IF($P$15="Additionnelle",($N39-($N39*($P39+AW39)))*AV39))),"Non Trouvé")</f>
        <v/>
      </c>
      <c r="BA39" s="99">
        <f>BA38</f>
        <v/>
      </c>
      <c r="BB39" s="99">
        <f>BB38</f>
        <v/>
      </c>
      <c r="BC39" s="95">
        <f>IFERROR(IF($C39="","",IF($P$15="Cascade",$R39*(1-BB39)*BA39,IF($P$15="Additionnelle",($N39-($N39*($P39+BB39)))*BA39))),"Non Trouvé")</f>
        <v/>
      </c>
      <c r="BF39" s="99">
        <f>BF38</f>
        <v/>
      </c>
      <c r="BG39" s="99">
        <f>BG38</f>
        <v/>
      </c>
      <c r="BH39" s="95">
        <f>IFERROR(IF($C39="","",IF($P$15="Cascade",$R39*(1-BG39)*BF39,IF($P$15="Additionnelle",($N39-($N39*($P39+BG39)))*BF39))),"Non Trouvé")</f>
        <v/>
      </c>
      <c r="BK39" s="99">
        <f>BK38</f>
        <v/>
      </c>
      <c r="BL39" s="99">
        <f>BL38</f>
        <v/>
      </c>
      <c r="BM39" s="95">
        <f>IFERROR(IF($C39="","",IF($P$15="Cascade",$R39*(1-BL39)*BK39,IF($P$15="Additionnelle",($N39-($N39*($P39+BL39)))*BK39))),"Non Trouvé")</f>
        <v/>
      </c>
      <c r="BP39" s="99">
        <f>BP38</f>
        <v/>
      </c>
      <c r="BQ39" s="99">
        <f>BQ38</f>
        <v/>
      </c>
      <c r="BR39" s="95">
        <f>IFERROR(IF($C39="","",IF($P$15="Cascade",$R39*(1-BQ39)*BP39,IF($P$15="Additionnelle",($N39-($N39*($P39+BQ39)))*BP39))),"Non Trouvé")</f>
        <v/>
      </c>
      <c r="BU39" s="99">
        <f>BU38</f>
        <v/>
      </c>
      <c r="BV39" s="99">
        <f>BV38</f>
        <v/>
      </c>
      <c r="BW39" s="95">
        <f>IFERROR(IF($C39="","",IF($P$15="Cascade",$R39*(1-BV39)*BU39,IF($P$15="Additionnelle",($N39-($N39*($P39+BV39)))*BU39))),"Non Trouvé")</f>
        <v/>
      </c>
      <c r="BZ39" s="99">
        <f>BZ38</f>
        <v/>
      </c>
      <c r="CA39" s="99">
        <f>CA38</f>
        <v/>
      </c>
      <c r="CB39" s="95">
        <f>IFERROR(IF($C39="","",IF($P$15="Cascade",$R39*(1-CA39)*BZ39,IF($P$15="Additionnelle",($N39-($N39*($P39+CA39)))*BZ39))),"Non Trouvé")</f>
        <v/>
      </c>
      <c r="CE39" s="100" t="n"/>
      <c r="CF39" s="101" t="n"/>
      <c r="CG39" s="101" t="n"/>
      <c r="CH39" s="101" t="n"/>
      <c r="CI39" s="103" t="n"/>
      <c r="CK39" s="104">
        <f>IFERROR(IF(F39='[1]Paramètres Généraux'!$K$12,ROUNDUP((REGENERANTS!H39*REGENERANTS!$CF$20)*'[1]Paramètres Généraux'!$M$12,-1),IF(F39='[1]Paramètres Généraux'!$K$15,ROUNDUP((REGENERANTS!H39*REGENERANTS!$CF$20)*'[1]Paramètres Généraux'!$M$15,-1),REGENERANTS!H39*REGENERANTS!$CF$20)),"nd")</f>
        <v/>
      </c>
      <c r="CN39" s="105" t="n"/>
      <c r="CO39" s="106" t="n"/>
      <c r="CP39" s="106" t="n"/>
      <c r="CQ39" s="106" t="n"/>
      <c r="CR39" s="106" t="n"/>
      <c r="CS39" s="107" t="n"/>
      <c r="CT39" s="106" t="n"/>
      <c r="CU39" s="106" t="n"/>
      <c r="CV39" s="108" t="n"/>
      <c r="CW39" s="109" t="n"/>
      <c r="CX39" s="110" t="n"/>
      <c r="CY39" s="111" t="n"/>
      <c r="CZ39" s="109" t="n"/>
      <c r="DA39" s="112" t="n"/>
      <c r="DB39" s="113" t="n"/>
      <c r="DC39" s="109" t="n"/>
      <c r="DD39" s="114" t="n"/>
      <c r="DE39" s="113" t="n"/>
      <c r="DF39" s="109" t="n"/>
      <c r="DG39" s="109" t="n"/>
      <c r="DH39" s="109" t="n"/>
      <c r="DI39" s="109" t="n"/>
      <c r="DJ39" s="109" t="n"/>
      <c r="DK39" s="109" t="n"/>
      <c r="DL39" s="109" t="n"/>
      <c r="DM39" s="109" t="n"/>
      <c r="DN39" s="109" t="n"/>
      <c r="DO39" s="112" t="n"/>
      <c r="DP39" s="111" t="n"/>
      <c r="DQ39" s="20">
        <f>SUM(CN39:DP39)</f>
        <v/>
      </c>
      <c r="DR39" s="20">
        <f>SUM(CV39:DP39)</f>
        <v/>
      </c>
      <c r="DS39" s="20">
        <f>IFERROR((IF(AND($F39="Produit Vente",CO39&gt;0),VLOOKUP($C39,'[1]Paramètres Articles'!$B:$H,7,FALSE)*$CO39)*(1-20%)),0)</f>
        <v/>
      </c>
      <c r="DT39" s="20">
        <f>IFERROR((IF(AND($F39="Produit Vente",DR39&gt;0),VLOOKUP($C39,'[1]Paramètres Articles'!$B:$H,6,FALSE)*$DR39)*(1-15%)),0)</f>
        <v/>
      </c>
      <c r="DU39" s="20">
        <f>IFERROR(DQ39*J39,0)</f>
        <v/>
      </c>
      <c r="DW39" s="134" t="n"/>
      <c r="EB39" s="135" t="n"/>
    </row>
    <row r="40" ht="12.95" customHeight="1">
      <c r="B40" s="1">
        <f>IF(C40="",0,COUNTIFS($B$22:B39,"&gt;"&amp;0)+1)</f>
        <v/>
      </c>
      <c r="C40" s="90" t="n">
        <v>3020718</v>
      </c>
      <c r="D40" s="91">
        <f>IFERROR(IF($C40="","",VLOOKUP($C40,'[1]Paramètres Articles'!$B:$G,2,FALSE)),"Non Trouvé")</f>
        <v/>
      </c>
      <c r="E40" s="92">
        <f>IFERROR(IF($C40="","",_xlfn.XLOOKUP(REGENERANTS!$C40,'[1]New Base PA'!$F:$F,'[1]New Base PA'!$D:$D,"Not Found",0)),"Non Trouvé")</f>
        <v/>
      </c>
      <c r="F40" s="93" t="inlineStr">
        <is>
          <t>Testeur</t>
        </is>
      </c>
      <c r="H40" s="94" t="n">
        <v>1</v>
      </c>
      <c r="J40" s="95">
        <f>IFERROR(IF($C40="","",VLOOKUP($C40,'[1]New Base PA'!$F:$J,5,FALSE)),"Non Trouvé")</f>
        <v/>
      </c>
      <c r="K40" s="136">
        <f>IFERROR(IF($C40="","",$J40*$H40),"Non Trouvé")</f>
        <v/>
      </c>
      <c r="L40" s="137" t="n"/>
      <c r="M40" s="136">
        <f>IFERROR(IF(AND($F40="Produit Vente",H40&gt;0),VLOOKUP($C40,'[1]Paramètres Articles'!$B:$G,6,FALSE),0),"Non Trouvé")</f>
        <v/>
      </c>
      <c r="N40" s="136">
        <f>IFERROR(IF($C40="","",$M40*$H40),"Non Trouvé")</f>
        <v/>
      </c>
      <c r="P40" s="97" t="n"/>
      <c r="R40" s="95">
        <f>IFERROR(IF($C40="","",$N40*(1-$P40)),"Non Trouvé")</f>
        <v/>
      </c>
      <c r="S40" s="96" t="n"/>
      <c r="T40" s="95">
        <f>IFERROR(IF($C40="","",VLOOKUP($C40,'[1]Paramètres Articles'!$B:$H,7,FALSE)),"Non Trouvé")</f>
        <v/>
      </c>
      <c r="U40" s="98" t="n"/>
      <c r="V40" s="95">
        <f>IFERROR(IF($C40="","",IF($P40="","",$T40*(1-$P40))),"Non Trouvé")</f>
        <v/>
      </c>
      <c r="W40" s="96" t="n"/>
      <c r="X40" s="95">
        <f>IFERROR(T40-V40,"")</f>
        <v/>
      </c>
      <c r="Y40" s="96" t="n"/>
      <c r="Z40" s="95">
        <f>IFERROR(IF(OR(T40=0,T40=""),0,T40*H40),"Non Trouvé")</f>
        <v/>
      </c>
      <c r="AB40" s="99">
        <f>AB39</f>
        <v/>
      </c>
      <c r="AC40" s="99">
        <f>AC39</f>
        <v/>
      </c>
      <c r="AD40" s="95">
        <f>IFERROR(IF($C40="","",IF($P$15="Cascade",$R40*(1-AC40)*AB40,IF($P$15="Additionnelle",($N40-($N40*($P40+AC40)))*AB40))),"Non Trouvé")</f>
        <v/>
      </c>
      <c r="AG40" s="99">
        <f>AG39</f>
        <v/>
      </c>
      <c r="AH40" s="99">
        <f>AH39</f>
        <v/>
      </c>
      <c r="AI40" s="95">
        <f>IFERROR(IF($C40="","",IF($P$15="Cascade",$R40*(1-AH40)*AG40,IF($P$15="Additionnelle",($N40-($N40*($P40+AH40)))*AG40))),"Non Trouvé")</f>
        <v/>
      </c>
      <c r="AL40" s="99">
        <f>AL39</f>
        <v/>
      </c>
      <c r="AM40" s="99">
        <f>AM39</f>
        <v/>
      </c>
      <c r="AN40" s="95">
        <f>IFERROR(IF($C40="","",IF($P$15="Cascade",$R40*(1-AM40)*AL40,IF($P$15="Additionnelle",($N40-($N40*($P40+AM40)))*AL40))),"Non Trouvé")</f>
        <v/>
      </c>
      <c r="AQ40" s="99">
        <f>AQ39</f>
        <v/>
      </c>
      <c r="AR40" s="99">
        <f>AR39</f>
        <v/>
      </c>
      <c r="AS40" s="95">
        <f>IFERROR(IF($C40="","",IF($P$15="Cascade",$R40*(1-AR40)*AQ40,IF($P$15="Additionnelle",($N40-($N40*($P40+AR40)))*AQ40))),"Non Trouvé")</f>
        <v/>
      </c>
      <c r="AV40" s="99">
        <f>AV39</f>
        <v/>
      </c>
      <c r="AW40" s="99">
        <f>AW39</f>
        <v/>
      </c>
      <c r="AX40" s="95">
        <f>IFERROR(IF($C40="","",IF($P$15="Cascade",$R40*(1-AW40)*AV40,IF($P$15="Additionnelle",($N40-($N40*($P40+AW40)))*AV40))),"Non Trouvé")</f>
        <v/>
      </c>
      <c r="BA40" s="99">
        <f>BA39</f>
        <v/>
      </c>
      <c r="BB40" s="99">
        <f>BB39</f>
        <v/>
      </c>
      <c r="BC40" s="95">
        <f>IFERROR(IF($C40="","",IF($P$15="Cascade",$R40*(1-BB40)*BA40,IF($P$15="Additionnelle",($N40-($N40*($P40+BB40)))*BA40))),"Non Trouvé")</f>
        <v/>
      </c>
      <c r="BF40" s="99">
        <f>BF39</f>
        <v/>
      </c>
      <c r="BG40" s="99">
        <f>BG39</f>
        <v/>
      </c>
      <c r="BH40" s="95">
        <f>IFERROR(IF($C40="","",IF($P$15="Cascade",$R40*(1-BG40)*BF40,IF($P$15="Additionnelle",($N40-($N40*($P40+BG40)))*BF40))),"Non Trouvé")</f>
        <v/>
      </c>
      <c r="BK40" s="99">
        <f>BK39</f>
        <v/>
      </c>
      <c r="BL40" s="99">
        <f>BL39</f>
        <v/>
      </c>
      <c r="BM40" s="95">
        <f>IFERROR(IF($C40="","",IF($P$15="Cascade",$R40*(1-BL40)*BK40,IF($P$15="Additionnelle",($N40-($N40*($P40+BL40)))*BK40))),"Non Trouvé")</f>
        <v/>
      </c>
      <c r="BP40" s="99">
        <f>BP39</f>
        <v/>
      </c>
      <c r="BQ40" s="99">
        <f>BQ39</f>
        <v/>
      </c>
      <c r="BR40" s="95">
        <f>IFERROR(IF($C40="","",IF($P$15="Cascade",$R40*(1-BQ40)*BP40,IF($P$15="Additionnelle",($N40-($N40*($P40+BQ40)))*BP40))),"Non Trouvé")</f>
        <v/>
      </c>
      <c r="BU40" s="99">
        <f>BU39</f>
        <v/>
      </c>
      <c r="BV40" s="99">
        <f>BV39</f>
        <v/>
      </c>
      <c r="BW40" s="95">
        <f>IFERROR(IF($C40="","",IF($P$15="Cascade",$R40*(1-BV40)*BU40,IF($P$15="Additionnelle",($N40-($N40*($P40+BV40)))*BU40))),"Non Trouvé")</f>
        <v/>
      </c>
      <c r="BZ40" s="99">
        <f>BZ39</f>
        <v/>
      </c>
      <c r="CA40" s="99">
        <f>CA39</f>
        <v/>
      </c>
      <c r="CB40" s="95">
        <f>IFERROR(IF($C40="","",IF($P$15="Cascade",$R40*(1-CA40)*BZ40,IF($P$15="Additionnelle",($N40-($N40*($P40+CA40)))*BZ40))),"Non Trouvé")</f>
        <v/>
      </c>
      <c r="CE40" s="100" t="n"/>
      <c r="CF40" s="101" t="n"/>
      <c r="CG40" s="133" t="inlineStr">
        <is>
          <t>Institut</t>
        </is>
      </c>
      <c r="CH40" s="101" t="n"/>
      <c r="CI40" s="103" t="n"/>
      <c r="CK40" s="104">
        <f>IFERROR(IF(F40='[1]Paramètres Généraux'!$K$12,ROUNDUP((REGENERANTS!H40*REGENERANTS!$CF$20)*'[1]Paramètres Généraux'!$M$12,-1),IF(F40='[1]Paramètres Généraux'!$K$15,ROUNDUP((REGENERANTS!H40*REGENERANTS!$CF$20)*'[1]Paramètres Généraux'!$M$15,-1),REGENERANTS!H40*REGENERANTS!$CF$20)),"nd")</f>
        <v/>
      </c>
      <c r="CN40" s="105" t="n"/>
      <c r="CO40" s="106" t="n"/>
      <c r="CP40" s="106" t="n"/>
      <c r="CQ40" s="106" t="n"/>
      <c r="CR40" s="106" t="n"/>
      <c r="CS40" s="107" t="n"/>
      <c r="CT40" s="106" t="n"/>
      <c r="CU40" s="106" t="n"/>
      <c r="CV40" s="108" t="n"/>
      <c r="CW40" s="109" t="n"/>
      <c r="CX40" s="110" t="n"/>
      <c r="CY40" s="111" t="n"/>
      <c r="CZ40" s="109" t="n"/>
      <c r="DA40" s="112" t="n"/>
      <c r="DB40" s="113" t="n"/>
      <c r="DC40" s="109" t="n"/>
      <c r="DD40" s="114" t="n"/>
      <c r="DE40" s="113" t="n"/>
      <c r="DF40" s="109" t="n"/>
      <c r="DG40" s="109" t="n"/>
      <c r="DH40" s="109" t="n"/>
      <c r="DI40" s="109" t="n"/>
      <c r="DJ40" s="109" t="n"/>
      <c r="DK40" s="109" t="n"/>
      <c r="DL40" s="109" t="n"/>
      <c r="DM40" s="109" t="n"/>
      <c r="DN40" s="109" t="n"/>
      <c r="DO40" s="112" t="n"/>
      <c r="DP40" s="111" t="n"/>
      <c r="DQ40" s="20">
        <f>SUM(CN40:DP40)</f>
        <v/>
      </c>
      <c r="DR40" s="20">
        <f>SUM(CV40:DP40)</f>
        <v/>
      </c>
      <c r="DS40" s="20">
        <f>IFERROR((IF(AND($F40="Produit Vente",CO40&gt;0),VLOOKUP($C40,'[1]Paramètres Articles'!$B:$H,7,FALSE)*$CO40)*(1-20%)),0)</f>
        <v/>
      </c>
      <c r="DT40" s="20">
        <f>IFERROR((IF(AND($F40="Produit Vente",DR40&gt;0),VLOOKUP($C40,'[1]Paramètres Articles'!$B:$H,6,FALSE)*$DR40)*(1-15%)),0)</f>
        <v/>
      </c>
      <c r="DU40" s="20">
        <f>IFERROR(DQ40*J40,0)</f>
        <v/>
      </c>
      <c r="DW40" s="149" t="n"/>
      <c r="DX40" s="86" t="inlineStr">
        <is>
          <t>CODE ARTICLE</t>
        </is>
      </c>
      <c r="DY40" s="86" t="inlineStr">
        <is>
          <t>LIBELLE ARTICLE</t>
        </is>
      </c>
      <c r="DZ40" s="86" t="inlineStr">
        <is>
          <t>BESOIN</t>
        </is>
      </c>
      <c r="EA40" s="86" t="inlineStr">
        <is>
          <t>COMMANDE</t>
        </is>
      </c>
      <c r="EB40" s="150" t="n"/>
    </row>
    <row r="41" ht="12.95" customHeight="1">
      <c r="B41" s="1">
        <f>IF(C41="",0,COUNTIFS($B$22:B40,"&gt;"&amp;0)+1)</f>
        <v/>
      </c>
      <c r="C41" s="90" t="inlineStr">
        <is>
          <t>SR REGE RETAIL 1</t>
        </is>
      </c>
      <c r="D41" s="91">
        <f>IFERROR(IF($C41="","",VLOOKUP($C41,'[1]Paramètres Articles'!$B:$G,2,FALSE)),"Non Trouvé")</f>
        <v/>
      </c>
      <c r="E41" s="92">
        <f>IFERROR(IF($C41="","",_xlfn.XLOOKUP(REGENERANTS!$C41,'[1]New Base PA'!$F:$F,'[1]New Base PA'!$D:$D,"Not Found",0)),"Non Trouvé")</f>
        <v/>
      </c>
      <c r="F41" s="93" t="inlineStr">
        <is>
          <t>PLV (PDC ou autre)</t>
        </is>
      </c>
      <c r="H41" s="94" t="n">
        <v>1</v>
      </c>
      <c r="J41" s="95">
        <f>IFERROR(IF($C41="","",VLOOKUP($C41,'[1]New Base PA'!$F:$J,5,FALSE)),"Non Trouvé")</f>
        <v/>
      </c>
      <c r="K41" s="136">
        <f>IFERROR(IF($C41="","",$J41*$H41),"Non Trouvé")</f>
        <v/>
      </c>
      <c r="L41" s="137" t="n"/>
      <c r="M41" s="136">
        <f>IFERROR(IF(AND($F41="Produit Vente",H41&gt;0),VLOOKUP($C41,'[1]Paramètres Articles'!$B:$G,6,FALSE),0),"Non Trouvé")</f>
        <v/>
      </c>
      <c r="N41" s="136">
        <f>IFERROR(IF($C41="","",$M41*$H41),"Non Trouvé")</f>
        <v/>
      </c>
      <c r="P41" s="97" t="n"/>
      <c r="R41" s="95">
        <f>IFERROR(IF($C41="","",$N41*(1-$P41)),"Non Trouvé")</f>
        <v/>
      </c>
      <c r="S41" s="96" t="n"/>
      <c r="T41" s="95">
        <f>IFERROR(IF($C41="","",VLOOKUP($C41,'[1]Paramètres Articles'!$B:$H,7,FALSE)),"Non Trouvé")</f>
        <v/>
      </c>
      <c r="U41" s="98" t="n"/>
      <c r="V41" s="95">
        <f>IFERROR(IF($C41="","",IF($P41="","",$T41*(1-$P41))),"Non Trouvé")</f>
        <v/>
      </c>
      <c r="W41" s="96" t="n"/>
      <c r="X41" s="95">
        <f>IFERROR(T41-V41,"")</f>
        <v/>
      </c>
      <c r="Y41" s="96" t="n"/>
      <c r="Z41" s="95">
        <f>IFERROR(IF(OR(T41=0,T41=""),0,T41*H41),"Non Trouvé")</f>
        <v/>
      </c>
      <c r="AB41" s="99">
        <f>AB40</f>
        <v/>
      </c>
      <c r="AC41" s="99">
        <f>AC40</f>
        <v/>
      </c>
      <c r="AD41" s="95">
        <f>IFERROR(IF($C41="","",IF($P$15="Cascade",$R41*(1-AC41)*AB41,IF($P$15="Additionnelle",($N41-($N41*($P41+AC41)))*AB41))),"Non Trouvé")</f>
        <v/>
      </c>
      <c r="AG41" s="99">
        <f>AG40</f>
        <v/>
      </c>
      <c r="AH41" s="99">
        <f>AH40</f>
        <v/>
      </c>
      <c r="AI41" s="95">
        <f>IFERROR(IF($C41="","",IF($P$15="Cascade",$R41*(1-AH41)*AG41,IF($P$15="Additionnelle",($N41-($N41*($P41+AH41)))*AG41))),"Non Trouvé")</f>
        <v/>
      </c>
      <c r="AL41" s="99">
        <f>AL40</f>
        <v/>
      </c>
      <c r="AM41" s="99">
        <f>AM40</f>
        <v/>
      </c>
      <c r="AN41" s="95">
        <f>IFERROR(IF($C41="","",IF($P$15="Cascade",$R41*(1-AM41)*AL41,IF($P$15="Additionnelle",($N41-($N41*($P41+AM41)))*AL41))),"Non Trouvé")</f>
        <v/>
      </c>
      <c r="AQ41" s="99">
        <f>AQ40</f>
        <v/>
      </c>
      <c r="AR41" s="99">
        <f>AR40</f>
        <v/>
      </c>
      <c r="AS41" s="95">
        <f>IFERROR(IF($C41="","",IF($P$15="Cascade",$R41*(1-AR41)*AQ41,IF($P$15="Additionnelle",($N41-($N41*($P41+AR41)))*AQ41))),"Non Trouvé")</f>
        <v/>
      </c>
      <c r="AV41" s="99">
        <f>AV40</f>
        <v/>
      </c>
      <c r="AW41" s="99">
        <f>AW40</f>
        <v/>
      </c>
      <c r="AX41" s="95">
        <f>IFERROR(IF($C41="","",IF($P$15="Cascade",$R41*(1-AW41)*AV41,IF($P$15="Additionnelle",($N41-($N41*($P41+AW41)))*AV41))),"Non Trouvé")</f>
        <v/>
      </c>
      <c r="BA41" s="99">
        <f>BA40</f>
        <v/>
      </c>
      <c r="BB41" s="99">
        <f>BB40</f>
        <v/>
      </c>
      <c r="BC41" s="95">
        <f>IFERROR(IF($C41="","",IF($P$15="Cascade",$R41*(1-BB41)*BA41,IF($P$15="Additionnelle",($N41-($N41*($P41+BB41)))*BA41))),"Non Trouvé")</f>
        <v/>
      </c>
      <c r="BF41" s="99">
        <f>BF40</f>
        <v/>
      </c>
      <c r="BG41" s="99">
        <f>BG40</f>
        <v/>
      </c>
      <c r="BH41" s="95">
        <f>IFERROR(IF($C41="","",IF($P$15="Cascade",$R41*(1-BG41)*BF41,IF($P$15="Additionnelle",($N41-($N41*($P41+BG41)))*BF41))),"Non Trouvé")</f>
        <v/>
      </c>
      <c r="BK41" s="99">
        <f>BK40</f>
        <v/>
      </c>
      <c r="BL41" s="99">
        <f>BL40</f>
        <v/>
      </c>
      <c r="BM41" s="95">
        <f>IFERROR(IF($C41="","",IF($P$15="Cascade",$R41*(1-BL41)*BK41,IF($P$15="Additionnelle",($N41-($N41*($P41+BL41)))*BK41))),"Non Trouvé")</f>
        <v/>
      </c>
      <c r="BP41" s="99">
        <f>BP40</f>
        <v/>
      </c>
      <c r="BQ41" s="99">
        <f>BQ40</f>
        <v/>
      </c>
      <c r="BR41" s="95">
        <f>IFERROR(IF($C41="","",IF($P$15="Cascade",$R41*(1-BQ41)*BP41,IF($P$15="Additionnelle",($N41-($N41*($P41+BQ41)))*BP41))),"Non Trouvé")</f>
        <v/>
      </c>
      <c r="BU41" s="99">
        <f>BU40</f>
        <v/>
      </c>
      <c r="BV41" s="99">
        <f>BV40</f>
        <v/>
      </c>
      <c r="BW41" s="95">
        <f>IFERROR(IF($C41="","",IF($P$15="Cascade",$R41*(1-BV41)*BU41,IF($P$15="Additionnelle",($N41-($N41*($P41+BV41)))*BU41))),"Non Trouvé")</f>
        <v/>
      </c>
      <c r="BZ41" s="99">
        <f>BZ40</f>
        <v/>
      </c>
      <c r="CA41" s="99">
        <f>CA40</f>
        <v/>
      </c>
      <c r="CB41" s="95">
        <f>IFERROR(IF($C41="","",IF($P$15="Cascade",$R41*(1-CA41)*BZ41,IF($P$15="Additionnelle",($N41-($N41*($P41+CA41)))*BZ41))),"Non Trouvé")</f>
        <v/>
      </c>
      <c r="CE41" s="100" t="n"/>
      <c r="CF41" s="101" t="n"/>
      <c r="CG41" s="102" t="inlineStr">
        <is>
          <t>Nbrs Offres planifiées</t>
        </is>
      </c>
      <c r="CH41" s="138">
        <f>SUMIFS($AV20:$BX20,$AV17:$BX17,CG41)</f>
        <v/>
      </c>
      <c r="CI41" s="103" t="n"/>
      <c r="CK41" s="104">
        <f>IFERROR(IF(F41='[1]Paramètres Généraux'!$K$12,ROUNDUP((REGENERANTS!H41*REGENERANTS!$CF$20)*'[1]Paramètres Généraux'!$M$12,-1),IF(F41='[1]Paramètres Généraux'!$K$15,ROUNDUP((REGENERANTS!H41*REGENERANTS!$CF$20)*'[1]Paramètres Généraux'!$M$15,-1),REGENERANTS!H41*REGENERANTS!$CF$20)),"nd")</f>
        <v/>
      </c>
      <c r="CN41" s="105" t="n"/>
      <c r="CO41" s="106" t="n"/>
      <c r="CP41" s="106" t="n"/>
      <c r="CQ41" s="106" t="n"/>
      <c r="CR41" s="106" t="n"/>
      <c r="CS41" s="107" t="n">
        <v>1</v>
      </c>
      <c r="CT41" s="106" t="n"/>
      <c r="CU41" s="106" t="n"/>
      <c r="CV41" s="108" t="n"/>
      <c r="CW41" s="109" t="n"/>
      <c r="CX41" s="110" t="n"/>
      <c r="CY41" s="111" t="n"/>
      <c r="CZ41" s="109" t="n"/>
      <c r="DA41" s="112" t="n"/>
      <c r="DB41" s="113" t="n"/>
      <c r="DC41" s="109" t="n"/>
      <c r="DD41" s="114" t="n"/>
      <c r="DE41" s="113" t="n"/>
      <c r="DF41" s="109" t="n"/>
      <c r="DG41" s="109" t="n"/>
      <c r="DH41" s="109" t="n"/>
      <c r="DI41" s="109" t="n"/>
      <c r="DJ41" s="109" t="n"/>
      <c r="DK41" s="109" t="n"/>
      <c r="DL41" s="109" t="n"/>
      <c r="DM41" s="109" t="n"/>
      <c r="DN41" s="109" t="n"/>
      <c r="DO41" s="112" t="n"/>
      <c r="DP41" s="111" t="n"/>
      <c r="DQ41" s="20">
        <f>SUM(CN41:DP41)</f>
        <v/>
      </c>
      <c r="DR41" s="20">
        <f>SUM(CV41:DP41)</f>
        <v/>
      </c>
      <c r="DS41" s="20">
        <f>IFERROR((IF(AND($F41="Produit Vente",CO41&gt;0),VLOOKUP($C41,'[1]Paramètres Articles'!$B:$H,7,FALSE)*$CO41)*(1-20%)),0)</f>
        <v/>
      </c>
      <c r="DT41" s="20">
        <f>IFERROR((IF(AND($F41="Produit Vente",DR41&gt;0),VLOOKUP($C41,'[1]Paramètres Articles'!$B:$H,6,FALSE)*$DR41)*(1-15%)),0)</f>
        <v/>
      </c>
      <c r="DU41" s="20">
        <f>IFERROR(DQ41*J41,0)</f>
        <v/>
      </c>
      <c r="DW41" s="134" t="n"/>
      <c r="EA41" s="88" t="n"/>
      <c r="EB41" s="135" t="n"/>
    </row>
    <row r="42" ht="12.95" customHeight="1">
      <c r="B42" s="1">
        <f>IF(C42="",0,COUNTIFS($B$22:B41,"&gt;"&amp;0)+1)</f>
        <v/>
      </c>
      <c r="C42" s="90" t="n"/>
      <c r="D42" s="91">
        <f>IFERROR(IF($C42="","",VLOOKUP($C42,'[1]Paramètres Articles'!$B:$G,2,FALSE)),"Non Trouvé")</f>
        <v/>
      </c>
      <c r="E42" s="92">
        <f>IFERROR(IF($C42="","",_xlfn.XLOOKUP(REGENERANTS!$C42,'[1]New Base PA'!$F:$F,'[1]New Base PA'!$D:$D,"Not Found",0)),"Non Trouvé")</f>
        <v/>
      </c>
      <c r="F42" s="93" t="n"/>
      <c r="H42" s="106" t="n"/>
      <c r="J42" s="95">
        <f>IFERROR(IF($C42="","",VLOOKUP($C42,'[1]New Base PA'!$F:$J,5,FALSE)),"Non Trouvé")</f>
        <v/>
      </c>
      <c r="K42" s="136">
        <f>IFERROR(IF($C42="","",$J42*$H42),"Non Trouvé")</f>
        <v/>
      </c>
      <c r="L42" s="137" t="n"/>
      <c r="M42" s="136">
        <f>IFERROR(IF(AND($F42="Produit Vente",H42&gt;0),VLOOKUP($C42,'[1]Paramètres Articles'!$B:$G,6,FALSE),0),"Non Trouvé")</f>
        <v/>
      </c>
      <c r="N42" s="136">
        <f>IFERROR(IF($C42="","",$M42*$H42),"Non Trouvé")</f>
        <v/>
      </c>
      <c r="P42" s="97" t="n"/>
      <c r="R42" s="95">
        <f>IFERROR(IF($C42="","",$N42*(1-$P42)),"Non Trouvé")</f>
        <v/>
      </c>
      <c r="S42" s="96" t="n"/>
      <c r="T42" s="95">
        <f>IFERROR(IF($C42="","",VLOOKUP($C42,'[1]Paramètres Articles'!$B:$H,7,FALSE)),"Non Trouvé")</f>
        <v/>
      </c>
      <c r="U42" s="98" t="n"/>
      <c r="V42" s="95">
        <f>IFERROR(IF($C42="","",IF($P42="","",$T42*(1-$P42))),"Non Trouvé")</f>
        <v/>
      </c>
      <c r="W42" s="96" t="n"/>
      <c r="X42" s="95">
        <f>IFERROR(T42-V42,"")</f>
        <v/>
      </c>
      <c r="Y42" s="96" t="n"/>
      <c r="Z42" s="95">
        <f>IFERROR(IF(OR(T42=0,T42=""),0,T42*H42),"Non Trouvé")</f>
        <v/>
      </c>
      <c r="AB42" s="99">
        <f>AB41</f>
        <v/>
      </c>
      <c r="AC42" s="99">
        <f>AC41</f>
        <v/>
      </c>
      <c r="AD42" s="95">
        <f>IFERROR(IF($C42="","",IF($P$15="Cascade",$R42*(1-AC42)*AB42,IF($P$15="Additionnelle",($N42-($N42*($P42+AC42)))*AB42))),"Non Trouvé")</f>
        <v/>
      </c>
      <c r="AG42" s="99">
        <f>AG41</f>
        <v/>
      </c>
      <c r="AH42" s="99">
        <f>AH41</f>
        <v/>
      </c>
      <c r="AI42" s="95">
        <f>IFERROR(IF($C42="","",IF($P$15="Cascade",$R42*(1-AH42)*AG42,IF($P$15="Additionnelle",($N42-($N42*($P42+AH42)))*AG42))),"Non Trouvé")</f>
        <v/>
      </c>
      <c r="AL42" s="99">
        <f>AL41</f>
        <v/>
      </c>
      <c r="AM42" s="99">
        <f>AM41</f>
        <v/>
      </c>
      <c r="AN42" s="95">
        <f>IFERROR(IF($C42="","",IF($P$15="Cascade",$R42*(1-AM42)*AL42,IF($P$15="Additionnelle",($N42-($N42*($P42+AM42)))*AL42))),"Non Trouvé")</f>
        <v/>
      </c>
      <c r="AQ42" s="99">
        <f>AQ41</f>
        <v/>
      </c>
      <c r="AR42" s="99">
        <f>AR41</f>
        <v/>
      </c>
      <c r="AS42" s="95">
        <f>IFERROR(IF($C42="","",IF($P$15="Cascade",$R42*(1-AR42)*AQ42,IF($P$15="Additionnelle",($N42-($N42*($P42+AR42)))*AQ42))),"Non Trouvé")</f>
        <v/>
      </c>
      <c r="AV42" s="99">
        <f>AV41</f>
        <v/>
      </c>
      <c r="AW42" s="99">
        <f>AW41</f>
        <v/>
      </c>
      <c r="AX42" s="95">
        <f>IFERROR(IF($C42="","",IF($P$15="Cascade",$R42*(1-AW42)*AV42,IF($P$15="Additionnelle",($N42-($N42*($P42+AW42)))*AV42))),"Non Trouvé")</f>
        <v/>
      </c>
      <c r="BA42" s="99">
        <f>BA41</f>
        <v/>
      </c>
      <c r="BB42" s="99">
        <f>BB41</f>
        <v/>
      </c>
      <c r="BC42" s="95">
        <f>IFERROR(IF($C42="","",IF($P$15="Cascade",$R42*(1-BB42)*BA42,IF($P$15="Additionnelle",($N42-($N42*($P42+BB42)))*BA42))),"Non Trouvé")</f>
        <v/>
      </c>
      <c r="BF42" s="99">
        <f>BF41</f>
        <v/>
      </c>
      <c r="BG42" s="99">
        <f>BG41</f>
        <v/>
      </c>
      <c r="BH42" s="95">
        <f>IFERROR(IF($C42="","",IF($P$15="Cascade",$R42*(1-BG42)*BF42,IF($P$15="Additionnelle",($N42-($N42*($P42+BG42)))*BF42))),"Non Trouvé")</f>
        <v/>
      </c>
      <c r="BK42" s="99">
        <f>BK41</f>
        <v/>
      </c>
      <c r="BL42" s="99">
        <f>BL41</f>
        <v/>
      </c>
      <c r="BM42" s="95">
        <f>IFERROR(IF($C42="","",IF($P$15="Cascade",$R42*(1-BL42)*BK42,IF($P$15="Additionnelle",($N42-($N42*($P42+BL42)))*BK42))),"Non Trouvé")</f>
        <v/>
      </c>
      <c r="BP42" s="99">
        <f>BP41</f>
        <v/>
      </c>
      <c r="BQ42" s="99">
        <f>BQ41</f>
        <v/>
      </c>
      <c r="BR42" s="95">
        <f>IFERROR(IF($C42="","",IF($P$15="Cascade",$R42*(1-BQ42)*BP42,IF($P$15="Additionnelle",($N42-($N42*($P42+BQ42)))*BP42))),"Non Trouvé")</f>
        <v/>
      </c>
      <c r="BU42" s="99">
        <f>BU41</f>
        <v/>
      </c>
      <c r="BV42" s="99">
        <f>BV41</f>
        <v/>
      </c>
      <c r="BW42" s="95">
        <f>IFERROR(IF($C42="","",IF($P$15="Cascade",$R42*(1-BV42)*BU42,IF($P$15="Additionnelle",($N42-($N42*($P42+BV42)))*BU42))),"Non Trouvé")</f>
        <v/>
      </c>
      <c r="BZ42" s="99">
        <f>BZ41</f>
        <v/>
      </c>
      <c r="CA42" s="99">
        <f>CA41</f>
        <v/>
      </c>
      <c r="CB42" s="95">
        <f>IFERROR(IF($C42="","",IF($P$15="Cascade",$R42*(1-CA42)*BZ42,IF($P$15="Additionnelle",($N42-($N42*($P42+CA42)))*BZ42))),"Non Trouvé")</f>
        <v/>
      </c>
      <c r="CE42" s="100" t="n"/>
      <c r="CF42" s="101" t="n"/>
      <c r="CG42" s="102" t="inlineStr">
        <is>
          <t>CA</t>
        </is>
      </c>
      <c r="CH42" s="139">
        <f>SUMIFS($AV20:$BX20,$AV17:$BX17,CG42)</f>
        <v/>
      </c>
      <c r="CI42" s="103" t="n"/>
      <c r="CK42" s="104">
        <f>IFERROR(IF(F42='[1]Paramètres Généraux'!$K$12,ROUNDUP((REGENERANTS!H42*REGENERANTS!$CF$20)*'[1]Paramètres Généraux'!$M$12,-1),IF(F42='[1]Paramètres Généraux'!$K$15,ROUNDUP((REGENERANTS!H42*REGENERANTS!$CF$20)*'[1]Paramètres Généraux'!$M$15,-1),REGENERANTS!H42*REGENERANTS!$CF$20)),"nd")</f>
        <v/>
      </c>
      <c r="CN42" s="105" t="n"/>
      <c r="CO42" s="106" t="n"/>
      <c r="CP42" s="106" t="n"/>
      <c r="CQ42" s="106" t="n"/>
      <c r="CR42" s="106" t="n"/>
      <c r="CS42" s="151" t="n"/>
      <c r="CT42" s="106" t="n"/>
      <c r="CU42" s="106" t="n"/>
      <c r="CV42" s="108" t="n"/>
      <c r="CW42" s="109" t="n"/>
      <c r="CX42" s="110" t="n"/>
      <c r="CY42" s="111" t="n"/>
      <c r="CZ42" s="109" t="n"/>
      <c r="DA42" s="112" t="n"/>
      <c r="DB42" s="113" t="n"/>
      <c r="DC42" s="109" t="n"/>
      <c r="DD42" s="114" t="n"/>
      <c r="DE42" s="113" t="n"/>
      <c r="DF42" s="109" t="n"/>
      <c r="DG42" s="109" t="n"/>
      <c r="DH42" s="109" t="n"/>
      <c r="DI42" s="109" t="n"/>
      <c r="DJ42" s="109" t="n"/>
      <c r="DK42" s="109" t="n"/>
      <c r="DL42" s="109" t="n"/>
      <c r="DM42" s="109" t="n"/>
      <c r="DN42" s="109" t="n"/>
      <c r="DO42" s="112" t="n"/>
      <c r="DP42" s="111" t="n"/>
      <c r="DQ42" s="20">
        <f>SUM(CN42:DP42)</f>
        <v/>
      </c>
      <c r="DR42" s="20">
        <f>SUM(CV42:DP42)</f>
        <v/>
      </c>
      <c r="DS42" s="20">
        <f>IFERROR((IF(AND($F42="Produit Vente",CO42&gt;0),VLOOKUP($C42,'[1]Paramètres Articles'!$B:$H,7,FALSE)*$CO42)*(1-20%)),0)</f>
        <v/>
      </c>
      <c r="DT42" s="20">
        <f>IFERROR((IF(AND($F42="Produit Vente",DR42&gt;0),VLOOKUP($C42,'[1]Paramètres Articles'!$B:$H,6,FALSE)*$DR42)*(1-15%)),0)</f>
        <v/>
      </c>
      <c r="DU42" s="20">
        <f>IFERROR(DQ42*J42,0)</f>
        <v/>
      </c>
      <c r="DW42" s="134" t="n"/>
      <c r="DX42" s="152">
        <f>C35</f>
        <v/>
      </c>
      <c r="DY42" s="116">
        <f>VLOOKUP(DX42,C:D,2,FALSE)</f>
        <v/>
      </c>
      <c r="DZ42" s="117">
        <f>SUMIFS('[1]Moteur Produits'!$C:$C,'[1]Moteur Produits'!$B:$B,$DX42)</f>
        <v/>
      </c>
      <c r="EA42" s="118" t="n">
        <v>350</v>
      </c>
      <c r="EB42" s="135" t="n"/>
    </row>
    <row r="43" ht="12.95" customHeight="1">
      <c r="B43" s="1">
        <f>IF(C43="",0,COUNTIFS($B$22:B42,"&gt;"&amp;0)+1)</f>
        <v/>
      </c>
      <c r="C43" s="90" t="n"/>
      <c r="D43" s="91">
        <f>IFERROR(IF($C43="","",VLOOKUP($C43,'[1]Paramètres Articles'!$B:$G,2,FALSE)),"Non Trouvé")</f>
        <v/>
      </c>
      <c r="E43" s="92">
        <f>IFERROR(IF($C43="","",_xlfn.XLOOKUP(REGENERANTS!$C43,'[1]New Base PA'!$F:$F,'[1]New Base PA'!$D:$D,"Not Found",0)),"Non Trouvé")</f>
        <v/>
      </c>
      <c r="F43" s="93" t="n"/>
      <c r="H43" s="106" t="n"/>
      <c r="J43" s="95">
        <f>IFERROR(IF($C43="","",VLOOKUP($C43,'[1]New Base PA'!$F:$J,5,FALSE)),"Non Trouvé")</f>
        <v/>
      </c>
      <c r="K43" s="136">
        <f>IFERROR(IF($C43="","",$J43*$H43),"Non Trouvé")</f>
        <v/>
      </c>
      <c r="L43" s="137" t="n"/>
      <c r="M43" s="136">
        <f>IFERROR(IF(AND($F43="Produit Vente",H43&gt;0),VLOOKUP($C43,'[1]Paramètres Articles'!$B:$G,6,FALSE),0),"Non Trouvé")</f>
        <v/>
      </c>
      <c r="N43" s="136">
        <f>IFERROR(IF($C43="","",$M43*$H43),"Non Trouvé")</f>
        <v/>
      </c>
      <c r="P43" s="97" t="n"/>
      <c r="R43" s="95">
        <f>IFERROR(IF($C43="","",$N43*(1-$P43)),"Non Trouvé")</f>
        <v/>
      </c>
      <c r="S43" s="96" t="n"/>
      <c r="T43" s="95">
        <f>IFERROR(IF($C43="","",VLOOKUP($C43,'[1]Paramètres Articles'!$B:$H,7,FALSE)),"Non Trouvé")</f>
        <v/>
      </c>
      <c r="U43" s="98" t="n"/>
      <c r="V43" s="95">
        <f>IFERROR(IF($C43="","",IF($P43="","",$T43*(1-$P43))),"Non Trouvé")</f>
        <v/>
      </c>
      <c r="W43" s="96" t="n"/>
      <c r="X43" s="95">
        <f>IFERROR(T43-V43,"")</f>
        <v/>
      </c>
      <c r="Y43" s="96" t="n"/>
      <c r="Z43" s="95">
        <f>IFERROR(IF(OR(T43=0,T43=""),0,T43*H43),"Non Trouvé")</f>
        <v/>
      </c>
      <c r="AB43" s="99">
        <f>AB42</f>
        <v/>
      </c>
      <c r="AC43" s="99">
        <f>AC42</f>
        <v/>
      </c>
      <c r="AD43" s="95">
        <f>IFERROR(IF($C43="","",IF($P$15="Cascade",$R43*(1-AC43)*AB43,IF($P$15="Additionnelle",($N43-($N43*($P43+AC43)))*AB43))),"Non Trouvé")</f>
        <v/>
      </c>
      <c r="AG43" s="99">
        <f>AG42</f>
        <v/>
      </c>
      <c r="AH43" s="99">
        <f>AH42</f>
        <v/>
      </c>
      <c r="AI43" s="95">
        <f>IFERROR(IF($C43="","",IF($P$15="Cascade",$R43*(1-AH43)*AG43,IF($P$15="Additionnelle",($N43-($N43*($P43+AH43)))*AG43))),"Non Trouvé")</f>
        <v/>
      </c>
      <c r="AL43" s="99">
        <f>AL42</f>
        <v/>
      </c>
      <c r="AM43" s="99">
        <f>AM42</f>
        <v/>
      </c>
      <c r="AN43" s="95">
        <f>IFERROR(IF($C43="","",IF($P$15="Cascade",$R43*(1-AM43)*AL43,IF($P$15="Additionnelle",($N43-($N43*($P43+AM43)))*AL43))),"Non Trouvé")</f>
        <v/>
      </c>
      <c r="AQ43" s="99">
        <f>AQ42</f>
        <v/>
      </c>
      <c r="AR43" s="99">
        <f>AR42</f>
        <v/>
      </c>
      <c r="AS43" s="95">
        <f>IFERROR(IF($C43="","",IF($P$15="Cascade",$R43*(1-AR43)*AQ43,IF($P$15="Additionnelle",($N43-($N43*($P43+AR43)))*AQ43))),"Non Trouvé")</f>
        <v/>
      </c>
      <c r="AV43" s="99">
        <f>AV42</f>
        <v/>
      </c>
      <c r="AW43" s="99">
        <f>AW42</f>
        <v/>
      </c>
      <c r="AX43" s="95">
        <f>IFERROR(IF($C43="","",IF($P$15="Cascade",$R43*(1-AW43)*AV43,IF($P$15="Additionnelle",($N43-($N43*($P43+AW43)))*AV43))),"Non Trouvé")</f>
        <v/>
      </c>
      <c r="BA43" s="99">
        <f>BA42</f>
        <v/>
      </c>
      <c r="BB43" s="99">
        <f>BB42</f>
        <v/>
      </c>
      <c r="BC43" s="95">
        <f>IFERROR(IF($C43="","",IF($P$15="Cascade",$R43*(1-BB43)*BA43,IF($P$15="Additionnelle",($N43-($N43*($P43+BB43)))*BA43))),"Non Trouvé")</f>
        <v/>
      </c>
      <c r="BF43" s="99">
        <f>BF42</f>
        <v/>
      </c>
      <c r="BG43" s="99">
        <f>BG42</f>
        <v/>
      </c>
      <c r="BH43" s="95">
        <f>IFERROR(IF($C43="","",IF($P$15="Cascade",$R43*(1-BG43)*BF43,IF($P$15="Additionnelle",($N43-($N43*($P43+BG43)))*BF43))),"Non Trouvé")</f>
        <v/>
      </c>
      <c r="BK43" s="99">
        <f>BK42</f>
        <v/>
      </c>
      <c r="BL43" s="99">
        <f>BL42</f>
        <v/>
      </c>
      <c r="BM43" s="95">
        <f>IFERROR(IF($C43="","",IF($P$15="Cascade",$R43*(1-BL43)*BK43,IF($P$15="Additionnelle",($N43-($N43*($P43+BL43)))*BK43))),"Non Trouvé")</f>
        <v/>
      </c>
      <c r="BP43" s="99">
        <f>BP42</f>
        <v/>
      </c>
      <c r="BQ43" s="99">
        <f>BQ42</f>
        <v/>
      </c>
      <c r="BR43" s="95">
        <f>IFERROR(IF($C43="","",IF($P$15="Cascade",$R43*(1-BQ43)*BP43,IF($P$15="Additionnelle",($N43-($N43*($P43+BQ43)))*BP43))),"Non Trouvé")</f>
        <v/>
      </c>
      <c r="BU43" s="99">
        <f>BU42</f>
        <v/>
      </c>
      <c r="BV43" s="99">
        <f>BV42</f>
        <v/>
      </c>
      <c r="BW43" s="95">
        <f>IFERROR(IF($C43="","",IF($P$15="Cascade",$R43*(1-BV43)*BU43,IF($P$15="Additionnelle",($N43-($N43*($P43+BV43)))*BU43))),"Non Trouvé")</f>
        <v/>
      </c>
      <c r="BZ43" s="99">
        <f>BZ42</f>
        <v/>
      </c>
      <c r="CA43" s="99">
        <f>CA42</f>
        <v/>
      </c>
      <c r="CB43" s="95">
        <f>IFERROR(IF($C43="","",IF($P$15="Cascade",$R43*(1-CA43)*BZ43,IF($P$15="Additionnelle",($N43-($N43*($P43+CA43)))*BZ43))),"Non Trouvé")</f>
        <v/>
      </c>
      <c r="CE43" s="100" t="n"/>
      <c r="CF43" s="101" t="n"/>
      <c r="CG43" s="102" t="inlineStr">
        <is>
          <t>Marges</t>
        </is>
      </c>
      <c r="CH43" s="142">
        <f>IFERROR((CH42-$K20*CH41)/CH42,"Non Trouvé")</f>
        <v/>
      </c>
      <c r="CI43" s="103" t="n"/>
      <c r="CK43" s="104">
        <f>IFERROR(IF(F43='[1]Paramètres Généraux'!$K$12,ROUNDUP((REGENERANTS!H43*REGENERANTS!$CF$20)*'[1]Paramètres Généraux'!$M$12,-1),IF(F43='[1]Paramètres Généraux'!$K$15,ROUNDUP((REGENERANTS!H43*REGENERANTS!$CF$20)*'[1]Paramètres Généraux'!$M$15,-1),REGENERANTS!H43*REGENERANTS!$CF$20)),"nd")</f>
        <v/>
      </c>
      <c r="CN43" s="105" t="n"/>
      <c r="CO43" s="106" t="n"/>
      <c r="CP43" s="106" t="n"/>
      <c r="CQ43" s="106" t="n"/>
      <c r="CR43" s="106" t="n"/>
      <c r="CS43" s="151" t="n"/>
      <c r="CT43" s="106" t="n"/>
      <c r="CU43" s="106" t="n"/>
      <c r="CV43" s="108" t="n"/>
      <c r="CW43" s="109" t="n"/>
      <c r="CX43" s="110" t="n"/>
      <c r="CY43" s="111" t="n"/>
      <c r="CZ43" s="109" t="n"/>
      <c r="DA43" s="112" t="n"/>
      <c r="DB43" s="113" t="n"/>
      <c r="DC43" s="109" t="n"/>
      <c r="DD43" s="114" t="n"/>
      <c r="DE43" s="113" t="n"/>
      <c r="DF43" s="109" t="n"/>
      <c r="DG43" s="109" t="n"/>
      <c r="DH43" s="109" t="n"/>
      <c r="DI43" s="109" t="n"/>
      <c r="DJ43" s="109" t="n"/>
      <c r="DK43" s="109" t="n"/>
      <c r="DL43" s="109" t="n"/>
      <c r="DM43" s="109" t="n"/>
      <c r="DN43" s="109" t="n"/>
      <c r="DO43" s="112" t="n"/>
      <c r="DP43" s="111" t="n"/>
      <c r="DQ43" s="20">
        <f>SUM(CN43:DP43)</f>
        <v/>
      </c>
      <c r="DR43" s="20">
        <f>SUM(CV43:DP43)</f>
        <v/>
      </c>
      <c r="DS43" s="20">
        <f>IFERROR((IF(AND($F43="Produit Vente",CO43&gt;0),VLOOKUP($C43,'[1]Paramètres Articles'!$B:$H,7,FALSE)*$CO43)*(1-20%)),0)</f>
        <v/>
      </c>
      <c r="DT43" s="20">
        <f>IFERROR((IF(AND($F43="Produit Vente",DR43&gt;0),VLOOKUP($C43,'[1]Paramètres Articles'!$B:$H,6,FALSE)*$DR43)*(1-15%)),0)</f>
        <v/>
      </c>
      <c r="DU43" s="20">
        <f>IFERROR(DQ43*J43,0)</f>
        <v/>
      </c>
      <c r="DW43" s="134" t="n"/>
      <c r="DX43" s="152">
        <f>C36</f>
        <v/>
      </c>
      <c r="DY43" s="116">
        <f>VLOOKUP(DX43,C:D,2,FALSE)</f>
        <v/>
      </c>
      <c r="DZ43" s="117">
        <f>SUMIFS('[1]Moteur Produits'!$C:$C,'[1]Moteur Produits'!$B:$B,$DX43)</f>
        <v/>
      </c>
      <c r="EA43" s="118" t="n">
        <v>400</v>
      </c>
      <c r="EB43" s="135" t="n"/>
    </row>
    <row r="44" ht="12.95" customHeight="1">
      <c r="B44" s="1">
        <f>IF(C44="",0,COUNTIFS($B$22:B43,"&gt;"&amp;0)+1)</f>
        <v/>
      </c>
      <c r="C44" s="90" t="n"/>
      <c r="D44" s="91">
        <f>IFERROR(IF($C44="","",VLOOKUP($C44,'[1]Paramètres Articles'!$B:$G,2,FALSE)),"Non Trouvé")</f>
        <v/>
      </c>
      <c r="E44" s="92">
        <f>IFERROR(IF($C44="","",_xlfn.XLOOKUP(REGENERANTS!$C44,'[1]New Base PA'!$F:$F,'[1]New Base PA'!$D:$D,"Not Found",0)),"Non Trouvé")</f>
        <v/>
      </c>
      <c r="F44" s="93" t="n"/>
      <c r="H44" s="106" t="n"/>
      <c r="J44" s="95">
        <f>IFERROR(IF($C44="","",VLOOKUP($C44,'[1]New Base PA'!$F:$J,5,FALSE)),"Non Trouvé")</f>
        <v/>
      </c>
      <c r="K44" s="136">
        <f>IFERROR(IF($C44="","",$J44*$H44),"Non Trouvé")</f>
        <v/>
      </c>
      <c r="L44" s="137" t="n"/>
      <c r="M44" s="136">
        <f>IFERROR(IF(AND($F44="Produit Vente",H44&gt;0),VLOOKUP($C44,'[1]Paramètres Articles'!$B:$G,6,FALSE),0),"Non Trouvé")</f>
        <v/>
      </c>
      <c r="N44" s="136">
        <f>IFERROR(IF($C44="","",$M44*$H44),"Non Trouvé")</f>
        <v/>
      </c>
      <c r="P44" s="97" t="n"/>
      <c r="R44" s="95">
        <f>IFERROR(IF($C44="","",$N44*(1-$P44)),"Non Trouvé")</f>
        <v/>
      </c>
      <c r="S44" s="96" t="n"/>
      <c r="T44" s="95">
        <f>IFERROR(IF($C44="","",VLOOKUP($C44,'[1]Paramètres Articles'!$B:$H,7,FALSE)),"Non Trouvé")</f>
        <v/>
      </c>
      <c r="U44" s="98" t="n"/>
      <c r="V44" s="95">
        <f>IFERROR(IF($C44="","",IF($P44="","",$T44*(1-$P44))),"Non Trouvé")</f>
        <v/>
      </c>
      <c r="W44" s="96" t="n"/>
      <c r="X44" s="95">
        <f>IFERROR(T44-V44,"")</f>
        <v/>
      </c>
      <c r="Y44" s="96" t="n"/>
      <c r="Z44" s="95">
        <f>IFERROR(IF(OR(T44=0,T44=""),0,T44*H44),"Non Trouvé")</f>
        <v/>
      </c>
      <c r="AB44" s="99">
        <f>AB43</f>
        <v/>
      </c>
      <c r="AC44" s="99">
        <f>AC43</f>
        <v/>
      </c>
      <c r="AD44" s="95">
        <f>IFERROR(IF($C44="","",IF($P$15="Cascade",$R44*(1-AC44)*AB44,IF($P$15="Additionnelle",($N44-($N44*($P44+AC44)))*AB44))),"Non Trouvé")</f>
        <v/>
      </c>
      <c r="AG44" s="99">
        <f>AG43</f>
        <v/>
      </c>
      <c r="AH44" s="99">
        <f>AH43</f>
        <v/>
      </c>
      <c r="AI44" s="95">
        <f>IFERROR(IF($C44="","",IF($P$15="Cascade",$R44*(1-AH44)*AG44,IF($P$15="Additionnelle",($N44-($N44*($P44+AH44)))*AG44))),"Non Trouvé")</f>
        <v/>
      </c>
      <c r="AL44" s="99">
        <f>AL43</f>
        <v/>
      </c>
      <c r="AM44" s="99">
        <f>AM43</f>
        <v/>
      </c>
      <c r="AN44" s="95">
        <f>IFERROR(IF($C44="","",IF($P$15="Cascade",$R44*(1-AM44)*AL44,IF($P$15="Additionnelle",($N44-($N44*($P44+AM44)))*AL44))),"Non Trouvé")</f>
        <v/>
      </c>
      <c r="AQ44" s="99">
        <f>AQ43</f>
        <v/>
      </c>
      <c r="AR44" s="99">
        <f>AR43</f>
        <v/>
      </c>
      <c r="AS44" s="95">
        <f>IFERROR(IF($C44="","",IF($P$15="Cascade",$R44*(1-AR44)*AQ44,IF($P$15="Additionnelle",($N44-($N44*($P44+AR44)))*AQ44))),"Non Trouvé")</f>
        <v/>
      </c>
      <c r="AV44" s="99">
        <f>AV43</f>
        <v/>
      </c>
      <c r="AW44" s="99">
        <f>AW43</f>
        <v/>
      </c>
      <c r="AX44" s="95">
        <f>IFERROR(IF($C44="","",IF($P$15="Cascade",$R44*(1-AW44)*AV44,IF($P$15="Additionnelle",($N44-($N44*($P44+AW44)))*AV44))),"Non Trouvé")</f>
        <v/>
      </c>
      <c r="BA44" s="99">
        <f>BA43</f>
        <v/>
      </c>
      <c r="BB44" s="99">
        <f>BB43</f>
        <v/>
      </c>
      <c r="BC44" s="95">
        <f>IFERROR(IF($C44="","",IF($P$15="Cascade",$R44*(1-BB44)*BA44,IF($P$15="Additionnelle",($N44-($N44*($P44+BB44)))*BA44))),"Non Trouvé")</f>
        <v/>
      </c>
      <c r="BF44" s="99">
        <f>BF43</f>
        <v/>
      </c>
      <c r="BG44" s="99">
        <f>BG43</f>
        <v/>
      </c>
      <c r="BH44" s="95">
        <f>IFERROR(IF($C44="","",IF($P$15="Cascade",$R44*(1-BG44)*BF44,IF($P$15="Additionnelle",($N44-($N44*($P44+BG44)))*BF44))),"Non Trouvé")</f>
        <v/>
      </c>
      <c r="BK44" s="99">
        <f>BK43</f>
        <v/>
      </c>
      <c r="BL44" s="99">
        <f>BL43</f>
        <v/>
      </c>
      <c r="BM44" s="95">
        <f>IFERROR(IF($C44="","",IF($P$15="Cascade",$R44*(1-BL44)*BK44,IF($P$15="Additionnelle",($N44-($N44*($P44+BL44)))*BK44))),"Non Trouvé")</f>
        <v/>
      </c>
      <c r="BP44" s="99">
        <f>BP43</f>
        <v/>
      </c>
      <c r="BQ44" s="99">
        <f>BQ43</f>
        <v/>
      </c>
      <c r="BR44" s="95">
        <f>IFERROR(IF($C44="","",IF($P$15="Cascade",$R44*(1-BQ44)*BP44,IF($P$15="Additionnelle",($N44-($N44*($P44+BQ44)))*BP44))),"Non Trouvé")</f>
        <v/>
      </c>
      <c r="BU44" s="99">
        <f>BU43</f>
        <v/>
      </c>
      <c r="BV44" s="99">
        <f>BV43</f>
        <v/>
      </c>
      <c r="BW44" s="95">
        <f>IFERROR(IF($C44="","",IF($P$15="Cascade",$R44*(1-BV44)*BU44,IF($P$15="Additionnelle",($N44-($N44*($P44+BV44)))*BU44))),"Non Trouvé")</f>
        <v/>
      </c>
      <c r="BZ44" s="99">
        <f>BZ43</f>
        <v/>
      </c>
      <c r="CA44" s="99">
        <f>CA43</f>
        <v/>
      </c>
      <c r="CB44" s="95">
        <f>IFERROR(IF($C44="","",IF($P$15="Cascade",$R44*(1-CA44)*BZ44,IF($P$15="Additionnelle",($N44-($N44*($P44+CA44)))*BZ44))),"Non Trouvé")</f>
        <v/>
      </c>
      <c r="CE44" s="100" t="n"/>
      <c r="CF44" s="101" t="n"/>
      <c r="CG44" s="102" t="inlineStr">
        <is>
          <t>Marges €</t>
        </is>
      </c>
      <c r="CH44" s="139">
        <f>IFERROR(CH42*CH43,0)</f>
        <v/>
      </c>
      <c r="CI44" s="103" t="n"/>
      <c r="CK44" s="104">
        <f>IFERROR(IF(F44='[1]Paramètres Généraux'!$K$12,ROUNDUP((REGENERANTS!H44*REGENERANTS!$CF$20)*'[1]Paramètres Généraux'!$M$12,-1),IF(F44='[1]Paramètres Généraux'!$K$15,ROUNDUP((REGENERANTS!H44*REGENERANTS!$CF$20)*'[1]Paramètres Généraux'!$M$15,-1),REGENERANTS!H44*REGENERANTS!$CF$20)),"nd")</f>
        <v/>
      </c>
      <c r="CN44" s="105" t="n"/>
      <c r="CO44" s="106" t="n"/>
      <c r="CP44" s="106" t="n"/>
      <c r="CQ44" s="106" t="n"/>
      <c r="CR44" s="106" t="n"/>
      <c r="CS44" s="151" t="n"/>
      <c r="CT44" s="106" t="n"/>
      <c r="CU44" s="106" t="n"/>
      <c r="CV44" s="108" t="n"/>
      <c r="CW44" s="109" t="n"/>
      <c r="CX44" s="110" t="n"/>
      <c r="CY44" s="111" t="n"/>
      <c r="CZ44" s="109" t="n"/>
      <c r="DA44" s="112" t="n"/>
      <c r="DB44" s="113" t="n"/>
      <c r="DC44" s="109" t="n"/>
      <c r="DD44" s="114" t="n"/>
      <c r="DE44" s="113" t="n"/>
      <c r="DF44" s="109" t="n"/>
      <c r="DG44" s="109" t="n"/>
      <c r="DH44" s="109" t="n"/>
      <c r="DI44" s="109" t="n"/>
      <c r="DJ44" s="109" t="n"/>
      <c r="DK44" s="109" t="n"/>
      <c r="DL44" s="109" t="n"/>
      <c r="DM44" s="109" t="n"/>
      <c r="DN44" s="109" t="n"/>
      <c r="DO44" s="112" t="n"/>
      <c r="DP44" s="111" t="n"/>
      <c r="DQ44" s="20">
        <f>SUM(CN44:DP44)</f>
        <v/>
      </c>
      <c r="DR44" s="20">
        <f>SUM(CV44:DP44)</f>
        <v/>
      </c>
      <c r="DS44" s="20">
        <f>IFERROR((IF(AND($F44="Produit Vente",CO44&gt;0),VLOOKUP($C44,'[1]Paramètres Articles'!$B:$H,7,FALSE)*$CO44)*(1-20%)),0)</f>
        <v/>
      </c>
      <c r="DT44" s="20">
        <f>IFERROR((IF(AND($F44="Produit Vente",DR44&gt;0),VLOOKUP($C44,'[1]Paramètres Articles'!$B:$H,6,FALSE)*$DR44)*(1-15%)),0)</f>
        <v/>
      </c>
      <c r="DU44" s="20">
        <f>IFERROR(DQ44*J44,0)</f>
        <v/>
      </c>
      <c r="DW44" s="134" t="n"/>
      <c r="DX44" s="152">
        <f>C41</f>
        <v/>
      </c>
      <c r="DY44" s="116">
        <f>VLOOKUP(DX44,C:D,2,FALSE)</f>
        <v/>
      </c>
      <c r="DZ44" s="117">
        <f>SUMIFS('[1]Moteur Produits'!$C:$C,'[1]Moteur Produits'!$B:$B,$DX44)</f>
        <v/>
      </c>
      <c r="EA44" s="118" t="n"/>
      <c r="EB44" s="135" t="n"/>
    </row>
    <row r="45" ht="12.95" customHeight="1">
      <c r="B45" s="1">
        <f>IF(C45="",0,COUNTIFS($B$22:B44,"&gt;"&amp;0)+1)</f>
        <v/>
      </c>
      <c r="C45" s="90" t="n"/>
      <c r="D45" s="91">
        <f>IFERROR(IF($C45="","",VLOOKUP($C45,'[1]Paramètres Articles'!$B:$G,2,FALSE)),"Non Trouvé")</f>
        <v/>
      </c>
      <c r="E45" s="92">
        <f>IFERROR(IF($C45="","",_xlfn.XLOOKUP(REGENERANTS!$C45,'[1]New Base PA'!$F:$F,'[1]New Base PA'!$D:$D,"Not Found",0)),"Non Trouvé")</f>
        <v/>
      </c>
      <c r="F45" s="93" t="n"/>
      <c r="H45" s="106" t="n"/>
      <c r="J45" s="95">
        <f>IFERROR(IF($C45="","",VLOOKUP($C45,'[1]New Base PA'!$F:$J,5,FALSE)),"Non Trouvé")</f>
        <v/>
      </c>
      <c r="K45" s="136">
        <f>IFERROR(IF($C45="","",$J45*$H45),"Non Trouvé")</f>
        <v/>
      </c>
      <c r="L45" s="137" t="n"/>
      <c r="M45" s="136">
        <f>IFERROR(IF(AND($F45="Produit Vente",H45&gt;0),VLOOKUP($C45,'[1]Paramètres Articles'!$B:$G,6,FALSE),0),"Non Trouvé")</f>
        <v/>
      </c>
      <c r="N45" s="136">
        <f>IFERROR(IF($C45="","",$M45*$H45),"Non Trouvé")</f>
        <v/>
      </c>
      <c r="P45" s="97" t="n"/>
      <c r="R45" s="95">
        <f>IFERROR(IF($C45="","",$N45*(1-$P45)),"Non Trouvé")</f>
        <v/>
      </c>
      <c r="S45" s="96" t="n"/>
      <c r="T45" s="95">
        <f>IFERROR(IF($C45="","",VLOOKUP($C45,'[1]Paramètres Articles'!$B:$H,7,FALSE)),"Non Trouvé")</f>
        <v/>
      </c>
      <c r="U45" s="98" t="n"/>
      <c r="V45" s="95">
        <f>IFERROR(IF($C45="","",IF($P45="","",$T45*(1-$P45))),"Non Trouvé")</f>
        <v/>
      </c>
      <c r="W45" s="96" t="n"/>
      <c r="X45" s="95">
        <f>IFERROR(T45-V45,"")</f>
        <v/>
      </c>
      <c r="Y45" s="96" t="n"/>
      <c r="Z45" s="95">
        <f>IFERROR(IF(OR(T45=0,T45=""),0,T45*H45),"Non Trouvé")</f>
        <v/>
      </c>
      <c r="AB45" s="99">
        <f>AB44</f>
        <v/>
      </c>
      <c r="AC45" s="99">
        <f>AC44</f>
        <v/>
      </c>
      <c r="AD45" s="95">
        <f>IFERROR(IF($C45="","",IF($P$15="Cascade",$R45*(1-AC45)*AB45,IF($P$15="Additionnelle",($N45-($N45*($P45+AC45)))*AB45))),"Non Trouvé")</f>
        <v/>
      </c>
      <c r="AG45" s="99">
        <f>AG44</f>
        <v/>
      </c>
      <c r="AH45" s="99">
        <f>AH44</f>
        <v/>
      </c>
      <c r="AI45" s="95">
        <f>IFERROR(IF($C45="","",IF($P$15="Cascade",$R45*(1-AH45)*AG45,IF($P$15="Additionnelle",($N45-($N45*($P45+AH45)))*AG45))),"Non Trouvé")</f>
        <v/>
      </c>
      <c r="AL45" s="99">
        <f>AL44</f>
        <v/>
      </c>
      <c r="AM45" s="99">
        <f>AM44</f>
        <v/>
      </c>
      <c r="AN45" s="95">
        <f>IFERROR(IF($C45="","",IF($P$15="Cascade",$R45*(1-AM45)*AL45,IF($P$15="Additionnelle",($N45-($N45*($P45+AM45)))*AL45))),"Non Trouvé")</f>
        <v/>
      </c>
      <c r="AQ45" s="99">
        <f>AQ44</f>
        <v/>
      </c>
      <c r="AR45" s="99">
        <f>AR44</f>
        <v/>
      </c>
      <c r="AS45" s="95">
        <f>IFERROR(IF($C45="","",IF($P$15="Cascade",$R45*(1-AR45)*AQ45,IF($P$15="Additionnelle",($N45-($N45*($P45+AR45)))*AQ45))),"Non Trouvé")</f>
        <v/>
      </c>
      <c r="AV45" s="99">
        <f>AV44</f>
        <v/>
      </c>
      <c r="AW45" s="99">
        <f>AW44</f>
        <v/>
      </c>
      <c r="AX45" s="95">
        <f>IFERROR(IF($C45="","",IF($P$15="Cascade",$R45*(1-AW45)*AV45,IF($P$15="Additionnelle",($N45-($N45*($P45+AW45)))*AV45))),"Non Trouvé")</f>
        <v/>
      </c>
      <c r="BA45" s="99">
        <f>BA44</f>
        <v/>
      </c>
      <c r="BB45" s="99">
        <f>BB44</f>
        <v/>
      </c>
      <c r="BC45" s="95">
        <f>IFERROR(IF($C45="","",IF($P$15="Cascade",$R45*(1-BB45)*BA45,IF($P$15="Additionnelle",($N45-($N45*($P45+BB45)))*BA45))),"Non Trouvé")</f>
        <v/>
      </c>
      <c r="BF45" s="99">
        <f>BF44</f>
        <v/>
      </c>
      <c r="BG45" s="99">
        <f>BG44</f>
        <v/>
      </c>
      <c r="BH45" s="95">
        <f>IFERROR(IF($C45="","",IF($P$15="Cascade",$R45*(1-BG45)*BF45,IF($P$15="Additionnelle",($N45-($N45*($P45+BG45)))*BF45))),"Non Trouvé")</f>
        <v/>
      </c>
      <c r="BK45" s="99">
        <f>BK44</f>
        <v/>
      </c>
      <c r="BL45" s="99">
        <f>BL44</f>
        <v/>
      </c>
      <c r="BM45" s="95">
        <f>IFERROR(IF($C45="","",IF($P$15="Cascade",$R45*(1-BL45)*BK45,IF($P$15="Additionnelle",($N45-($N45*($P45+BL45)))*BK45))),"Non Trouvé")</f>
        <v/>
      </c>
      <c r="BP45" s="99">
        <f>BP44</f>
        <v/>
      </c>
      <c r="BQ45" s="99">
        <f>BQ44</f>
        <v/>
      </c>
      <c r="BR45" s="95">
        <f>IFERROR(IF($C45="","",IF($P$15="Cascade",$R45*(1-BQ45)*BP45,IF($P$15="Additionnelle",($N45-($N45*($P45+BQ45)))*BP45))),"Non Trouvé")</f>
        <v/>
      </c>
      <c r="BU45" s="99">
        <f>BU44</f>
        <v/>
      </c>
      <c r="BV45" s="99">
        <f>BV44</f>
        <v/>
      </c>
      <c r="BW45" s="95">
        <f>IFERROR(IF($C45="","",IF($P$15="Cascade",$R45*(1-BV45)*BU45,IF($P$15="Additionnelle",($N45-($N45*($P45+BV45)))*BU45))),"Non Trouvé")</f>
        <v/>
      </c>
      <c r="BZ45" s="99">
        <f>BZ44</f>
        <v/>
      </c>
      <c r="CA45" s="99">
        <f>CA44</f>
        <v/>
      </c>
      <c r="CB45" s="95">
        <f>IFERROR(IF($C45="","",IF($P$15="Cascade",$R45*(1-CA45)*BZ45,IF($P$15="Additionnelle",($N45-($N45*($P45+CA45)))*BZ45))),"Non Trouvé")</f>
        <v/>
      </c>
      <c r="CE45" s="100" t="n"/>
      <c r="CF45" s="101" t="n"/>
      <c r="CG45" s="102" t="n"/>
      <c r="CH45" s="102" t="n"/>
      <c r="CI45" s="103" t="n"/>
      <c r="CK45" s="104">
        <f>IFERROR(IF(F45='[1]Paramètres Généraux'!$K$12,ROUNDUP((REGENERANTS!H45*REGENERANTS!$CF$20)*'[1]Paramètres Généraux'!$M$12,-1),IF(F45='[1]Paramètres Généraux'!$K$15,ROUNDUP((REGENERANTS!H45*REGENERANTS!$CF$20)*'[1]Paramètres Généraux'!$M$15,-1),REGENERANTS!H45*REGENERANTS!$CF$20)),"nd")</f>
        <v/>
      </c>
      <c r="CN45" s="105" t="n"/>
      <c r="CO45" s="106" t="n"/>
      <c r="CP45" s="106" t="n"/>
      <c r="CQ45" s="106" t="n"/>
      <c r="CR45" s="106" t="n"/>
      <c r="CS45" s="151" t="n"/>
      <c r="CT45" s="106" t="n"/>
      <c r="CU45" s="106" t="n"/>
      <c r="CV45" s="108" t="n"/>
      <c r="CW45" s="109" t="n"/>
      <c r="CX45" s="110" t="n"/>
      <c r="CY45" s="111" t="n"/>
      <c r="CZ45" s="109" t="n"/>
      <c r="DA45" s="112" t="n"/>
      <c r="DB45" s="113" t="n"/>
      <c r="DC45" s="109" t="n"/>
      <c r="DD45" s="114" t="n"/>
      <c r="DE45" s="113" t="n"/>
      <c r="DF45" s="109" t="n"/>
      <c r="DG45" s="109" t="n"/>
      <c r="DH45" s="109" t="n"/>
      <c r="DI45" s="109" t="n"/>
      <c r="DJ45" s="109" t="n"/>
      <c r="DK45" s="109" t="n"/>
      <c r="DL45" s="109" t="n"/>
      <c r="DM45" s="109" t="n"/>
      <c r="DN45" s="109" t="n"/>
      <c r="DO45" s="112" t="n"/>
      <c r="DP45" s="111" t="n"/>
      <c r="DQ45" s="20">
        <f>SUM(CN45:DP45)</f>
        <v/>
      </c>
      <c r="DR45" s="20">
        <f>SUM(CV45:DP45)</f>
        <v/>
      </c>
      <c r="DS45" s="20">
        <f>IFERROR((IF(AND($F45="Produit Vente",CO45&gt;0),VLOOKUP($C45,'[1]Paramètres Articles'!$B:$H,7,FALSE)*$CO45)*(1-20%)),0)</f>
        <v/>
      </c>
      <c r="DT45" s="20">
        <f>IFERROR((IF(AND($F45="Produit Vente",DR45&gt;0),VLOOKUP($C45,'[1]Paramètres Articles'!$B:$H,6,FALSE)*$DR45)*(1-15%)),0)</f>
        <v/>
      </c>
      <c r="DU45" s="20">
        <f>IFERROR(DQ45*J45,0)</f>
        <v/>
      </c>
      <c r="DW45" s="134" t="n"/>
      <c r="DX45" s="152">
        <f>C133</f>
        <v/>
      </c>
      <c r="DY45" s="116">
        <f>VLOOKUP(DX45,C:D,2,FALSE)</f>
        <v/>
      </c>
      <c r="DZ45" s="117">
        <f>SUMIFS('[1]Moteur Produits'!$C:$C,'[1]Moteur Produits'!$B:$B,$DX45)</f>
        <v/>
      </c>
      <c r="EA45" s="124" t="n"/>
      <c r="EB45" s="135" t="n"/>
    </row>
    <row r="46" ht="12.95" customHeight="1">
      <c r="B46" s="1">
        <f>IF(C46="",0,COUNTIFS($B$22:B45,"&gt;"&amp;0)+1)</f>
        <v/>
      </c>
      <c r="C46" s="90" t="n"/>
      <c r="D46" s="91">
        <f>IFERROR(IF($C46="","",VLOOKUP($C46,'[1]Paramètres Articles'!$B:$G,2,FALSE)),"Non Trouvé")</f>
        <v/>
      </c>
      <c r="E46" s="92">
        <f>IFERROR(IF($C46="","",_xlfn.XLOOKUP(REGENERANTS!$C46,'[1]New Base PA'!$F:$F,'[1]New Base PA'!$D:$D,"Not Found",0)),"Non Trouvé")</f>
        <v/>
      </c>
      <c r="F46" s="93" t="n"/>
      <c r="H46" s="106" t="n"/>
      <c r="J46" s="95">
        <f>IFERROR(IF($C46="","",VLOOKUP($C46,'[1]New Base PA'!$F:$J,5,FALSE)),"Non Trouvé")</f>
        <v/>
      </c>
      <c r="K46" s="136">
        <f>IFERROR(IF($C46="","",$J46*$H46),"Non Trouvé")</f>
        <v/>
      </c>
      <c r="L46" s="137" t="n"/>
      <c r="M46" s="136">
        <f>IFERROR(IF(AND($F46="Produit Vente",H46&gt;0),VLOOKUP($C46,'[1]Paramètres Articles'!$B:$G,6,FALSE),0),"Non Trouvé")</f>
        <v/>
      </c>
      <c r="N46" s="136">
        <f>IFERROR(IF($C46="","",$M46*$H46),"Non Trouvé")</f>
        <v/>
      </c>
      <c r="P46" s="97" t="n"/>
      <c r="R46" s="95">
        <f>IFERROR(IF($C46="","",$N46*(1-$P46)),"Non Trouvé")</f>
        <v/>
      </c>
      <c r="S46" s="96" t="n"/>
      <c r="T46" s="95">
        <f>IFERROR(IF($C46="","",VLOOKUP($C46,'[1]Paramètres Articles'!$B:$H,7,FALSE)),"Non Trouvé")</f>
        <v/>
      </c>
      <c r="U46" s="98" t="n"/>
      <c r="V46" s="95">
        <f>IFERROR(IF($C46="","",IF($P46="","",$T46*(1-$P46))),"Non Trouvé")</f>
        <v/>
      </c>
      <c r="W46" s="96" t="n"/>
      <c r="X46" s="95">
        <f>IFERROR(T46-V46,"")</f>
        <v/>
      </c>
      <c r="Y46" s="96" t="n"/>
      <c r="Z46" s="95">
        <f>IFERROR(IF(OR(T46=0,T46=""),0,T46*H46),"Non Trouvé")</f>
        <v/>
      </c>
      <c r="AB46" s="99">
        <f>AB45</f>
        <v/>
      </c>
      <c r="AC46" s="99">
        <f>AC45</f>
        <v/>
      </c>
      <c r="AD46" s="95">
        <f>IFERROR(IF($C46="","",IF($P$15="Cascade",$R46*(1-AC46)*AB46,IF($P$15="Additionnelle",($N46-($N46*($P46+AC46)))*AB46))),"Non Trouvé")</f>
        <v/>
      </c>
      <c r="AG46" s="99">
        <f>AG45</f>
        <v/>
      </c>
      <c r="AH46" s="99">
        <f>AH45</f>
        <v/>
      </c>
      <c r="AI46" s="95">
        <f>IFERROR(IF($C46="","",IF($P$15="Cascade",$R46*(1-AH46)*AG46,IF($P$15="Additionnelle",($N46-($N46*($P46+AH46)))*AG46))),"Non Trouvé")</f>
        <v/>
      </c>
      <c r="AL46" s="99">
        <f>AL45</f>
        <v/>
      </c>
      <c r="AM46" s="99">
        <f>AM45</f>
        <v/>
      </c>
      <c r="AN46" s="95">
        <f>IFERROR(IF($C46="","",IF($P$15="Cascade",$R46*(1-AM46)*AL46,IF($P$15="Additionnelle",($N46-($N46*($P46+AM46)))*AL46))),"Non Trouvé")</f>
        <v/>
      </c>
      <c r="AQ46" s="99">
        <f>AQ45</f>
        <v/>
      </c>
      <c r="AR46" s="99">
        <f>AR45</f>
        <v/>
      </c>
      <c r="AS46" s="95">
        <f>IFERROR(IF($C46="","",IF($P$15="Cascade",$R46*(1-AR46)*AQ46,IF($P$15="Additionnelle",($N46-($N46*($P46+AR46)))*AQ46))),"Non Trouvé")</f>
        <v/>
      </c>
      <c r="AV46" s="99">
        <f>AV45</f>
        <v/>
      </c>
      <c r="AW46" s="99">
        <f>AW45</f>
        <v/>
      </c>
      <c r="AX46" s="95">
        <f>IFERROR(IF($C46="","",IF($P$15="Cascade",$R46*(1-AW46)*AV46,IF($P$15="Additionnelle",($N46-($N46*($P46+AW46)))*AV46))),"Non Trouvé")</f>
        <v/>
      </c>
      <c r="BA46" s="99">
        <f>BA45</f>
        <v/>
      </c>
      <c r="BB46" s="99">
        <f>BB45</f>
        <v/>
      </c>
      <c r="BC46" s="95">
        <f>IFERROR(IF($C46="","",IF($P$15="Cascade",$R46*(1-BB46)*BA46,IF($P$15="Additionnelle",($N46-($N46*($P46+BB46)))*BA46))),"Non Trouvé")</f>
        <v/>
      </c>
      <c r="BF46" s="99">
        <f>BF45</f>
        <v/>
      </c>
      <c r="BG46" s="99">
        <f>BG45</f>
        <v/>
      </c>
      <c r="BH46" s="95">
        <f>IFERROR(IF($C46="","",IF($P$15="Cascade",$R46*(1-BG46)*BF46,IF($P$15="Additionnelle",($N46-($N46*($P46+BG46)))*BF46))),"Non Trouvé")</f>
        <v/>
      </c>
      <c r="BK46" s="99">
        <f>BK45</f>
        <v/>
      </c>
      <c r="BL46" s="99">
        <f>BL45</f>
        <v/>
      </c>
      <c r="BM46" s="95">
        <f>IFERROR(IF($C46="","",IF($P$15="Cascade",$R46*(1-BL46)*BK46,IF($P$15="Additionnelle",($N46-($N46*($P46+BL46)))*BK46))),"Non Trouvé")</f>
        <v/>
      </c>
      <c r="BP46" s="99">
        <f>BP45</f>
        <v/>
      </c>
      <c r="BQ46" s="99">
        <f>BQ45</f>
        <v/>
      </c>
      <c r="BR46" s="95">
        <f>IFERROR(IF($C46="","",IF($P$15="Cascade",$R46*(1-BQ46)*BP46,IF($P$15="Additionnelle",($N46-($N46*($P46+BQ46)))*BP46))),"Non Trouvé")</f>
        <v/>
      </c>
      <c r="BU46" s="99">
        <f>BU45</f>
        <v/>
      </c>
      <c r="BV46" s="99">
        <f>BV45</f>
        <v/>
      </c>
      <c r="BW46" s="95">
        <f>IFERROR(IF($C46="","",IF($P$15="Cascade",$R46*(1-BV46)*BU46,IF($P$15="Additionnelle",($N46-($N46*($P46+BV46)))*BU46))),"Non Trouvé")</f>
        <v/>
      </c>
      <c r="BZ46" s="99">
        <f>BZ45</f>
        <v/>
      </c>
      <c r="CA46" s="99">
        <f>CA45</f>
        <v/>
      </c>
      <c r="CB46" s="95">
        <f>IFERROR(IF($C46="","",IF($P$15="Cascade",$R46*(1-CA46)*BZ46,IF($P$15="Additionnelle",($N46-($N46*($P46+CA46)))*BZ46))),"Non Trouvé")</f>
        <v/>
      </c>
      <c r="CE46" s="100" t="n"/>
      <c r="CF46" s="101" t="n"/>
      <c r="CG46" s="102" t="n"/>
      <c r="CH46" s="102" t="n"/>
      <c r="CI46" s="103" t="n"/>
      <c r="CK46" s="104">
        <f>IFERROR(IF(F46='[1]Paramètres Généraux'!$K$12,ROUNDUP((REGENERANTS!H46*REGENERANTS!$CF$20)*'[1]Paramètres Généraux'!$M$12,-1),IF(F46='[1]Paramètres Généraux'!$K$15,ROUNDUP((REGENERANTS!H46*REGENERANTS!$CF$20)*'[1]Paramètres Généraux'!$M$15,-1),REGENERANTS!H46*REGENERANTS!$CF$20)),"nd")</f>
        <v/>
      </c>
      <c r="CN46" s="105" t="n"/>
      <c r="CO46" s="106" t="n"/>
      <c r="CP46" s="106" t="n"/>
      <c r="CQ46" s="106" t="n"/>
      <c r="CR46" s="106" t="n"/>
      <c r="CS46" s="151" t="n"/>
      <c r="CT46" s="106" t="n"/>
      <c r="CU46" s="106" t="n"/>
      <c r="CV46" s="108" t="n"/>
      <c r="CW46" s="109" t="n"/>
      <c r="CX46" s="110" t="n"/>
      <c r="CY46" s="111" t="n"/>
      <c r="CZ46" s="109" t="n"/>
      <c r="DA46" s="112" t="n"/>
      <c r="DB46" s="113" t="n"/>
      <c r="DC46" s="109" t="n"/>
      <c r="DD46" s="114" t="n"/>
      <c r="DE46" s="113" t="n"/>
      <c r="DF46" s="109" t="n"/>
      <c r="DG46" s="109" t="n"/>
      <c r="DH46" s="109" t="n"/>
      <c r="DI46" s="109" t="n"/>
      <c r="DJ46" s="109" t="n"/>
      <c r="DK46" s="109" t="n"/>
      <c r="DL46" s="109" t="n"/>
      <c r="DM46" s="109" t="n"/>
      <c r="DN46" s="109" t="n"/>
      <c r="DO46" s="112" t="n"/>
      <c r="DP46" s="111" t="n"/>
      <c r="DQ46" s="20">
        <f>SUM(CN46:DP46)</f>
        <v/>
      </c>
      <c r="DR46" s="20">
        <f>SUM(CV46:DP46)</f>
        <v/>
      </c>
      <c r="DS46" s="20">
        <f>IFERROR((IF(AND($F46="Produit Vente",CO46&gt;0),VLOOKUP($C46,'[1]Paramètres Articles'!$B:$H,7,FALSE)*$CO46)*(1-20%)),0)</f>
        <v/>
      </c>
      <c r="DT46" s="20">
        <f>IFERROR((IF(AND($F46="Produit Vente",DR46&gt;0),VLOOKUP($C46,'[1]Paramètres Articles'!$B:$H,6,FALSE)*$DR46)*(1-15%)),0)</f>
        <v/>
      </c>
      <c r="DU46" s="20">
        <f>IFERROR(DQ46*J46,0)</f>
        <v/>
      </c>
      <c r="DW46" s="134" t="n"/>
      <c r="DX46" s="152" t="n"/>
      <c r="DY46" s="116" t="n"/>
      <c r="DZ46" s="117">
        <f>SUMIFS('[1]Moteur Produits'!$C:$C,'[1]Moteur Produits'!$B:$B,$DX46)</f>
        <v/>
      </c>
      <c r="EA46" s="124" t="n"/>
      <c r="EB46" s="135" t="n"/>
    </row>
    <row r="47" ht="12.95" customHeight="1">
      <c r="B47" s="1">
        <f>IF(C47="",0,COUNTIFS($B$22:B46,"&gt;"&amp;0)+1)</f>
        <v/>
      </c>
      <c r="C47" s="90" t="n"/>
      <c r="D47" s="91">
        <f>IFERROR(IF($C47="","",VLOOKUP($C47,'[1]Paramètres Articles'!$B:$G,2,FALSE)),"Non Trouvé")</f>
        <v/>
      </c>
      <c r="E47" s="92">
        <f>IFERROR(IF($C47="","",_xlfn.XLOOKUP(REGENERANTS!$C47,'[1]New Base PA'!$F:$F,'[1]New Base PA'!$D:$D,"Not Found",0)),"Non Trouvé")</f>
        <v/>
      </c>
      <c r="F47" s="93" t="n"/>
      <c r="H47" s="106" t="n"/>
      <c r="J47" s="95">
        <f>IFERROR(IF($C47="","",VLOOKUP($C47,'[1]New Base PA'!$F:$J,5,FALSE)),"Non Trouvé")</f>
        <v/>
      </c>
      <c r="K47" s="136">
        <f>IFERROR(IF($C47="","",$J47*$H47),"Non Trouvé")</f>
        <v/>
      </c>
      <c r="L47" s="137" t="n"/>
      <c r="M47" s="136">
        <f>IFERROR(IF(AND($F47="Produit Vente",H47&gt;0),VLOOKUP($C47,'[1]Paramètres Articles'!$B:$G,6,FALSE),0),"Non Trouvé")</f>
        <v/>
      </c>
      <c r="N47" s="136">
        <f>IFERROR(IF($C47="","",$M47*$H47),"Non Trouvé")</f>
        <v/>
      </c>
      <c r="P47" s="97" t="n"/>
      <c r="R47" s="95">
        <f>IFERROR(IF($C47="","",$N47*(1-$P47)),"Non Trouvé")</f>
        <v/>
      </c>
      <c r="S47" s="96" t="n"/>
      <c r="T47" s="95">
        <f>IFERROR(IF($C47="","",VLOOKUP($C47,'[1]Paramètres Articles'!$B:$H,7,FALSE)),"Non Trouvé")</f>
        <v/>
      </c>
      <c r="U47" s="98" t="n"/>
      <c r="V47" s="95">
        <f>IFERROR(IF($C47="","",IF($P47="","",$T47*(1-$P47))),"Non Trouvé")</f>
        <v/>
      </c>
      <c r="W47" s="96" t="n"/>
      <c r="X47" s="95">
        <f>IFERROR(T47-V47,"")</f>
        <v/>
      </c>
      <c r="Y47" s="96" t="n"/>
      <c r="Z47" s="95">
        <f>IFERROR(IF(OR(T47=0,T47=""),0,T47*H47),"Non Trouvé")</f>
        <v/>
      </c>
      <c r="AB47" s="99">
        <f>AB46</f>
        <v/>
      </c>
      <c r="AC47" s="99">
        <f>AC46</f>
        <v/>
      </c>
      <c r="AD47" s="95">
        <f>IFERROR(IF($C47="","",IF($P$15="Cascade",$R47*(1-AC47)*AB47,IF($P$15="Additionnelle",($N47-($N47*($P47+AC47)))*AB47))),"Non Trouvé")</f>
        <v/>
      </c>
      <c r="AG47" s="99">
        <f>AG46</f>
        <v/>
      </c>
      <c r="AH47" s="99">
        <f>AH46</f>
        <v/>
      </c>
      <c r="AI47" s="95">
        <f>IFERROR(IF($C47="","",IF($P$15="Cascade",$R47*(1-AH47)*AG47,IF($P$15="Additionnelle",($N47-($N47*($P47+AH47)))*AG47))),"Non Trouvé")</f>
        <v/>
      </c>
      <c r="AL47" s="99">
        <f>AL46</f>
        <v/>
      </c>
      <c r="AM47" s="99">
        <f>AM46</f>
        <v/>
      </c>
      <c r="AN47" s="95">
        <f>IFERROR(IF($C47="","",IF($P$15="Cascade",$R47*(1-AM47)*AL47,IF($P$15="Additionnelle",($N47-($N47*($P47+AM47)))*AL47))),"Non Trouvé")</f>
        <v/>
      </c>
      <c r="AQ47" s="99">
        <f>AQ46</f>
        <v/>
      </c>
      <c r="AR47" s="99">
        <f>AR46</f>
        <v/>
      </c>
      <c r="AS47" s="95">
        <f>IFERROR(IF($C47="","",IF($P$15="Cascade",$R47*(1-AR47)*AQ47,IF($P$15="Additionnelle",($N47-($N47*($P47+AR47)))*AQ47))),"Non Trouvé")</f>
        <v/>
      </c>
      <c r="AV47" s="99">
        <f>AV46</f>
        <v/>
      </c>
      <c r="AW47" s="99">
        <f>AW46</f>
        <v/>
      </c>
      <c r="AX47" s="95">
        <f>IFERROR(IF($C47="","",IF($P$15="Cascade",$R47*(1-AW47)*AV47,IF($P$15="Additionnelle",($N47-($N47*($P47+AW47)))*AV47))),"Non Trouvé")</f>
        <v/>
      </c>
      <c r="BA47" s="99">
        <f>BA46</f>
        <v/>
      </c>
      <c r="BB47" s="99">
        <f>BB46</f>
        <v/>
      </c>
      <c r="BC47" s="95">
        <f>IFERROR(IF($C47="","",IF($P$15="Cascade",$R47*(1-BB47)*BA47,IF($P$15="Additionnelle",($N47-($N47*($P47+BB47)))*BA47))),"Non Trouvé")</f>
        <v/>
      </c>
      <c r="BF47" s="99">
        <f>BF46</f>
        <v/>
      </c>
      <c r="BG47" s="99">
        <f>BG46</f>
        <v/>
      </c>
      <c r="BH47" s="95">
        <f>IFERROR(IF($C47="","",IF($P$15="Cascade",$R47*(1-BG47)*BF47,IF($P$15="Additionnelle",($N47-($N47*($P47+BG47)))*BF47))),"Non Trouvé")</f>
        <v/>
      </c>
      <c r="BK47" s="99">
        <f>BK46</f>
        <v/>
      </c>
      <c r="BL47" s="99">
        <f>BL46</f>
        <v/>
      </c>
      <c r="BM47" s="95">
        <f>IFERROR(IF($C47="","",IF($P$15="Cascade",$R47*(1-BL47)*BK47,IF($P$15="Additionnelle",($N47-($N47*($P47+BL47)))*BK47))),"Non Trouvé")</f>
        <v/>
      </c>
      <c r="BP47" s="99">
        <f>BP46</f>
        <v/>
      </c>
      <c r="BQ47" s="99">
        <f>BQ46</f>
        <v/>
      </c>
      <c r="BR47" s="95">
        <f>IFERROR(IF($C47="","",IF($P$15="Cascade",$R47*(1-BQ47)*BP47,IF($P$15="Additionnelle",($N47-($N47*($P47+BQ47)))*BP47))),"Non Trouvé")</f>
        <v/>
      </c>
      <c r="BU47" s="99">
        <f>BU46</f>
        <v/>
      </c>
      <c r="BV47" s="99">
        <f>BV46</f>
        <v/>
      </c>
      <c r="BW47" s="95">
        <f>IFERROR(IF($C47="","",IF($P$15="Cascade",$R47*(1-BV47)*BU47,IF($P$15="Additionnelle",($N47-($N47*($P47+BV47)))*BU47))),"Non Trouvé")</f>
        <v/>
      </c>
      <c r="BZ47" s="99">
        <f>BZ46</f>
        <v/>
      </c>
      <c r="CA47" s="99">
        <f>CA46</f>
        <v/>
      </c>
      <c r="CB47" s="95">
        <f>IFERROR(IF($C47="","",IF($P$15="Cascade",$R47*(1-CA47)*BZ47,IF($P$15="Additionnelle",($N47-($N47*($P47+CA47)))*BZ47))),"Non Trouvé")</f>
        <v/>
      </c>
      <c r="CE47" s="100" t="n"/>
      <c r="CF47" s="101" t="n"/>
      <c r="CG47" s="102" t="n"/>
      <c r="CH47" s="102" t="n"/>
      <c r="CI47" s="103" t="n"/>
      <c r="CK47" s="104">
        <f>IFERROR(IF(F47='[1]Paramètres Généraux'!$K$12,ROUNDUP((REGENERANTS!H47*REGENERANTS!$CF$20)*'[1]Paramètres Généraux'!$M$12,-1),IF(F47='[1]Paramètres Généraux'!$K$15,ROUNDUP((REGENERANTS!H47*REGENERANTS!$CF$20)*'[1]Paramètres Généraux'!$M$15,-1),REGENERANTS!H47*REGENERANTS!$CF$20)),"nd")</f>
        <v/>
      </c>
      <c r="CN47" s="105" t="n"/>
      <c r="CO47" s="106" t="n"/>
      <c r="CP47" s="106" t="n"/>
      <c r="CQ47" s="106" t="n"/>
      <c r="CR47" s="106" t="n"/>
      <c r="CS47" s="151" t="n"/>
      <c r="CT47" s="106" t="n"/>
      <c r="CU47" s="106" t="n"/>
      <c r="CV47" s="108" t="n"/>
      <c r="CW47" s="109" t="n"/>
      <c r="CX47" s="110" t="n"/>
      <c r="CY47" s="111" t="n"/>
      <c r="CZ47" s="109" t="n"/>
      <c r="DA47" s="112" t="n"/>
      <c r="DB47" s="113" t="n"/>
      <c r="DC47" s="109" t="n"/>
      <c r="DD47" s="114" t="n"/>
      <c r="DE47" s="113" t="n"/>
      <c r="DF47" s="109" t="n"/>
      <c r="DG47" s="109" t="n"/>
      <c r="DH47" s="109" t="n"/>
      <c r="DI47" s="109" t="n"/>
      <c r="DJ47" s="109" t="n"/>
      <c r="DK47" s="109" t="n"/>
      <c r="DL47" s="109" t="n"/>
      <c r="DM47" s="109" t="n"/>
      <c r="DN47" s="109" t="n"/>
      <c r="DO47" s="112" t="n"/>
      <c r="DP47" s="111" t="n"/>
      <c r="DQ47" s="20">
        <f>SUM(CN47:DP47)</f>
        <v/>
      </c>
      <c r="DR47" s="20">
        <f>SUM(CV47:DP47)</f>
        <v/>
      </c>
      <c r="DS47" s="20">
        <f>IFERROR((IF(AND($F47="Produit Vente",CO47&gt;0),VLOOKUP($C47,'[1]Paramètres Articles'!$B:$H,7,FALSE)*$CO47)*(1-20%)),0)</f>
        <v/>
      </c>
      <c r="DT47" s="20">
        <f>IFERROR((IF(AND($F47="Produit Vente",DR47&gt;0),VLOOKUP($C47,'[1]Paramètres Articles'!$B:$H,6,FALSE)*$DR47)*(1-15%)),0)</f>
        <v/>
      </c>
      <c r="DU47" s="20">
        <f>IFERROR(DQ47*J47,0)</f>
        <v/>
      </c>
      <c r="DW47" s="134" t="n"/>
      <c r="DX47" s="152" t="n"/>
      <c r="DY47" s="116" t="n"/>
      <c r="EA47" s="124" t="n"/>
      <c r="EB47" s="135" t="n"/>
    </row>
    <row r="48" ht="12.95" customHeight="1">
      <c r="B48" s="1">
        <f>IF(C48="",0,COUNTIFS($B$22:B47,"&gt;"&amp;0)+1)</f>
        <v/>
      </c>
      <c r="C48" s="90" t="n"/>
      <c r="D48" s="91">
        <f>IFERROR(IF($C48="","",VLOOKUP($C48,'[1]Paramètres Articles'!$B:$G,2,FALSE)),"Non Trouvé")</f>
        <v/>
      </c>
      <c r="E48" s="92">
        <f>IFERROR(IF($C48="","",_xlfn.XLOOKUP(REGENERANTS!$C48,'[1]New Base PA'!$F:$F,'[1]New Base PA'!$D:$D,"Not Found",0)),"Non Trouvé")</f>
        <v/>
      </c>
      <c r="F48" s="93" t="n"/>
      <c r="H48" s="106" t="n"/>
      <c r="J48" s="95">
        <f>IFERROR(IF($C48="","",VLOOKUP($C48,'[1]New Base PA'!$F:$J,5,FALSE)),"Non Trouvé")</f>
        <v/>
      </c>
      <c r="K48" s="136">
        <f>IFERROR(IF($C48="","",$J48*$H48),"Non Trouvé")</f>
        <v/>
      </c>
      <c r="L48" s="137" t="n"/>
      <c r="M48" s="136">
        <f>IFERROR(IF(AND($F48="Produit Vente",H48&gt;0),VLOOKUP($C48,'[1]Paramètres Articles'!$B:$G,6,FALSE),0),"Non Trouvé")</f>
        <v/>
      </c>
      <c r="N48" s="136">
        <f>IFERROR(IF($C48="","",$M48*$H48),"Non Trouvé")</f>
        <v/>
      </c>
      <c r="P48" s="97" t="n"/>
      <c r="R48" s="95">
        <f>IFERROR(IF($C48="","",$N48*(1-$P48)),"Non Trouvé")</f>
        <v/>
      </c>
      <c r="S48" s="96" t="n"/>
      <c r="T48" s="95">
        <f>IFERROR(IF($C48="","",VLOOKUP($C48,'[1]Paramètres Articles'!$B:$H,7,FALSE)),"Non Trouvé")</f>
        <v/>
      </c>
      <c r="U48" s="98" t="n"/>
      <c r="V48" s="95">
        <f>IFERROR(IF($C48="","",IF($P48="","",$T48*(1-$P48))),"Non Trouvé")</f>
        <v/>
      </c>
      <c r="W48" s="96" t="n"/>
      <c r="X48" s="95">
        <f>IFERROR(T48-V48,"")</f>
        <v/>
      </c>
      <c r="Y48" s="96" t="n"/>
      <c r="Z48" s="95">
        <f>IFERROR(IF(OR(T48=0,T48=""),0,T48*H48),"Non Trouvé")</f>
        <v/>
      </c>
      <c r="AB48" s="99">
        <f>AB47</f>
        <v/>
      </c>
      <c r="AC48" s="99">
        <f>AC47</f>
        <v/>
      </c>
      <c r="AD48" s="95">
        <f>IFERROR(IF($C48="","",IF($P$15="Cascade",$R48*(1-AC48)*AB48,IF($P$15="Additionnelle",($N48-($N48*($P48+AC48)))*AB48))),"Non Trouvé")</f>
        <v/>
      </c>
      <c r="AG48" s="99">
        <f>AG47</f>
        <v/>
      </c>
      <c r="AH48" s="99">
        <f>AH47</f>
        <v/>
      </c>
      <c r="AI48" s="95">
        <f>IFERROR(IF($C48="","",IF($P$15="Cascade",$R48*(1-AH48)*AG48,IF($P$15="Additionnelle",($N48-($N48*($P48+AH48)))*AG48))),"Non Trouvé")</f>
        <v/>
      </c>
      <c r="AL48" s="99">
        <f>AL47</f>
        <v/>
      </c>
      <c r="AM48" s="99">
        <f>AM47</f>
        <v/>
      </c>
      <c r="AN48" s="95">
        <f>IFERROR(IF($C48="","",IF($P$15="Cascade",$R48*(1-AM48)*AL48,IF($P$15="Additionnelle",($N48-($N48*($P48+AM48)))*AL48))),"Non Trouvé")</f>
        <v/>
      </c>
      <c r="AQ48" s="99">
        <f>AQ47</f>
        <v/>
      </c>
      <c r="AR48" s="99">
        <f>AR47</f>
        <v/>
      </c>
      <c r="AS48" s="95">
        <f>IFERROR(IF($C48="","",IF($P$15="Cascade",$R48*(1-AR48)*AQ48,IF($P$15="Additionnelle",($N48-($N48*($P48+AR48)))*AQ48))),"Non Trouvé")</f>
        <v/>
      </c>
      <c r="AV48" s="99">
        <f>AV47</f>
        <v/>
      </c>
      <c r="AW48" s="99">
        <f>AW47</f>
        <v/>
      </c>
      <c r="AX48" s="95">
        <f>IFERROR(IF($C48="","",IF($P$15="Cascade",$R48*(1-AW48)*AV48,IF($P$15="Additionnelle",($N48-($N48*($P48+AW48)))*AV48))),"Non Trouvé")</f>
        <v/>
      </c>
      <c r="BA48" s="99">
        <f>BA47</f>
        <v/>
      </c>
      <c r="BB48" s="99">
        <f>BB47</f>
        <v/>
      </c>
      <c r="BC48" s="95">
        <f>IFERROR(IF($C48="","",IF($P$15="Cascade",$R48*(1-BB48)*BA48,IF($P$15="Additionnelle",($N48-($N48*($P48+BB48)))*BA48))),"Non Trouvé")</f>
        <v/>
      </c>
      <c r="BF48" s="99">
        <f>BF47</f>
        <v/>
      </c>
      <c r="BG48" s="99">
        <f>BG47</f>
        <v/>
      </c>
      <c r="BH48" s="95">
        <f>IFERROR(IF($C48="","",IF($P$15="Cascade",$R48*(1-BG48)*BF48,IF($P$15="Additionnelle",($N48-($N48*($P48+BG48)))*BF48))),"Non Trouvé")</f>
        <v/>
      </c>
      <c r="BK48" s="99">
        <f>BK47</f>
        <v/>
      </c>
      <c r="BL48" s="99">
        <f>BL47</f>
        <v/>
      </c>
      <c r="BM48" s="95">
        <f>IFERROR(IF($C48="","",IF($P$15="Cascade",$R48*(1-BL48)*BK48,IF($P$15="Additionnelle",($N48-($N48*($P48+BL48)))*BK48))),"Non Trouvé")</f>
        <v/>
      </c>
      <c r="BP48" s="99">
        <f>BP47</f>
        <v/>
      </c>
      <c r="BQ48" s="99">
        <f>BQ47</f>
        <v/>
      </c>
      <c r="BR48" s="95">
        <f>IFERROR(IF($C48="","",IF($P$15="Cascade",$R48*(1-BQ48)*BP48,IF($P$15="Additionnelle",($N48-($N48*($P48+BQ48)))*BP48))),"Non Trouvé")</f>
        <v/>
      </c>
      <c r="BU48" s="99">
        <f>BU47</f>
        <v/>
      </c>
      <c r="BV48" s="99">
        <f>BV47</f>
        <v/>
      </c>
      <c r="BW48" s="95">
        <f>IFERROR(IF($C48="","",IF($P$15="Cascade",$R48*(1-BV48)*BU48,IF($P$15="Additionnelle",($N48-($N48*($P48+BV48)))*BU48))),"Non Trouvé")</f>
        <v/>
      </c>
      <c r="BZ48" s="99">
        <f>BZ47</f>
        <v/>
      </c>
      <c r="CA48" s="99">
        <f>CA47</f>
        <v/>
      </c>
      <c r="CB48" s="95">
        <f>IFERROR(IF($C48="","",IF($P$15="Cascade",$R48*(1-CA48)*BZ48,IF($P$15="Additionnelle",($N48-($N48*($P48+CA48)))*BZ48))),"Non Trouvé")</f>
        <v/>
      </c>
      <c r="CE48" s="100" t="n"/>
      <c r="CF48" s="101" t="n"/>
      <c r="CG48" s="102" t="n"/>
      <c r="CH48" s="102" t="n"/>
      <c r="CI48" s="103" t="n"/>
      <c r="CK48" s="104">
        <f>IFERROR(IF(F48='[1]Paramètres Généraux'!$K$12,ROUNDUP((REGENERANTS!H48*REGENERANTS!$CF$20)*'[1]Paramètres Généraux'!$M$12,-1),IF(F48='[1]Paramètres Généraux'!$K$15,ROUNDUP((REGENERANTS!H48*REGENERANTS!$CF$20)*'[1]Paramètres Généraux'!$M$15,-1),REGENERANTS!H48*REGENERANTS!$CF$20)),"nd")</f>
        <v/>
      </c>
      <c r="CN48" s="153" t="n"/>
      <c r="CO48" s="154" t="n"/>
      <c r="CP48" s="154" t="n"/>
      <c r="CQ48" s="154" t="n"/>
      <c r="CR48" s="154" t="n"/>
      <c r="CS48" s="151" t="n"/>
      <c r="CT48" s="154" t="n"/>
      <c r="CU48" s="154" t="n"/>
      <c r="CV48" s="155" t="n"/>
      <c r="CW48" s="143" t="n"/>
      <c r="CX48" s="156" t="n"/>
      <c r="CY48" s="157" t="n"/>
      <c r="CZ48" s="143" t="n"/>
      <c r="DA48" s="156" t="n"/>
      <c r="DB48" s="157" t="n"/>
      <c r="DC48" s="143" t="n"/>
      <c r="DD48" s="156" t="n"/>
      <c r="DE48" s="157" t="n"/>
      <c r="DF48" s="143" t="n"/>
      <c r="DG48" s="143" t="n"/>
      <c r="DH48" s="143" t="n"/>
      <c r="DI48" s="143" t="n"/>
      <c r="DJ48" s="143" t="n"/>
      <c r="DK48" s="143" t="n"/>
      <c r="DL48" s="143" t="n"/>
      <c r="DM48" s="143" t="n"/>
      <c r="DN48" s="143" t="n"/>
      <c r="DO48" s="156" t="n"/>
      <c r="DP48" s="157" t="n"/>
      <c r="DQ48" s="20">
        <f>SUM(CN48:DP48)</f>
        <v/>
      </c>
      <c r="DR48" s="20">
        <f>SUM(CV48:DP48)</f>
        <v/>
      </c>
      <c r="DS48" s="20">
        <f>IFERROR((IF(AND($F48="Produit Vente",CO48&gt;0),VLOOKUP($C48,'[1]Paramètres Articles'!$B:$H,7,FALSE)*$CO48)*(1-20%)),0)</f>
        <v/>
      </c>
      <c r="DT48" s="20">
        <f>IFERROR((IF(AND($F48="Produit Vente",DR48&gt;0),VLOOKUP($C48,'[1]Paramètres Articles'!$B:$H,6,FALSE)*$DR48)*(1-15%)),0)</f>
        <v/>
      </c>
      <c r="DU48" s="20">
        <f>IFERROR(DQ48*J48,0)</f>
        <v/>
      </c>
      <c r="DW48" s="134" t="n"/>
      <c r="DX48" s="152" t="n"/>
      <c r="DY48" s="116" t="n"/>
      <c r="EA48" s="124" t="n"/>
      <c r="EB48" s="135" t="n"/>
    </row>
    <row r="49" ht="12.95" customHeight="1">
      <c r="B49" s="1">
        <f>IF(C49="",0,COUNTIFS($B$22:B48,"&gt;"&amp;0)+1)</f>
        <v/>
      </c>
      <c r="C49" s="90" t="n"/>
      <c r="D49" s="91">
        <f>IFERROR(IF($C49="","",VLOOKUP($C49,'[1]Paramètres Articles'!$B:$G,2,FALSE)),"Non Trouvé")</f>
        <v/>
      </c>
      <c r="E49" s="92">
        <f>IFERROR(IF($C49="","",_xlfn.XLOOKUP(REGENERANTS!$C49,'[1]New Base PA'!$F:$F,'[1]New Base PA'!$D:$D,"Not Found",0)),"Non Trouvé")</f>
        <v/>
      </c>
      <c r="F49" s="93" t="n"/>
      <c r="H49" s="106" t="n"/>
      <c r="J49" s="95">
        <f>IFERROR(IF($C49="","",VLOOKUP($C49,'[1]New Base PA'!$F:$J,5,FALSE)),"Non Trouvé")</f>
        <v/>
      </c>
      <c r="K49" s="136">
        <f>IFERROR(IF($C49="","",$J49*$H49),"Non Trouvé")</f>
        <v/>
      </c>
      <c r="L49" s="137" t="n"/>
      <c r="M49" s="136">
        <f>IFERROR(IF(AND($F49="Produit Vente",H49&gt;0),VLOOKUP($C49,'[1]Paramètres Articles'!$B:$G,6,FALSE),0),"Non Trouvé")</f>
        <v/>
      </c>
      <c r="N49" s="136">
        <f>IFERROR(IF($C49="","",$M49*$H49),"Non Trouvé")</f>
        <v/>
      </c>
      <c r="P49" s="97" t="n"/>
      <c r="R49" s="95">
        <f>IFERROR(IF($C49="","",$N49*(1-$P49)),"Non Trouvé")</f>
        <v/>
      </c>
      <c r="S49" s="96" t="n"/>
      <c r="T49" s="95">
        <f>IFERROR(IF($C49="","",VLOOKUP($C49,'[1]Paramètres Articles'!$B:$H,7,FALSE)),"Non Trouvé")</f>
        <v/>
      </c>
      <c r="U49" s="98" t="n"/>
      <c r="V49" s="95">
        <f>IFERROR(IF($C49="","",IF($P49="","",$T49*(1-$P49))),"Non Trouvé")</f>
        <v/>
      </c>
      <c r="W49" s="96" t="n"/>
      <c r="X49" s="95">
        <f>IFERROR(T49-V49,"")</f>
        <v/>
      </c>
      <c r="Y49" s="96" t="n"/>
      <c r="Z49" s="95">
        <f>IFERROR(IF(OR(T49=0,T49=""),0,T49*H49),"Non Trouvé")</f>
        <v/>
      </c>
      <c r="AB49" s="99">
        <f>AB48</f>
        <v/>
      </c>
      <c r="AC49" s="99">
        <f>AC48</f>
        <v/>
      </c>
      <c r="AD49" s="95">
        <f>IFERROR(IF($C49="","",IF($P$15="Cascade",$R49*(1-AC49)*AB49,IF($P$15="Additionnelle",($N49-($N49*($P49+AC49)))*AB49))),"Non Trouvé")</f>
        <v/>
      </c>
      <c r="AG49" s="99">
        <f>AG48</f>
        <v/>
      </c>
      <c r="AH49" s="99">
        <f>AH48</f>
        <v/>
      </c>
      <c r="AI49" s="95">
        <f>IFERROR(IF($C49="","",IF($P$15="Cascade",$R49*(1-AH49)*AG49,IF($P$15="Additionnelle",($N49-($N49*($P49+AH49)))*AG49))),"Non Trouvé")</f>
        <v/>
      </c>
      <c r="AL49" s="99">
        <f>AL48</f>
        <v/>
      </c>
      <c r="AM49" s="99">
        <f>AM48</f>
        <v/>
      </c>
      <c r="AN49" s="95">
        <f>IFERROR(IF($C49="","",IF($P$15="Cascade",$R49*(1-AM49)*AL49,IF($P$15="Additionnelle",($N49-($N49*($P49+AM49)))*AL49))),"Non Trouvé")</f>
        <v/>
      </c>
      <c r="AQ49" s="99">
        <f>AQ48</f>
        <v/>
      </c>
      <c r="AR49" s="99">
        <f>AR48</f>
        <v/>
      </c>
      <c r="AS49" s="95">
        <f>IFERROR(IF($C49="","",IF($P$15="Cascade",$R49*(1-AR49)*AQ49,IF($P$15="Additionnelle",($N49-($N49*($P49+AR49)))*AQ49))),"Non Trouvé")</f>
        <v/>
      </c>
      <c r="AV49" s="99">
        <f>AV48</f>
        <v/>
      </c>
      <c r="AW49" s="99">
        <f>AW48</f>
        <v/>
      </c>
      <c r="AX49" s="95">
        <f>IFERROR(IF($C49="","",IF($P$15="Cascade",$R49*(1-AW49)*AV49,IF($P$15="Additionnelle",($N49-($N49*($P49+AW49)))*AV49))),"Non Trouvé")</f>
        <v/>
      </c>
      <c r="BA49" s="99">
        <f>BA48</f>
        <v/>
      </c>
      <c r="BB49" s="99">
        <f>BB48</f>
        <v/>
      </c>
      <c r="BC49" s="95">
        <f>IFERROR(IF($C49="","",IF($P$15="Cascade",$R49*(1-BB49)*BA49,IF($P$15="Additionnelle",($N49-($N49*($P49+BB49)))*BA49))),"Non Trouvé")</f>
        <v/>
      </c>
      <c r="BF49" s="99">
        <f>BF48</f>
        <v/>
      </c>
      <c r="BG49" s="99">
        <f>BG48</f>
        <v/>
      </c>
      <c r="BH49" s="95">
        <f>IFERROR(IF($C49="","",IF($P$15="Cascade",$R49*(1-BG49)*BF49,IF($P$15="Additionnelle",($N49-($N49*($P49+BG49)))*BF49))),"Non Trouvé")</f>
        <v/>
      </c>
      <c r="BK49" s="99">
        <f>BK48</f>
        <v/>
      </c>
      <c r="BL49" s="99">
        <f>BL48</f>
        <v/>
      </c>
      <c r="BM49" s="95">
        <f>IFERROR(IF($C49="","",IF($P$15="Cascade",$R49*(1-BL49)*BK49,IF($P$15="Additionnelle",($N49-($N49*($P49+BL49)))*BK49))),"Non Trouvé")</f>
        <v/>
      </c>
      <c r="BP49" s="99">
        <f>BP48</f>
        <v/>
      </c>
      <c r="BQ49" s="99">
        <f>BQ48</f>
        <v/>
      </c>
      <c r="BR49" s="95">
        <f>IFERROR(IF($C49="","",IF($P$15="Cascade",$R49*(1-BQ49)*BP49,IF($P$15="Additionnelle",($N49-($N49*($P49+BQ49)))*BP49))),"Non Trouvé")</f>
        <v/>
      </c>
      <c r="BU49" s="99">
        <f>BU48</f>
        <v/>
      </c>
      <c r="BV49" s="99">
        <f>BV48</f>
        <v/>
      </c>
      <c r="BW49" s="95">
        <f>IFERROR(IF($C49="","",IF($P$15="Cascade",$R49*(1-BV49)*BU49,IF($P$15="Additionnelle",($N49-($N49*($P49+BV49)))*BU49))),"Non Trouvé")</f>
        <v/>
      </c>
      <c r="BZ49" s="99">
        <f>BZ48</f>
        <v/>
      </c>
      <c r="CA49" s="99">
        <f>CA48</f>
        <v/>
      </c>
      <c r="CB49" s="95">
        <f>IFERROR(IF($C49="","",IF($P$15="Cascade",$R49*(1-CA49)*BZ49,IF($P$15="Additionnelle",($N49-($N49*($P49+CA49)))*BZ49))),"Non Trouvé")</f>
        <v/>
      </c>
      <c r="CE49" s="100" t="n"/>
      <c r="CF49" s="101" t="n"/>
      <c r="CG49" s="102" t="n"/>
      <c r="CH49" s="102" t="n"/>
      <c r="CI49" s="103" t="n"/>
      <c r="CK49" s="104">
        <f>IFERROR(IF(F49='[1]Paramètres Généraux'!$K$12,ROUNDUP((REGENERANTS!H49*REGENERANTS!$CF$20)*'[1]Paramètres Généraux'!$M$12,-1),IF(F49='[1]Paramètres Généraux'!$K$15,ROUNDUP((REGENERANTS!H49*REGENERANTS!$CF$20)*'[1]Paramètres Généraux'!$M$15,-1),REGENERANTS!H49*REGENERANTS!$CF$20)),"nd")</f>
        <v/>
      </c>
      <c r="CN49" s="153" t="n"/>
      <c r="CO49" s="154" t="n"/>
      <c r="CP49" s="154" t="n"/>
      <c r="CQ49" s="154" t="n"/>
      <c r="CR49" s="154" t="n"/>
      <c r="CS49" s="151" t="n"/>
      <c r="CT49" s="154" t="n"/>
      <c r="CU49" s="154" t="n"/>
      <c r="CV49" s="155" t="n"/>
      <c r="CW49" s="143" t="n"/>
      <c r="CX49" s="156" t="n"/>
      <c r="CY49" s="157" t="n"/>
      <c r="CZ49" s="143" t="n"/>
      <c r="DA49" s="156" t="n"/>
      <c r="DB49" s="157" t="n"/>
      <c r="DC49" s="143" t="n"/>
      <c r="DD49" s="156" t="n"/>
      <c r="DE49" s="157" t="n"/>
      <c r="DF49" s="143" t="n"/>
      <c r="DG49" s="143" t="n"/>
      <c r="DH49" s="143" t="n"/>
      <c r="DI49" s="143" t="n"/>
      <c r="DJ49" s="143" t="n"/>
      <c r="DK49" s="143" t="n"/>
      <c r="DL49" s="143" t="n"/>
      <c r="DM49" s="143" t="n"/>
      <c r="DN49" s="143" t="n"/>
      <c r="DO49" s="156" t="n"/>
      <c r="DP49" s="157" t="n"/>
      <c r="DQ49" s="20">
        <f>SUM(CN49:DP49)</f>
        <v/>
      </c>
      <c r="DR49" s="20">
        <f>SUM(CV49:DP49)</f>
        <v/>
      </c>
      <c r="DS49" s="20">
        <f>IFERROR((IF(AND($F49="Produit Vente",CO49&gt;0),VLOOKUP($C49,'[1]Paramètres Articles'!$B:$H,7,FALSE)*$CO49)*(1-20%)),0)</f>
        <v/>
      </c>
      <c r="DT49" s="20">
        <f>IFERROR((IF(AND($F49="Produit Vente",DR49&gt;0),VLOOKUP($C49,'[1]Paramètres Articles'!$B:$H,6,FALSE)*$DR49)*(1-15%)),0)</f>
        <v/>
      </c>
      <c r="DU49" s="20">
        <f>IFERROR(DQ49*J49,0)</f>
        <v/>
      </c>
      <c r="DW49" s="134" t="n"/>
      <c r="DX49" s="152" t="n"/>
      <c r="DY49" s="116" t="n"/>
      <c r="EB49" s="135" t="n"/>
    </row>
    <row r="50" ht="12.95" customHeight="1">
      <c r="B50" s="1">
        <f>IF(C50="",0,COUNTIFS($B$22:B49,"&gt;"&amp;0)+1)</f>
        <v/>
      </c>
      <c r="C50" s="90" t="n"/>
      <c r="D50" s="91">
        <f>IFERROR(IF($C50="","",VLOOKUP($C50,'[1]Paramètres Articles'!$B:$G,2,FALSE)),"Non Trouvé")</f>
        <v/>
      </c>
      <c r="E50" s="92">
        <f>IFERROR(IF($C50="","",_xlfn.XLOOKUP(REGENERANTS!$C50,'[1]New Base PA'!$F:$F,'[1]New Base PA'!$D:$D,"Not Found",0)),"Non Trouvé")</f>
        <v/>
      </c>
      <c r="F50" s="93" t="n"/>
      <c r="H50" s="106" t="n"/>
      <c r="J50" s="95">
        <f>IFERROR(IF($C50="","",VLOOKUP($C50,'[1]New Base PA'!$F:$J,5,FALSE)),"Non Trouvé")</f>
        <v/>
      </c>
      <c r="K50" s="136">
        <f>IFERROR(IF($C50="","",$J50*$H50),"Non Trouvé")</f>
        <v/>
      </c>
      <c r="L50" s="137" t="n"/>
      <c r="M50" s="136">
        <f>IFERROR(IF(AND($F50="Produit Vente",H50&gt;0),VLOOKUP($C50,'[1]Paramètres Articles'!$B:$G,6,FALSE),0),"Non Trouvé")</f>
        <v/>
      </c>
      <c r="N50" s="136">
        <f>IFERROR(IF($C50="","",$M50*$H50),"Non Trouvé")</f>
        <v/>
      </c>
      <c r="P50" s="97" t="n"/>
      <c r="R50" s="95">
        <f>IFERROR(IF($C50="","",$N50*(1-$P50)),"Non Trouvé")</f>
        <v/>
      </c>
      <c r="S50" s="96" t="n"/>
      <c r="T50" s="95">
        <f>IFERROR(IF($C50="","",VLOOKUP($C50,'[1]Paramètres Articles'!$B:$H,7,FALSE)),"Non Trouvé")</f>
        <v/>
      </c>
      <c r="U50" s="98" t="n"/>
      <c r="V50" s="95">
        <f>IFERROR(IF($C50="","",IF($P50="","",$T50*(1-$P50))),"Non Trouvé")</f>
        <v/>
      </c>
      <c r="W50" s="96" t="n"/>
      <c r="X50" s="95">
        <f>IFERROR(T50-V50,"")</f>
        <v/>
      </c>
      <c r="Y50" s="96" t="n"/>
      <c r="Z50" s="95">
        <f>IFERROR(IF(OR(T50=0,T50=""),0,T50*H50),"Non Trouvé")</f>
        <v/>
      </c>
      <c r="AB50" s="99">
        <f>AB49</f>
        <v/>
      </c>
      <c r="AC50" s="99">
        <f>AC49</f>
        <v/>
      </c>
      <c r="AD50" s="95">
        <f>IFERROR(IF($C50="","",IF($P$15="Cascade",$R50*(1-AC50)*AB50,IF($P$15="Additionnelle",($N50-($N50*($P50+AC50)))*AB50))),"Non Trouvé")</f>
        <v/>
      </c>
      <c r="AG50" s="99">
        <f>AG49</f>
        <v/>
      </c>
      <c r="AH50" s="99">
        <f>AH49</f>
        <v/>
      </c>
      <c r="AI50" s="95">
        <f>IFERROR(IF($C50="","",IF($P$15="Cascade",$R50*(1-AH50)*AG50,IF($P$15="Additionnelle",($N50-($N50*($P50+AH50)))*AG50))),"Non Trouvé")</f>
        <v/>
      </c>
      <c r="AL50" s="99">
        <f>AL49</f>
        <v/>
      </c>
      <c r="AM50" s="99">
        <f>AM49</f>
        <v/>
      </c>
      <c r="AN50" s="95">
        <f>IFERROR(IF($C50="","",IF($P$15="Cascade",$R50*(1-AM50)*AL50,IF($P$15="Additionnelle",($N50-($N50*($P50+AM50)))*AL50))),"Non Trouvé")</f>
        <v/>
      </c>
      <c r="AQ50" s="99">
        <f>AQ49</f>
        <v/>
      </c>
      <c r="AR50" s="99">
        <f>AR49</f>
        <v/>
      </c>
      <c r="AS50" s="95">
        <f>IFERROR(IF($C50="","",IF($P$15="Cascade",$R50*(1-AR50)*AQ50,IF($P$15="Additionnelle",($N50-($N50*($P50+AR50)))*AQ50))),"Non Trouvé")</f>
        <v/>
      </c>
      <c r="AV50" s="99">
        <f>AV49</f>
        <v/>
      </c>
      <c r="AW50" s="99">
        <f>AW49</f>
        <v/>
      </c>
      <c r="AX50" s="95">
        <f>IFERROR(IF($C50="","",IF($P$15="Cascade",$R50*(1-AW50)*AV50,IF($P$15="Additionnelle",($N50-($N50*($P50+AW50)))*AV50))),"Non Trouvé")</f>
        <v/>
      </c>
      <c r="BA50" s="99">
        <f>BA49</f>
        <v/>
      </c>
      <c r="BB50" s="99">
        <f>BB49</f>
        <v/>
      </c>
      <c r="BC50" s="95">
        <f>IFERROR(IF($C50="","",IF($P$15="Cascade",$R50*(1-BB50)*BA50,IF($P$15="Additionnelle",($N50-($N50*($P50+BB50)))*BA50))),"Non Trouvé")</f>
        <v/>
      </c>
      <c r="BF50" s="99">
        <f>BF49</f>
        <v/>
      </c>
      <c r="BG50" s="99">
        <f>BG49</f>
        <v/>
      </c>
      <c r="BH50" s="95">
        <f>IFERROR(IF($C50="","",IF($P$15="Cascade",$R50*(1-BG50)*BF50,IF($P$15="Additionnelle",($N50-($N50*($P50+BG50)))*BF50))),"Non Trouvé")</f>
        <v/>
      </c>
      <c r="BK50" s="99">
        <f>BK49</f>
        <v/>
      </c>
      <c r="BL50" s="99">
        <f>BL49</f>
        <v/>
      </c>
      <c r="BM50" s="95">
        <f>IFERROR(IF($C50="","",IF($P$15="Cascade",$R50*(1-BL50)*BK50,IF($P$15="Additionnelle",($N50-($N50*($P50+BL50)))*BK50))),"Non Trouvé")</f>
        <v/>
      </c>
      <c r="BP50" s="99">
        <f>BP49</f>
        <v/>
      </c>
      <c r="BQ50" s="99">
        <f>BQ49</f>
        <v/>
      </c>
      <c r="BR50" s="95">
        <f>IFERROR(IF($C50="","",IF($P$15="Cascade",$R50*(1-BQ50)*BP50,IF($P$15="Additionnelle",($N50-($N50*($P50+BQ50)))*BP50))),"Non Trouvé")</f>
        <v/>
      </c>
      <c r="BU50" s="99">
        <f>BU49</f>
        <v/>
      </c>
      <c r="BV50" s="99">
        <f>BV49</f>
        <v/>
      </c>
      <c r="BW50" s="95">
        <f>IFERROR(IF($C50="","",IF($P$15="Cascade",$R50*(1-BV50)*BU50,IF($P$15="Additionnelle",($N50-($N50*($P50+BV50)))*BU50))),"Non Trouvé")</f>
        <v/>
      </c>
      <c r="BZ50" s="99">
        <f>BZ49</f>
        <v/>
      </c>
      <c r="CA50" s="99">
        <f>CA49</f>
        <v/>
      </c>
      <c r="CB50" s="95">
        <f>IFERROR(IF($C50="","",IF($P$15="Cascade",$R50*(1-CA50)*BZ50,IF($P$15="Additionnelle",($N50-($N50*($P50+CA50)))*BZ50))),"Non Trouvé")</f>
        <v/>
      </c>
      <c r="CE50" s="100" t="n"/>
      <c r="CF50" s="101" t="n"/>
      <c r="CG50" s="102" t="n"/>
      <c r="CH50" s="102" t="n"/>
      <c r="CI50" s="103" t="n"/>
      <c r="CK50" s="104">
        <f>IFERROR(IF(F50='[1]Paramètres Généraux'!$K$12,ROUNDUP((REGENERANTS!H50*REGENERANTS!$CF$20)*'[1]Paramètres Généraux'!$M$12,-1),IF(F50='[1]Paramètres Généraux'!$K$15,ROUNDUP((REGENERANTS!H50*REGENERANTS!$CF$20)*'[1]Paramètres Généraux'!$M$15,-1),REGENERANTS!H50*REGENERANTS!$CF$20)),"nd")</f>
        <v/>
      </c>
      <c r="CN50" s="153" t="n"/>
      <c r="CO50" s="154" t="n"/>
      <c r="CP50" s="154" t="n"/>
      <c r="CQ50" s="154" t="n"/>
      <c r="CR50" s="154" t="n"/>
      <c r="CS50" s="151" t="n"/>
      <c r="CT50" s="154" t="n"/>
      <c r="CU50" s="154" t="n"/>
      <c r="CV50" s="155" t="n"/>
      <c r="CW50" s="143" t="n"/>
      <c r="CX50" s="156" t="n"/>
      <c r="CY50" s="157" t="n"/>
      <c r="CZ50" s="143" t="n"/>
      <c r="DA50" s="156" t="n"/>
      <c r="DB50" s="157" t="n"/>
      <c r="DC50" s="143" t="n"/>
      <c r="DD50" s="156" t="n"/>
      <c r="DE50" s="157" t="n"/>
      <c r="DF50" s="143" t="n"/>
      <c r="DG50" s="143" t="n"/>
      <c r="DH50" s="143" t="n"/>
      <c r="DI50" s="143" t="n"/>
      <c r="DJ50" s="143" t="n"/>
      <c r="DK50" s="143" t="n"/>
      <c r="DL50" s="143" t="n"/>
      <c r="DM50" s="143" t="n"/>
      <c r="DN50" s="143" t="n"/>
      <c r="DO50" s="156" t="n"/>
      <c r="DP50" s="157" t="n"/>
      <c r="DQ50" s="20">
        <f>SUM(CN50:DP50)</f>
        <v/>
      </c>
      <c r="DR50" s="20">
        <f>SUM(CV50:DP50)</f>
        <v/>
      </c>
      <c r="DS50" s="20">
        <f>IFERROR((IF(AND($F50="Produit Vente",CO50&gt;0),VLOOKUP($C50,'[1]Paramètres Articles'!$B:$H,7,FALSE)*$CO50)*(1-20%)),0)</f>
        <v/>
      </c>
      <c r="DT50" s="20">
        <f>IFERROR((IF(AND($F50="Produit Vente",DR50&gt;0),VLOOKUP($C50,'[1]Paramètres Articles'!$B:$H,6,FALSE)*$DR50)*(1-15%)),0)</f>
        <v/>
      </c>
      <c r="DU50" s="20">
        <f>IFERROR(DQ50*J50,0)</f>
        <v/>
      </c>
      <c r="DW50" s="134" t="n"/>
      <c r="DX50" s="117" t="n"/>
      <c r="EB50" s="135" t="n"/>
    </row>
    <row r="51" outlineLevel="1" collapsed="1" ht="12.95" customHeight="1">
      <c r="B51" s="1">
        <f>IF(C51="",0,COUNTIFS($B$22:B50,"&gt;"&amp;0)+1)</f>
        <v/>
      </c>
      <c r="C51" s="90" t="n"/>
      <c r="D51" s="91">
        <f>IFERROR(IF($C51="","",VLOOKUP($C51,'[1]Paramètres Articles'!$B:$G,2,FALSE)),"Non Trouvé")</f>
        <v/>
      </c>
      <c r="E51" s="92">
        <f>IFERROR(IF($C51="","",_xlfn.XLOOKUP(REGENERANTS!$C51,'[1]New Base PA'!$F:$F,'[1]New Base PA'!$D:$D,"Not Found",0)),"Non Trouvé")</f>
        <v/>
      </c>
      <c r="F51" s="93" t="n"/>
      <c r="H51" s="106" t="n"/>
      <c r="J51" s="95">
        <f>IFERROR(IF($C51="","",VLOOKUP($C51,'[1]New Base PA'!$F:$J,5,FALSE)),"Non Trouvé")</f>
        <v/>
      </c>
      <c r="K51" s="136">
        <f>IFERROR(IF($C51="","",$J51*$H51),"Non Trouvé")</f>
        <v/>
      </c>
      <c r="L51" s="137" t="n"/>
      <c r="M51" s="136">
        <f>IFERROR(IF(AND($F51="Produit Vente",H51&gt;0),VLOOKUP($C51,'[1]Paramètres Articles'!$B:$G,6,FALSE),0),"Non Trouvé")</f>
        <v/>
      </c>
      <c r="N51" s="136">
        <f>IFERROR(IF($C51="","",$M51*$H51),"Non Trouvé")</f>
        <v/>
      </c>
      <c r="P51" s="97" t="n"/>
      <c r="R51" s="95">
        <f>IFERROR(IF($C51="","",$N51*(1-$P51)),"Non Trouvé")</f>
        <v/>
      </c>
      <c r="S51" s="96" t="n"/>
      <c r="T51" s="95">
        <f>IFERROR(IF($C51="","",VLOOKUP($C51,'[1]Paramètres Articles'!$B:$H,7,FALSE)),"Non Trouvé")</f>
        <v/>
      </c>
      <c r="U51" s="98" t="n"/>
      <c r="V51" s="95">
        <f>IFERROR(IF($C51="","",IF($P51="","",$T51*(1-$P51))),"Non Trouvé")</f>
        <v/>
      </c>
      <c r="W51" s="96" t="n"/>
      <c r="X51" s="95">
        <f>IFERROR(T51-V51,"")</f>
        <v/>
      </c>
      <c r="Y51" s="96" t="n"/>
      <c r="Z51" s="95">
        <f>IFERROR(IF(OR(T51=0,T51=""),0,T51*H51),"Non Trouvé")</f>
        <v/>
      </c>
      <c r="AB51" s="99">
        <f>AB50</f>
        <v/>
      </c>
      <c r="AC51" s="99">
        <f>AC50</f>
        <v/>
      </c>
      <c r="AD51" s="95">
        <f>IFERROR(IF($C51="","",IF($P$15="Cascade",$R51*(1-AC51)*AB51,IF($P$15="Additionnelle",($N51-($N51*($P51+AC51)))*AB51))),"Non Trouvé")</f>
        <v/>
      </c>
      <c r="AG51" s="99">
        <f>AG50</f>
        <v/>
      </c>
      <c r="AH51" s="99">
        <f>AH50</f>
        <v/>
      </c>
      <c r="AI51" s="95">
        <f>IFERROR(IF($C51="","",IF($P$15="Cascade",$R51*(1-AH51)*AG51,IF($P$15="Additionnelle",($N51-($N51*($P51+AH51)))*AG51))),"Non Trouvé")</f>
        <v/>
      </c>
      <c r="AL51" s="99">
        <f>AL50</f>
        <v/>
      </c>
      <c r="AM51" s="99">
        <f>AM50</f>
        <v/>
      </c>
      <c r="AN51" s="95">
        <f>IFERROR(IF($C51="","",IF($P$15="Cascade",$R51*(1-AM51)*AL51,IF($P$15="Additionnelle",($N51-($N51*($P51+AM51)))*AL51))),"Non Trouvé")</f>
        <v/>
      </c>
      <c r="AQ51" s="99">
        <f>AQ50</f>
        <v/>
      </c>
      <c r="AR51" s="99">
        <f>AR50</f>
        <v/>
      </c>
      <c r="AS51" s="95">
        <f>IFERROR(IF($C51="","",IF($P$15="Cascade",$R51*(1-AR51)*AQ51,IF($P$15="Additionnelle",($N51-($N51*($P51+AR51)))*AQ51))),"Non Trouvé")</f>
        <v/>
      </c>
      <c r="AV51" s="99">
        <f>AV50</f>
        <v/>
      </c>
      <c r="AW51" s="99">
        <f>AW50</f>
        <v/>
      </c>
      <c r="AX51" s="95">
        <f>IFERROR(IF($C51="","",IF($P$15="Cascade",$R51*(1-AW51)*AV51,IF($P$15="Additionnelle",($N51-($N51*($P51+AW51)))*AV51))),"Non Trouvé")</f>
        <v/>
      </c>
      <c r="BA51" s="99">
        <f>BA50</f>
        <v/>
      </c>
      <c r="BB51" s="99">
        <f>BB50</f>
        <v/>
      </c>
      <c r="BC51" s="95">
        <f>IFERROR(IF($C51="","",IF($P$15="Cascade",$R51*(1-BB51)*BA51,IF($P$15="Additionnelle",($N51-($N51*($P51+BB51)))*BA51))),"Non Trouvé")</f>
        <v/>
      </c>
      <c r="BF51" s="99">
        <f>BF50</f>
        <v/>
      </c>
      <c r="BG51" s="99">
        <f>BG50</f>
        <v/>
      </c>
      <c r="BH51" s="95">
        <f>IFERROR(IF($C51="","",IF($P$15="Cascade",$R51*(1-BG51)*BF51,IF($P$15="Additionnelle",($N51-($N51*($P51+BG51)))*BF51))),"Non Trouvé")</f>
        <v/>
      </c>
      <c r="BK51" s="99">
        <f>BK50</f>
        <v/>
      </c>
      <c r="BL51" s="99">
        <f>BL50</f>
        <v/>
      </c>
      <c r="BM51" s="95">
        <f>IFERROR(IF($C51="","",IF($P$15="Cascade",$R51*(1-BL51)*BK51,IF($P$15="Additionnelle",($N51-($N51*($P51+BL51)))*BK51))),"Non Trouvé")</f>
        <v/>
      </c>
      <c r="BP51" s="99">
        <f>BP50</f>
        <v/>
      </c>
      <c r="BQ51" s="99">
        <f>BQ50</f>
        <v/>
      </c>
      <c r="BR51" s="95">
        <f>IFERROR(IF($C51="","",IF($P$15="Cascade",$R51*(1-BQ51)*BP51,IF($P$15="Additionnelle",($N51-($N51*($P51+BQ51)))*BP51))),"Non Trouvé")</f>
        <v/>
      </c>
      <c r="BU51" s="99">
        <f>BU50</f>
        <v/>
      </c>
      <c r="BV51" s="99">
        <f>BV50</f>
        <v/>
      </c>
      <c r="BW51" s="95">
        <f>IFERROR(IF($C51="","",IF($P$15="Cascade",$R51*(1-BV51)*BU51,IF($P$15="Additionnelle",($N51-($N51*($P51+BV51)))*BU51))),"Non Trouvé")</f>
        <v/>
      </c>
      <c r="BZ51" s="99">
        <f>BZ50</f>
        <v/>
      </c>
      <c r="CA51" s="99">
        <f>CA50</f>
        <v/>
      </c>
      <c r="CB51" s="95">
        <f>IFERROR(IF($C51="","",IF($P$15="Cascade",$R51*(1-CA51)*BZ51,IF($P$15="Additionnelle",($N51-($N51*($P51+CA51)))*BZ51))),"Non Trouvé")</f>
        <v/>
      </c>
      <c r="CE51" s="100" t="n"/>
      <c r="CF51" s="101" t="n"/>
      <c r="CG51" s="102" t="n"/>
      <c r="CH51" s="102" t="n"/>
      <c r="CI51" s="103" t="n"/>
      <c r="CK51" s="104">
        <f>IFERROR(IF(F51='[1]Paramètres Généraux'!$K$12,ROUNDUP((REGENERANTS!H51*REGENERANTS!$CF$20)*'[1]Paramètres Généraux'!$M$12,-1),IF(F51='[1]Paramètres Généraux'!$K$15,ROUNDUP((REGENERANTS!H51*REGENERANTS!$CF$20)*'[1]Paramètres Généraux'!$M$15,-1),REGENERANTS!H51*REGENERANTS!$CF$20)),"nd")</f>
        <v/>
      </c>
      <c r="CN51" s="153" t="n"/>
      <c r="CO51" s="154" t="n"/>
      <c r="CP51" s="154" t="n"/>
      <c r="CQ51" s="154" t="n"/>
      <c r="CR51" s="154" t="n"/>
      <c r="CS51" s="151" t="n"/>
      <c r="CT51" s="154" t="n"/>
      <c r="CU51" s="154" t="n"/>
      <c r="CV51" s="155" t="n"/>
      <c r="CW51" s="143" t="n"/>
      <c r="CX51" s="156" t="n"/>
      <c r="CY51" s="157" t="n"/>
      <c r="CZ51" s="143" t="n"/>
      <c r="DA51" s="156" t="n"/>
      <c r="DB51" s="157" t="n"/>
      <c r="DC51" s="143" t="n"/>
      <c r="DD51" s="156" t="n"/>
      <c r="DE51" s="157" t="n"/>
      <c r="DF51" s="143" t="n"/>
      <c r="DG51" s="143" t="n"/>
      <c r="DH51" s="143" t="n"/>
      <c r="DI51" s="143" t="n"/>
      <c r="DJ51" s="143" t="n"/>
      <c r="DK51" s="143" t="n"/>
      <c r="DL51" s="143" t="n"/>
      <c r="DM51" s="143" t="n"/>
      <c r="DN51" s="143" t="n"/>
      <c r="DO51" s="156" t="n"/>
      <c r="DP51" s="157" t="n"/>
      <c r="DQ51" s="20">
        <f>SUM(CN51:DP51)</f>
        <v/>
      </c>
      <c r="DR51" s="20">
        <f>SUM(CV51:DP51)</f>
        <v/>
      </c>
      <c r="DS51" s="20">
        <f>IFERROR((IF(AND($F51="Produit Vente",CO51&gt;0),VLOOKUP($C51,'[1]Paramètres Articles'!$B:$H,7,FALSE)*$CO51)*(1-20%)),0)</f>
        <v/>
      </c>
      <c r="DT51" s="20">
        <f>IFERROR((IF(AND($F51="Produit Vente",DR51&gt;0),VLOOKUP($C51,'[1]Paramètres Articles'!$B:$H,6,FALSE)*$DR51)*(1-15%)),0)</f>
        <v/>
      </c>
      <c r="DU51" s="20">
        <f>IFERROR(DQ51*J51,0)</f>
        <v/>
      </c>
      <c r="DW51" s="158" t="n"/>
      <c r="DX51" s="159" t="n"/>
      <c r="DY51" s="160" t="n"/>
      <c r="DZ51" s="160" t="n"/>
      <c r="EA51" s="160" t="n"/>
      <c r="EB51" s="161" t="n"/>
    </row>
    <row r="52" outlineLevel="1" collapsed="1" ht="12.95" customHeight="1">
      <c r="B52" s="1">
        <f>IF(C52="",0,COUNTIFS($B$22:B51,"&gt;"&amp;0)+1)</f>
        <v/>
      </c>
      <c r="C52" s="90" t="n"/>
      <c r="D52" s="91">
        <f>IFERROR(IF($C52="","",VLOOKUP($C52,'[1]Paramètres Articles'!$B:$G,2,FALSE)),"Non Trouvé")</f>
        <v/>
      </c>
      <c r="E52" s="92">
        <f>IFERROR(IF($C52="","",_xlfn.XLOOKUP(REGENERANTS!$C52,'[1]New Base PA'!$F:$F,'[1]New Base PA'!$D:$D,"Not Found",0)),"Non Trouvé")</f>
        <v/>
      </c>
      <c r="F52" s="93" t="n"/>
      <c r="H52" s="106" t="n"/>
      <c r="J52" s="95">
        <f>IFERROR(IF($C52="","",VLOOKUP($C52,'[1]New Base PA'!$F:$J,5,FALSE)),"Non Trouvé")</f>
        <v/>
      </c>
      <c r="K52" s="136">
        <f>IFERROR(IF($C52="","",$J52*$H52),"Non Trouvé")</f>
        <v/>
      </c>
      <c r="L52" s="137" t="n"/>
      <c r="M52" s="136">
        <f>IFERROR(IF(AND($F52="Produit Vente",H52&gt;0),VLOOKUP($C52,'[1]Paramètres Articles'!$B:$G,6,FALSE),0),"Non Trouvé")</f>
        <v/>
      </c>
      <c r="N52" s="136">
        <f>IFERROR(IF($C52="","",$M52*$H52),"Non Trouvé")</f>
        <v/>
      </c>
      <c r="P52" s="97" t="n"/>
      <c r="R52" s="95">
        <f>IFERROR(IF($C52="","",$N52*(1-$P52)),"Non Trouvé")</f>
        <v/>
      </c>
      <c r="S52" s="96" t="n"/>
      <c r="T52" s="95">
        <f>IFERROR(IF($C52="","",VLOOKUP($C52,'[1]Paramètres Articles'!$B:$H,7,FALSE)),"Non Trouvé")</f>
        <v/>
      </c>
      <c r="U52" s="98" t="n"/>
      <c r="V52" s="95">
        <f>IFERROR(IF($C52="","",IF($P52="","",$T52*(1-$P52))),"Non Trouvé")</f>
        <v/>
      </c>
      <c r="W52" s="96" t="n"/>
      <c r="X52" s="95">
        <f>IFERROR(T52-V52,"")</f>
        <v/>
      </c>
      <c r="Y52" s="96" t="n"/>
      <c r="Z52" s="95">
        <f>IFERROR(IF(OR(T52=0,T52=""),0,T52*H52),"Non Trouvé")</f>
        <v/>
      </c>
      <c r="AB52" s="99">
        <f>AB51</f>
        <v/>
      </c>
      <c r="AC52" s="99">
        <f>AC51</f>
        <v/>
      </c>
      <c r="AD52" s="95">
        <f>IFERROR(IF($C52="","",IF($P$15="Cascade",$R52*(1-AC52)*AB52,IF($P$15="Additionnelle",($N52-($N52*($P52+AC52)))*AB52))),"Non Trouvé")</f>
        <v/>
      </c>
      <c r="AG52" s="99">
        <f>AG51</f>
        <v/>
      </c>
      <c r="AH52" s="99">
        <f>AH51</f>
        <v/>
      </c>
      <c r="AI52" s="95">
        <f>IFERROR(IF($C52="","",IF($P$15="Cascade",$R52*(1-AH52)*AG52,IF($P$15="Additionnelle",($N52-($N52*($P52+AH52)))*AG52))),"Non Trouvé")</f>
        <v/>
      </c>
      <c r="AL52" s="99">
        <f>AL51</f>
        <v/>
      </c>
      <c r="AM52" s="99">
        <f>AM51</f>
        <v/>
      </c>
      <c r="AN52" s="95">
        <f>IFERROR(IF($C52="","",IF($P$15="Cascade",$R52*(1-AM52)*AL52,IF($P$15="Additionnelle",($N52-($N52*($P52+AM52)))*AL52))),"Non Trouvé")</f>
        <v/>
      </c>
      <c r="AQ52" s="99">
        <f>AQ51</f>
        <v/>
      </c>
      <c r="AR52" s="99">
        <f>AR51</f>
        <v/>
      </c>
      <c r="AS52" s="95">
        <f>IFERROR(IF($C52="","",IF($P$15="Cascade",$R52*(1-AR52)*AQ52,IF($P$15="Additionnelle",($N52-($N52*($P52+AR52)))*AQ52))),"Non Trouvé")</f>
        <v/>
      </c>
      <c r="AV52" s="99">
        <f>AV51</f>
        <v/>
      </c>
      <c r="AW52" s="99">
        <f>AW51</f>
        <v/>
      </c>
      <c r="AX52" s="95">
        <f>IFERROR(IF($C52="","",IF($P$15="Cascade",$R52*(1-AW52)*AV52,IF($P$15="Additionnelle",($N52-($N52*($P52+AW52)))*AV52))),"Non Trouvé")</f>
        <v/>
      </c>
      <c r="BA52" s="99">
        <f>BA51</f>
        <v/>
      </c>
      <c r="BB52" s="99">
        <f>BB51</f>
        <v/>
      </c>
      <c r="BC52" s="95">
        <f>IFERROR(IF($C52="","",IF($P$15="Cascade",$R52*(1-BB52)*BA52,IF($P$15="Additionnelle",($N52-($N52*($P52+BB52)))*BA52))),"Non Trouvé")</f>
        <v/>
      </c>
      <c r="BF52" s="99">
        <f>BF51</f>
        <v/>
      </c>
      <c r="BG52" s="99">
        <f>BG51</f>
        <v/>
      </c>
      <c r="BH52" s="95">
        <f>IFERROR(IF($C52="","",IF($P$15="Cascade",$R52*(1-BG52)*BF52,IF($P$15="Additionnelle",($N52-($N52*($P52+BG52)))*BF52))),"Non Trouvé")</f>
        <v/>
      </c>
      <c r="BK52" s="99">
        <f>BK51</f>
        <v/>
      </c>
      <c r="BL52" s="99">
        <f>BL51</f>
        <v/>
      </c>
      <c r="BM52" s="95">
        <f>IFERROR(IF($C52="","",IF($P$15="Cascade",$R52*(1-BL52)*BK52,IF($P$15="Additionnelle",($N52-($N52*($P52+BL52)))*BK52))),"Non Trouvé")</f>
        <v/>
      </c>
      <c r="BP52" s="99">
        <f>BP51</f>
        <v/>
      </c>
      <c r="BQ52" s="99">
        <f>BQ51</f>
        <v/>
      </c>
      <c r="BR52" s="95">
        <f>IFERROR(IF($C52="","",IF($P$15="Cascade",$R52*(1-BQ52)*BP52,IF($P$15="Additionnelle",($N52-($N52*($P52+BQ52)))*BP52))),"Non Trouvé")</f>
        <v/>
      </c>
      <c r="BU52" s="99">
        <f>BU51</f>
        <v/>
      </c>
      <c r="BV52" s="99">
        <f>BV51</f>
        <v/>
      </c>
      <c r="BW52" s="95">
        <f>IFERROR(IF($C52="","",IF($P$15="Cascade",$R52*(1-BV52)*BU52,IF($P$15="Additionnelle",($N52-($N52*($P52+BV52)))*BU52))),"Non Trouvé")</f>
        <v/>
      </c>
      <c r="BZ52" s="99">
        <f>BZ51</f>
        <v/>
      </c>
      <c r="CA52" s="99">
        <f>CA51</f>
        <v/>
      </c>
      <c r="CB52" s="95">
        <f>IFERROR(IF($C52="","",IF($P$15="Cascade",$R52*(1-CA52)*BZ52,IF($P$15="Additionnelle",($N52-($N52*($P52+CA52)))*BZ52))),"Non Trouvé")</f>
        <v/>
      </c>
      <c r="CE52" s="100" t="n"/>
      <c r="CF52" s="101" t="n"/>
      <c r="CG52" s="102" t="n"/>
      <c r="CH52" s="102" t="n"/>
      <c r="CI52" s="103" t="n"/>
      <c r="CK52" s="104">
        <f>IFERROR(IF(F52='[1]Paramètres Généraux'!$K$12,ROUNDUP((REGENERANTS!H52*REGENERANTS!$CF$20)*'[1]Paramètres Généraux'!$M$12,-1),IF(F52='[1]Paramètres Généraux'!$K$15,ROUNDUP((REGENERANTS!H52*REGENERANTS!$CF$20)*'[1]Paramètres Généraux'!$M$15,-1),REGENERANTS!H52*REGENERANTS!$CF$20)),"nd")</f>
        <v/>
      </c>
      <c r="CN52" s="153" t="n"/>
      <c r="CO52" s="154" t="n"/>
      <c r="CP52" s="154" t="n"/>
      <c r="CQ52" s="154" t="n"/>
      <c r="CR52" s="154" t="n"/>
      <c r="CS52" s="151" t="n"/>
      <c r="CT52" s="154" t="n"/>
      <c r="CU52" s="154" t="n"/>
      <c r="CV52" s="155" t="n"/>
      <c r="CW52" s="143" t="n"/>
      <c r="CX52" s="156" t="n"/>
      <c r="CY52" s="157" t="n"/>
      <c r="CZ52" s="143" t="n"/>
      <c r="DA52" s="156" t="n"/>
      <c r="DB52" s="157" t="n"/>
      <c r="DC52" s="143" t="n"/>
      <c r="DD52" s="156" t="n"/>
      <c r="DE52" s="157" t="n"/>
      <c r="DF52" s="143" t="n"/>
      <c r="DG52" s="143" t="n"/>
      <c r="DH52" s="143" t="n"/>
      <c r="DI52" s="143" t="n"/>
      <c r="DJ52" s="143" t="n"/>
      <c r="DK52" s="143" t="n"/>
      <c r="DL52" s="143" t="n"/>
      <c r="DM52" s="143" t="n"/>
      <c r="DN52" s="143" t="n"/>
      <c r="DO52" s="156" t="n"/>
      <c r="DP52" s="157" t="n"/>
      <c r="DQ52" s="20">
        <f>SUM(CN52:DP52)</f>
        <v/>
      </c>
      <c r="DR52" s="20">
        <f>SUM(CV52:DP52)</f>
        <v/>
      </c>
      <c r="DS52" s="20">
        <f>IFERROR((IF(AND($F52="Produit Vente",CO52&gt;0),VLOOKUP($C52,'[1]Paramètres Articles'!$B:$H,7,FALSE)*$CO52)*(1-20%)),0)</f>
        <v/>
      </c>
      <c r="DT52" s="20">
        <f>IFERROR((IF(AND($F52="Produit Vente",DR52&gt;0),VLOOKUP($C52,'[1]Paramètres Articles'!$B:$H,6,FALSE)*$DR52)*(1-15%)),0)</f>
        <v/>
      </c>
      <c r="DU52" s="20">
        <f>IFERROR(DQ52*J52,0)</f>
        <v/>
      </c>
    </row>
    <row r="53" outlineLevel="1" collapsed="1" ht="12.95" customHeight="1">
      <c r="B53" s="1">
        <f>IF(C53="",0,COUNTIFS($B$22:B52,"&gt;"&amp;0)+1)</f>
        <v/>
      </c>
      <c r="C53" s="90" t="n"/>
      <c r="D53" s="91">
        <f>IFERROR(IF($C53="","",VLOOKUP($C53,'[1]Paramètres Articles'!$B:$G,2,FALSE)),"Non Trouvé")</f>
        <v/>
      </c>
      <c r="E53" s="92">
        <f>IFERROR(IF($C53="","",_xlfn.XLOOKUP(REGENERANTS!$C53,'[1]New Base PA'!$F:$F,'[1]New Base PA'!$D:$D,"Not Found",0)),"Non Trouvé")</f>
        <v/>
      </c>
      <c r="F53" s="93" t="n"/>
      <c r="H53" s="106" t="n"/>
      <c r="J53" s="95">
        <f>IFERROR(IF($C53="","",VLOOKUP($C53,'[1]New Base PA'!$F:$J,5,FALSE)),"Non Trouvé")</f>
        <v/>
      </c>
      <c r="K53" s="136">
        <f>IFERROR(IF($C53="","",$J53*$H53),"Non Trouvé")</f>
        <v/>
      </c>
      <c r="L53" s="137" t="n"/>
      <c r="M53" s="136">
        <f>IFERROR(IF(AND($F53="Produit Vente",H53&gt;0),VLOOKUP($C53,'[1]Paramètres Articles'!$B:$G,6,FALSE),0),"Non Trouvé")</f>
        <v/>
      </c>
      <c r="N53" s="136">
        <f>IFERROR(IF($C53="","",$M53*$H53),"Non Trouvé")</f>
        <v/>
      </c>
      <c r="P53" s="97" t="n"/>
      <c r="R53" s="95">
        <f>IFERROR(IF($C53="","",$N53*(1-$P53)),"Non Trouvé")</f>
        <v/>
      </c>
      <c r="S53" s="96" t="n"/>
      <c r="T53" s="95">
        <f>IFERROR(IF($C53="","",VLOOKUP($C53,'[1]Paramètres Articles'!$B:$H,7,FALSE)),"Non Trouvé")</f>
        <v/>
      </c>
      <c r="U53" s="98" t="n"/>
      <c r="V53" s="95">
        <f>IFERROR(IF($C53="","",IF($P53="","",$T53*(1-$P53))),"Non Trouvé")</f>
        <v/>
      </c>
      <c r="W53" s="96" t="n"/>
      <c r="X53" s="95">
        <f>IFERROR(T53-V53,"")</f>
        <v/>
      </c>
      <c r="Y53" s="96" t="n"/>
      <c r="Z53" s="95">
        <f>IFERROR(IF(OR(T53=0,T53=""),0,T53*H53),"Non Trouvé")</f>
        <v/>
      </c>
      <c r="AB53" s="99">
        <f>AB52</f>
        <v/>
      </c>
      <c r="AC53" s="99">
        <f>AC52</f>
        <v/>
      </c>
      <c r="AD53" s="95">
        <f>IFERROR(IF($C53="","",IF($P$15="Cascade",$R53*(1-AC53)*AB53,IF($P$15="Additionnelle",($N53-($N53*($P53+AC53)))*AB53))),"Non Trouvé")</f>
        <v/>
      </c>
      <c r="AG53" s="99">
        <f>AG52</f>
        <v/>
      </c>
      <c r="AH53" s="99">
        <f>AH52</f>
        <v/>
      </c>
      <c r="AI53" s="95">
        <f>IFERROR(IF($C53="","",IF($P$15="Cascade",$R53*(1-AH53)*AG53,IF($P$15="Additionnelle",($N53-($N53*($P53+AH53)))*AG53))),"Non Trouvé")</f>
        <v/>
      </c>
      <c r="AL53" s="99">
        <f>AL52</f>
        <v/>
      </c>
      <c r="AM53" s="99">
        <f>AM52</f>
        <v/>
      </c>
      <c r="AN53" s="95">
        <f>IFERROR(IF($C53="","",IF($P$15="Cascade",$R53*(1-AM53)*AL53,IF($P$15="Additionnelle",($N53-($N53*($P53+AM53)))*AL53))),"Non Trouvé")</f>
        <v/>
      </c>
      <c r="AQ53" s="99">
        <f>AQ52</f>
        <v/>
      </c>
      <c r="AR53" s="99">
        <f>AR52</f>
        <v/>
      </c>
      <c r="AS53" s="95">
        <f>IFERROR(IF($C53="","",IF($P$15="Cascade",$R53*(1-AR53)*AQ53,IF($P$15="Additionnelle",($N53-($N53*($P53+AR53)))*AQ53))),"Non Trouvé")</f>
        <v/>
      </c>
      <c r="AV53" s="99">
        <f>AV52</f>
        <v/>
      </c>
      <c r="AW53" s="99">
        <f>AW52</f>
        <v/>
      </c>
      <c r="AX53" s="95">
        <f>IFERROR(IF($C53="","",IF($P$15="Cascade",$R53*(1-AW53)*AV53,IF($P$15="Additionnelle",($N53-($N53*($P53+AW53)))*AV53))),"Non Trouvé")</f>
        <v/>
      </c>
      <c r="BA53" s="99">
        <f>BA52</f>
        <v/>
      </c>
      <c r="BB53" s="99">
        <f>BB52</f>
        <v/>
      </c>
      <c r="BC53" s="95">
        <f>IFERROR(IF($C53="","",IF($P$15="Cascade",$R53*(1-BB53)*BA53,IF($P$15="Additionnelle",($N53-($N53*($P53+BB53)))*BA53))),"Non Trouvé")</f>
        <v/>
      </c>
      <c r="BF53" s="99">
        <f>BF52</f>
        <v/>
      </c>
      <c r="BG53" s="99">
        <f>BG52</f>
        <v/>
      </c>
      <c r="BH53" s="95">
        <f>IFERROR(IF($C53="","",IF($P$15="Cascade",$R53*(1-BG53)*BF53,IF($P$15="Additionnelle",($N53-($N53*($P53+BG53)))*BF53))),"Non Trouvé")</f>
        <v/>
      </c>
      <c r="BK53" s="99">
        <f>BK52</f>
        <v/>
      </c>
      <c r="BL53" s="99">
        <f>BL52</f>
        <v/>
      </c>
      <c r="BM53" s="95">
        <f>IFERROR(IF($C53="","",IF($P$15="Cascade",$R53*(1-BL53)*BK53,IF($P$15="Additionnelle",($N53-($N53*($P53+BL53)))*BK53))),"Non Trouvé")</f>
        <v/>
      </c>
      <c r="BP53" s="99">
        <f>BP52</f>
        <v/>
      </c>
      <c r="BQ53" s="99">
        <f>BQ52</f>
        <v/>
      </c>
      <c r="BR53" s="95">
        <f>IFERROR(IF($C53="","",IF($P$15="Cascade",$R53*(1-BQ53)*BP53,IF($P$15="Additionnelle",($N53-($N53*($P53+BQ53)))*BP53))),"Non Trouvé")</f>
        <v/>
      </c>
      <c r="BU53" s="99">
        <f>BU52</f>
        <v/>
      </c>
      <c r="BV53" s="99">
        <f>BV52</f>
        <v/>
      </c>
      <c r="BW53" s="95">
        <f>IFERROR(IF($C53="","",IF($P$15="Cascade",$R53*(1-BV53)*BU53,IF($P$15="Additionnelle",($N53-($N53*($P53+BV53)))*BU53))),"Non Trouvé")</f>
        <v/>
      </c>
      <c r="BZ53" s="99">
        <f>BZ52</f>
        <v/>
      </c>
      <c r="CA53" s="99">
        <f>CA52</f>
        <v/>
      </c>
      <c r="CB53" s="95">
        <f>IFERROR(IF($C53="","",IF($P$15="Cascade",$R53*(1-CA53)*BZ53,IF($P$15="Additionnelle",($N53-($N53*($P53+CA53)))*BZ53))),"Non Trouvé")</f>
        <v/>
      </c>
      <c r="CE53" s="100" t="n"/>
      <c r="CF53" s="101" t="n"/>
      <c r="CG53" s="102" t="n"/>
      <c r="CH53" s="102" t="n"/>
      <c r="CI53" s="103" t="n"/>
      <c r="CK53" s="104">
        <f>IFERROR(IF(F53='[1]Paramètres Généraux'!$K$12,ROUNDUP((REGENERANTS!H53*REGENERANTS!$CF$20)*'[1]Paramètres Généraux'!$M$12,-1),IF(F53='[1]Paramètres Généraux'!$K$15,ROUNDUP((REGENERANTS!H53*REGENERANTS!$CF$20)*'[1]Paramètres Généraux'!$M$15,-1),REGENERANTS!H53*REGENERANTS!$CF$20)),"nd")</f>
        <v/>
      </c>
      <c r="CN53" s="153" t="n"/>
      <c r="CO53" s="154" t="n"/>
      <c r="CP53" s="154" t="n"/>
      <c r="CQ53" s="154" t="n"/>
      <c r="CR53" s="154" t="n"/>
      <c r="CS53" s="151" t="n"/>
      <c r="CT53" s="154" t="n"/>
      <c r="CU53" s="154" t="n"/>
      <c r="CV53" s="155" t="n"/>
      <c r="CW53" s="143" t="n"/>
      <c r="CX53" s="156" t="n"/>
      <c r="CY53" s="157" t="n"/>
      <c r="CZ53" s="143" t="n"/>
      <c r="DA53" s="156" t="n"/>
      <c r="DB53" s="157" t="n"/>
      <c r="DC53" s="143" t="n"/>
      <c r="DD53" s="156" t="n"/>
      <c r="DE53" s="157" t="n"/>
      <c r="DF53" s="143" t="n"/>
      <c r="DG53" s="143" t="n"/>
      <c r="DH53" s="143" t="n"/>
      <c r="DI53" s="143" t="n"/>
      <c r="DJ53" s="143" t="n"/>
      <c r="DK53" s="143" t="n"/>
      <c r="DL53" s="143" t="n"/>
      <c r="DM53" s="143" t="n"/>
      <c r="DN53" s="143" t="n"/>
      <c r="DO53" s="156" t="n"/>
      <c r="DP53" s="157" t="n"/>
      <c r="DQ53" s="20">
        <f>SUM(CN53:DP53)</f>
        <v/>
      </c>
      <c r="DR53" s="20">
        <f>SUM(CV53:DP53)</f>
        <v/>
      </c>
      <c r="DS53" s="20">
        <f>IFERROR((IF(AND($F53="Produit Vente",CO53&gt;0),VLOOKUP($C53,'[1]Paramètres Articles'!$B:$H,7,FALSE)*$CO53)*(1-20%)),0)</f>
        <v/>
      </c>
      <c r="DT53" s="20">
        <f>IFERROR((IF(AND($F53="Produit Vente",DR53&gt;0),VLOOKUP($C53,'[1]Paramètres Articles'!$B:$H,6,FALSE)*$DR53)*(1-15%)),0)</f>
        <v/>
      </c>
      <c r="DU53" s="20">
        <f>IFERROR(DQ53*J53,0)</f>
        <v/>
      </c>
    </row>
    <row r="54" outlineLevel="1" collapsed="1" ht="12.95" customHeight="1">
      <c r="B54" s="1">
        <f>IF(C54="",0,COUNTIFS($B$22:B53,"&gt;"&amp;0)+1)</f>
        <v/>
      </c>
      <c r="C54" s="90" t="n"/>
      <c r="D54" s="91">
        <f>IFERROR(IF($C54="","",VLOOKUP($C54,'[1]Paramètres Articles'!$B:$G,2,FALSE)),"Non Trouvé")</f>
        <v/>
      </c>
      <c r="E54" s="92">
        <f>IFERROR(IF($C54="","",_xlfn.XLOOKUP(REGENERANTS!$C54,'[1]New Base PA'!$F:$F,'[1]New Base PA'!$D:$D,"Not Found",0)),"Non Trouvé")</f>
        <v/>
      </c>
      <c r="F54" s="93" t="n"/>
      <c r="H54" s="106" t="n"/>
      <c r="J54" s="95">
        <f>IFERROR(IF($C54="","",VLOOKUP($C54,'[1]New Base PA'!$F:$J,5,FALSE)),"Non Trouvé")</f>
        <v/>
      </c>
      <c r="K54" s="136">
        <f>IFERROR(IF($C54="","",$J54*$H54),"Non Trouvé")</f>
        <v/>
      </c>
      <c r="L54" s="137" t="n"/>
      <c r="M54" s="136">
        <f>IFERROR(IF(AND($F54="Produit Vente",H54&gt;0),VLOOKUP($C54,'[1]Paramètres Articles'!$B:$G,6,FALSE),0),"Non Trouvé")</f>
        <v/>
      </c>
      <c r="N54" s="136">
        <f>IFERROR(IF($C54="","",$M54*$H54),"Non Trouvé")</f>
        <v/>
      </c>
      <c r="P54" s="97" t="n"/>
      <c r="R54" s="95">
        <f>IFERROR(IF($C54="","",$N54*(1-$P54)),"Non Trouvé")</f>
        <v/>
      </c>
      <c r="S54" s="96" t="n"/>
      <c r="T54" s="95">
        <f>IFERROR(IF($C54="","",VLOOKUP($C54,'[1]Paramètres Articles'!$B:$H,7,FALSE)),"Non Trouvé")</f>
        <v/>
      </c>
      <c r="U54" s="98" t="n"/>
      <c r="V54" s="95">
        <f>IFERROR(IF($C54="","",IF($P54="","",$T54*(1-$P54))),"Non Trouvé")</f>
        <v/>
      </c>
      <c r="W54" s="96" t="n"/>
      <c r="X54" s="95">
        <f>IFERROR(T54-V54,"")</f>
        <v/>
      </c>
      <c r="Y54" s="96" t="n"/>
      <c r="Z54" s="95">
        <f>IFERROR(IF(OR(T54=0,T54=""),0,T54*H54),"Non Trouvé")</f>
        <v/>
      </c>
      <c r="AB54" s="99">
        <f>AB53</f>
        <v/>
      </c>
      <c r="AC54" s="99">
        <f>AC53</f>
        <v/>
      </c>
      <c r="AD54" s="95">
        <f>IFERROR(IF($C54="","",IF($P$15="Cascade",$R54*(1-AC54)*AB54,IF($P$15="Additionnelle",($N54-($N54*($P54+AC54)))*AB54))),"Non Trouvé")</f>
        <v/>
      </c>
      <c r="AG54" s="99">
        <f>AG53</f>
        <v/>
      </c>
      <c r="AH54" s="99">
        <f>AH53</f>
        <v/>
      </c>
      <c r="AI54" s="95">
        <f>IFERROR(IF($C54="","",IF($P$15="Cascade",$R54*(1-AH54)*AG54,IF($P$15="Additionnelle",($N54-($N54*($P54+AH54)))*AG54))),"Non Trouvé")</f>
        <v/>
      </c>
      <c r="AL54" s="99">
        <f>AL53</f>
        <v/>
      </c>
      <c r="AM54" s="99">
        <f>AM53</f>
        <v/>
      </c>
      <c r="AN54" s="95">
        <f>IFERROR(IF($C54="","",IF($P$15="Cascade",$R54*(1-AM54)*AL54,IF($P$15="Additionnelle",($N54-($N54*($P54+AM54)))*AL54))),"Non Trouvé")</f>
        <v/>
      </c>
      <c r="AQ54" s="99">
        <f>AQ53</f>
        <v/>
      </c>
      <c r="AR54" s="99">
        <f>AR53</f>
        <v/>
      </c>
      <c r="AS54" s="95">
        <f>IFERROR(IF($C54="","",IF($P$15="Cascade",$R54*(1-AR54)*AQ54,IF($P$15="Additionnelle",($N54-($N54*($P54+AR54)))*AQ54))),"Non Trouvé")</f>
        <v/>
      </c>
      <c r="AV54" s="99">
        <f>AV53</f>
        <v/>
      </c>
      <c r="AW54" s="99">
        <f>AW53</f>
        <v/>
      </c>
      <c r="AX54" s="95">
        <f>IFERROR(IF($C54="","",IF($P$15="Cascade",$R54*(1-AW54)*AV54,IF($P$15="Additionnelle",($N54-($N54*($P54+AW54)))*AV54))),"Non Trouvé")</f>
        <v/>
      </c>
      <c r="BA54" s="99">
        <f>BA53</f>
        <v/>
      </c>
      <c r="BB54" s="99">
        <f>BB53</f>
        <v/>
      </c>
      <c r="BC54" s="95">
        <f>IFERROR(IF($C54="","",IF($P$15="Cascade",$R54*(1-BB54)*BA54,IF($P$15="Additionnelle",($N54-($N54*($P54+BB54)))*BA54))),"Non Trouvé")</f>
        <v/>
      </c>
      <c r="BF54" s="99">
        <f>BF53</f>
        <v/>
      </c>
      <c r="BG54" s="99">
        <f>BG53</f>
        <v/>
      </c>
      <c r="BH54" s="95">
        <f>IFERROR(IF($C54="","",IF($P$15="Cascade",$R54*(1-BG54)*BF54,IF($P$15="Additionnelle",($N54-($N54*($P54+BG54)))*BF54))),"Non Trouvé")</f>
        <v/>
      </c>
      <c r="BK54" s="99">
        <f>BK53</f>
        <v/>
      </c>
      <c r="BL54" s="99">
        <f>BL53</f>
        <v/>
      </c>
      <c r="BM54" s="95">
        <f>IFERROR(IF($C54="","",IF($P$15="Cascade",$R54*(1-BL54)*BK54,IF($P$15="Additionnelle",($N54-($N54*($P54+BL54)))*BK54))),"Non Trouvé")</f>
        <v/>
      </c>
      <c r="BP54" s="99">
        <f>BP53</f>
        <v/>
      </c>
      <c r="BQ54" s="99">
        <f>BQ53</f>
        <v/>
      </c>
      <c r="BR54" s="95">
        <f>IFERROR(IF($C54="","",IF($P$15="Cascade",$R54*(1-BQ54)*BP54,IF($P$15="Additionnelle",($N54-($N54*($P54+BQ54)))*BP54))),"Non Trouvé")</f>
        <v/>
      </c>
      <c r="BU54" s="99">
        <f>BU53</f>
        <v/>
      </c>
      <c r="BV54" s="99">
        <f>BV53</f>
        <v/>
      </c>
      <c r="BW54" s="95">
        <f>IFERROR(IF($C54="","",IF($P$15="Cascade",$R54*(1-BV54)*BU54,IF($P$15="Additionnelle",($N54-($N54*($P54+BV54)))*BU54))),"Non Trouvé")</f>
        <v/>
      </c>
      <c r="BZ54" s="99">
        <f>BZ53</f>
        <v/>
      </c>
      <c r="CA54" s="99">
        <f>CA53</f>
        <v/>
      </c>
      <c r="CB54" s="95">
        <f>IFERROR(IF($C54="","",IF($P$15="Cascade",$R54*(1-CA54)*BZ54,IF($P$15="Additionnelle",($N54-($N54*($P54+CA54)))*BZ54))),"Non Trouvé")</f>
        <v/>
      </c>
      <c r="CE54" s="100" t="n"/>
      <c r="CF54" s="101" t="n"/>
      <c r="CG54" s="102" t="n"/>
      <c r="CH54" s="102" t="n"/>
      <c r="CI54" s="103" t="n"/>
      <c r="CK54" s="104">
        <f>IFERROR(IF(F54='[1]Paramètres Généraux'!$K$12,ROUNDUP((REGENERANTS!H54*REGENERANTS!$CF$20)*'[1]Paramètres Généraux'!$M$12,-1),IF(F54='[1]Paramètres Généraux'!$K$15,ROUNDUP((REGENERANTS!H54*REGENERANTS!$CF$20)*'[1]Paramètres Généraux'!$M$15,-1),REGENERANTS!H54*REGENERANTS!$CF$20)),"nd")</f>
        <v/>
      </c>
      <c r="CN54" s="153" t="n"/>
      <c r="CO54" s="154" t="n"/>
      <c r="CP54" s="154" t="n"/>
      <c r="CQ54" s="154" t="n"/>
      <c r="CR54" s="154" t="n"/>
      <c r="CS54" s="151" t="n"/>
      <c r="CT54" s="154" t="n"/>
      <c r="CU54" s="154" t="n"/>
      <c r="CV54" s="155" t="n"/>
      <c r="CW54" s="143" t="n"/>
      <c r="CX54" s="156" t="n"/>
      <c r="CY54" s="157" t="n"/>
      <c r="CZ54" s="143" t="n"/>
      <c r="DA54" s="156" t="n"/>
      <c r="DB54" s="157" t="n"/>
      <c r="DC54" s="143" t="n"/>
      <c r="DD54" s="156" t="n"/>
      <c r="DE54" s="157" t="n"/>
      <c r="DF54" s="143" t="n"/>
      <c r="DG54" s="143" t="n"/>
      <c r="DH54" s="143" t="n"/>
      <c r="DI54" s="143" t="n"/>
      <c r="DJ54" s="143" t="n"/>
      <c r="DK54" s="143" t="n"/>
      <c r="DL54" s="143" t="n"/>
      <c r="DM54" s="143" t="n"/>
      <c r="DN54" s="143" t="n"/>
      <c r="DO54" s="156" t="n"/>
      <c r="DP54" s="157" t="n"/>
      <c r="DQ54" s="20">
        <f>SUM(CN54:DP54)</f>
        <v/>
      </c>
      <c r="DR54" s="20">
        <f>SUM(CV54:DP54)</f>
        <v/>
      </c>
      <c r="DS54" s="20">
        <f>IFERROR((IF(AND($F54="Produit Vente",CO54&gt;0),VLOOKUP($C54,'[1]Paramètres Articles'!$B:$H,7,FALSE)*$CO54)*(1-20%)),0)</f>
        <v/>
      </c>
      <c r="DT54" s="20">
        <f>IFERROR((IF(AND($F54="Produit Vente",DR54&gt;0),VLOOKUP($C54,'[1]Paramètres Articles'!$B:$H,6,FALSE)*$DR54)*(1-15%)),0)</f>
        <v/>
      </c>
      <c r="DU54" s="20">
        <f>IFERROR(DQ54*J54,0)</f>
        <v/>
      </c>
    </row>
    <row r="55" outlineLevel="1" collapsed="1" ht="12.95" customHeight="1">
      <c r="B55" s="1">
        <f>IF(C55="",0,COUNTIFS($B$22:B54,"&gt;"&amp;0)+1)</f>
        <v/>
      </c>
      <c r="C55" s="90" t="n"/>
      <c r="D55" s="91">
        <f>IFERROR(IF($C55="","",VLOOKUP($C55,'[1]Paramètres Articles'!$B:$G,2,FALSE)),"Non Trouvé")</f>
        <v/>
      </c>
      <c r="E55" s="92">
        <f>IFERROR(IF($C55="","",_xlfn.XLOOKUP(REGENERANTS!$C55,'[1]New Base PA'!$F:$F,'[1]New Base PA'!$D:$D,"Not Found",0)),"Non Trouvé")</f>
        <v/>
      </c>
      <c r="F55" s="93" t="n"/>
      <c r="H55" s="106" t="n"/>
      <c r="J55" s="95">
        <f>IFERROR(IF($C55="","",VLOOKUP($C55,'[1]New Base PA'!$F:$J,5,FALSE)),"Non Trouvé")</f>
        <v/>
      </c>
      <c r="K55" s="136">
        <f>IFERROR(IF($C55="","",$J55*$H55),"Non Trouvé")</f>
        <v/>
      </c>
      <c r="L55" s="137" t="n"/>
      <c r="M55" s="136">
        <f>IFERROR(IF(AND($F55="Produit Vente",H55&gt;0),VLOOKUP($C55,'[1]Paramètres Articles'!$B:$G,6,FALSE),0),"Non Trouvé")</f>
        <v/>
      </c>
      <c r="N55" s="136">
        <f>IFERROR(IF($C55="","",$M55*$H55),"Non Trouvé")</f>
        <v/>
      </c>
      <c r="P55" s="97" t="n"/>
      <c r="R55" s="95">
        <f>IFERROR(IF($C55="","",$N55*(1-$P55)),"Non Trouvé")</f>
        <v/>
      </c>
      <c r="S55" s="96" t="n"/>
      <c r="T55" s="95">
        <f>IFERROR(IF($C55="","",VLOOKUP($C55,'[1]Paramètres Articles'!$B:$H,7,FALSE)),"Non Trouvé")</f>
        <v/>
      </c>
      <c r="U55" s="98" t="n"/>
      <c r="V55" s="95">
        <f>IFERROR(IF($C55="","",IF($P55="","",$T55*(1-$P55))),"Non Trouvé")</f>
        <v/>
      </c>
      <c r="W55" s="96" t="n"/>
      <c r="X55" s="95">
        <f>IFERROR(T55-V55,"")</f>
        <v/>
      </c>
      <c r="Y55" s="96" t="n"/>
      <c r="Z55" s="95">
        <f>IFERROR(IF(OR(T55=0,T55=""),0,T55*H55),"Non Trouvé")</f>
        <v/>
      </c>
      <c r="AB55" s="99">
        <f>AB54</f>
        <v/>
      </c>
      <c r="AC55" s="99">
        <f>AC54</f>
        <v/>
      </c>
      <c r="AD55" s="95">
        <f>IFERROR(IF($C55="","",IF($P$15="Cascade",$R55*(1-AC55)*AB55,IF($P$15="Additionnelle",($N55-($N55*($P55+AC55)))*AB55))),"Non Trouvé")</f>
        <v/>
      </c>
      <c r="AG55" s="99">
        <f>AG54</f>
        <v/>
      </c>
      <c r="AH55" s="99">
        <f>AH54</f>
        <v/>
      </c>
      <c r="AI55" s="95">
        <f>IFERROR(IF($C55="","",IF($P$15="Cascade",$R55*(1-AH55)*AG55,IF($P$15="Additionnelle",($N55-($N55*($P55+AH55)))*AG55))),"Non Trouvé")</f>
        <v/>
      </c>
      <c r="AL55" s="99">
        <f>AL54</f>
        <v/>
      </c>
      <c r="AM55" s="99">
        <f>AM54</f>
        <v/>
      </c>
      <c r="AN55" s="95">
        <f>IFERROR(IF($C55="","",IF($P$15="Cascade",$R55*(1-AM55)*AL55,IF($P$15="Additionnelle",($N55-($N55*($P55+AM55)))*AL55))),"Non Trouvé")</f>
        <v/>
      </c>
      <c r="AQ55" s="99">
        <f>AQ54</f>
        <v/>
      </c>
      <c r="AR55" s="99">
        <f>AR54</f>
        <v/>
      </c>
      <c r="AS55" s="95">
        <f>IFERROR(IF($C55="","",IF($P$15="Cascade",$R55*(1-AR55)*AQ55,IF($P$15="Additionnelle",($N55-($N55*($P55+AR55)))*AQ55))),"Non Trouvé")</f>
        <v/>
      </c>
      <c r="AV55" s="99">
        <f>AV54</f>
        <v/>
      </c>
      <c r="AW55" s="99">
        <f>AW54</f>
        <v/>
      </c>
      <c r="AX55" s="95">
        <f>IFERROR(IF($C55="","",IF($P$15="Cascade",$R55*(1-AW55)*AV55,IF($P$15="Additionnelle",($N55-($N55*($P55+AW55)))*AV55))),"Non Trouvé")</f>
        <v/>
      </c>
      <c r="BA55" s="99">
        <f>BA54</f>
        <v/>
      </c>
      <c r="BB55" s="99">
        <f>BB54</f>
        <v/>
      </c>
      <c r="BC55" s="95">
        <f>IFERROR(IF($C55="","",IF($P$15="Cascade",$R55*(1-BB55)*BA55,IF($P$15="Additionnelle",($N55-($N55*($P55+BB55)))*BA55))),"Non Trouvé")</f>
        <v/>
      </c>
      <c r="BF55" s="99">
        <f>BF54</f>
        <v/>
      </c>
      <c r="BG55" s="99">
        <f>BG54</f>
        <v/>
      </c>
      <c r="BH55" s="95">
        <f>IFERROR(IF($C55="","",IF($P$15="Cascade",$R55*(1-BG55)*BF55,IF($P$15="Additionnelle",($N55-($N55*($P55+BG55)))*BF55))),"Non Trouvé")</f>
        <v/>
      </c>
      <c r="BK55" s="99">
        <f>BK54</f>
        <v/>
      </c>
      <c r="BL55" s="99">
        <f>BL54</f>
        <v/>
      </c>
      <c r="BM55" s="95">
        <f>IFERROR(IF($C55="","",IF($P$15="Cascade",$R55*(1-BL55)*BK55,IF($P$15="Additionnelle",($N55-($N55*($P55+BL55)))*BK55))),"Non Trouvé")</f>
        <v/>
      </c>
      <c r="BP55" s="99">
        <f>BP54</f>
        <v/>
      </c>
      <c r="BQ55" s="99">
        <f>BQ54</f>
        <v/>
      </c>
      <c r="BR55" s="95">
        <f>IFERROR(IF($C55="","",IF($P$15="Cascade",$R55*(1-BQ55)*BP55,IF($P$15="Additionnelle",($N55-($N55*($P55+BQ55)))*BP55))),"Non Trouvé")</f>
        <v/>
      </c>
      <c r="BU55" s="99">
        <f>BU54</f>
        <v/>
      </c>
      <c r="BV55" s="99">
        <f>BV54</f>
        <v/>
      </c>
      <c r="BW55" s="95">
        <f>IFERROR(IF($C55="","",IF($P$15="Cascade",$R55*(1-BV55)*BU55,IF($P$15="Additionnelle",($N55-($N55*($P55+BV55)))*BU55))),"Non Trouvé")</f>
        <v/>
      </c>
      <c r="BZ55" s="99">
        <f>BZ54</f>
        <v/>
      </c>
      <c r="CA55" s="99">
        <f>CA54</f>
        <v/>
      </c>
      <c r="CB55" s="95">
        <f>IFERROR(IF($C55="","",IF($P$15="Cascade",$R55*(1-CA55)*BZ55,IF($P$15="Additionnelle",($N55-($N55*($P55+CA55)))*BZ55))),"Non Trouvé")</f>
        <v/>
      </c>
      <c r="CE55" s="100" t="n"/>
      <c r="CF55" s="101" t="n"/>
      <c r="CG55" s="102" t="n"/>
      <c r="CH55" s="102" t="n"/>
      <c r="CI55" s="103" t="n"/>
      <c r="CK55" s="104">
        <f>IFERROR(IF(F55='[1]Paramètres Généraux'!$K$12,ROUNDUP((REGENERANTS!H55*REGENERANTS!$CF$20)*'[1]Paramètres Généraux'!$M$12,-1),IF(F55='[1]Paramètres Généraux'!$K$15,ROUNDUP((REGENERANTS!H55*REGENERANTS!$CF$20)*'[1]Paramètres Généraux'!$M$15,-1),REGENERANTS!H55*REGENERANTS!$CF$20)),"nd")</f>
        <v/>
      </c>
      <c r="CN55" s="153" t="n"/>
      <c r="CO55" s="154" t="n"/>
      <c r="CP55" s="154" t="n"/>
      <c r="CQ55" s="154" t="n"/>
      <c r="CR55" s="154" t="n"/>
      <c r="CS55" s="151" t="n"/>
      <c r="CT55" s="154" t="n"/>
      <c r="CU55" s="154" t="n"/>
      <c r="CV55" s="155" t="n"/>
      <c r="CW55" s="143" t="n"/>
      <c r="CX55" s="156" t="n"/>
      <c r="CY55" s="157" t="n"/>
      <c r="CZ55" s="143" t="n"/>
      <c r="DA55" s="156" t="n"/>
      <c r="DB55" s="157" t="n"/>
      <c r="DC55" s="143" t="n"/>
      <c r="DD55" s="156" t="n"/>
      <c r="DE55" s="157" t="n"/>
      <c r="DF55" s="143" t="n"/>
      <c r="DG55" s="143" t="n"/>
      <c r="DH55" s="143" t="n"/>
      <c r="DI55" s="143" t="n"/>
      <c r="DJ55" s="143" t="n"/>
      <c r="DK55" s="143" t="n"/>
      <c r="DL55" s="143" t="n"/>
      <c r="DM55" s="143" t="n"/>
      <c r="DN55" s="143" t="n"/>
      <c r="DO55" s="156" t="n"/>
      <c r="DP55" s="157" t="n"/>
      <c r="DQ55" s="20">
        <f>SUM(CN55:DP55)</f>
        <v/>
      </c>
      <c r="DR55" s="20">
        <f>SUM(CV55:DP55)</f>
        <v/>
      </c>
      <c r="DS55" s="20">
        <f>IFERROR((IF(AND($F55="Produit Vente",CO55&gt;0),VLOOKUP($C55,'[1]Paramètres Articles'!$B:$H,7,FALSE)*$CO55)*(1-20%)),0)</f>
        <v/>
      </c>
      <c r="DT55" s="20">
        <f>IFERROR((IF(AND($F55="Produit Vente",DR55&gt;0),VLOOKUP($C55,'[1]Paramètres Articles'!$B:$H,6,FALSE)*$DR55)*(1-15%)),0)</f>
        <v/>
      </c>
      <c r="DU55" s="20">
        <f>IFERROR(DQ55*J55,0)</f>
        <v/>
      </c>
    </row>
    <row r="56" outlineLevel="1" collapsed="1" ht="12.95" customHeight="1">
      <c r="B56" s="1">
        <f>IF(C56="",0,COUNTIFS($B$22:B55,"&gt;"&amp;0)+1)</f>
        <v/>
      </c>
      <c r="C56" s="90" t="n"/>
      <c r="D56" s="91">
        <f>IFERROR(IF($C56="","",VLOOKUP($C56,'[1]Paramètres Articles'!$B:$G,2,FALSE)),"Non Trouvé")</f>
        <v/>
      </c>
      <c r="E56" s="92">
        <f>IFERROR(IF($C56="","",_xlfn.XLOOKUP(REGENERANTS!$C56,'[1]New Base PA'!$F:$F,'[1]New Base PA'!$D:$D,"Not Found",0)),"Non Trouvé")</f>
        <v/>
      </c>
      <c r="F56" s="93" t="n"/>
      <c r="H56" s="106" t="n"/>
      <c r="J56" s="95">
        <f>IFERROR(IF($C56="","",VLOOKUP($C56,'[1]New Base PA'!$F:$J,5,FALSE)),"Non Trouvé")</f>
        <v/>
      </c>
      <c r="K56" s="136">
        <f>IFERROR(IF($C56="","",$J56*$H56),"Non Trouvé")</f>
        <v/>
      </c>
      <c r="L56" s="137" t="n"/>
      <c r="M56" s="136">
        <f>IFERROR(IF(AND($F56="Produit Vente",H56&gt;0),VLOOKUP($C56,'[1]Paramètres Articles'!$B:$G,6,FALSE),0),"Non Trouvé")</f>
        <v/>
      </c>
      <c r="N56" s="136">
        <f>IFERROR(IF($C56="","",$M56*$H56),"Non Trouvé")</f>
        <v/>
      </c>
      <c r="P56" s="97" t="n"/>
      <c r="R56" s="95">
        <f>IFERROR(IF($C56="","",$N56*(1-$P56)),"Non Trouvé")</f>
        <v/>
      </c>
      <c r="S56" s="96" t="n"/>
      <c r="T56" s="95">
        <f>IFERROR(IF($C56="","",VLOOKUP($C56,'[1]Paramètres Articles'!$B:$H,7,FALSE)),"Non Trouvé")</f>
        <v/>
      </c>
      <c r="U56" s="98" t="n"/>
      <c r="V56" s="95">
        <f>IFERROR(IF($C56="","",IF($P56="","",$T56*(1-$P56))),"Non Trouvé")</f>
        <v/>
      </c>
      <c r="W56" s="96" t="n"/>
      <c r="X56" s="95">
        <f>IFERROR(T56-V56,"")</f>
        <v/>
      </c>
      <c r="Y56" s="96" t="n"/>
      <c r="Z56" s="95">
        <f>IFERROR(IF(OR(T56=0,T56=""),0,T56*H56),"Non Trouvé")</f>
        <v/>
      </c>
      <c r="AB56" s="99">
        <f>AB55</f>
        <v/>
      </c>
      <c r="AC56" s="99">
        <f>AC55</f>
        <v/>
      </c>
      <c r="AD56" s="95">
        <f>IFERROR(IF($C56="","",IF($P$15="Cascade",$R56*(1-AC56)*AB56,IF($P$15="Additionnelle",($N56-($N56*($P56+AC56)))*AB56))),"Non Trouvé")</f>
        <v/>
      </c>
      <c r="AG56" s="99">
        <f>AG55</f>
        <v/>
      </c>
      <c r="AH56" s="99">
        <f>AH55</f>
        <v/>
      </c>
      <c r="AI56" s="95">
        <f>IFERROR(IF($C56="","",IF($P$15="Cascade",$R56*(1-AH56)*AG56,IF($P$15="Additionnelle",($N56-($N56*($P56+AH56)))*AG56))),"Non Trouvé")</f>
        <v/>
      </c>
      <c r="AL56" s="99">
        <f>AL55</f>
        <v/>
      </c>
      <c r="AM56" s="99">
        <f>AM55</f>
        <v/>
      </c>
      <c r="AN56" s="95">
        <f>IFERROR(IF($C56="","",IF($P$15="Cascade",$R56*(1-AM56)*AL56,IF($P$15="Additionnelle",($N56-($N56*($P56+AM56)))*AL56))),"Non Trouvé")</f>
        <v/>
      </c>
      <c r="AQ56" s="99">
        <f>AQ55</f>
        <v/>
      </c>
      <c r="AR56" s="99">
        <f>AR55</f>
        <v/>
      </c>
      <c r="AS56" s="95">
        <f>IFERROR(IF($C56="","",IF($P$15="Cascade",$R56*(1-AR56)*AQ56,IF($P$15="Additionnelle",($N56-($N56*($P56+AR56)))*AQ56))),"Non Trouvé")</f>
        <v/>
      </c>
      <c r="AV56" s="99">
        <f>AV55</f>
        <v/>
      </c>
      <c r="AW56" s="99">
        <f>AW55</f>
        <v/>
      </c>
      <c r="AX56" s="95">
        <f>IFERROR(IF($C56="","",IF($P$15="Cascade",$R56*(1-AW56)*AV56,IF($P$15="Additionnelle",($N56-($N56*($P56+AW56)))*AV56))),"Non Trouvé")</f>
        <v/>
      </c>
      <c r="BA56" s="99">
        <f>BA55</f>
        <v/>
      </c>
      <c r="BB56" s="99">
        <f>BB55</f>
        <v/>
      </c>
      <c r="BC56" s="95">
        <f>IFERROR(IF($C56="","",IF($P$15="Cascade",$R56*(1-BB56)*BA56,IF($P$15="Additionnelle",($N56-($N56*($P56+BB56)))*BA56))),"Non Trouvé")</f>
        <v/>
      </c>
      <c r="BF56" s="99">
        <f>BF55</f>
        <v/>
      </c>
      <c r="BG56" s="99">
        <f>BG55</f>
        <v/>
      </c>
      <c r="BH56" s="95">
        <f>IFERROR(IF($C56="","",IF($P$15="Cascade",$R56*(1-BG56)*BF56,IF($P$15="Additionnelle",($N56-($N56*($P56+BG56)))*BF56))),"Non Trouvé")</f>
        <v/>
      </c>
      <c r="BK56" s="99">
        <f>BK55</f>
        <v/>
      </c>
      <c r="BL56" s="99">
        <f>BL55</f>
        <v/>
      </c>
      <c r="BM56" s="95">
        <f>IFERROR(IF($C56="","",IF($P$15="Cascade",$R56*(1-BL56)*BK56,IF($P$15="Additionnelle",($N56-($N56*($P56+BL56)))*BK56))),"Non Trouvé")</f>
        <v/>
      </c>
      <c r="BP56" s="99">
        <f>BP55</f>
        <v/>
      </c>
      <c r="BQ56" s="99">
        <f>BQ55</f>
        <v/>
      </c>
      <c r="BR56" s="95">
        <f>IFERROR(IF($C56="","",IF($P$15="Cascade",$R56*(1-BQ56)*BP56,IF($P$15="Additionnelle",($N56-($N56*($P56+BQ56)))*BP56))),"Non Trouvé")</f>
        <v/>
      </c>
      <c r="BU56" s="99">
        <f>BU55</f>
        <v/>
      </c>
      <c r="BV56" s="99">
        <f>BV55</f>
        <v/>
      </c>
      <c r="BW56" s="95">
        <f>IFERROR(IF($C56="","",IF($P$15="Cascade",$R56*(1-BV56)*BU56,IF($P$15="Additionnelle",($N56-($N56*($P56+BV56)))*BU56))),"Non Trouvé")</f>
        <v/>
      </c>
      <c r="BZ56" s="99">
        <f>BZ55</f>
        <v/>
      </c>
      <c r="CA56" s="99">
        <f>CA55</f>
        <v/>
      </c>
      <c r="CB56" s="95">
        <f>IFERROR(IF($C56="","",IF($P$15="Cascade",$R56*(1-CA56)*BZ56,IF($P$15="Additionnelle",($N56-($N56*($P56+CA56)))*BZ56))),"Non Trouvé")</f>
        <v/>
      </c>
      <c r="CE56" s="100" t="n"/>
      <c r="CF56" s="101" t="n"/>
      <c r="CG56" s="102" t="n"/>
      <c r="CH56" s="102" t="n"/>
      <c r="CI56" s="103" t="n"/>
      <c r="CK56" s="104">
        <f>IFERROR(IF(F56='[1]Paramètres Généraux'!$K$12,ROUNDUP((REGENERANTS!H56*REGENERANTS!$CF$20)*'[1]Paramètres Généraux'!$M$12,-1),IF(F56='[1]Paramètres Généraux'!$K$15,ROUNDUP((REGENERANTS!H56*REGENERANTS!$CF$20)*'[1]Paramètres Généraux'!$M$15,-1),REGENERANTS!H56*REGENERANTS!$CF$20)),"nd")</f>
        <v/>
      </c>
      <c r="CN56" s="153" t="n"/>
      <c r="CO56" s="154" t="n"/>
      <c r="CP56" s="154" t="n"/>
      <c r="CQ56" s="154" t="n"/>
      <c r="CR56" s="154" t="n"/>
      <c r="CS56" s="151" t="n"/>
      <c r="CT56" s="154" t="n"/>
      <c r="CU56" s="154" t="n"/>
      <c r="CV56" s="155" t="n"/>
      <c r="CW56" s="143" t="n"/>
      <c r="CX56" s="156" t="n"/>
      <c r="CY56" s="157" t="n"/>
      <c r="CZ56" s="143" t="n"/>
      <c r="DA56" s="156" t="n"/>
      <c r="DB56" s="157" t="n"/>
      <c r="DC56" s="143" t="n"/>
      <c r="DD56" s="156" t="n"/>
      <c r="DE56" s="157" t="n"/>
      <c r="DF56" s="143" t="n"/>
      <c r="DG56" s="143" t="n"/>
      <c r="DH56" s="143" t="n"/>
      <c r="DI56" s="143" t="n"/>
      <c r="DJ56" s="143" t="n"/>
      <c r="DK56" s="143" t="n"/>
      <c r="DL56" s="143" t="n"/>
      <c r="DM56" s="143" t="n"/>
      <c r="DN56" s="143" t="n"/>
      <c r="DO56" s="156" t="n"/>
      <c r="DP56" s="157" t="n"/>
      <c r="DQ56" s="20">
        <f>SUM(CN56:DP56)</f>
        <v/>
      </c>
      <c r="DR56" s="20">
        <f>SUM(CV56:DP56)</f>
        <v/>
      </c>
      <c r="DS56" s="20">
        <f>IFERROR((IF(AND($F56="Produit Vente",CO56&gt;0),VLOOKUP($C56,'[1]Paramètres Articles'!$B:$H,7,FALSE)*$CO56)*(1-20%)),0)</f>
        <v/>
      </c>
      <c r="DT56" s="20">
        <f>IFERROR((IF(AND($F56="Produit Vente",DR56&gt;0),VLOOKUP($C56,'[1]Paramètres Articles'!$B:$H,6,FALSE)*$DR56)*(1-15%)),0)</f>
        <v/>
      </c>
      <c r="DU56" s="20">
        <f>IFERROR(DQ56*J56,0)</f>
        <v/>
      </c>
    </row>
    <row r="57" outlineLevel="1" collapsed="1" ht="12.95" customHeight="1">
      <c r="B57" s="1">
        <f>IF(C57="",0,COUNTIFS($B$22:B56,"&gt;"&amp;0)+1)</f>
        <v/>
      </c>
      <c r="C57" s="90" t="n"/>
      <c r="D57" s="91">
        <f>IFERROR(IF($C57="","",VLOOKUP($C57,'[1]Paramètres Articles'!$B:$G,2,FALSE)),"Non Trouvé")</f>
        <v/>
      </c>
      <c r="E57" s="92">
        <f>IFERROR(IF($C57="","",_xlfn.XLOOKUP(REGENERANTS!$C57,'[1]New Base PA'!$F:$F,'[1]New Base PA'!$D:$D,"Not Found",0)),"Non Trouvé")</f>
        <v/>
      </c>
      <c r="F57" s="93" t="n"/>
      <c r="H57" s="106" t="n"/>
      <c r="J57" s="95">
        <f>IFERROR(IF($C57="","",VLOOKUP($C57,'[1]New Base PA'!$F:$J,5,FALSE)),"Non Trouvé")</f>
        <v/>
      </c>
      <c r="K57" s="136">
        <f>IFERROR(IF($C57="","",$J57*$H57),"Non Trouvé")</f>
        <v/>
      </c>
      <c r="L57" s="137" t="n"/>
      <c r="M57" s="136">
        <f>IFERROR(IF(AND($F57="Produit Vente",H57&gt;0),VLOOKUP($C57,'[1]Paramètres Articles'!$B:$G,6,FALSE),0),"Non Trouvé")</f>
        <v/>
      </c>
      <c r="N57" s="136">
        <f>IFERROR(IF($C57="","",$M57*$H57),"Non Trouvé")</f>
        <v/>
      </c>
      <c r="P57" s="97" t="n"/>
      <c r="R57" s="95">
        <f>IFERROR(IF($C57="","",$N57*(1-$P57)),"Non Trouvé")</f>
        <v/>
      </c>
      <c r="S57" s="96" t="n"/>
      <c r="T57" s="95">
        <f>IFERROR(IF($C57="","",VLOOKUP($C57,'[1]Paramètres Articles'!$B:$H,7,FALSE)),"Non Trouvé")</f>
        <v/>
      </c>
      <c r="U57" s="98" t="n"/>
      <c r="V57" s="95">
        <f>IFERROR(IF($C57="","",IF($P57="","",$T57*(1-$P57))),"Non Trouvé")</f>
        <v/>
      </c>
      <c r="W57" s="96" t="n"/>
      <c r="X57" s="95">
        <f>IFERROR(T57-V57,"")</f>
        <v/>
      </c>
      <c r="Y57" s="96" t="n"/>
      <c r="Z57" s="95">
        <f>IFERROR(IF(OR(T57=0,T57=""),0,T57*H57),"Non Trouvé")</f>
        <v/>
      </c>
      <c r="AB57" s="99">
        <f>AB56</f>
        <v/>
      </c>
      <c r="AC57" s="99">
        <f>AC56</f>
        <v/>
      </c>
      <c r="AD57" s="95">
        <f>IFERROR(IF($C57="","",IF($P$15="Cascade",$R57*(1-AC57)*AB57,IF($P$15="Additionnelle",($N57-($N57*($P57+AC57)))*AB57))),"Non Trouvé")</f>
        <v/>
      </c>
      <c r="AG57" s="99">
        <f>AG56</f>
        <v/>
      </c>
      <c r="AH57" s="99">
        <f>AH56</f>
        <v/>
      </c>
      <c r="AI57" s="95">
        <f>IFERROR(IF($C57="","",IF($P$15="Cascade",$R57*(1-AH57)*AG57,IF($P$15="Additionnelle",($N57-($N57*($P57+AH57)))*AG57))),"Non Trouvé")</f>
        <v/>
      </c>
      <c r="AL57" s="99">
        <f>AL56</f>
        <v/>
      </c>
      <c r="AM57" s="99">
        <f>AM56</f>
        <v/>
      </c>
      <c r="AN57" s="95">
        <f>IFERROR(IF($C57="","",IF($P$15="Cascade",$R57*(1-AM57)*AL57,IF($P$15="Additionnelle",($N57-($N57*($P57+AM57)))*AL57))),"Non Trouvé")</f>
        <v/>
      </c>
      <c r="AQ57" s="99">
        <f>AQ56</f>
        <v/>
      </c>
      <c r="AR57" s="99">
        <f>AR56</f>
        <v/>
      </c>
      <c r="AS57" s="95">
        <f>IFERROR(IF($C57="","",IF($P$15="Cascade",$R57*(1-AR57)*AQ57,IF($P$15="Additionnelle",($N57-($N57*($P57+AR57)))*AQ57))),"Non Trouvé")</f>
        <v/>
      </c>
      <c r="AV57" s="99">
        <f>AV56</f>
        <v/>
      </c>
      <c r="AW57" s="99">
        <f>AW56</f>
        <v/>
      </c>
      <c r="AX57" s="95">
        <f>IFERROR(IF($C57="","",IF($P$15="Cascade",$R57*(1-AW57)*AV57,IF($P$15="Additionnelle",($N57-($N57*($P57+AW57)))*AV57))),"Non Trouvé")</f>
        <v/>
      </c>
      <c r="BA57" s="99">
        <f>BA56</f>
        <v/>
      </c>
      <c r="BB57" s="99">
        <f>BB56</f>
        <v/>
      </c>
      <c r="BC57" s="95">
        <f>IFERROR(IF($C57="","",IF($P$15="Cascade",$R57*(1-BB57)*BA57,IF($P$15="Additionnelle",($N57-($N57*($P57+BB57)))*BA57))),"Non Trouvé")</f>
        <v/>
      </c>
      <c r="BF57" s="99">
        <f>BF56</f>
        <v/>
      </c>
      <c r="BG57" s="99">
        <f>BG56</f>
        <v/>
      </c>
      <c r="BH57" s="95">
        <f>IFERROR(IF($C57="","",IF($P$15="Cascade",$R57*(1-BG57)*BF57,IF($P$15="Additionnelle",($N57-($N57*($P57+BG57)))*BF57))),"Non Trouvé")</f>
        <v/>
      </c>
      <c r="BK57" s="99">
        <f>BK56</f>
        <v/>
      </c>
      <c r="BL57" s="99">
        <f>BL56</f>
        <v/>
      </c>
      <c r="BM57" s="95">
        <f>IFERROR(IF($C57="","",IF($P$15="Cascade",$R57*(1-BL57)*BK57,IF($P$15="Additionnelle",($N57-($N57*($P57+BL57)))*BK57))),"Non Trouvé")</f>
        <v/>
      </c>
      <c r="BP57" s="99">
        <f>BP56</f>
        <v/>
      </c>
      <c r="BQ57" s="99">
        <f>BQ56</f>
        <v/>
      </c>
      <c r="BR57" s="95">
        <f>IFERROR(IF($C57="","",IF($P$15="Cascade",$R57*(1-BQ57)*BP57,IF($P$15="Additionnelle",($N57-($N57*($P57+BQ57)))*BP57))),"Non Trouvé")</f>
        <v/>
      </c>
      <c r="BU57" s="99">
        <f>BU56</f>
        <v/>
      </c>
      <c r="BV57" s="99">
        <f>BV56</f>
        <v/>
      </c>
      <c r="BW57" s="95">
        <f>IFERROR(IF($C57="","",IF($P$15="Cascade",$R57*(1-BV57)*BU57,IF($P$15="Additionnelle",($N57-($N57*($P57+BV57)))*BU57))),"Non Trouvé")</f>
        <v/>
      </c>
      <c r="BZ57" s="99">
        <f>BZ56</f>
        <v/>
      </c>
      <c r="CA57" s="99">
        <f>CA56</f>
        <v/>
      </c>
      <c r="CB57" s="95">
        <f>IFERROR(IF($C57="","",IF($P$15="Cascade",$R57*(1-CA57)*BZ57,IF($P$15="Additionnelle",($N57-($N57*($P57+CA57)))*BZ57))),"Non Trouvé")</f>
        <v/>
      </c>
      <c r="CE57" s="100" t="n"/>
      <c r="CF57" s="101" t="n"/>
      <c r="CG57" s="102" t="n"/>
      <c r="CH57" s="102" t="n"/>
      <c r="CI57" s="103" t="n"/>
      <c r="CK57" s="104">
        <f>IFERROR(IF(F57='[1]Paramètres Généraux'!$K$12,ROUNDUP((REGENERANTS!H57*REGENERANTS!$CF$20)*'[1]Paramètres Généraux'!$M$12,-1),IF(F57='[1]Paramètres Généraux'!$K$15,ROUNDUP((REGENERANTS!H57*REGENERANTS!$CF$20)*'[1]Paramètres Généraux'!$M$15,-1),REGENERANTS!H57*REGENERANTS!$CF$20)),"nd")</f>
        <v/>
      </c>
      <c r="CN57" s="153" t="n"/>
      <c r="CO57" s="154" t="n"/>
      <c r="CP57" s="154" t="n"/>
      <c r="CQ57" s="154" t="n"/>
      <c r="CR57" s="154" t="n"/>
      <c r="CS57" s="151" t="n"/>
      <c r="CT57" s="154" t="n"/>
      <c r="CU57" s="154" t="n"/>
      <c r="CV57" s="155" t="n"/>
      <c r="CW57" s="143" t="n"/>
      <c r="CX57" s="156" t="n"/>
      <c r="CY57" s="157" t="n"/>
      <c r="CZ57" s="143" t="n"/>
      <c r="DA57" s="156" t="n"/>
      <c r="DB57" s="157" t="n"/>
      <c r="DC57" s="143" t="n"/>
      <c r="DD57" s="156" t="n"/>
      <c r="DE57" s="157" t="n"/>
      <c r="DF57" s="143" t="n"/>
      <c r="DG57" s="143" t="n"/>
      <c r="DH57" s="143" t="n"/>
      <c r="DI57" s="143" t="n"/>
      <c r="DJ57" s="143" t="n"/>
      <c r="DK57" s="143" t="n"/>
      <c r="DL57" s="143" t="n"/>
      <c r="DM57" s="143" t="n"/>
      <c r="DN57" s="143" t="n"/>
      <c r="DO57" s="156" t="n"/>
      <c r="DP57" s="157" t="n"/>
      <c r="DQ57" s="20">
        <f>SUM(CN57:DP57)</f>
        <v/>
      </c>
      <c r="DR57" s="20">
        <f>SUM(CV57:DP57)</f>
        <v/>
      </c>
      <c r="DS57" s="20">
        <f>IFERROR((IF(AND($F57="Produit Vente",CO57&gt;0),VLOOKUP($C57,'[1]Paramètres Articles'!$B:$H,7,FALSE)*$CO57)*(1-20%)),0)</f>
        <v/>
      </c>
      <c r="DT57" s="20">
        <f>IFERROR((IF(AND($F57="Produit Vente",DR57&gt;0),VLOOKUP($C57,'[1]Paramètres Articles'!$B:$H,6,FALSE)*$DR57)*(1-15%)),0)</f>
        <v/>
      </c>
      <c r="DU57" s="20">
        <f>IFERROR(DQ57*J57,0)</f>
        <v/>
      </c>
    </row>
    <row r="58" outlineLevel="1" collapsed="1" ht="12.95" customHeight="1">
      <c r="B58" s="1">
        <f>IF(C58="",0,COUNTIFS($B$22:B57,"&gt;"&amp;0)+1)</f>
        <v/>
      </c>
      <c r="C58" s="90" t="n"/>
      <c r="D58" s="91">
        <f>IFERROR(IF($C58="","",VLOOKUP($C58,'[1]Paramètres Articles'!$B:$G,2,FALSE)),"Non Trouvé")</f>
        <v/>
      </c>
      <c r="E58" s="92">
        <f>IFERROR(IF($C58="","",_xlfn.XLOOKUP(REGENERANTS!$C58,'[1]New Base PA'!$F:$F,'[1]New Base PA'!$D:$D,"Not Found",0)),"Non Trouvé")</f>
        <v/>
      </c>
      <c r="F58" s="93" t="n"/>
      <c r="H58" s="106" t="n"/>
      <c r="J58" s="95">
        <f>IFERROR(IF($C58="","",VLOOKUP($C58,'[1]New Base PA'!$F:$J,5,FALSE)),"Non Trouvé")</f>
        <v/>
      </c>
      <c r="K58" s="136">
        <f>IFERROR(IF($C58="","",$J58*$H58),"Non Trouvé")</f>
        <v/>
      </c>
      <c r="L58" s="137" t="n"/>
      <c r="M58" s="136">
        <f>IFERROR(IF(AND($F58="Produit Vente",H58&gt;0),VLOOKUP($C58,'[1]Paramètres Articles'!$B:$G,6,FALSE),0),"Non Trouvé")</f>
        <v/>
      </c>
      <c r="N58" s="136">
        <f>IFERROR(IF($C58="","",$M58*$H58),"Non Trouvé")</f>
        <v/>
      </c>
      <c r="P58" s="97" t="n"/>
      <c r="R58" s="95">
        <f>IFERROR(IF($C58="","",$N58*(1-$P58)),"Non Trouvé")</f>
        <v/>
      </c>
      <c r="S58" s="96" t="n"/>
      <c r="T58" s="95">
        <f>IFERROR(IF($C58="","",VLOOKUP($C58,'[1]Paramètres Articles'!$B:$H,7,FALSE)),"Non Trouvé")</f>
        <v/>
      </c>
      <c r="U58" s="98" t="n"/>
      <c r="V58" s="95">
        <f>IFERROR(IF($C58="","",IF($P58="","",$T58*(1-$P58))),"Non Trouvé")</f>
        <v/>
      </c>
      <c r="W58" s="96" t="n"/>
      <c r="X58" s="95">
        <f>IFERROR(T58-V58,"")</f>
        <v/>
      </c>
      <c r="Y58" s="96" t="n"/>
      <c r="Z58" s="95">
        <f>IFERROR(IF(OR(T58=0,T58=""),0,T58*H58),"Non Trouvé")</f>
        <v/>
      </c>
      <c r="AB58" s="99">
        <f>AB57</f>
        <v/>
      </c>
      <c r="AC58" s="99">
        <f>AC57</f>
        <v/>
      </c>
      <c r="AD58" s="95">
        <f>IFERROR(IF($C58="","",IF($P$15="Cascade",$R58*(1-AC58)*AB58,IF($P$15="Additionnelle",($N58-($N58*($P58+AC58)))*AB58))),"Non Trouvé")</f>
        <v/>
      </c>
      <c r="AG58" s="99">
        <f>AG57</f>
        <v/>
      </c>
      <c r="AH58" s="99">
        <f>AH57</f>
        <v/>
      </c>
      <c r="AI58" s="95">
        <f>IFERROR(IF($C58="","",IF($P$15="Cascade",$R58*(1-AH58)*AG58,IF($P$15="Additionnelle",($N58-($N58*($P58+AH58)))*AG58))),"Non Trouvé")</f>
        <v/>
      </c>
      <c r="AL58" s="99">
        <f>AL57</f>
        <v/>
      </c>
      <c r="AM58" s="99">
        <f>AM57</f>
        <v/>
      </c>
      <c r="AN58" s="95">
        <f>IFERROR(IF($C58="","",IF($P$15="Cascade",$R58*(1-AM58)*AL58,IF($P$15="Additionnelle",($N58-($N58*($P58+AM58)))*AL58))),"Non Trouvé")</f>
        <v/>
      </c>
      <c r="AQ58" s="99">
        <f>AQ57</f>
        <v/>
      </c>
      <c r="AR58" s="99">
        <f>AR57</f>
        <v/>
      </c>
      <c r="AS58" s="95">
        <f>IFERROR(IF($C58="","",IF($P$15="Cascade",$R58*(1-AR58)*AQ58,IF($P$15="Additionnelle",($N58-($N58*($P58+AR58)))*AQ58))),"Non Trouvé")</f>
        <v/>
      </c>
      <c r="AV58" s="99">
        <f>AV57</f>
        <v/>
      </c>
      <c r="AW58" s="99">
        <f>AW57</f>
        <v/>
      </c>
      <c r="AX58" s="95">
        <f>IFERROR(IF($C58="","",IF($P$15="Cascade",$R58*(1-AW58)*AV58,IF($P$15="Additionnelle",($N58-($N58*($P58+AW58)))*AV58))),"Non Trouvé")</f>
        <v/>
      </c>
      <c r="BA58" s="99">
        <f>BA57</f>
        <v/>
      </c>
      <c r="BB58" s="99">
        <f>BB57</f>
        <v/>
      </c>
      <c r="BC58" s="95">
        <f>IFERROR(IF($C58="","",IF($P$15="Cascade",$R58*(1-BB58)*BA58,IF($P$15="Additionnelle",($N58-($N58*($P58+BB58)))*BA58))),"Non Trouvé")</f>
        <v/>
      </c>
      <c r="BF58" s="99">
        <f>BF57</f>
        <v/>
      </c>
      <c r="BG58" s="99">
        <f>BG57</f>
        <v/>
      </c>
      <c r="BH58" s="95">
        <f>IFERROR(IF($C58="","",IF($P$15="Cascade",$R58*(1-BG58)*BF58,IF($P$15="Additionnelle",($N58-($N58*($P58+BG58)))*BF58))),"Non Trouvé")</f>
        <v/>
      </c>
      <c r="BK58" s="99">
        <f>BK57</f>
        <v/>
      </c>
      <c r="BL58" s="99">
        <f>BL57</f>
        <v/>
      </c>
      <c r="BM58" s="95">
        <f>IFERROR(IF($C58="","",IF($P$15="Cascade",$R58*(1-BL58)*BK58,IF($P$15="Additionnelle",($N58-($N58*($P58+BL58)))*BK58))),"Non Trouvé")</f>
        <v/>
      </c>
      <c r="BP58" s="99">
        <f>BP57</f>
        <v/>
      </c>
      <c r="BQ58" s="99">
        <f>BQ57</f>
        <v/>
      </c>
      <c r="BR58" s="95">
        <f>IFERROR(IF($C58="","",IF($P$15="Cascade",$R58*(1-BQ58)*BP58,IF($P$15="Additionnelle",($N58-($N58*($P58+BQ58)))*BP58))),"Non Trouvé")</f>
        <v/>
      </c>
      <c r="BU58" s="99">
        <f>BU57</f>
        <v/>
      </c>
      <c r="BV58" s="99">
        <f>BV57</f>
        <v/>
      </c>
      <c r="BW58" s="95">
        <f>IFERROR(IF($C58="","",IF($P$15="Cascade",$R58*(1-BV58)*BU58,IF($P$15="Additionnelle",($N58-($N58*($P58+BV58)))*BU58))),"Non Trouvé")</f>
        <v/>
      </c>
      <c r="BZ58" s="99">
        <f>BZ57</f>
        <v/>
      </c>
      <c r="CA58" s="99">
        <f>CA57</f>
        <v/>
      </c>
      <c r="CB58" s="95">
        <f>IFERROR(IF($C58="","",IF($P$15="Cascade",$R58*(1-CA58)*BZ58,IF($P$15="Additionnelle",($N58-($N58*($P58+CA58)))*BZ58))),"Non Trouvé")</f>
        <v/>
      </c>
      <c r="CE58" s="100" t="n"/>
      <c r="CF58" s="101" t="n"/>
      <c r="CG58" s="102" t="n"/>
      <c r="CH58" s="102" t="n"/>
      <c r="CI58" s="103" t="n"/>
      <c r="CK58" s="104">
        <f>IFERROR(IF(F58='[1]Paramètres Généraux'!$K$12,ROUNDUP((REGENERANTS!H58*REGENERANTS!$CF$20)*'[1]Paramètres Généraux'!$M$12,-1),IF(F58='[1]Paramètres Généraux'!$K$15,ROUNDUP((REGENERANTS!H58*REGENERANTS!$CF$20)*'[1]Paramètres Généraux'!$M$15,-1),REGENERANTS!H58*REGENERANTS!$CF$20)),"nd")</f>
        <v/>
      </c>
      <c r="CN58" s="153" t="n"/>
      <c r="CO58" s="154" t="n"/>
      <c r="CP58" s="154" t="n"/>
      <c r="CQ58" s="154" t="n"/>
      <c r="CR58" s="154" t="n"/>
      <c r="CS58" s="151" t="n"/>
      <c r="CT58" s="154" t="n"/>
      <c r="CU58" s="154" t="n"/>
      <c r="CV58" s="155" t="n"/>
      <c r="CW58" s="143" t="n"/>
      <c r="CX58" s="156" t="n"/>
      <c r="CY58" s="157" t="n"/>
      <c r="CZ58" s="143" t="n"/>
      <c r="DA58" s="156" t="n"/>
      <c r="DB58" s="157" t="n"/>
      <c r="DC58" s="143" t="n"/>
      <c r="DD58" s="156" t="n"/>
      <c r="DE58" s="157" t="n"/>
      <c r="DF58" s="143" t="n"/>
      <c r="DG58" s="143" t="n"/>
      <c r="DH58" s="143" t="n"/>
      <c r="DI58" s="143" t="n"/>
      <c r="DJ58" s="143" t="n"/>
      <c r="DK58" s="143" t="n"/>
      <c r="DL58" s="143" t="n"/>
      <c r="DM58" s="143" t="n"/>
      <c r="DN58" s="143" t="n"/>
      <c r="DO58" s="156" t="n"/>
      <c r="DP58" s="157" t="n"/>
      <c r="DQ58" s="20">
        <f>SUM(CN58:DP58)</f>
        <v/>
      </c>
      <c r="DR58" s="20">
        <f>SUM(CV58:DP58)</f>
        <v/>
      </c>
      <c r="DS58" s="20">
        <f>IFERROR((IF(AND($F58="Produit Vente",CO58&gt;0),VLOOKUP($C58,'[1]Paramètres Articles'!$B:$H,7,FALSE)*$CO58)*(1-20%)),0)</f>
        <v/>
      </c>
      <c r="DT58" s="20">
        <f>IFERROR((IF(AND($F58="Produit Vente",DR58&gt;0),VLOOKUP($C58,'[1]Paramètres Articles'!$B:$H,6,FALSE)*$DR58)*(1-15%)),0)</f>
        <v/>
      </c>
      <c r="DU58" s="20">
        <f>IFERROR(DQ58*J58,0)</f>
        <v/>
      </c>
    </row>
    <row r="59" outlineLevel="1" collapsed="1" ht="12.95" customHeight="1">
      <c r="B59" s="1">
        <f>IF(C59="",0,COUNTIFS($B$22:B58,"&gt;"&amp;0)+1)</f>
        <v/>
      </c>
      <c r="C59" s="90" t="n"/>
      <c r="D59" s="91">
        <f>IFERROR(IF($C59="","",VLOOKUP($C59,'[1]Paramètres Articles'!$B:$G,2,FALSE)),"Non Trouvé")</f>
        <v/>
      </c>
      <c r="E59" s="92">
        <f>IFERROR(IF($C59="","",_xlfn.XLOOKUP(REGENERANTS!$C59,'[1]New Base PA'!$F:$F,'[1]New Base PA'!$D:$D,"Not Found",0)),"Non Trouvé")</f>
        <v/>
      </c>
      <c r="F59" s="93" t="n"/>
      <c r="H59" s="106" t="n"/>
      <c r="J59" s="95">
        <f>IFERROR(IF($C59="","",VLOOKUP($C59,'[1]New Base PA'!$F:$J,5,FALSE)),"Non Trouvé")</f>
        <v/>
      </c>
      <c r="K59" s="136">
        <f>IFERROR(IF($C59="","",$J59*$H59),"Non Trouvé")</f>
        <v/>
      </c>
      <c r="L59" s="137" t="n"/>
      <c r="M59" s="136">
        <f>IFERROR(IF(AND($F59="Produit Vente",H59&gt;0),VLOOKUP($C59,'[1]Paramètres Articles'!$B:$G,6,FALSE),0),"Non Trouvé")</f>
        <v/>
      </c>
      <c r="N59" s="136">
        <f>IFERROR(IF($C59="","",$M59*$H59),"Non Trouvé")</f>
        <v/>
      </c>
      <c r="P59" s="97" t="n"/>
      <c r="R59" s="95">
        <f>IFERROR(IF($C59="","",$N59*(1-$P59)),"Non Trouvé")</f>
        <v/>
      </c>
      <c r="S59" s="96" t="n"/>
      <c r="T59" s="95">
        <f>IFERROR(IF($C59="","",VLOOKUP($C59,'[1]Paramètres Articles'!$B:$H,7,FALSE)),"Non Trouvé")</f>
        <v/>
      </c>
      <c r="U59" s="98" t="n"/>
      <c r="V59" s="95">
        <f>IFERROR(IF($C59="","",IF($P59="","",$T59*(1-$P59))),"Non Trouvé")</f>
        <v/>
      </c>
      <c r="W59" s="96" t="n"/>
      <c r="X59" s="95">
        <f>IFERROR(T59-V59,"")</f>
        <v/>
      </c>
      <c r="Y59" s="96" t="n"/>
      <c r="Z59" s="95">
        <f>IFERROR(IF(OR(T59=0,T59=""),0,T59*H59),"Non Trouvé")</f>
        <v/>
      </c>
      <c r="AB59" s="99">
        <f>AB58</f>
        <v/>
      </c>
      <c r="AC59" s="99">
        <f>AC58</f>
        <v/>
      </c>
      <c r="AD59" s="95">
        <f>IFERROR(IF($C59="","",IF($P$15="Cascade",$R59*(1-AC59)*AB59,IF($P$15="Additionnelle",($N59-($N59*($P59+AC59)))*AB59))),"Non Trouvé")</f>
        <v/>
      </c>
      <c r="AG59" s="99">
        <f>AG58</f>
        <v/>
      </c>
      <c r="AH59" s="99">
        <f>AH58</f>
        <v/>
      </c>
      <c r="AI59" s="95">
        <f>IFERROR(IF($C59="","",IF($P$15="Cascade",$R59*(1-AH59)*AG59,IF($P$15="Additionnelle",($N59-($N59*($P59+AH59)))*AG59))),"Non Trouvé")</f>
        <v/>
      </c>
      <c r="AL59" s="99">
        <f>AL58</f>
        <v/>
      </c>
      <c r="AM59" s="99">
        <f>AM58</f>
        <v/>
      </c>
      <c r="AN59" s="95">
        <f>IFERROR(IF($C59="","",IF($P$15="Cascade",$R59*(1-AM59)*AL59,IF($P$15="Additionnelle",($N59-($N59*($P59+AM59)))*AL59))),"Non Trouvé")</f>
        <v/>
      </c>
      <c r="AQ59" s="99">
        <f>AQ58</f>
        <v/>
      </c>
      <c r="AR59" s="99">
        <f>AR58</f>
        <v/>
      </c>
      <c r="AS59" s="95">
        <f>IFERROR(IF($C59="","",IF($P$15="Cascade",$R59*(1-AR59)*AQ59,IF($P$15="Additionnelle",($N59-($N59*($P59+AR59)))*AQ59))),"Non Trouvé")</f>
        <v/>
      </c>
      <c r="AV59" s="99">
        <f>AV58</f>
        <v/>
      </c>
      <c r="AW59" s="99">
        <f>AW58</f>
        <v/>
      </c>
      <c r="AX59" s="95">
        <f>IFERROR(IF($C59="","",IF($P$15="Cascade",$R59*(1-AW59)*AV59,IF($P$15="Additionnelle",($N59-($N59*($P59+AW59)))*AV59))),"Non Trouvé")</f>
        <v/>
      </c>
      <c r="BA59" s="99">
        <f>BA58</f>
        <v/>
      </c>
      <c r="BB59" s="99">
        <f>BB58</f>
        <v/>
      </c>
      <c r="BC59" s="95">
        <f>IFERROR(IF($C59="","",IF($P$15="Cascade",$R59*(1-BB59)*BA59,IF($P$15="Additionnelle",($N59-($N59*($P59+BB59)))*BA59))),"Non Trouvé")</f>
        <v/>
      </c>
      <c r="BF59" s="99">
        <f>BF58</f>
        <v/>
      </c>
      <c r="BG59" s="99">
        <f>BG58</f>
        <v/>
      </c>
      <c r="BH59" s="95">
        <f>IFERROR(IF($C59="","",IF($P$15="Cascade",$R59*(1-BG59)*BF59,IF($P$15="Additionnelle",($N59-($N59*($P59+BG59)))*BF59))),"Non Trouvé")</f>
        <v/>
      </c>
      <c r="BK59" s="99">
        <f>BK58</f>
        <v/>
      </c>
      <c r="BL59" s="99">
        <f>BL58</f>
        <v/>
      </c>
      <c r="BM59" s="95">
        <f>IFERROR(IF($C59="","",IF($P$15="Cascade",$R59*(1-BL59)*BK59,IF($P$15="Additionnelle",($N59-($N59*($P59+BL59)))*BK59))),"Non Trouvé")</f>
        <v/>
      </c>
      <c r="BP59" s="99">
        <f>BP58</f>
        <v/>
      </c>
      <c r="BQ59" s="99">
        <f>BQ58</f>
        <v/>
      </c>
      <c r="BR59" s="95">
        <f>IFERROR(IF($C59="","",IF($P$15="Cascade",$R59*(1-BQ59)*BP59,IF($P$15="Additionnelle",($N59-($N59*($P59+BQ59)))*BP59))),"Non Trouvé")</f>
        <v/>
      </c>
      <c r="BU59" s="99">
        <f>BU58</f>
        <v/>
      </c>
      <c r="BV59" s="99">
        <f>BV58</f>
        <v/>
      </c>
      <c r="BW59" s="95">
        <f>IFERROR(IF($C59="","",IF($P$15="Cascade",$R59*(1-BV59)*BU59,IF($P$15="Additionnelle",($N59-($N59*($P59+BV59)))*BU59))),"Non Trouvé")</f>
        <v/>
      </c>
      <c r="BZ59" s="99">
        <f>BZ58</f>
        <v/>
      </c>
      <c r="CA59" s="99">
        <f>CA58</f>
        <v/>
      </c>
      <c r="CB59" s="95">
        <f>IFERROR(IF($C59="","",IF($P$15="Cascade",$R59*(1-CA59)*BZ59,IF($P$15="Additionnelle",($N59-($N59*($P59+CA59)))*BZ59))),"Non Trouvé")</f>
        <v/>
      </c>
      <c r="CE59" s="100" t="n"/>
      <c r="CF59" s="101" t="n"/>
      <c r="CG59" s="102" t="n"/>
      <c r="CH59" s="102" t="n"/>
      <c r="CI59" s="103" t="n"/>
      <c r="CK59" s="104">
        <f>IFERROR(IF(F59='[1]Paramètres Généraux'!$K$12,ROUNDUP((REGENERANTS!H59*REGENERANTS!$CF$20)*'[1]Paramètres Généraux'!$M$12,-1),IF(F59='[1]Paramètres Généraux'!$K$15,ROUNDUP((REGENERANTS!H59*REGENERANTS!$CF$20)*'[1]Paramètres Généraux'!$M$15,-1),REGENERANTS!H59*REGENERANTS!$CF$20)),"nd")</f>
        <v/>
      </c>
      <c r="CN59" s="153" t="n"/>
      <c r="CO59" s="154" t="n"/>
      <c r="CP59" s="154" t="n"/>
      <c r="CQ59" s="154" t="n"/>
      <c r="CR59" s="154" t="n"/>
      <c r="CS59" s="151" t="n"/>
      <c r="CT59" s="154" t="n"/>
      <c r="CU59" s="154" t="n"/>
      <c r="CV59" s="155" t="n"/>
      <c r="CW59" s="143" t="n"/>
      <c r="CX59" s="156" t="n"/>
      <c r="CY59" s="157" t="n"/>
      <c r="CZ59" s="143" t="n"/>
      <c r="DA59" s="156" t="n"/>
      <c r="DB59" s="157" t="n"/>
      <c r="DC59" s="143" t="n"/>
      <c r="DD59" s="156" t="n"/>
      <c r="DE59" s="157" t="n"/>
      <c r="DF59" s="143" t="n"/>
      <c r="DG59" s="143" t="n"/>
      <c r="DH59" s="143" t="n"/>
      <c r="DI59" s="143" t="n"/>
      <c r="DJ59" s="143" t="n"/>
      <c r="DK59" s="143" t="n"/>
      <c r="DL59" s="143" t="n"/>
      <c r="DM59" s="143" t="n"/>
      <c r="DN59" s="143" t="n"/>
      <c r="DO59" s="156" t="n"/>
      <c r="DP59" s="157" t="n"/>
      <c r="DQ59" s="20">
        <f>SUM(CN59:DP59)</f>
        <v/>
      </c>
      <c r="DR59" s="20">
        <f>SUM(CV59:DP59)</f>
        <v/>
      </c>
      <c r="DS59" s="20">
        <f>IFERROR((IF(AND($F59="Produit Vente",CO59&gt;0),VLOOKUP($C59,'[1]Paramètres Articles'!$B:$H,7,FALSE)*$CO59)*(1-20%)),0)</f>
        <v/>
      </c>
      <c r="DT59" s="20">
        <f>IFERROR((IF(AND($F59="Produit Vente",DR59&gt;0),VLOOKUP($C59,'[1]Paramètres Articles'!$B:$H,6,FALSE)*$DR59)*(1-15%)),0)</f>
        <v/>
      </c>
      <c r="DU59" s="20">
        <f>IFERROR(DQ59*J59,0)</f>
        <v/>
      </c>
    </row>
    <row r="60" outlineLevel="1" collapsed="1" ht="12.95" customHeight="1">
      <c r="B60" s="1">
        <f>IF(C60="",0,COUNTIFS($B$22:B59,"&gt;"&amp;0)+1)</f>
        <v/>
      </c>
      <c r="C60" s="90" t="n"/>
      <c r="D60" s="91">
        <f>IFERROR(IF($C60="","",VLOOKUP($C60,'[1]Paramètres Articles'!$B:$G,2,FALSE)),"Non Trouvé")</f>
        <v/>
      </c>
      <c r="E60" s="92">
        <f>IFERROR(IF($C60="","",_xlfn.XLOOKUP(REGENERANTS!$C60,'[1]New Base PA'!$F:$F,'[1]New Base PA'!$D:$D,"Not Found",0)),"Non Trouvé")</f>
        <v/>
      </c>
      <c r="F60" s="93" t="n"/>
      <c r="H60" s="106" t="n"/>
      <c r="J60" s="95">
        <f>IFERROR(IF($C60="","",VLOOKUP($C60,'[1]New Base PA'!$F:$J,5,FALSE)),"Non Trouvé")</f>
        <v/>
      </c>
      <c r="K60" s="136">
        <f>IFERROR(IF($C60="","",$J60*$H60),"Non Trouvé")</f>
        <v/>
      </c>
      <c r="L60" s="137" t="n"/>
      <c r="M60" s="136">
        <f>IFERROR(IF(AND($F60="Produit Vente",H60&gt;0),VLOOKUP($C60,'[1]Paramètres Articles'!$B:$G,6,FALSE),0),"Non Trouvé")</f>
        <v/>
      </c>
      <c r="N60" s="136">
        <f>IFERROR(IF($C60="","",$M60*$H60),"Non Trouvé")</f>
        <v/>
      </c>
      <c r="P60" s="97" t="n"/>
      <c r="R60" s="95">
        <f>IFERROR(IF($C60="","",$N60*(1-$P60)),"Non Trouvé")</f>
        <v/>
      </c>
      <c r="S60" s="96" t="n"/>
      <c r="T60" s="95">
        <f>IFERROR(IF($C60="","",VLOOKUP($C60,'[1]Paramètres Articles'!$B:$H,7,FALSE)),"Non Trouvé")</f>
        <v/>
      </c>
      <c r="U60" s="98" t="n"/>
      <c r="V60" s="95">
        <f>IFERROR(IF($C60="","",IF($P60="","",$T60*(1-$P60))),"Non Trouvé")</f>
        <v/>
      </c>
      <c r="W60" s="96" t="n"/>
      <c r="X60" s="95">
        <f>IFERROR(T60-V60,"")</f>
        <v/>
      </c>
      <c r="Y60" s="96" t="n"/>
      <c r="Z60" s="95">
        <f>IFERROR(IF(OR(T60=0,T60=""),0,T60*H60),"Non Trouvé")</f>
        <v/>
      </c>
      <c r="AB60" s="99">
        <f>AB59</f>
        <v/>
      </c>
      <c r="AC60" s="99">
        <f>AC59</f>
        <v/>
      </c>
      <c r="AD60" s="95">
        <f>IFERROR(IF($C60="","",IF($P$15="Cascade",$R60*(1-AC60)*AB60,IF($P$15="Additionnelle",($N60-($N60*($P60+AC60)))*AB60))),"Non Trouvé")</f>
        <v/>
      </c>
      <c r="AG60" s="99">
        <f>AG59</f>
        <v/>
      </c>
      <c r="AH60" s="99">
        <f>AH59</f>
        <v/>
      </c>
      <c r="AI60" s="95">
        <f>IFERROR(IF($C60="","",IF($P$15="Cascade",$R60*(1-AH60)*AG60,IF($P$15="Additionnelle",($N60-($N60*($P60+AH60)))*AG60))),"Non Trouvé")</f>
        <v/>
      </c>
      <c r="AL60" s="99">
        <f>AL59</f>
        <v/>
      </c>
      <c r="AM60" s="99">
        <f>AM59</f>
        <v/>
      </c>
      <c r="AN60" s="95">
        <f>IFERROR(IF($C60="","",IF($P$15="Cascade",$R60*(1-AM60)*AL60,IF($P$15="Additionnelle",($N60-($N60*($P60+AM60)))*AL60))),"Non Trouvé")</f>
        <v/>
      </c>
      <c r="AQ60" s="99">
        <f>AQ59</f>
        <v/>
      </c>
      <c r="AR60" s="99">
        <f>AR59</f>
        <v/>
      </c>
      <c r="AS60" s="95">
        <f>IFERROR(IF($C60="","",IF($P$15="Cascade",$R60*(1-AR60)*AQ60,IF($P$15="Additionnelle",($N60-($N60*($P60+AR60)))*AQ60))),"Non Trouvé")</f>
        <v/>
      </c>
      <c r="AV60" s="99">
        <f>AV59</f>
        <v/>
      </c>
      <c r="AW60" s="99">
        <f>AW59</f>
        <v/>
      </c>
      <c r="AX60" s="95">
        <f>IFERROR(IF($C60="","",IF($P$15="Cascade",$R60*(1-AW60)*AV60,IF($P$15="Additionnelle",($N60-($N60*($P60+AW60)))*AV60))),"Non Trouvé")</f>
        <v/>
      </c>
      <c r="BA60" s="99">
        <f>BA59</f>
        <v/>
      </c>
      <c r="BB60" s="99">
        <f>BB59</f>
        <v/>
      </c>
      <c r="BC60" s="95">
        <f>IFERROR(IF($C60="","",IF($P$15="Cascade",$R60*(1-BB60)*BA60,IF($P$15="Additionnelle",($N60-($N60*($P60+BB60)))*BA60))),"Non Trouvé")</f>
        <v/>
      </c>
      <c r="BF60" s="99">
        <f>BF59</f>
        <v/>
      </c>
      <c r="BG60" s="99">
        <f>BG59</f>
        <v/>
      </c>
      <c r="BH60" s="95">
        <f>IFERROR(IF($C60="","",IF($P$15="Cascade",$R60*(1-BG60)*BF60,IF($P$15="Additionnelle",($N60-($N60*($P60+BG60)))*BF60))),"Non Trouvé")</f>
        <v/>
      </c>
      <c r="BK60" s="99">
        <f>BK59</f>
        <v/>
      </c>
      <c r="BL60" s="99">
        <f>BL59</f>
        <v/>
      </c>
      <c r="BM60" s="95">
        <f>IFERROR(IF($C60="","",IF($P$15="Cascade",$R60*(1-BL60)*BK60,IF($P$15="Additionnelle",($N60-($N60*($P60+BL60)))*BK60))),"Non Trouvé")</f>
        <v/>
      </c>
      <c r="BP60" s="99">
        <f>BP59</f>
        <v/>
      </c>
      <c r="BQ60" s="99">
        <f>BQ59</f>
        <v/>
      </c>
      <c r="BR60" s="95">
        <f>IFERROR(IF($C60="","",IF($P$15="Cascade",$R60*(1-BQ60)*BP60,IF($P$15="Additionnelle",($N60-($N60*($P60+BQ60)))*BP60))),"Non Trouvé")</f>
        <v/>
      </c>
      <c r="BU60" s="99">
        <f>BU59</f>
        <v/>
      </c>
      <c r="BV60" s="99">
        <f>BV59</f>
        <v/>
      </c>
      <c r="BW60" s="95">
        <f>IFERROR(IF($C60="","",IF($P$15="Cascade",$R60*(1-BV60)*BU60,IF($P$15="Additionnelle",($N60-($N60*($P60+BV60)))*BU60))),"Non Trouvé")</f>
        <v/>
      </c>
      <c r="BZ60" s="99">
        <f>BZ59</f>
        <v/>
      </c>
      <c r="CA60" s="99">
        <f>CA59</f>
        <v/>
      </c>
      <c r="CB60" s="95">
        <f>IFERROR(IF($C60="","",IF($P$15="Cascade",$R60*(1-CA60)*BZ60,IF($P$15="Additionnelle",($N60-($N60*($P60+CA60)))*BZ60))),"Non Trouvé")</f>
        <v/>
      </c>
      <c r="CE60" s="100" t="n"/>
      <c r="CF60" s="101" t="n"/>
      <c r="CG60" s="102" t="n"/>
      <c r="CH60" s="102" t="n"/>
      <c r="CI60" s="103" t="n"/>
      <c r="CK60" s="104">
        <f>IFERROR(IF(F60='[1]Paramètres Généraux'!$K$12,ROUNDUP((REGENERANTS!H60*REGENERANTS!$CF$20)*'[1]Paramètres Généraux'!$M$12,-1),IF(F60='[1]Paramètres Généraux'!$K$15,ROUNDUP((REGENERANTS!H60*REGENERANTS!$CF$20)*'[1]Paramètres Généraux'!$M$15,-1),REGENERANTS!H60*REGENERANTS!$CF$20)),"nd")</f>
        <v/>
      </c>
      <c r="CN60" s="153" t="n"/>
      <c r="CO60" s="154" t="n"/>
      <c r="CP60" s="154" t="n"/>
      <c r="CQ60" s="154" t="n"/>
      <c r="CR60" s="154" t="n"/>
      <c r="CS60" s="151" t="n"/>
      <c r="CT60" s="154" t="n"/>
      <c r="CU60" s="154" t="n"/>
      <c r="CV60" s="155" t="n"/>
      <c r="CW60" s="143" t="n"/>
      <c r="CX60" s="156" t="n"/>
      <c r="CY60" s="157" t="n"/>
      <c r="CZ60" s="143" t="n"/>
      <c r="DA60" s="156" t="n"/>
      <c r="DB60" s="157" t="n"/>
      <c r="DC60" s="143" t="n"/>
      <c r="DD60" s="156" t="n"/>
      <c r="DE60" s="157" t="n"/>
      <c r="DF60" s="143" t="n"/>
      <c r="DG60" s="143" t="n"/>
      <c r="DH60" s="143" t="n"/>
      <c r="DI60" s="143" t="n"/>
      <c r="DJ60" s="143" t="n"/>
      <c r="DK60" s="143" t="n"/>
      <c r="DL60" s="143" t="n"/>
      <c r="DM60" s="143" t="n"/>
      <c r="DN60" s="143" t="n"/>
      <c r="DO60" s="156" t="n"/>
      <c r="DP60" s="157" t="n"/>
      <c r="DQ60" s="20">
        <f>SUM(CN60:DP60)</f>
        <v/>
      </c>
      <c r="DR60" s="20">
        <f>SUM(CV60:DP60)</f>
        <v/>
      </c>
      <c r="DS60" s="20">
        <f>IFERROR((IF(AND($F60="Produit Vente",CO60&gt;0),VLOOKUP($C60,'[1]Paramètres Articles'!$B:$H,7,FALSE)*$CO60)*(1-20%)),0)</f>
        <v/>
      </c>
      <c r="DT60" s="20">
        <f>IFERROR((IF(AND($F60="Produit Vente",DR60&gt;0),VLOOKUP($C60,'[1]Paramètres Articles'!$B:$H,6,FALSE)*$DR60)*(1-15%)),0)</f>
        <v/>
      </c>
      <c r="DU60" s="20">
        <f>IFERROR(DQ60*J60,0)</f>
        <v/>
      </c>
    </row>
    <row r="61" outlineLevel="1" collapsed="1" ht="12.95" customHeight="1">
      <c r="B61" s="1">
        <f>IF(C61="",0,COUNTIFS($B$22:B60,"&gt;"&amp;0)+1)</f>
        <v/>
      </c>
      <c r="C61" s="90" t="n"/>
      <c r="D61" s="91">
        <f>IFERROR(IF($C61="","",VLOOKUP($C61,'[1]Paramètres Articles'!$B:$G,2,FALSE)),"Non Trouvé")</f>
        <v/>
      </c>
      <c r="E61" s="92">
        <f>IFERROR(IF($C61="","",_xlfn.XLOOKUP(REGENERANTS!$C61,'[1]New Base PA'!$F:$F,'[1]New Base PA'!$D:$D,"Not Found",0)),"Non Trouvé")</f>
        <v/>
      </c>
      <c r="F61" s="93" t="n"/>
      <c r="H61" s="106" t="n"/>
      <c r="J61" s="95">
        <f>IFERROR(IF($C61="","",VLOOKUP($C61,'[1]New Base PA'!$F:$J,5,FALSE)),"Non Trouvé")</f>
        <v/>
      </c>
      <c r="K61" s="136">
        <f>IFERROR(IF($C61="","",$J61*$H61),"Non Trouvé")</f>
        <v/>
      </c>
      <c r="L61" s="137" t="n"/>
      <c r="M61" s="136">
        <f>IFERROR(IF(AND($F61="Produit Vente",H61&gt;0),VLOOKUP($C61,'[1]Paramètres Articles'!$B:$G,6,FALSE),0),"Non Trouvé")</f>
        <v/>
      </c>
      <c r="N61" s="136">
        <f>IFERROR(IF($C61="","",$M61*$H61),"Non Trouvé")</f>
        <v/>
      </c>
      <c r="P61" s="97" t="n"/>
      <c r="R61" s="95">
        <f>IFERROR(IF($C61="","",$N61*(1-$P61)),"Non Trouvé")</f>
        <v/>
      </c>
      <c r="S61" s="96" t="n"/>
      <c r="T61" s="95">
        <f>IFERROR(IF($C61="","",VLOOKUP($C61,'[1]Paramètres Articles'!$B:$H,7,FALSE)),"Non Trouvé")</f>
        <v/>
      </c>
      <c r="U61" s="98" t="n"/>
      <c r="V61" s="95">
        <f>IFERROR(IF($C61="","",IF($P61="","",$T61*(1-$P61))),"Non Trouvé")</f>
        <v/>
      </c>
      <c r="W61" s="96" t="n"/>
      <c r="X61" s="95">
        <f>IFERROR(T61-V61,"")</f>
        <v/>
      </c>
      <c r="Y61" s="96" t="n"/>
      <c r="Z61" s="95">
        <f>IFERROR(IF(OR(T61=0,T61=""),0,T61*H61),"Non Trouvé")</f>
        <v/>
      </c>
      <c r="AB61" s="99">
        <f>AB60</f>
        <v/>
      </c>
      <c r="AC61" s="99">
        <f>AC60</f>
        <v/>
      </c>
      <c r="AD61" s="95">
        <f>IFERROR(IF($C61="","",IF($P$15="Cascade",$R61*(1-AC61)*AB61,IF($P$15="Additionnelle",($N61-($N61*($P61+AC61)))*AB61))),"Non Trouvé")</f>
        <v/>
      </c>
      <c r="AG61" s="99">
        <f>AG60</f>
        <v/>
      </c>
      <c r="AH61" s="99">
        <f>AH60</f>
        <v/>
      </c>
      <c r="AI61" s="95">
        <f>IFERROR(IF($C61="","",IF($P$15="Cascade",$R61*(1-AH61)*AG61,IF($P$15="Additionnelle",($N61-($N61*($P61+AH61)))*AG61))),"Non Trouvé")</f>
        <v/>
      </c>
      <c r="AL61" s="99">
        <f>AL60</f>
        <v/>
      </c>
      <c r="AM61" s="99">
        <f>AM60</f>
        <v/>
      </c>
      <c r="AN61" s="95">
        <f>IFERROR(IF($C61="","",IF($P$15="Cascade",$R61*(1-AM61)*AL61,IF($P$15="Additionnelle",($N61-($N61*($P61+AM61)))*AL61))),"Non Trouvé")</f>
        <v/>
      </c>
      <c r="AQ61" s="99">
        <f>AQ60</f>
        <v/>
      </c>
      <c r="AR61" s="99">
        <f>AR60</f>
        <v/>
      </c>
      <c r="AS61" s="95">
        <f>IFERROR(IF($C61="","",IF($P$15="Cascade",$R61*(1-AR61)*AQ61,IF($P$15="Additionnelle",($N61-($N61*($P61+AR61)))*AQ61))),"Non Trouvé")</f>
        <v/>
      </c>
      <c r="AV61" s="99">
        <f>AV60</f>
        <v/>
      </c>
      <c r="AW61" s="99">
        <f>AW60</f>
        <v/>
      </c>
      <c r="AX61" s="95">
        <f>IFERROR(IF($C61="","",IF($P$15="Cascade",$R61*(1-AW61)*AV61,IF($P$15="Additionnelle",($N61-($N61*($P61+AW61)))*AV61))),"Non Trouvé")</f>
        <v/>
      </c>
      <c r="BA61" s="99">
        <f>BA60</f>
        <v/>
      </c>
      <c r="BB61" s="99">
        <f>BB60</f>
        <v/>
      </c>
      <c r="BC61" s="95">
        <f>IFERROR(IF($C61="","",IF($P$15="Cascade",$R61*(1-BB61)*BA61,IF($P$15="Additionnelle",($N61-($N61*($P61+BB61)))*BA61))),"Non Trouvé")</f>
        <v/>
      </c>
      <c r="BF61" s="99">
        <f>BF60</f>
        <v/>
      </c>
      <c r="BG61" s="99">
        <f>BG60</f>
        <v/>
      </c>
      <c r="BH61" s="95">
        <f>IFERROR(IF($C61="","",IF($P$15="Cascade",$R61*(1-BG61)*BF61,IF($P$15="Additionnelle",($N61-($N61*($P61+BG61)))*BF61))),"Non Trouvé")</f>
        <v/>
      </c>
      <c r="BK61" s="99">
        <f>BK60</f>
        <v/>
      </c>
      <c r="BL61" s="99">
        <f>BL60</f>
        <v/>
      </c>
      <c r="BM61" s="95">
        <f>IFERROR(IF($C61="","",IF($P$15="Cascade",$R61*(1-BL61)*BK61,IF($P$15="Additionnelle",($N61-($N61*($P61+BL61)))*BK61))),"Non Trouvé")</f>
        <v/>
      </c>
      <c r="BP61" s="99">
        <f>BP60</f>
        <v/>
      </c>
      <c r="BQ61" s="99">
        <f>BQ60</f>
        <v/>
      </c>
      <c r="BR61" s="95">
        <f>IFERROR(IF($C61="","",IF($P$15="Cascade",$R61*(1-BQ61)*BP61,IF($P$15="Additionnelle",($N61-($N61*($P61+BQ61)))*BP61))),"Non Trouvé")</f>
        <v/>
      </c>
      <c r="BU61" s="99">
        <f>BU60</f>
        <v/>
      </c>
      <c r="BV61" s="99">
        <f>BV60</f>
        <v/>
      </c>
      <c r="BW61" s="95">
        <f>IFERROR(IF($C61="","",IF($P$15="Cascade",$R61*(1-BV61)*BU61,IF($P$15="Additionnelle",($N61-($N61*($P61+BV61)))*BU61))),"Non Trouvé")</f>
        <v/>
      </c>
      <c r="BZ61" s="99">
        <f>BZ60</f>
        <v/>
      </c>
      <c r="CA61" s="99">
        <f>CA60</f>
        <v/>
      </c>
      <c r="CB61" s="95">
        <f>IFERROR(IF($C61="","",IF($P$15="Cascade",$R61*(1-CA61)*BZ61,IF($P$15="Additionnelle",($N61-($N61*($P61+CA61)))*BZ61))),"Non Trouvé")</f>
        <v/>
      </c>
      <c r="CE61" s="100" t="n"/>
      <c r="CF61" s="101" t="n"/>
      <c r="CG61" s="102" t="n"/>
      <c r="CH61" s="102" t="n"/>
      <c r="CI61" s="103" t="n"/>
      <c r="CK61" s="104">
        <f>IFERROR(IF(F61='[1]Paramètres Généraux'!$K$12,ROUNDUP((REGENERANTS!H61*REGENERANTS!$CF$20)*'[1]Paramètres Généraux'!$M$12,-1),IF(F61='[1]Paramètres Généraux'!$K$15,ROUNDUP((REGENERANTS!H61*REGENERANTS!$CF$20)*'[1]Paramètres Généraux'!$M$15,-1),REGENERANTS!H61*REGENERANTS!$CF$20)),"nd")</f>
        <v/>
      </c>
      <c r="CN61" s="153" t="n"/>
      <c r="CO61" s="154" t="n"/>
      <c r="CP61" s="154" t="n"/>
      <c r="CQ61" s="154" t="n"/>
      <c r="CR61" s="154" t="n"/>
      <c r="CS61" s="151" t="n"/>
      <c r="CT61" s="154" t="n"/>
      <c r="CU61" s="154" t="n"/>
      <c r="CV61" s="155" t="n"/>
      <c r="CW61" s="143" t="n"/>
      <c r="CX61" s="156" t="n"/>
      <c r="CY61" s="157" t="n"/>
      <c r="CZ61" s="143" t="n"/>
      <c r="DA61" s="156" t="n"/>
      <c r="DB61" s="157" t="n"/>
      <c r="DC61" s="143" t="n"/>
      <c r="DD61" s="156" t="n"/>
      <c r="DE61" s="157" t="n"/>
      <c r="DF61" s="143" t="n"/>
      <c r="DG61" s="143" t="n"/>
      <c r="DH61" s="143" t="n"/>
      <c r="DI61" s="143" t="n"/>
      <c r="DJ61" s="143" t="n"/>
      <c r="DK61" s="143" t="n"/>
      <c r="DL61" s="143" t="n"/>
      <c r="DM61" s="143" t="n"/>
      <c r="DN61" s="143" t="n"/>
      <c r="DO61" s="156" t="n"/>
      <c r="DP61" s="157" t="n"/>
      <c r="DQ61" s="20">
        <f>SUM(CN61:DP61)</f>
        <v/>
      </c>
      <c r="DR61" s="20">
        <f>SUM(CV61:DP61)</f>
        <v/>
      </c>
      <c r="DS61" s="20">
        <f>IFERROR((IF(AND($F61="Produit Vente",CO61&gt;0),VLOOKUP($C61,'[1]Paramètres Articles'!$B:$H,7,FALSE)*$CO61)*(1-20%)),0)</f>
        <v/>
      </c>
      <c r="DT61" s="20">
        <f>IFERROR((IF(AND($F61="Produit Vente",DR61&gt;0),VLOOKUP($C61,'[1]Paramètres Articles'!$B:$H,6,FALSE)*$DR61)*(1-15%)),0)</f>
        <v/>
      </c>
      <c r="DU61" s="20">
        <f>IFERROR(DQ61*J61,0)</f>
        <v/>
      </c>
    </row>
    <row r="62" outlineLevel="1" collapsed="1" ht="12.95" customHeight="1">
      <c r="B62" s="1">
        <f>IF(C62="",0,COUNTIFS($B$22:B61,"&gt;"&amp;0)+1)</f>
        <v/>
      </c>
      <c r="C62" s="90" t="n"/>
      <c r="D62" s="91">
        <f>IFERROR(IF($C62="","",VLOOKUP($C62,'[1]Paramètres Articles'!$B:$G,2,FALSE)),"Non Trouvé")</f>
        <v/>
      </c>
      <c r="E62" s="92">
        <f>IFERROR(IF($C62="","",_xlfn.XLOOKUP(REGENERANTS!$C62,'[1]New Base PA'!$F:$F,'[1]New Base PA'!$D:$D,"Not Found",0)),"Non Trouvé")</f>
        <v/>
      </c>
      <c r="F62" s="93" t="n"/>
      <c r="H62" s="106" t="n"/>
      <c r="J62" s="95">
        <f>IFERROR(IF($C62="","",VLOOKUP($C62,'[1]New Base PA'!$F:$J,5,FALSE)),"Non Trouvé")</f>
        <v/>
      </c>
      <c r="K62" s="136">
        <f>IFERROR(IF($C62="","",$J62*$H62),"Non Trouvé")</f>
        <v/>
      </c>
      <c r="L62" s="137" t="n"/>
      <c r="M62" s="136">
        <f>IFERROR(IF(AND($F62="Produit Vente",H62&gt;0),VLOOKUP($C62,'[1]Paramètres Articles'!$B:$G,6,FALSE),0),"Non Trouvé")</f>
        <v/>
      </c>
      <c r="N62" s="136">
        <f>IFERROR(IF($C62="","",$M62*$H62),"Non Trouvé")</f>
        <v/>
      </c>
      <c r="P62" s="97" t="n"/>
      <c r="R62" s="95">
        <f>IFERROR(IF($C62="","",$N62*(1-$P62)),"Non Trouvé")</f>
        <v/>
      </c>
      <c r="S62" s="96" t="n"/>
      <c r="T62" s="95">
        <f>IFERROR(IF($C62="","",VLOOKUP($C62,'[1]Paramètres Articles'!$B:$H,7,FALSE)),"Non Trouvé")</f>
        <v/>
      </c>
      <c r="U62" s="98" t="n"/>
      <c r="V62" s="95">
        <f>IFERROR(IF($C62="","",IF($P62="","",$T62*(1-$P62))),"Non Trouvé")</f>
        <v/>
      </c>
      <c r="W62" s="96" t="n"/>
      <c r="X62" s="95">
        <f>IFERROR(T62-V62,"")</f>
        <v/>
      </c>
      <c r="Y62" s="96" t="n"/>
      <c r="Z62" s="95">
        <f>IFERROR(IF(OR(T62=0,T62=""),0,T62*H62),"Non Trouvé")</f>
        <v/>
      </c>
      <c r="AB62" s="99">
        <f>AB61</f>
        <v/>
      </c>
      <c r="AC62" s="99">
        <f>AC61</f>
        <v/>
      </c>
      <c r="AD62" s="95">
        <f>IFERROR(IF($C62="","",IF($P$15="Cascade",$R62*(1-AC62)*AB62,IF($P$15="Additionnelle",($N62-($N62*($P62+AC62)))*AB62))),"Non Trouvé")</f>
        <v/>
      </c>
      <c r="AG62" s="99">
        <f>AG61</f>
        <v/>
      </c>
      <c r="AH62" s="99">
        <f>AH61</f>
        <v/>
      </c>
      <c r="AI62" s="95">
        <f>IFERROR(IF($C62="","",IF($P$15="Cascade",$R62*(1-AH62)*AG62,IF($P$15="Additionnelle",($N62-($N62*($P62+AH62)))*AG62))),"Non Trouvé")</f>
        <v/>
      </c>
      <c r="AL62" s="99">
        <f>AL61</f>
        <v/>
      </c>
      <c r="AM62" s="99">
        <f>AM61</f>
        <v/>
      </c>
      <c r="AN62" s="95">
        <f>IFERROR(IF($C62="","",IF($P$15="Cascade",$R62*(1-AM62)*AL62,IF($P$15="Additionnelle",($N62-($N62*($P62+AM62)))*AL62))),"Non Trouvé")</f>
        <v/>
      </c>
      <c r="AQ62" s="99">
        <f>AQ61</f>
        <v/>
      </c>
      <c r="AR62" s="99">
        <f>AR61</f>
        <v/>
      </c>
      <c r="AS62" s="95">
        <f>IFERROR(IF($C62="","",IF($P$15="Cascade",$R62*(1-AR62)*AQ62,IF($P$15="Additionnelle",($N62-($N62*($P62+AR62)))*AQ62))),"Non Trouvé")</f>
        <v/>
      </c>
      <c r="AV62" s="99">
        <f>AV61</f>
        <v/>
      </c>
      <c r="AW62" s="99">
        <f>AW61</f>
        <v/>
      </c>
      <c r="AX62" s="95">
        <f>IFERROR(IF($C62="","",IF($P$15="Cascade",$R62*(1-AW62)*AV62,IF($P$15="Additionnelle",($N62-($N62*($P62+AW62)))*AV62))),"Non Trouvé")</f>
        <v/>
      </c>
      <c r="BA62" s="99">
        <f>BA61</f>
        <v/>
      </c>
      <c r="BB62" s="99">
        <f>BB61</f>
        <v/>
      </c>
      <c r="BC62" s="95">
        <f>IFERROR(IF($C62="","",IF($P$15="Cascade",$R62*(1-BB62)*BA62,IF($P$15="Additionnelle",($N62-($N62*($P62+BB62)))*BA62))),"Non Trouvé")</f>
        <v/>
      </c>
      <c r="BF62" s="99">
        <f>BF61</f>
        <v/>
      </c>
      <c r="BG62" s="99">
        <f>BG61</f>
        <v/>
      </c>
      <c r="BH62" s="95">
        <f>IFERROR(IF($C62="","",IF($P$15="Cascade",$R62*(1-BG62)*BF62,IF($P$15="Additionnelle",($N62-($N62*($P62+BG62)))*BF62))),"Non Trouvé")</f>
        <v/>
      </c>
      <c r="BK62" s="99">
        <f>BK61</f>
        <v/>
      </c>
      <c r="BL62" s="99">
        <f>BL61</f>
        <v/>
      </c>
      <c r="BM62" s="95">
        <f>IFERROR(IF($C62="","",IF($P$15="Cascade",$R62*(1-BL62)*BK62,IF($P$15="Additionnelle",($N62-($N62*($P62+BL62)))*BK62))),"Non Trouvé")</f>
        <v/>
      </c>
      <c r="BP62" s="99">
        <f>BP61</f>
        <v/>
      </c>
      <c r="BQ62" s="99">
        <f>BQ61</f>
        <v/>
      </c>
      <c r="BR62" s="95">
        <f>IFERROR(IF($C62="","",IF($P$15="Cascade",$R62*(1-BQ62)*BP62,IF($P$15="Additionnelle",($N62-($N62*($P62+BQ62)))*BP62))),"Non Trouvé")</f>
        <v/>
      </c>
      <c r="BU62" s="99">
        <f>BU61</f>
        <v/>
      </c>
      <c r="BV62" s="99">
        <f>BV61</f>
        <v/>
      </c>
      <c r="BW62" s="95">
        <f>IFERROR(IF($C62="","",IF($P$15="Cascade",$R62*(1-BV62)*BU62,IF($P$15="Additionnelle",($N62-($N62*($P62+BV62)))*BU62))),"Non Trouvé")</f>
        <v/>
      </c>
      <c r="BZ62" s="99">
        <f>BZ61</f>
        <v/>
      </c>
      <c r="CA62" s="99">
        <f>CA61</f>
        <v/>
      </c>
      <c r="CB62" s="95">
        <f>IFERROR(IF($C62="","",IF($P$15="Cascade",$R62*(1-CA62)*BZ62,IF($P$15="Additionnelle",($N62-($N62*($P62+CA62)))*BZ62))),"Non Trouvé")</f>
        <v/>
      </c>
      <c r="CE62" s="100" t="n"/>
      <c r="CF62" s="101" t="n"/>
      <c r="CG62" s="102" t="n"/>
      <c r="CH62" s="102" t="n"/>
      <c r="CI62" s="103" t="n"/>
      <c r="CK62" s="104">
        <f>IFERROR(IF(F62='[1]Paramètres Généraux'!$K$12,ROUNDUP((REGENERANTS!H62*REGENERANTS!$CF$20)*'[1]Paramètres Généraux'!$M$12,-1),IF(F62='[1]Paramètres Généraux'!$K$15,ROUNDUP((REGENERANTS!H62*REGENERANTS!$CF$20)*'[1]Paramètres Généraux'!$M$15,-1),REGENERANTS!H62*REGENERANTS!$CF$20)),"nd")</f>
        <v/>
      </c>
      <c r="CN62" s="153" t="n"/>
      <c r="CO62" s="154" t="n"/>
      <c r="CP62" s="154" t="n"/>
      <c r="CQ62" s="154" t="n"/>
      <c r="CR62" s="154" t="n"/>
      <c r="CS62" s="151" t="n"/>
      <c r="CT62" s="154" t="n"/>
      <c r="CU62" s="154" t="n"/>
      <c r="CV62" s="155" t="n"/>
      <c r="CW62" s="143" t="n"/>
      <c r="CX62" s="156" t="n"/>
      <c r="CY62" s="157" t="n"/>
      <c r="CZ62" s="143" t="n"/>
      <c r="DA62" s="156" t="n"/>
      <c r="DB62" s="157" t="n"/>
      <c r="DC62" s="143" t="n"/>
      <c r="DD62" s="156" t="n"/>
      <c r="DE62" s="157" t="n"/>
      <c r="DF62" s="143" t="n"/>
      <c r="DG62" s="143" t="n"/>
      <c r="DH62" s="143" t="n"/>
      <c r="DI62" s="143" t="n"/>
      <c r="DJ62" s="143" t="n"/>
      <c r="DK62" s="143" t="n"/>
      <c r="DL62" s="143" t="n"/>
      <c r="DM62" s="143" t="n"/>
      <c r="DN62" s="143" t="n"/>
      <c r="DO62" s="156" t="n"/>
      <c r="DP62" s="157" t="n"/>
      <c r="DQ62" s="20">
        <f>SUM(CN62:DP62)</f>
        <v/>
      </c>
      <c r="DR62" s="20">
        <f>SUM(CV62:DP62)</f>
        <v/>
      </c>
      <c r="DS62" s="20">
        <f>IFERROR((IF(AND($F62="Produit Vente",CO62&gt;0),VLOOKUP($C62,'[1]Paramètres Articles'!$B:$H,7,FALSE)*$CO62)*(1-20%)),0)</f>
        <v/>
      </c>
      <c r="DT62" s="20">
        <f>IFERROR((IF(AND($F62="Produit Vente",DR62&gt;0),VLOOKUP($C62,'[1]Paramètres Articles'!$B:$H,6,FALSE)*$DR62)*(1-15%)),0)</f>
        <v/>
      </c>
      <c r="DU62" s="20">
        <f>IFERROR(DQ62*J62,0)</f>
        <v/>
      </c>
    </row>
    <row r="63">
      <c r="CE63" s="162" t="n"/>
      <c r="CF63" s="163" t="n"/>
      <c r="CG63" s="163" t="n"/>
      <c r="CH63" s="163" t="n"/>
      <c r="CI63" s="164" t="n"/>
      <c r="CK63" s="104" t="n"/>
      <c r="CN63" s="165" t="n"/>
      <c r="CO63" s="165" t="n"/>
      <c r="CP63" s="165" t="n"/>
      <c r="CQ63" s="165" t="n"/>
      <c r="CR63" s="165" t="n"/>
      <c r="CS63" s="165" t="n"/>
      <c r="CT63" s="165" t="n"/>
      <c r="CU63" s="165" t="n"/>
      <c r="CV63" s="165" t="n"/>
      <c r="CW63" s="166" t="n"/>
      <c r="CX63" s="166" t="n"/>
      <c r="CY63" s="166" t="n"/>
      <c r="CZ63" s="166" t="n"/>
      <c r="DA63" s="166" t="n"/>
      <c r="DB63" s="166" t="n"/>
      <c r="DC63" s="166" t="n"/>
      <c r="DD63" s="166" t="n"/>
      <c r="DE63" s="166" t="n"/>
      <c r="DF63" s="166" t="n"/>
      <c r="DG63" s="166" t="n"/>
      <c r="DH63" s="166" t="n"/>
      <c r="DI63" s="166" t="n"/>
      <c r="DJ63" s="166" t="n"/>
      <c r="DK63" s="166" t="n"/>
      <c r="DL63" s="166" t="n"/>
      <c r="DM63" s="166" t="n"/>
      <c r="DN63" s="166" t="n"/>
      <c r="DO63" s="166" t="n"/>
      <c r="DP63" s="166" t="n"/>
      <c r="DQ63" s="20" t="n"/>
    </row>
    <row r="64" ht="14.25" customHeight="1">
      <c r="AB64" s="1" t="n">
        <v>270</v>
      </c>
      <c r="CK64" s="104" t="n"/>
      <c r="CN64" s="165" t="n"/>
      <c r="CO64" s="165" t="n"/>
      <c r="CP64" s="165" t="n"/>
      <c r="CQ64" s="165" t="n"/>
      <c r="CR64" s="165" t="n"/>
      <c r="CS64" s="165" t="n"/>
      <c r="CT64" s="165" t="n"/>
      <c r="CU64" s="165" t="n"/>
      <c r="CV64" s="165" t="n"/>
      <c r="CW64" s="166" t="n"/>
      <c r="CX64" s="166" t="n"/>
      <c r="CY64" s="166" t="n"/>
      <c r="CZ64" s="166" t="n"/>
      <c r="DA64" s="166" t="n"/>
      <c r="DB64" s="166" t="n"/>
      <c r="DC64" s="166" t="n"/>
      <c r="DD64" s="166" t="n"/>
      <c r="DE64" s="166" t="n"/>
      <c r="DF64" s="166" t="n"/>
      <c r="DG64" s="166" t="n"/>
      <c r="DH64" s="166" t="n"/>
      <c r="DI64" s="166" t="n"/>
      <c r="DJ64" s="166" t="n"/>
      <c r="DK64" s="166" t="n"/>
      <c r="DL64" s="166" t="n"/>
      <c r="DM64" s="166" t="n"/>
      <c r="DN64" s="166" t="n"/>
      <c r="DO64" s="166" t="n"/>
      <c r="DP64" s="166" t="n"/>
      <c r="DQ64" s="20" t="n"/>
    </row>
    <row r="65">
      <c r="C65" s="22" t="inlineStr">
        <is>
          <t>REGENERANTS 1 - Standard</t>
        </is>
      </c>
      <c r="D65" s="23" t="n"/>
      <c r="E65" s="24" t="n"/>
      <c r="F65" s="25" t="inlineStr">
        <is>
          <t>Panachage 24 unités // Remise 10% pour BRI conso 10€ sur 4 produits : Sérum J/N, CDJR, CDJRI, sérum nuit RI (-10€ = prix plancher, à imprimer sur 1 SR sur le présentoir)</t>
        </is>
      </c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  <c r="BK65" s="23" t="n"/>
      <c r="BL65" s="23" t="n"/>
      <c r="BM65" s="23" t="n"/>
      <c r="BN65" s="23" t="n"/>
      <c r="BO65" s="23" t="n"/>
      <c r="BP65" s="23" t="n"/>
      <c r="BQ65" s="23" t="n"/>
      <c r="BR65" s="23" t="n"/>
      <c r="BS65" s="23" t="n"/>
      <c r="BT65" s="23" t="n"/>
      <c r="BU65" s="23" t="n"/>
      <c r="BV65" s="23" t="n"/>
      <c r="BW65" s="23" t="n"/>
      <c r="BX65" s="23" t="n"/>
      <c r="BY65" s="23" t="n"/>
      <c r="BZ65" s="23" t="n"/>
      <c r="CA65" s="23" t="n"/>
      <c r="CB65" s="23" t="n"/>
      <c r="CC65" s="23" t="n"/>
      <c r="CD65" s="23" t="n"/>
      <c r="CE65" s="23" t="n"/>
      <c r="CF65" s="23" t="n"/>
      <c r="CG65" s="23" t="n"/>
      <c r="CH65" s="23" t="n"/>
      <c r="CI65" s="23" t="n"/>
      <c r="CK65" s="104" t="n"/>
      <c r="CN65" s="165" t="n"/>
      <c r="CO65" s="165" t="n"/>
      <c r="CP65" s="165" t="n"/>
      <c r="CQ65" s="165" t="n"/>
      <c r="CR65" s="165" t="n"/>
      <c r="CS65" s="165" t="n"/>
      <c r="CT65" s="165" t="n"/>
      <c r="CU65" s="165" t="n"/>
      <c r="CV65" s="165" t="n"/>
      <c r="CW65" s="166" t="n"/>
      <c r="CX65" s="166" t="n"/>
      <c r="CY65" s="166" t="n"/>
      <c r="CZ65" s="166" t="n"/>
      <c r="DA65" s="166" t="n"/>
      <c r="DB65" s="166" t="n"/>
      <c r="DC65" s="166" t="n"/>
      <c r="DD65" s="166" t="n"/>
      <c r="DE65" s="166" t="n"/>
      <c r="DF65" s="166" t="n"/>
      <c r="DG65" s="166" t="n"/>
      <c r="DH65" s="166" t="n"/>
      <c r="DI65" s="166" t="n"/>
      <c r="DJ65" s="166" t="n"/>
      <c r="DK65" s="166" t="n"/>
      <c r="DL65" s="166" t="n"/>
      <c r="DM65" s="166" t="n"/>
      <c r="DN65" s="166" t="n"/>
      <c r="DO65" s="166" t="n"/>
      <c r="DP65" s="166" t="n"/>
      <c r="DQ65" s="20" t="n"/>
    </row>
    <row r="66" ht="5.25" customHeight="1">
      <c r="CK66" s="104" t="n"/>
      <c r="CN66" s="165" t="n"/>
      <c r="CO66" s="165" t="n"/>
      <c r="CP66" s="165" t="n"/>
      <c r="CQ66" s="165" t="n"/>
      <c r="CR66" s="165" t="n"/>
      <c r="CS66" s="165" t="n"/>
      <c r="CT66" s="165" t="n"/>
      <c r="CU66" s="165" t="n"/>
      <c r="CV66" s="165" t="n"/>
      <c r="CW66" s="166" t="n"/>
      <c r="CX66" s="166" t="n"/>
      <c r="CY66" s="166" t="n"/>
      <c r="CZ66" s="166" t="n"/>
      <c r="DA66" s="166" t="n"/>
      <c r="DB66" s="166" t="n"/>
      <c r="DC66" s="166" t="n"/>
      <c r="DD66" s="166" t="n"/>
      <c r="DE66" s="166" t="n"/>
      <c r="DF66" s="166" t="n"/>
      <c r="DG66" s="166" t="n"/>
      <c r="DH66" s="166" t="n"/>
      <c r="DI66" s="166" t="n"/>
      <c r="DJ66" s="166" t="n"/>
      <c r="DK66" s="166" t="n"/>
      <c r="DL66" s="166" t="n"/>
      <c r="DM66" s="166" t="n"/>
      <c r="DN66" s="166" t="n"/>
      <c r="DO66" s="166" t="n"/>
      <c r="DP66" s="166" t="n"/>
      <c r="DQ66" s="20" t="n"/>
    </row>
    <row r="67" ht="11.25" customHeight="1">
      <c r="AB67" s="26" t="n">
        <v>0.47</v>
      </c>
      <c r="AC67" s="26" t="n"/>
      <c r="AD67" s="26" t="n"/>
      <c r="AE67" s="26" t="n"/>
      <c r="AF67" s="26" t="n"/>
      <c r="AG67" s="26" t="n">
        <v>0.07000000000000001</v>
      </c>
      <c r="AH67" s="26" t="n"/>
      <c r="AI67" s="26" t="n"/>
      <c r="AJ67" s="26" t="n"/>
      <c r="AK67" s="26" t="n"/>
      <c r="AL67" s="26" t="n"/>
      <c r="AM67" s="26" t="n"/>
      <c r="AN67" s="26" t="n"/>
      <c r="AO67" s="26" t="n"/>
      <c r="AP67" s="26" t="n"/>
      <c r="AQ67" s="26" t="n"/>
      <c r="AR67" s="26" t="n"/>
      <c r="AS67" s="26" t="n"/>
      <c r="AT67" s="26" t="n"/>
      <c r="AU67" s="26" t="n"/>
      <c r="AV67" s="26" t="n">
        <v>0.15</v>
      </c>
      <c r="AW67" s="26" t="n"/>
      <c r="AX67" s="26" t="n"/>
      <c r="AY67" s="26" t="n"/>
      <c r="AZ67" s="26" t="n"/>
      <c r="BA67" s="26" t="n">
        <v>0.06</v>
      </c>
      <c r="BB67" s="26" t="n"/>
      <c r="BC67" s="26" t="n"/>
      <c r="BD67" s="26" t="n"/>
      <c r="BE67" s="26" t="n"/>
      <c r="BF67" s="26" t="n">
        <v>0.08</v>
      </c>
      <c r="BG67" s="26" t="n"/>
      <c r="BH67" s="26" t="n"/>
      <c r="BI67" s="26" t="n"/>
      <c r="BJ67" s="26" t="n"/>
      <c r="BK67" s="26" t="n">
        <v>0.09</v>
      </c>
      <c r="BL67" s="26" t="n"/>
      <c r="BM67" s="26" t="n"/>
      <c r="BN67" s="26" t="n"/>
      <c r="BO67" s="26" t="n"/>
      <c r="BP67" s="26" t="n"/>
      <c r="BQ67" s="26" t="n"/>
      <c r="BR67" s="26" t="n"/>
      <c r="BS67" s="26" t="n"/>
      <c r="BT67" s="26" t="n"/>
      <c r="BU67" s="26" t="n"/>
      <c r="BV67" s="26" t="n"/>
      <c r="BW67" s="26" t="n"/>
      <c r="BX67" s="26" t="n"/>
      <c r="BY67" s="26" t="n"/>
      <c r="BZ67" s="26" t="n">
        <v>0.078</v>
      </c>
      <c r="CA67" s="26" t="n"/>
      <c r="CB67" s="26" t="n"/>
      <c r="CC67" s="26" t="n"/>
      <c r="CE67" s="27" t="n"/>
      <c r="CF67" s="28" t="n"/>
      <c r="CG67" s="28" t="n"/>
      <c r="CH67" s="28" t="n"/>
      <c r="CI67" s="29" t="n"/>
      <c r="CK67" s="104" t="n"/>
      <c r="CN67" s="165" t="n"/>
      <c r="CO67" s="165" t="n"/>
      <c r="CP67" s="165" t="n"/>
      <c r="CQ67" s="165" t="n"/>
      <c r="CR67" s="165" t="n"/>
      <c r="CS67" s="165" t="n"/>
      <c r="CT67" s="165" t="n"/>
      <c r="CU67" s="165" t="n"/>
      <c r="CV67" s="165" t="n"/>
      <c r="CW67" s="166" t="n"/>
      <c r="CX67" s="166" t="n"/>
      <c r="CY67" s="166" t="n"/>
      <c r="CZ67" s="166" t="n"/>
      <c r="DA67" s="166" t="n"/>
      <c r="DB67" s="166" t="n"/>
      <c r="DC67" s="166" t="n"/>
      <c r="DD67" s="166" t="n"/>
      <c r="DE67" s="166" t="n"/>
      <c r="DF67" s="166" t="n"/>
      <c r="DG67" s="166" t="n"/>
      <c r="DH67" s="166" t="n"/>
      <c r="DI67" s="166" t="n"/>
      <c r="DJ67" s="166" t="n"/>
      <c r="DK67" s="166" t="n"/>
      <c r="DL67" s="166" t="n"/>
      <c r="DM67" s="166" t="n"/>
      <c r="DN67" s="166" t="n"/>
      <c r="DO67" s="166" t="n"/>
      <c r="DP67" s="166" t="n"/>
      <c r="DQ67" s="20" t="n"/>
    </row>
    <row r="68">
      <c r="AB68" s="30" t="inlineStr">
        <is>
          <t>Tarif Retail</t>
        </is>
      </c>
      <c r="AC68" s="30" t="n"/>
      <c r="AD68" s="30" t="n"/>
      <c r="AE68" s="30" t="n"/>
      <c r="AF68" s="30" t="n"/>
      <c r="AG68" s="30" t="n"/>
      <c r="AH68" s="30" t="n"/>
      <c r="AI68" s="30" t="n"/>
      <c r="AJ68" s="30" t="n"/>
      <c r="AK68" s="30" t="n"/>
      <c r="AL68" s="30" t="n"/>
      <c r="AM68" s="30" t="n"/>
      <c r="AN68" s="30" t="n"/>
      <c r="AO68" s="30" t="n"/>
      <c r="AP68" s="30" t="n"/>
      <c r="AQ68" s="30" t="n"/>
      <c r="AR68" s="30" t="n"/>
      <c r="AS68" s="30" t="n"/>
      <c r="AT68" s="30" t="n"/>
      <c r="AV68" s="31" t="inlineStr">
        <is>
          <t>Tarif Institut</t>
        </is>
      </c>
      <c r="AW68" s="31" t="n"/>
      <c r="AX68" s="31" t="n"/>
      <c r="AY68" s="31" t="n"/>
      <c r="AZ68" s="31" t="n"/>
      <c r="BA68" s="31" t="n"/>
      <c r="BB68" s="31" t="n"/>
      <c r="BC68" s="31" t="n"/>
      <c r="BD68" s="31" t="n"/>
      <c r="BE68" s="31" t="n"/>
      <c r="BF68" s="31" t="n"/>
      <c r="BG68" s="31" t="n"/>
      <c r="BH68" s="31" t="n"/>
      <c r="BI68" s="31" t="n"/>
      <c r="BJ68" s="31" t="n"/>
      <c r="BK68" s="31" t="n"/>
      <c r="BL68" s="31" t="n"/>
      <c r="BM68" s="31" t="n"/>
      <c r="BN68" s="31" t="n"/>
      <c r="BO68" s="31" t="n"/>
      <c r="BP68" s="31" t="n"/>
      <c r="BQ68" s="31" t="n"/>
      <c r="BR68" s="31" t="n"/>
      <c r="BS68" s="31" t="n"/>
      <c r="BT68" s="31" t="n"/>
      <c r="BU68" s="31" t="n"/>
      <c r="BV68" s="31" t="n"/>
      <c r="BW68" s="31" t="n"/>
      <c r="BX68" s="31" t="n"/>
      <c r="BZ68" s="32" t="inlineStr">
        <is>
          <t>Autres</t>
        </is>
      </c>
      <c r="CA68" s="32" t="n"/>
      <c r="CB68" s="32" t="n"/>
      <c r="CC68" s="32" t="n"/>
      <c r="CE68" s="33" t="n"/>
      <c r="CF68" s="34" t="inlineStr">
        <is>
          <t>Tous réseaux</t>
        </is>
      </c>
      <c r="CG68" s="34" t="n"/>
      <c r="CH68" s="34" t="n"/>
      <c r="CI68" s="35" t="n"/>
      <c r="CK68" s="104" t="n"/>
      <c r="CN68" s="165" t="n"/>
      <c r="CO68" s="165" t="n"/>
      <c r="CP68" s="165" t="n"/>
      <c r="CQ68" s="165" t="n"/>
      <c r="CR68" s="165" t="n"/>
      <c r="CS68" s="165" t="n"/>
      <c r="CT68" s="165" t="n"/>
      <c r="CU68" s="165" t="n"/>
      <c r="CV68" s="165" t="n"/>
      <c r="CW68" s="166" t="n"/>
      <c r="CX68" s="166" t="n"/>
      <c r="CY68" s="166" t="n"/>
      <c r="CZ68" s="166" t="n"/>
      <c r="DA68" s="166" t="n"/>
      <c r="DB68" s="166" t="n"/>
      <c r="DC68" s="166" t="n"/>
      <c r="DD68" s="166" t="n"/>
      <c r="DE68" s="166" t="n"/>
      <c r="DF68" s="166" t="n"/>
      <c r="DG68" s="166" t="n"/>
      <c r="DH68" s="166" t="n"/>
      <c r="DI68" s="166" t="n"/>
      <c r="DJ68" s="166" t="n"/>
      <c r="DK68" s="166" t="n"/>
      <c r="DL68" s="166" t="n"/>
      <c r="DM68" s="166" t="n"/>
      <c r="DN68" s="166" t="n"/>
      <c r="DO68" s="166" t="n"/>
      <c r="DP68" s="166" t="n"/>
      <c r="DQ68" s="20" t="n"/>
    </row>
    <row r="69" ht="5.25" customHeight="1">
      <c r="CE69" s="33" t="n"/>
      <c r="CF69" s="39" t="n"/>
      <c r="CG69" s="39" t="n"/>
      <c r="CH69" s="39" t="n"/>
      <c r="CI69" s="35" t="n"/>
      <c r="CK69" s="104" t="n"/>
      <c r="CN69" s="165" t="n"/>
      <c r="CO69" s="165" t="n"/>
      <c r="CP69" s="165" t="n"/>
      <c r="CQ69" s="165" t="n"/>
      <c r="CR69" s="165" t="n"/>
      <c r="CS69" s="165" t="n"/>
      <c r="CT69" s="165" t="n"/>
      <c r="CU69" s="165" t="n"/>
      <c r="CV69" s="165" t="n"/>
      <c r="CW69" s="166" t="n"/>
      <c r="CX69" s="166" t="n"/>
      <c r="CY69" s="166" t="n"/>
      <c r="CZ69" s="166" t="n"/>
      <c r="DA69" s="166" t="n"/>
      <c r="DB69" s="166" t="n"/>
      <c r="DC69" s="166" t="n"/>
      <c r="DD69" s="166" t="n"/>
      <c r="DE69" s="166" t="n"/>
      <c r="DF69" s="166" t="n"/>
      <c r="DG69" s="166" t="n"/>
      <c r="DH69" s="166" t="n"/>
      <c r="DI69" s="166" t="n"/>
      <c r="DJ69" s="166" t="n"/>
      <c r="DK69" s="166" t="n"/>
      <c r="DL69" s="166" t="n"/>
      <c r="DM69" s="166" t="n"/>
      <c r="DN69" s="166" t="n"/>
      <c r="DO69" s="166" t="n"/>
      <c r="DP69" s="166" t="n"/>
      <c r="DQ69" s="20" t="n"/>
    </row>
    <row r="70">
      <c r="P70" s="1" t="inlineStr">
        <is>
          <t>Additionnelle</t>
        </is>
      </c>
      <c r="AB70" s="42" t="inlineStr">
        <is>
          <t>Ambassadeur</t>
        </is>
      </c>
      <c r="AC70" s="42" t="n"/>
      <c r="AD70" s="42" t="n"/>
      <c r="AE70" s="42" t="n"/>
      <c r="AG70" s="42" t="inlineStr">
        <is>
          <t>Compagnon</t>
        </is>
      </c>
      <c r="AH70" s="42" t="n"/>
      <c r="AI70" s="42" t="n"/>
      <c r="AJ70" s="42" t="n"/>
      <c r="AL70" s="42" t="inlineStr">
        <is>
          <t>Challenger</t>
        </is>
      </c>
      <c r="AM70" s="42" t="n"/>
      <c r="AN70" s="42" t="n"/>
      <c r="AO70" s="42" t="n"/>
      <c r="AQ70" s="42" t="inlineStr">
        <is>
          <t>Partenaire</t>
        </is>
      </c>
      <c r="AR70" s="42" t="n"/>
      <c r="AS70" s="42" t="n"/>
      <c r="AT70" s="42" t="n"/>
      <c r="AV70" s="43" t="inlineStr">
        <is>
          <t>Rose</t>
        </is>
      </c>
      <c r="AW70" s="43" t="n"/>
      <c r="AX70" s="43" t="n"/>
      <c r="AY70" s="43" t="n"/>
      <c r="BA70" s="43" t="inlineStr">
        <is>
          <t>Prunelier</t>
        </is>
      </c>
      <c r="BB70" s="43" t="n"/>
      <c r="BC70" s="43" t="n"/>
      <c r="BD70" s="43" t="n"/>
      <c r="BF70" s="43" t="inlineStr">
        <is>
          <t>Anthylide</t>
        </is>
      </c>
      <c r="BG70" s="43" t="n"/>
      <c r="BH70" s="43" t="n"/>
      <c r="BI70" s="43" t="n"/>
      <c r="BK70" s="43" t="inlineStr">
        <is>
          <t>Calendula</t>
        </is>
      </c>
      <c r="BL70" s="43" t="n"/>
      <c r="BM70" s="43" t="n"/>
      <c r="BN70" s="43" t="n"/>
      <c r="BP70" s="43" t="inlineStr">
        <is>
          <t>Bourrache</t>
        </is>
      </c>
      <c r="BQ70" s="43" t="n"/>
      <c r="BR70" s="43" t="n"/>
      <c r="BS70" s="43" t="n"/>
      <c r="BU70" s="43" t="inlineStr">
        <is>
          <t>Herbacée</t>
        </is>
      </c>
      <c r="BV70" s="43" t="n"/>
      <c r="BW70" s="43" t="n"/>
      <c r="BX70" s="43" t="n"/>
      <c r="BZ70" s="44" t="inlineStr">
        <is>
          <t>Autres</t>
        </is>
      </c>
      <c r="CA70" s="44" t="n"/>
      <c r="CB70" s="44" t="n"/>
      <c r="CC70" s="44" t="n"/>
      <c r="CE70" s="33" t="n"/>
      <c r="CF70" s="45" t="inlineStr">
        <is>
          <t>Total</t>
        </is>
      </c>
      <c r="CG70" s="45" t="n"/>
      <c r="CH70" s="45" t="n"/>
      <c r="CI70" s="35" t="n"/>
      <c r="CK70" s="104" t="n"/>
      <c r="CN70" s="165" t="n"/>
      <c r="CO70" s="165" t="n"/>
      <c r="CP70" s="165" t="n"/>
      <c r="CQ70" s="165" t="n"/>
      <c r="CR70" s="165" t="n"/>
      <c r="CS70" s="165" t="n"/>
      <c r="CT70" s="165" t="n"/>
      <c r="CU70" s="165" t="n"/>
      <c r="CV70" s="165" t="n"/>
      <c r="CW70" s="166" t="n"/>
      <c r="CX70" s="166" t="n"/>
      <c r="CY70" s="166" t="n"/>
      <c r="CZ70" s="166" t="n"/>
      <c r="DA70" s="166" t="n"/>
      <c r="DB70" s="166" t="n"/>
      <c r="DC70" s="166" t="n"/>
      <c r="DD70" s="166" t="n"/>
      <c r="DE70" s="166" t="n"/>
      <c r="DF70" s="166" t="n"/>
      <c r="DG70" s="166" t="n"/>
      <c r="DH70" s="166" t="n"/>
      <c r="DI70" s="166" t="n"/>
      <c r="DJ70" s="166" t="n"/>
      <c r="DK70" s="166" t="n"/>
      <c r="DL70" s="166" t="n"/>
      <c r="DM70" s="166" t="n"/>
      <c r="DN70" s="166" t="n"/>
      <c r="DO70" s="166" t="n"/>
      <c r="DP70" s="166" t="n"/>
      <c r="DQ70" s="20" t="n"/>
    </row>
    <row r="71" ht="5.25" customHeight="1">
      <c r="CE71" s="33" t="n"/>
      <c r="CF71" s="39" t="n"/>
      <c r="CG71" s="39" t="n"/>
      <c r="CH71" s="39" t="n"/>
      <c r="CI71" s="35" t="n"/>
      <c r="CK71" s="104" t="n"/>
      <c r="CN71" s="165" t="n"/>
      <c r="CO71" s="165" t="n"/>
      <c r="CP71" s="165" t="n"/>
      <c r="CQ71" s="165" t="n"/>
      <c r="CR71" s="165" t="n"/>
      <c r="CS71" s="165" t="n"/>
      <c r="CT71" s="165" t="n"/>
      <c r="CU71" s="165" t="n"/>
      <c r="CV71" s="165" t="n"/>
      <c r="CW71" s="166" t="n"/>
      <c r="CX71" s="166" t="n"/>
      <c r="CY71" s="166" t="n"/>
      <c r="CZ71" s="166" t="n"/>
      <c r="DA71" s="166" t="n"/>
      <c r="DB71" s="166" t="n"/>
      <c r="DC71" s="166" t="n"/>
      <c r="DD71" s="166" t="n"/>
      <c r="DE71" s="166" t="n"/>
      <c r="DF71" s="166" t="n"/>
      <c r="DG71" s="166" t="n"/>
      <c r="DH71" s="166" t="n"/>
      <c r="DI71" s="166" t="n"/>
      <c r="DJ71" s="166" t="n"/>
      <c r="DK71" s="166" t="n"/>
      <c r="DL71" s="166" t="n"/>
      <c r="DM71" s="166" t="n"/>
      <c r="DN71" s="166" t="n"/>
      <c r="DO71" s="166" t="n"/>
      <c r="DP71" s="166" t="n"/>
      <c r="DQ71" s="20" t="n"/>
    </row>
    <row r="72" ht="38.25" customFormat="1" customHeight="1" s="46">
      <c r="E72" s="47" t="n"/>
      <c r="H72" s="48" t="inlineStr">
        <is>
          <t>Pdt dans offre</t>
        </is>
      </c>
      <c r="J72" s="48" t="inlineStr">
        <is>
          <t>PA x Unit.</t>
        </is>
      </c>
      <c r="K72" s="48" t="inlineStr">
        <is>
          <t>Coûts Achats</t>
        </is>
      </c>
      <c r="M72" s="48" t="inlineStr">
        <is>
          <t>Tarif Rev.  x Unit.</t>
        </is>
      </c>
      <c r="N72" s="48" t="inlineStr">
        <is>
          <t>Tarif Rev.</t>
        </is>
      </c>
      <c r="P72" s="48" t="inlineStr">
        <is>
          <t>Remise Offres x Prod.</t>
        </is>
      </c>
      <c r="R72" s="48" t="inlineStr">
        <is>
          <t>Tarif Rev. Remisé</t>
        </is>
      </c>
      <c r="T72" s="48" t="inlineStr">
        <is>
          <t>PPC Unitaire Indicatif</t>
        </is>
      </c>
      <c r="U72" s="48" t="n"/>
      <c r="V72" s="48" t="inlineStr">
        <is>
          <t>PPC Unitaire Remisé</t>
        </is>
      </c>
      <c r="X72" s="48" t="inlineStr">
        <is>
          <t>Montant BRI</t>
        </is>
      </c>
      <c r="Z72" s="48" t="inlineStr">
        <is>
          <t>PPC global Indicatif</t>
        </is>
      </c>
      <c r="AB72" s="48" t="inlineStr">
        <is>
          <t>Nbrs Offres planifiées</t>
        </is>
      </c>
      <c r="AC72" s="48" t="inlineStr">
        <is>
          <t>Remise Statut</t>
        </is>
      </c>
      <c r="AD72" s="48" t="inlineStr">
        <is>
          <t>CA</t>
        </is>
      </c>
      <c r="AE72" s="48" t="inlineStr">
        <is>
          <t>Marges</t>
        </is>
      </c>
      <c r="AG72" s="48" t="inlineStr">
        <is>
          <t>Nbrs Offres planifiées</t>
        </is>
      </c>
      <c r="AH72" s="48" t="inlineStr">
        <is>
          <t>Remise Statut</t>
        </is>
      </c>
      <c r="AI72" s="48" t="inlineStr">
        <is>
          <t>CA</t>
        </is>
      </c>
      <c r="AJ72" s="48" t="inlineStr">
        <is>
          <t>Marges</t>
        </is>
      </c>
      <c r="AL72" s="48" t="inlineStr">
        <is>
          <t>Nbrs Offres planifiées</t>
        </is>
      </c>
      <c r="AM72" s="48" t="inlineStr">
        <is>
          <t>Remise Statut</t>
        </is>
      </c>
      <c r="AN72" s="48" t="inlineStr">
        <is>
          <t>CA</t>
        </is>
      </c>
      <c r="AO72" s="48" t="inlineStr">
        <is>
          <t>Marges</t>
        </is>
      </c>
      <c r="AQ72" s="48" t="inlineStr">
        <is>
          <t>Nbrs Offres planifiées</t>
        </is>
      </c>
      <c r="AR72" s="48" t="inlineStr">
        <is>
          <t>Remise Statut</t>
        </is>
      </c>
      <c r="AS72" s="48" t="inlineStr">
        <is>
          <t>CA</t>
        </is>
      </c>
      <c r="AT72" s="48" t="inlineStr">
        <is>
          <t>Marges</t>
        </is>
      </c>
      <c r="AV72" s="48" t="inlineStr">
        <is>
          <t>Nbrs Offres planifiées</t>
        </is>
      </c>
      <c r="AW72" s="48" t="inlineStr">
        <is>
          <t>Remise Statut</t>
        </is>
      </c>
      <c r="AX72" s="48" t="inlineStr">
        <is>
          <t>CA</t>
        </is>
      </c>
      <c r="AY72" s="48" t="inlineStr">
        <is>
          <t>Marges</t>
        </is>
      </c>
      <c r="BA72" s="48" t="inlineStr">
        <is>
          <t>Nbrs Offres planifiées</t>
        </is>
      </c>
      <c r="BB72" s="48" t="inlineStr">
        <is>
          <t>Remise Statut</t>
        </is>
      </c>
      <c r="BC72" s="48" t="inlineStr">
        <is>
          <t>CA</t>
        </is>
      </c>
      <c r="BD72" s="48" t="inlineStr">
        <is>
          <t>Marges</t>
        </is>
      </c>
      <c r="BF72" s="48" t="inlineStr">
        <is>
          <t>Nbrs Offres planifiées</t>
        </is>
      </c>
      <c r="BG72" s="48" t="inlineStr">
        <is>
          <t>Remise Statut</t>
        </is>
      </c>
      <c r="BH72" s="48" t="inlineStr">
        <is>
          <t>CA</t>
        </is>
      </c>
      <c r="BI72" s="48" t="inlineStr">
        <is>
          <t>Marges</t>
        </is>
      </c>
      <c r="BK72" s="48" t="inlineStr">
        <is>
          <t>Nbrs Offres planifiées</t>
        </is>
      </c>
      <c r="BL72" s="48" t="inlineStr">
        <is>
          <t>Remise Statut</t>
        </is>
      </c>
      <c r="BM72" s="48" t="inlineStr">
        <is>
          <t>CA</t>
        </is>
      </c>
      <c r="BN72" s="48" t="inlineStr">
        <is>
          <t>Marges</t>
        </is>
      </c>
      <c r="BP72" s="48" t="inlineStr">
        <is>
          <t>Nbrs Offres planifiées</t>
        </is>
      </c>
      <c r="BQ72" s="48" t="inlineStr">
        <is>
          <t>Remise Statut</t>
        </is>
      </c>
      <c r="BR72" s="48" t="inlineStr">
        <is>
          <t>CA</t>
        </is>
      </c>
      <c r="BS72" s="48" t="inlineStr">
        <is>
          <t>Marges</t>
        </is>
      </c>
      <c r="BU72" s="48" t="inlineStr">
        <is>
          <t>Nbrs Offres planifiées</t>
        </is>
      </c>
      <c r="BV72" s="48" t="inlineStr">
        <is>
          <t>Remise Statut</t>
        </is>
      </c>
      <c r="BW72" s="48" t="inlineStr">
        <is>
          <t>CA</t>
        </is>
      </c>
      <c r="BX72" s="48" t="inlineStr">
        <is>
          <t>Marges</t>
        </is>
      </c>
      <c r="BZ72" s="48" t="inlineStr">
        <is>
          <t>Nbrs Offres planifiées</t>
        </is>
      </c>
      <c r="CA72" s="48" t="inlineStr">
        <is>
          <t>Remise Statut</t>
        </is>
      </c>
      <c r="CB72" s="48" t="inlineStr">
        <is>
          <t>CA</t>
        </is>
      </c>
      <c r="CC72" s="48" t="inlineStr">
        <is>
          <t>Marges</t>
        </is>
      </c>
      <c r="CE72" s="49" t="n"/>
      <c r="CF72" s="50" t="inlineStr">
        <is>
          <t>Nbrs Offres planifiées</t>
        </is>
      </c>
      <c r="CG72" s="50" t="inlineStr">
        <is>
          <t>CA</t>
        </is>
      </c>
      <c r="CH72" s="50" t="inlineStr">
        <is>
          <t>Marges</t>
        </is>
      </c>
      <c r="CI72" s="51" t="n"/>
      <c r="CK72" s="167" t="n"/>
      <c r="CN72" s="165" t="n"/>
      <c r="CO72" s="165" t="n"/>
      <c r="CP72" s="165" t="n"/>
      <c r="CQ72" s="165" t="n"/>
      <c r="CR72" s="165" t="n"/>
      <c r="CS72" s="165" t="n"/>
      <c r="CT72" s="165" t="n"/>
      <c r="CU72" s="165" t="n"/>
      <c r="CV72" s="165" t="n"/>
      <c r="CW72" s="166" t="n"/>
      <c r="CX72" s="166" t="n"/>
      <c r="CY72" s="166" t="n"/>
      <c r="CZ72" s="166" t="n"/>
      <c r="DA72" s="166" t="n"/>
      <c r="DB72" s="166" t="n"/>
      <c r="DC72" s="166" t="n"/>
      <c r="DD72" s="166" t="n"/>
      <c r="DE72" s="166" t="n"/>
      <c r="DF72" s="166" t="n"/>
      <c r="DG72" s="166" t="n"/>
      <c r="DH72" s="166" t="n"/>
      <c r="DI72" s="166" t="n"/>
      <c r="DJ72" s="166" t="n"/>
      <c r="DK72" s="166" t="n"/>
      <c r="DL72" s="166" t="n"/>
      <c r="DM72" s="166" t="n"/>
      <c r="DN72" s="166" t="n"/>
      <c r="DO72" s="166" t="n"/>
      <c r="DP72" s="166" t="n"/>
      <c r="DQ72" s="20" t="n"/>
    </row>
    <row r="73" ht="26.25" customHeight="1">
      <c r="C73" s="66" t="inlineStr">
        <is>
          <t>Code article</t>
        </is>
      </c>
      <c r="D73" s="66" t="inlineStr">
        <is>
          <t>Libellé article</t>
        </is>
      </c>
      <c r="E73" s="168" t="inlineStr">
        <is>
          <t>Code à barres (EAN)</t>
        </is>
      </c>
      <c r="F73" s="66" t="inlineStr">
        <is>
          <t>Typ. Prod</t>
        </is>
      </c>
      <c r="H73" s="66" t="inlineStr">
        <is>
          <t>'#</t>
        </is>
      </c>
      <c r="J73" s="66" t="inlineStr">
        <is>
          <t>'€</t>
        </is>
      </c>
      <c r="K73" s="66" t="inlineStr">
        <is>
          <t>'€</t>
        </is>
      </c>
      <c r="M73" s="66" t="inlineStr">
        <is>
          <t>'€</t>
        </is>
      </c>
      <c r="N73" s="66" t="inlineStr">
        <is>
          <t>'€</t>
        </is>
      </c>
      <c r="P73" s="66" t="inlineStr">
        <is>
          <t>'€</t>
        </is>
      </c>
      <c r="R73" s="66" t="inlineStr">
        <is>
          <t>'€</t>
        </is>
      </c>
      <c r="T73" s="66" t="inlineStr">
        <is>
          <t>'€</t>
        </is>
      </c>
      <c r="U73" s="67" t="n"/>
      <c r="V73" s="66" t="inlineStr">
        <is>
          <t>'€</t>
        </is>
      </c>
      <c r="X73" s="66" t="inlineStr">
        <is>
          <t>'€</t>
        </is>
      </c>
      <c r="Z73" s="66" t="inlineStr">
        <is>
          <t>'€</t>
        </is>
      </c>
      <c r="AB73" s="66" t="inlineStr">
        <is>
          <t>'#</t>
        </is>
      </c>
      <c r="AC73" s="66" t="inlineStr">
        <is>
          <t>'€</t>
        </is>
      </c>
      <c r="AD73" s="66" t="inlineStr">
        <is>
          <t>'€</t>
        </is>
      </c>
      <c r="AE73" s="66" t="inlineStr">
        <is>
          <t>'€</t>
        </is>
      </c>
      <c r="AG73" s="66" t="inlineStr">
        <is>
          <t>'#</t>
        </is>
      </c>
      <c r="AH73" s="66" t="inlineStr">
        <is>
          <t>'€</t>
        </is>
      </c>
      <c r="AI73" s="66" t="inlineStr">
        <is>
          <t>'€</t>
        </is>
      </c>
      <c r="AJ73" s="66" t="inlineStr">
        <is>
          <t>'€</t>
        </is>
      </c>
      <c r="AL73" s="66" t="inlineStr">
        <is>
          <t>'#</t>
        </is>
      </c>
      <c r="AM73" s="66" t="inlineStr">
        <is>
          <t>'€</t>
        </is>
      </c>
      <c r="AN73" s="66" t="inlineStr">
        <is>
          <t>'€</t>
        </is>
      </c>
      <c r="AO73" s="66" t="inlineStr">
        <is>
          <t>'€</t>
        </is>
      </c>
      <c r="AQ73" s="66" t="inlineStr">
        <is>
          <t>'#</t>
        </is>
      </c>
      <c r="AR73" s="66" t="inlineStr">
        <is>
          <t>'€</t>
        </is>
      </c>
      <c r="AS73" s="66" t="inlineStr">
        <is>
          <t>'€</t>
        </is>
      </c>
      <c r="AT73" s="66" t="inlineStr">
        <is>
          <t>'€</t>
        </is>
      </c>
      <c r="AV73" s="66" t="inlineStr">
        <is>
          <t>'#</t>
        </is>
      </c>
      <c r="AW73" s="66" t="inlineStr">
        <is>
          <t>'€</t>
        </is>
      </c>
      <c r="AX73" s="66" t="inlineStr">
        <is>
          <t>'€</t>
        </is>
      </c>
      <c r="AY73" s="66" t="inlineStr">
        <is>
          <t>'€</t>
        </is>
      </c>
      <c r="BA73" s="66" t="inlineStr">
        <is>
          <t>'#</t>
        </is>
      </c>
      <c r="BB73" s="66" t="inlineStr">
        <is>
          <t>'€</t>
        </is>
      </c>
      <c r="BC73" s="66" t="inlineStr">
        <is>
          <t>'€</t>
        </is>
      </c>
      <c r="BD73" s="66" t="inlineStr">
        <is>
          <t>'€</t>
        </is>
      </c>
      <c r="BF73" s="66" t="inlineStr">
        <is>
          <t>'#</t>
        </is>
      </c>
      <c r="BG73" s="66" t="inlineStr">
        <is>
          <t>'€</t>
        </is>
      </c>
      <c r="BH73" s="66" t="inlineStr">
        <is>
          <t>'€</t>
        </is>
      </c>
      <c r="BI73" s="66" t="inlineStr">
        <is>
          <t>'€</t>
        </is>
      </c>
      <c r="BK73" s="66" t="inlineStr">
        <is>
          <t>'#</t>
        </is>
      </c>
      <c r="BL73" s="66" t="inlineStr">
        <is>
          <t>'€</t>
        </is>
      </c>
      <c r="BM73" s="66" t="inlineStr">
        <is>
          <t>'€</t>
        </is>
      </c>
      <c r="BN73" s="66" t="inlineStr">
        <is>
          <t>'€</t>
        </is>
      </c>
      <c r="BP73" s="66" t="inlineStr">
        <is>
          <t>'#</t>
        </is>
      </c>
      <c r="BQ73" s="66" t="inlineStr">
        <is>
          <t>'€</t>
        </is>
      </c>
      <c r="BR73" s="66" t="inlineStr">
        <is>
          <t>'€</t>
        </is>
      </c>
      <c r="BS73" s="66" t="inlineStr">
        <is>
          <t>'€</t>
        </is>
      </c>
      <c r="BU73" s="66" t="inlineStr">
        <is>
          <t>'#</t>
        </is>
      </c>
      <c r="BV73" s="66" t="inlineStr">
        <is>
          <t>'€</t>
        </is>
      </c>
      <c r="BW73" s="66" t="inlineStr">
        <is>
          <t>'€</t>
        </is>
      </c>
      <c r="BX73" s="66" t="inlineStr">
        <is>
          <t>'€</t>
        </is>
      </c>
      <c r="BZ73" s="66" t="inlineStr">
        <is>
          <t>'#</t>
        </is>
      </c>
      <c r="CA73" s="66" t="inlineStr">
        <is>
          <t>'€</t>
        </is>
      </c>
      <c r="CB73" s="66" t="inlineStr">
        <is>
          <t>'€</t>
        </is>
      </c>
      <c r="CC73" s="66" t="inlineStr">
        <is>
          <t>'€</t>
        </is>
      </c>
      <c r="CE73" s="33" t="n"/>
      <c r="CF73" s="68" t="inlineStr">
        <is>
          <t>'#</t>
        </is>
      </c>
      <c r="CG73" s="68" t="inlineStr">
        <is>
          <t>'€</t>
        </is>
      </c>
      <c r="CH73" s="68" t="inlineStr">
        <is>
          <t>'€</t>
        </is>
      </c>
      <c r="CI73" s="35" t="n"/>
      <c r="CJ73" s="69">
        <f>ROUNDUP(CF75*40%,-1)</f>
        <v/>
      </c>
      <c r="CK73" s="104" t="n"/>
      <c r="CN73" s="165" t="n"/>
      <c r="CO73" s="165" t="n"/>
      <c r="CP73" s="165" t="n"/>
      <c r="CQ73" s="165" t="n"/>
      <c r="CR73" s="165" t="n"/>
      <c r="CS73" s="165" t="n"/>
      <c r="CT73" s="165" t="n"/>
      <c r="CU73" s="165" t="n"/>
      <c r="CV73" s="165" t="n"/>
      <c r="CW73" s="166" t="n"/>
      <c r="CX73" s="166" t="n"/>
      <c r="CY73" s="166" t="n"/>
      <c r="CZ73" s="166" t="n"/>
      <c r="DA73" s="166" t="n"/>
      <c r="DB73" s="166" t="n"/>
      <c r="DC73" s="166" t="n"/>
      <c r="DD73" s="166" t="n"/>
      <c r="DE73" s="166" t="n"/>
      <c r="DF73" s="166" t="n"/>
      <c r="DG73" s="166" t="n"/>
      <c r="DH73" s="166" t="n"/>
      <c r="DI73" s="166" t="n"/>
      <c r="DJ73" s="166" t="n"/>
      <c r="DK73" s="166" t="n"/>
      <c r="DL73" s="166" t="n"/>
      <c r="DM73" s="166" t="n"/>
      <c r="DN73" s="166" t="n"/>
      <c r="DO73" s="166" t="n"/>
      <c r="DP73" s="166" t="n"/>
      <c r="DQ73" s="20" t="n"/>
    </row>
    <row r="74" ht="5.25" customHeight="1">
      <c r="CE74" s="33" t="n"/>
      <c r="CF74" s="39" t="n"/>
      <c r="CG74" s="39" t="n"/>
      <c r="CH74" s="39" t="n"/>
      <c r="CI74" s="35" t="n"/>
      <c r="CK74" s="104" t="n"/>
      <c r="CN74" s="165" t="n"/>
      <c r="CO74" s="165" t="n"/>
      <c r="CP74" s="165" t="n"/>
      <c r="CQ74" s="165" t="n"/>
      <c r="CR74" s="165" t="n"/>
      <c r="CS74" s="165" t="n"/>
      <c r="CT74" s="165" t="n"/>
      <c r="CU74" s="165" t="n"/>
      <c r="CV74" s="165" t="n"/>
      <c r="CW74" s="166" t="n"/>
      <c r="CX74" s="166" t="n"/>
      <c r="CY74" s="166" t="n"/>
      <c r="CZ74" s="166" t="n"/>
      <c r="DA74" s="166" t="n"/>
      <c r="DB74" s="166" t="n"/>
      <c r="DC74" s="166" t="n"/>
      <c r="DD74" s="166" t="n"/>
      <c r="DE74" s="166" t="n"/>
      <c r="DF74" s="166" t="n"/>
      <c r="DG74" s="166" t="n"/>
      <c r="DH74" s="166" t="n"/>
      <c r="DI74" s="166" t="n"/>
      <c r="DJ74" s="166" t="n"/>
      <c r="DK74" s="166" t="n"/>
      <c r="DL74" s="166" t="n"/>
      <c r="DM74" s="166" t="n"/>
      <c r="DN74" s="166" t="n"/>
      <c r="DO74" s="166" t="n"/>
      <c r="DP74" s="166" t="n"/>
      <c r="DQ74" s="20" t="n"/>
    </row>
    <row r="75" ht="12.95" customFormat="1" customHeight="1" s="69">
      <c r="B75" s="69">
        <f>C65</f>
        <v/>
      </c>
      <c r="C75" s="70" t="inlineStr">
        <is>
          <t>Synthèse</t>
        </is>
      </c>
      <c r="D75" s="70" t="n"/>
      <c r="E75" s="71" t="n"/>
      <c r="F75" s="70" t="n"/>
      <c r="H75" s="72">
        <f>IFERROR(SUMIFS(H77:H98,F77:F98,"Produit Vente"),"Non trouvé")</f>
        <v/>
      </c>
      <c r="J75" s="73">
        <f>IFERROR($K75/$H75,"Non Trouvé")</f>
        <v/>
      </c>
      <c r="K75" s="73">
        <f>IFERROR(SUM(K77:K98),"Non Trouvé")</f>
        <v/>
      </c>
      <c r="M75" s="73">
        <f>IFERROR($N75/$H75,"Non Trouvé")</f>
        <v/>
      </c>
      <c r="N75" s="73">
        <f>IFERROR(SUM(N77:N98),"Non Trouvé")</f>
        <v/>
      </c>
      <c r="P75" s="74">
        <f>IFERROR(-(R75-N75)/N75,"Non Trouvé")</f>
        <v/>
      </c>
      <c r="R75" s="73">
        <f>IFERROR(SUM(R77:R98),"Non Trouvé")</f>
        <v/>
      </c>
      <c r="T75" s="73">
        <f>IFERROR(SUM(T77:T98),"Non Trouvé")</f>
        <v/>
      </c>
      <c r="U75" s="75" t="n"/>
      <c r="V75" s="73">
        <f>IFERROR(SUM(V77:V118),"Non Trouvé")</f>
        <v/>
      </c>
      <c r="X75" s="73">
        <f>IFERROR(SUM(X77:X118),"Non Trouvé")</f>
        <v/>
      </c>
      <c r="Z75" s="73">
        <f>IFERROR(SUM(Z77:Z98),"Non Trouvé")</f>
        <v/>
      </c>
      <c r="AB75" s="76">
        <f>ROUND($AB$64*AB67,0)</f>
        <v/>
      </c>
      <c r="AC75" s="77">
        <f>IFERROR(VLOOKUP(AB70,'[1]Paramètres Généraux'!$O:$P,2,FALSE),"Non Trouvé")</f>
        <v/>
      </c>
      <c r="AD75" s="73">
        <f>IFERROR(SUM(AD77:AD98),"Non Trouvé")</f>
        <v/>
      </c>
      <c r="AE75" s="74">
        <f>IFERROR((AD75-$K75*AB75)/AD75,"Non Trouvé")</f>
        <v/>
      </c>
      <c r="AG75" s="76">
        <f>ROUND($AB$64*AG67,0)</f>
        <v/>
      </c>
      <c r="AH75" s="77">
        <f>IFERROR(VLOOKUP(AG70,'[1]Paramètres Généraux'!$O:$P,2,FALSE),"Non Trouvé")</f>
        <v/>
      </c>
      <c r="AI75" s="73">
        <f>IFERROR(SUM(AI77:AI98),"Non Trouvé")</f>
        <v/>
      </c>
      <c r="AJ75" s="74">
        <f>IFERROR((AI75-$K75*AG75)/AI75,"Non Trouvé")</f>
        <v/>
      </c>
      <c r="AL75" s="76">
        <f>ROUND($AB$64*AL67,0)</f>
        <v/>
      </c>
      <c r="AM75" s="77">
        <f>IFERROR(VLOOKUP(AL70,'[1]Paramètres Généraux'!$O:$P,2,FALSE),"Non Trouvé")</f>
        <v/>
      </c>
      <c r="AN75" s="73">
        <f>IFERROR(SUM(AN77:AN98),"Non Trouvé")</f>
        <v/>
      </c>
      <c r="AO75" s="74">
        <f>IFERROR((AN75-$K75*AL75)/AN75,"Non Trouvé")</f>
        <v/>
      </c>
      <c r="AQ75" s="76">
        <f>ROUND($AB$64*AQ67,0)</f>
        <v/>
      </c>
      <c r="AR75" s="77">
        <f>IFERROR(VLOOKUP(AQ70,'[1]Paramètres Généraux'!$O:$P,2,FALSE),"Non Trouvé")</f>
        <v/>
      </c>
      <c r="AS75" s="73">
        <f>IFERROR(SUM(AS77:AS98),"Non Trouvé")</f>
        <v/>
      </c>
      <c r="AT75" s="74">
        <f>IFERROR((AS75-$K75*AQ75)/AS75,"Non Trouvé")</f>
        <v/>
      </c>
      <c r="AV75" s="76">
        <f>ROUND($AB$64*AV67,0)</f>
        <v/>
      </c>
      <c r="AW75" s="77">
        <f>IFERROR(VLOOKUP(AV70,'[1]Paramètres Généraux'!$O:$P,2,FALSE),"Non Trouvé")</f>
        <v/>
      </c>
      <c r="AX75" s="73">
        <f>IFERROR(SUM(AX77:AX98),"Non Trouvé")</f>
        <v/>
      </c>
      <c r="AY75" s="74">
        <f>IFERROR((AX75-$K75*AV75)/AX75,"Non Trouvé")</f>
        <v/>
      </c>
      <c r="BA75" s="76">
        <f>ROUND($AB$64*BA67,0)</f>
        <v/>
      </c>
      <c r="BB75" s="77">
        <f>IFERROR(VLOOKUP(BA70,'[1]Paramètres Généraux'!$O:$P,2,FALSE),"Non Trouvé")</f>
        <v/>
      </c>
      <c r="BC75" s="73">
        <f>IFERROR(SUM(BC77:BC98),"Non Trouvé")</f>
        <v/>
      </c>
      <c r="BD75" s="74">
        <f>IFERROR((BC75-$K75*BA75)/BC75,"Non Trouvé")</f>
        <v/>
      </c>
      <c r="BF75" s="76">
        <f>ROUND($AB$64*BF67,0)</f>
        <v/>
      </c>
      <c r="BG75" s="77">
        <f>IFERROR(VLOOKUP(BF70,'[1]Paramètres Généraux'!$O:$P,2,FALSE),"Non Trouvé")</f>
        <v/>
      </c>
      <c r="BH75" s="73">
        <f>IFERROR(SUM(BH77:BH98),"Non Trouvé")</f>
        <v/>
      </c>
      <c r="BI75" s="74">
        <f>IFERROR((BH75-$K75*BF75)/BH75,"Non Trouvé")</f>
        <v/>
      </c>
      <c r="BK75" s="76">
        <f>ROUND($AB$64*BK67,0)</f>
        <v/>
      </c>
      <c r="BL75" s="77">
        <f>IFERROR(VLOOKUP(BK70,'[1]Paramètres Généraux'!$O:$P,2,FALSE),"Non Trouvé")</f>
        <v/>
      </c>
      <c r="BM75" s="73">
        <f>IFERROR(SUM(BM77:BM98),"Non Trouvé")</f>
        <v/>
      </c>
      <c r="BN75" s="74">
        <f>IFERROR((BM75-$K75*BK75)/BM75,"Non Trouvé")</f>
        <v/>
      </c>
      <c r="BP75" s="76">
        <f>ROUND($AB$64*BP67,0)</f>
        <v/>
      </c>
      <c r="BQ75" s="77">
        <f>IFERROR(VLOOKUP(BP70,'[1]Paramètres Généraux'!$O:$P,2,FALSE),"Non Trouvé")</f>
        <v/>
      </c>
      <c r="BR75" s="73">
        <f>IFERROR(SUM(BR77:BR98),"Non Trouvé")</f>
        <v/>
      </c>
      <c r="BS75" s="74">
        <f>IFERROR((BR75-$K75*BP75)/BR75,"Non Trouvé")</f>
        <v/>
      </c>
      <c r="BU75" s="76">
        <f>ROUND($AB$64*BU67,0)</f>
        <v/>
      </c>
      <c r="BV75" s="77">
        <f>IFERROR(VLOOKUP(BU70,'[1]Paramètres Généraux'!$O:$P,2,FALSE),"Non Trouvé")</f>
        <v/>
      </c>
      <c r="BW75" s="73">
        <f>IFERROR(SUM(BW77:BW98),"Non Trouvé")</f>
        <v/>
      </c>
      <c r="BX75" s="74">
        <f>IFERROR((BW75-$K75*BU75)/BW75,"Non Trouvé")</f>
        <v/>
      </c>
      <c r="BZ75" s="76">
        <f>ROUND($AB$64*BZ67,0)</f>
        <v/>
      </c>
      <c r="CA75" s="77">
        <f>IFERROR(VLOOKUP(BZ70,'[1]Paramètres Généraux'!$O:$P,2,FALSE),"Non Trouvé")</f>
        <v/>
      </c>
      <c r="CB75" s="73">
        <f>IFERROR(SUM(CB77:CB98),"Non Trouvé")</f>
        <v/>
      </c>
      <c r="CC75" s="74">
        <f>IFERROR((CB75-$K75*BZ75)/CB75,"Non Trouvé")</f>
        <v/>
      </c>
      <c r="CE75" s="78" t="n"/>
      <c r="CF75" s="72">
        <f>SUMIFS($AB75:$CC75,$AB72:$CC72,CF72)</f>
        <v/>
      </c>
      <c r="CG75" s="72">
        <f>SUMIFS($AB75:$CC75,$AB72:$CC72,CG72)</f>
        <v/>
      </c>
      <c r="CH75" s="79">
        <f>IFERROR((CG75-$K75*CF75)/CG75,"Non Trouvé")</f>
        <v/>
      </c>
      <c r="CI75" s="80" t="n"/>
      <c r="CJ75" s="69">
        <f>ROUNDUP(CF75*70%,-1)</f>
        <v/>
      </c>
      <c r="CK75" s="169" t="n"/>
      <c r="CN75" s="165" t="n"/>
      <c r="CO75" s="165" t="n"/>
      <c r="CP75" s="165" t="n"/>
      <c r="CQ75" s="165" t="n"/>
      <c r="CR75" s="165" t="n"/>
      <c r="CS75" s="165" t="n"/>
      <c r="CT75" s="165" t="n"/>
      <c r="CU75" s="165" t="n"/>
      <c r="CV75" s="165" t="n"/>
      <c r="CW75" s="166" t="n"/>
      <c r="CX75" s="166" t="n"/>
      <c r="CY75" s="166" t="n"/>
      <c r="CZ75" s="166" t="n"/>
      <c r="DA75" s="166" t="n"/>
      <c r="DB75" s="166" t="n"/>
      <c r="DC75" s="166" t="n"/>
      <c r="DD75" s="166" t="n"/>
      <c r="DE75" s="166" t="n"/>
      <c r="DF75" s="166" t="n"/>
      <c r="DG75" s="166" t="n"/>
      <c r="DH75" s="166" t="n"/>
      <c r="DI75" s="166" t="n"/>
      <c r="DJ75" s="166" t="n"/>
      <c r="DK75" s="166" t="n"/>
      <c r="DL75" s="166" t="n"/>
      <c r="DM75" s="166" t="n"/>
      <c r="DN75" s="166" t="n"/>
      <c r="DO75" s="166" t="n"/>
      <c r="DP75" s="166" t="n"/>
      <c r="DQ75" s="20" t="n"/>
    </row>
    <row r="76" ht="5.25" customHeight="1">
      <c r="CE76" s="33" t="n"/>
      <c r="CF76" s="39" t="n"/>
      <c r="CG76" s="39" t="n"/>
      <c r="CH76" s="39" t="n"/>
      <c r="CI76" s="35" t="n"/>
      <c r="CK76" s="104" t="n"/>
      <c r="CN76" s="165" t="n"/>
      <c r="CO76" s="165" t="n"/>
      <c r="CP76" s="165" t="n"/>
      <c r="CQ76" s="165" t="n"/>
      <c r="CR76" s="165" t="n"/>
      <c r="CS76" s="165" t="n"/>
      <c r="CT76" s="165" t="n"/>
      <c r="CU76" s="165" t="n"/>
      <c r="CV76" s="165" t="n"/>
      <c r="CW76" s="166" t="n"/>
      <c r="CX76" s="166" t="n"/>
      <c r="CY76" s="166" t="n"/>
      <c r="CZ76" s="166" t="n"/>
      <c r="DA76" s="166" t="n"/>
      <c r="DB76" s="166" t="n"/>
      <c r="DC76" s="166" t="n"/>
      <c r="DD76" s="166" t="n"/>
      <c r="DE76" s="166" t="n"/>
      <c r="DF76" s="166" t="n"/>
      <c r="DG76" s="166" t="n"/>
      <c r="DH76" s="166" t="n"/>
      <c r="DI76" s="166" t="n"/>
      <c r="DJ76" s="166" t="n"/>
      <c r="DK76" s="166" t="n"/>
      <c r="DL76" s="166" t="n"/>
      <c r="DM76" s="166" t="n"/>
      <c r="DN76" s="166" t="n"/>
      <c r="DO76" s="166" t="n"/>
      <c r="DP76" s="166" t="n"/>
      <c r="DQ76" s="20" t="n"/>
      <c r="DU76" s="20" t="n"/>
    </row>
    <row r="77" ht="12.95" customHeight="1">
      <c r="B77" s="1">
        <f>IF(C77="",0,COUNTIFS($B$22:B76,"&gt;"&amp;0)+1)</f>
        <v/>
      </c>
      <c r="C77" s="90" t="n">
        <v>1020202</v>
      </c>
      <c r="D77" s="91">
        <f>IFERROR(IF($C77="","",VLOOKUP($C77,'[1]Paramètres Articles'!$B:$G,2,FALSE)),"Non Trouvé")</f>
        <v/>
      </c>
      <c r="E77" s="92">
        <f>IFERROR(IF($C77="","",_xlfn.XLOOKUP(REGENERANTS!$C77,'[1]New Base PA'!$F:$F,'[1]New Base PA'!$D:$D,"Not Found",0)),"Non Trouvé")</f>
        <v/>
      </c>
      <c r="F77" s="93" t="inlineStr">
        <is>
          <t>Produit Vente</t>
        </is>
      </c>
      <c r="H77" s="94" t="n">
        <v>3</v>
      </c>
      <c r="J77" s="95">
        <f>IFERROR(IF($C77="","",VLOOKUP($C77,'[1]New Base PA'!$F:$J,5,FALSE)),"Non Trouvé")</f>
        <v/>
      </c>
      <c r="K77" s="95">
        <f>IFERROR(IF($C77="","",$J77*$H77),"Non Trouvé")</f>
        <v/>
      </c>
      <c r="L77" s="96" t="n"/>
      <c r="M77" s="170">
        <f>IFERROR(IF(AND($F77="Produit Vente",H77&gt;0),VLOOKUP($C77,'[1]Paramètres Articles'!$B:$G,6,FALSE),0),"Non Trouvé")</f>
        <v/>
      </c>
      <c r="N77" s="170">
        <f>IFERROR(IF($C77="","",$M77*$H77),"Non Trouvé")</f>
        <v/>
      </c>
      <c r="P77" s="97" t="n">
        <v>0.1</v>
      </c>
      <c r="R77" s="95">
        <f>IFERROR(IF($C77="","",$N77*(1-$P77)),"Non Trouvé")</f>
        <v/>
      </c>
      <c r="S77" s="96" t="n"/>
      <c r="T77" s="95">
        <f>IFERROR(IF($C77="","",VLOOKUP($C77,'[1]Paramètres Articles'!$B:$H,7,FALSE)),"Non Trouvé")</f>
        <v/>
      </c>
      <c r="U77" s="98" t="n"/>
      <c r="V77" s="95">
        <f>IFERROR(IF($C77="","",IF($P77="","",$T77*(1-$P77))),"Non Trouvé")</f>
        <v/>
      </c>
      <c r="W77" s="96" t="n"/>
      <c r="X77" s="95">
        <f>IFERROR(T77-V77,"")</f>
        <v/>
      </c>
      <c r="Y77" s="96" t="n"/>
      <c r="Z77" s="95">
        <f>IFERROR(IF(OR(T77=0,T77=""),0,T77*H77),"Non Trouvé")</f>
        <v/>
      </c>
      <c r="AB77" s="99">
        <f>AB75</f>
        <v/>
      </c>
      <c r="AC77" s="99">
        <f>AC75</f>
        <v/>
      </c>
      <c r="AD77" s="95">
        <f>IFERROR(IF($C77="","",IF($P$15="Cascade",$R77*(1-AC77)*AB77,IF($P$15="Additionnelle",($N77-($N77*($P77+AC77)))*AB77))),"Non Trouvé")</f>
        <v/>
      </c>
      <c r="AG77" s="99">
        <f>AG75</f>
        <v/>
      </c>
      <c r="AH77" s="99">
        <f>AH75</f>
        <v/>
      </c>
      <c r="AI77" s="95">
        <f>IFERROR(IF($C77="","",IF($P$15="Cascade",$R77*(1-AH77)*AG77,IF($P$15="Additionnelle",($N77-($N77*($P77+AH77)))*AG77))),"Non Trouvé")</f>
        <v/>
      </c>
      <c r="AL77" s="99">
        <f>AL75</f>
        <v/>
      </c>
      <c r="AM77" s="99">
        <f>AM75</f>
        <v/>
      </c>
      <c r="AN77" s="95">
        <f>IFERROR(IF($C77="","",IF($P$15="Cascade",$R77*(1-AM77)*AL77,IF($P$15="Additionnelle",($N77-($N77*($P77+AM77)))*AL77))),"Non Trouvé")</f>
        <v/>
      </c>
      <c r="AQ77" s="99">
        <f>AQ75</f>
        <v/>
      </c>
      <c r="AR77" s="99">
        <f>AR75</f>
        <v/>
      </c>
      <c r="AS77" s="95">
        <f>IFERROR(IF($C77="","",IF($P$15="Cascade",$R77*(1-AR77)*AQ77,IF($P$15="Additionnelle",($N77-($N77*($P77+AR77)))*AQ77))),"Non Trouvé")</f>
        <v/>
      </c>
      <c r="AV77" s="99">
        <f>AV75</f>
        <v/>
      </c>
      <c r="AW77" s="99">
        <f>AW75</f>
        <v/>
      </c>
      <c r="AX77" s="95">
        <f>IFERROR(IF($C77="","",IF($P$15="Cascade",$R77*(1-AW77)*AV77,IF($P$15="Additionnelle",($N77-($N77*($P77+AW77)))*AV77))),"Non Trouvé")</f>
        <v/>
      </c>
      <c r="BA77" s="99">
        <f>BA75</f>
        <v/>
      </c>
      <c r="BB77" s="99">
        <f>BB75</f>
        <v/>
      </c>
      <c r="BC77" s="95">
        <f>IFERROR(IF($C77="","",IF($P$15="Cascade",$R77*(1-BB77)*BA77,IF($P$15="Additionnelle",($N77-($N77*($P77+BB77)))*BA77))),"Non Trouvé")</f>
        <v/>
      </c>
      <c r="BF77" s="99">
        <f>BF75</f>
        <v/>
      </c>
      <c r="BG77" s="99">
        <f>BG75</f>
        <v/>
      </c>
      <c r="BH77" s="95">
        <f>IFERROR(IF($C77="","",IF($P$15="Cascade",$R77*(1-BG77)*BF77,IF($P$15="Additionnelle",($N77-($N77*($P77+BG77)))*BF77))),"Non Trouvé")</f>
        <v/>
      </c>
      <c r="BK77" s="99">
        <f>BK75</f>
        <v/>
      </c>
      <c r="BL77" s="99">
        <f>BL75</f>
        <v/>
      </c>
      <c r="BM77" s="95">
        <f>IFERROR(IF($C77="","",IF($P$15="Cascade",$R77*(1-BL77)*BK77,IF($P$15="Additionnelle",($N77-($N77*($P77+BL77)))*BK77))),"Non Trouvé")</f>
        <v/>
      </c>
      <c r="BP77" s="99">
        <f>BP75</f>
        <v/>
      </c>
      <c r="BQ77" s="99">
        <f>BQ75</f>
        <v/>
      </c>
      <c r="BR77" s="95">
        <f>IFERROR(IF($C77="","",IF($P$15="Cascade",$R77*(1-BQ77)*BP77,IF($P$15="Additionnelle",($N77-($N77*($P77+BQ77)))*BP77))),"Non Trouvé")</f>
        <v/>
      </c>
      <c r="BU77" s="99">
        <f>BU75</f>
        <v/>
      </c>
      <c r="BV77" s="99">
        <f>BV75</f>
        <v/>
      </c>
      <c r="BW77" s="95">
        <f>IFERROR(IF($C77="","",IF($P$15="Cascade",$R77*(1-BV77)*BU77,IF($P$15="Additionnelle",($N77-($N77*($P77+BV77)))*BU77))),"Non Trouvé")</f>
        <v/>
      </c>
      <c r="BZ77" s="99">
        <f>BZ75</f>
        <v/>
      </c>
      <c r="CA77" s="99">
        <f>CA75</f>
        <v/>
      </c>
      <c r="CB77" s="95">
        <f>IFERROR(IF($C77="","",IF($P$15="Cascade",$R77*(1-CA77)*BZ77,IF($P$15="Additionnelle",($N77-($N77*($P77+CA77)))*BZ77))),"Non Trouvé")</f>
        <v/>
      </c>
      <c r="CE77" s="100" t="n"/>
      <c r="CF77" s="101" t="n"/>
      <c r="CG77" s="102" t="n"/>
      <c r="CH77" s="102" t="n"/>
      <c r="CI77" s="103" t="n"/>
      <c r="CK77" s="104">
        <f>IFERROR(IF(F77='[1]Paramètres Généraux'!$K$12,ROUNDUP((REGENERANTS!H77*REGENERANTS!$CF$75)*'[1]Paramètres Généraux'!$M$12,-1),IF(F77='[1]Paramètres Généraux'!$K$15,ROUNDUP((REGENERANTS!H77*REGENERANTS!$CF$75)*'[1]Paramètres Généraux'!$M$15,-1),REGENERANTS!H77*REGENERANTS!$CF$75)),"nd")</f>
        <v/>
      </c>
      <c r="CN77" s="171" t="n"/>
      <c r="CO77" s="172" t="n"/>
      <c r="CP77" s="172" t="n"/>
      <c r="CQ77" s="172" t="n"/>
      <c r="CR77" s="172" t="n"/>
      <c r="CS77" s="173" t="n"/>
      <c r="CT77" s="174" t="n"/>
      <c r="CU77" s="172" t="n"/>
      <c r="CV77" s="173" t="n"/>
      <c r="CW77" s="175" t="n"/>
      <c r="CX77" s="176" t="n"/>
      <c r="CY77" s="175" t="n"/>
      <c r="CZ77" s="177" t="n"/>
      <c r="DA77" s="176" t="n"/>
      <c r="DB77" s="175" t="n"/>
      <c r="DC77" s="177" t="n"/>
      <c r="DD77" s="176" t="n"/>
      <c r="DE77" s="175" t="n"/>
      <c r="DF77" s="177" t="n"/>
      <c r="DG77" s="177" t="n"/>
      <c r="DH77" s="177" t="n"/>
      <c r="DI77" s="177" t="n"/>
      <c r="DJ77" s="177" t="n"/>
      <c r="DK77" s="177" t="n"/>
      <c r="DL77" s="177" t="n"/>
      <c r="DM77" s="177" t="n"/>
      <c r="DN77" s="177" t="n"/>
      <c r="DO77" s="176" t="n"/>
      <c r="DP77" s="175" t="n"/>
      <c r="DQ77" s="20">
        <f>SUM(CN77:DP77)</f>
        <v/>
      </c>
      <c r="DR77" s="20">
        <f>SUM(CV77:DP77)</f>
        <v/>
      </c>
      <c r="DS77" s="20">
        <f>IFERROR((IF(AND($F77="Produit Vente",CO77&gt;0),VLOOKUP($C77,'[1]Paramètres Articles'!$B:$H,7,FALSE)*$CO77)*(1-20%)),0)</f>
        <v/>
      </c>
      <c r="DT77" s="20">
        <f>IFERROR((IF(AND($F77="Produit Vente",DR77&gt;0),VLOOKUP($C77,'[1]Paramètres Articles'!$B:$H,6,FALSE)*$DR77)*(1-15%)),0)</f>
        <v/>
      </c>
      <c r="DU77" s="20">
        <f>IFERROR(DQ77*J77,0)</f>
        <v/>
      </c>
    </row>
    <row r="78" ht="12.95" customHeight="1">
      <c r="B78" s="1">
        <f>IF(C78="",0,COUNTIFS($B$22:B77,"&gt;"&amp;0)+1)</f>
        <v/>
      </c>
      <c r="C78" s="90" t="n">
        <v>1020310</v>
      </c>
      <c r="D78" s="91">
        <f>IFERROR(IF($C78="","",VLOOKUP($C78,'[1]Paramètres Articles'!$B:$G,2,FALSE)),"Non Trouvé")</f>
        <v/>
      </c>
      <c r="E78" s="92">
        <f>IFERROR(IF($C78="","",_xlfn.XLOOKUP(REGENERANTS!$C78,'[1]New Base PA'!$F:$F,'[1]New Base PA'!$D:$D,"Not Found",0)),"Non Trouvé")</f>
        <v/>
      </c>
      <c r="F78" s="93" t="inlineStr">
        <is>
          <t>Produit Vente</t>
        </is>
      </c>
      <c r="H78" s="94" t="n">
        <v>2</v>
      </c>
      <c r="J78" s="95">
        <f>IFERROR(IF($C78="","",VLOOKUP($C78,'[1]New Base PA'!$F:$J,5,FALSE)),"Non Trouvé")</f>
        <v/>
      </c>
      <c r="K78" s="95">
        <f>IFERROR(IF($C78="","",$J78*$H78),"Non Trouvé")</f>
        <v/>
      </c>
      <c r="L78" s="96" t="n"/>
      <c r="M78" s="170">
        <f>IFERROR(IF(AND($F78="Produit Vente",H78&gt;0),VLOOKUP($C78,'[1]Paramètres Articles'!$B:$G,6,FALSE),0),"Non Trouvé")</f>
        <v/>
      </c>
      <c r="N78" s="170">
        <f>IFERROR(IF($C78="","",$M78*$H78),"Non Trouvé")</f>
        <v/>
      </c>
      <c r="P78" s="97" t="n">
        <v>0.1</v>
      </c>
      <c r="R78" s="95">
        <f>IFERROR(IF($C78="","",$N78*(1-$P78)),"Non Trouvé")</f>
        <v/>
      </c>
      <c r="S78" s="96" t="n"/>
      <c r="T78" s="95">
        <f>IFERROR(IF($C78="","",VLOOKUP($C78,'[1]Paramètres Articles'!$B:$H,7,FALSE)),"Non Trouvé")</f>
        <v/>
      </c>
      <c r="U78" s="98" t="n"/>
      <c r="V78" s="95">
        <f>IFERROR(IF($C78="","",IF($P78="","",$T78*(1-$P78))),"Non Trouvé")</f>
        <v/>
      </c>
      <c r="W78" s="96" t="n"/>
      <c r="X78" s="95">
        <f>IFERROR(T78-V78,"")</f>
        <v/>
      </c>
      <c r="Y78" s="96" t="n"/>
      <c r="Z78" s="95">
        <f>IFERROR(IF(OR(T78=0,T78=""),0,T78*H78),"Non Trouvé")</f>
        <v/>
      </c>
      <c r="AB78" s="99">
        <f>AB77</f>
        <v/>
      </c>
      <c r="AC78" s="99">
        <f>AC77</f>
        <v/>
      </c>
      <c r="AD78" s="95">
        <f>IFERROR(IF($C78="","",IF($P$15="Cascade",$R78*(1-AC78)*AB78,IF($P$15="Additionnelle",($N78-($N78*($P78+AC78)))*AB78))),"Non Trouvé")</f>
        <v/>
      </c>
      <c r="AG78" s="99">
        <f>AG77</f>
        <v/>
      </c>
      <c r="AH78" s="99">
        <f>AH77</f>
        <v/>
      </c>
      <c r="AI78" s="95">
        <f>IFERROR(IF($C78="","",IF($P$15="Cascade",$R78*(1-AH78)*AG78,IF($P$15="Additionnelle",($N78-($N78*($P78+AH78)))*AG78))),"Non Trouvé")</f>
        <v/>
      </c>
      <c r="AL78" s="99">
        <f>AL77</f>
        <v/>
      </c>
      <c r="AM78" s="99">
        <f>AM77</f>
        <v/>
      </c>
      <c r="AN78" s="95">
        <f>IFERROR(IF($C78="","",IF($P$15="Cascade",$R78*(1-AM78)*AL78,IF($P$15="Additionnelle",($N78-($N78*($P78+AM78)))*AL78))),"Non Trouvé")</f>
        <v/>
      </c>
      <c r="AQ78" s="99">
        <f>AQ77</f>
        <v/>
      </c>
      <c r="AR78" s="99">
        <f>AR77</f>
        <v/>
      </c>
      <c r="AS78" s="95">
        <f>IFERROR(IF($C78="","",IF($P$15="Cascade",$R78*(1-AR78)*AQ78,IF($P$15="Additionnelle",($N78-($N78*($P78+AR78)))*AQ78))),"Non Trouvé")</f>
        <v/>
      </c>
      <c r="AV78" s="99">
        <f>AV77</f>
        <v/>
      </c>
      <c r="AW78" s="99">
        <f>AW77</f>
        <v/>
      </c>
      <c r="AX78" s="95">
        <f>IFERROR(IF($C78="","",IF($P$15="Cascade",$R78*(1-AW78)*AV78,IF($P$15="Additionnelle",($N78-($N78*($P78+AW78)))*AV78))),"Non Trouvé")</f>
        <v/>
      </c>
      <c r="BA78" s="99">
        <f>BA77</f>
        <v/>
      </c>
      <c r="BB78" s="99">
        <f>BB77</f>
        <v/>
      </c>
      <c r="BC78" s="95">
        <f>IFERROR(IF($C78="","",IF($P$15="Cascade",$R78*(1-BB78)*BA78,IF($P$15="Additionnelle",($N78-($N78*($P78+BB78)))*BA78))),"Non Trouvé")</f>
        <v/>
      </c>
      <c r="BF78" s="99">
        <f>BF77</f>
        <v/>
      </c>
      <c r="BG78" s="99">
        <f>BG77</f>
        <v/>
      </c>
      <c r="BH78" s="95">
        <f>IFERROR(IF($C78="","",IF($P$15="Cascade",$R78*(1-BG78)*BF78,IF($P$15="Additionnelle",($N78-($N78*($P78+BG78)))*BF78))),"Non Trouvé")</f>
        <v/>
      </c>
      <c r="BK78" s="99">
        <f>BK77</f>
        <v/>
      </c>
      <c r="BL78" s="99">
        <f>BL77</f>
        <v/>
      </c>
      <c r="BM78" s="95">
        <f>IFERROR(IF($C78="","",IF($P$15="Cascade",$R78*(1-BL78)*BK78,IF($P$15="Additionnelle",($N78-($N78*($P78+BL78)))*BK78))),"Non Trouvé")</f>
        <v/>
      </c>
      <c r="BP78" s="99">
        <f>BP77</f>
        <v/>
      </c>
      <c r="BQ78" s="99">
        <f>BQ77</f>
        <v/>
      </c>
      <c r="BR78" s="95">
        <f>IFERROR(IF($C78="","",IF($P$15="Cascade",$R78*(1-BQ78)*BP78,IF($P$15="Additionnelle",($N78-($N78*($P78+BQ78)))*BP78))),"Non Trouvé")</f>
        <v/>
      </c>
      <c r="BU78" s="99">
        <f>BU77</f>
        <v/>
      </c>
      <c r="BV78" s="99">
        <f>BV77</f>
        <v/>
      </c>
      <c r="BW78" s="95">
        <f>IFERROR(IF($C78="","",IF($P$15="Cascade",$R78*(1-BV78)*BU78,IF($P$15="Additionnelle",($N78-($N78*($P78+BV78)))*BU78))),"Non Trouvé")</f>
        <v/>
      </c>
      <c r="BZ78" s="99">
        <f>BZ77</f>
        <v/>
      </c>
      <c r="CA78" s="99">
        <f>CA77</f>
        <v/>
      </c>
      <c r="CB78" s="95">
        <f>IFERROR(IF($C78="","",IF($P$15="Cascade",$R78*(1-CA78)*BZ78,IF($P$15="Additionnelle",($N78-($N78*($P78+CA78)))*BZ78))),"Non Trouvé")</f>
        <v/>
      </c>
      <c r="CE78" s="100" t="n"/>
      <c r="CF78" s="119" t="n"/>
      <c r="CG78" s="120" t="inlineStr">
        <is>
          <t>Prix Offre Moy. Remisé :</t>
        </is>
      </c>
      <c r="CH78" s="121">
        <f>CG75/CF75</f>
        <v/>
      </c>
      <c r="CI78" s="103" t="n"/>
      <c r="CK78" s="104">
        <f>IFERROR(IF(F78='[1]Paramètres Généraux'!$K$12,ROUNDUP((REGENERANTS!H78*REGENERANTS!$CF$75)*'[1]Paramètres Généraux'!$M$12,-1),IF(F78='[1]Paramètres Généraux'!$K$15,ROUNDUP((REGENERANTS!H78*REGENERANTS!$CF$75)*'[1]Paramètres Généraux'!$M$15,-1),REGENERANTS!H78*REGENERANTS!$CF$75)),"nd")</f>
        <v/>
      </c>
      <c r="CN78" s="105" t="n"/>
      <c r="CO78" s="106" t="n"/>
      <c r="CP78" s="106" t="n"/>
      <c r="CQ78" s="106" t="n"/>
      <c r="CR78" s="106" t="n"/>
      <c r="CS78" s="178" t="n"/>
      <c r="CT78" s="179" t="n"/>
      <c r="CU78" s="106" t="n"/>
      <c r="CV78" s="178" t="n"/>
      <c r="CW78" s="111" t="n"/>
      <c r="CX78" s="112" t="n"/>
      <c r="CY78" s="111" t="n"/>
      <c r="CZ78" s="109" t="n"/>
      <c r="DA78" s="112" t="n"/>
      <c r="DB78" s="111" t="n"/>
      <c r="DC78" s="109" t="n"/>
      <c r="DD78" s="112" t="n"/>
      <c r="DE78" s="111" t="n"/>
      <c r="DF78" s="109" t="n"/>
      <c r="DG78" s="109" t="n"/>
      <c r="DH78" s="109" t="n"/>
      <c r="DI78" s="109" t="n"/>
      <c r="DJ78" s="109" t="n"/>
      <c r="DK78" s="109" t="n"/>
      <c r="DL78" s="109" t="n"/>
      <c r="DM78" s="109" t="n"/>
      <c r="DN78" s="109" t="n"/>
      <c r="DO78" s="112" t="n"/>
      <c r="DP78" s="111" t="n"/>
      <c r="DQ78" s="20">
        <f>SUM(CN78:DP78)</f>
        <v/>
      </c>
      <c r="DR78" s="20">
        <f>SUM(CV78:DP78)</f>
        <v/>
      </c>
      <c r="DS78" s="20">
        <f>IFERROR((IF(AND($F78="Produit Vente",CO78&gt;0),VLOOKUP($C78,'[1]Paramètres Articles'!$B:$H,7,FALSE)*$CO78)*(1-20%)),0)</f>
        <v/>
      </c>
      <c r="DT78" s="20">
        <f>IFERROR((IF(AND($F78="Produit Vente",DR78&gt;0),VLOOKUP($C78,'[1]Paramètres Articles'!$B:$H,6,FALSE)*$DR78)*(1-15%)),0)</f>
        <v/>
      </c>
      <c r="DU78" s="20">
        <f>IFERROR(DQ78*J78,0)</f>
        <v/>
      </c>
    </row>
    <row r="79" ht="12.95" customHeight="1">
      <c r="B79" s="1">
        <f>IF(C79="",0,COUNTIFS($B$22:B78,"&gt;"&amp;0)+1)</f>
        <v/>
      </c>
      <c r="C79" s="90" t="n">
        <v>1020401</v>
      </c>
      <c r="D79" s="91">
        <f>IFERROR(IF($C79="","",VLOOKUP($C79,'[1]Paramètres Articles'!$B:$G,2,FALSE)),"Non Trouvé")</f>
        <v/>
      </c>
      <c r="E79" s="92">
        <f>IFERROR(IF($C79="","",_xlfn.XLOOKUP(REGENERANTS!$C79,'[1]New Base PA'!$F:$F,'[1]New Base PA'!$D:$D,"Not Found",0)),"Non Trouvé")</f>
        <v/>
      </c>
      <c r="F79" s="93" t="inlineStr">
        <is>
          <t>Produit Vente</t>
        </is>
      </c>
      <c r="H79" s="94" t="n">
        <v>2</v>
      </c>
      <c r="J79" s="95">
        <f>IFERROR(IF($C79="","",VLOOKUP($C79,'[1]New Base PA'!$F:$J,5,FALSE)),"Non Trouvé")</f>
        <v/>
      </c>
      <c r="K79" s="95">
        <f>IFERROR(IF($C79="","",$J79*$H79),"Non Trouvé")</f>
        <v/>
      </c>
      <c r="L79" s="96" t="n"/>
      <c r="M79" s="170">
        <f>IFERROR(IF(AND($F79="Produit Vente",H79&gt;0),VLOOKUP($C79,'[1]Paramètres Articles'!$B:$G,6,FALSE),0),"Non Trouvé")</f>
        <v/>
      </c>
      <c r="N79" s="170">
        <f>IFERROR(IF($C79="","",$M79*$H79),"Non Trouvé")</f>
        <v/>
      </c>
      <c r="P79" s="97" t="n">
        <v>0.1</v>
      </c>
      <c r="R79" s="95">
        <f>IFERROR(IF($C79="","",$N79*(1-$P79)),"Non Trouvé")</f>
        <v/>
      </c>
      <c r="S79" s="96" t="n"/>
      <c r="T79" s="95">
        <f>IFERROR(IF($C79="","",VLOOKUP($C79,'[1]Paramètres Articles'!$B:$H,7,FALSE)),"Non Trouvé")</f>
        <v/>
      </c>
      <c r="U79" s="98" t="n"/>
      <c r="V79" s="95">
        <f>IFERROR(IF($C79="","",IF($P79="","",$T79*(1-$P79))),"Non Trouvé")</f>
        <v/>
      </c>
      <c r="W79" s="96" t="n"/>
      <c r="X79" s="95">
        <f>IFERROR(T79-V79,"")</f>
        <v/>
      </c>
      <c r="Y79" s="96" t="n"/>
      <c r="Z79" s="95">
        <f>IFERROR(IF(OR(T79=0,T79=""),0,T79*H79),"Non Trouvé")</f>
        <v/>
      </c>
      <c r="AB79" s="99">
        <f>AB77</f>
        <v/>
      </c>
      <c r="AC79" s="99">
        <f>AC77</f>
        <v/>
      </c>
      <c r="AD79" s="95">
        <f>IFERROR(IF($C79="","",IF($P$15="Cascade",$R79*(1-AC79)*AB79,IF($P$15="Additionnelle",($N79-($N79*($P79+AC79)))*AB79))),"Non Trouvé")</f>
        <v/>
      </c>
      <c r="AG79" s="99">
        <f>AG77</f>
        <v/>
      </c>
      <c r="AH79" s="99">
        <f>AH77</f>
        <v/>
      </c>
      <c r="AI79" s="95">
        <f>IFERROR(IF($C79="","",IF($P$15="Cascade",$R79*(1-AH79)*AG79,IF($P$15="Additionnelle",($N79-($N79*($P79+AH79)))*AG79))),"Non Trouvé")</f>
        <v/>
      </c>
      <c r="AL79" s="99">
        <f>AL77</f>
        <v/>
      </c>
      <c r="AM79" s="99">
        <f>AM77</f>
        <v/>
      </c>
      <c r="AN79" s="95">
        <f>IFERROR(IF($C79="","",IF($P$15="Cascade",$R79*(1-AM79)*AL79,IF($P$15="Additionnelle",($N79-($N79*($P79+AM79)))*AL79))),"Non Trouvé")</f>
        <v/>
      </c>
      <c r="AQ79" s="99">
        <f>AQ77</f>
        <v/>
      </c>
      <c r="AR79" s="99">
        <f>AR77</f>
        <v/>
      </c>
      <c r="AS79" s="95">
        <f>IFERROR(IF($C79="","",IF($P$15="Cascade",$R79*(1-AR79)*AQ79,IF($P$15="Additionnelle",($N79-($N79*($P79+AR79)))*AQ79))),"Non Trouvé")</f>
        <v/>
      </c>
      <c r="AV79" s="99">
        <f>AV77</f>
        <v/>
      </c>
      <c r="AW79" s="99">
        <f>AW77</f>
        <v/>
      </c>
      <c r="AX79" s="95">
        <f>IFERROR(IF($C79="","",IF($P$15="Cascade",$R79*(1-AW79)*AV79,IF($P$15="Additionnelle",($N79-($N79*($P79+AW79)))*AV79))),"Non Trouvé")</f>
        <v/>
      </c>
      <c r="BA79" s="99">
        <f>BA77</f>
        <v/>
      </c>
      <c r="BB79" s="99">
        <f>BB77</f>
        <v/>
      </c>
      <c r="BC79" s="95">
        <f>IFERROR(IF($C79="","",IF($P$15="Cascade",$R79*(1-BB79)*BA79,IF($P$15="Additionnelle",($N79-($N79*($P79+BB79)))*BA79))),"Non Trouvé")</f>
        <v/>
      </c>
      <c r="BF79" s="99">
        <f>BF77</f>
        <v/>
      </c>
      <c r="BG79" s="99">
        <f>BG77</f>
        <v/>
      </c>
      <c r="BH79" s="95">
        <f>IFERROR(IF($C79="","",IF($P$15="Cascade",$R79*(1-BG79)*BF79,IF($P$15="Additionnelle",($N79-($N79*($P79+BG79)))*BF79))),"Non Trouvé")</f>
        <v/>
      </c>
      <c r="BK79" s="99">
        <f>BK77</f>
        <v/>
      </c>
      <c r="BL79" s="99">
        <f>BL77</f>
        <v/>
      </c>
      <c r="BM79" s="95">
        <f>IFERROR(IF($C79="","",IF($P$15="Cascade",$R79*(1-BL79)*BK79,IF($P$15="Additionnelle",($N79-($N79*($P79+BL79)))*BK79))),"Non Trouvé")</f>
        <v/>
      </c>
      <c r="BP79" s="99">
        <f>BP77</f>
        <v/>
      </c>
      <c r="BQ79" s="99">
        <f>BQ77</f>
        <v/>
      </c>
      <c r="BR79" s="95">
        <f>IFERROR(IF($C79="","",IF($P$15="Cascade",$R79*(1-BQ79)*BP79,IF($P$15="Additionnelle",($N79-($N79*($P79+BQ79)))*BP79))),"Non Trouvé")</f>
        <v/>
      </c>
      <c r="BU79" s="99">
        <f>BU77</f>
        <v/>
      </c>
      <c r="BV79" s="99">
        <f>BV77</f>
        <v/>
      </c>
      <c r="BW79" s="95">
        <f>IFERROR(IF($C79="","",IF($P$15="Cascade",$R79*(1-BV79)*BU79,IF($P$15="Additionnelle",($N79-($N79*($P79+BV79)))*BU79))),"Non Trouvé")</f>
        <v/>
      </c>
      <c r="BZ79" s="99">
        <f>BZ77</f>
        <v/>
      </c>
      <c r="CA79" s="99">
        <f>CA77</f>
        <v/>
      </c>
      <c r="CB79" s="95">
        <f>IFERROR(IF($C79="","",IF($P$15="Cascade",$R79*(1-CA79)*BZ79,IF($P$15="Additionnelle",($N79-($N79*($P79+CA79)))*BZ79))),"Non Trouvé")</f>
        <v/>
      </c>
      <c r="CE79" s="100" t="n"/>
      <c r="CF79" s="119" t="n"/>
      <c r="CG79" s="120" t="inlineStr">
        <is>
          <t>Poids Gratuités achats :</t>
        </is>
      </c>
      <c r="CH79" s="123">
        <f>SUM(CH81:CH84)</f>
        <v/>
      </c>
      <c r="CI79" s="103" t="n"/>
      <c r="CK79" s="104">
        <f>IFERROR(IF(F79='[1]Paramètres Généraux'!$K$12,ROUNDUP((REGENERANTS!H79*REGENERANTS!$CF$75)*'[1]Paramètres Généraux'!$M$12,-1),IF(F79='[1]Paramètres Généraux'!$K$15,ROUNDUP((REGENERANTS!H79*REGENERANTS!$CF$75)*'[1]Paramètres Généraux'!$M$15,-1),REGENERANTS!H79*REGENERANTS!$CF$75)),"nd")</f>
        <v/>
      </c>
      <c r="CN79" s="105" t="n"/>
      <c r="CO79" s="106" t="n"/>
      <c r="CP79" s="106" t="n"/>
      <c r="CQ79" s="106" t="n"/>
      <c r="CR79" s="106" t="n"/>
      <c r="CS79" s="178" t="n"/>
      <c r="CT79" s="179" t="n"/>
      <c r="CU79" s="106" t="n"/>
      <c r="CV79" s="178" t="n"/>
      <c r="CW79" s="111" t="n"/>
      <c r="CX79" s="112" t="n"/>
      <c r="CY79" s="111" t="n"/>
      <c r="CZ79" s="109" t="n"/>
      <c r="DA79" s="112" t="n"/>
      <c r="DB79" s="111" t="n"/>
      <c r="DC79" s="109" t="n"/>
      <c r="DD79" s="112" t="n"/>
      <c r="DE79" s="111" t="n"/>
      <c r="DF79" s="109" t="n"/>
      <c r="DG79" s="109" t="n"/>
      <c r="DH79" s="109" t="n"/>
      <c r="DI79" s="109" t="n"/>
      <c r="DJ79" s="109" t="n"/>
      <c r="DK79" s="109" t="n"/>
      <c r="DL79" s="109" t="n"/>
      <c r="DM79" s="109" t="n"/>
      <c r="DN79" s="109" t="n"/>
      <c r="DO79" s="112" t="n"/>
      <c r="DP79" s="111" t="n"/>
      <c r="DQ79" s="20">
        <f>SUM(CN79:DP79)</f>
        <v/>
      </c>
      <c r="DR79" s="20">
        <f>SUM(CV79:DP79)</f>
        <v/>
      </c>
      <c r="DS79" s="20">
        <f>IFERROR((IF(AND($F79="Produit Vente",CO79&gt;0),VLOOKUP($C79,'[1]Paramètres Articles'!$B:$H,7,FALSE)*$CO79)*(1-20%)),0)</f>
        <v/>
      </c>
      <c r="DT79" s="20">
        <f>IFERROR((IF(AND($F79="Produit Vente",DR79&gt;0),VLOOKUP($C79,'[1]Paramètres Articles'!$B:$H,6,FALSE)*$DR79)*(1-15%)),0)</f>
        <v/>
      </c>
      <c r="DU79" s="20">
        <f>IFERROR(DQ79*J79,0)</f>
        <v/>
      </c>
    </row>
    <row r="80" outlineLevel="1" collapsed="1" ht="12.95" customHeight="1">
      <c r="B80" s="1">
        <f>IF(C80="",0,COUNTIFS($B$22:B79,"&gt;"&amp;0)+1)</f>
        <v/>
      </c>
      <c r="C80" s="90" t="n">
        <v>1020302</v>
      </c>
      <c r="D80" s="91">
        <f>IFERROR(IF($C80="","",VLOOKUP($C80,'[1]Paramètres Articles'!$B:$G,2,FALSE)),"Non Trouvé")</f>
        <v/>
      </c>
      <c r="E80" s="92">
        <f>IFERROR(IF($C80="","",_xlfn.XLOOKUP(REGENERANTS!$C80,'[1]New Base PA'!$F:$F,'[1]New Base PA'!$D:$D,"Not Found",0)),"Non Trouvé")</f>
        <v/>
      </c>
      <c r="F80" s="93" t="inlineStr">
        <is>
          <t>Produit Vente</t>
        </is>
      </c>
      <c r="H80" s="94" t="n">
        <v>1</v>
      </c>
      <c r="J80" s="95">
        <f>IFERROR(IF($C80="","",VLOOKUP($C80,'[1]New Base PA'!$F:$J,5,FALSE)),"Non Trouvé")</f>
        <v/>
      </c>
      <c r="K80" s="95">
        <f>IFERROR(IF($C80="","",$J80*$H80),"Non Trouvé")</f>
        <v/>
      </c>
      <c r="L80" s="96" t="n"/>
      <c r="M80" s="170">
        <f>IFERROR(IF(AND($F80="Produit Vente",H80&gt;0),VLOOKUP($C80,'[1]Paramètres Articles'!$B:$G,6,FALSE),0),"Non Trouvé")</f>
        <v/>
      </c>
      <c r="N80" s="170">
        <f>IFERROR(IF($C80="","",$M80*$H80),"Non Trouvé")</f>
        <v/>
      </c>
      <c r="P80" s="97" t="n">
        <v>0.1</v>
      </c>
      <c r="R80" s="95">
        <f>IFERROR(IF($C80="","",$N80*(1-$P80)),"Non Trouvé")</f>
        <v/>
      </c>
      <c r="S80" s="96" t="n"/>
      <c r="T80" s="95">
        <f>IFERROR(IF($C80="","",VLOOKUP($C80,'[1]Paramètres Articles'!$B:$H,7,FALSE)),"Non Trouvé")</f>
        <v/>
      </c>
      <c r="U80" s="98" t="n"/>
      <c r="V80" s="95">
        <f>IFERROR(IF($C80="","",IF($P80="","",$T80*(1-$P80))),"Non Trouvé")</f>
        <v/>
      </c>
      <c r="W80" s="96" t="n"/>
      <c r="X80" s="95">
        <f>IFERROR(T80-V80,"")</f>
        <v/>
      </c>
      <c r="Y80" s="96" t="n"/>
      <c r="Z80" s="95">
        <f>IFERROR(IF(OR(T80=0,T80=""),0,T80*H80),"Non Trouvé")</f>
        <v/>
      </c>
      <c r="AB80" s="99">
        <f>AB79</f>
        <v/>
      </c>
      <c r="AC80" s="99">
        <f>AC79</f>
        <v/>
      </c>
      <c r="AD80" s="95">
        <f>IFERROR(IF($C80="","",IF($P$15="Cascade",$R80*(1-AC80)*AB80,IF($P$15="Additionnelle",($N80-($N80*($P80+AC80)))*AB80))),"Non Trouvé")</f>
        <v/>
      </c>
      <c r="AG80" s="99">
        <f>AG79</f>
        <v/>
      </c>
      <c r="AH80" s="99">
        <f>AH79</f>
        <v/>
      </c>
      <c r="AI80" s="95">
        <f>IFERROR(IF($C80="","",IF($P$15="Cascade",$R80*(1-AH80)*AG80,IF($P$15="Additionnelle",($N80-($N80*($P80+AH80)))*AG80))),"Non Trouvé")</f>
        <v/>
      </c>
      <c r="AL80" s="99">
        <f>AL79</f>
        <v/>
      </c>
      <c r="AM80" s="99">
        <f>AM79</f>
        <v/>
      </c>
      <c r="AN80" s="95">
        <f>IFERROR(IF($C80="","",IF($P$15="Cascade",$R80*(1-AM80)*AL80,IF($P$15="Additionnelle",($N80-($N80*($P80+AM80)))*AL80))),"Non Trouvé")</f>
        <v/>
      </c>
      <c r="AQ80" s="99">
        <f>AQ79</f>
        <v/>
      </c>
      <c r="AR80" s="99">
        <f>AR79</f>
        <v/>
      </c>
      <c r="AS80" s="95">
        <f>IFERROR(IF($C80="","",IF($P$15="Cascade",$R80*(1-AR80)*AQ80,IF($P$15="Additionnelle",($N80-($N80*($P80+AR80)))*AQ80))),"Non Trouvé")</f>
        <v/>
      </c>
      <c r="AV80" s="99">
        <f>AV79</f>
        <v/>
      </c>
      <c r="AW80" s="99">
        <f>AW79</f>
        <v/>
      </c>
      <c r="AX80" s="95">
        <f>IFERROR(IF($C80="","",IF($P$15="Cascade",$R80*(1-AW80)*AV80,IF($P$15="Additionnelle",($N80-($N80*($P80+AW80)))*AV80))),"Non Trouvé")</f>
        <v/>
      </c>
      <c r="BA80" s="99">
        <f>BA79</f>
        <v/>
      </c>
      <c r="BB80" s="99">
        <f>BB79</f>
        <v/>
      </c>
      <c r="BC80" s="95">
        <f>IFERROR(IF($C80="","",IF($P$15="Cascade",$R80*(1-BB80)*BA80,IF($P$15="Additionnelle",($N80-($N80*($P80+BB80)))*BA80))),"Non Trouvé")</f>
        <v/>
      </c>
      <c r="BF80" s="99">
        <f>BF79</f>
        <v/>
      </c>
      <c r="BG80" s="99">
        <f>BG79</f>
        <v/>
      </c>
      <c r="BH80" s="95">
        <f>IFERROR(IF($C80="","",IF($P$15="Cascade",$R80*(1-BG80)*BF80,IF($P$15="Additionnelle",($N80-($N80*($P80+BG80)))*BF80))),"Non Trouvé")</f>
        <v/>
      </c>
      <c r="BK80" s="99">
        <f>BK79</f>
        <v/>
      </c>
      <c r="BL80" s="99">
        <f>BL79</f>
        <v/>
      </c>
      <c r="BM80" s="95">
        <f>IFERROR(IF($C80="","",IF($P$15="Cascade",$R80*(1-BL80)*BK80,IF($P$15="Additionnelle",($N80-($N80*($P80+BL80)))*BK80))),"Non Trouvé")</f>
        <v/>
      </c>
      <c r="BP80" s="99">
        <f>BP79</f>
        <v/>
      </c>
      <c r="BQ80" s="99">
        <f>BQ79</f>
        <v/>
      </c>
      <c r="BR80" s="95">
        <f>IFERROR(IF($C80="","",IF($P$15="Cascade",$R80*(1-BQ80)*BP80,IF($P$15="Additionnelle",($N80-($N80*($P80+BQ80)))*BP80))),"Non Trouvé")</f>
        <v/>
      </c>
      <c r="BU80" s="99">
        <f>BU79</f>
        <v/>
      </c>
      <c r="BV80" s="99">
        <f>BV79</f>
        <v/>
      </c>
      <c r="BW80" s="95">
        <f>IFERROR(IF($C80="","",IF($P$15="Cascade",$R80*(1-BV80)*BU80,IF($P$15="Additionnelle",($N80-($N80*($P80+BV80)))*BU80))),"Non Trouvé")</f>
        <v/>
      </c>
      <c r="BZ80" s="99">
        <f>BZ79</f>
        <v/>
      </c>
      <c r="CA80" s="99">
        <f>CA79</f>
        <v/>
      </c>
      <c r="CB80" s="95">
        <f>IFERROR(IF($C80="","",IF($P$15="Cascade",$R80*(1-CA80)*BZ80,IF($P$15="Additionnelle",($N80-($N80*($P80+CA80)))*BZ80))),"Non Trouvé")</f>
        <v/>
      </c>
      <c r="CE80" s="100" t="n"/>
      <c r="CF80" s="101" t="n"/>
      <c r="CG80" s="102" t="n"/>
      <c r="CH80" s="102" t="n"/>
      <c r="CI80" s="103" t="n"/>
      <c r="CK80" s="104">
        <f>IFERROR(IF(F80='[1]Paramètres Généraux'!$K$12,ROUNDUP((REGENERANTS!H80*REGENERANTS!$CF$75)*'[1]Paramètres Généraux'!$M$12,-1),IF(F80='[1]Paramètres Généraux'!$K$15,ROUNDUP((REGENERANTS!H80*REGENERANTS!$CF$75)*'[1]Paramètres Généraux'!$M$15,-1),REGENERANTS!H80*REGENERANTS!$CF$75)),"nd")</f>
        <v/>
      </c>
      <c r="CN80" s="105" t="n"/>
      <c r="CO80" s="106" t="n"/>
      <c r="CP80" s="106" t="n"/>
      <c r="CQ80" s="106" t="n"/>
      <c r="CR80" s="106" t="n"/>
      <c r="CS80" s="178" t="n"/>
      <c r="CT80" s="179" t="n"/>
      <c r="CU80" s="106" t="n"/>
      <c r="CV80" s="178" t="n"/>
      <c r="CW80" s="111" t="n"/>
      <c r="CX80" s="112" t="n"/>
      <c r="CY80" s="111" t="n"/>
      <c r="CZ80" s="109" t="n"/>
      <c r="DA80" s="112" t="n"/>
      <c r="DB80" s="111" t="n"/>
      <c r="DC80" s="109" t="n"/>
      <c r="DD80" s="112" t="n"/>
      <c r="DE80" s="111" t="n"/>
      <c r="DF80" s="109" t="n"/>
      <c r="DG80" s="109" t="n"/>
      <c r="DH80" s="109" t="n"/>
      <c r="DI80" s="109" t="n"/>
      <c r="DJ80" s="109" t="n"/>
      <c r="DK80" s="109" t="n"/>
      <c r="DL80" s="109" t="n"/>
      <c r="DM80" s="109" t="n"/>
      <c r="DN80" s="109" t="n"/>
      <c r="DO80" s="112" t="n"/>
      <c r="DP80" s="111" t="n"/>
      <c r="DQ80" s="20">
        <f>SUM(CN80:DP80)</f>
        <v/>
      </c>
      <c r="DR80" s="20">
        <f>SUM(CV80:DP80)</f>
        <v/>
      </c>
      <c r="DS80" s="20">
        <f>IFERROR((IF(AND($F80="Produit Vente",CO80&gt;0),VLOOKUP($C80,'[1]Paramètres Articles'!$B:$H,7,FALSE)*$CO80)*(1-20%)),0)</f>
        <v/>
      </c>
      <c r="DT80" s="20">
        <f>IFERROR((IF(AND($F80="Produit Vente",DR80&gt;0),VLOOKUP($C80,'[1]Paramètres Articles'!$B:$H,6,FALSE)*$DR80)*(1-15%)),0)</f>
        <v/>
      </c>
      <c r="DU80" s="20">
        <f>IFERROR(DQ80*J80,0)</f>
        <v/>
      </c>
    </row>
    <row r="81" outlineLevel="1" collapsed="1" ht="12.95" customHeight="1">
      <c r="B81" s="1">
        <f>IF(C81="",0,COUNTIFS($B$22:B80,"&gt;"&amp;0)+1)</f>
        <v/>
      </c>
      <c r="C81" s="90" t="n">
        <v>1020721</v>
      </c>
      <c r="D81" s="91">
        <f>IFERROR(IF($C81="","",VLOOKUP($C81,'[1]Paramètres Articles'!$B:$G,2,FALSE)),"Non Trouvé")</f>
        <v/>
      </c>
      <c r="E81" s="92">
        <f>IFERROR(IF($C81="","",_xlfn.XLOOKUP(REGENERANTS!$C81,'[1]New Base PA'!$F:$F,'[1]New Base PA'!$D:$D,"Not Found",0)),"Non Trouvé")</f>
        <v/>
      </c>
      <c r="F81" s="93" t="inlineStr">
        <is>
          <t>Produit Vente</t>
        </is>
      </c>
      <c r="H81" s="94" t="n">
        <v>0</v>
      </c>
      <c r="J81" s="95">
        <f>IFERROR(IF($C81="","",VLOOKUP($C81,'[1]New Base PA'!$F:$J,5,FALSE)),"Non Trouvé")</f>
        <v/>
      </c>
      <c r="K81" s="95">
        <f>IFERROR(IF($C81="","",$J81*$H81),"Non Trouvé")</f>
        <v/>
      </c>
      <c r="L81" s="96" t="n"/>
      <c r="M81" s="170">
        <f>IFERROR(IF(AND($F81="Produit Vente",H81&gt;0),VLOOKUP($C81,'[1]Paramètres Articles'!$B:$G,6,FALSE),0),"Non Trouvé")</f>
        <v/>
      </c>
      <c r="N81" s="170">
        <f>IFERROR(IF($C81="","",$M81*$H81),"Non Trouvé")</f>
        <v/>
      </c>
      <c r="P81" s="97" t="n">
        <v>0.1</v>
      </c>
      <c r="R81" s="95">
        <f>IFERROR(IF($C81="","",$N81*(1-$P81)),"Non Trouvé")</f>
        <v/>
      </c>
      <c r="S81" s="96" t="n"/>
      <c r="T81" s="95">
        <f>IFERROR(IF($C81="","",VLOOKUP($C81,'[1]Paramètres Articles'!$B:$H,7,FALSE)),"Non Trouvé")</f>
        <v/>
      </c>
      <c r="U81" s="98" t="n"/>
      <c r="V81" s="95">
        <f>IFERROR(IF($C81="","",IF($P81="","",$T81*(1-$P81))),"Non Trouvé")</f>
        <v/>
      </c>
      <c r="W81" s="96" t="n"/>
      <c r="X81" s="95">
        <f>IFERROR(T81-V81,"")</f>
        <v/>
      </c>
      <c r="Y81" s="96" t="n"/>
      <c r="Z81" s="95">
        <f>IFERROR(IF(OR(T81=0,T81=""),0,T81*H81),"Non Trouvé")</f>
        <v/>
      </c>
      <c r="AB81" s="99">
        <f>AB79</f>
        <v/>
      </c>
      <c r="AC81" s="99">
        <f>AC79</f>
        <v/>
      </c>
      <c r="AD81" s="95">
        <f>IFERROR(IF($C81="","",IF($P$15="Cascade",$R81*(1-AC81)*AB81,IF($P$15="Additionnelle",($N81-($N81*($P81+AC81)))*AB81))),"Non Trouvé")</f>
        <v/>
      </c>
      <c r="AG81" s="99">
        <f>AG79</f>
        <v/>
      </c>
      <c r="AH81" s="99">
        <f>AH79</f>
        <v/>
      </c>
      <c r="AI81" s="95">
        <f>IFERROR(IF($C81="","",IF($P$15="Cascade",$R81*(1-AH81)*AG81,IF($P$15="Additionnelle",($N81-($N81*($P81+AH81)))*AG81))),"Non Trouvé")</f>
        <v/>
      </c>
      <c r="AL81" s="99">
        <f>AL79</f>
        <v/>
      </c>
      <c r="AM81" s="99">
        <f>AM79</f>
        <v/>
      </c>
      <c r="AN81" s="95">
        <f>IFERROR(IF($C81="","",IF($P$15="Cascade",$R81*(1-AM81)*AL81,IF($P$15="Additionnelle",($N81-($N81*($P81+AM81)))*AL81))),"Non Trouvé")</f>
        <v/>
      </c>
      <c r="AQ81" s="99">
        <f>AQ79</f>
        <v/>
      </c>
      <c r="AR81" s="99">
        <f>AR79</f>
        <v/>
      </c>
      <c r="AS81" s="95">
        <f>IFERROR(IF($C81="","",IF($P$15="Cascade",$R81*(1-AR81)*AQ81,IF($P$15="Additionnelle",($N81-($N81*($P81+AR81)))*AQ81))),"Non Trouvé")</f>
        <v/>
      </c>
      <c r="AV81" s="99">
        <f>AV79</f>
        <v/>
      </c>
      <c r="AW81" s="99">
        <f>AW79</f>
        <v/>
      </c>
      <c r="AX81" s="95">
        <f>IFERROR(IF($C81="","",IF($P$15="Cascade",$R81*(1-AW81)*AV81,IF($P$15="Additionnelle",($N81-($N81*($P81+AW81)))*AV81))),"Non Trouvé")</f>
        <v/>
      </c>
      <c r="BA81" s="99">
        <f>BA79</f>
        <v/>
      </c>
      <c r="BB81" s="99">
        <f>BB79</f>
        <v/>
      </c>
      <c r="BC81" s="95">
        <f>IFERROR(IF($C81="","",IF($P$15="Cascade",$R81*(1-BB81)*BA81,IF($P$15="Additionnelle",($N81-($N81*($P81+BB81)))*BA81))),"Non Trouvé")</f>
        <v/>
      </c>
      <c r="BF81" s="99">
        <f>BF79</f>
        <v/>
      </c>
      <c r="BG81" s="99">
        <f>BG79</f>
        <v/>
      </c>
      <c r="BH81" s="95">
        <f>IFERROR(IF($C81="","",IF($P$15="Cascade",$R81*(1-BG81)*BF81,IF($P$15="Additionnelle",($N81-($N81*($P81+BG81)))*BF81))),"Non Trouvé")</f>
        <v/>
      </c>
      <c r="BK81" s="99">
        <f>BK79</f>
        <v/>
      </c>
      <c r="BL81" s="99">
        <f>BL79</f>
        <v/>
      </c>
      <c r="BM81" s="95">
        <f>IFERROR(IF($C81="","",IF($P$15="Cascade",$R81*(1-BL81)*BK81,IF($P$15="Additionnelle",($N81-($N81*($P81+BL81)))*BK81))),"Non Trouvé")</f>
        <v/>
      </c>
      <c r="BP81" s="99">
        <f>BP79</f>
        <v/>
      </c>
      <c r="BQ81" s="99">
        <f>BQ79</f>
        <v/>
      </c>
      <c r="BR81" s="95">
        <f>IFERROR(IF($C81="","",IF($P$15="Cascade",$R81*(1-BQ81)*BP81,IF($P$15="Additionnelle",($N81-($N81*($P81+BQ81)))*BP81))),"Non Trouvé")</f>
        <v/>
      </c>
      <c r="BU81" s="99">
        <f>BU79</f>
        <v/>
      </c>
      <c r="BV81" s="99">
        <f>BV79</f>
        <v/>
      </c>
      <c r="BW81" s="95">
        <f>IFERROR(IF($C81="","",IF($P$15="Cascade",$R81*(1-BV81)*BU81,IF($P$15="Additionnelle",($N81-($N81*($P81+BV81)))*BU81))),"Non Trouvé")</f>
        <v/>
      </c>
      <c r="BZ81" s="99">
        <f>BZ79</f>
        <v/>
      </c>
      <c r="CA81" s="99">
        <f>CA79</f>
        <v/>
      </c>
      <c r="CB81" s="95">
        <f>IFERROR(IF($C81="","",IF($P$15="Cascade",$R81*(1-CA81)*BZ81,IF($P$15="Additionnelle",($N81-($N81*($P81+CA81)))*BZ81))),"Non Trouvé")</f>
        <v/>
      </c>
      <c r="CE81" s="100" t="n"/>
      <c r="CF81" s="101" t="n"/>
      <c r="CG81" s="93" t="inlineStr">
        <is>
          <t>UG</t>
        </is>
      </c>
      <c r="CH81" s="125">
        <f>SUMIFS(K77:K98,F77:F98,CG81)/SUMIFS(K77:K98,F77:F98,"Produit Vente")</f>
        <v/>
      </c>
      <c r="CI81" s="103" t="n"/>
      <c r="CK81" s="104">
        <f>IFERROR(IF(F81='[1]Paramètres Généraux'!$K$12,ROUNDUP((REGENERANTS!H81*REGENERANTS!$CF$75)*'[1]Paramètres Généraux'!$M$12,-1),IF(F81='[1]Paramètres Généraux'!$K$15,ROUNDUP((REGENERANTS!H81*REGENERANTS!$CF$75)*'[1]Paramètres Généraux'!$M$15,-1),REGENERANTS!H81*REGENERANTS!$CF$75)),"nd")</f>
        <v/>
      </c>
      <c r="CN81" s="105" t="n"/>
      <c r="CO81" s="106" t="n"/>
      <c r="CP81" s="106" t="n"/>
      <c r="CQ81" s="106" t="n"/>
      <c r="CR81" s="106" t="n"/>
      <c r="CS81" s="178" t="n"/>
      <c r="CT81" s="179" t="n"/>
      <c r="CU81" s="106" t="n"/>
      <c r="CV81" s="178" t="n"/>
      <c r="CW81" s="111" t="n"/>
      <c r="CX81" s="112" t="n"/>
      <c r="CY81" s="111" t="n"/>
      <c r="CZ81" s="109" t="n"/>
      <c r="DA81" s="112" t="n"/>
      <c r="DB81" s="111" t="n"/>
      <c r="DC81" s="109" t="n"/>
      <c r="DD81" s="112" t="n"/>
      <c r="DE81" s="111" t="n"/>
      <c r="DF81" s="109" t="n"/>
      <c r="DG81" s="109" t="n"/>
      <c r="DH81" s="109" t="n"/>
      <c r="DI81" s="109" t="n"/>
      <c r="DJ81" s="109" t="n"/>
      <c r="DK81" s="109" t="n"/>
      <c r="DL81" s="109" t="n"/>
      <c r="DM81" s="109" t="n"/>
      <c r="DN81" s="109" t="n"/>
      <c r="DO81" s="112" t="n"/>
      <c r="DP81" s="111" t="n"/>
      <c r="DQ81" s="20">
        <f>SUM(CN81:DP81)</f>
        <v/>
      </c>
      <c r="DR81" s="20">
        <f>SUM(CV81:DP81)</f>
        <v/>
      </c>
      <c r="DS81" s="20">
        <f>IFERROR((IF(AND($F81="Produit Vente",CO81&gt;0),VLOOKUP($C81,'[1]Paramètres Articles'!$B:$H,7,FALSE)*$CO81)*(1-20%)),0)</f>
        <v/>
      </c>
      <c r="DT81" s="20">
        <f>IFERROR((IF(AND($F81="Produit Vente",DR81&gt;0),VLOOKUP($C81,'[1]Paramètres Articles'!$B:$H,6,FALSE)*$DR81)*(1-15%)),0)</f>
        <v/>
      </c>
      <c r="DU81" s="20">
        <f>IFERROR(DQ81*J81,0)</f>
        <v/>
      </c>
    </row>
    <row r="82" outlineLevel="1" collapsed="1" ht="12.95" customHeight="1">
      <c r="B82" s="1">
        <f>IF(C82="",0,COUNTIFS($B$22:B81,"&gt;"&amp;0)+1)</f>
        <v/>
      </c>
      <c r="C82" s="90" t="n">
        <v>1020107</v>
      </c>
      <c r="D82" s="91">
        <f>IFERROR(IF($C82="","",VLOOKUP($C82,'[1]Paramètres Articles'!$B:$G,2,FALSE)),"Non Trouvé")</f>
        <v/>
      </c>
      <c r="E82" s="92">
        <f>IFERROR(IF($C82="","",_xlfn.XLOOKUP(REGENERANTS!$C82,'[1]New Base PA'!$F:$F,'[1]New Base PA'!$D:$D,"Not Found",0)),"Non Trouvé")</f>
        <v/>
      </c>
      <c r="F82" s="93" t="inlineStr">
        <is>
          <t>Produit Vente</t>
        </is>
      </c>
      <c r="H82" s="94" t="n">
        <v>1</v>
      </c>
      <c r="J82" s="95">
        <f>IFERROR(IF($C82="","",VLOOKUP($C82,'[1]New Base PA'!$F:$J,5,FALSE)),"Non Trouvé")</f>
        <v/>
      </c>
      <c r="K82" s="95">
        <f>IFERROR(IF($C82="","",$J82*$H82),"Non Trouvé")</f>
        <v/>
      </c>
      <c r="L82" s="96" t="n"/>
      <c r="M82" s="170">
        <f>IFERROR(IF(AND($F82="Produit Vente",H82&gt;0),VLOOKUP($C82,'[1]Paramètres Articles'!$B:$G,6,FALSE),0),"Non Trouvé")</f>
        <v/>
      </c>
      <c r="N82" s="170">
        <f>IFERROR(IF($C82="","",$M82*$H82),"Non Trouvé")</f>
        <v/>
      </c>
      <c r="P82" s="97" t="n">
        <v>0.1</v>
      </c>
      <c r="R82" s="95">
        <f>IFERROR(IF($C82="","",$N82*(1-$P82)),"Non Trouvé")</f>
        <v/>
      </c>
      <c r="S82" s="96" t="n"/>
      <c r="T82" s="95">
        <f>IFERROR(IF($C82="","",VLOOKUP($C82,'[1]Paramètres Articles'!$B:$H,7,FALSE)),"Non Trouvé")</f>
        <v/>
      </c>
      <c r="U82" s="98" t="n"/>
      <c r="V82" s="95">
        <f>IFERROR(IF($C82="","",IF($P82="","",$T82*(1-$P82))),"Non Trouvé")</f>
        <v/>
      </c>
      <c r="W82" s="96" t="n"/>
      <c r="X82" s="95">
        <f>IFERROR(T82-V82,"")</f>
        <v/>
      </c>
      <c r="Y82" s="96" t="n"/>
      <c r="Z82" s="95">
        <f>IFERROR(IF(OR(T82=0,T82=""),0,T82*H82),"Non Trouvé")</f>
        <v/>
      </c>
      <c r="AB82" s="99">
        <f>AB81</f>
        <v/>
      </c>
      <c r="AC82" s="99">
        <f>AC81</f>
        <v/>
      </c>
      <c r="AD82" s="95">
        <f>IFERROR(IF($C82="","",IF($P$15="Cascade",$R82*(1-AC82)*AB82,IF($P$15="Additionnelle",($N82-($N82*($P82+AC82)))*AB82))),"Non Trouvé")</f>
        <v/>
      </c>
      <c r="AG82" s="99">
        <f>AG81</f>
        <v/>
      </c>
      <c r="AH82" s="99">
        <f>AH81</f>
        <v/>
      </c>
      <c r="AI82" s="95">
        <f>IFERROR(IF($C82="","",IF($P$15="Cascade",$R82*(1-AH82)*AG82,IF($P$15="Additionnelle",($N82-($N82*($P82+AH82)))*AG82))),"Non Trouvé")</f>
        <v/>
      </c>
      <c r="AL82" s="99">
        <f>AL81</f>
        <v/>
      </c>
      <c r="AM82" s="99">
        <f>AM81</f>
        <v/>
      </c>
      <c r="AN82" s="95">
        <f>IFERROR(IF($C82="","",IF($P$15="Cascade",$R82*(1-AM82)*AL82,IF($P$15="Additionnelle",($N82-($N82*($P82+AM82)))*AL82))),"Non Trouvé")</f>
        <v/>
      </c>
      <c r="AQ82" s="99">
        <f>AQ81</f>
        <v/>
      </c>
      <c r="AR82" s="99">
        <f>AR81</f>
        <v/>
      </c>
      <c r="AS82" s="95">
        <f>IFERROR(IF($C82="","",IF($P$15="Cascade",$R82*(1-AR82)*AQ82,IF($P$15="Additionnelle",($N82-($N82*($P82+AR82)))*AQ82))),"Non Trouvé")</f>
        <v/>
      </c>
      <c r="AV82" s="99">
        <f>AV81</f>
        <v/>
      </c>
      <c r="AW82" s="99">
        <f>AW81</f>
        <v/>
      </c>
      <c r="AX82" s="95">
        <f>IFERROR(IF($C82="","",IF($P$15="Cascade",$R82*(1-AW82)*AV82,IF($P$15="Additionnelle",($N82-($N82*($P82+AW82)))*AV82))),"Non Trouvé")</f>
        <v/>
      </c>
      <c r="BA82" s="99">
        <f>BA81</f>
        <v/>
      </c>
      <c r="BB82" s="99">
        <f>BB81</f>
        <v/>
      </c>
      <c r="BC82" s="95">
        <f>IFERROR(IF($C82="","",IF($P$15="Cascade",$R82*(1-BB82)*BA82,IF($P$15="Additionnelle",($N82-($N82*($P82+BB82)))*BA82))),"Non Trouvé")</f>
        <v/>
      </c>
      <c r="BF82" s="99">
        <f>BF81</f>
        <v/>
      </c>
      <c r="BG82" s="99">
        <f>BG81</f>
        <v/>
      </c>
      <c r="BH82" s="95">
        <f>IFERROR(IF($C82="","",IF($P$15="Cascade",$R82*(1-BG82)*BF82,IF($P$15="Additionnelle",($N82-($N82*($P82+BG82)))*BF82))),"Non Trouvé")</f>
        <v/>
      </c>
      <c r="BK82" s="99">
        <f>BK81</f>
        <v/>
      </c>
      <c r="BL82" s="99">
        <f>BL81</f>
        <v/>
      </c>
      <c r="BM82" s="95">
        <f>IFERROR(IF($C82="","",IF($P$15="Cascade",$R82*(1-BL82)*BK82,IF($P$15="Additionnelle",($N82-($N82*($P82+BL82)))*BK82))),"Non Trouvé")</f>
        <v/>
      </c>
      <c r="BP82" s="99">
        <f>BP81</f>
        <v/>
      </c>
      <c r="BQ82" s="99">
        <f>BQ81</f>
        <v/>
      </c>
      <c r="BR82" s="95">
        <f>IFERROR(IF($C82="","",IF($P$15="Cascade",$R82*(1-BQ82)*BP82,IF($P$15="Additionnelle",($N82-($N82*($P82+BQ82)))*BP82))),"Non Trouvé")</f>
        <v/>
      </c>
      <c r="BU82" s="99">
        <f>BU81</f>
        <v/>
      </c>
      <c r="BV82" s="99">
        <f>BV81</f>
        <v/>
      </c>
      <c r="BW82" s="95">
        <f>IFERROR(IF($C82="","",IF($P$15="Cascade",$R82*(1-BV82)*BU82,IF($P$15="Additionnelle",($N82-($N82*($P82+BV82)))*BU82))),"Non Trouvé")</f>
        <v/>
      </c>
      <c r="BZ82" s="99">
        <f>BZ81</f>
        <v/>
      </c>
      <c r="CA82" s="99">
        <f>CA81</f>
        <v/>
      </c>
      <c r="CB82" s="95">
        <f>IFERROR(IF($C82="","",IF($P$15="Cascade",$R82*(1-CA82)*BZ82,IF($P$15="Additionnelle",($N82-($N82*($P82+CA82)))*BZ82))),"Non Trouvé")</f>
        <v/>
      </c>
      <c r="CE82" s="100" t="n"/>
      <c r="CF82" s="101" t="n"/>
      <c r="CG82" s="93" t="inlineStr">
        <is>
          <t>PLV</t>
        </is>
      </c>
      <c r="CH82" s="125">
        <f>(SUMIFS(K77:K98,F77:F98,"PLV (PDC ou autre)")+SUMIFS(K77:K98,F77:F98,"PLV (vitrine)"))/K75</f>
        <v/>
      </c>
      <c r="CI82" s="103" t="n"/>
      <c r="CK82" s="104">
        <f>IFERROR(IF(F82='[1]Paramètres Généraux'!$K$12,ROUNDUP((REGENERANTS!H82*REGENERANTS!$CF$75)*'[1]Paramètres Généraux'!$M$12,-1),IF(F82='[1]Paramètres Généraux'!$K$15,ROUNDUP((REGENERANTS!H82*REGENERANTS!$CF$75)*'[1]Paramètres Généraux'!$M$15,-1),REGENERANTS!H82*REGENERANTS!$CF$75)),"nd")</f>
        <v/>
      </c>
      <c r="CN82" s="105" t="n"/>
      <c r="CO82" s="106" t="n"/>
      <c r="CP82" s="106" t="n"/>
      <c r="CQ82" s="106" t="n"/>
      <c r="CR82" s="106" t="n"/>
      <c r="CS82" s="178" t="n"/>
      <c r="CT82" s="179" t="n"/>
      <c r="CU82" s="106" t="n"/>
      <c r="CV82" s="178" t="n"/>
      <c r="CW82" s="111" t="n"/>
      <c r="CX82" s="112" t="n"/>
      <c r="CY82" s="111" t="n"/>
      <c r="CZ82" s="109" t="n"/>
      <c r="DA82" s="112" t="n"/>
      <c r="DB82" s="111" t="n"/>
      <c r="DC82" s="109" t="n"/>
      <c r="DD82" s="112" t="n"/>
      <c r="DE82" s="111" t="n"/>
      <c r="DF82" s="109" t="n"/>
      <c r="DG82" s="109" t="n"/>
      <c r="DH82" s="109" t="n"/>
      <c r="DI82" s="109" t="n"/>
      <c r="DJ82" s="109" t="n"/>
      <c r="DK82" s="109" t="n"/>
      <c r="DL82" s="109" t="n"/>
      <c r="DM82" s="109" t="n"/>
      <c r="DN82" s="109" t="n"/>
      <c r="DO82" s="112" t="n"/>
      <c r="DP82" s="111" t="n"/>
      <c r="DQ82" s="20">
        <f>SUM(CN82:DP82)</f>
        <v/>
      </c>
      <c r="DR82" s="20">
        <f>SUM(CV82:DP82)</f>
        <v/>
      </c>
      <c r="DS82" s="20">
        <f>IFERROR((IF(AND($F82="Produit Vente",CO82&gt;0),VLOOKUP($C82,'[1]Paramètres Articles'!$B:$H,7,FALSE)*$CO82)*(1-20%)),0)</f>
        <v/>
      </c>
      <c r="DT82" s="20">
        <f>IFERROR((IF(AND($F82="Produit Vente",DR82&gt;0),VLOOKUP($C82,'[1]Paramètres Articles'!$B:$H,6,FALSE)*$DR82)*(1-15%)),0)</f>
        <v/>
      </c>
      <c r="DU82" s="20">
        <f>IFERROR(DQ82*J82,0)</f>
        <v/>
      </c>
    </row>
    <row r="83" outlineLevel="1" collapsed="1" ht="12.95" customHeight="1">
      <c r="B83" s="1">
        <f>IF(C83="",0,COUNTIFS($B$22:B82,"&gt;"&amp;0)+1)</f>
        <v/>
      </c>
      <c r="C83" s="90" t="n">
        <v>1020102</v>
      </c>
      <c r="D83" s="91">
        <f>IFERROR(IF($C83="","",VLOOKUP($C83,'[1]Paramètres Articles'!$B:$G,2,FALSE)),"Non Trouvé")</f>
        <v/>
      </c>
      <c r="E83" s="92">
        <f>IFERROR(IF($C83="","",_xlfn.XLOOKUP(REGENERANTS!$C83,'[1]New Base PA'!$F:$F,'[1]New Base PA'!$D:$D,"Not Found",0)),"Non Trouvé")</f>
        <v/>
      </c>
      <c r="F83" s="93" t="inlineStr">
        <is>
          <t>Produit Vente</t>
        </is>
      </c>
      <c r="H83" s="94" t="n">
        <v>1</v>
      </c>
      <c r="J83" s="95">
        <f>IFERROR(IF($C83="","",VLOOKUP($C83,'[1]New Base PA'!$F:$J,5,FALSE)),"Non Trouvé")</f>
        <v/>
      </c>
      <c r="K83" s="95">
        <f>IFERROR(IF($C83="","",$J83*$H83),"Non Trouvé")</f>
        <v/>
      </c>
      <c r="L83" s="96" t="n"/>
      <c r="M83" s="170">
        <f>IFERROR(IF(AND($F83="Produit Vente",H83&gt;0),VLOOKUP($C83,'[1]Paramètres Articles'!$B:$G,6,FALSE),0),"Non Trouvé")</f>
        <v/>
      </c>
      <c r="N83" s="170">
        <f>IFERROR(IF($C83="","",$M83*$H83),"Non Trouvé")</f>
        <v/>
      </c>
      <c r="P83" s="97" t="n">
        <v>0.1</v>
      </c>
      <c r="R83" s="95">
        <f>IFERROR(IF($C83="","",$N83*(1-$P83)),"Non Trouvé")</f>
        <v/>
      </c>
      <c r="S83" s="96" t="n"/>
      <c r="T83" s="95">
        <f>IFERROR(IF($C83="","",VLOOKUP($C83,'[1]Paramètres Articles'!$B:$H,7,FALSE)),"Non Trouvé")</f>
        <v/>
      </c>
      <c r="U83" s="98" t="n"/>
      <c r="V83" s="95">
        <f>IFERROR(IF($C83="","",IF($P83="","",$T83*(1-$P83))),"Non Trouvé")</f>
        <v/>
      </c>
      <c r="W83" s="96" t="n"/>
      <c r="X83" s="95">
        <f>IFERROR(T83-V83,"")</f>
        <v/>
      </c>
      <c r="Y83" s="96" t="n"/>
      <c r="Z83" s="95">
        <f>IFERROR(IF(OR(T83=0,T83=""),0,T83*H83),"Non Trouvé")</f>
        <v/>
      </c>
      <c r="AB83" s="99">
        <f>AB81</f>
        <v/>
      </c>
      <c r="AC83" s="99">
        <f>AC81</f>
        <v/>
      </c>
      <c r="AD83" s="95">
        <f>IFERROR(IF($C83="","",IF($P$15="Cascade",$R83*(1-AC83)*AB83,IF($P$15="Additionnelle",($N83-($N83*($P83+AC83)))*AB83))),"Non Trouvé")</f>
        <v/>
      </c>
      <c r="AG83" s="99">
        <f>AG81</f>
        <v/>
      </c>
      <c r="AH83" s="99">
        <f>AH81</f>
        <v/>
      </c>
      <c r="AI83" s="95">
        <f>IFERROR(IF($C83="","",IF($P$15="Cascade",$R83*(1-AH83)*AG83,IF($P$15="Additionnelle",($N83-($N83*($P83+AH83)))*AG83))),"Non Trouvé")</f>
        <v/>
      </c>
      <c r="AL83" s="99">
        <f>AL81</f>
        <v/>
      </c>
      <c r="AM83" s="99">
        <f>AM81</f>
        <v/>
      </c>
      <c r="AN83" s="95">
        <f>IFERROR(IF($C83="","",IF($P$15="Cascade",$R83*(1-AM83)*AL83,IF($P$15="Additionnelle",($N83-($N83*($P83+AM83)))*AL83))),"Non Trouvé")</f>
        <v/>
      </c>
      <c r="AQ83" s="99">
        <f>AQ81</f>
        <v/>
      </c>
      <c r="AR83" s="99">
        <f>AR81</f>
        <v/>
      </c>
      <c r="AS83" s="95">
        <f>IFERROR(IF($C83="","",IF($P$15="Cascade",$R83*(1-AR83)*AQ83,IF($P$15="Additionnelle",($N83-($N83*($P83+AR83)))*AQ83))),"Non Trouvé")</f>
        <v/>
      </c>
      <c r="AV83" s="99">
        <f>AV81</f>
        <v/>
      </c>
      <c r="AW83" s="99">
        <f>AW81</f>
        <v/>
      </c>
      <c r="AX83" s="95">
        <f>IFERROR(IF($C83="","",IF($P$15="Cascade",$R83*(1-AW83)*AV83,IF($P$15="Additionnelle",($N83-($N83*($P83+AW83)))*AV83))),"Non Trouvé")</f>
        <v/>
      </c>
      <c r="BA83" s="99">
        <f>BA81</f>
        <v/>
      </c>
      <c r="BB83" s="99">
        <f>BB81</f>
        <v/>
      </c>
      <c r="BC83" s="95">
        <f>IFERROR(IF($C83="","",IF($P$15="Cascade",$R83*(1-BB83)*BA83,IF($P$15="Additionnelle",($N83-($N83*($P83+BB83)))*BA83))),"Non Trouvé")</f>
        <v/>
      </c>
      <c r="BF83" s="99">
        <f>BF81</f>
        <v/>
      </c>
      <c r="BG83" s="99">
        <f>BG81</f>
        <v/>
      </c>
      <c r="BH83" s="95">
        <f>IFERROR(IF($C83="","",IF($P$15="Cascade",$R83*(1-BG83)*BF83,IF($P$15="Additionnelle",($N83-($N83*($P83+BG83)))*BF83))),"Non Trouvé")</f>
        <v/>
      </c>
      <c r="BK83" s="99">
        <f>BK81</f>
        <v/>
      </c>
      <c r="BL83" s="99">
        <f>BL81</f>
        <v/>
      </c>
      <c r="BM83" s="95">
        <f>IFERROR(IF($C83="","",IF($P$15="Cascade",$R83*(1-BL83)*BK83,IF($P$15="Additionnelle",($N83-($N83*($P83+BL83)))*BK83))),"Non Trouvé")</f>
        <v/>
      </c>
      <c r="BP83" s="99">
        <f>BP81</f>
        <v/>
      </c>
      <c r="BQ83" s="99">
        <f>BQ81</f>
        <v/>
      </c>
      <c r="BR83" s="95">
        <f>IFERROR(IF($C83="","",IF($P$15="Cascade",$R83*(1-BQ83)*BP83,IF($P$15="Additionnelle",($N83-($N83*($P83+BQ83)))*BP83))),"Non Trouvé")</f>
        <v/>
      </c>
      <c r="BU83" s="99">
        <f>BU81</f>
        <v/>
      </c>
      <c r="BV83" s="99">
        <f>BV81</f>
        <v/>
      </c>
      <c r="BW83" s="95">
        <f>IFERROR(IF($C83="","",IF($P$15="Cascade",$R83*(1-BV83)*BU83,IF($P$15="Additionnelle",($N83-($N83*($P83+BV83)))*BU83))),"Non Trouvé")</f>
        <v/>
      </c>
      <c r="BZ83" s="99">
        <f>BZ81</f>
        <v/>
      </c>
      <c r="CA83" s="99">
        <f>CA81</f>
        <v/>
      </c>
      <c r="CB83" s="95">
        <f>IFERROR(IF($C83="","",IF($P$15="Cascade",$R83*(1-CA83)*BZ83,IF($P$15="Additionnelle",($N83-($N83*($P83+CA83)))*BZ83))),"Non Trouvé")</f>
        <v/>
      </c>
      <c r="CE83" s="100" t="n"/>
      <c r="CF83" s="101" t="n"/>
      <c r="CG83" s="93" t="inlineStr">
        <is>
          <t>Echantillon</t>
        </is>
      </c>
      <c r="CH83" s="125">
        <f>SUMIFS(K77:K99,F77:F99,CG83)/K75</f>
        <v/>
      </c>
      <c r="CI83" s="103" t="n"/>
      <c r="CK83" s="104">
        <f>IFERROR(IF(F83='[1]Paramètres Généraux'!$K$12,ROUNDUP((REGENERANTS!H83*REGENERANTS!$CF$75)*'[1]Paramètres Généraux'!$M$12,-1),IF(F83='[1]Paramètres Généraux'!$K$15,ROUNDUP((REGENERANTS!H83*REGENERANTS!$CF$75)*'[1]Paramètres Généraux'!$M$15,-1),REGENERANTS!H83*REGENERANTS!$CF$75)),"nd")</f>
        <v/>
      </c>
      <c r="CN83" s="105" t="n"/>
      <c r="CO83" s="106" t="n"/>
      <c r="CP83" s="106" t="n"/>
      <c r="CQ83" s="106" t="n"/>
      <c r="CR83" s="106" t="n"/>
      <c r="CS83" s="178" t="n"/>
      <c r="CT83" s="179" t="n"/>
      <c r="CU83" s="106" t="n"/>
      <c r="CV83" s="178" t="n"/>
      <c r="CW83" s="111" t="n"/>
      <c r="CX83" s="112" t="n"/>
      <c r="CY83" s="111" t="n"/>
      <c r="CZ83" s="109" t="n"/>
      <c r="DA83" s="112" t="n"/>
      <c r="DB83" s="111" t="n"/>
      <c r="DC83" s="109" t="n"/>
      <c r="DD83" s="112" t="n"/>
      <c r="DE83" s="111" t="n"/>
      <c r="DF83" s="109" t="n"/>
      <c r="DG83" s="109" t="n"/>
      <c r="DH83" s="109" t="n"/>
      <c r="DI83" s="109" t="n"/>
      <c r="DJ83" s="109" t="n"/>
      <c r="DK83" s="109" t="n"/>
      <c r="DL83" s="109" t="n"/>
      <c r="DM83" s="109" t="n"/>
      <c r="DN83" s="109" t="n"/>
      <c r="DO83" s="112" t="n"/>
      <c r="DP83" s="111" t="n"/>
      <c r="DQ83" s="20">
        <f>SUM(CN83:DP83)</f>
        <v/>
      </c>
      <c r="DR83" s="20">
        <f>SUM(CV83:DP83)</f>
        <v/>
      </c>
      <c r="DS83" s="20">
        <f>IFERROR((IF(AND($F83="Produit Vente",CO83&gt;0),VLOOKUP($C83,'[1]Paramètres Articles'!$B:$H,7,FALSE)*$CO83)*(1-20%)),0)</f>
        <v/>
      </c>
      <c r="DT83" s="20">
        <f>IFERROR((IF(AND($F83="Produit Vente",DR83&gt;0),VLOOKUP($C83,'[1]Paramètres Articles'!$B:$H,6,FALSE)*$DR83)*(1-15%)),0)</f>
        <v/>
      </c>
      <c r="DU83" s="20">
        <f>IFERROR(DQ83*J83,0)</f>
        <v/>
      </c>
    </row>
    <row r="84" outlineLevel="1" collapsed="1" ht="12.95" customHeight="1">
      <c r="B84" s="1">
        <f>IF(C84="",0,COUNTIFS($B$22:B83,"&gt;"&amp;0)+1)</f>
        <v/>
      </c>
      <c r="C84" s="90" t="n">
        <v>1020722</v>
      </c>
      <c r="D84" s="91">
        <f>IFERROR(IF($C84="","",VLOOKUP($C84,'[1]Paramètres Articles'!$B:$G,2,FALSE)),"Non Trouvé")</f>
        <v/>
      </c>
      <c r="E84" s="92">
        <f>IFERROR(IF($C84="","",_xlfn.XLOOKUP(REGENERANTS!$C84,'[1]New Base PA'!$F:$F,'[1]New Base PA'!$D:$D,"Not Found",0)),"Non Trouvé")</f>
        <v/>
      </c>
      <c r="F84" s="93" t="inlineStr">
        <is>
          <t>Produit Vente</t>
        </is>
      </c>
      <c r="H84" s="94" t="n">
        <v>0</v>
      </c>
      <c r="J84" s="95">
        <f>IFERROR(IF($C84="","",VLOOKUP($C84,'[1]New Base PA'!$F:$J,5,FALSE)),"Non Trouvé")</f>
        <v/>
      </c>
      <c r="K84" s="95">
        <f>IFERROR(IF($C84="","",$J84*$H84),"Non Trouvé")</f>
        <v/>
      </c>
      <c r="L84" s="96" t="n"/>
      <c r="M84" s="170">
        <f>IFERROR(IF(AND($F84="Produit Vente",H84&gt;0),VLOOKUP($C84,'[1]Paramètres Articles'!$B:$G,6,FALSE),0),"Non Trouvé")</f>
        <v/>
      </c>
      <c r="N84" s="170">
        <f>IFERROR(IF($C84="","",$M84*$H84),"Non Trouvé")</f>
        <v/>
      </c>
      <c r="P84" s="97" t="n">
        <v>0.1</v>
      </c>
      <c r="R84" s="95">
        <f>IFERROR(IF($C84="","",$N84*(1-$P84)),"Non Trouvé")</f>
        <v/>
      </c>
      <c r="S84" s="96" t="n"/>
      <c r="T84" s="95">
        <f>IFERROR(IF($C84="","",VLOOKUP($C84,'[1]Paramètres Articles'!$B:$H,7,FALSE)),"Non Trouvé")</f>
        <v/>
      </c>
      <c r="U84" s="98" t="n"/>
      <c r="V84" s="95">
        <f>IFERROR(IF($C84="","",IF($P84="","",$T84*(1-$P84))),"Non Trouvé")</f>
        <v/>
      </c>
      <c r="W84" s="96" t="n"/>
      <c r="X84" s="95">
        <f>IFERROR(T84-V84,"")</f>
        <v/>
      </c>
      <c r="Y84" s="96" t="n"/>
      <c r="Z84" s="95">
        <f>IFERROR(IF(OR(T84=0,T84=""),0,T84*H84),"Non Trouvé")</f>
        <v/>
      </c>
      <c r="AB84" s="99">
        <f>AB82</f>
        <v/>
      </c>
      <c r="AC84" s="99">
        <f>AC82</f>
        <v/>
      </c>
      <c r="AD84" s="95">
        <f>IFERROR(IF($C84="","",IF($P$15="Cascade",$R84*(1-AC84)*AB84,IF($P$15="Additionnelle",($N84-($N84*($P84+AC84)))*AB84))),"Non Trouvé")</f>
        <v/>
      </c>
      <c r="AG84" s="99">
        <f>AG82</f>
        <v/>
      </c>
      <c r="AH84" s="99">
        <f>AH82</f>
        <v/>
      </c>
      <c r="AI84" s="95">
        <f>IFERROR(IF($C84="","",IF($P$15="Cascade",$R84*(1-AH84)*AG84,IF($P$15="Additionnelle",($N84-($N84*($P84+AH84)))*AG84))),"Non Trouvé")</f>
        <v/>
      </c>
      <c r="AL84" s="99">
        <f>AL82</f>
        <v/>
      </c>
      <c r="AM84" s="99">
        <f>AM82</f>
        <v/>
      </c>
      <c r="AN84" s="95">
        <f>IFERROR(IF($C84="","",IF($P$15="Cascade",$R84*(1-AM84)*AL84,IF($P$15="Additionnelle",($N84-($N84*($P84+AM84)))*AL84))),"Non Trouvé")</f>
        <v/>
      </c>
      <c r="AQ84" s="99">
        <f>AQ82</f>
        <v/>
      </c>
      <c r="AR84" s="99">
        <f>AR82</f>
        <v/>
      </c>
      <c r="AS84" s="95">
        <f>IFERROR(IF($C84="","",IF($P$15="Cascade",$R84*(1-AR84)*AQ84,IF($P$15="Additionnelle",($N84-($N84*($P84+AR84)))*AQ84))),"Non Trouvé")</f>
        <v/>
      </c>
      <c r="AV84" s="99">
        <f>AV82</f>
        <v/>
      </c>
      <c r="AW84" s="99">
        <f>AW82</f>
        <v/>
      </c>
      <c r="AX84" s="95">
        <f>IFERROR(IF($C84="","",IF($P$15="Cascade",$R84*(1-AW84)*AV84,IF($P$15="Additionnelle",($N84-($N84*($P84+AW84)))*AV84))),"Non Trouvé")</f>
        <v/>
      </c>
      <c r="BA84" s="99">
        <f>BA82</f>
        <v/>
      </c>
      <c r="BB84" s="99">
        <f>BB82</f>
        <v/>
      </c>
      <c r="BC84" s="95">
        <f>IFERROR(IF($C84="","",IF($P$15="Cascade",$R84*(1-BB84)*BA84,IF($P$15="Additionnelle",($N84-($N84*($P84+BB84)))*BA84))),"Non Trouvé")</f>
        <v/>
      </c>
      <c r="BF84" s="99">
        <f>BF82</f>
        <v/>
      </c>
      <c r="BG84" s="99">
        <f>BG82</f>
        <v/>
      </c>
      <c r="BH84" s="95">
        <f>IFERROR(IF($C84="","",IF($P$15="Cascade",$R84*(1-BG84)*BF84,IF($P$15="Additionnelle",($N84-($N84*($P84+BG84)))*BF84))),"Non Trouvé")</f>
        <v/>
      </c>
      <c r="BK84" s="99">
        <f>BK82</f>
        <v/>
      </c>
      <c r="BL84" s="99">
        <f>BL82</f>
        <v/>
      </c>
      <c r="BM84" s="95">
        <f>IFERROR(IF($C84="","",IF($P$15="Cascade",$R84*(1-BL84)*BK84,IF($P$15="Additionnelle",($N84-($N84*($P84+BL84)))*BK84))),"Non Trouvé")</f>
        <v/>
      </c>
      <c r="BP84" s="99">
        <f>BP82</f>
        <v/>
      </c>
      <c r="BQ84" s="99">
        <f>BQ82</f>
        <v/>
      </c>
      <c r="BR84" s="95">
        <f>IFERROR(IF($C84="","",IF($P$15="Cascade",$R84*(1-BQ84)*BP84,IF($P$15="Additionnelle",($N84-($N84*($P84+BQ84)))*BP84))),"Non Trouvé")</f>
        <v/>
      </c>
      <c r="BU84" s="99">
        <f>BU82</f>
        <v/>
      </c>
      <c r="BV84" s="99">
        <f>BV82</f>
        <v/>
      </c>
      <c r="BW84" s="95">
        <f>IFERROR(IF($C84="","",IF($P$15="Cascade",$R84*(1-BV84)*BU84,IF($P$15="Additionnelle",($N84-($N84*($P84+BV84)))*BU84))),"Non Trouvé")</f>
        <v/>
      </c>
      <c r="BZ84" s="99">
        <f>BZ82</f>
        <v/>
      </c>
      <c r="CA84" s="99">
        <f>CA82</f>
        <v/>
      </c>
      <c r="CB84" s="95">
        <f>IFERROR(IF($C84="","",IF($P$15="Cascade",$R84*(1-CA84)*BZ84,IF($P$15="Additionnelle",($N84-($N84*($P84+CA84)))*BZ84))),"Non Trouvé")</f>
        <v/>
      </c>
      <c r="CE84" s="100" t="n"/>
      <c r="CF84" s="101" t="n"/>
      <c r="CG84" s="93" t="inlineStr">
        <is>
          <t>Testeur</t>
        </is>
      </c>
      <c r="CH84" s="125">
        <f>SUMIFS(K77:K99,F77:F99,CG84)/K75</f>
        <v/>
      </c>
      <c r="CI84" s="103" t="n"/>
      <c r="CK84" s="104">
        <f>IFERROR(IF(F84='[1]Paramètres Généraux'!$K$12,ROUNDUP((REGENERANTS!H84*REGENERANTS!$CF$75)*'[1]Paramètres Généraux'!$M$12,-1),IF(F84='[1]Paramètres Généraux'!$K$15,ROUNDUP((REGENERANTS!H84*REGENERANTS!$CF$75)*'[1]Paramètres Généraux'!$M$15,-1),REGENERANTS!H84*REGENERANTS!$CF$75)),"nd")</f>
        <v/>
      </c>
      <c r="CN84" s="105" t="n"/>
      <c r="CO84" s="106" t="n"/>
      <c r="CP84" s="106" t="n"/>
      <c r="CQ84" s="106" t="n"/>
      <c r="CR84" s="106" t="n"/>
      <c r="CS84" s="178" t="n"/>
      <c r="CT84" s="179" t="n"/>
      <c r="CU84" s="106" t="n"/>
      <c r="CV84" s="178" t="n"/>
      <c r="CW84" s="111" t="n"/>
      <c r="CX84" s="112" t="n"/>
      <c r="CY84" s="111" t="n"/>
      <c r="CZ84" s="109" t="n"/>
      <c r="DA84" s="112" t="n"/>
      <c r="DB84" s="111" t="n"/>
      <c r="DC84" s="109" t="n"/>
      <c r="DD84" s="112" t="n"/>
      <c r="DE84" s="111" t="n"/>
      <c r="DF84" s="109" t="n"/>
      <c r="DG84" s="109" t="n"/>
      <c r="DH84" s="109" t="n"/>
      <c r="DI84" s="109" t="n"/>
      <c r="DJ84" s="109" t="n"/>
      <c r="DK84" s="109" t="n"/>
      <c r="DL84" s="109" t="n"/>
      <c r="DM84" s="109" t="n"/>
      <c r="DN84" s="109" t="n"/>
      <c r="DO84" s="112" t="n"/>
      <c r="DP84" s="111" t="n"/>
      <c r="DQ84" s="20">
        <f>SUM(CN84:DP84)</f>
        <v/>
      </c>
      <c r="DR84" s="20">
        <f>SUM(CV84:DP84)</f>
        <v/>
      </c>
      <c r="DS84" s="20">
        <f>IFERROR((IF(AND($F84="Produit Vente",CO84&gt;0),VLOOKUP($C84,'[1]Paramètres Articles'!$B:$H,7,FALSE)*$CO84)*(1-20%)),0)</f>
        <v/>
      </c>
      <c r="DT84" s="20">
        <f>IFERROR((IF(AND($F84="Produit Vente",DR84&gt;0),VLOOKUP($C84,'[1]Paramètres Articles'!$B:$H,6,FALSE)*$DR84)*(1-15%)),0)</f>
        <v/>
      </c>
      <c r="DU84" s="20">
        <f>IFERROR(DQ84*J84,0)</f>
        <v/>
      </c>
    </row>
    <row r="85" outlineLevel="1" collapsed="1" ht="12.95" customHeight="1">
      <c r="B85" s="1">
        <f>IF(C85="",0,COUNTIFS($B$22:B84,"&gt;"&amp;0)+1)</f>
        <v/>
      </c>
      <c r="C85" s="90" t="n">
        <v>1020719</v>
      </c>
      <c r="D85" s="91">
        <f>IFERROR(IF($C85="","",VLOOKUP($C85,'[1]Paramètres Articles'!$B:$G,2,FALSE)),"Non Trouvé")</f>
        <v/>
      </c>
      <c r="E85" s="92">
        <f>IFERROR(IF($C85="","",_xlfn.XLOOKUP(REGENERANTS!$C85,'[1]New Base PA'!$F:$F,'[1]New Base PA'!$D:$D,"Not Found",0)),"Non Trouvé")</f>
        <v/>
      </c>
      <c r="F85" s="93" t="inlineStr">
        <is>
          <t>Produit Vente</t>
        </is>
      </c>
      <c r="H85" s="94" t="n">
        <v>2</v>
      </c>
      <c r="J85" s="95">
        <f>IFERROR(IF($C85="","",VLOOKUP($C85,'[1]New Base PA'!$F:$J,5,FALSE)),"Non Trouvé")</f>
        <v/>
      </c>
      <c r="K85" s="95">
        <f>IFERROR(IF($C85="","",$J85*$H85),"Non Trouvé")</f>
        <v/>
      </c>
      <c r="L85" s="96" t="n"/>
      <c r="M85" s="170">
        <f>IFERROR(IF(AND($F85="Produit Vente",H85&gt;0),VLOOKUP($C85,'[1]Paramètres Articles'!$B:$G,6,FALSE),0),"Non Trouvé")</f>
        <v/>
      </c>
      <c r="N85" s="170">
        <f>IFERROR(IF($C85="","",$M85*$H85),"Non Trouvé")</f>
        <v/>
      </c>
      <c r="P85" s="97" t="n">
        <v>0.1</v>
      </c>
      <c r="R85" s="95">
        <f>IFERROR(IF($C85="","",$N85*(1-$P85)),"Non Trouvé")</f>
        <v/>
      </c>
      <c r="S85" s="96" t="n"/>
      <c r="T85" s="95">
        <f>IFERROR(IF($C85="","",VLOOKUP($C85,'[1]Paramètres Articles'!$B:$H,7,FALSE)),"Non Trouvé")</f>
        <v/>
      </c>
      <c r="U85" s="98" t="n"/>
      <c r="V85" s="95">
        <f>IFERROR(IF($C85="","",IF($P85="","",$T85*(1-$P85))),"Non Trouvé")</f>
        <v/>
      </c>
      <c r="W85" s="96" t="n"/>
      <c r="X85" s="95">
        <f>IFERROR(T85-V85,"")</f>
        <v/>
      </c>
      <c r="Y85" s="96" t="n"/>
      <c r="Z85" s="95">
        <f>IFERROR(IF(OR(T85=0,T85=""),0,T85*H85),"Non Trouvé")</f>
        <v/>
      </c>
      <c r="AB85" s="99">
        <f>AB84</f>
        <v/>
      </c>
      <c r="AC85" s="99">
        <f>AC84</f>
        <v/>
      </c>
      <c r="AD85" s="95">
        <f>IFERROR(IF($C85="","",IF($P$15="Cascade",$R85*(1-AC85)*AB85,IF($P$15="Additionnelle",($N85-($N85*($P85+AC85)))*AB85))),"Non Trouvé")</f>
        <v/>
      </c>
      <c r="AG85" s="99">
        <f>AG84</f>
        <v/>
      </c>
      <c r="AH85" s="99">
        <f>AH84</f>
        <v/>
      </c>
      <c r="AI85" s="95">
        <f>IFERROR(IF($C85="","",IF($P$15="Cascade",$R85*(1-AH85)*AG85,IF($P$15="Additionnelle",($N85-($N85*($P85+AH85)))*AG85))),"Non Trouvé")</f>
        <v/>
      </c>
      <c r="AL85" s="99">
        <f>AL84</f>
        <v/>
      </c>
      <c r="AM85" s="99">
        <f>AM84</f>
        <v/>
      </c>
      <c r="AN85" s="95">
        <f>IFERROR(IF($C85="","",IF($P$15="Cascade",$R85*(1-AM85)*AL85,IF($P$15="Additionnelle",($N85-($N85*($P85+AM85)))*AL85))),"Non Trouvé")</f>
        <v/>
      </c>
      <c r="AQ85" s="99">
        <f>AQ84</f>
        <v/>
      </c>
      <c r="AR85" s="99">
        <f>AR84</f>
        <v/>
      </c>
      <c r="AS85" s="95">
        <f>IFERROR(IF($C85="","",IF($P$15="Cascade",$R85*(1-AR85)*AQ85,IF($P$15="Additionnelle",($N85-($N85*($P85+AR85)))*AQ85))),"Non Trouvé")</f>
        <v/>
      </c>
      <c r="AV85" s="99">
        <f>AV84</f>
        <v/>
      </c>
      <c r="AW85" s="99">
        <f>AW84</f>
        <v/>
      </c>
      <c r="AX85" s="95">
        <f>IFERROR(IF($C85="","",IF($P$15="Cascade",$R85*(1-AW85)*AV85,IF($P$15="Additionnelle",($N85-($N85*($P85+AW85)))*AV85))),"Non Trouvé")</f>
        <v/>
      </c>
      <c r="BA85" s="99">
        <f>BA84</f>
        <v/>
      </c>
      <c r="BB85" s="99">
        <f>BB84</f>
        <v/>
      </c>
      <c r="BC85" s="95">
        <f>IFERROR(IF($C85="","",IF($P$15="Cascade",$R85*(1-BB85)*BA85,IF($P$15="Additionnelle",($N85-($N85*($P85+BB85)))*BA85))),"Non Trouvé")</f>
        <v/>
      </c>
      <c r="BF85" s="99">
        <f>BF84</f>
        <v/>
      </c>
      <c r="BG85" s="99">
        <f>BG84</f>
        <v/>
      </c>
      <c r="BH85" s="95">
        <f>IFERROR(IF($C85="","",IF($P$15="Cascade",$R85*(1-BG85)*BF85,IF($P$15="Additionnelle",($N85-($N85*($P85+BG85)))*BF85))),"Non Trouvé")</f>
        <v/>
      </c>
      <c r="BK85" s="99">
        <f>BK84</f>
        <v/>
      </c>
      <c r="BL85" s="99">
        <f>BL84</f>
        <v/>
      </c>
      <c r="BM85" s="95">
        <f>IFERROR(IF($C85="","",IF($P$15="Cascade",$R85*(1-BL85)*BK85,IF($P$15="Additionnelle",($N85-($N85*($P85+BL85)))*BK85))),"Non Trouvé")</f>
        <v/>
      </c>
      <c r="BP85" s="99">
        <f>BP84</f>
        <v/>
      </c>
      <c r="BQ85" s="99">
        <f>BQ84</f>
        <v/>
      </c>
      <c r="BR85" s="95">
        <f>IFERROR(IF($C85="","",IF($P$15="Cascade",$R85*(1-BQ85)*BP85,IF($P$15="Additionnelle",($N85-($N85*($P85+BQ85)))*BP85))),"Non Trouvé")</f>
        <v/>
      </c>
      <c r="BU85" s="99">
        <f>BU84</f>
        <v/>
      </c>
      <c r="BV85" s="99">
        <f>BV84</f>
        <v/>
      </c>
      <c r="BW85" s="95">
        <f>IFERROR(IF($C85="","",IF($P$15="Cascade",$R85*(1-BV85)*BU85,IF($P$15="Additionnelle",($N85-($N85*($P85+BV85)))*BU85))),"Non Trouvé")</f>
        <v/>
      </c>
      <c r="BZ85" s="99">
        <f>BZ84</f>
        <v/>
      </c>
      <c r="CA85" s="99">
        <f>CA84</f>
        <v/>
      </c>
      <c r="CB85" s="95">
        <f>IFERROR(IF($C85="","",IF($P$15="Cascade",$R85*(1-CA85)*BZ85,IF($P$15="Additionnelle",($N85-($N85*($P85+CA85)))*BZ85))),"Non Trouvé")</f>
        <v/>
      </c>
      <c r="CE85" s="100" t="n"/>
      <c r="CF85" s="101" t="n"/>
      <c r="CG85" s="102" t="n"/>
      <c r="CH85" s="102" t="n"/>
      <c r="CI85" s="103" t="n"/>
      <c r="CK85" s="104">
        <f>IFERROR(IF(F85='[1]Paramètres Généraux'!$K$12,ROUNDUP((REGENERANTS!H85*REGENERANTS!$CF$75)*'[1]Paramètres Généraux'!$M$12,-1),IF(F85='[1]Paramètres Généraux'!$K$15,ROUNDUP((REGENERANTS!H85*REGENERANTS!$CF$75)*'[1]Paramètres Généraux'!$M$15,-1),REGENERANTS!H85*REGENERANTS!$CF$75)),"nd")</f>
        <v/>
      </c>
      <c r="CN85" s="105" t="n"/>
      <c r="CO85" s="106" t="n"/>
      <c r="CP85" s="106" t="n"/>
      <c r="CQ85" s="106" t="n"/>
      <c r="CR85" s="106" t="n"/>
      <c r="CS85" s="178" t="n"/>
      <c r="CT85" s="179" t="n"/>
      <c r="CU85" s="106" t="n"/>
      <c r="CV85" s="178" t="n"/>
      <c r="CW85" s="111" t="n"/>
      <c r="CX85" s="112" t="n"/>
      <c r="CY85" s="111" t="n"/>
      <c r="CZ85" s="109" t="n"/>
      <c r="DA85" s="112" t="n"/>
      <c r="DB85" s="111" t="n"/>
      <c r="DC85" s="109" t="n"/>
      <c r="DD85" s="112" t="n"/>
      <c r="DE85" s="111" t="n"/>
      <c r="DF85" s="109" t="n"/>
      <c r="DG85" s="109" t="n"/>
      <c r="DH85" s="109" t="n"/>
      <c r="DI85" s="109" t="n"/>
      <c r="DJ85" s="109" t="n"/>
      <c r="DK85" s="109" t="n"/>
      <c r="DL85" s="109" t="n"/>
      <c r="DM85" s="109" t="n"/>
      <c r="DN85" s="109" t="n"/>
      <c r="DO85" s="112" t="n"/>
      <c r="DP85" s="111" t="n"/>
      <c r="DQ85" s="20">
        <f>SUM(CN85:DP85)</f>
        <v/>
      </c>
      <c r="DR85" s="20">
        <f>SUM(CV85:DP85)</f>
        <v/>
      </c>
      <c r="DS85" s="20">
        <f>IFERROR((IF(AND($F85="Produit Vente",CO85&gt;0),VLOOKUP($C85,'[1]Paramètres Articles'!$B:$H,7,FALSE)*$CO85)*(1-20%)),0)</f>
        <v/>
      </c>
      <c r="DT85" s="20">
        <f>IFERROR((IF(AND($F85="Produit Vente",DR85&gt;0),VLOOKUP($C85,'[1]Paramètres Articles'!$B:$H,6,FALSE)*$DR85)*(1-15%)),0)</f>
        <v/>
      </c>
      <c r="DU85" s="20">
        <f>IFERROR(DQ85*J85,0)</f>
        <v/>
      </c>
    </row>
    <row r="86" outlineLevel="1" collapsed="1" ht="12.95" customHeight="1">
      <c r="B86" s="1">
        <f>IF(C86="",0,COUNTIFS($B$22:B85,"&gt;"&amp;0)+1)</f>
        <v/>
      </c>
      <c r="C86" s="90" t="n">
        <v>1020717</v>
      </c>
      <c r="D86" s="91">
        <f>IFERROR(IF($C86="","",VLOOKUP($C86,'[1]Paramètres Articles'!$B:$G,2,FALSE)),"Non Trouvé")</f>
        <v/>
      </c>
      <c r="E86" s="92">
        <f>IFERROR(IF($C86="","",_xlfn.XLOOKUP(REGENERANTS!$C86,'[1]New Base PA'!$F:$F,'[1]New Base PA'!$D:$D,"Not Found",0)),"Non Trouvé")</f>
        <v/>
      </c>
      <c r="F86" s="93" t="inlineStr">
        <is>
          <t>Produit Vente</t>
        </is>
      </c>
      <c r="H86" s="94" t="n">
        <v>1</v>
      </c>
      <c r="J86" s="95">
        <f>IFERROR(IF($C86="","",VLOOKUP($C86,'[1]New Base PA'!$F:$J,5,FALSE)),"Non Trouvé")</f>
        <v/>
      </c>
      <c r="K86" s="95">
        <f>IFERROR(IF($C86="","",$J86*$H86),"Non Trouvé")</f>
        <v/>
      </c>
      <c r="L86" s="96" t="n"/>
      <c r="M86" s="170">
        <f>IFERROR(IF(AND($F86="Produit Vente",H86&gt;0),VLOOKUP($C86,'[1]Paramètres Articles'!$B:$G,6,FALSE),0),"Non Trouvé")</f>
        <v/>
      </c>
      <c r="N86" s="170">
        <f>IFERROR(IF($C86="","",$M86*$H86),"Non Trouvé")</f>
        <v/>
      </c>
      <c r="P86" s="97" t="n">
        <v>0.1</v>
      </c>
      <c r="R86" s="95">
        <f>IFERROR(IF($C86="","",$N86*(1-$P86)),"Non Trouvé")</f>
        <v/>
      </c>
      <c r="S86" s="96" t="n"/>
      <c r="T86" s="95">
        <f>IFERROR(IF($C86="","",VLOOKUP($C86,'[1]Paramètres Articles'!$B:$H,7,FALSE)),"Non Trouvé")</f>
        <v/>
      </c>
      <c r="U86" s="98" t="n"/>
      <c r="V86" s="95">
        <f>IFERROR(IF($C86="","",IF($P86="","",$T86*(1-$P86))),"Non Trouvé")</f>
        <v/>
      </c>
      <c r="W86" s="96" t="n"/>
      <c r="X86" s="95">
        <f>IFERROR(T86-V86,"")</f>
        <v/>
      </c>
      <c r="Y86" s="96" t="n"/>
      <c r="Z86" s="95">
        <f>IFERROR(IF(OR(T86=0,T86=""),0,T86*H86),"Non Trouvé")</f>
        <v/>
      </c>
      <c r="AB86" s="99">
        <f>AB84</f>
        <v/>
      </c>
      <c r="AC86" s="99">
        <f>AC84</f>
        <v/>
      </c>
      <c r="AD86" s="95">
        <f>IFERROR(IF($C86="","",IF($P$15="Cascade",$R86*(1-AC86)*AB86,IF($P$15="Additionnelle",($N86-($N86*($P86+AC86)))*AB86))),"Non Trouvé")</f>
        <v/>
      </c>
      <c r="AG86" s="99">
        <f>AG84</f>
        <v/>
      </c>
      <c r="AH86" s="99">
        <f>AH84</f>
        <v/>
      </c>
      <c r="AI86" s="95">
        <f>IFERROR(IF($C86="","",IF($P$15="Cascade",$R86*(1-AH86)*AG86,IF($P$15="Additionnelle",($N86-($N86*($P86+AH86)))*AG86))),"Non Trouvé")</f>
        <v/>
      </c>
      <c r="AL86" s="99">
        <f>AL84</f>
        <v/>
      </c>
      <c r="AM86" s="99">
        <f>AM84</f>
        <v/>
      </c>
      <c r="AN86" s="95">
        <f>IFERROR(IF($C86="","",IF($P$15="Cascade",$R86*(1-AM86)*AL86,IF($P$15="Additionnelle",($N86-($N86*($P86+AM86)))*AL86))),"Non Trouvé")</f>
        <v/>
      </c>
      <c r="AQ86" s="99">
        <f>AQ84</f>
        <v/>
      </c>
      <c r="AR86" s="99">
        <f>AR84</f>
        <v/>
      </c>
      <c r="AS86" s="95">
        <f>IFERROR(IF($C86="","",IF($P$15="Cascade",$R86*(1-AR86)*AQ86,IF($P$15="Additionnelle",($N86-($N86*($P86+AR86)))*AQ86))),"Non Trouvé")</f>
        <v/>
      </c>
      <c r="AV86" s="99">
        <f>AV84</f>
        <v/>
      </c>
      <c r="AW86" s="99">
        <f>AW84</f>
        <v/>
      </c>
      <c r="AX86" s="95">
        <f>IFERROR(IF($C86="","",IF($P$15="Cascade",$R86*(1-AW86)*AV86,IF($P$15="Additionnelle",($N86-($N86*($P86+AW86)))*AV86))),"Non Trouvé")</f>
        <v/>
      </c>
      <c r="BA86" s="99">
        <f>BA84</f>
        <v/>
      </c>
      <c r="BB86" s="99">
        <f>BB84</f>
        <v/>
      </c>
      <c r="BC86" s="95">
        <f>IFERROR(IF($C86="","",IF($P$15="Cascade",$R86*(1-BB86)*BA86,IF($P$15="Additionnelle",($N86-($N86*($P86+BB86)))*BA86))),"Non Trouvé")</f>
        <v/>
      </c>
      <c r="BF86" s="99">
        <f>BF84</f>
        <v/>
      </c>
      <c r="BG86" s="99">
        <f>BG84</f>
        <v/>
      </c>
      <c r="BH86" s="95">
        <f>IFERROR(IF($C86="","",IF($P$15="Cascade",$R86*(1-BG86)*BF86,IF($P$15="Additionnelle",($N86-($N86*($P86+BG86)))*BF86))),"Non Trouvé")</f>
        <v/>
      </c>
      <c r="BK86" s="99">
        <f>BK84</f>
        <v/>
      </c>
      <c r="BL86" s="99">
        <f>BL84</f>
        <v/>
      </c>
      <c r="BM86" s="95">
        <f>IFERROR(IF($C86="","",IF($P$15="Cascade",$R86*(1-BL86)*BK86,IF($P$15="Additionnelle",($N86-($N86*($P86+BL86)))*BK86))),"Non Trouvé")</f>
        <v/>
      </c>
      <c r="BP86" s="99">
        <f>BP84</f>
        <v/>
      </c>
      <c r="BQ86" s="99">
        <f>BQ84</f>
        <v/>
      </c>
      <c r="BR86" s="95">
        <f>IFERROR(IF($C86="","",IF($P$15="Cascade",$R86*(1-BQ86)*BP86,IF($P$15="Additionnelle",($N86-($N86*($P86+BQ86)))*BP86))),"Non Trouvé")</f>
        <v/>
      </c>
      <c r="BU86" s="99">
        <f>BU84</f>
        <v/>
      </c>
      <c r="BV86" s="99">
        <f>BV84</f>
        <v/>
      </c>
      <c r="BW86" s="95">
        <f>IFERROR(IF($C86="","",IF($P$15="Cascade",$R86*(1-BV86)*BU86,IF($P$15="Additionnelle",($N86-($N86*($P86+BV86)))*BU86))),"Non Trouvé")</f>
        <v/>
      </c>
      <c r="BZ86" s="99">
        <f>BZ84</f>
        <v/>
      </c>
      <c r="CA86" s="99">
        <f>CA84</f>
        <v/>
      </c>
      <c r="CB86" s="95">
        <f>IFERROR(IF($C86="","",IF($P$15="Cascade",$R86*(1-CA86)*BZ86,IF($P$15="Additionnelle",($N86-($N86*($P86+CA86)))*BZ86))),"Non Trouvé")</f>
        <v/>
      </c>
      <c r="CE86" s="100" t="n"/>
      <c r="CF86" s="101" t="n"/>
      <c r="CG86" s="102" t="n"/>
      <c r="CH86" s="102" t="n"/>
      <c r="CI86" s="103" t="n"/>
      <c r="CK86" s="104">
        <f>IFERROR(IF(F86='[1]Paramètres Généraux'!$K$12,ROUNDUP((REGENERANTS!H86*REGENERANTS!$CF$75)*'[1]Paramètres Généraux'!$M$12,-1),IF(F86='[1]Paramètres Généraux'!$K$15,ROUNDUP((REGENERANTS!H86*REGENERANTS!$CF$75)*'[1]Paramètres Généraux'!$M$15,-1),REGENERANTS!H86*REGENERANTS!$CF$75)),"nd")</f>
        <v/>
      </c>
      <c r="CN86" s="105" t="n"/>
      <c r="CO86" s="106" t="n"/>
      <c r="CP86" s="106" t="n"/>
      <c r="CQ86" s="106" t="n"/>
      <c r="CR86" s="106" t="n"/>
      <c r="CS86" s="178" t="n"/>
      <c r="CT86" s="179" t="n"/>
      <c r="CU86" s="106" t="n"/>
      <c r="CV86" s="178" t="n"/>
      <c r="CW86" s="111" t="n"/>
      <c r="CX86" s="112" t="n"/>
      <c r="CY86" s="111" t="n"/>
      <c r="CZ86" s="109" t="n"/>
      <c r="DA86" s="112" t="n"/>
      <c r="DB86" s="111" t="n"/>
      <c r="DC86" s="109" t="n"/>
      <c r="DD86" s="112" t="n"/>
      <c r="DE86" s="111" t="n"/>
      <c r="DF86" s="109" t="n"/>
      <c r="DG86" s="109" t="n"/>
      <c r="DH86" s="109" t="n"/>
      <c r="DI86" s="109" t="n"/>
      <c r="DJ86" s="109" t="n"/>
      <c r="DK86" s="109" t="n"/>
      <c r="DL86" s="109" t="n"/>
      <c r="DM86" s="109" t="n"/>
      <c r="DN86" s="109" t="n"/>
      <c r="DO86" s="112" t="n"/>
      <c r="DP86" s="111" t="n"/>
      <c r="DQ86" s="20">
        <f>SUM(CN86:DP86)</f>
        <v/>
      </c>
      <c r="DR86" s="20">
        <f>SUM(CV86:DP86)</f>
        <v/>
      </c>
      <c r="DS86" s="20">
        <f>IFERROR((IF(AND($F86="Produit Vente",CO86&gt;0),VLOOKUP($C86,'[1]Paramètres Articles'!$B:$H,7,FALSE)*$CO86)*(1-20%)),0)</f>
        <v/>
      </c>
      <c r="DT86" s="20">
        <f>IFERROR((IF(AND($F86="Produit Vente",DR86&gt;0),VLOOKUP($C86,'[1]Paramètres Articles'!$B:$H,6,FALSE)*$DR86)*(1-15%)),0)</f>
        <v/>
      </c>
      <c r="DU86" s="20">
        <f>IFERROR(DQ86*J86,0)</f>
        <v/>
      </c>
    </row>
    <row r="87" outlineLevel="1" collapsed="1" ht="12.95" customHeight="1">
      <c r="B87" s="1">
        <f>IF(C87="",0,COUNTIFS($B$22:B86,"&gt;"&amp;0)+1)</f>
        <v/>
      </c>
      <c r="C87" s="90" t="n">
        <v>1020718</v>
      </c>
      <c r="D87" s="91">
        <f>IFERROR(IF($C87="","",VLOOKUP($C87,'[1]Paramètres Articles'!$B:$G,2,FALSE)),"Non Trouvé")</f>
        <v/>
      </c>
      <c r="E87" s="92">
        <f>IFERROR(IF($C87="","",_xlfn.XLOOKUP(REGENERANTS!$C87,'[1]New Base PA'!$F:$F,'[1]New Base PA'!$D:$D,"Not Found",0)),"Non Trouvé")</f>
        <v/>
      </c>
      <c r="F87" s="93" t="inlineStr">
        <is>
          <t>Produit Vente</t>
        </is>
      </c>
      <c r="H87" s="94" t="n">
        <v>3</v>
      </c>
      <c r="J87" s="95">
        <f>IFERROR(IF($C87="","",VLOOKUP($C87,'[1]New Base PA'!$F:$J,5,FALSE)),"Non Trouvé")</f>
        <v/>
      </c>
      <c r="K87" s="95">
        <f>IFERROR(IF($C87="","",$J87*$H87),"Non Trouvé")</f>
        <v/>
      </c>
      <c r="L87" s="96" t="n"/>
      <c r="M87" s="170">
        <f>IFERROR(IF(AND($F87="Produit Vente",H87&gt;0),VLOOKUP($C87,'[1]Paramètres Articles'!$B:$G,6,FALSE),0),"Non Trouvé")</f>
        <v/>
      </c>
      <c r="N87" s="170">
        <f>IFERROR(IF($C87="","",$M87*$H87),"Non Trouvé")</f>
        <v/>
      </c>
      <c r="P87" s="97" t="n">
        <v>0.1</v>
      </c>
      <c r="R87" s="95">
        <f>IFERROR(IF($C87="","",$N87*(1-$P87)),"Non Trouvé")</f>
        <v/>
      </c>
      <c r="S87" s="96" t="n"/>
      <c r="T87" s="95">
        <f>IFERROR(IF($C87="","",VLOOKUP($C87,'[1]Paramètres Articles'!$B:$H,7,FALSE)),"Non Trouvé")</f>
        <v/>
      </c>
      <c r="U87" s="98" t="n"/>
      <c r="V87" s="95">
        <f>IFERROR(IF($C87="","",IF($P87="","",$T87*(1-$P87))),"Non Trouvé")</f>
        <v/>
      </c>
      <c r="W87" s="96" t="n"/>
      <c r="X87" s="95">
        <f>IFERROR(T87-V87,"")</f>
        <v/>
      </c>
      <c r="Y87" s="96" t="n"/>
      <c r="Z87" s="95">
        <f>IFERROR(IF(OR(T87=0,T87=""),0,T87*H87),"Non Trouvé")</f>
        <v/>
      </c>
      <c r="AB87" s="99">
        <f>AB86</f>
        <v/>
      </c>
      <c r="AC87" s="99">
        <f>AC86</f>
        <v/>
      </c>
      <c r="AD87" s="95">
        <f>IFERROR(IF($C87="","",IF($P$15="Cascade",$R87*(1-AC87)*AB87,IF($P$15="Additionnelle",($N87-($N87*($P87+AC87)))*AB87))),"Non Trouvé")</f>
        <v/>
      </c>
      <c r="AG87" s="99">
        <f>AG86</f>
        <v/>
      </c>
      <c r="AH87" s="99">
        <f>AH86</f>
        <v/>
      </c>
      <c r="AI87" s="95">
        <f>IFERROR(IF($C87="","",IF($P$15="Cascade",$R87*(1-AH87)*AG87,IF($P$15="Additionnelle",($N87-($N87*($P87+AH87)))*AG87))),"Non Trouvé")</f>
        <v/>
      </c>
      <c r="AL87" s="99">
        <f>AL86</f>
        <v/>
      </c>
      <c r="AM87" s="99">
        <f>AM86</f>
        <v/>
      </c>
      <c r="AN87" s="95">
        <f>IFERROR(IF($C87="","",IF($P$15="Cascade",$R87*(1-AM87)*AL87,IF($P$15="Additionnelle",($N87-($N87*($P87+AM87)))*AL87))),"Non Trouvé")</f>
        <v/>
      </c>
      <c r="AQ87" s="99">
        <f>AQ86</f>
        <v/>
      </c>
      <c r="AR87" s="99">
        <f>AR86</f>
        <v/>
      </c>
      <c r="AS87" s="95">
        <f>IFERROR(IF($C87="","",IF($P$15="Cascade",$R87*(1-AR87)*AQ87,IF($P$15="Additionnelle",($N87-($N87*($P87+AR87)))*AQ87))),"Non Trouvé")</f>
        <v/>
      </c>
      <c r="AV87" s="99">
        <f>AV86</f>
        <v/>
      </c>
      <c r="AW87" s="99">
        <f>AW86</f>
        <v/>
      </c>
      <c r="AX87" s="95">
        <f>IFERROR(IF($C87="","",IF($P$15="Cascade",$R87*(1-AW87)*AV87,IF($P$15="Additionnelle",($N87-($N87*($P87+AW87)))*AV87))),"Non Trouvé")</f>
        <v/>
      </c>
      <c r="BA87" s="99">
        <f>BA86</f>
        <v/>
      </c>
      <c r="BB87" s="99">
        <f>BB86</f>
        <v/>
      </c>
      <c r="BC87" s="95">
        <f>IFERROR(IF($C87="","",IF($P$15="Cascade",$R87*(1-BB87)*BA87,IF($P$15="Additionnelle",($N87-($N87*($P87+BB87)))*BA87))),"Non Trouvé")</f>
        <v/>
      </c>
      <c r="BF87" s="99">
        <f>BF86</f>
        <v/>
      </c>
      <c r="BG87" s="99">
        <f>BG86</f>
        <v/>
      </c>
      <c r="BH87" s="95">
        <f>IFERROR(IF($C87="","",IF($P$15="Cascade",$R87*(1-BG87)*BF87,IF($P$15="Additionnelle",($N87-($N87*($P87+BG87)))*BF87))),"Non Trouvé")</f>
        <v/>
      </c>
      <c r="BK87" s="99">
        <f>BK86</f>
        <v/>
      </c>
      <c r="BL87" s="99">
        <f>BL86</f>
        <v/>
      </c>
      <c r="BM87" s="95">
        <f>IFERROR(IF($C87="","",IF($P$15="Cascade",$R87*(1-BL87)*BK87,IF($P$15="Additionnelle",($N87-($N87*($P87+BL87)))*BK87))),"Non Trouvé")</f>
        <v/>
      </c>
      <c r="BP87" s="99">
        <f>BP86</f>
        <v/>
      </c>
      <c r="BQ87" s="99">
        <f>BQ86</f>
        <v/>
      </c>
      <c r="BR87" s="95">
        <f>IFERROR(IF($C87="","",IF($P$15="Cascade",$R87*(1-BQ87)*BP87,IF($P$15="Additionnelle",($N87-($N87*($P87+BQ87)))*BP87))),"Non Trouvé")</f>
        <v/>
      </c>
      <c r="BU87" s="99">
        <f>BU86</f>
        <v/>
      </c>
      <c r="BV87" s="99">
        <f>BV86</f>
        <v/>
      </c>
      <c r="BW87" s="95">
        <f>IFERROR(IF($C87="","",IF($P$15="Cascade",$R87*(1-BV87)*BU87,IF($P$15="Additionnelle",($N87-($N87*($P87+BV87)))*BU87))),"Non Trouvé")</f>
        <v/>
      </c>
      <c r="BZ87" s="99">
        <f>BZ86</f>
        <v/>
      </c>
      <c r="CA87" s="99">
        <f>CA86</f>
        <v/>
      </c>
      <c r="CB87" s="95">
        <f>IFERROR(IF($C87="","",IF($P$15="Cascade",$R87*(1-CA87)*BZ87,IF($P$15="Additionnelle",($N87-($N87*($P87+CA87)))*BZ87))),"Non Trouvé")</f>
        <v/>
      </c>
      <c r="CE87" s="100" t="n"/>
      <c r="CF87" s="101" t="n"/>
      <c r="CG87" s="102" t="n"/>
      <c r="CH87" s="102" t="n"/>
      <c r="CI87" s="103" t="n"/>
      <c r="CK87" s="104">
        <f>IFERROR(IF(F87='[1]Paramètres Généraux'!$K$12,ROUNDUP((REGENERANTS!H87*REGENERANTS!$CF$75)*'[1]Paramètres Généraux'!$M$12,-1),IF(F87='[1]Paramètres Généraux'!$K$15,ROUNDUP((REGENERANTS!H87*REGENERANTS!$CF$75)*'[1]Paramètres Généraux'!$M$15,-1),REGENERANTS!H87*REGENERANTS!$CF$75)),"nd")</f>
        <v/>
      </c>
      <c r="CN87" s="105" t="n"/>
      <c r="CO87" s="106" t="n"/>
      <c r="CP87" s="106" t="n"/>
      <c r="CQ87" s="106" t="n"/>
      <c r="CR87" s="106" t="n"/>
      <c r="CS87" s="178" t="n"/>
      <c r="CT87" s="179" t="n"/>
      <c r="CU87" s="106" t="n"/>
      <c r="CV87" s="178" t="n"/>
      <c r="CW87" s="111" t="n"/>
      <c r="CX87" s="112" t="n"/>
      <c r="CY87" s="111" t="n"/>
      <c r="CZ87" s="109" t="n"/>
      <c r="DA87" s="112" t="n"/>
      <c r="DB87" s="111" t="n"/>
      <c r="DC87" s="109" t="n"/>
      <c r="DD87" s="112" t="n"/>
      <c r="DE87" s="111" t="n"/>
      <c r="DF87" s="109" t="n"/>
      <c r="DG87" s="109" t="n"/>
      <c r="DH87" s="109" t="n"/>
      <c r="DI87" s="109" t="n"/>
      <c r="DJ87" s="109" t="n"/>
      <c r="DK87" s="109" t="n"/>
      <c r="DL87" s="109" t="n"/>
      <c r="DM87" s="109" t="n"/>
      <c r="DN87" s="109" t="n"/>
      <c r="DO87" s="112" t="n"/>
      <c r="DP87" s="111" t="n"/>
      <c r="DQ87" s="20">
        <f>SUM(CN87:DP87)</f>
        <v/>
      </c>
      <c r="DR87" s="20">
        <f>SUM(CV87:DP87)</f>
        <v/>
      </c>
      <c r="DS87" s="20">
        <f>IFERROR((IF(AND($F87="Produit Vente",CO87&gt;0),VLOOKUP($C87,'[1]Paramètres Articles'!$B:$H,7,FALSE)*$CO87)*(1-20%)),0)</f>
        <v/>
      </c>
      <c r="DT87" s="20">
        <f>IFERROR((IF(AND($F87="Produit Vente",DR87&gt;0),VLOOKUP($C87,'[1]Paramètres Articles'!$B:$H,6,FALSE)*$DR87)*(1-15%)),0)</f>
        <v/>
      </c>
      <c r="DU87" s="20">
        <f>IFERROR(DQ87*J87,0)</f>
        <v/>
      </c>
    </row>
    <row r="88" outlineLevel="1" collapsed="1" ht="12.95" customHeight="1">
      <c r="B88" s="1">
        <f>IF(C88="",0,COUNTIFS($B$22:B87,"&gt;"&amp;0)+1)</f>
        <v/>
      </c>
      <c r="C88" s="90" t="n">
        <v>1020301</v>
      </c>
      <c r="D88" s="91">
        <f>IFERROR(IF($C88="","",VLOOKUP($C88,'[1]Paramètres Articles'!$B:$G,2,FALSE)),"Non Trouvé")</f>
        <v/>
      </c>
      <c r="E88" s="92">
        <f>IFERROR(IF($C88="","",_xlfn.XLOOKUP(REGENERANTS!$C88,'[1]New Base PA'!$F:$F,'[1]New Base PA'!$D:$D,"Not Found",0)),"Non Trouvé")</f>
        <v/>
      </c>
      <c r="F88" s="93" t="inlineStr">
        <is>
          <t>Produit Vente</t>
        </is>
      </c>
      <c r="H88" s="94" t="n">
        <v>4</v>
      </c>
      <c r="J88" s="95">
        <f>IFERROR(IF($C88="","",VLOOKUP($C88,'[1]New Base PA'!$F:$J,5,FALSE)),"Non Trouvé")</f>
        <v/>
      </c>
      <c r="K88" s="95">
        <f>IFERROR(IF($C88="","",$J88*$H88),"Non Trouvé")</f>
        <v/>
      </c>
      <c r="L88" s="96" t="n"/>
      <c r="M88" s="170">
        <f>IFERROR(IF(AND($F88="Produit Vente",H88&gt;0),VLOOKUP($C88,'[1]Paramètres Articles'!$B:$G,6,FALSE),0),"Non Trouvé")</f>
        <v/>
      </c>
      <c r="N88" s="170">
        <f>IFERROR(IF($C88="","",$M88*$H88),"Non Trouvé")</f>
        <v/>
      </c>
      <c r="P88" s="97" t="n">
        <v>0.1</v>
      </c>
      <c r="R88" s="95">
        <f>IFERROR(IF($C88="","",$N88*(1-$P88)),"Non Trouvé")</f>
        <v/>
      </c>
      <c r="S88" s="96" t="n"/>
      <c r="T88" s="95">
        <f>IFERROR(IF($C88="","",VLOOKUP($C88,'[1]Paramètres Articles'!$B:$H,7,FALSE)),"Non Trouvé")</f>
        <v/>
      </c>
      <c r="U88" s="98" t="n"/>
      <c r="V88" s="95">
        <f>IFERROR(IF($C88="","",IF($P88="","",$T88*(1-$P88))),"Non Trouvé")</f>
        <v/>
      </c>
      <c r="W88" s="96" t="n"/>
      <c r="X88" s="95">
        <f>IFERROR(T88-V88,"")</f>
        <v/>
      </c>
      <c r="Y88" s="96" t="n"/>
      <c r="Z88" s="95">
        <f>IFERROR(IF(OR(T88=0,T88=""),0,T88*H88),"Non Trouvé")</f>
        <v/>
      </c>
      <c r="AB88" s="99">
        <f>AB86</f>
        <v/>
      </c>
      <c r="AC88" s="99">
        <f>AC86</f>
        <v/>
      </c>
      <c r="AD88" s="95">
        <f>IFERROR(IF($C88="","",IF($P$15="Cascade",$R88*(1-AC88)*AB88,IF($P$15="Additionnelle",($N88-($N88*($P88+AC88)))*AB88))),"Non Trouvé")</f>
        <v/>
      </c>
      <c r="AG88" s="99">
        <f>AG86</f>
        <v/>
      </c>
      <c r="AH88" s="99">
        <f>AH86</f>
        <v/>
      </c>
      <c r="AI88" s="95">
        <f>IFERROR(IF($C88="","",IF($P$15="Cascade",$R88*(1-AH88)*AG88,IF($P$15="Additionnelle",($N88-($N88*($P88+AH88)))*AG88))),"Non Trouvé")</f>
        <v/>
      </c>
      <c r="AL88" s="99">
        <f>AL86</f>
        <v/>
      </c>
      <c r="AM88" s="99">
        <f>AM86</f>
        <v/>
      </c>
      <c r="AN88" s="95">
        <f>IFERROR(IF($C88="","",IF($P$15="Cascade",$R88*(1-AM88)*AL88,IF($P$15="Additionnelle",($N88-($N88*($P88+AM88)))*AL88))),"Non Trouvé")</f>
        <v/>
      </c>
      <c r="AQ88" s="99">
        <f>AQ86</f>
        <v/>
      </c>
      <c r="AR88" s="99">
        <f>AR86</f>
        <v/>
      </c>
      <c r="AS88" s="95">
        <f>IFERROR(IF($C88="","",IF($P$15="Cascade",$R88*(1-AR88)*AQ88,IF($P$15="Additionnelle",($N88-($N88*($P88+AR88)))*AQ88))),"Non Trouvé")</f>
        <v/>
      </c>
      <c r="AV88" s="99">
        <f>AV86</f>
        <v/>
      </c>
      <c r="AW88" s="99">
        <f>AW86</f>
        <v/>
      </c>
      <c r="AX88" s="95">
        <f>IFERROR(IF($C88="","",IF($P$15="Cascade",$R88*(1-AW88)*AV88,IF($P$15="Additionnelle",($N88-($N88*($P88+AW88)))*AV88))),"Non Trouvé")</f>
        <v/>
      </c>
      <c r="BA88" s="99">
        <f>BA86</f>
        <v/>
      </c>
      <c r="BB88" s="99">
        <f>BB86</f>
        <v/>
      </c>
      <c r="BC88" s="95">
        <f>IFERROR(IF($C88="","",IF($P$15="Cascade",$R88*(1-BB88)*BA88,IF($P$15="Additionnelle",($N88-($N88*($P88+BB88)))*BA88))),"Non Trouvé")</f>
        <v/>
      </c>
      <c r="BF88" s="99">
        <f>BF86</f>
        <v/>
      </c>
      <c r="BG88" s="99">
        <f>BG86</f>
        <v/>
      </c>
      <c r="BH88" s="95">
        <f>IFERROR(IF($C88="","",IF($P$15="Cascade",$R88*(1-BG88)*BF88,IF($P$15="Additionnelle",($N88-($N88*($P88+BG88)))*BF88))),"Non Trouvé")</f>
        <v/>
      </c>
      <c r="BK88" s="99">
        <f>BK86</f>
        <v/>
      </c>
      <c r="BL88" s="99">
        <f>BL86</f>
        <v/>
      </c>
      <c r="BM88" s="95">
        <f>IFERROR(IF($C88="","",IF($P$15="Cascade",$R88*(1-BL88)*BK88,IF($P$15="Additionnelle",($N88-($N88*($P88+BL88)))*BK88))),"Non Trouvé")</f>
        <v/>
      </c>
      <c r="BP88" s="99">
        <f>BP86</f>
        <v/>
      </c>
      <c r="BQ88" s="99">
        <f>BQ86</f>
        <v/>
      </c>
      <c r="BR88" s="95">
        <f>IFERROR(IF($C88="","",IF($P$15="Cascade",$R88*(1-BQ88)*BP88,IF($P$15="Additionnelle",($N88-($N88*($P88+BQ88)))*BP88))),"Non Trouvé")</f>
        <v/>
      </c>
      <c r="BU88" s="99">
        <f>BU86</f>
        <v/>
      </c>
      <c r="BV88" s="99">
        <f>BV86</f>
        <v/>
      </c>
      <c r="BW88" s="95">
        <f>IFERROR(IF($C88="","",IF($P$15="Cascade",$R88*(1-BV88)*BU88,IF($P$15="Additionnelle",($N88-($N88*($P88+BV88)))*BU88))),"Non Trouvé")</f>
        <v/>
      </c>
      <c r="BZ88" s="99">
        <f>BZ86</f>
        <v/>
      </c>
      <c r="CA88" s="99">
        <f>CA86</f>
        <v/>
      </c>
      <c r="CB88" s="95">
        <f>IFERROR(IF($C88="","",IF($P$15="Cascade",$R88*(1-CA88)*BZ88,IF($P$15="Additionnelle",($N88-($N88*($P88+CA88)))*BZ88))),"Non Trouvé")</f>
        <v/>
      </c>
      <c r="CE88" s="100" t="n"/>
      <c r="CF88" s="133" t="n"/>
      <c r="CG88" s="102" t="n"/>
      <c r="CH88" s="102" t="n"/>
      <c r="CI88" s="103" t="n"/>
      <c r="CK88" s="104">
        <f>IFERROR(IF(F88='[1]Paramètres Généraux'!$K$12,ROUNDUP((REGENERANTS!H88*REGENERANTS!$CF$75)*'[1]Paramètres Généraux'!$M$12,-1),IF(F88='[1]Paramètres Généraux'!$K$15,ROUNDUP((REGENERANTS!H88*REGENERANTS!$CF$75)*'[1]Paramètres Généraux'!$M$15,-1),REGENERANTS!H88*REGENERANTS!$CF$75)),"nd")</f>
        <v/>
      </c>
      <c r="CN88" s="105" t="n"/>
      <c r="CO88" s="106" t="n"/>
      <c r="CP88" s="106" t="n"/>
      <c r="CQ88" s="106" t="n"/>
      <c r="CR88" s="106" t="n"/>
      <c r="CS88" s="178" t="n"/>
      <c r="CT88" s="179" t="n"/>
      <c r="CU88" s="106" t="n"/>
      <c r="CV88" s="178" t="n"/>
      <c r="CW88" s="111" t="n"/>
      <c r="CX88" s="112" t="n"/>
      <c r="CY88" s="111" t="n"/>
      <c r="CZ88" s="109" t="n"/>
      <c r="DA88" s="112" t="n"/>
      <c r="DB88" s="111" t="n"/>
      <c r="DC88" s="109" t="n"/>
      <c r="DD88" s="112" t="n"/>
      <c r="DE88" s="111" t="n"/>
      <c r="DF88" s="109" t="n"/>
      <c r="DG88" s="109" t="n"/>
      <c r="DH88" s="109" t="n"/>
      <c r="DI88" s="109" t="n"/>
      <c r="DJ88" s="109" t="n"/>
      <c r="DK88" s="109" t="n"/>
      <c r="DL88" s="109" t="n"/>
      <c r="DM88" s="109" t="n"/>
      <c r="DN88" s="109" t="n"/>
      <c r="DO88" s="112" t="n"/>
      <c r="DP88" s="111" t="n"/>
      <c r="DQ88" s="20">
        <f>SUM(CN88:DP88)</f>
        <v/>
      </c>
      <c r="DR88" s="20">
        <f>SUM(CV88:DP88)</f>
        <v/>
      </c>
      <c r="DS88" s="20">
        <f>IFERROR((IF(AND($F88="Produit Vente",CO88&gt;0),VLOOKUP($C88,'[1]Paramètres Articles'!$B:$H,7,FALSE)*$CO88)*(1-20%)),0)</f>
        <v/>
      </c>
      <c r="DT88" s="20">
        <f>IFERROR((IF(AND($F88="Produit Vente",DR88&gt;0),VLOOKUP($C88,'[1]Paramètres Articles'!$B:$H,6,FALSE)*$DR88)*(1-15%)),0)</f>
        <v/>
      </c>
      <c r="DU88" s="20">
        <f>IFERROR(DQ88*J88,0)</f>
        <v/>
      </c>
    </row>
    <row r="89" outlineLevel="1" collapsed="1" ht="12.95" customHeight="1">
      <c r="B89" s="1">
        <f>IF(C89="",0,COUNTIFS($B$22:B88,"&gt;"&amp;0)+1)</f>
        <v/>
      </c>
      <c r="C89" s="90" t="n">
        <v>1020720</v>
      </c>
      <c r="D89" s="91">
        <f>IFERROR(IF($C89="","",VLOOKUP($C89,'[1]Paramètres Articles'!$B:$G,2,FALSE)),"Non Trouvé")</f>
        <v/>
      </c>
      <c r="E89" s="92">
        <f>IFERROR(IF($C89="","",_xlfn.XLOOKUP(REGENERANTS!$C89,'[1]New Base PA'!$F:$F,'[1]New Base PA'!$D:$D,"Not Found",0)),"Non Trouvé")</f>
        <v/>
      </c>
      <c r="F89" s="93" t="inlineStr">
        <is>
          <t>Produit Vente</t>
        </is>
      </c>
      <c r="H89" s="94" t="n">
        <v>4</v>
      </c>
      <c r="J89" s="95">
        <f>IFERROR(IF($C89="","",VLOOKUP($C89,'[1]New Base PA'!$F:$J,5,FALSE)),"Non Trouvé")</f>
        <v/>
      </c>
      <c r="K89" s="95">
        <f>IFERROR(IF($C89="","",$J89*$H89),"Non Trouvé")</f>
        <v/>
      </c>
      <c r="L89" s="96" t="n"/>
      <c r="M89" s="170">
        <f>IFERROR(IF(AND($F89="Produit Vente",H89&gt;0),VLOOKUP($C89,'[1]Paramètres Articles'!$B:$G,6,FALSE),0),"Non Trouvé")</f>
        <v/>
      </c>
      <c r="N89" s="170">
        <f>IFERROR(IF($C89="","",$M89*$H89),"Non Trouvé")</f>
        <v/>
      </c>
      <c r="P89" s="97" t="n">
        <v>0.1</v>
      </c>
      <c r="R89" s="95">
        <f>IFERROR(IF($C89="","",$N89*(1-$P89)),"Non Trouvé")</f>
        <v/>
      </c>
      <c r="S89" s="96" t="n"/>
      <c r="T89" s="95">
        <f>IFERROR(IF($C89="","",VLOOKUP($C89,'[1]Paramètres Articles'!$B:$H,7,FALSE)),"Non Trouvé")</f>
        <v/>
      </c>
      <c r="U89" s="98" t="n"/>
      <c r="V89" s="95">
        <f>IFERROR(IF($C89="","",IF($P89="","",$T89*(1-$P89))),"Non Trouvé")</f>
        <v/>
      </c>
      <c r="W89" s="96" t="n"/>
      <c r="X89" s="95">
        <f>IFERROR(T89-V89,"")</f>
        <v/>
      </c>
      <c r="Y89" s="96" t="n"/>
      <c r="Z89" s="95">
        <f>IFERROR(IF(OR(T89=0,T89=""),0,T89*H89),"Non Trouvé")</f>
        <v/>
      </c>
      <c r="AB89" s="99">
        <f>AB88</f>
        <v/>
      </c>
      <c r="AC89" s="99">
        <f>AC88</f>
        <v/>
      </c>
      <c r="AD89" s="95">
        <f>IFERROR(IF($C89="","",IF($P$15="Cascade",$R89*(1-AC89)*AB89,IF($P$15="Additionnelle",($N89-($N89*($P89+AC89)))*AB89))),"Non Trouvé")</f>
        <v/>
      </c>
      <c r="AG89" s="99">
        <f>AG88</f>
        <v/>
      </c>
      <c r="AH89" s="99">
        <f>AH88</f>
        <v/>
      </c>
      <c r="AI89" s="95">
        <f>IFERROR(IF($C89="","",IF($P$15="Cascade",$R89*(1-AH89)*AG89,IF($P$15="Additionnelle",($N89-($N89*($P89+AH89)))*AG89))),"Non Trouvé")</f>
        <v/>
      </c>
      <c r="AL89" s="99">
        <f>AL88</f>
        <v/>
      </c>
      <c r="AM89" s="99">
        <f>AM88</f>
        <v/>
      </c>
      <c r="AN89" s="95">
        <f>IFERROR(IF($C89="","",IF($P$15="Cascade",$R89*(1-AM89)*AL89,IF($P$15="Additionnelle",($N89-($N89*($P89+AM89)))*AL89))),"Non Trouvé")</f>
        <v/>
      </c>
      <c r="AQ89" s="99">
        <f>AQ88</f>
        <v/>
      </c>
      <c r="AR89" s="99">
        <f>AR88</f>
        <v/>
      </c>
      <c r="AS89" s="95">
        <f>IFERROR(IF($C89="","",IF($P$15="Cascade",$R89*(1-AR89)*AQ89,IF($P$15="Additionnelle",($N89-($N89*($P89+AR89)))*AQ89))),"Non Trouvé")</f>
        <v/>
      </c>
      <c r="AV89" s="99">
        <f>AV88</f>
        <v/>
      </c>
      <c r="AW89" s="99">
        <f>AW88</f>
        <v/>
      </c>
      <c r="AX89" s="95">
        <f>IFERROR(IF($C89="","",IF($P$15="Cascade",$R89*(1-AW89)*AV89,IF($P$15="Additionnelle",($N89-($N89*($P89+AW89)))*AV89))),"Non Trouvé")</f>
        <v/>
      </c>
      <c r="BA89" s="99">
        <f>BA88</f>
        <v/>
      </c>
      <c r="BB89" s="99">
        <f>BB88</f>
        <v/>
      </c>
      <c r="BC89" s="95">
        <f>IFERROR(IF($C89="","",IF($P$15="Cascade",$R89*(1-BB89)*BA89,IF($P$15="Additionnelle",($N89-($N89*($P89+BB89)))*BA89))),"Non Trouvé")</f>
        <v/>
      </c>
      <c r="BF89" s="99">
        <f>BF88</f>
        <v/>
      </c>
      <c r="BG89" s="99">
        <f>BG88</f>
        <v/>
      </c>
      <c r="BH89" s="95">
        <f>IFERROR(IF($C89="","",IF($P$15="Cascade",$R89*(1-BG89)*BF89,IF($P$15="Additionnelle",($N89-($N89*($P89+BG89)))*BF89))),"Non Trouvé")</f>
        <v/>
      </c>
      <c r="BK89" s="99">
        <f>BK88</f>
        <v/>
      </c>
      <c r="BL89" s="99">
        <f>BL88</f>
        <v/>
      </c>
      <c r="BM89" s="95">
        <f>IFERROR(IF($C89="","",IF($P$15="Cascade",$R89*(1-BL89)*BK89,IF($P$15="Additionnelle",($N89-($N89*($P89+BL89)))*BK89))),"Non Trouvé")</f>
        <v/>
      </c>
      <c r="BP89" s="99">
        <f>BP88</f>
        <v/>
      </c>
      <c r="BQ89" s="99">
        <f>BQ88</f>
        <v/>
      </c>
      <c r="BR89" s="95">
        <f>IFERROR(IF($C89="","",IF($P$15="Cascade",$R89*(1-BQ89)*BP89,IF($P$15="Additionnelle",($N89-($N89*($P89+BQ89)))*BP89))),"Non Trouvé")</f>
        <v/>
      </c>
      <c r="BU89" s="99">
        <f>BU88</f>
        <v/>
      </c>
      <c r="BV89" s="99">
        <f>BV88</f>
        <v/>
      </c>
      <c r="BW89" s="95">
        <f>IFERROR(IF($C89="","",IF($P$15="Cascade",$R89*(1-BV89)*BU89,IF($P$15="Additionnelle",($N89-($N89*($P89+BV89)))*BU89))),"Non Trouvé")</f>
        <v/>
      </c>
      <c r="BZ89" s="99">
        <f>BZ88</f>
        <v/>
      </c>
      <c r="CA89" s="99">
        <f>CA88</f>
        <v/>
      </c>
      <c r="CB89" s="95">
        <f>IFERROR(IF($C89="","",IF($P$15="Cascade",$R89*(1-CA89)*BZ89,IF($P$15="Additionnelle",($N89-($N89*($P89+CA89)))*BZ89))),"Non Trouvé")</f>
        <v/>
      </c>
      <c r="CE89" s="100" t="n"/>
      <c r="CF89" s="102" t="n"/>
      <c r="CG89" s="133" t="inlineStr">
        <is>
          <t>Retail</t>
        </is>
      </c>
      <c r="CH89" s="102" t="n"/>
      <c r="CI89" s="103" t="n"/>
      <c r="CK89" s="104">
        <f>IFERROR(IF(F89='[1]Paramètres Généraux'!$K$12,ROUNDUP((REGENERANTS!H89*REGENERANTS!$CF$75)*'[1]Paramètres Généraux'!$M$12,-1),IF(F89='[1]Paramètres Généraux'!$K$15,ROUNDUP((REGENERANTS!H89*REGENERANTS!$CF$75)*'[1]Paramètres Généraux'!$M$15,-1),REGENERANTS!H89*REGENERANTS!$CF$75)),"nd")</f>
        <v/>
      </c>
      <c r="CN89" s="105" t="n"/>
      <c r="CO89" s="106" t="n"/>
      <c r="CP89" s="106" t="n"/>
      <c r="CQ89" s="106" t="n"/>
      <c r="CR89" s="106" t="n"/>
      <c r="CS89" s="178" t="n"/>
      <c r="CT89" s="179" t="n"/>
      <c r="CU89" s="106" t="n"/>
      <c r="CV89" s="178" t="n"/>
      <c r="CW89" s="111" t="n"/>
      <c r="CX89" s="112" t="n"/>
      <c r="CY89" s="111" t="n"/>
      <c r="CZ89" s="109" t="n"/>
      <c r="DA89" s="112" t="n"/>
      <c r="DB89" s="111" t="n"/>
      <c r="DC89" s="109" t="n"/>
      <c r="DD89" s="112" t="n"/>
      <c r="DE89" s="111" t="n"/>
      <c r="DF89" s="109" t="n"/>
      <c r="DG89" s="109" t="n"/>
      <c r="DH89" s="109" t="n"/>
      <c r="DI89" s="109" t="n"/>
      <c r="DJ89" s="109" t="n"/>
      <c r="DK89" s="109" t="n"/>
      <c r="DL89" s="109" t="n"/>
      <c r="DM89" s="109" t="n"/>
      <c r="DN89" s="109" t="n"/>
      <c r="DO89" s="112" t="n"/>
      <c r="DP89" s="111" t="n"/>
      <c r="DQ89" s="20">
        <f>SUM(CN89:DP89)</f>
        <v/>
      </c>
      <c r="DR89" s="20">
        <f>SUM(CV89:DP89)</f>
        <v/>
      </c>
      <c r="DS89" s="20">
        <f>IFERROR((IF(AND($F89="Produit Vente",CO89&gt;0),VLOOKUP($C89,'[1]Paramètres Articles'!$B:$H,7,FALSE)*$CO89)*(1-20%)),0)</f>
        <v/>
      </c>
      <c r="DT89" s="20">
        <f>IFERROR((IF(AND($F89="Produit Vente",DR89&gt;0),VLOOKUP($C89,'[1]Paramètres Articles'!$B:$H,6,FALSE)*$DR89)*(1-15%)),0)</f>
        <v/>
      </c>
      <c r="DU89" s="20">
        <f>IFERROR(DQ89*J89,0)</f>
        <v/>
      </c>
    </row>
    <row r="90" outlineLevel="1" collapsed="1" ht="12.95" customHeight="1">
      <c r="B90" s="1">
        <f>IF(C90="",0,COUNTIFS($B$22:B89,"&gt;"&amp;0)+1)</f>
        <v/>
      </c>
      <c r="C90" s="90" t="inlineStr">
        <is>
          <t>PANNEAU REGE</t>
        </is>
      </c>
      <c r="D90" s="91">
        <f>IFERROR(IF($C90="","",VLOOKUP($C90,'[1]Paramètres Articles'!$B:$G,2,FALSE)),"Non Trouvé")</f>
        <v/>
      </c>
      <c r="E90" s="92">
        <f>IFERROR(IF($C90="","",_xlfn.XLOOKUP(REGENERANTS!$C90,'[1]New Base PA'!$F:$F,'[1]New Base PA'!$D:$D,"Not Found",0)),"Non Trouvé")</f>
        <v/>
      </c>
      <c r="F90" s="93" t="inlineStr">
        <is>
          <t>PLV (vitrine)</t>
        </is>
      </c>
      <c r="H90" s="94" t="n">
        <v>1</v>
      </c>
      <c r="J90" s="95">
        <f>IFERROR(IF($C90="","",VLOOKUP($C90,'[1]New Base PA'!$F:$J,5,FALSE)),"Non Trouvé")</f>
        <v/>
      </c>
      <c r="K90" s="95">
        <f>IFERROR(IF($C90="","",$J90*$H90),"Non Trouvé")</f>
        <v/>
      </c>
      <c r="L90" s="96" t="n"/>
      <c r="M90" s="170">
        <f>IFERROR(IF(AND($F90="Produit Vente",H90&gt;0),VLOOKUP($C90,'[1]Paramètres Articles'!$B:$G,6,FALSE),0),"Non Trouvé")</f>
        <v/>
      </c>
      <c r="N90" s="170">
        <f>IFERROR(IF($C90="","",$M90*$H90),"Non Trouvé")</f>
        <v/>
      </c>
      <c r="P90" s="97" t="n"/>
      <c r="R90" s="95">
        <f>IFERROR(IF($C90="","",$N90*(1-$P90)),"Non Trouvé")</f>
        <v/>
      </c>
      <c r="S90" s="96" t="n"/>
      <c r="T90" s="95">
        <f>IFERROR(IF($C90="","",VLOOKUP($C90,'[1]Paramètres Articles'!$B:$H,7,FALSE)),"Non Trouvé")</f>
        <v/>
      </c>
      <c r="U90" s="98" t="n"/>
      <c r="V90" s="95">
        <f>IFERROR(IF($C90="","",IF($P90="","",$T90*(1-$P90))),"Non Trouvé")</f>
        <v/>
      </c>
      <c r="W90" s="96" t="n"/>
      <c r="X90" s="95">
        <f>IFERROR(T90-V90,"")</f>
        <v/>
      </c>
      <c r="Y90" s="96" t="n"/>
      <c r="Z90" s="95">
        <f>IFERROR(IF(OR(T90=0,T90=""),0,T90*H90),"Non Trouvé")</f>
        <v/>
      </c>
      <c r="AB90" s="99">
        <f>AB88</f>
        <v/>
      </c>
      <c r="AC90" s="99">
        <f>AC88</f>
        <v/>
      </c>
      <c r="AD90" s="95">
        <f>IFERROR(IF($C90="","",IF($P$15="Cascade",$R90*(1-AC90)*AB90,IF($P$15="Additionnelle",($N90-($N90*($P90+AC90)))*AB90))),"Non Trouvé")</f>
        <v/>
      </c>
      <c r="AG90" s="99">
        <f>AG88</f>
        <v/>
      </c>
      <c r="AH90" s="99">
        <f>AH88</f>
        <v/>
      </c>
      <c r="AI90" s="95">
        <f>IFERROR(IF($C90="","",IF($P$15="Cascade",$R90*(1-AH90)*AG90,IF($P$15="Additionnelle",($N90-($N90*($P90+AH90)))*AG90))),"Non Trouvé")</f>
        <v/>
      </c>
      <c r="AL90" s="99">
        <f>AL88</f>
        <v/>
      </c>
      <c r="AM90" s="99">
        <f>AM88</f>
        <v/>
      </c>
      <c r="AN90" s="95">
        <f>IFERROR(IF($C90="","",IF($P$15="Cascade",$R90*(1-AM90)*AL90,IF($P$15="Additionnelle",($N90-($N90*($P90+AM90)))*AL90))),"Non Trouvé")</f>
        <v/>
      </c>
      <c r="AQ90" s="99">
        <f>AQ88</f>
        <v/>
      </c>
      <c r="AR90" s="99">
        <f>AR88</f>
        <v/>
      </c>
      <c r="AS90" s="95">
        <f>IFERROR(IF($C90="","",IF($P$15="Cascade",$R90*(1-AR90)*AQ90,IF($P$15="Additionnelle",($N90-($N90*($P90+AR90)))*AQ90))),"Non Trouvé")</f>
        <v/>
      </c>
      <c r="AV90" s="99">
        <f>AV88</f>
        <v/>
      </c>
      <c r="AW90" s="99">
        <f>AW88</f>
        <v/>
      </c>
      <c r="AX90" s="95">
        <f>IFERROR(IF($C90="","",IF($P$15="Cascade",$R90*(1-AW90)*AV90,IF($P$15="Additionnelle",($N90-($N90*($P90+AW90)))*AV90))),"Non Trouvé")</f>
        <v/>
      </c>
      <c r="BA90" s="99">
        <f>BA88</f>
        <v/>
      </c>
      <c r="BB90" s="99">
        <f>BB88</f>
        <v/>
      </c>
      <c r="BC90" s="95">
        <f>IFERROR(IF($C90="","",IF($P$15="Cascade",$R90*(1-BB90)*BA90,IF($P$15="Additionnelle",($N90-($N90*($P90+BB90)))*BA90))),"Non Trouvé")</f>
        <v/>
      </c>
      <c r="BF90" s="99">
        <f>BF88</f>
        <v/>
      </c>
      <c r="BG90" s="99">
        <f>BG88</f>
        <v/>
      </c>
      <c r="BH90" s="95">
        <f>IFERROR(IF($C90="","",IF($P$15="Cascade",$R90*(1-BG90)*BF90,IF($P$15="Additionnelle",($N90-($N90*($P90+BG90)))*BF90))),"Non Trouvé")</f>
        <v/>
      </c>
      <c r="BK90" s="99">
        <f>BK88</f>
        <v/>
      </c>
      <c r="BL90" s="99">
        <f>BL88</f>
        <v/>
      </c>
      <c r="BM90" s="95">
        <f>IFERROR(IF($C90="","",IF($P$15="Cascade",$R90*(1-BL90)*BK90,IF($P$15="Additionnelle",($N90-($N90*($P90+BL90)))*BK90))),"Non Trouvé")</f>
        <v/>
      </c>
      <c r="BP90" s="99">
        <f>BP88</f>
        <v/>
      </c>
      <c r="BQ90" s="99">
        <f>BQ88</f>
        <v/>
      </c>
      <c r="BR90" s="95">
        <f>IFERROR(IF($C90="","",IF($P$15="Cascade",$R90*(1-BQ90)*BP90,IF($P$15="Additionnelle",($N90-($N90*($P90+BQ90)))*BP90))),"Non Trouvé")</f>
        <v/>
      </c>
      <c r="BU90" s="99">
        <f>BU88</f>
        <v/>
      </c>
      <c r="BV90" s="99">
        <f>BV88</f>
        <v/>
      </c>
      <c r="BW90" s="95">
        <f>IFERROR(IF($C90="","",IF($P$15="Cascade",$R90*(1-BV90)*BU90,IF($P$15="Additionnelle",($N90-($N90*($P90+BV90)))*BU90))),"Non Trouvé")</f>
        <v/>
      </c>
      <c r="BZ90" s="99">
        <f>BZ88</f>
        <v/>
      </c>
      <c r="CA90" s="99">
        <f>CA88</f>
        <v/>
      </c>
      <c r="CB90" s="95">
        <f>IFERROR(IF($C90="","",IF($P$15="Cascade",$R90*(1-CA90)*BZ90,IF($P$15="Additionnelle",($N90-($N90*($P90+CA90)))*BZ90))),"Non Trouvé")</f>
        <v/>
      </c>
      <c r="CE90" s="100" t="n"/>
      <c r="CF90" s="138" t="n"/>
      <c r="CG90" s="102" t="inlineStr">
        <is>
          <t>Nbrs Offres planifiées</t>
        </is>
      </c>
      <c r="CH90" s="138">
        <f>SUMIFS($AB75:$AT75,$AB72:$AT72,CG90)+SUMIFS($BZ75:$CC75,$BZ72:$CC72,CG90)</f>
        <v/>
      </c>
      <c r="CI90" s="103" t="n"/>
      <c r="CK90" s="104">
        <f>IFERROR(IF(F90='[1]Paramètres Généraux'!$K$12,ROUNDUP((REGENERANTS!H90*REGENERANTS!$CF$75)*'[1]Paramètres Généraux'!$M$12,-1),IF(F90='[1]Paramètres Généraux'!$K$15,ROUNDUP((REGENERANTS!H90*REGENERANTS!$CF$75)*'[1]Paramètres Généraux'!$M$15,-1),REGENERANTS!H90*REGENERANTS!$CF$75)),"nd")</f>
        <v/>
      </c>
      <c r="CN90" s="105" t="n"/>
      <c r="CO90" s="106" t="n"/>
      <c r="CP90" s="106" t="n"/>
      <c r="CQ90" s="106" t="n"/>
      <c r="CR90" s="106" t="n"/>
      <c r="CS90" s="178" t="n"/>
      <c r="CT90" s="179" t="n"/>
      <c r="CU90" s="106" t="n"/>
      <c r="CV90" s="178" t="n"/>
      <c r="CW90" s="111" t="n"/>
      <c r="CX90" s="112" t="n"/>
      <c r="CY90" s="111" t="n"/>
      <c r="CZ90" s="109" t="n"/>
      <c r="DA90" s="112" t="n"/>
      <c r="DB90" s="111" t="n"/>
      <c r="DC90" s="109" t="n"/>
      <c r="DD90" s="112" t="n"/>
      <c r="DE90" s="111" t="n"/>
      <c r="DF90" s="109" t="n"/>
      <c r="DG90" s="109" t="n"/>
      <c r="DH90" s="109" t="n"/>
      <c r="DI90" s="109" t="n"/>
      <c r="DJ90" s="109" t="n"/>
      <c r="DK90" s="109" t="n"/>
      <c r="DL90" s="109" t="n"/>
      <c r="DM90" s="109" t="n"/>
      <c r="DN90" s="109" t="n"/>
      <c r="DO90" s="112" t="n"/>
      <c r="DP90" s="111" t="n"/>
      <c r="DQ90" s="20">
        <f>SUM(CN90:DP90)</f>
        <v/>
      </c>
      <c r="DR90" s="20">
        <f>SUM(CV90:DP90)</f>
        <v/>
      </c>
      <c r="DS90" s="20">
        <f>IFERROR((IF(AND($F90="Produit Vente",CO90&gt;0),VLOOKUP($C90,'[1]Paramètres Articles'!$B:$H,7,FALSE)*$CO90)*(1-20%)),0)</f>
        <v/>
      </c>
      <c r="DT90" s="20">
        <f>IFERROR((IF(AND($F90="Produit Vente",DR90&gt;0),VLOOKUP($C90,'[1]Paramètres Articles'!$B:$H,6,FALSE)*$DR90)*(1-15%)),0)</f>
        <v/>
      </c>
      <c r="DU90" s="20">
        <f>IFERROR(DQ90*J90,0)</f>
        <v/>
      </c>
    </row>
    <row r="91" outlineLevel="1" collapsed="1" ht="12.95" customHeight="1">
      <c r="B91" s="1">
        <f>IF(C91="",0,COUNTIFS($B$22:B90,"&gt;"&amp;0)+1)</f>
        <v/>
      </c>
      <c r="C91" s="90" t="inlineStr">
        <is>
          <t>PRESENTOIR REGE</t>
        </is>
      </c>
      <c r="D91" s="91">
        <f>IFERROR(IF($C91="","",VLOOKUP($C91,'[1]Paramètres Articles'!$B:$G,2,FALSE)),"Non Trouvé")</f>
        <v/>
      </c>
      <c r="E91" s="92">
        <f>IFERROR(IF($C91="","",_xlfn.XLOOKUP(REGENERANTS!$C91,'[1]New Base PA'!$F:$F,'[1]New Base PA'!$D:$D,"Not Found",0)),"Non Trouvé")</f>
        <v/>
      </c>
      <c r="F91" s="93" t="inlineStr">
        <is>
          <t>PLV (PDC ou autre)</t>
        </is>
      </c>
      <c r="H91" s="94" t="n">
        <v>1</v>
      </c>
      <c r="J91" s="95">
        <f>IFERROR(IF($C91="","",VLOOKUP($C91,'[1]New Base PA'!$F:$J,5,FALSE)),"Non Trouvé")</f>
        <v/>
      </c>
      <c r="K91" s="95">
        <f>IFERROR(IF($C91="","",$J91*$H91),"Non Trouvé")</f>
        <v/>
      </c>
      <c r="L91" s="96" t="n"/>
      <c r="M91" s="170">
        <f>IFERROR(IF(AND($F91="Produit Vente",H91&gt;0),VLOOKUP($C91,'[1]Paramètres Articles'!$B:$G,6,FALSE),0),"Non Trouvé")</f>
        <v/>
      </c>
      <c r="N91" s="170">
        <f>IFERROR(IF($C91="","",$M91*$H91),"Non Trouvé")</f>
        <v/>
      </c>
      <c r="P91" s="97" t="n"/>
      <c r="R91" s="95">
        <f>IFERROR(IF($C91="","",$N91*(1-$P91)),"Non Trouvé")</f>
        <v/>
      </c>
      <c r="S91" s="96" t="n"/>
      <c r="T91" s="95">
        <f>IFERROR(IF($C91="","",VLOOKUP($C91,'[1]Paramètres Articles'!$B:$H,7,FALSE)),"Non Trouvé")</f>
        <v/>
      </c>
      <c r="U91" s="98" t="n"/>
      <c r="V91" s="95">
        <f>IFERROR(IF($C91="","",IF($P91="","",$T91*(1-$P91))),"Non Trouvé")</f>
        <v/>
      </c>
      <c r="W91" s="96" t="n"/>
      <c r="X91" s="95">
        <f>IFERROR(T91-V91,"")</f>
        <v/>
      </c>
      <c r="Y91" s="96" t="n"/>
      <c r="Z91" s="95">
        <f>IFERROR(IF(OR(T91=0,T91=""),0,T91*H91),"Non Trouvé")</f>
        <v/>
      </c>
      <c r="AB91" s="99">
        <f>AB89</f>
        <v/>
      </c>
      <c r="AC91" s="99">
        <f>AC89</f>
        <v/>
      </c>
      <c r="AD91" s="95">
        <f>IFERROR(IF($C91="","",IF($P$15="Cascade",$R91*(1-AC91)*AB91,IF($P$15="Additionnelle",($N91-($N91*($P91+AC91)))*AB91))),"Non Trouvé")</f>
        <v/>
      </c>
      <c r="AG91" s="99">
        <f>AG89</f>
        <v/>
      </c>
      <c r="AH91" s="99">
        <f>AH89</f>
        <v/>
      </c>
      <c r="AI91" s="95">
        <f>IFERROR(IF($C91="","",IF($P$15="Cascade",$R91*(1-AH91)*AG91,IF($P$15="Additionnelle",($N91-($N91*($P91+AH91)))*AG91))),"Non Trouvé")</f>
        <v/>
      </c>
      <c r="AL91" s="99">
        <f>AL89</f>
        <v/>
      </c>
      <c r="AM91" s="99">
        <f>AM89</f>
        <v/>
      </c>
      <c r="AN91" s="95">
        <f>IFERROR(IF($C91="","",IF($P$15="Cascade",$R91*(1-AM91)*AL91,IF($P$15="Additionnelle",($N91-($N91*($P91+AM91)))*AL91))),"Non Trouvé")</f>
        <v/>
      </c>
      <c r="AQ91" s="99">
        <f>AQ89</f>
        <v/>
      </c>
      <c r="AR91" s="99">
        <f>AR89</f>
        <v/>
      </c>
      <c r="AS91" s="95">
        <f>IFERROR(IF($C91="","",IF($P$15="Cascade",$R91*(1-AR91)*AQ91,IF($P$15="Additionnelle",($N91-($N91*($P91+AR91)))*AQ91))),"Non Trouvé")</f>
        <v/>
      </c>
      <c r="AV91" s="99">
        <f>AV89</f>
        <v/>
      </c>
      <c r="AW91" s="99">
        <f>AW89</f>
        <v/>
      </c>
      <c r="AX91" s="95">
        <f>IFERROR(IF($C91="","",IF($P$15="Cascade",$R91*(1-AW91)*AV91,IF($P$15="Additionnelle",($N91-($N91*($P91+AW91)))*AV91))),"Non Trouvé")</f>
        <v/>
      </c>
      <c r="BA91" s="99">
        <f>BA89</f>
        <v/>
      </c>
      <c r="BB91" s="99">
        <f>BB89</f>
        <v/>
      </c>
      <c r="BC91" s="95">
        <f>IFERROR(IF($C91="","",IF($P$15="Cascade",$R91*(1-BB91)*BA91,IF($P$15="Additionnelle",($N91-($N91*($P91+BB91)))*BA91))),"Non Trouvé")</f>
        <v/>
      </c>
      <c r="BF91" s="99">
        <f>BF89</f>
        <v/>
      </c>
      <c r="BG91" s="99">
        <f>BG89</f>
        <v/>
      </c>
      <c r="BH91" s="95">
        <f>IFERROR(IF($C91="","",IF($P$15="Cascade",$R91*(1-BG91)*BF91,IF($P$15="Additionnelle",($N91-($N91*($P91+BG91)))*BF91))),"Non Trouvé")</f>
        <v/>
      </c>
      <c r="BK91" s="99">
        <f>BK89</f>
        <v/>
      </c>
      <c r="BL91" s="99">
        <f>BL89</f>
        <v/>
      </c>
      <c r="BM91" s="95">
        <f>IFERROR(IF($C91="","",IF($P$15="Cascade",$R91*(1-BL91)*BK91,IF($P$15="Additionnelle",($N91-($N91*($P91+BL91)))*BK91))),"Non Trouvé")</f>
        <v/>
      </c>
      <c r="BP91" s="99">
        <f>BP89</f>
        <v/>
      </c>
      <c r="BQ91" s="99">
        <f>BQ89</f>
        <v/>
      </c>
      <c r="BR91" s="95">
        <f>IFERROR(IF($C91="","",IF($P$15="Cascade",$R91*(1-BQ91)*BP91,IF($P$15="Additionnelle",($N91-($N91*($P91+BQ91)))*BP91))),"Non Trouvé")</f>
        <v/>
      </c>
      <c r="BU91" s="99">
        <f>BU89</f>
        <v/>
      </c>
      <c r="BV91" s="99">
        <f>BV89</f>
        <v/>
      </c>
      <c r="BW91" s="95">
        <f>IFERROR(IF($C91="","",IF($P$15="Cascade",$R91*(1-BV91)*BU91,IF($P$15="Additionnelle",($N91-($N91*($P91+BV91)))*BU91))),"Non Trouvé")</f>
        <v/>
      </c>
      <c r="BZ91" s="99">
        <f>BZ89</f>
        <v/>
      </c>
      <c r="CA91" s="99">
        <f>CA89</f>
        <v/>
      </c>
      <c r="CB91" s="95">
        <f>IFERROR(IF($C91="","",IF($P$15="Cascade",$R91*(1-CA91)*BZ91,IF($P$15="Additionnelle",($N91-($N91*($P91+CA91)))*BZ91))),"Non Trouvé")</f>
        <v/>
      </c>
      <c r="CE91" s="100" t="n"/>
      <c r="CF91" s="101" t="n"/>
      <c r="CG91" s="102" t="inlineStr">
        <is>
          <t>CA</t>
        </is>
      </c>
      <c r="CH91" s="139">
        <f>SUMIFS($AB75:$AT75,$AB72:$AT72,CG91)+SUMIFS($BZ75:$CC75,$BZ72:$CC72,CG91)</f>
        <v/>
      </c>
      <c r="CI91" s="103" t="n"/>
      <c r="CK91" s="104">
        <f>IFERROR(IF(F91='[1]Paramètres Généraux'!$K$12,ROUNDUP((REGENERANTS!H91*REGENERANTS!$CF$75)*'[1]Paramètres Généraux'!$M$12,-1),IF(F91='[1]Paramètres Généraux'!$K$15,ROUNDUP((REGENERANTS!H91*REGENERANTS!$CF$75)*'[1]Paramètres Généraux'!$M$15,-1),REGENERANTS!H91*REGENERANTS!$CF$75)),"nd")</f>
        <v/>
      </c>
      <c r="CN91" s="105" t="n"/>
      <c r="CO91" s="106" t="n"/>
      <c r="CP91" s="106" t="n"/>
      <c r="CQ91" s="106" t="n"/>
      <c r="CR91" s="106" t="n"/>
      <c r="CS91" s="178" t="n"/>
      <c r="CT91" s="179" t="n"/>
      <c r="CU91" s="106" t="n"/>
      <c r="CV91" s="178" t="n"/>
      <c r="CW91" s="111" t="n"/>
      <c r="CX91" s="112" t="n"/>
      <c r="CY91" s="111" t="n"/>
      <c r="CZ91" s="109" t="n"/>
      <c r="DA91" s="112" t="n"/>
      <c r="DB91" s="111" t="n"/>
      <c r="DC91" s="109" t="n"/>
      <c r="DD91" s="112" t="n"/>
      <c r="DE91" s="111" t="n"/>
      <c r="DF91" s="109" t="n"/>
      <c r="DG91" s="109" t="n"/>
      <c r="DH91" s="109" t="n"/>
      <c r="DI91" s="109" t="n"/>
      <c r="DJ91" s="109" t="n"/>
      <c r="DK91" s="109" t="n"/>
      <c r="DL91" s="109" t="n"/>
      <c r="DM91" s="109" t="n"/>
      <c r="DN91" s="109" t="n"/>
      <c r="DO91" s="112" t="n"/>
      <c r="DP91" s="111" t="n"/>
      <c r="DQ91" s="20">
        <f>SUM(CN91:DP91)</f>
        <v/>
      </c>
      <c r="DR91" s="20">
        <f>SUM(CV91:DP91)</f>
        <v/>
      </c>
      <c r="DS91" s="20">
        <f>IFERROR((IF(AND($F91="Produit Vente",CO91&gt;0),VLOOKUP($C91,'[1]Paramètres Articles'!$B:$H,7,FALSE)*$CO91)*(1-20%)),0)</f>
        <v/>
      </c>
      <c r="DT91" s="20">
        <f>IFERROR((IF(AND($F91="Produit Vente",DR91&gt;0),VLOOKUP($C91,'[1]Paramètres Articles'!$B:$H,6,FALSE)*$DR91)*(1-15%)),0)</f>
        <v/>
      </c>
      <c r="DU91" s="20">
        <f>IFERROR(DQ91*J91,0)</f>
        <v/>
      </c>
    </row>
    <row r="92" outlineLevel="1" collapsed="1" ht="12.95" customHeight="1">
      <c r="B92" s="1">
        <f>IF(C92="",0,COUNTIFS($B$22:B91,"&gt;"&amp;0)+1)</f>
        <v/>
      </c>
      <c r="C92" s="90" t="n">
        <v>3020202</v>
      </c>
      <c r="D92" s="91">
        <f>IFERROR(IF($C92="","",VLOOKUP($C92,'[1]Paramètres Articles'!$B:$G,2,FALSE)),"Non Trouvé")</f>
        <v/>
      </c>
      <c r="E92" s="92">
        <f>IFERROR(IF($C92="","",_xlfn.XLOOKUP(REGENERANTS!$C92,'[1]New Base PA'!$F:$F,'[1]New Base PA'!$D:$D,"Not Found",0)),"Non Trouvé")</f>
        <v/>
      </c>
      <c r="F92" s="93" t="inlineStr">
        <is>
          <t>Testeur</t>
        </is>
      </c>
      <c r="H92" s="94" t="n">
        <v>1</v>
      </c>
      <c r="J92" s="95">
        <f>IFERROR(IF($C92="","",VLOOKUP($C92,'[1]New Base PA'!$F:$J,5,FALSE)),"Non Trouvé")</f>
        <v/>
      </c>
      <c r="K92" s="95">
        <f>IFERROR(IF($C92="","",$J92*$H92),"Non Trouvé")</f>
        <v/>
      </c>
      <c r="L92" s="96" t="n"/>
      <c r="M92" s="170">
        <f>IFERROR(IF(AND($F92="Produit Vente",H92&gt;0),VLOOKUP($C92,'[1]Paramètres Articles'!$B:$G,6,FALSE),0),"Non Trouvé")</f>
        <v/>
      </c>
      <c r="N92" s="170">
        <f>IFERROR(IF($C92="","",$M92*$H92),"Non Trouvé")</f>
        <v/>
      </c>
      <c r="P92" s="97" t="n"/>
      <c r="R92" s="95">
        <f>IFERROR(IF($C92="","",$N92*(1-$P92)),"Non Trouvé")</f>
        <v/>
      </c>
      <c r="S92" s="96" t="n"/>
      <c r="T92" s="95">
        <f>IFERROR(IF($C92="","",VLOOKUP($C92,'[1]Paramètres Articles'!$B:$H,7,FALSE)),"Non Trouvé")</f>
        <v/>
      </c>
      <c r="U92" s="98" t="n"/>
      <c r="V92" s="95">
        <f>IFERROR(IF($C92="","",IF($P92="","",$T92*(1-$P92))),"Non Trouvé")</f>
        <v/>
      </c>
      <c r="W92" s="96" t="n"/>
      <c r="X92" s="95">
        <f>IFERROR(T92-V92,"")</f>
        <v/>
      </c>
      <c r="Y92" s="96" t="n"/>
      <c r="Z92" s="95">
        <f>IFERROR(IF(OR(T92=0,T92=""),0,T92*H92),"Non Trouvé")</f>
        <v/>
      </c>
      <c r="AB92" s="99">
        <f>AB91</f>
        <v/>
      </c>
      <c r="AC92" s="99">
        <f>AC91</f>
        <v/>
      </c>
      <c r="AD92" s="95">
        <f>IFERROR(IF($C92="","",IF($P$15="Cascade",$R92*(1-AC92)*AB92,IF($P$15="Additionnelle",($N92-($N92*($P92+AC92)))*AB92))),"Non Trouvé")</f>
        <v/>
      </c>
      <c r="AG92" s="99">
        <f>AG91</f>
        <v/>
      </c>
      <c r="AH92" s="99">
        <f>AH91</f>
        <v/>
      </c>
      <c r="AI92" s="95">
        <f>IFERROR(IF($C92="","",IF($P$15="Cascade",$R92*(1-AH92)*AG92,IF($P$15="Additionnelle",($N92-($N92*($P92+AH92)))*AG92))),"Non Trouvé")</f>
        <v/>
      </c>
      <c r="AL92" s="99">
        <f>AL91</f>
        <v/>
      </c>
      <c r="AM92" s="99">
        <f>AM91</f>
        <v/>
      </c>
      <c r="AN92" s="95">
        <f>IFERROR(IF($C92="","",IF($P$15="Cascade",$R92*(1-AM92)*AL92,IF($P$15="Additionnelle",($N92-($N92*($P92+AM92)))*AL92))),"Non Trouvé")</f>
        <v/>
      </c>
      <c r="AQ92" s="99">
        <f>AQ91</f>
        <v/>
      </c>
      <c r="AR92" s="99">
        <f>AR91</f>
        <v/>
      </c>
      <c r="AS92" s="95">
        <f>IFERROR(IF($C92="","",IF($P$15="Cascade",$R92*(1-AR92)*AQ92,IF($P$15="Additionnelle",($N92-($N92*($P92+AR92)))*AQ92))),"Non Trouvé")</f>
        <v/>
      </c>
      <c r="AV92" s="99">
        <f>AV91</f>
        <v/>
      </c>
      <c r="AW92" s="99">
        <f>AW91</f>
        <v/>
      </c>
      <c r="AX92" s="95">
        <f>IFERROR(IF($C92="","",IF($P$15="Cascade",$R92*(1-AW92)*AV92,IF($P$15="Additionnelle",($N92-($N92*($P92+AW92)))*AV92))),"Non Trouvé")</f>
        <v/>
      </c>
      <c r="BA92" s="99">
        <f>BA91</f>
        <v/>
      </c>
      <c r="BB92" s="99">
        <f>BB91</f>
        <v/>
      </c>
      <c r="BC92" s="95">
        <f>IFERROR(IF($C92="","",IF($P$15="Cascade",$R92*(1-BB92)*BA92,IF($P$15="Additionnelle",($N92-($N92*($P92+BB92)))*BA92))),"Non Trouvé")</f>
        <v/>
      </c>
      <c r="BF92" s="99">
        <f>BF91</f>
        <v/>
      </c>
      <c r="BG92" s="99">
        <f>BG91</f>
        <v/>
      </c>
      <c r="BH92" s="95">
        <f>IFERROR(IF($C92="","",IF($P$15="Cascade",$R92*(1-BG92)*BF92,IF($P$15="Additionnelle",($N92-($N92*($P92+BG92)))*BF92))),"Non Trouvé")</f>
        <v/>
      </c>
      <c r="BK92" s="99">
        <f>BK91</f>
        <v/>
      </c>
      <c r="BL92" s="99">
        <f>BL91</f>
        <v/>
      </c>
      <c r="BM92" s="95">
        <f>IFERROR(IF($C92="","",IF($P$15="Cascade",$R92*(1-BL92)*BK92,IF($P$15="Additionnelle",($N92-($N92*($P92+BL92)))*BK92))),"Non Trouvé")</f>
        <v/>
      </c>
      <c r="BP92" s="99">
        <f>BP91</f>
        <v/>
      </c>
      <c r="BQ92" s="99">
        <f>BQ91</f>
        <v/>
      </c>
      <c r="BR92" s="95">
        <f>IFERROR(IF($C92="","",IF($P$15="Cascade",$R92*(1-BQ92)*BP92,IF($P$15="Additionnelle",($N92-($N92*($P92+BQ92)))*BP92))),"Non Trouvé")</f>
        <v/>
      </c>
      <c r="BU92" s="99">
        <f>BU91</f>
        <v/>
      </c>
      <c r="BV92" s="99">
        <f>BV91</f>
        <v/>
      </c>
      <c r="BW92" s="95">
        <f>IFERROR(IF($C92="","",IF($P$15="Cascade",$R92*(1-BV92)*BU92,IF($P$15="Additionnelle",($N92-($N92*($P92+BV92)))*BU92))),"Non Trouvé")</f>
        <v/>
      </c>
      <c r="BZ92" s="99">
        <f>BZ91</f>
        <v/>
      </c>
      <c r="CA92" s="99">
        <f>CA91</f>
        <v/>
      </c>
      <c r="CB92" s="95">
        <f>IFERROR(IF($C92="","",IF($P$15="Cascade",$R92*(1-CA92)*BZ92,IF($P$15="Additionnelle",($N92-($N92*($P92+CA92)))*BZ92))),"Non Trouvé")</f>
        <v/>
      </c>
      <c r="CE92" s="100" t="n"/>
      <c r="CF92" s="133" t="n"/>
      <c r="CG92" s="102" t="inlineStr">
        <is>
          <t>Marges</t>
        </is>
      </c>
      <c r="CH92" s="142">
        <f>IFERROR((CH91-$K75*CH90)/CH91,"Non Trouvé")</f>
        <v/>
      </c>
      <c r="CI92" s="103" t="n"/>
      <c r="CK92" s="104">
        <f>IFERROR(IF(F92='[1]Paramètres Généraux'!$K$12,ROUNDUP((REGENERANTS!H92*REGENERANTS!$CF$75)*'[1]Paramètres Généraux'!$M$12,-1),IF(F92='[1]Paramètres Généraux'!$K$15,ROUNDUP((REGENERANTS!H92*REGENERANTS!$CF$75)*'[1]Paramètres Généraux'!$M$15,-1),REGENERANTS!H92*REGENERANTS!$CF$75)),"nd")</f>
        <v/>
      </c>
      <c r="CN92" s="105" t="n"/>
      <c r="CO92" s="106" t="n"/>
      <c r="CP92" s="106" t="n"/>
      <c r="CQ92" s="106" t="n"/>
      <c r="CR92" s="106" t="n"/>
      <c r="CS92" s="178" t="n"/>
      <c r="CT92" s="179" t="n"/>
      <c r="CU92" s="106" t="n"/>
      <c r="CV92" s="178" t="n"/>
      <c r="CW92" s="111" t="n"/>
      <c r="CX92" s="112" t="n"/>
      <c r="CY92" s="111" t="n"/>
      <c r="CZ92" s="109" t="n"/>
      <c r="DA92" s="112" t="n"/>
      <c r="DB92" s="111" t="n"/>
      <c r="DC92" s="109" t="n"/>
      <c r="DD92" s="112" t="n"/>
      <c r="DE92" s="111" t="n"/>
      <c r="DF92" s="109" t="n"/>
      <c r="DG92" s="109" t="n"/>
      <c r="DH92" s="109" t="n"/>
      <c r="DI92" s="109" t="n"/>
      <c r="DJ92" s="109" t="n"/>
      <c r="DK92" s="109" t="n"/>
      <c r="DL92" s="109" t="n"/>
      <c r="DM92" s="109" t="n"/>
      <c r="DN92" s="109" t="n"/>
      <c r="DO92" s="112" t="n"/>
      <c r="DP92" s="111" t="n"/>
      <c r="DQ92" s="20">
        <f>SUM(CN92:DP92)</f>
        <v/>
      </c>
      <c r="DR92" s="20">
        <f>SUM(CV92:DP92)</f>
        <v/>
      </c>
      <c r="DS92" s="20">
        <f>IFERROR((IF(AND($F92="Produit Vente",CO92&gt;0),VLOOKUP($C92,'[1]Paramètres Articles'!$B:$H,7,FALSE)*$CO92)*(1-20%)),0)</f>
        <v/>
      </c>
      <c r="DT92" s="20">
        <f>IFERROR((IF(AND($F92="Produit Vente",DR92&gt;0),VLOOKUP($C92,'[1]Paramètres Articles'!$B:$H,6,FALSE)*$DR92)*(1-15%)),0)</f>
        <v/>
      </c>
      <c r="DU92" s="20">
        <f>IFERROR(DQ92*J92,0)</f>
        <v/>
      </c>
    </row>
    <row r="93" outlineLevel="1" collapsed="1" ht="12.95" customHeight="1">
      <c r="B93" s="1">
        <f>IF(C93="",0,COUNTIFS($B$22:B92,"&gt;"&amp;0)+1)</f>
        <v/>
      </c>
      <c r="C93" s="90" t="n">
        <v>3020301</v>
      </c>
      <c r="D93" s="91">
        <f>IFERROR(IF($C93="","",VLOOKUP($C93,'[1]Paramètres Articles'!$B:$G,2,FALSE)),"Non Trouvé")</f>
        <v/>
      </c>
      <c r="E93" s="92">
        <f>IFERROR(IF($C93="","",_xlfn.XLOOKUP(REGENERANTS!$C93,'[1]New Base PA'!$F:$F,'[1]New Base PA'!$D:$D,"Not Found",0)),"Non Trouvé")</f>
        <v/>
      </c>
      <c r="F93" s="93" t="inlineStr">
        <is>
          <t>Testeur</t>
        </is>
      </c>
      <c r="H93" s="94" t="n">
        <v>1</v>
      </c>
      <c r="J93" s="95">
        <f>IFERROR(IF($C93="","",VLOOKUP($C93,'[1]New Base PA'!$F:$J,5,FALSE)),"Non Trouvé")</f>
        <v/>
      </c>
      <c r="K93" s="95">
        <f>IFERROR(IF($C93="","",$J93*$H93),"Non Trouvé")</f>
        <v/>
      </c>
      <c r="L93" s="96" t="n"/>
      <c r="M93" s="170">
        <f>IFERROR(IF(AND($F93="Produit Vente",H93&gt;0),VLOOKUP($C93,'[1]Paramètres Articles'!$B:$G,6,FALSE),0),"Non Trouvé")</f>
        <v/>
      </c>
      <c r="N93" s="170" t="n"/>
      <c r="P93" s="97" t="n"/>
      <c r="R93" s="95" t="n"/>
      <c r="S93" s="96" t="n"/>
      <c r="T93" s="95">
        <f>IFERROR(IF($C93="","",VLOOKUP($C93,'[1]Paramètres Articles'!$B:$H,7,FALSE)),"Non Trouvé")</f>
        <v/>
      </c>
      <c r="U93" s="98" t="n"/>
      <c r="V93" s="95">
        <f>IFERROR(IF($C93="","",IF($P93="","",$T93*(1-$P93))),"Non Trouvé")</f>
        <v/>
      </c>
      <c r="W93" s="96" t="n"/>
      <c r="X93" s="95">
        <f>IFERROR(T93-V93,"")</f>
        <v/>
      </c>
      <c r="Y93" s="96" t="n"/>
      <c r="Z93" s="95">
        <f>IFERROR(IF(OR(T93=0,T93=""),0,T93*H93),"Non Trouvé")</f>
        <v/>
      </c>
      <c r="AB93" s="99">
        <f>AB91</f>
        <v/>
      </c>
      <c r="AC93" s="99">
        <f>AC91</f>
        <v/>
      </c>
      <c r="AD93" s="95">
        <f>IFERROR(IF($C93="","",IF($P$15="Cascade",$R93*(1-AC93)*AB93,IF($P$15="Additionnelle",($N93-($N93*($P93+AC93)))*AB93))),"Non Trouvé")</f>
        <v/>
      </c>
      <c r="AG93" s="99">
        <f>AG91</f>
        <v/>
      </c>
      <c r="AH93" s="99">
        <f>AH91</f>
        <v/>
      </c>
      <c r="AI93" s="95">
        <f>IFERROR(IF($C93="","",IF($P$15="Cascade",$R93*(1-AH93)*AG93,IF($P$15="Additionnelle",($N93-($N93*($P93+AH93)))*AG93))),"Non Trouvé")</f>
        <v/>
      </c>
      <c r="AL93" s="99">
        <f>AL91</f>
        <v/>
      </c>
      <c r="AM93" s="99">
        <f>AM91</f>
        <v/>
      </c>
      <c r="AN93" s="95">
        <f>IFERROR(IF($C93="","",IF($P$15="Cascade",$R93*(1-AM93)*AL93,IF($P$15="Additionnelle",($N93-($N93*($P93+AM93)))*AL93))),"Non Trouvé")</f>
        <v/>
      </c>
      <c r="AQ93" s="99">
        <f>AQ91</f>
        <v/>
      </c>
      <c r="AR93" s="99">
        <f>AR91</f>
        <v/>
      </c>
      <c r="AS93" s="95">
        <f>IFERROR(IF($C93="","",IF($P$15="Cascade",$R93*(1-AR93)*AQ93,IF($P$15="Additionnelle",($N93-($N93*($P93+AR93)))*AQ93))),"Non Trouvé")</f>
        <v/>
      </c>
      <c r="AV93" s="99">
        <f>AV91</f>
        <v/>
      </c>
      <c r="AW93" s="99">
        <f>AW91</f>
        <v/>
      </c>
      <c r="AX93" s="95">
        <f>IFERROR(IF($C93="","",IF($P$15="Cascade",$R93*(1-AW93)*AV93,IF($P$15="Additionnelle",($N93-($N93*($P93+AW93)))*AV93))),"Non Trouvé")</f>
        <v/>
      </c>
      <c r="BA93" s="99">
        <f>BA91</f>
        <v/>
      </c>
      <c r="BB93" s="99">
        <f>BB91</f>
        <v/>
      </c>
      <c r="BC93" s="95">
        <f>IFERROR(IF($C93="","",IF($P$15="Cascade",$R93*(1-BB93)*BA93,IF($P$15="Additionnelle",($N93-($N93*($P93+BB93)))*BA93))),"Non Trouvé")</f>
        <v/>
      </c>
      <c r="BF93" s="99">
        <f>BF91</f>
        <v/>
      </c>
      <c r="BG93" s="99">
        <f>BG91</f>
        <v/>
      </c>
      <c r="BH93" s="95">
        <f>IFERROR(IF($C93="","",IF($P$15="Cascade",$R93*(1-BG93)*BF93,IF($P$15="Additionnelle",($N93-($N93*($P93+BG93)))*BF93))),"Non Trouvé")</f>
        <v/>
      </c>
      <c r="BK93" s="99">
        <f>BK91</f>
        <v/>
      </c>
      <c r="BL93" s="99">
        <f>BL91</f>
        <v/>
      </c>
      <c r="BM93" s="95">
        <f>IFERROR(IF($C93="","",IF($P$15="Cascade",$R93*(1-BL93)*BK93,IF($P$15="Additionnelle",($N93-($N93*($P93+BL93)))*BK93))),"Non Trouvé")</f>
        <v/>
      </c>
      <c r="BP93" s="99">
        <f>BP91</f>
        <v/>
      </c>
      <c r="BQ93" s="99">
        <f>BQ91</f>
        <v/>
      </c>
      <c r="BR93" s="95">
        <f>IFERROR(IF($C93="","",IF($P$15="Cascade",$R93*(1-BQ93)*BP93,IF($P$15="Additionnelle",($N93-($N93*($P93+BQ93)))*BP93))),"Non Trouvé")</f>
        <v/>
      </c>
      <c r="BU93" s="99">
        <f>BU91</f>
        <v/>
      </c>
      <c r="BV93" s="99">
        <f>BV91</f>
        <v/>
      </c>
      <c r="BW93" s="95">
        <f>IFERROR(IF($C93="","",IF($P$15="Cascade",$R93*(1-BV93)*BU93,IF($P$15="Additionnelle",($N93-($N93*($P93+BV93)))*BU93))),"Non Trouvé")</f>
        <v/>
      </c>
      <c r="BZ93" s="99">
        <f>BZ91</f>
        <v/>
      </c>
      <c r="CA93" s="99">
        <f>CA91</f>
        <v/>
      </c>
      <c r="CB93" s="95">
        <f>IFERROR(IF($C93="","",IF($P$15="Cascade",$R93*(1-CA93)*BZ93,IF($P$15="Additionnelle",($N93-($N93*($P93+CA93)))*BZ93))),"Non Trouvé")</f>
        <v/>
      </c>
      <c r="CE93" s="100" t="n"/>
      <c r="CF93" s="102" t="n"/>
      <c r="CG93" s="102" t="inlineStr">
        <is>
          <t>Marges €</t>
        </is>
      </c>
      <c r="CH93" s="139">
        <f>IFERROR(CH91*CH92,0)</f>
        <v/>
      </c>
      <c r="CI93" s="103" t="n"/>
      <c r="CK93" s="104">
        <f>IFERROR(IF(F93='[1]Paramètres Généraux'!$K$12,ROUNDUP((REGENERANTS!H93*REGENERANTS!$CF$75)*'[1]Paramètres Généraux'!$M$12,-1),IF(F93='[1]Paramètres Généraux'!$K$15,ROUNDUP((REGENERANTS!H93*REGENERANTS!$CF$75)*'[1]Paramètres Généraux'!$M$15,-1),REGENERANTS!H93*REGENERANTS!$CF$75)),"nd")</f>
        <v/>
      </c>
      <c r="CN93" s="105" t="n"/>
      <c r="CO93" s="106" t="n"/>
      <c r="CP93" s="106" t="n"/>
      <c r="CQ93" s="106" t="n"/>
      <c r="CR93" s="106" t="n"/>
      <c r="CS93" s="178" t="n"/>
      <c r="CT93" s="179" t="n"/>
      <c r="CU93" s="106" t="n"/>
      <c r="CV93" s="178" t="n"/>
      <c r="CW93" s="111" t="n"/>
      <c r="CX93" s="112" t="n"/>
      <c r="CY93" s="111" t="n"/>
      <c r="CZ93" s="109" t="n"/>
      <c r="DA93" s="112" t="n"/>
      <c r="DB93" s="111" t="n"/>
      <c r="DC93" s="109" t="n"/>
      <c r="DD93" s="112" t="n"/>
      <c r="DE93" s="111" t="n"/>
      <c r="DF93" s="109" t="n"/>
      <c r="DG93" s="109" t="n"/>
      <c r="DH93" s="109" t="n"/>
      <c r="DI93" s="109" t="n"/>
      <c r="DJ93" s="109" t="n"/>
      <c r="DK93" s="109" t="n"/>
      <c r="DL93" s="109" t="n"/>
      <c r="DM93" s="109" t="n"/>
      <c r="DN93" s="109" t="n"/>
      <c r="DO93" s="112" t="n"/>
      <c r="DP93" s="111" t="n"/>
      <c r="DQ93" s="20">
        <f>SUM(CN93:DP93)</f>
        <v/>
      </c>
      <c r="DR93" s="20">
        <f>SUM(CV93:DP93)</f>
        <v/>
      </c>
      <c r="DS93" s="20">
        <f>IFERROR((IF(AND($F93="Produit Vente",CO93&gt;0),VLOOKUP($C93,'[1]Paramètres Articles'!$B:$H,7,FALSE)*$CO93)*(1-20%)),0)</f>
        <v/>
      </c>
      <c r="DT93" s="20">
        <f>IFERROR((IF(AND($F93="Produit Vente",DR93&gt;0),VLOOKUP($C93,'[1]Paramètres Articles'!$B:$H,6,FALSE)*$DR93)*(1-15%)),0)</f>
        <v/>
      </c>
      <c r="DU93" s="20">
        <f>IFERROR(DQ93*J93,0)</f>
        <v/>
      </c>
    </row>
    <row r="94" outlineLevel="1" collapsed="1" ht="12.95" customHeight="1">
      <c r="B94" s="1">
        <f>IF(C94="",0,COUNTIFS($B$22:B93,"&gt;"&amp;0)+1)</f>
        <v/>
      </c>
      <c r="C94" s="90" t="n">
        <v>3020720</v>
      </c>
      <c r="D94" s="91">
        <f>IFERROR(IF($C94="","",VLOOKUP($C94,'[1]Paramètres Articles'!$B:$G,2,FALSE)),"Non Trouvé")</f>
        <v/>
      </c>
      <c r="E94" s="92">
        <f>IFERROR(IF($C94="","",_xlfn.XLOOKUP(REGENERANTS!$C94,'[1]New Base PA'!$F:$F,'[1]New Base PA'!$D:$D,"Not Found",0)),"Non Trouvé")</f>
        <v/>
      </c>
      <c r="F94" s="93" t="inlineStr">
        <is>
          <t>Testeur</t>
        </is>
      </c>
      <c r="H94" s="94" t="n">
        <v>1</v>
      </c>
      <c r="J94" s="95" t="n"/>
      <c r="K94" s="95" t="n"/>
      <c r="L94" s="96" t="n"/>
      <c r="M94" s="95">
        <f>IFERROR(IF(AND($F94="Produit Vente",H94&gt;0),VLOOKUP($C94,'[1]Paramètres Articles'!$B:$G,6,FALSE),0),"Non Trouvé")</f>
        <v/>
      </c>
      <c r="N94" s="95" t="n"/>
      <c r="P94" s="97" t="n"/>
      <c r="R94" s="95" t="n"/>
      <c r="S94" s="96" t="n"/>
      <c r="T94" s="95">
        <f>IFERROR(IF($C94="","",VLOOKUP($C94,'[1]Paramètres Articles'!$B:$H,7,FALSE)),"Non Trouvé")</f>
        <v/>
      </c>
      <c r="U94" s="98" t="n"/>
      <c r="V94" s="95">
        <f>IFERROR(IF($C94="","",IF($P94="","",$T94*(1-$P94))),"Non Trouvé")</f>
        <v/>
      </c>
      <c r="W94" s="96" t="n"/>
      <c r="X94" s="95">
        <f>IFERROR(T94-V94,"")</f>
        <v/>
      </c>
      <c r="Y94" s="96" t="n"/>
      <c r="Z94" s="95">
        <f>IFERROR(IF(OR(T94=0,T94=""),0,T94*H94),"Non Trouvé")</f>
        <v/>
      </c>
      <c r="AB94" s="99">
        <f>AB93</f>
        <v/>
      </c>
      <c r="AC94" s="99">
        <f>AC93</f>
        <v/>
      </c>
      <c r="AD94" s="95">
        <f>IFERROR(IF($C94="","",IF($P$15="Cascade",$R94*(1-AC94)*AB94,IF($P$15="Additionnelle",($N94-($N94*($P94+AC94)))*AB94))),"Non Trouvé")</f>
        <v/>
      </c>
      <c r="AG94" s="99">
        <f>AG93</f>
        <v/>
      </c>
      <c r="AH94" s="99">
        <f>AH93</f>
        <v/>
      </c>
      <c r="AI94" s="95">
        <f>IFERROR(IF($C94="","",IF($P$15="Cascade",$R94*(1-AH94)*AG94,IF($P$15="Additionnelle",($N94-($N94*($P94+AH94)))*AG94))),"Non Trouvé")</f>
        <v/>
      </c>
      <c r="AL94" s="99">
        <f>AL93</f>
        <v/>
      </c>
      <c r="AM94" s="99">
        <f>AM93</f>
        <v/>
      </c>
      <c r="AN94" s="95">
        <f>IFERROR(IF($C94="","",IF($P$15="Cascade",$R94*(1-AM94)*AL94,IF($P$15="Additionnelle",($N94-($N94*($P94+AM94)))*AL94))),"Non Trouvé")</f>
        <v/>
      </c>
      <c r="AQ94" s="99">
        <f>AQ93</f>
        <v/>
      </c>
      <c r="AR94" s="99">
        <f>AR93</f>
        <v/>
      </c>
      <c r="AS94" s="95">
        <f>IFERROR(IF($C94="","",IF($P$15="Cascade",$R94*(1-AR94)*AQ94,IF($P$15="Additionnelle",($N94-($N94*($P94+AR94)))*AQ94))),"Non Trouvé")</f>
        <v/>
      </c>
      <c r="AV94" s="99">
        <f>AV93</f>
        <v/>
      </c>
      <c r="AW94" s="99">
        <f>AW93</f>
        <v/>
      </c>
      <c r="AX94" s="95">
        <f>IFERROR(IF($C94="","",IF($P$15="Cascade",$R94*(1-AW94)*AV94,IF($P$15="Additionnelle",($N94-($N94*($P94+AW94)))*AV94))),"Non Trouvé")</f>
        <v/>
      </c>
      <c r="BA94" s="99">
        <f>BA93</f>
        <v/>
      </c>
      <c r="BB94" s="99">
        <f>BB93</f>
        <v/>
      </c>
      <c r="BC94" s="95">
        <f>IFERROR(IF($C94="","",IF($P$15="Cascade",$R94*(1-BB94)*BA94,IF($P$15="Additionnelle",($N94-($N94*($P94+BB94)))*BA94))),"Non Trouvé")</f>
        <v/>
      </c>
      <c r="BF94" s="99">
        <f>BF93</f>
        <v/>
      </c>
      <c r="BG94" s="99">
        <f>BG93</f>
        <v/>
      </c>
      <c r="BH94" s="95">
        <f>IFERROR(IF($C94="","",IF($P$15="Cascade",$R94*(1-BG94)*BF94,IF($P$15="Additionnelle",($N94-($N94*($P94+BG94)))*BF94))),"Non Trouvé")</f>
        <v/>
      </c>
      <c r="BK94" s="99">
        <f>BK93</f>
        <v/>
      </c>
      <c r="BL94" s="99">
        <f>BL93</f>
        <v/>
      </c>
      <c r="BM94" s="95">
        <f>IFERROR(IF($C94="","",IF($P$15="Cascade",$R94*(1-BL94)*BK94,IF($P$15="Additionnelle",($N94-($N94*($P94+BL94)))*BK94))),"Non Trouvé")</f>
        <v/>
      </c>
      <c r="BP94" s="99">
        <f>BP93</f>
        <v/>
      </c>
      <c r="BQ94" s="99">
        <f>BQ93</f>
        <v/>
      </c>
      <c r="BR94" s="95">
        <f>IFERROR(IF($C94="","",IF($P$15="Cascade",$R94*(1-BQ94)*BP94,IF($P$15="Additionnelle",($N94-($N94*($P94+BQ94)))*BP94))),"Non Trouvé")</f>
        <v/>
      </c>
      <c r="BU94" s="99">
        <f>BU93</f>
        <v/>
      </c>
      <c r="BV94" s="99">
        <f>BV93</f>
        <v/>
      </c>
      <c r="BW94" s="95">
        <f>IFERROR(IF($C94="","",IF($P$15="Cascade",$R94*(1-BV94)*BU94,IF($P$15="Additionnelle",($N94-($N94*($P94+BV94)))*BU94))),"Non Trouvé")</f>
        <v/>
      </c>
      <c r="BZ94" s="99">
        <f>BZ93</f>
        <v/>
      </c>
      <c r="CA94" s="99">
        <f>CA93</f>
        <v/>
      </c>
      <c r="CB94" s="95">
        <f>IFERROR(IF($C94="","",IF($P$15="Cascade",$R94*(1-CA94)*BZ94,IF($P$15="Additionnelle",($N94-($N94*($P94+CA94)))*BZ94))),"Non Trouvé")</f>
        <v/>
      </c>
      <c r="CE94" s="100" t="n"/>
      <c r="CF94" s="138" t="n"/>
      <c r="CG94" s="101" t="n"/>
      <c r="CH94" s="101" t="n"/>
      <c r="CI94" s="103" t="n"/>
      <c r="CK94" s="104">
        <f>IFERROR(IF(F94='[1]Paramètres Généraux'!$K$12,ROUNDUP((REGENERANTS!H94*REGENERANTS!$CF$75)*'[1]Paramètres Généraux'!$M$12,-1),IF(F94='[1]Paramètres Généraux'!$K$15,ROUNDUP((REGENERANTS!H94*REGENERANTS!$CF$75)*'[1]Paramètres Généraux'!$M$15,-1),REGENERANTS!H94*REGENERANTS!$CF$75)),"nd")</f>
        <v/>
      </c>
      <c r="CN94" s="105" t="n"/>
      <c r="CO94" s="106" t="n"/>
      <c r="CP94" s="106" t="n"/>
      <c r="CQ94" s="106" t="n"/>
      <c r="CR94" s="106" t="n"/>
      <c r="CS94" s="178" t="n"/>
      <c r="CT94" s="179" t="n"/>
      <c r="CU94" s="106" t="n"/>
      <c r="CV94" s="178" t="n"/>
      <c r="CW94" s="111" t="n"/>
      <c r="CX94" s="112" t="n"/>
      <c r="CY94" s="111" t="n"/>
      <c r="CZ94" s="109" t="n"/>
      <c r="DA94" s="112" t="n"/>
      <c r="DB94" s="111" t="n"/>
      <c r="DC94" s="109" t="n"/>
      <c r="DD94" s="112" t="n"/>
      <c r="DE94" s="111" t="n"/>
      <c r="DF94" s="109" t="n"/>
      <c r="DG94" s="109" t="n"/>
      <c r="DH94" s="109" t="n"/>
      <c r="DI94" s="109" t="n"/>
      <c r="DJ94" s="109" t="n"/>
      <c r="DK94" s="109" t="n"/>
      <c r="DL94" s="109" t="n"/>
      <c r="DM94" s="109" t="n"/>
      <c r="DN94" s="109" t="n"/>
      <c r="DO94" s="112" t="n"/>
      <c r="DP94" s="111" t="n"/>
      <c r="DQ94" s="20">
        <f>SUM(CN94:DP94)</f>
        <v/>
      </c>
      <c r="DR94" s="20">
        <f>SUM(CV94:DP94)</f>
        <v/>
      </c>
      <c r="DS94" s="20">
        <f>IFERROR((IF(AND($F94="Produit Vente",CO94&gt;0),VLOOKUP($C94,'[1]Paramètres Articles'!$B:$H,7,FALSE)*$CO94)*(1-20%)),0)</f>
        <v/>
      </c>
      <c r="DT94" s="20">
        <f>IFERROR((IF(AND($F94="Produit Vente",DR94&gt;0),VLOOKUP($C94,'[1]Paramètres Articles'!$B:$H,6,FALSE)*$DR94)*(1-15%)),0)</f>
        <v/>
      </c>
      <c r="DU94" s="20">
        <f>IFERROR(DQ94*J94,0)</f>
        <v/>
      </c>
    </row>
    <row r="95" outlineLevel="1" collapsed="1" ht="12.95" customHeight="1">
      <c r="B95" s="1">
        <f>IF(C95="",0,COUNTIFS($B$22:B94,"&gt;"&amp;0)+1)</f>
        <v/>
      </c>
      <c r="C95" s="90" t="n">
        <v>3020718</v>
      </c>
      <c r="D95" s="91">
        <f>IFERROR(IF($C95="","",VLOOKUP($C95,'[1]Paramètres Articles'!$B:$G,2,FALSE)),"Non Trouvé")</f>
        <v/>
      </c>
      <c r="E95" s="92">
        <f>IFERROR(IF($C95="","",_xlfn.XLOOKUP(REGENERANTS!$C95,'[1]New Base PA'!$F:$F,'[1]New Base PA'!$D:$D,"Not Found",0)),"Non Trouvé")</f>
        <v/>
      </c>
      <c r="F95" s="93" t="inlineStr">
        <is>
          <t>Testeur</t>
        </is>
      </c>
      <c r="H95" s="94" t="n">
        <v>1</v>
      </c>
      <c r="J95" s="95" t="n"/>
      <c r="K95" s="95" t="n"/>
      <c r="L95" s="96" t="n"/>
      <c r="M95" s="95">
        <f>IFERROR(IF(AND($F95="Produit Vente",H95&gt;0),VLOOKUP($C95,'[1]Paramètres Articles'!$B:$G,6,FALSE),0),"Non Trouvé")</f>
        <v/>
      </c>
      <c r="N95" s="95" t="n"/>
      <c r="P95" s="97" t="n"/>
      <c r="R95" s="95" t="n"/>
      <c r="S95" s="96" t="n"/>
      <c r="T95" s="95">
        <f>IFERROR(IF($C95="","",VLOOKUP($C95,'[1]Paramètres Articles'!$B:$H,7,FALSE)),"Non Trouvé")</f>
        <v/>
      </c>
      <c r="U95" s="98" t="n"/>
      <c r="V95" s="95">
        <f>IFERROR(IF($C95="","",IF($P95="","",$T95*(1-$P95))),"Non Trouvé")</f>
        <v/>
      </c>
      <c r="W95" s="96" t="n"/>
      <c r="X95" s="95">
        <f>IFERROR(T95-V95,"")</f>
        <v/>
      </c>
      <c r="Y95" s="96" t="n"/>
      <c r="Z95" s="95">
        <f>IFERROR(IF(OR(T95=0,T95=""),0,T95*H95),"Non Trouvé")</f>
        <v/>
      </c>
      <c r="AB95" s="99">
        <f>AB93</f>
        <v/>
      </c>
      <c r="AC95" s="99">
        <f>AC93</f>
        <v/>
      </c>
      <c r="AD95" s="95">
        <f>IFERROR(IF($C95="","",IF($P$15="Cascade",$R95*(1-AC95)*AB95,IF($P$15="Additionnelle",($N95-($N95*($P95+AC95)))*AB95))),"Non Trouvé")</f>
        <v/>
      </c>
      <c r="AG95" s="99">
        <f>AG93</f>
        <v/>
      </c>
      <c r="AH95" s="99">
        <f>AH93</f>
        <v/>
      </c>
      <c r="AI95" s="95">
        <f>IFERROR(IF($C95="","",IF($P$15="Cascade",$R95*(1-AH95)*AG95,IF($P$15="Additionnelle",($N95-($N95*($P95+AH95)))*AG95))),"Non Trouvé")</f>
        <v/>
      </c>
      <c r="AL95" s="99">
        <f>AL93</f>
        <v/>
      </c>
      <c r="AM95" s="99">
        <f>AM93</f>
        <v/>
      </c>
      <c r="AN95" s="95">
        <f>IFERROR(IF($C95="","",IF($P$15="Cascade",$R95*(1-AM95)*AL95,IF($P$15="Additionnelle",($N95-($N95*($P95+AM95)))*AL95))),"Non Trouvé")</f>
        <v/>
      </c>
      <c r="AQ95" s="99">
        <f>AQ93</f>
        <v/>
      </c>
      <c r="AR95" s="99">
        <f>AR93</f>
        <v/>
      </c>
      <c r="AS95" s="95">
        <f>IFERROR(IF($C95="","",IF($P$15="Cascade",$R95*(1-AR95)*AQ95,IF($P$15="Additionnelle",($N95-($N95*($P95+AR95)))*AQ95))),"Non Trouvé")</f>
        <v/>
      </c>
      <c r="AV95" s="99">
        <f>AV93</f>
        <v/>
      </c>
      <c r="AW95" s="99">
        <f>AW93</f>
        <v/>
      </c>
      <c r="AX95" s="95">
        <f>IFERROR(IF($C95="","",IF($P$15="Cascade",$R95*(1-AW95)*AV95,IF($P$15="Additionnelle",($N95-($N95*($P95+AW95)))*AV95))),"Non Trouvé")</f>
        <v/>
      </c>
      <c r="BA95" s="99">
        <f>BA93</f>
        <v/>
      </c>
      <c r="BB95" s="99">
        <f>BB93</f>
        <v/>
      </c>
      <c r="BC95" s="95">
        <f>IFERROR(IF($C95="","",IF($P$15="Cascade",$R95*(1-BB95)*BA95,IF($P$15="Additionnelle",($N95-($N95*($P95+BB95)))*BA95))),"Non Trouvé")</f>
        <v/>
      </c>
      <c r="BF95" s="99">
        <f>BF93</f>
        <v/>
      </c>
      <c r="BG95" s="99">
        <f>BG93</f>
        <v/>
      </c>
      <c r="BH95" s="95">
        <f>IFERROR(IF($C95="","",IF($P$15="Cascade",$R95*(1-BG95)*BF95,IF($P$15="Additionnelle",($N95-($N95*($P95+BG95)))*BF95))),"Non Trouvé")</f>
        <v/>
      </c>
      <c r="BK95" s="99">
        <f>BK93</f>
        <v/>
      </c>
      <c r="BL95" s="99">
        <f>BL93</f>
        <v/>
      </c>
      <c r="BM95" s="95">
        <f>IFERROR(IF($C95="","",IF($P$15="Cascade",$R95*(1-BL95)*BK95,IF($P$15="Additionnelle",($N95-($N95*($P95+BL95)))*BK95))),"Non Trouvé")</f>
        <v/>
      </c>
      <c r="BP95" s="99">
        <f>BP93</f>
        <v/>
      </c>
      <c r="BQ95" s="99">
        <f>BQ93</f>
        <v/>
      </c>
      <c r="BR95" s="95">
        <f>IFERROR(IF($C95="","",IF($P$15="Cascade",$R95*(1-BQ95)*BP95,IF($P$15="Additionnelle",($N95-($N95*($P95+BQ95)))*BP95))),"Non Trouvé")</f>
        <v/>
      </c>
      <c r="BU95" s="99">
        <f>BU93</f>
        <v/>
      </c>
      <c r="BV95" s="99">
        <f>BV93</f>
        <v/>
      </c>
      <c r="BW95" s="95">
        <f>IFERROR(IF($C95="","",IF($P$15="Cascade",$R95*(1-BV95)*BU95,IF($P$15="Additionnelle",($N95-($N95*($P95+BV95)))*BU95))),"Non Trouvé")</f>
        <v/>
      </c>
      <c r="BZ95" s="99">
        <f>BZ93</f>
        <v/>
      </c>
      <c r="CA95" s="99">
        <f>CA93</f>
        <v/>
      </c>
      <c r="CB95" s="95">
        <f>IFERROR(IF($C95="","",IF($P$15="Cascade",$R95*(1-CA95)*BZ95,IF($P$15="Additionnelle",($N95-($N95*($P95+CA95)))*BZ95))),"Non Trouvé")</f>
        <v/>
      </c>
      <c r="CE95" s="100" t="n"/>
      <c r="CF95" s="101" t="n"/>
      <c r="CG95" s="133" t="inlineStr">
        <is>
          <t>Institut</t>
        </is>
      </c>
      <c r="CH95" s="101" t="n"/>
      <c r="CI95" s="103" t="n"/>
      <c r="CK95" s="104">
        <f>IFERROR(IF(F95='[1]Paramètres Généraux'!$K$12,ROUNDUP((REGENERANTS!H95*REGENERANTS!$CF$75)*'[1]Paramètres Généraux'!$M$12,-1),IF(F95='[1]Paramètres Généraux'!$K$15,ROUNDUP((REGENERANTS!H95*REGENERANTS!$CF$75)*'[1]Paramètres Généraux'!$M$15,-1),REGENERANTS!H95*REGENERANTS!$CF$75)),"nd")</f>
        <v/>
      </c>
      <c r="CN95" s="105" t="n"/>
      <c r="CO95" s="106" t="n"/>
      <c r="CP95" s="106" t="n"/>
      <c r="CQ95" s="106" t="n"/>
      <c r="CR95" s="106" t="n"/>
      <c r="CS95" s="178" t="n"/>
      <c r="CT95" s="179" t="n"/>
      <c r="CU95" s="106" t="n"/>
      <c r="CV95" s="178" t="n"/>
      <c r="CW95" s="111" t="n"/>
      <c r="CX95" s="112" t="n"/>
      <c r="CY95" s="111" t="n"/>
      <c r="CZ95" s="109" t="n"/>
      <c r="DA95" s="112" t="n"/>
      <c r="DB95" s="111" t="n"/>
      <c r="DC95" s="109" t="n"/>
      <c r="DD95" s="112" t="n"/>
      <c r="DE95" s="111" t="n"/>
      <c r="DF95" s="109" t="n"/>
      <c r="DG95" s="109" t="n"/>
      <c r="DH95" s="109" t="n"/>
      <c r="DI95" s="109" t="n"/>
      <c r="DJ95" s="109" t="n"/>
      <c r="DK95" s="109" t="n"/>
      <c r="DL95" s="109" t="n"/>
      <c r="DM95" s="109" t="n"/>
      <c r="DN95" s="109" t="n"/>
      <c r="DO95" s="112" t="n"/>
      <c r="DP95" s="111" t="n"/>
      <c r="DQ95" s="20">
        <f>SUM(CN95:DP95)</f>
        <v/>
      </c>
      <c r="DR95" s="20">
        <f>SUM(CV95:DP95)</f>
        <v/>
      </c>
      <c r="DS95" s="20">
        <f>IFERROR((IF(AND($F95="Produit Vente",CO95&gt;0),VLOOKUP($C95,'[1]Paramètres Articles'!$B:$H,7,FALSE)*$CO95)*(1-20%)),0)</f>
        <v/>
      </c>
      <c r="DT95" s="20">
        <f>IFERROR((IF(AND($F95="Produit Vente",DR95&gt;0),VLOOKUP($C95,'[1]Paramètres Articles'!$B:$H,6,FALSE)*$DR95)*(1-15%)),0)</f>
        <v/>
      </c>
      <c r="DU95" s="20">
        <f>IFERROR(DQ95*J95,0)</f>
        <v/>
      </c>
    </row>
    <row r="96" outlineLevel="1" collapsed="1" ht="12.95" customHeight="1">
      <c r="B96" s="1">
        <f>IF(C96="",0,COUNTIFS($B$22:B95,"&gt;"&amp;0)+1)</f>
        <v/>
      </c>
      <c r="C96" s="90" t="inlineStr">
        <is>
          <t>SR REGE RETAIL 1</t>
        </is>
      </c>
      <c r="D96" s="91">
        <f>IFERROR(IF($C96="","",VLOOKUP($C96,'[1]Paramètres Articles'!$B:$G,2,FALSE)),"Non Trouvé")</f>
        <v/>
      </c>
      <c r="E96" s="92">
        <f>IFERROR(IF($C96="","",_xlfn.XLOOKUP(REGENERANTS!$C96,'[1]New Base PA'!$F:$F,'[1]New Base PA'!$D:$D,"Not Found",0)),"Non Trouvé")</f>
        <v/>
      </c>
      <c r="F96" s="93" t="inlineStr">
        <is>
          <t>PLV (PDC ou autre)</t>
        </is>
      </c>
      <c r="H96" s="94" t="n">
        <v>1</v>
      </c>
      <c r="J96" s="95">
        <f>IFERROR(IF($C96="","",VLOOKUP($C96,'[1]New Base PA'!$F:$J,5,FALSE)),"Non Trouvé")</f>
        <v/>
      </c>
      <c r="K96" s="95">
        <f>IFERROR(IF($C96="","",$J96*$H96),"Non Trouvé")</f>
        <v/>
      </c>
      <c r="L96" s="96" t="n"/>
      <c r="M96" s="95">
        <f>IFERROR(IF(AND($F96="Produit Vente",H96&gt;0),VLOOKUP($C96,'[1]Paramètres Articles'!$B:$G,6,FALSE),0),"Non Trouvé")</f>
        <v/>
      </c>
      <c r="N96" s="95">
        <f>IFERROR(IF($C96="","",$M96*$H96),"Non Trouvé")</f>
        <v/>
      </c>
      <c r="P96" s="97" t="n"/>
      <c r="R96" s="95">
        <f>IFERROR(IF($C96="","",$N96*(1-$P96)),"Non Trouvé")</f>
        <v/>
      </c>
      <c r="S96" s="96" t="n"/>
      <c r="T96" s="95">
        <f>IFERROR(IF($C96="","",VLOOKUP($C96,'[1]Paramètres Articles'!$B:$H,7,FALSE)),"Non Trouvé")</f>
        <v/>
      </c>
      <c r="U96" s="98" t="n"/>
      <c r="V96" s="95">
        <f>IFERROR(IF($C96="","",IF($P96="","",$T96*(1-$P96))),"Non Trouvé")</f>
        <v/>
      </c>
      <c r="W96" s="96" t="n"/>
      <c r="X96" s="95">
        <f>IFERROR(T96-V96,"")</f>
        <v/>
      </c>
      <c r="Y96" s="96" t="n"/>
      <c r="Z96" s="95">
        <f>IFERROR(IF(OR(T96=0,T96=""),0,T96*H96),"Non Trouvé")</f>
        <v/>
      </c>
      <c r="AB96" s="99">
        <f>AB95</f>
        <v/>
      </c>
      <c r="AC96" s="99">
        <f>AC95</f>
        <v/>
      </c>
      <c r="AD96" s="95">
        <f>IFERROR(IF($C96="","",IF($P$15="Cascade",$R96*(1-AC96)*AB96,IF($P$15="Additionnelle",($N96-($N96*($P96+AC96)))*AB96))),"Non Trouvé")</f>
        <v/>
      </c>
      <c r="AG96" s="99">
        <f>AG95</f>
        <v/>
      </c>
      <c r="AH96" s="99">
        <f>AH95</f>
        <v/>
      </c>
      <c r="AI96" s="95">
        <f>IFERROR(IF($C96="","",IF($P$15="Cascade",$R96*(1-AH96)*AG96,IF($P$15="Additionnelle",($N96-($N96*($P96+AH96)))*AG96))),"Non Trouvé")</f>
        <v/>
      </c>
      <c r="AL96" s="99">
        <f>AL95</f>
        <v/>
      </c>
      <c r="AM96" s="99">
        <f>AM95</f>
        <v/>
      </c>
      <c r="AN96" s="95">
        <f>IFERROR(IF($C96="","",IF($P$15="Cascade",$R96*(1-AM96)*AL96,IF($P$15="Additionnelle",($N96-($N96*($P96+AM96)))*AL96))),"Non Trouvé")</f>
        <v/>
      </c>
      <c r="AQ96" s="99">
        <f>AQ95</f>
        <v/>
      </c>
      <c r="AR96" s="99">
        <f>AR95</f>
        <v/>
      </c>
      <c r="AS96" s="95">
        <f>IFERROR(IF($C96="","",IF($P$15="Cascade",$R96*(1-AR96)*AQ96,IF($P$15="Additionnelle",($N96-($N96*($P96+AR96)))*AQ96))),"Non Trouvé")</f>
        <v/>
      </c>
      <c r="AV96" s="99">
        <f>AV95</f>
        <v/>
      </c>
      <c r="AW96" s="99">
        <f>AW95</f>
        <v/>
      </c>
      <c r="AX96" s="95">
        <f>IFERROR(IF($C96="","",IF($P$15="Cascade",$R96*(1-AW96)*AV96,IF($P$15="Additionnelle",($N96-($N96*($P96+AW96)))*AV96))),"Non Trouvé")</f>
        <v/>
      </c>
      <c r="BA96" s="99">
        <f>BA95</f>
        <v/>
      </c>
      <c r="BB96" s="99">
        <f>BB95</f>
        <v/>
      </c>
      <c r="BC96" s="95">
        <f>IFERROR(IF($C96="","",IF($P$15="Cascade",$R96*(1-BB96)*BA96,IF($P$15="Additionnelle",($N96-($N96*($P96+BB96)))*BA96))),"Non Trouvé")</f>
        <v/>
      </c>
      <c r="BF96" s="99">
        <f>BF95</f>
        <v/>
      </c>
      <c r="BG96" s="99">
        <f>BG95</f>
        <v/>
      </c>
      <c r="BH96" s="95">
        <f>IFERROR(IF($C96="","",IF($P$15="Cascade",$R96*(1-BG96)*BF96,IF($P$15="Additionnelle",($N96-($N96*($P96+BG96)))*BF96))),"Non Trouvé")</f>
        <v/>
      </c>
      <c r="BK96" s="99">
        <f>BK95</f>
        <v/>
      </c>
      <c r="BL96" s="99">
        <f>BL95</f>
        <v/>
      </c>
      <c r="BM96" s="95">
        <f>IFERROR(IF($C96="","",IF($P$15="Cascade",$R96*(1-BL96)*BK96,IF($P$15="Additionnelle",($N96-($N96*($P96+BL96)))*BK96))),"Non Trouvé")</f>
        <v/>
      </c>
      <c r="BP96" s="99">
        <f>BP95</f>
        <v/>
      </c>
      <c r="BQ96" s="99">
        <f>BQ95</f>
        <v/>
      </c>
      <c r="BR96" s="95">
        <f>IFERROR(IF($C96="","",IF($P$15="Cascade",$R96*(1-BQ96)*BP96,IF($P$15="Additionnelle",($N96-($N96*($P96+BQ96)))*BP96))),"Non Trouvé")</f>
        <v/>
      </c>
      <c r="BU96" s="99">
        <f>BU95</f>
        <v/>
      </c>
      <c r="BV96" s="99">
        <f>BV95</f>
        <v/>
      </c>
      <c r="BW96" s="95">
        <f>IFERROR(IF($C96="","",IF($P$15="Cascade",$R96*(1-BV96)*BU96,IF($P$15="Additionnelle",($N96-($N96*($P96+BV96)))*BU96))),"Non Trouvé")</f>
        <v/>
      </c>
      <c r="BZ96" s="99">
        <f>BZ95</f>
        <v/>
      </c>
      <c r="CA96" s="99">
        <f>CA95</f>
        <v/>
      </c>
      <c r="CB96" s="95">
        <f>IFERROR(IF($C96="","",IF($P$15="Cascade",$R96*(1-CA96)*BZ96,IF($P$15="Additionnelle",($N96-($N96*($P96+CA96)))*BZ96))),"Non Trouvé")</f>
        <v/>
      </c>
      <c r="CE96" s="100" t="n"/>
      <c r="CF96" s="101" t="n"/>
      <c r="CG96" s="102" t="inlineStr">
        <is>
          <t>Nbrs Offres planifiées</t>
        </is>
      </c>
      <c r="CH96" s="138">
        <f>SUMIFS($AV75:$BX75,$AV72:$BX72,CG96)</f>
        <v/>
      </c>
      <c r="CI96" s="103" t="n"/>
      <c r="CK96" s="104">
        <f>IFERROR(IF(F96='[1]Paramètres Généraux'!$K$12,ROUNDUP((REGENERANTS!H96*REGENERANTS!$CF$75)*'[1]Paramètres Généraux'!$M$12,-1),IF(F96='[1]Paramètres Généraux'!$K$15,ROUNDUP((REGENERANTS!H96*REGENERANTS!$CF$75)*'[1]Paramètres Généraux'!$M$15,-1),REGENERANTS!H96*REGENERANTS!$CF$75)),"nd")</f>
        <v/>
      </c>
      <c r="CN96" s="153" t="n"/>
      <c r="CO96" s="154" t="n"/>
      <c r="CP96" s="154" t="n"/>
      <c r="CQ96" s="154" t="n"/>
      <c r="CR96" s="154" t="n"/>
      <c r="CS96" s="180" t="n"/>
      <c r="CT96" s="181" t="n"/>
      <c r="CU96" s="154" t="n"/>
      <c r="CV96" s="180" t="n"/>
      <c r="CW96" s="157" t="n"/>
      <c r="CX96" s="156" t="n"/>
      <c r="CY96" s="157" t="n"/>
      <c r="CZ96" s="143" t="n"/>
      <c r="DA96" s="156" t="n"/>
      <c r="DB96" s="157" t="n"/>
      <c r="DC96" s="143" t="n"/>
      <c r="DD96" s="156" t="n"/>
      <c r="DE96" s="157" t="n"/>
      <c r="DF96" s="143" t="n"/>
      <c r="DG96" s="143" t="n"/>
      <c r="DH96" s="143" t="n"/>
      <c r="DI96" s="143" t="n"/>
      <c r="DJ96" s="143" t="n"/>
      <c r="DK96" s="143" t="n"/>
      <c r="DL96" s="143" t="n"/>
      <c r="DM96" s="143" t="n"/>
      <c r="DN96" s="143" t="n"/>
      <c r="DO96" s="156" t="n"/>
      <c r="DP96" s="157" t="n"/>
      <c r="DQ96" s="20">
        <f>SUM(CN96:DP96)</f>
        <v/>
      </c>
      <c r="DR96" s="20">
        <f>SUM(CV96:DP96)</f>
        <v/>
      </c>
      <c r="DS96" s="20">
        <f>IFERROR((IF(AND($F96="Produit Vente",CO96&gt;0),VLOOKUP($C96,'[1]Paramètres Articles'!$B:$H,7,FALSE)*$CO96)*(1-20%)),0)</f>
        <v/>
      </c>
      <c r="DT96" s="20">
        <f>IFERROR((IF(AND($F96="Produit Vente",DR96&gt;0),VLOOKUP($C96,'[1]Paramètres Articles'!$B:$H,6,FALSE)*$DR96)*(1-15%)),0)</f>
        <v/>
      </c>
      <c r="DU96" s="20">
        <f>IFERROR(DQ96*J96,0)</f>
        <v/>
      </c>
    </row>
    <row r="97" outlineLevel="1" collapsed="1" ht="12.95" customHeight="1">
      <c r="B97" s="1">
        <f>IF(C97="",0,COUNTIFS($B$22:B96,"&gt;"&amp;0)+1)</f>
        <v/>
      </c>
      <c r="C97" s="90" t="n"/>
      <c r="D97" s="91">
        <f>IFERROR(IF($C97="","",VLOOKUP($C97,'[1]Paramètres Articles'!$B:$G,2,FALSE)),"Non Trouvé")</f>
        <v/>
      </c>
      <c r="E97" s="92">
        <f>IFERROR(IF($C97="","",_xlfn.XLOOKUP(REGENERANTS!$C97,'[1]New Base PA'!$F:$F,'[1]New Base PA'!$D:$D,"Not Found",0)),"Non Trouvé")</f>
        <v/>
      </c>
      <c r="F97" s="93" t="n"/>
      <c r="H97" s="106" t="n"/>
      <c r="J97" s="95">
        <f>IFERROR(IF($C97="","",VLOOKUP($C97,'[1]New Base PA'!$F:$J,5,FALSE)),"Non Trouvé")</f>
        <v/>
      </c>
      <c r="K97" s="95">
        <f>IFERROR(IF($C97="","",$J97*$H97),"Non Trouvé")</f>
        <v/>
      </c>
      <c r="L97" s="96" t="n"/>
      <c r="M97" s="95">
        <f>IFERROR(IF(AND($F97="Produit Vente",H97&gt;0),VLOOKUP($C97,'[1]Paramètres Articles'!$B:$G,6,FALSE),0),"Non Trouvé")</f>
        <v/>
      </c>
      <c r="N97" s="95">
        <f>IFERROR(IF($C97="","",$M97*$H97),"Non Trouvé")</f>
        <v/>
      </c>
      <c r="P97" s="97" t="n"/>
      <c r="R97" s="95">
        <f>IFERROR(IF($C97="","",$N97*(1-$P97)),"Non Trouvé")</f>
        <v/>
      </c>
      <c r="S97" s="96" t="n"/>
      <c r="T97" s="95">
        <f>IFERROR(IF($C97="","",VLOOKUP($C97,'[1]Paramètres Articles'!$B:$H,7,FALSE)),"Non Trouvé")</f>
        <v/>
      </c>
      <c r="U97" s="98" t="n"/>
      <c r="V97" s="95">
        <f>IFERROR(IF($C97="","",IF($P97="","",$T97*(1-$P97))),"Non Trouvé")</f>
        <v/>
      </c>
      <c r="W97" s="96" t="n"/>
      <c r="X97" s="95">
        <f>IFERROR(T97-V97,"")</f>
        <v/>
      </c>
      <c r="Y97" s="96" t="n"/>
      <c r="Z97" s="95">
        <f>IFERROR(IF(OR(T97=0,T97=""),0,T97*H97),"Non Trouvé")</f>
        <v/>
      </c>
      <c r="AB97" s="99">
        <f>AB95</f>
        <v/>
      </c>
      <c r="AC97" s="99">
        <f>AC95</f>
        <v/>
      </c>
      <c r="AD97" s="95">
        <f>IFERROR(IF($C97="","",IF($P$15="Cascade",$R97*(1-AC97)*AB97,IF($P$15="Additionnelle",($N97-($N97*($P97+AC97)))*AB97))),"Non Trouvé")</f>
        <v/>
      </c>
      <c r="AG97" s="99">
        <f>AG95</f>
        <v/>
      </c>
      <c r="AH97" s="99">
        <f>AH95</f>
        <v/>
      </c>
      <c r="AI97" s="95">
        <f>IFERROR(IF($C97="","",IF($P$15="Cascade",$R97*(1-AH97)*AG97,IF($P$15="Additionnelle",($N97-($N97*($P97+AH97)))*AG97))),"Non Trouvé")</f>
        <v/>
      </c>
      <c r="AL97" s="99">
        <f>AL95</f>
        <v/>
      </c>
      <c r="AM97" s="99">
        <f>AM95</f>
        <v/>
      </c>
      <c r="AN97" s="95">
        <f>IFERROR(IF($C97="","",IF($P$15="Cascade",$R97*(1-AM97)*AL97,IF($P$15="Additionnelle",($N97-($N97*($P97+AM97)))*AL97))),"Non Trouvé")</f>
        <v/>
      </c>
      <c r="AQ97" s="99">
        <f>AQ95</f>
        <v/>
      </c>
      <c r="AR97" s="99">
        <f>AR95</f>
        <v/>
      </c>
      <c r="AS97" s="95">
        <f>IFERROR(IF($C97="","",IF($P$15="Cascade",$R97*(1-AR97)*AQ97,IF($P$15="Additionnelle",($N97-($N97*($P97+AR97)))*AQ97))),"Non Trouvé")</f>
        <v/>
      </c>
      <c r="AV97" s="99">
        <f>AV95</f>
        <v/>
      </c>
      <c r="AW97" s="99">
        <f>AW95</f>
        <v/>
      </c>
      <c r="AX97" s="95">
        <f>IFERROR(IF($C97="","",IF($P$15="Cascade",$R97*(1-AW97)*AV97,IF($P$15="Additionnelle",($N97-($N97*($P97+AW97)))*AV97))),"Non Trouvé")</f>
        <v/>
      </c>
      <c r="BA97" s="99">
        <f>BA95</f>
        <v/>
      </c>
      <c r="BB97" s="99">
        <f>BB95</f>
        <v/>
      </c>
      <c r="BC97" s="95">
        <f>IFERROR(IF($C97="","",IF($P$15="Cascade",$R97*(1-BB97)*BA97,IF($P$15="Additionnelle",($N97-($N97*($P97+BB97)))*BA97))),"Non Trouvé")</f>
        <v/>
      </c>
      <c r="BF97" s="99">
        <f>BF95</f>
        <v/>
      </c>
      <c r="BG97" s="99">
        <f>BG95</f>
        <v/>
      </c>
      <c r="BH97" s="95">
        <f>IFERROR(IF($C97="","",IF($P$15="Cascade",$R97*(1-BG97)*BF97,IF($P$15="Additionnelle",($N97-($N97*($P97+BG97)))*BF97))),"Non Trouvé")</f>
        <v/>
      </c>
      <c r="BK97" s="99">
        <f>BK95</f>
        <v/>
      </c>
      <c r="BL97" s="99">
        <f>BL95</f>
        <v/>
      </c>
      <c r="BM97" s="95">
        <f>IFERROR(IF($C97="","",IF($P$15="Cascade",$R97*(1-BL97)*BK97,IF($P$15="Additionnelle",($N97-($N97*($P97+BL97)))*BK97))),"Non Trouvé")</f>
        <v/>
      </c>
      <c r="BP97" s="99">
        <f>BP95</f>
        <v/>
      </c>
      <c r="BQ97" s="99">
        <f>BQ95</f>
        <v/>
      </c>
      <c r="BR97" s="95">
        <f>IFERROR(IF($C97="","",IF($P$15="Cascade",$R97*(1-BQ97)*BP97,IF($P$15="Additionnelle",($N97-($N97*($P97+BQ97)))*BP97))),"Non Trouvé")</f>
        <v/>
      </c>
      <c r="BU97" s="99">
        <f>BU95</f>
        <v/>
      </c>
      <c r="BV97" s="99">
        <f>BV95</f>
        <v/>
      </c>
      <c r="BW97" s="95">
        <f>IFERROR(IF($C97="","",IF($P$15="Cascade",$R97*(1-BV97)*BU97,IF($P$15="Additionnelle",($N97-($N97*($P97+BV97)))*BU97))),"Non Trouvé")</f>
        <v/>
      </c>
      <c r="BZ97" s="99">
        <f>BZ95</f>
        <v/>
      </c>
      <c r="CA97" s="99">
        <f>CA95</f>
        <v/>
      </c>
      <c r="CB97" s="95">
        <f>IFERROR(IF($C97="","",IF($P$15="Cascade",$R97*(1-CA97)*BZ97,IF($P$15="Additionnelle",($N97-($N97*($P97+CA97)))*BZ97))),"Non Trouvé")</f>
        <v/>
      </c>
      <c r="CE97" s="100" t="n"/>
      <c r="CF97" s="101" t="n"/>
      <c r="CG97" s="102" t="inlineStr">
        <is>
          <t>CA</t>
        </is>
      </c>
      <c r="CH97" s="139">
        <f>SUMIFS($AV75:$BX75,$AV72:$BX72,CG97)</f>
        <v/>
      </c>
      <c r="CI97" s="103" t="n"/>
      <c r="CK97" s="104">
        <f>IFERROR(IF(F97='[1]Paramètres Généraux'!$K$12,ROUNDUP((REGENERANTS!H97*REGENERANTS!$CF$75)*'[1]Paramètres Généraux'!$M$12,-1),IF(F97='[1]Paramètres Généraux'!$K$15,ROUNDUP((REGENERANTS!H97*REGENERANTS!$CF$75)*'[1]Paramètres Généraux'!$M$15,-1),REGENERANTS!H97*REGENERANTS!$CF$75)),"nd")</f>
        <v/>
      </c>
      <c r="CN97" s="153" t="n"/>
      <c r="CO97" s="154" t="n"/>
      <c r="CP97" s="154" t="n"/>
      <c r="CQ97" s="154" t="n"/>
      <c r="CR97" s="154" t="n"/>
      <c r="CS97" s="180" t="n"/>
      <c r="CT97" s="181" t="n"/>
      <c r="CU97" s="154" t="n"/>
      <c r="CV97" s="180" t="n"/>
      <c r="CW97" s="157" t="n"/>
      <c r="CX97" s="156" t="n"/>
      <c r="CY97" s="157" t="n"/>
      <c r="CZ97" s="143" t="n"/>
      <c r="DA97" s="156" t="n"/>
      <c r="DB97" s="157" t="n"/>
      <c r="DC97" s="143" t="n"/>
      <c r="DD97" s="156" t="n"/>
      <c r="DE97" s="157" t="n"/>
      <c r="DF97" s="143" t="n"/>
      <c r="DG97" s="143" t="n"/>
      <c r="DH97" s="143" t="n"/>
      <c r="DI97" s="143" t="n"/>
      <c r="DJ97" s="143" t="n"/>
      <c r="DK97" s="143" t="n"/>
      <c r="DL97" s="143" t="n"/>
      <c r="DM97" s="143" t="n"/>
      <c r="DN97" s="143" t="n"/>
      <c r="DO97" s="156" t="n"/>
      <c r="DP97" s="157" t="n"/>
      <c r="DQ97" s="20">
        <f>SUM(CN97:DP97)</f>
        <v/>
      </c>
      <c r="DR97" s="20">
        <f>SUM(CV97:DP97)</f>
        <v/>
      </c>
      <c r="DS97" s="20">
        <f>IFERROR((IF(AND($F97="Produit Vente",CO97&gt;0),VLOOKUP($C97,'[1]Paramètres Articles'!$B:$H,7,FALSE)*$CO97)*(1-20%)),0)</f>
        <v/>
      </c>
      <c r="DT97" s="20">
        <f>IFERROR((IF(AND($F97="Produit Vente",DR97&gt;0),VLOOKUP($C97,'[1]Paramètres Articles'!$B:$H,6,FALSE)*$DR97)*(1-15%)),0)</f>
        <v/>
      </c>
      <c r="DU97" s="20">
        <f>IFERROR(DQ97*J97,0)</f>
        <v/>
      </c>
    </row>
    <row r="98" outlineLevel="1" collapsed="1" ht="12.95" customHeight="1">
      <c r="B98" s="1">
        <f>IF(C98="",0,COUNTIFS($B$22:B97,"&gt;"&amp;0)+1)</f>
        <v/>
      </c>
      <c r="C98" s="90" t="n"/>
      <c r="D98" s="91">
        <f>IFERROR(IF($C98="","",VLOOKUP($C98,'[1]Paramètres Articles'!$B:$G,2,FALSE)),"Non Trouvé")</f>
        <v/>
      </c>
      <c r="E98" s="92">
        <f>IFERROR(IF($C98="","",_xlfn.XLOOKUP(REGENERANTS!$C98,'[1]New Base PA'!$F:$F,'[1]New Base PA'!$D:$D,"Not Found",0)),"Non Trouvé")</f>
        <v/>
      </c>
      <c r="F98" s="93" t="n"/>
      <c r="H98" s="106" t="n"/>
      <c r="J98" s="95">
        <f>IFERROR(IF($C98="","",VLOOKUP($C98,'[1]New Base PA'!$F:$J,5,FALSE)),"Non Trouvé")</f>
        <v/>
      </c>
      <c r="K98" s="95">
        <f>IFERROR(IF($C98="","",$J98*$H98),"Non Trouvé")</f>
        <v/>
      </c>
      <c r="L98" s="96" t="n"/>
      <c r="M98" s="95">
        <f>IFERROR(IF(AND($F98="Produit Vente",H98&gt;0),VLOOKUP($C98,'[1]Paramètres Articles'!$B:$G,6,FALSE),0),"Non Trouvé")</f>
        <v/>
      </c>
      <c r="N98" s="95">
        <f>IFERROR(IF($C98="","",$M98*$H98),"Non Trouvé")</f>
        <v/>
      </c>
      <c r="P98" s="97" t="n"/>
      <c r="R98" s="95">
        <f>IFERROR(IF($C98="","",$N98*(1-$P98)),"Non Trouvé")</f>
        <v/>
      </c>
      <c r="S98" s="96" t="n"/>
      <c r="T98" s="95">
        <f>IFERROR(IF($C98="","",VLOOKUP($C98,'[1]Paramètres Articles'!$B:$H,7,FALSE)),"Non Trouvé")</f>
        <v/>
      </c>
      <c r="U98" s="98" t="n"/>
      <c r="V98" s="95">
        <f>IFERROR(IF($C98="","",IF($P98="","",$T98*(1-$P98))),"Non Trouvé")</f>
        <v/>
      </c>
      <c r="W98" s="96" t="n"/>
      <c r="X98" s="95">
        <f>IFERROR(T98-V98,"")</f>
        <v/>
      </c>
      <c r="Y98" s="96" t="n"/>
      <c r="Z98" s="95">
        <f>IFERROR(IF(OR(T98=0,T98=""),0,T98*H98),"Non Trouvé")</f>
        <v/>
      </c>
      <c r="AB98" s="99">
        <f>AB96</f>
        <v/>
      </c>
      <c r="AC98" s="99">
        <f>AC96</f>
        <v/>
      </c>
      <c r="AD98" s="95">
        <f>IFERROR(IF($C98="","",IF($P$15="Cascade",$R98*(1-AC98)*AB98,IF($P$15="Additionnelle",($N98-($N98*($P98+AC98)))*AB98))),"Non Trouvé")</f>
        <v/>
      </c>
      <c r="AG98" s="99">
        <f>AG96</f>
        <v/>
      </c>
      <c r="AH98" s="99">
        <f>AH96</f>
        <v/>
      </c>
      <c r="AI98" s="95">
        <f>IFERROR(IF($C98="","",IF($P$15="Cascade",$R98*(1-AH98)*AG98,IF($P$15="Additionnelle",($N98-($N98*($P98+AH98)))*AG98))),"Non Trouvé")</f>
        <v/>
      </c>
      <c r="AL98" s="99">
        <f>AL96</f>
        <v/>
      </c>
      <c r="AM98" s="99">
        <f>AM96</f>
        <v/>
      </c>
      <c r="AN98" s="95">
        <f>IFERROR(IF($C98="","",IF($P$15="Cascade",$R98*(1-AM98)*AL98,IF($P$15="Additionnelle",($N98-($N98*($P98+AM98)))*AL98))),"Non Trouvé")</f>
        <v/>
      </c>
      <c r="AQ98" s="99">
        <f>AQ96</f>
        <v/>
      </c>
      <c r="AR98" s="99">
        <f>AR96</f>
        <v/>
      </c>
      <c r="AS98" s="95">
        <f>IFERROR(IF($C98="","",IF($P$15="Cascade",$R98*(1-AR98)*AQ98,IF($P$15="Additionnelle",($N98-($N98*($P98+AR98)))*AQ98))),"Non Trouvé")</f>
        <v/>
      </c>
      <c r="AV98" s="99">
        <f>AV96</f>
        <v/>
      </c>
      <c r="AW98" s="99">
        <f>AW96</f>
        <v/>
      </c>
      <c r="AX98" s="95">
        <f>IFERROR(IF($C98="","",IF($P$15="Cascade",$R98*(1-AW98)*AV98,IF($P$15="Additionnelle",($N98-($N98*($P98+AW98)))*AV98))),"Non Trouvé")</f>
        <v/>
      </c>
      <c r="BA98" s="99">
        <f>BA96</f>
        <v/>
      </c>
      <c r="BB98" s="99">
        <f>BB96</f>
        <v/>
      </c>
      <c r="BC98" s="95">
        <f>IFERROR(IF($C98="","",IF($P$15="Cascade",$R98*(1-BB98)*BA98,IF($P$15="Additionnelle",($N98-($N98*($P98+BB98)))*BA98))),"Non Trouvé")</f>
        <v/>
      </c>
      <c r="BF98" s="99">
        <f>BF96</f>
        <v/>
      </c>
      <c r="BG98" s="99">
        <f>BG96</f>
        <v/>
      </c>
      <c r="BH98" s="95">
        <f>IFERROR(IF($C98="","",IF($P$15="Cascade",$R98*(1-BG98)*BF98,IF($P$15="Additionnelle",($N98-($N98*($P98+BG98)))*BF98))),"Non Trouvé")</f>
        <v/>
      </c>
      <c r="BK98" s="99">
        <f>BK96</f>
        <v/>
      </c>
      <c r="BL98" s="99">
        <f>BL96</f>
        <v/>
      </c>
      <c r="BM98" s="95">
        <f>IFERROR(IF($C98="","",IF($P$15="Cascade",$R98*(1-BL98)*BK98,IF($P$15="Additionnelle",($N98-($N98*($P98+BL98)))*BK98))),"Non Trouvé")</f>
        <v/>
      </c>
      <c r="BP98" s="99">
        <f>BP96</f>
        <v/>
      </c>
      <c r="BQ98" s="99">
        <f>BQ96</f>
        <v/>
      </c>
      <c r="BR98" s="95">
        <f>IFERROR(IF($C98="","",IF($P$15="Cascade",$R98*(1-BQ98)*BP98,IF($P$15="Additionnelle",($N98-($N98*($P98+BQ98)))*BP98))),"Non Trouvé")</f>
        <v/>
      </c>
      <c r="BU98" s="99">
        <f>BU96</f>
        <v/>
      </c>
      <c r="BV98" s="99">
        <f>BV96</f>
        <v/>
      </c>
      <c r="BW98" s="95">
        <f>IFERROR(IF($C98="","",IF($P$15="Cascade",$R98*(1-BV98)*BU98,IF($P$15="Additionnelle",($N98-($N98*($P98+BV98)))*BU98))),"Non Trouvé")</f>
        <v/>
      </c>
      <c r="BZ98" s="99">
        <f>BZ96</f>
        <v/>
      </c>
      <c r="CA98" s="99">
        <f>CA96</f>
        <v/>
      </c>
      <c r="CB98" s="95">
        <f>IFERROR(IF($C98="","",IF($P$15="Cascade",$R98*(1-CA98)*BZ98,IF($P$15="Additionnelle",($N98-($N98*($P98+CA98)))*BZ98))),"Non Trouvé")</f>
        <v/>
      </c>
      <c r="CE98" s="100" t="n"/>
      <c r="CF98" s="101" t="n"/>
      <c r="CG98" s="102" t="inlineStr">
        <is>
          <t>Marges</t>
        </is>
      </c>
      <c r="CH98" s="142">
        <f>IFERROR((CH97-$K75*CH96)/CH97,"Non Trouvé")</f>
        <v/>
      </c>
      <c r="CI98" s="103" t="n"/>
      <c r="CK98" s="104">
        <f>IFERROR(IF(F98='[1]Paramètres Généraux'!$K$12,ROUNDUP((REGENERANTS!H98*REGENERANTS!$CF$75)*'[1]Paramètres Généraux'!$M$12,-1),IF(F98='[1]Paramètres Généraux'!$K$15,ROUNDUP((REGENERANTS!H98*REGENERANTS!$CF$75)*'[1]Paramètres Généraux'!$M$15,-1),REGENERANTS!H98*REGENERANTS!$CF$75)),"nd")</f>
        <v/>
      </c>
      <c r="CN98" s="165" t="n"/>
      <c r="CO98" s="165" t="n"/>
      <c r="CP98" s="165" t="n"/>
      <c r="CQ98" s="165" t="n"/>
      <c r="CR98" s="165" t="n"/>
      <c r="CS98" s="165" t="n"/>
      <c r="CT98" s="165" t="n"/>
      <c r="CU98" s="165" t="n"/>
      <c r="CV98" s="165" t="n"/>
      <c r="CW98" s="166" t="n"/>
      <c r="CX98" s="166" t="n"/>
      <c r="CY98" s="166" t="n"/>
      <c r="CZ98" s="166" t="n"/>
      <c r="DA98" s="166" t="n"/>
      <c r="DB98" s="166" t="n"/>
      <c r="DC98" s="166" t="n"/>
      <c r="DD98" s="166" t="n"/>
      <c r="DE98" s="166" t="n"/>
      <c r="DF98" s="166" t="n"/>
      <c r="DG98" s="166" t="n"/>
      <c r="DH98" s="166" t="n"/>
      <c r="DI98" s="166" t="n"/>
      <c r="DJ98" s="166" t="n"/>
      <c r="DK98" s="166" t="n"/>
      <c r="DL98" s="166" t="n"/>
      <c r="DM98" s="166" t="n"/>
      <c r="DN98" s="166" t="n"/>
      <c r="DO98" s="166" t="n"/>
      <c r="DP98" s="166" t="n"/>
      <c r="DQ98" s="20" t="n"/>
      <c r="DU98" s="20" t="n"/>
    </row>
    <row r="99">
      <c r="CE99" s="100" t="n"/>
      <c r="CF99" s="102" t="n"/>
      <c r="CG99" s="102" t="inlineStr">
        <is>
          <t>Marges €</t>
        </is>
      </c>
      <c r="CH99" s="139">
        <f>IFERROR(CH97*CH98,0)</f>
        <v/>
      </c>
      <c r="CI99" s="103" t="n"/>
      <c r="CK99" s="104" t="n"/>
      <c r="CN99" s="20" t="n"/>
    </row>
    <row r="100">
      <c r="CE100" s="162" t="n"/>
      <c r="CF100" s="163" t="n"/>
      <c r="CG100" s="163" t="n"/>
      <c r="CH100" s="182" t="n"/>
      <c r="CI100" s="164" t="n"/>
      <c r="CK100" s="104" t="n"/>
      <c r="CN100" s="20" t="n"/>
    </row>
    <row r="101" ht="18" customHeight="1">
      <c r="AB101" s="1" t="n">
        <v>390</v>
      </c>
      <c r="CK101" s="104" t="n"/>
    </row>
    <row r="102">
      <c r="C102" s="22" t="inlineStr">
        <is>
          <t>REGENERANTS 1 - Essentiel</t>
        </is>
      </c>
      <c r="D102" s="23" t="n"/>
      <c r="E102" s="24" t="n"/>
      <c r="F102" s="25" t="inlineStr">
        <is>
          <t>Panachage 12 unités // Remise 5% pour BRI conso 6€ sur 4 produits : Sérum J/N, CDJR, CDJRI, sérum nuit RI (-10€ = prix plancher)</t>
        </is>
      </c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  <c r="BK102" s="23" t="n"/>
      <c r="BL102" s="23" t="n"/>
      <c r="BM102" s="23" t="n"/>
      <c r="BN102" s="23" t="n"/>
      <c r="BO102" s="23" t="n"/>
      <c r="BP102" s="23" t="n"/>
      <c r="BQ102" s="23" t="n"/>
      <c r="BR102" s="23" t="n"/>
      <c r="BS102" s="23" t="n"/>
      <c r="BT102" s="23" t="n"/>
      <c r="BU102" s="23" t="n"/>
      <c r="BV102" s="23" t="n"/>
      <c r="BW102" s="23" t="n"/>
      <c r="BX102" s="23" t="n"/>
      <c r="BY102" s="23" t="n"/>
      <c r="BZ102" s="23" t="n"/>
      <c r="CA102" s="23" t="n"/>
      <c r="CB102" s="23" t="n"/>
      <c r="CC102" s="23" t="n"/>
      <c r="CD102" s="23" t="n"/>
      <c r="CE102" s="23" t="n"/>
      <c r="CF102" s="23" t="n"/>
      <c r="CG102" s="23" t="n"/>
      <c r="CH102" s="23" t="n"/>
      <c r="CI102" s="23" t="n"/>
      <c r="CK102" s="104" t="n"/>
    </row>
    <row r="103" ht="5.25" customHeight="1">
      <c r="CK103" s="104" t="n"/>
    </row>
    <row r="104" ht="15.95" customHeight="1">
      <c r="AB104" s="26" t="n">
        <v>0.23</v>
      </c>
      <c r="AC104" s="26" t="n"/>
      <c r="AD104" s="26" t="n"/>
      <c r="AE104" s="26" t="n"/>
      <c r="AF104" s="26" t="n"/>
      <c r="AG104" s="26" t="n">
        <v>0.21</v>
      </c>
      <c r="AH104" s="26" t="n"/>
      <c r="AI104" s="26" t="n"/>
      <c r="AJ104" s="26" t="n"/>
      <c r="AK104" s="26" t="n"/>
      <c r="AL104" s="26" t="n">
        <v>0.05</v>
      </c>
      <c r="AM104" s="26" t="n"/>
      <c r="AN104" s="26" t="n"/>
      <c r="AO104" s="26" t="n"/>
      <c r="AP104" s="26" t="n"/>
      <c r="AQ104" s="26" t="n"/>
      <c r="AR104" s="26" t="n"/>
      <c r="AS104" s="26" t="n"/>
      <c r="AT104" s="26" t="n"/>
      <c r="AU104" s="26" t="n"/>
      <c r="AV104" s="26" t="n">
        <v>0.04</v>
      </c>
      <c r="AW104" s="26" t="n"/>
      <c r="AX104" s="26" t="n"/>
      <c r="AY104" s="26" t="n"/>
      <c r="AZ104" s="26" t="n"/>
      <c r="BA104" s="26" t="n">
        <v>0.03</v>
      </c>
      <c r="BB104" s="26" t="n"/>
      <c r="BC104" s="26" t="n"/>
      <c r="BD104" s="26" t="n"/>
      <c r="BE104" s="26" t="n"/>
      <c r="BF104" s="26" t="n">
        <v>0.05</v>
      </c>
      <c r="BG104" s="26" t="n"/>
      <c r="BH104" s="26" t="n"/>
      <c r="BI104" s="26" t="n"/>
      <c r="BJ104" s="26" t="n"/>
      <c r="BK104" s="26" t="n">
        <v>0.1</v>
      </c>
      <c r="BL104" s="26" t="n"/>
      <c r="BM104" s="26" t="n"/>
      <c r="BN104" s="26" t="n"/>
      <c r="BO104" s="26" t="n"/>
      <c r="BP104" s="26" t="n">
        <v>0.07000000000000001</v>
      </c>
      <c r="BQ104" s="26" t="n"/>
      <c r="BR104" s="26" t="n"/>
      <c r="BS104" s="26" t="n"/>
      <c r="BT104" s="26" t="n"/>
      <c r="BU104" s="26" t="n"/>
      <c r="BV104" s="26" t="n"/>
      <c r="BW104" s="26" t="n"/>
      <c r="BX104" s="26" t="n"/>
      <c r="BY104" s="26" t="n"/>
      <c r="BZ104" s="26" t="n">
        <v>0.215</v>
      </c>
      <c r="CA104" s="26" t="n"/>
      <c r="CB104" s="26" t="n"/>
      <c r="CC104" s="26" t="n"/>
      <c r="CE104" s="27" t="n"/>
      <c r="CF104" s="28" t="n"/>
      <c r="CG104" s="28" t="n"/>
      <c r="CH104" s="28" t="n"/>
      <c r="CI104" s="29" t="n"/>
      <c r="CK104" s="104" t="n"/>
    </row>
    <row r="105">
      <c r="AB105" s="30" t="inlineStr">
        <is>
          <t>Tarif Retail</t>
        </is>
      </c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O105" s="30" t="n"/>
      <c r="AP105" s="30" t="n"/>
      <c r="AQ105" s="30" t="n"/>
      <c r="AR105" s="30" t="n"/>
      <c r="AS105" s="30" t="n"/>
      <c r="AT105" s="30" t="n"/>
      <c r="AV105" s="31" t="inlineStr">
        <is>
          <t>Tarif Institut</t>
        </is>
      </c>
      <c r="AW105" s="31" t="n"/>
      <c r="AX105" s="31" t="n"/>
      <c r="AY105" s="31" t="n"/>
      <c r="AZ105" s="31" t="n"/>
      <c r="BA105" s="31" t="n"/>
      <c r="BB105" s="31" t="n"/>
      <c r="BC105" s="31" t="n"/>
      <c r="BD105" s="31" t="n"/>
      <c r="BE105" s="31" t="n"/>
      <c r="BF105" s="31" t="n"/>
      <c r="BG105" s="31" t="n"/>
      <c r="BH105" s="31" t="n"/>
      <c r="BI105" s="31" t="n"/>
      <c r="BJ105" s="31" t="n"/>
      <c r="BK105" s="31" t="n"/>
      <c r="BL105" s="31" t="n"/>
      <c r="BM105" s="31" t="n"/>
      <c r="BN105" s="31" t="n"/>
      <c r="BO105" s="31" t="n"/>
      <c r="BP105" s="31" t="n"/>
      <c r="BQ105" s="31" t="n"/>
      <c r="BR105" s="31" t="n"/>
      <c r="BS105" s="31" t="n"/>
      <c r="BT105" s="31" t="n"/>
      <c r="BU105" s="31" t="n"/>
      <c r="BV105" s="31" t="n"/>
      <c r="BW105" s="31" t="n"/>
      <c r="BX105" s="31" t="n"/>
      <c r="BZ105" s="32" t="inlineStr">
        <is>
          <t>Autres</t>
        </is>
      </c>
      <c r="CA105" s="32" t="n"/>
      <c r="CB105" s="32" t="n"/>
      <c r="CC105" s="32" t="n"/>
      <c r="CE105" s="33" t="n"/>
      <c r="CF105" s="34" t="inlineStr">
        <is>
          <t>Tous réseaux</t>
        </is>
      </c>
      <c r="CG105" s="34" t="n"/>
      <c r="CH105" s="34" t="n"/>
      <c r="CI105" s="35" t="n"/>
      <c r="CK105" s="104" t="n"/>
    </row>
    <row r="106" ht="5.25" customHeight="1">
      <c r="CE106" s="33" t="n"/>
      <c r="CF106" s="39" t="n"/>
      <c r="CG106" s="39" t="n"/>
      <c r="CH106" s="39" t="n"/>
      <c r="CI106" s="35" t="n"/>
      <c r="CK106" s="104" t="n"/>
    </row>
    <row r="107">
      <c r="P107" s="1" t="inlineStr">
        <is>
          <t>Additionnelle</t>
        </is>
      </c>
      <c r="AB107" s="42" t="inlineStr">
        <is>
          <t>Ambassadeur</t>
        </is>
      </c>
      <c r="AC107" s="42" t="n"/>
      <c r="AD107" s="42" t="n"/>
      <c r="AE107" s="42" t="n"/>
      <c r="AG107" s="42" t="inlineStr">
        <is>
          <t>Compagnon</t>
        </is>
      </c>
      <c r="AH107" s="42" t="n"/>
      <c r="AI107" s="42" t="n"/>
      <c r="AJ107" s="42" t="n"/>
      <c r="AL107" s="42" t="inlineStr">
        <is>
          <t>Challenger</t>
        </is>
      </c>
      <c r="AM107" s="42" t="n"/>
      <c r="AN107" s="42" t="n"/>
      <c r="AO107" s="42" t="n"/>
      <c r="AQ107" s="42" t="inlineStr">
        <is>
          <t>Partenaire</t>
        </is>
      </c>
      <c r="AR107" s="42" t="n"/>
      <c r="AS107" s="42" t="n"/>
      <c r="AT107" s="42" t="n"/>
      <c r="AV107" s="43" t="inlineStr">
        <is>
          <t>Rose</t>
        </is>
      </c>
      <c r="AW107" s="43" t="n"/>
      <c r="AX107" s="43" t="n"/>
      <c r="AY107" s="43" t="n"/>
      <c r="BA107" s="43" t="inlineStr">
        <is>
          <t>Prunelier</t>
        </is>
      </c>
      <c r="BB107" s="43" t="n"/>
      <c r="BC107" s="43" t="n"/>
      <c r="BD107" s="43" t="n"/>
      <c r="BF107" s="43" t="inlineStr">
        <is>
          <t>Anthylide</t>
        </is>
      </c>
      <c r="BG107" s="43" t="n"/>
      <c r="BH107" s="43" t="n"/>
      <c r="BI107" s="43" t="n"/>
      <c r="BK107" s="43" t="inlineStr">
        <is>
          <t>Calendula</t>
        </is>
      </c>
      <c r="BL107" s="43" t="n"/>
      <c r="BM107" s="43" t="n"/>
      <c r="BN107" s="43" t="n"/>
      <c r="BP107" s="43" t="inlineStr">
        <is>
          <t>Bourrache</t>
        </is>
      </c>
      <c r="BQ107" s="43" t="n"/>
      <c r="BR107" s="43" t="n"/>
      <c r="BS107" s="43" t="n"/>
      <c r="BU107" s="43" t="inlineStr">
        <is>
          <t>Herbacée</t>
        </is>
      </c>
      <c r="BV107" s="43" t="n"/>
      <c r="BW107" s="43" t="n"/>
      <c r="BX107" s="43" t="n"/>
      <c r="BZ107" s="44" t="inlineStr">
        <is>
          <t>Autres</t>
        </is>
      </c>
      <c r="CA107" s="44" t="n"/>
      <c r="CB107" s="44" t="n"/>
      <c r="CC107" s="44" t="n"/>
      <c r="CE107" s="33" t="n"/>
      <c r="CF107" s="45" t="inlineStr">
        <is>
          <t>Total</t>
        </is>
      </c>
      <c r="CG107" s="45" t="n"/>
      <c r="CH107" s="45" t="n"/>
      <c r="CI107" s="35" t="n"/>
      <c r="CK107" s="104" t="n"/>
    </row>
    <row r="108" ht="5.25" customHeight="1">
      <c r="CE108" s="33" t="n"/>
      <c r="CF108" s="39" t="n"/>
      <c r="CG108" s="39" t="n"/>
      <c r="CH108" s="39" t="n"/>
      <c r="CI108" s="35" t="n"/>
      <c r="CK108" s="104" t="n"/>
    </row>
    <row r="109" ht="38.25" customFormat="1" customHeight="1" s="46">
      <c r="E109" s="47" t="n"/>
      <c r="H109" s="48" t="inlineStr">
        <is>
          <t>Pdt dans offre</t>
        </is>
      </c>
      <c r="J109" s="48" t="inlineStr">
        <is>
          <t>PA x Unit.</t>
        </is>
      </c>
      <c r="K109" s="48" t="inlineStr">
        <is>
          <t>Coûts Achats</t>
        </is>
      </c>
      <c r="M109" s="48" t="inlineStr">
        <is>
          <t>Tarif Rev.  x Unit.</t>
        </is>
      </c>
      <c r="N109" s="48" t="inlineStr">
        <is>
          <t>Tarif Rev.</t>
        </is>
      </c>
      <c r="P109" s="48" t="inlineStr">
        <is>
          <t>Remise Offres x Prod.</t>
        </is>
      </c>
      <c r="R109" s="48" t="inlineStr">
        <is>
          <t>Tarif Rev. Remisé</t>
        </is>
      </c>
      <c r="T109" s="48" t="inlineStr">
        <is>
          <t>PPC Unitaire Indicatif</t>
        </is>
      </c>
      <c r="U109" s="48" t="n"/>
      <c r="V109" s="48" t="inlineStr">
        <is>
          <t>PPC Unitaire Remisé</t>
        </is>
      </c>
      <c r="X109" s="48" t="inlineStr">
        <is>
          <t>Montant BRI</t>
        </is>
      </c>
      <c r="Z109" s="48" t="inlineStr">
        <is>
          <t>PPC global Indicatif</t>
        </is>
      </c>
      <c r="AB109" s="48" t="inlineStr">
        <is>
          <t>Nbrs Offres planifiées</t>
        </is>
      </c>
      <c r="AC109" s="48" t="inlineStr">
        <is>
          <t>Remise Statut</t>
        </is>
      </c>
      <c r="AD109" s="48" t="inlineStr">
        <is>
          <t>CA</t>
        </is>
      </c>
      <c r="AE109" s="48" t="inlineStr">
        <is>
          <t>Marges</t>
        </is>
      </c>
      <c r="AG109" s="48" t="inlineStr">
        <is>
          <t>Nbrs Offres planifiées</t>
        </is>
      </c>
      <c r="AH109" s="48" t="inlineStr">
        <is>
          <t>Remise Statut</t>
        </is>
      </c>
      <c r="AI109" s="48" t="inlineStr">
        <is>
          <t>CA</t>
        </is>
      </c>
      <c r="AJ109" s="48" t="inlineStr">
        <is>
          <t>Marges</t>
        </is>
      </c>
      <c r="AL109" s="48" t="inlineStr">
        <is>
          <t>Nbrs Offres planifiées</t>
        </is>
      </c>
      <c r="AM109" s="48" t="inlineStr">
        <is>
          <t>Remise Statut</t>
        </is>
      </c>
      <c r="AN109" s="48" t="inlineStr">
        <is>
          <t>CA</t>
        </is>
      </c>
      <c r="AO109" s="48" t="inlineStr">
        <is>
          <t>Marges</t>
        </is>
      </c>
      <c r="AQ109" s="48" t="inlineStr">
        <is>
          <t>Nbrs Offres planifiées</t>
        </is>
      </c>
      <c r="AR109" s="48" t="inlineStr">
        <is>
          <t>Remise Statut</t>
        </is>
      </c>
      <c r="AS109" s="48" t="inlineStr">
        <is>
          <t>CA</t>
        </is>
      </c>
      <c r="AT109" s="48" t="inlineStr">
        <is>
          <t>Marges</t>
        </is>
      </c>
      <c r="AV109" s="48" t="inlineStr">
        <is>
          <t>Nbrs Offres planifiées</t>
        </is>
      </c>
      <c r="AW109" s="48" t="inlineStr">
        <is>
          <t>Remise Statut</t>
        </is>
      </c>
      <c r="AX109" s="48" t="inlineStr">
        <is>
          <t>CA</t>
        </is>
      </c>
      <c r="AY109" s="48" t="inlineStr">
        <is>
          <t>Marges</t>
        </is>
      </c>
      <c r="BA109" s="48" t="inlineStr">
        <is>
          <t>Nbrs Offres planifiées</t>
        </is>
      </c>
      <c r="BB109" s="48" t="inlineStr">
        <is>
          <t>Remise Statut</t>
        </is>
      </c>
      <c r="BC109" s="48" t="inlineStr">
        <is>
          <t>CA</t>
        </is>
      </c>
      <c r="BD109" s="48" t="inlineStr">
        <is>
          <t>Marges</t>
        </is>
      </c>
      <c r="BF109" s="48" t="inlineStr">
        <is>
          <t>Nbrs Offres planifiées</t>
        </is>
      </c>
      <c r="BG109" s="48" t="inlineStr">
        <is>
          <t>Remise Statut</t>
        </is>
      </c>
      <c r="BH109" s="48" t="inlineStr">
        <is>
          <t>CA</t>
        </is>
      </c>
      <c r="BI109" s="48" t="inlineStr">
        <is>
          <t>Marges</t>
        </is>
      </c>
      <c r="BK109" s="48" t="inlineStr">
        <is>
          <t>Nbrs Offres planifiées</t>
        </is>
      </c>
      <c r="BL109" s="48" t="inlineStr">
        <is>
          <t>Remise Statut</t>
        </is>
      </c>
      <c r="BM109" s="48" t="inlineStr">
        <is>
          <t>CA</t>
        </is>
      </c>
      <c r="BN109" s="48" t="inlineStr">
        <is>
          <t>Marges</t>
        </is>
      </c>
      <c r="BP109" s="48" t="inlineStr">
        <is>
          <t>Nbrs Offres planifiées</t>
        </is>
      </c>
      <c r="BQ109" s="48" t="inlineStr">
        <is>
          <t>Remise Statut</t>
        </is>
      </c>
      <c r="BR109" s="48" t="inlineStr">
        <is>
          <t>CA</t>
        </is>
      </c>
      <c r="BS109" s="48" t="inlineStr">
        <is>
          <t>Marges</t>
        </is>
      </c>
      <c r="BU109" s="48" t="inlineStr">
        <is>
          <t>Nbrs Offres planifiées</t>
        </is>
      </c>
      <c r="BV109" s="48" t="inlineStr">
        <is>
          <t>Remise Statut</t>
        </is>
      </c>
      <c r="BW109" s="48" t="inlineStr">
        <is>
          <t>CA</t>
        </is>
      </c>
      <c r="BX109" s="48" t="inlineStr">
        <is>
          <t>Marges</t>
        </is>
      </c>
      <c r="BZ109" s="48" t="inlineStr">
        <is>
          <t>Nbrs Offres planifiées</t>
        </is>
      </c>
      <c r="CA109" s="48" t="inlineStr">
        <is>
          <t>Remise Statut</t>
        </is>
      </c>
      <c r="CB109" s="48" t="inlineStr">
        <is>
          <t>CA</t>
        </is>
      </c>
      <c r="CC109" s="48" t="inlineStr">
        <is>
          <t>Marges</t>
        </is>
      </c>
      <c r="CE109" s="49" t="n"/>
      <c r="CF109" s="50" t="inlineStr">
        <is>
          <t>Nbrs Offres planifiées</t>
        </is>
      </c>
      <c r="CG109" s="50" t="inlineStr">
        <is>
          <t>CA</t>
        </is>
      </c>
      <c r="CH109" s="50" t="inlineStr">
        <is>
          <t>Marges</t>
        </is>
      </c>
      <c r="CI109" s="51" t="n"/>
      <c r="CK109" s="104" t="n"/>
      <c r="CW109" s="183" t="n"/>
      <c r="CX109" s="183" t="n"/>
      <c r="CY109" s="183" t="n"/>
      <c r="CZ109" s="183" t="n"/>
      <c r="DA109" s="183" t="n"/>
      <c r="DB109" s="183" t="n"/>
      <c r="DC109" s="183" t="n"/>
      <c r="DD109" s="183" t="n"/>
      <c r="DE109" s="183" t="n"/>
      <c r="DF109" s="183" t="n"/>
      <c r="DG109" s="183" t="n"/>
      <c r="DH109" s="183" t="n"/>
      <c r="DI109" s="183" t="n"/>
      <c r="DJ109" s="183" t="n"/>
      <c r="DK109" s="183" t="n"/>
      <c r="DL109" s="183" t="n"/>
      <c r="DM109" s="183" t="n"/>
      <c r="DN109" s="183" t="n"/>
      <c r="DO109" s="183" t="n"/>
      <c r="DP109" s="183" t="n"/>
    </row>
    <row r="110" ht="26.25" customHeight="1">
      <c r="C110" s="66" t="inlineStr">
        <is>
          <t>Code article</t>
        </is>
      </c>
      <c r="D110" s="66" t="inlineStr">
        <is>
          <t>Libellé article</t>
        </is>
      </c>
      <c r="E110" s="168" t="inlineStr">
        <is>
          <t>Code à barres (EAN)</t>
        </is>
      </c>
      <c r="F110" s="66" t="inlineStr">
        <is>
          <t>Typ. Prod</t>
        </is>
      </c>
      <c r="H110" s="66" t="inlineStr">
        <is>
          <t>'#</t>
        </is>
      </c>
      <c r="J110" s="66" t="inlineStr">
        <is>
          <t>'€</t>
        </is>
      </c>
      <c r="K110" s="66" t="inlineStr">
        <is>
          <t>'€</t>
        </is>
      </c>
      <c r="M110" s="66" t="inlineStr">
        <is>
          <t>'€</t>
        </is>
      </c>
      <c r="N110" s="66" t="inlineStr">
        <is>
          <t>'€</t>
        </is>
      </c>
      <c r="P110" s="66" t="inlineStr">
        <is>
          <t>'€</t>
        </is>
      </c>
      <c r="R110" s="66" t="inlineStr">
        <is>
          <t>'€</t>
        </is>
      </c>
      <c r="T110" s="66" t="inlineStr">
        <is>
          <t>'€</t>
        </is>
      </c>
      <c r="U110" s="67" t="n"/>
      <c r="V110" s="66" t="inlineStr">
        <is>
          <t>'€</t>
        </is>
      </c>
      <c r="X110" s="66" t="inlineStr">
        <is>
          <t>'€</t>
        </is>
      </c>
      <c r="Z110" s="66" t="inlineStr">
        <is>
          <t>'€</t>
        </is>
      </c>
      <c r="AB110" s="66" t="inlineStr">
        <is>
          <t>'#</t>
        </is>
      </c>
      <c r="AC110" s="66" t="inlineStr">
        <is>
          <t>'€</t>
        </is>
      </c>
      <c r="AD110" s="66" t="inlineStr">
        <is>
          <t>'€</t>
        </is>
      </c>
      <c r="AE110" s="66" t="inlineStr">
        <is>
          <t>'€</t>
        </is>
      </c>
      <c r="AG110" s="66" t="inlineStr">
        <is>
          <t>'#</t>
        </is>
      </c>
      <c r="AH110" s="66" t="inlineStr">
        <is>
          <t>'€</t>
        </is>
      </c>
      <c r="AI110" s="66" t="inlineStr">
        <is>
          <t>'€</t>
        </is>
      </c>
      <c r="AJ110" s="66" t="inlineStr">
        <is>
          <t>'€</t>
        </is>
      </c>
      <c r="AL110" s="66" t="inlineStr">
        <is>
          <t>'#</t>
        </is>
      </c>
      <c r="AM110" s="66" t="inlineStr">
        <is>
          <t>'€</t>
        </is>
      </c>
      <c r="AN110" s="66" t="inlineStr">
        <is>
          <t>'€</t>
        </is>
      </c>
      <c r="AO110" s="66" t="inlineStr">
        <is>
          <t>'€</t>
        </is>
      </c>
      <c r="AQ110" s="66" t="inlineStr">
        <is>
          <t>'#</t>
        </is>
      </c>
      <c r="AR110" s="66" t="inlineStr">
        <is>
          <t>'€</t>
        </is>
      </c>
      <c r="AS110" s="66" t="inlineStr">
        <is>
          <t>'€</t>
        </is>
      </c>
      <c r="AT110" s="66" t="inlineStr">
        <is>
          <t>'€</t>
        </is>
      </c>
      <c r="AV110" s="66" t="inlineStr">
        <is>
          <t>'#</t>
        </is>
      </c>
      <c r="AW110" s="66" t="inlineStr">
        <is>
          <t>'€</t>
        </is>
      </c>
      <c r="AX110" s="66" t="inlineStr">
        <is>
          <t>'€</t>
        </is>
      </c>
      <c r="AY110" s="66" t="inlineStr">
        <is>
          <t>'€</t>
        </is>
      </c>
      <c r="BA110" s="66" t="inlineStr">
        <is>
          <t>'#</t>
        </is>
      </c>
      <c r="BB110" s="66" t="inlineStr">
        <is>
          <t>'€</t>
        </is>
      </c>
      <c r="BC110" s="66" t="inlineStr">
        <is>
          <t>'€</t>
        </is>
      </c>
      <c r="BD110" s="66" t="inlineStr">
        <is>
          <t>'€</t>
        </is>
      </c>
      <c r="BF110" s="66" t="inlineStr">
        <is>
          <t>'#</t>
        </is>
      </c>
      <c r="BG110" s="66" t="inlineStr">
        <is>
          <t>'€</t>
        </is>
      </c>
      <c r="BH110" s="66" t="inlineStr">
        <is>
          <t>'€</t>
        </is>
      </c>
      <c r="BI110" s="66" t="inlineStr">
        <is>
          <t>'€</t>
        </is>
      </c>
      <c r="BK110" s="66" t="inlineStr">
        <is>
          <t>'#</t>
        </is>
      </c>
      <c r="BL110" s="66" t="inlineStr">
        <is>
          <t>'€</t>
        </is>
      </c>
      <c r="BM110" s="66" t="inlineStr">
        <is>
          <t>'€</t>
        </is>
      </c>
      <c r="BN110" s="66" t="inlineStr">
        <is>
          <t>'€</t>
        </is>
      </c>
      <c r="BP110" s="66" t="inlineStr">
        <is>
          <t>'#</t>
        </is>
      </c>
      <c r="BQ110" s="66" t="inlineStr">
        <is>
          <t>'€</t>
        </is>
      </c>
      <c r="BR110" s="66" t="inlineStr">
        <is>
          <t>'€</t>
        </is>
      </c>
      <c r="BS110" s="66" t="inlineStr">
        <is>
          <t>'€</t>
        </is>
      </c>
      <c r="BU110" s="66" t="inlineStr">
        <is>
          <t>'#</t>
        </is>
      </c>
      <c r="BV110" s="66" t="inlineStr">
        <is>
          <t>'€</t>
        </is>
      </c>
      <c r="BW110" s="66" t="inlineStr">
        <is>
          <t>'€</t>
        </is>
      </c>
      <c r="BX110" s="66" t="inlineStr">
        <is>
          <t>'€</t>
        </is>
      </c>
      <c r="BZ110" s="66" t="inlineStr">
        <is>
          <t>'#</t>
        </is>
      </c>
      <c r="CA110" s="66" t="inlineStr">
        <is>
          <t>'€</t>
        </is>
      </c>
      <c r="CB110" s="66" t="inlineStr">
        <is>
          <t>'€</t>
        </is>
      </c>
      <c r="CC110" s="66" t="inlineStr">
        <is>
          <t>'€</t>
        </is>
      </c>
      <c r="CE110" s="33" t="n"/>
      <c r="CF110" s="68" t="inlineStr">
        <is>
          <t>'#</t>
        </is>
      </c>
      <c r="CG110" s="68" t="inlineStr">
        <is>
          <t>'€</t>
        </is>
      </c>
      <c r="CH110" s="68" t="inlineStr">
        <is>
          <t>'€</t>
        </is>
      </c>
      <c r="CI110" s="35" t="n"/>
      <c r="CJ110" s="69">
        <f>ROUNDUP(CF112*40%,-1)</f>
        <v/>
      </c>
      <c r="CK110" s="104" t="n"/>
    </row>
    <row r="111" ht="5.25" customHeight="1">
      <c r="CE111" s="33" t="n"/>
      <c r="CF111" s="39" t="n"/>
      <c r="CG111" s="39" t="n"/>
      <c r="CH111" s="39" t="n"/>
      <c r="CI111" s="35" t="n"/>
      <c r="CK111" s="104" t="n"/>
    </row>
    <row r="112" ht="12.95" customFormat="1" customHeight="1" s="69">
      <c r="B112" s="69">
        <f>C102</f>
        <v/>
      </c>
      <c r="C112" s="70" t="inlineStr">
        <is>
          <t>Synthèse</t>
        </is>
      </c>
      <c r="D112" s="70" t="n"/>
      <c r="E112" s="71" t="n"/>
      <c r="F112" s="70" t="n"/>
      <c r="H112" s="72">
        <f>IFERROR(SUMIFS(H114:H153,F114:F153,"Produit Vente"),"Non trouvé")</f>
        <v/>
      </c>
      <c r="J112" s="73">
        <f>IFERROR($K112/$H112,"Non Trouvé")</f>
        <v/>
      </c>
      <c r="K112" s="73">
        <f>IFERROR(SUM(K114:K153),"Non Trouvé")</f>
        <v/>
      </c>
      <c r="M112" s="73">
        <f>IFERROR($N112/$H112,"Non Trouvé")</f>
        <v/>
      </c>
      <c r="N112" s="73">
        <f>IFERROR(SUM(N114:N153),"Non Trouvé")</f>
        <v/>
      </c>
      <c r="P112" s="74">
        <f>IFERROR(-(R112-N112)/N112,"Non Trouvé")</f>
        <v/>
      </c>
      <c r="R112" s="73">
        <f>IFERROR(SUM(R114:R153),"Non Trouvé")</f>
        <v/>
      </c>
      <c r="T112" s="73">
        <f>IFERROR(SUM(T114:T153),"Non Trouvé")</f>
        <v/>
      </c>
      <c r="U112" s="75" t="n"/>
      <c r="V112" s="73">
        <f>IFERROR(SUM(V114:V154),"Non Trouvé")</f>
        <v/>
      </c>
      <c r="X112" s="73">
        <f>IFERROR(SUM(X114:X154),"Non Trouvé")</f>
        <v/>
      </c>
      <c r="Z112" s="73">
        <f>IFERROR(SUM(Z114:Z153),"Non Trouvé")</f>
        <v/>
      </c>
      <c r="AB112" s="76">
        <f>ROUND($AB$101*AB104,0)</f>
        <v/>
      </c>
      <c r="AC112" s="77">
        <f>IFERROR(VLOOKUP(AB107,'[1]Paramètres Généraux'!$O:$P,2,FALSE),"Non Trouvé")</f>
        <v/>
      </c>
      <c r="AD112" s="73">
        <f>IFERROR(SUM(AD114:AD154),"Non Trouvé")</f>
        <v/>
      </c>
      <c r="AE112" s="74">
        <f>IFERROR((AD112-$K112*AB112)/AD112,"Non Trouvé")</f>
        <v/>
      </c>
      <c r="AG112" s="76">
        <f>ROUND($AB$101*AG104,0)</f>
        <v/>
      </c>
      <c r="AH112" s="77">
        <f>IFERROR(VLOOKUP(AG107,'[1]Paramètres Généraux'!$O:$P,2,FALSE),"Non Trouvé")</f>
        <v/>
      </c>
      <c r="AI112" s="73">
        <f>IFERROR(SUM(AI114:AI154),"Non Trouvé")</f>
        <v/>
      </c>
      <c r="AJ112" s="74">
        <f>IFERROR((AI112-$K112*AG112)/AI112,"Non Trouvé")</f>
        <v/>
      </c>
      <c r="AL112" s="76">
        <f>ROUND($AB$101*AL104,0)</f>
        <v/>
      </c>
      <c r="AM112" s="77">
        <f>IFERROR(VLOOKUP(AL107,'[1]Paramètres Généraux'!$O:$P,2,FALSE),"Non Trouvé")</f>
        <v/>
      </c>
      <c r="AN112" s="73">
        <f>IFERROR(SUM(AN114:AN154),"Non Trouvé")</f>
        <v/>
      </c>
      <c r="AO112" s="74">
        <f>IFERROR((AN112-$K112*AL112)/AN112,"Non Trouvé")</f>
        <v/>
      </c>
      <c r="AQ112" s="76">
        <f>ROUND($AB$101*AQ104,0)</f>
        <v/>
      </c>
      <c r="AR112" s="77">
        <f>IFERROR(VLOOKUP(AQ107,'[1]Paramètres Généraux'!$O:$P,2,FALSE),"Non Trouvé")</f>
        <v/>
      </c>
      <c r="AS112" s="73">
        <f>IFERROR(SUM(AS114:AS154),"Non Trouvé")</f>
        <v/>
      </c>
      <c r="AT112" s="74">
        <f>IFERROR((AS112-$K112*AQ112)/AS112,"Non Trouvé")</f>
        <v/>
      </c>
      <c r="AV112" s="76">
        <f>ROUND($AB$101*AV104,0)</f>
        <v/>
      </c>
      <c r="AW112" s="77">
        <f>IFERROR(VLOOKUP(AV107,'[1]Paramètres Généraux'!$O:$P,2,FALSE),"Non Trouvé")</f>
        <v/>
      </c>
      <c r="AX112" s="73">
        <f>IFERROR(SUM(AX114:AX154),"Non Trouvé")</f>
        <v/>
      </c>
      <c r="AY112" s="74">
        <f>IFERROR((AX112-$K112*AV112)/AX112,"Non Trouvé")</f>
        <v/>
      </c>
      <c r="BA112" s="76">
        <f>ROUND($AB$101*BA104,0)</f>
        <v/>
      </c>
      <c r="BB112" s="77">
        <f>IFERROR(VLOOKUP(BA107,'[1]Paramètres Généraux'!$O:$P,2,FALSE),"Non Trouvé")</f>
        <v/>
      </c>
      <c r="BC112" s="73">
        <f>IFERROR(SUM(BC114:BC154),"Non Trouvé")</f>
        <v/>
      </c>
      <c r="BD112" s="74">
        <f>IFERROR((BC112-$K112*BA112)/BC112,"Non Trouvé")</f>
        <v/>
      </c>
      <c r="BF112" s="76">
        <f>ROUND($AB$101*BF104,0)</f>
        <v/>
      </c>
      <c r="BG112" s="77">
        <f>IFERROR(VLOOKUP(BF107,'[1]Paramètres Généraux'!$O:$P,2,FALSE),"Non Trouvé")</f>
        <v/>
      </c>
      <c r="BH112" s="73">
        <f>IFERROR(SUM(BH114:BH154),"Non Trouvé")</f>
        <v/>
      </c>
      <c r="BI112" s="74">
        <f>IFERROR((BH112-$K112*BF112)/BH112,"Non Trouvé")</f>
        <v/>
      </c>
      <c r="BK112" s="76">
        <f>ROUND($AB$101*BK104,0)</f>
        <v/>
      </c>
      <c r="BL112" s="77">
        <f>IFERROR(VLOOKUP(BK107,'[1]Paramètres Généraux'!$O:$P,2,FALSE),"Non Trouvé")</f>
        <v/>
      </c>
      <c r="BM112" s="73">
        <f>IFERROR(SUM(BM114:BM154),"Non Trouvé")</f>
        <v/>
      </c>
      <c r="BN112" s="74">
        <f>IFERROR((BM112-$K112*BK112)/BM112,"Non Trouvé")</f>
        <v/>
      </c>
      <c r="BP112" s="76">
        <f>ROUND($AB$101*BP104,0)</f>
        <v/>
      </c>
      <c r="BQ112" s="77">
        <f>IFERROR(VLOOKUP(BP107,'[1]Paramètres Généraux'!$O:$P,2,FALSE),"Non Trouvé")</f>
        <v/>
      </c>
      <c r="BR112" s="73">
        <f>IFERROR(SUM(BR114:BR154),"Non Trouvé")</f>
        <v/>
      </c>
      <c r="BS112" s="74">
        <f>IFERROR((BR112-$K112*BP112)/BR112,"Non Trouvé")</f>
        <v/>
      </c>
      <c r="BU112" s="76">
        <f>ROUND($AB$101*BU104,0)</f>
        <v/>
      </c>
      <c r="BV112" s="77">
        <f>IFERROR(VLOOKUP(BU107,'[1]Paramètres Généraux'!$O:$P,2,FALSE),"Non Trouvé")</f>
        <v/>
      </c>
      <c r="BW112" s="73">
        <f>IFERROR(SUM(BW114:BW154),"Non Trouvé")</f>
        <v/>
      </c>
      <c r="BX112" s="74">
        <f>IFERROR((BW112-$K112*BU112)/BW112,"Non Trouvé")</f>
        <v/>
      </c>
      <c r="BZ112" s="76">
        <f>ROUND($AB$101*BZ104,0)</f>
        <v/>
      </c>
      <c r="CA112" s="77">
        <f>IFERROR(VLOOKUP(BZ107,'[1]Paramètres Généraux'!$O:$P,2,FALSE),"Non Trouvé")</f>
        <v/>
      </c>
      <c r="CB112" s="73">
        <f>IFERROR(SUM(CB114:CB154),"Non Trouvé")</f>
        <v/>
      </c>
      <c r="CC112" s="74">
        <f>IFERROR((CB112-$K112*BZ112)/CB112,"Non Trouvé")</f>
        <v/>
      </c>
      <c r="CE112" s="78" t="n"/>
      <c r="CF112" s="72">
        <f>SUMIFS($AB112:$CC112,$AB109:$CC109,CF109)</f>
        <v/>
      </c>
      <c r="CG112" s="72">
        <f>SUMIFS($AB112:$CC112,$AB109:$CC109,CG109)</f>
        <v/>
      </c>
      <c r="CH112" s="79">
        <f>IFERROR((CG112-$K112*CF112)/CG112,"Non Trouvé")</f>
        <v/>
      </c>
      <c r="CI112" s="80" t="n"/>
      <c r="CJ112" s="69">
        <f>ROUNDUP(CF112*70%,-1)</f>
        <v/>
      </c>
      <c r="CK112" s="10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  <c r="DP112" s="184" t="n"/>
    </row>
    <row r="113" ht="5.25" customHeight="1">
      <c r="CE113" s="33" t="n"/>
      <c r="CF113" s="39" t="n"/>
      <c r="CG113" s="39" t="n"/>
      <c r="CH113" s="39" t="n"/>
      <c r="CI113" s="35" t="n"/>
      <c r="CK113" s="104" t="n"/>
    </row>
    <row r="114" ht="12.95" customHeight="1">
      <c r="B114" s="1">
        <f>IF(C114="",0,COUNTIFS($B$22:B113,"&gt;"&amp;0)+1)</f>
        <v/>
      </c>
      <c r="C114" s="90" t="n">
        <v>1020202</v>
      </c>
      <c r="D114" s="91">
        <f>IFERROR(IF($C114="","",VLOOKUP($C114,'[1]Paramètres Articles'!$B:$G,2,FALSE)),"Non Trouvé")</f>
        <v/>
      </c>
      <c r="E114" s="92">
        <f>IFERROR(IF($C114="","",_xlfn.XLOOKUP(REGENERANTS!$C114,'[1]New Base PA'!$F:$F,'[1]New Base PA'!$D:$D,"Not Found",0)),"Non Trouvé")</f>
        <v/>
      </c>
      <c r="F114" s="93" t="inlineStr">
        <is>
          <t>Produit Vente</t>
        </is>
      </c>
      <c r="H114" s="94" t="n">
        <v>2</v>
      </c>
      <c r="J114" s="95">
        <f>IFERROR(IF($C114="","",VLOOKUP($C114,'[1]New Base PA'!$F:$J,5,FALSE)),"Non Trouvé")</f>
        <v/>
      </c>
      <c r="K114" s="136">
        <f>IFERROR(IF($C114="","",$J114*$H114),"Non Trouvé")</f>
        <v/>
      </c>
      <c r="L114" s="137" t="n"/>
      <c r="M114" s="95">
        <f>IFERROR(IF(AND($F114="Produit Vente",H114&gt;0),VLOOKUP($C114,'[1]Paramètres Articles'!$B:$G,6,FALSE),0),"Non Trouvé")</f>
        <v/>
      </c>
      <c r="N114" s="95">
        <f>IFERROR(IF($C114="","",$M114*$H114),"Non Trouvé")</f>
        <v/>
      </c>
      <c r="P114" s="97" t="n">
        <v>0.05</v>
      </c>
      <c r="R114" s="95">
        <f>IFERROR(IF($C114="","",$N114*(1-$P114)),"Non Trouvé")</f>
        <v/>
      </c>
      <c r="S114" s="96" t="n"/>
      <c r="T114" s="95">
        <f>IFERROR(IF($C114="","",VLOOKUP($C114,'[1]Paramètres Articles'!$B:$H,7,FALSE)),"Non Trouvé")</f>
        <v/>
      </c>
      <c r="U114" s="98" t="n"/>
      <c r="V114" s="95">
        <f>IFERROR(IF($C114="","",IF($P114="","",$T114*(1-$P114))),"Non Trouvé")</f>
        <v/>
      </c>
      <c r="W114" s="96" t="n"/>
      <c r="X114" s="95">
        <f>IFERROR(T114-V114,"")</f>
        <v/>
      </c>
      <c r="Y114" s="96" t="n"/>
      <c r="Z114" s="95">
        <f>IFERROR(IF(OR(T114=0,T114=""),0,T114*H114),"Non Trouvé")</f>
        <v/>
      </c>
      <c r="AB114" s="99">
        <f>AB112</f>
        <v/>
      </c>
      <c r="AC114" s="99">
        <f>AC112</f>
        <v/>
      </c>
      <c r="AD114" s="95">
        <f>IFERROR(IF($C114="","",IF($P$15="Cascade",$R114*(1-AC114)*AB114,IF($P$15="Additionnelle",($N114-($N114*($P114+AC114)))*AB114))),"Non Trouvé")</f>
        <v/>
      </c>
      <c r="AG114" s="99">
        <f>AG112</f>
        <v/>
      </c>
      <c r="AH114" s="99">
        <f>AH112</f>
        <v/>
      </c>
      <c r="AI114" s="95">
        <f>IFERROR(IF($C114="","",IF($P$15="Cascade",$R114*(1-AH114)*AG114,IF($P$15="Additionnelle",($N114-($N114*($P114+AH114)))*AG114))),"Non Trouvé")</f>
        <v/>
      </c>
      <c r="AL114" s="99">
        <f>AL112</f>
        <v/>
      </c>
      <c r="AM114" s="99">
        <f>AM112</f>
        <v/>
      </c>
      <c r="AN114" s="95">
        <f>IFERROR(IF($C114="","",IF($P$15="Cascade",$R114*(1-AM114)*AL114,IF($P$15="Additionnelle",($N114-($N114*($P114+AM114)))*AL114))),"Non Trouvé")</f>
        <v/>
      </c>
      <c r="AQ114" s="99">
        <f>AQ112</f>
        <v/>
      </c>
      <c r="AR114" s="99">
        <f>AR112</f>
        <v/>
      </c>
      <c r="AS114" s="95">
        <f>IFERROR(IF($C114="","",IF($P$15="Cascade",$R114*(1-AR114)*AQ114,IF($P$15="Additionnelle",($N114-($N114*($P114+AR114)))*AQ114))),"Non Trouvé")</f>
        <v/>
      </c>
      <c r="AV114" s="99">
        <f>AV112</f>
        <v/>
      </c>
      <c r="AW114" s="99">
        <f>AW112</f>
        <v/>
      </c>
      <c r="AX114" s="95">
        <f>IFERROR(IF($C114="","",IF($P$15="Cascade",$R114*(1-AW114)*AV114,IF($P$15="Additionnelle",($N114-($N114*($P114+AW114)))*AV114))),"Non Trouvé")</f>
        <v/>
      </c>
      <c r="BA114" s="99">
        <f>BA112</f>
        <v/>
      </c>
      <c r="BB114" s="99">
        <f>BB112</f>
        <v/>
      </c>
      <c r="BC114" s="95">
        <f>IFERROR(IF($C114="","",IF($P$15="Cascade",$R114*(1-BB114)*BA114,IF($P$15="Additionnelle",($N114-($N114*($P114+BB114)))*BA114))),"Non Trouvé")</f>
        <v/>
      </c>
      <c r="BF114" s="99">
        <f>BF112</f>
        <v/>
      </c>
      <c r="BG114" s="99">
        <f>BG112</f>
        <v/>
      </c>
      <c r="BH114" s="95">
        <f>IFERROR(IF($C114="","",IF($P$15="Cascade",$R114*(1-BG114)*BF114,IF($P$15="Additionnelle",($N114-($N114*($P114+BG114)))*BF114))),"Non Trouvé")</f>
        <v/>
      </c>
      <c r="BK114" s="99">
        <f>BK112</f>
        <v/>
      </c>
      <c r="BL114" s="99">
        <f>BL112</f>
        <v/>
      </c>
      <c r="BM114" s="95">
        <f>IFERROR(IF($C114="","",IF($P$15="Cascade",$R114*(1-BL114)*BK114,IF($P$15="Additionnelle",($N114-($N114*($P114+BL114)))*BK114))),"Non Trouvé")</f>
        <v/>
      </c>
      <c r="BP114" s="99">
        <f>BP112</f>
        <v/>
      </c>
      <c r="BQ114" s="99">
        <f>BQ112</f>
        <v/>
      </c>
      <c r="BR114" s="95">
        <f>IFERROR(IF($C114="","",IF($P$15="Cascade",$R114*(1-BQ114)*BP114,IF($P$15="Additionnelle",($N114-($N114*($P114+BQ114)))*BP114))),"Non Trouvé")</f>
        <v/>
      </c>
      <c r="BU114" s="99">
        <f>BU112</f>
        <v/>
      </c>
      <c r="BV114" s="99">
        <f>BV112</f>
        <v/>
      </c>
      <c r="BW114" s="95">
        <f>IFERROR(IF($C114="","",IF($P$15="Cascade",$R114*(1-BV114)*BU114,IF($P$15="Additionnelle",($N114-($N114*($P114+BV114)))*BU114))),"Non Trouvé")</f>
        <v/>
      </c>
      <c r="BZ114" s="99">
        <f>BZ112</f>
        <v/>
      </c>
      <c r="CA114" s="99">
        <f>CA112</f>
        <v/>
      </c>
      <c r="CB114" s="95">
        <f>IFERROR(IF($C114="","",IF($P$15="Cascade",$R114*(1-CA114)*BZ114,IF($P$15="Additionnelle",($N114-($N114*($P114+CA114)))*BZ114))),"Non Trouvé")</f>
        <v/>
      </c>
      <c r="CE114" s="100" t="n"/>
      <c r="CF114" s="101" t="n"/>
      <c r="CG114" s="102" t="n"/>
      <c r="CH114" s="102" t="n"/>
      <c r="CI114" s="103" t="n"/>
      <c r="CK114" s="104">
        <f>IFERROR(IF(F114='[1]Paramètres Généraux'!$K$12,ROUNDUP((REGENERANTS!H114*REGENERANTS!$CF$112)*'[1]Paramètres Généraux'!$M$12,-1),IF(F114='[1]Paramètres Généraux'!$K$15,ROUNDUP((REGENERANTS!H114*REGENERANTS!$CF$112)*'[1]Paramètres Généraux'!$M$15,-1),REGENERANTS!H114*REGENERANTS!$CF$112)),"nd")</f>
        <v/>
      </c>
      <c r="CN114" s="171" t="n"/>
      <c r="CO114" s="172" t="n"/>
      <c r="CP114" s="172" t="n"/>
      <c r="CQ114" s="172" t="n"/>
      <c r="CR114" s="172" t="n"/>
      <c r="CS114" s="173" t="n"/>
      <c r="CT114" s="174" t="n"/>
      <c r="CU114" s="172" t="n"/>
      <c r="CV114" s="173" t="n"/>
      <c r="CW114" s="175" t="n"/>
      <c r="CX114" s="176" t="n"/>
      <c r="CY114" s="175" t="n"/>
      <c r="CZ114" s="177" t="n"/>
      <c r="DA114" s="176" t="n"/>
      <c r="DB114" s="175" t="n"/>
      <c r="DC114" s="177" t="n"/>
      <c r="DD114" s="176" t="n"/>
      <c r="DE114" s="175" t="n"/>
      <c r="DF114" s="177" t="n"/>
      <c r="DG114" s="177" t="n"/>
      <c r="DH114" s="177" t="n"/>
      <c r="DI114" s="177" t="n"/>
      <c r="DJ114" s="177" t="n"/>
      <c r="DK114" s="177" t="n"/>
      <c r="DL114" s="177" t="n"/>
      <c r="DM114" s="177" t="n"/>
      <c r="DN114" s="177" t="n"/>
      <c r="DO114" s="176" t="n"/>
      <c r="DP114" s="175" t="n"/>
      <c r="DQ114" s="20">
        <f>SUM(CN114:DP114)</f>
        <v/>
      </c>
      <c r="DR114" s="20">
        <f>SUM(CV114:DP114)</f>
        <v/>
      </c>
      <c r="DS114" s="20">
        <f>IFERROR((IF(AND($F114="Produit Vente",CO114&gt;0),VLOOKUP($C114,'[1]Paramètres Articles'!$B:$H,7,FALSE)*$CO114)*(1-20%)),0)</f>
        <v/>
      </c>
      <c r="DT114" s="20">
        <f>IFERROR((IF(AND($F114="Produit Vente",DR114&gt;0),VLOOKUP($C114,'[1]Paramètres Articles'!$B:$H,6,FALSE)*$DR114)*(1-15%)),0)</f>
        <v/>
      </c>
      <c r="DU114" s="20">
        <f>IFERROR(DQ114*J114,0)</f>
        <v/>
      </c>
    </row>
    <row r="115" ht="12.95" customHeight="1">
      <c r="B115" s="1">
        <f>IF(C115="",0,COUNTIFS($B$22:B114,"&gt;"&amp;0)+1)</f>
        <v/>
      </c>
      <c r="C115" s="90" t="n">
        <v>1020310</v>
      </c>
      <c r="D115" s="91">
        <f>IFERROR(IF($C115="","",VLOOKUP($C115,'[1]Paramètres Articles'!$B:$G,2,FALSE)),"Non Trouvé")</f>
        <v/>
      </c>
      <c r="E115" s="92">
        <f>IFERROR(IF($C115="","",_xlfn.XLOOKUP(REGENERANTS!$C115,'[1]New Base PA'!$F:$F,'[1]New Base PA'!$D:$D,"Not Found",0)),"Non Trouvé")</f>
        <v/>
      </c>
      <c r="F115" s="93" t="inlineStr">
        <is>
          <t>Produit Vente</t>
        </is>
      </c>
      <c r="H115" s="94" t="n">
        <v>1</v>
      </c>
      <c r="J115" s="95">
        <f>IFERROR(IF($C115="","",VLOOKUP($C115,'[1]New Base PA'!$F:$J,5,FALSE)),"Non Trouvé")</f>
        <v/>
      </c>
      <c r="K115" s="136">
        <f>IFERROR(IF($C115="","",$J115*$H115),"Non Trouvé")</f>
        <v/>
      </c>
      <c r="L115" s="137" t="n"/>
      <c r="M115" s="95">
        <f>IFERROR(IF(AND($F115="Produit Vente",H115&gt;0),VLOOKUP($C115,'[1]Paramètres Articles'!$B:$G,6,FALSE),0),"Non Trouvé")</f>
        <v/>
      </c>
      <c r="N115" s="95">
        <f>IFERROR(IF($C115="","",$M115*$H115),"Non Trouvé")</f>
        <v/>
      </c>
      <c r="P115" s="97" t="n">
        <v>0.05</v>
      </c>
      <c r="R115" s="95">
        <f>IFERROR(IF($C115="","",$N115*(1-$P115)),"Non Trouvé")</f>
        <v/>
      </c>
      <c r="S115" s="96" t="n"/>
      <c r="T115" s="95">
        <f>IFERROR(IF($C115="","",VLOOKUP($C115,'[1]Paramètres Articles'!$B:$H,7,FALSE)),"Non Trouvé")</f>
        <v/>
      </c>
      <c r="U115" s="98" t="n"/>
      <c r="V115" s="95">
        <f>IFERROR(IF($C115="","",IF($P115="","",$T115*(1-$P115))),"Non Trouvé")</f>
        <v/>
      </c>
      <c r="W115" s="96" t="n"/>
      <c r="X115" s="95">
        <f>IFERROR(T115-V115,"")</f>
        <v/>
      </c>
      <c r="Y115" s="96" t="n"/>
      <c r="Z115" s="95">
        <f>IFERROR(IF(OR(T115=0,T115=""),0,T115*H115),"Non Trouvé")</f>
        <v/>
      </c>
      <c r="AB115" s="99">
        <f>AB114</f>
        <v/>
      </c>
      <c r="AC115" s="99">
        <f>AC114</f>
        <v/>
      </c>
      <c r="AD115" s="95">
        <f>IFERROR(IF($C115="","",IF($P$15="Cascade",$R115*(1-AC115)*AB115,IF($P$15="Additionnelle",($N115-($N115*($P115+AC115)))*AB115))),"Non Trouvé")</f>
        <v/>
      </c>
      <c r="AG115" s="99">
        <f>AG114</f>
        <v/>
      </c>
      <c r="AH115" s="99">
        <f>AH114</f>
        <v/>
      </c>
      <c r="AI115" s="95">
        <f>IFERROR(IF($C115="","",IF($P$15="Cascade",$R115*(1-AH115)*AG115,IF($P$15="Additionnelle",($N115-($N115*($P115+AH115)))*AG115))),"Non Trouvé")</f>
        <v/>
      </c>
      <c r="AL115" s="99">
        <f>AL114</f>
        <v/>
      </c>
      <c r="AM115" s="99">
        <f>AM114</f>
        <v/>
      </c>
      <c r="AN115" s="95">
        <f>IFERROR(IF($C115="","",IF($P$15="Cascade",$R115*(1-AM115)*AL115,IF($P$15="Additionnelle",($N115-($N115*($P115+AM115)))*AL115))),"Non Trouvé")</f>
        <v/>
      </c>
      <c r="AQ115" s="99">
        <f>AQ114</f>
        <v/>
      </c>
      <c r="AR115" s="99">
        <f>AR114</f>
        <v/>
      </c>
      <c r="AS115" s="95">
        <f>IFERROR(IF($C115="","",IF($P$15="Cascade",$R115*(1-AR115)*AQ115,IF($P$15="Additionnelle",($N115-($N115*($P115+AR115)))*AQ115))),"Non Trouvé")</f>
        <v/>
      </c>
      <c r="AV115" s="99">
        <f>AV114</f>
        <v/>
      </c>
      <c r="AW115" s="99">
        <f>AW114</f>
        <v/>
      </c>
      <c r="AX115" s="95">
        <f>IFERROR(IF($C115="","",IF($P$15="Cascade",$R115*(1-AW115)*AV115,IF($P$15="Additionnelle",($N115-($N115*($P115+AW115)))*AV115))),"Non Trouvé")</f>
        <v/>
      </c>
      <c r="BA115" s="99">
        <f>BA114</f>
        <v/>
      </c>
      <c r="BB115" s="99">
        <f>BB114</f>
        <v/>
      </c>
      <c r="BC115" s="95">
        <f>IFERROR(IF($C115="","",IF($P$15="Cascade",$R115*(1-BB115)*BA115,IF($P$15="Additionnelle",($N115-($N115*($P115+BB115)))*BA115))),"Non Trouvé")</f>
        <v/>
      </c>
      <c r="BF115" s="99">
        <f>BF114</f>
        <v/>
      </c>
      <c r="BG115" s="99">
        <f>BG114</f>
        <v/>
      </c>
      <c r="BH115" s="95">
        <f>IFERROR(IF($C115="","",IF($P$15="Cascade",$R115*(1-BG115)*BF115,IF($P$15="Additionnelle",($N115-($N115*($P115+BG115)))*BF115))),"Non Trouvé")</f>
        <v/>
      </c>
      <c r="BK115" s="99">
        <f>BK114</f>
        <v/>
      </c>
      <c r="BL115" s="99">
        <f>BL114</f>
        <v/>
      </c>
      <c r="BM115" s="95">
        <f>IFERROR(IF($C115="","",IF($P$15="Cascade",$R115*(1-BL115)*BK115,IF($P$15="Additionnelle",($N115-($N115*($P115+BL115)))*BK115))),"Non Trouvé")</f>
        <v/>
      </c>
      <c r="BP115" s="99">
        <f>BP114</f>
        <v/>
      </c>
      <c r="BQ115" s="99">
        <f>BQ114</f>
        <v/>
      </c>
      <c r="BR115" s="95">
        <f>IFERROR(IF($C115="","",IF($P$15="Cascade",$R115*(1-BQ115)*BP115,IF($P$15="Additionnelle",($N115-($N115*($P115+BQ115)))*BP115))),"Non Trouvé")</f>
        <v/>
      </c>
      <c r="BU115" s="99">
        <f>BU114</f>
        <v/>
      </c>
      <c r="BV115" s="99">
        <f>BV114</f>
        <v/>
      </c>
      <c r="BW115" s="95">
        <f>IFERROR(IF($C115="","",IF($P$15="Cascade",$R115*(1-BV115)*BU115,IF($P$15="Additionnelle",($N115-($N115*($P115+BV115)))*BU115))),"Non Trouvé")</f>
        <v/>
      </c>
      <c r="BZ115" s="99">
        <f>BZ114</f>
        <v/>
      </c>
      <c r="CA115" s="99">
        <f>CA114</f>
        <v/>
      </c>
      <c r="CB115" s="95">
        <f>IFERROR(IF($C115="","",IF($P$15="Cascade",$R115*(1-CA115)*BZ115,IF($P$15="Additionnelle",($N115-($N115*($P115+CA115)))*BZ115))),"Non Trouvé")</f>
        <v/>
      </c>
      <c r="CE115" s="100" t="n"/>
      <c r="CF115" s="119" t="n"/>
      <c r="CG115" s="120" t="inlineStr">
        <is>
          <t>Prix Offre Moy. Remisé :</t>
        </is>
      </c>
      <c r="CH115" s="121">
        <f>CG112/CF112</f>
        <v/>
      </c>
      <c r="CI115" s="103" t="n"/>
      <c r="CK115" s="104">
        <f>IFERROR(IF(F115='[1]Paramètres Généraux'!$K$12,ROUNDUP((REGENERANTS!H115*REGENERANTS!$CF$112)*'[1]Paramètres Généraux'!$M$12,-1),IF(F115='[1]Paramètres Généraux'!$K$15,ROUNDUP((REGENERANTS!H115*REGENERANTS!$CF$112)*'[1]Paramètres Généraux'!$M$15,-1),REGENERANTS!H115*REGENERANTS!$CF$112)),"nd")</f>
        <v/>
      </c>
      <c r="CN115" s="105" t="n"/>
      <c r="CO115" s="106" t="n"/>
      <c r="CP115" s="106" t="n"/>
      <c r="CQ115" s="106" t="n"/>
      <c r="CR115" s="106" t="n"/>
      <c r="CS115" s="178" t="n"/>
      <c r="CT115" s="179" t="n"/>
      <c r="CU115" s="106" t="n"/>
      <c r="CV115" s="178" t="n"/>
      <c r="CW115" s="111" t="n"/>
      <c r="CX115" s="112" t="n"/>
      <c r="CY115" s="111" t="n"/>
      <c r="CZ115" s="109" t="n"/>
      <c r="DA115" s="112" t="n"/>
      <c r="DB115" s="111" t="n"/>
      <c r="DC115" s="109" t="n"/>
      <c r="DD115" s="112" t="n"/>
      <c r="DE115" s="111" t="n"/>
      <c r="DF115" s="109" t="n"/>
      <c r="DG115" s="109" t="n"/>
      <c r="DH115" s="109" t="n"/>
      <c r="DI115" s="109" t="n"/>
      <c r="DJ115" s="109" t="n"/>
      <c r="DK115" s="109" t="n"/>
      <c r="DL115" s="109" t="n"/>
      <c r="DM115" s="109" t="n"/>
      <c r="DN115" s="109" t="n"/>
      <c r="DO115" s="112" t="n"/>
      <c r="DP115" s="111" t="n"/>
      <c r="DQ115" s="20">
        <f>SUM(CN115:DP115)</f>
        <v/>
      </c>
      <c r="DR115" s="20">
        <f>SUM(CV115:DP115)</f>
        <v/>
      </c>
      <c r="DS115" s="20">
        <f>IFERROR((IF(AND($F115="Produit Vente",CO115&gt;0),VLOOKUP($C115,'[1]Paramètres Articles'!$B:$H,7,FALSE)*$CO115)*(1-20%)),0)</f>
        <v/>
      </c>
      <c r="DT115" s="20">
        <f>IFERROR((IF(AND($F115="Produit Vente",DR115&gt;0),VLOOKUP($C115,'[1]Paramètres Articles'!$B:$H,6,FALSE)*$DR115)*(1-15%)),0)</f>
        <v/>
      </c>
      <c r="DU115" s="20">
        <f>IFERROR(DQ115*J115,0)</f>
        <v/>
      </c>
    </row>
    <row r="116" ht="12.95" customHeight="1">
      <c r="B116" s="1">
        <f>IF(C116="",0,COUNTIFS($B$22:B115,"&gt;"&amp;0)+1)</f>
        <v/>
      </c>
      <c r="C116" s="90" t="n">
        <v>1020401</v>
      </c>
      <c r="D116" s="91">
        <f>IFERROR(IF($C116="","",VLOOKUP($C116,'[1]Paramètres Articles'!$B:$G,2,FALSE)),"Non Trouvé")</f>
        <v/>
      </c>
      <c r="E116" s="92">
        <f>IFERROR(IF($C116="","",_xlfn.XLOOKUP(REGENERANTS!$C116,'[1]New Base PA'!$F:$F,'[1]New Base PA'!$D:$D,"Not Found",0)),"Non Trouvé")</f>
        <v/>
      </c>
      <c r="F116" s="93" t="inlineStr">
        <is>
          <t>Produit Vente</t>
        </is>
      </c>
      <c r="H116" s="94" t="n">
        <v>1</v>
      </c>
      <c r="J116" s="95">
        <f>IFERROR(IF($C116="","",VLOOKUP($C116,'[1]New Base PA'!$F:$J,5,FALSE)),"Non Trouvé")</f>
        <v/>
      </c>
      <c r="K116" s="136">
        <f>IFERROR(IF($C116="","",$J116*$H116),"Non Trouvé")</f>
        <v/>
      </c>
      <c r="L116" s="137" t="n"/>
      <c r="M116" s="95">
        <f>IFERROR(IF(AND($F116="Produit Vente",H116&gt;0),VLOOKUP($C116,'[1]Paramètres Articles'!$B:$G,6,FALSE),0),"Non Trouvé")</f>
        <v/>
      </c>
      <c r="N116" s="95">
        <f>IFERROR(IF($C116="","",$M116*$H116),"Non Trouvé")</f>
        <v/>
      </c>
      <c r="P116" s="97" t="n">
        <v>0.05</v>
      </c>
      <c r="R116" s="95">
        <f>IFERROR(IF($C116="","",$N116*(1-$P116)),"Non Trouvé")</f>
        <v/>
      </c>
      <c r="S116" s="96" t="n"/>
      <c r="T116" s="95">
        <f>IFERROR(IF($C116="","",VLOOKUP($C116,'[1]Paramètres Articles'!$B:$H,7,FALSE)),"Non Trouvé")</f>
        <v/>
      </c>
      <c r="U116" s="98" t="n"/>
      <c r="V116" s="95">
        <f>IFERROR(IF($C116="","",IF($P116="","",$T116*(1-$P116))),"Non Trouvé")</f>
        <v/>
      </c>
      <c r="W116" s="96" t="n"/>
      <c r="X116" s="95">
        <f>IFERROR(T116-V116,"")</f>
        <v/>
      </c>
      <c r="Y116" s="96" t="n"/>
      <c r="Z116" s="95">
        <f>IFERROR(IF(OR(T116=0,T116=""),0,T116*H116),"Non Trouvé")</f>
        <v/>
      </c>
      <c r="AB116" s="99">
        <f>AB114</f>
        <v/>
      </c>
      <c r="AC116" s="99">
        <f>AC114</f>
        <v/>
      </c>
      <c r="AD116" s="95">
        <f>IFERROR(IF($C116="","",IF($P$15="Cascade",$R116*(1-AC116)*AB116,IF($P$15="Additionnelle",($N116-($N116*($P116+AC116)))*AB116))),"Non Trouvé")</f>
        <v/>
      </c>
      <c r="AG116" s="99">
        <f>AG114</f>
        <v/>
      </c>
      <c r="AH116" s="99">
        <f>AH114</f>
        <v/>
      </c>
      <c r="AI116" s="95">
        <f>IFERROR(IF($C116="","",IF($P$15="Cascade",$R116*(1-AH116)*AG116,IF($P$15="Additionnelle",($N116-($N116*($P116+AH116)))*AG116))),"Non Trouvé")</f>
        <v/>
      </c>
      <c r="AL116" s="99">
        <f>AL114</f>
        <v/>
      </c>
      <c r="AM116" s="99">
        <f>AM114</f>
        <v/>
      </c>
      <c r="AN116" s="95">
        <f>IFERROR(IF($C116="","",IF($P$15="Cascade",$R116*(1-AM116)*AL116,IF($P$15="Additionnelle",($N116-($N116*($P116+AM116)))*AL116))),"Non Trouvé")</f>
        <v/>
      </c>
      <c r="AQ116" s="99">
        <f>AQ114</f>
        <v/>
      </c>
      <c r="AR116" s="99">
        <f>AR114</f>
        <v/>
      </c>
      <c r="AS116" s="95">
        <f>IFERROR(IF($C116="","",IF($P$15="Cascade",$R116*(1-AR116)*AQ116,IF($P$15="Additionnelle",($N116-($N116*($P116+AR116)))*AQ116))),"Non Trouvé")</f>
        <v/>
      </c>
      <c r="AV116" s="99">
        <f>AV114</f>
        <v/>
      </c>
      <c r="AW116" s="99">
        <f>AW114</f>
        <v/>
      </c>
      <c r="AX116" s="95">
        <f>IFERROR(IF($C116="","",IF($P$15="Cascade",$R116*(1-AW116)*AV116,IF($P$15="Additionnelle",($N116-($N116*($P116+AW116)))*AV116))),"Non Trouvé")</f>
        <v/>
      </c>
      <c r="BA116" s="99">
        <f>BA114</f>
        <v/>
      </c>
      <c r="BB116" s="99">
        <f>BB114</f>
        <v/>
      </c>
      <c r="BC116" s="95">
        <f>IFERROR(IF($C116="","",IF($P$15="Cascade",$R116*(1-BB116)*BA116,IF($P$15="Additionnelle",($N116-($N116*($P116+BB116)))*BA116))),"Non Trouvé")</f>
        <v/>
      </c>
      <c r="BF116" s="99">
        <f>BF114</f>
        <v/>
      </c>
      <c r="BG116" s="99">
        <f>BG114</f>
        <v/>
      </c>
      <c r="BH116" s="95">
        <f>IFERROR(IF($C116="","",IF($P$15="Cascade",$R116*(1-BG116)*BF116,IF($P$15="Additionnelle",($N116-($N116*($P116+BG116)))*BF116))),"Non Trouvé")</f>
        <v/>
      </c>
      <c r="BK116" s="99">
        <f>BK114</f>
        <v/>
      </c>
      <c r="BL116" s="99">
        <f>BL114</f>
        <v/>
      </c>
      <c r="BM116" s="95">
        <f>IFERROR(IF($C116="","",IF($P$15="Cascade",$R116*(1-BL116)*BK116,IF($P$15="Additionnelle",($N116-($N116*($P116+BL116)))*BK116))),"Non Trouvé")</f>
        <v/>
      </c>
      <c r="BP116" s="99">
        <f>BP114</f>
        <v/>
      </c>
      <c r="BQ116" s="99">
        <f>BQ114</f>
        <v/>
      </c>
      <c r="BR116" s="95">
        <f>IFERROR(IF($C116="","",IF($P$15="Cascade",$R116*(1-BQ116)*BP116,IF($P$15="Additionnelle",($N116-($N116*($P116+BQ116)))*BP116))),"Non Trouvé")</f>
        <v/>
      </c>
      <c r="BU116" s="99">
        <f>BU114</f>
        <v/>
      </c>
      <c r="BV116" s="99">
        <f>BV114</f>
        <v/>
      </c>
      <c r="BW116" s="95">
        <f>IFERROR(IF($C116="","",IF($P$15="Cascade",$R116*(1-BV116)*BU116,IF($P$15="Additionnelle",($N116-($N116*($P116+BV116)))*BU116))),"Non Trouvé")</f>
        <v/>
      </c>
      <c r="BZ116" s="99">
        <f>BZ114</f>
        <v/>
      </c>
      <c r="CA116" s="99">
        <f>CA114</f>
        <v/>
      </c>
      <c r="CB116" s="95">
        <f>IFERROR(IF($C116="","",IF($P$15="Cascade",$R116*(1-CA116)*BZ116,IF($P$15="Additionnelle",($N116-($N116*($P116+CA116)))*BZ116))),"Non Trouvé")</f>
        <v/>
      </c>
      <c r="CE116" s="100" t="n"/>
      <c r="CF116" s="119" t="n"/>
      <c r="CG116" s="120" t="inlineStr">
        <is>
          <t>Poids Gratuités achats :</t>
        </is>
      </c>
      <c r="CH116" s="123">
        <f>SUM(CH118:CH121)</f>
        <v/>
      </c>
      <c r="CI116" s="103" t="n"/>
      <c r="CK116" s="104">
        <f>IFERROR(IF(F116='[1]Paramètres Généraux'!$K$12,ROUNDUP((REGENERANTS!H116*REGENERANTS!$CF$112)*'[1]Paramètres Généraux'!$M$12,-1),IF(F116='[1]Paramètres Généraux'!$K$15,ROUNDUP((REGENERANTS!H116*REGENERANTS!$CF$112)*'[1]Paramètres Généraux'!$M$15,-1),REGENERANTS!H116*REGENERANTS!$CF$112)),"nd")</f>
        <v/>
      </c>
      <c r="CN116" s="105" t="n"/>
      <c r="CO116" s="106" t="n"/>
      <c r="CP116" s="106" t="n"/>
      <c r="CQ116" s="106" t="n"/>
      <c r="CR116" s="106" t="n"/>
      <c r="CS116" s="178" t="n"/>
      <c r="CT116" s="179" t="n"/>
      <c r="CU116" s="106" t="n"/>
      <c r="CV116" s="178" t="n"/>
      <c r="CW116" s="111" t="n"/>
      <c r="CX116" s="112" t="n"/>
      <c r="CY116" s="111" t="n"/>
      <c r="CZ116" s="109" t="n"/>
      <c r="DA116" s="112" t="n"/>
      <c r="DB116" s="111" t="n"/>
      <c r="DC116" s="109" t="n"/>
      <c r="DD116" s="112" t="n"/>
      <c r="DE116" s="111" t="n"/>
      <c r="DF116" s="109" t="n"/>
      <c r="DG116" s="109" t="n"/>
      <c r="DH116" s="109" t="n"/>
      <c r="DI116" s="109" t="n"/>
      <c r="DJ116" s="109" t="n"/>
      <c r="DK116" s="109" t="n"/>
      <c r="DL116" s="109" t="n"/>
      <c r="DM116" s="109" t="n"/>
      <c r="DN116" s="109" t="n"/>
      <c r="DO116" s="112" t="n"/>
      <c r="DP116" s="111" t="n"/>
      <c r="DQ116" s="20">
        <f>SUM(CN116:DP116)</f>
        <v/>
      </c>
      <c r="DR116" s="20">
        <f>SUM(CV116:DP116)</f>
        <v/>
      </c>
      <c r="DS116" s="20">
        <f>IFERROR((IF(AND($F116="Produit Vente",CO116&gt;0),VLOOKUP($C116,'[1]Paramètres Articles'!$B:$H,7,FALSE)*$CO116)*(1-20%)),0)</f>
        <v/>
      </c>
      <c r="DT116" s="20">
        <f>IFERROR((IF(AND($F116="Produit Vente",DR116&gt;0),VLOOKUP($C116,'[1]Paramètres Articles'!$B:$H,6,FALSE)*$DR116)*(1-15%)),0)</f>
        <v/>
      </c>
      <c r="DU116" s="20">
        <f>IFERROR(DQ116*J116,0)</f>
        <v/>
      </c>
    </row>
    <row r="117" outlineLevel="1" collapsed="1" ht="12.95" customHeight="1">
      <c r="B117" s="1">
        <f>IF(C117="",0,COUNTIFS($B$22:B116,"&gt;"&amp;0)+1)</f>
        <v/>
      </c>
      <c r="C117" s="90" t="n">
        <v>1020302</v>
      </c>
      <c r="D117" s="91">
        <f>IFERROR(IF($C117="","",VLOOKUP($C117,'[1]Paramètres Articles'!$B:$G,2,FALSE)),"Non Trouvé")</f>
        <v/>
      </c>
      <c r="E117" s="92">
        <f>IFERROR(IF($C117="","",_xlfn.XLOOKUP(REGENERANTS!$C117,'[1]New Base PA'!$F:$F,'[1]New Base PA'!$D:$D,"Not Found",0)),"Non Trouvé")</f>
        <v/>
      </c>
      <c r="F117" s="93" t="inlineStr">
        <is>
          <t>Produit Vente</t>
        </is>
      </c>
      <c r="H117" s="94" t="n">
        <v>0</v>
      </c>
      <c r="J117" s="95">
        <f>IFERROR(IF($C117="","",VLOOKUP($C117,'[1]New Base PA'!$F:$J,5,FALSE)),"Non Trouvé")</f>
        <v/>
      </c>
      <c r="K117" s="136">
        <f>IFERROR(IF($C117="","",$J117*$H117),"Non Trouvé")</f>
        <v/>
      </c>
      <c r="L117" s="137" t="n"/>
      <c r="M117" s="95">
        <f>IFERROR(IF(AND($F117="Produit Vente",H117&gt;0),VLOOKUP($C117,'[1]Paramètres Articles'!$B:$G,6,FALSE),0),"Non Trouvé")</f>
        <v/>
      </c>
      <c r="N117" s="95">
        <f>IFERROR(IF($C117="","",$M117*$H117),"Non Trouvé")</f>
        <v/>
      </c>
      <c r="P117" s="97" t="n">
        <v>0.05</v>
      </c>
      <c r="R117" s="95">
        <f>IFERROR(IF($C117="","",$N117*(1-$P117)),"Non Trouvé")</f>
        <v/>
      </c>
      <c r="S117" s="96" t="n"/>
      <c r="T117" s="95">
        <f>IFERROR(IF($C117="","",VLOOKUP($C117,'[1]Paramètres Articles'!$B:$H,7,FALSE)),"Non Trouvé")</f>
        <v/>
      </c>
      <c r="U117" s="98" t="n"/>
      <c r="V117" s="95">
        <f>IFERROR(IF($C117="","",IF($P117="","",$T117*(1-$P117))),"Non Trouvé")</f>
        <v/>
      </c>
      <c r="W117" s="96" t="n"/>
      <c r="X117" s="95">
        <f>IFERROR(T117-V117,"")</f>
        <v/>
      </c>
      <c r="Y117" s="96" t="n"/>
      <c r="Z117" s="95">
        <f>IFERROR(IF(OR(T117=0,T117=""),0,T117*H117),"Non Trouvé")</f>
        <v/>
      </c>
      <c r="AB117" s="99">
        <f>AB116</f>
        <v/>
      </c>
      <c r="AC117" s="99">
        <f>AC116</f>
        <v/>
      </c>
      <c r="AD117" s="95">
        <f>IFERROR(IF($C117="","",IF($P$15="Cascade",$R117*(1-AC117)*AB117,IF($P$15="Additionnelle",($N117-($N117*($P117+AC117)))*AB117))),"Non Trouvé")</f>
        <v/>
      </c>
      <c r="AG117" s="99">
        <f>AG116</f>
        <v/>
      </c>
      <c r="AH117" s="99">
        <f>AH116</f>
        <v/>
      </c>
      <c r="AI117" s="95">
        <f>IFERROR(IF($C117="","",IF($P$15="Cascade",$R117*(1-AH117)*AG117,IF($P$15="Additionnelle",($N117-($N117*($P117+AH117)))*AG117))),"Non Trouvé")</f>
        <v/>
      </c>
      <c r="AL117" s="99">
        <f>AL116</f>
        <v/>
      </c>
      <c r="AM117" s="99">
        <f>AM116</f>
        <v/>
      </c>
      <c r="AN117" s="95">
        <f>IFERROR(IF($C117="","",IF($P$15="Cascade",$R117*(1-AM117)*AL117,IF($P$15="Additionnelle",($N117-($N117*($P117+AM117)))*AL117))),"Non Trouvé")</f>
        <v/>
      </c>
      <c r="AQ117" s="99">
        <f>AQ116</f>
        <v/>
      </c>
      <c r="AR117" s="99">
        <f>AR116</f>
        <v/>
      </c>
      <c r="AS117" s="95">
        <f>IFERROR(IF($C117="","",IF($P$15="Cascade",$R117*(1-AR117)*AQ117,IF($P$15="Additionnelle",($N117-($N117*($P117+AR117)))*AQ117))),"Non Trouvé")</f>
        <v/>
      </c>
      <c r="AV117" s="99">
        <f>AV116</f>
        <v/>
      </c>
      <c r="AW117" s="99">
        <f>AW116</f>
        <v/>
      </c>
      <c r="AX117" s="95">
        <f>IFERROR(IF($C117="","",IF($P$15="Cascade",$R117*(1-AW117)*AV117,IF($P$15="Additionnelle",($N117-($N117*($P117+AW117)))*AV117))),"Non Trouvé")</f>
        <v/>
      </c>
      <c r="BA117" s="99">
        <f>BA116</f>
        <v/>
      </c>
      <c r="BB117" s="99">
        <f>BB116</f>
        <v/>
      </c>
      <c r="BC117" s="95">
        <f>IFERROR(IF($C117="","",IF($P$15="Cascade",$R117*(1-BB117)*BA117,IF($P$15="Additionnelle",($N117-($N117*($P117+BB117)))*BA117))),"Non Trouvé")</f>
        <v/>
      </c>
      <c r="BF117" s="99">
        <f>BF116</f>
        <v/>
      </c>
      <c r="BG117" s="99">
        <f>BG116</f>
        <v/>
      </c>
      <c r="BH117" s="95">
        <f>IFERROR(IF($C117="","",IF($P$15="Cascade",$R117*(1-BG117)*BF117,IF($P$15="Additionnelle",($N117-($N117*($P117+BG117)))*BF117))),"Non Trouvé")</f>
        <v/>
      </c>
      <c r="BK117" s="99">
        <f>BK116</f>
        <v/>
      </c>
      <c r="BL117" s="99">
        <f>BL116</f>
        <v/>
      </c>
      <c r="BM117" s="95">
        <f>IFERROR(IF($C117="","",IF($P$15="Cascade",$R117*(1-BL117)*BK117,IF($P$15="Additionnelle",($N117-($N117*($P117+BL117)))*BK117))),"Non Trouvé")</f>
        <v/>
      </c>
      <c r="BP117" s="99">
        <f>BP116</f>
        <v/>
      </c>
      <c r="BQ117" s="99">
        <f>BQ116</f>
        <v/>
      </c>
      <c r="BR117" s="95">
        <f>IFERROR(IF($C117="","",IF($P$15="Cascade",$R117*(1-BQ117)*BP117,IF($P$15="Additionnelle",($N117-($N117*($P117+BQ117)))*BP117))),"Non Trouvé")</f>
        <v/>
      </c>
      <c r="BU117" s="99">
        <f>BU116</f>
        <v/>
      </c>
      <c r="BV117" s="99">
        <f>BV116</f>
        <v/>
      </c>
      <c r="BW117" s="95">
        <f>IFERROR(IF($C117="","",IF($P$15="Cascade",$R117*(1-BV117)*BU117,IF($P$15="Additionnelle",($N117-($N117*($P117+BV117)))*BU117))),"Non Trouvé")</f>
        <v/>
      </c>
      <c r="BZ117" s="99">
        <f>BZ116</f>
        <v/>
      </c>
      <c r="CA117" s="99">
        <f>CA116</f>
        <v/>
      </c>
      <c r="CB117" s="95">
        <f>IFERROR(IF($C117="","",IF($P$15="Cascade",$R117*(1-CA117)*BZ117,IF($P$15="Additionnelle",($N117-($N117*($P117+CA117)))*BZ117))),"Non Trouvé")</f>
        <v/>
      </c>
      <c r="CE117" s="100" t="n"/>
      <c r="CF117" s="101" t="n"/>
      <c r="CG117" s="102" t="n"/>
      <c r="CH117" s="102" t="n"/>
      <c r="CI117" s="103" t="n"/>
      <c r="CK117" s="104">
        <f>IFERROR(IF(F117='[1]Paramètres Généraux'!$K$12,ROUNDUP((REGENERANTS!H117*REGENERANTS!$CF$112)*'[1]Paramètres Généraux'!$M$12,-1),IF(F117='[1]Paramètres Généraux'!$K$15,ROUNDUP((REGENERANTS!H117*REGENERANTS!$CF$112)*'[1]Paramètres Généraux'!$M$15,-1),REGENERANTS!H117*REGENERANTS!$CF$112)),"nd")</f>
        <v/>
      </c>
      <c r="CN117" s="105" t="n"/>
      <c r="CO117" s="106" t="n"/>
      <c r="CP117" s="106" t="n"/>
      <c r="CQ117" s="106" t="n"/>
      <c r="CR117" s="106" t="n"/>
      <c r="CS117" s="178" t="n"/>
      <c r="CT117" s="179" t="n"/>
      <c r="CU117" s="106" t="n"/>
      <c r="CV117" s="178" t="n"/>
      <c r="CW117" s="111" t="n"/>
      <c r="CX117" s="112" t="n"/>
      <c r="CY117" s="111" t="n"/>
      <c r="CZ117" s="109" t="n"/>
      <c r="DA117" s="112" t="n"/>
      <c r="DB117" s="111" t="n"/>
      <c r="DC117" s="109" t="n"/>
      <c r="DD117" s="112" t="n"/>
      <c r="DE117" s="111" t="n"/>
      <c r="DF117" s="109" t="n"/>
      <c r="DG117" s="109" t="n"/>
      <c r="DH117" s="109" t="n"/>
      <c r="DI117" s="109" t="n"/>
      <c r="DJ117" s="109" t="n"/>
      <c r="DK117" s="109" t="n"/>
      <c r="DL117" s="109" t="n"/>
      <c r="DM117" s="109" t="n"/>
      <c r="DN117" s="109" t="n"/>
      <c r="DO117" s="112" t="n"/>
      <c r="DP117" s="111" t="n"/>
      <c r="DQ117" s="20">
        <f>SUM(CN117:DP117)</f>
        <v/>
      </c>
      <c r="DR117" s="20">
        <f>SUM(CV117:DP117)</f>
        <v/>
      </c>
      <c r="DS117" s="20">
        <f>IFERROR((IF(AND($F117="Produit Vente",CO117&gt;0),VLOOKUP($C117,'[1]Paramètres Articles'!$B:$H,7,FALSE)*$CO117)*(1-20%)),0)</f>
        <v/>
      </c>
      <c r="DT117" s="20">
        <f>IFERROR((IF(AND($F117="Produit Vente",DR117&gt;0),VLOOKUP($C117,'[1]Paramètres Articles'!$B:$H,6,FALSE)*$DR117)*(1-15%)),0)</f>
        <v/>
      </c>
      <c r="DU117" s="20">
        <f>IFERROR(DQ117*J117,0)</f>
        <v/>
      </c>
    </row>
    <row r="118" outlineLevel="1" collapsed="1" ht="12.95" customHeight="1">
      <c r="B118" s="1">
        <f>IF(C118="",0,COUNTIFS($B$22:B117,"&gt;"&amp;0)+1)</f>
        <v/>
      </c>
      <c r="C118" s="90" t="n">
        <v>1020721</v>
      </c>
      <c r="D118" s="91">
        <f>IFERROR(IF($C118="","",VLOOKUP($C118,'[1]Paramètres Articles'!$B:$G,2,FALSE)),"Non Trouvé")</f>
        <v/>
      </c>
      <c r="E118" s="92">
        <f>IFERROR(IF($C118="","",_xlfn.XLOOKUP(REGENERANTS!$C118,'[1]New Base PA'!$F:$F,'[1]New Base PA'!$D:$D,"Not Found",0)),"Non Trouvé")</f>
        <v/>
      </c>
      <c r="F118" s="93" t="inlineStr">
        <is>
          <t>Produit Vente</t>
        </is>
      </c>
      <c r="H118" s="94" t="n">
        <v>1</v>
      </c>
      <c r="J118" s="95">
        <f>IFERROR(IF($C118="","",VLOOKUP($C118,'[1]New Base PA'!$F:$J,5,FALSE)),"Non Trouvé")</f>
        <v/>
      </c>
      <c r="K118" s="136">
        <f>IFERROR(IF($C118="","",$J118*$H118),"Non Trouvé")</f>
        <v/>
      </c>
      <c r="L118" s="137" t="n"/>
      <c r="M118" s="95">
        <f>IFERROR(IF(AND($F118="Produit Vente",H118&gt;0),VLOOKUP($C118,'[1]Paramètres Articles'!$B:$G,6,FALSE),0),"Non Trouvé")</f>
        <v/>
      </c>
      <c r="N118" s="95">
        <f>IFERROR(IF($C118="","",$M118*$H118),"Non Trouvé")</f>
        <v/>
      </c>
      <c r="P118" s="97" t="n">
        <v>0.05</v>
      </c>
      <c r="R118" s="95">
        <f>IFERROR(IF($C118="","",$N118*(1-$P118)),"Non Trouvé")</f>
        <v/>
      </c>
      <c r="S118" s="96" t="n"/>
      <c r="T118" s="95">
        <f>IFERROR(IF($C118="","",VLOOKUP($C118,'[1]Paramètres Articles'!$B:$H,7,FALSE)),"Non Trouvé")</f>
        <v/>
      </c>
      <c r="U118" s="98" t="n"/>
      <c r="V118" s="95">
        <f>IFERROR(IF($C118="","",IF($P118="","",$T118*(1-$P118))),"Non Trouvé")</f>
        <v/>
      </c>
      <c r="W118" s="96" t="n"/>
      <c r="X118" s="95">
        <f>IFERROR(T118-V118,"")</f>
        <v/>
      </c>
      <c r="Y118" s="96" t="n"/>
      <c r="Z118" s="95">
        <f>IFERROR(IF(OR(T118=0,T118=""),0,T118*H118),"Non Trouvé")</f>
        <v/>
      </c>
      <c r="AB118" s="99">
        <f>AB116</f>
        <v/>
      </c>
      <c r="AC118" s="99">
        <f>AC116</f>
        <v/>
      </c>
      <c r="AD118" s="95">
        <f>IFERROR(IF($C118="","",IF($P$15="Cascade",$R118*(1-AC118)*AB118,IF($P$15="Additionnelle",($N118-($N118*($P118+AC118)))*AB118))),"Non Trouvé")</f>
        <v/>
      </c>
      <c r="AG118" s="99">
        <f>AG116</f>
        <v/>
      </c>
      <c r="AH118" s="99">
        <f>AH116</f>
        <v/>
      </c>
      <c r="AI118" s="95">
        <f>IFERROR(IF($C118="","",IF($P$15="Cascade",$R118*(1-AH118)*AG118,IF($P$15="Additionnelle",($N118-($N118*($P118+AH118)))*AG118))),"Non Trouvé")</f>
        <v/>
      </c>
      <c r="AL118" s="99">
        <f>AL116</f>
        <v/>
      </c>
      <c r="AM118" s="99">
        <f>AM116</f>
        <v/>
      </c>
      <c r="AN118" s="95">
        <f>IFERROR(IF($C118="","",IF($P$15="Cascade",$R118*(1-AM118)*AL118,IF($P$15="Additionnelle",($N118-($N118*($P118+AM118)))*AL118))),"Non Trouvé")</f>
        <v/>
      </c>
      <c r="AQ118" s="99">
        <f>AQ116</f>
        <v/>
      </c>
      <c r="AR118" s="99">
        <f>AR116</f>
        <v/>
      </c>
      <c r="AS118" s="95">
        <f>IFERROR(IF($C118="","",IF($P$15="Cascade",$R118*(1-AR118)*AQ118,IF($P$15="Additionnelle",($N118-($N118*($P118+AR118)))*AQ118))),"Non Trouvé")</f>
        <v/>
      </c>
      <c r="AV118" s="99">
        <f>AV116</f>
        <v/>
      </c>
      <c r="AW118" s="99">
        <f>AW116</f>
        <v/>
      </c>
      <c r="AX118" s="95">
        <f>IFERROR(IF($C118="","",IF($P$15="Cascade",$R118*(1-AW118)*AV118,IF($P$15="Additionnelle",($N118-($N118*($P118+AW118)))*AV118))),"Non Trouvé")</f>
        <v/>
      </c>
      <c r="BA118" s="99">
        <f>BA116</f>
        <v/>
      </c>
      <c r="BB118" s="99">
        <f>BB116</f>
        <v/>
      </c>
      <c r="BC118" s="95">
        <f>IFERROR(IF($C118="","",IF($P$15="Cascade",$R118*(1-BB118)*BA118,IF($P$15="Additionnelle",($N118-($N118*($P118+BB118)))*BA118))),"Non Trouvé")</f>
        <v/>
      </c>
      <c r="BF118" s="99">
        <f>BF116</f>
        <v/>
      </c>
      <c r="BG118" s="99">
        <f>BG116</f>
        <v/>
      </c>
      <c r="BH118" s="95">
        <f>IFERROR(IF($C118="","",IF($P$15="Cascade",$R118*(1-BG118)*BF118,IF($P$15="Additionnelle",($N118-($N118*($P118+BG118)))*BF118))),"Non Trouvé")</f>
        <v/>
      </c>
      <c r="BK118" s="99">
        <f>BK116</f>
        <v/>
      </c>
      <c r="BL118" s="99">
        <f>BL116</f>
        <v/>
      </c>
      <c r="BM118" s="95">
        <f>IFERROR(IF($C118="","",IF($P$15="Cascade",$R118*(1-BL118)*BK118,IF($P$15="Additionnelle",($N118-($N118*($P118+BL118)))*BK118))),"Non Trouvé")</f>
        <v/>
      </c>
      <c r="BP118" s="99">
        <f>BP116</f>
        <v/>
      </c>
      <c r="BQ118" s="99">
        <f>BQ116</f>
        <v/>
      </c>
      <c r="BR118" s="95">
        <f>IFERROR(IF($C118="","",IF($P$15="Cascade",$R118*(1-BQ118)*BP118,IF($P$15="Additionnelle",($N118-($N118*($P118+BQ118)))*BP118))),"Non Trouvé")</f>
        <v/>
      </c>
      <c r="BU118" s="99">
        <f>BU116</f>
        <v/>
      </c>
      <c r="BV118" s="99">
        <f>BV116</f>
        <v/>
      </c>
      <c r="BW118" s="95">
        <f>IFERROR(IF($C118="","",IF($P$15="Cascade",$R118*(1-BV118)*BU118,IF($P$15="Additionnelle",($N118-($N118*($P118+BV118)))*BU118))),"Non Trouvé")</f>
        <v/>
      </c>
      <c r="BZ118" s="99">
        <f>BZ116</f>
        <v/>
      </c>
      <c r="CA118" s="99">
        <f>CA116</f>
        <v/>
      </c>
      <c r="CB118" s="95">
        <f>IFERROR(IF($C118="","",IF($P$15="Cascade",$R118*(1-CA118)*BZ118,IF($P$15="Additionnelle",($N118-($N118*($P118+CA118)))*BZ118))),"Non Trouvé")</f>
        <v/>
      </c>
      <c r="CE118" s="100" t="n"/>
      <c r="CF118" s="101" t="n"/>
      <c r="CG118" s="93" t="inlineStr">
        <is>
          <t>UG</t>
        </is>
      </c>
      <c r="CH118" s="125">
        <f>SUMIFS(K114:K153,F114:F153,CG118)/SUMIFS(K114:K153,F114:F153,"Produit Vente")</f>
        <v/>
      </c>
      <c r="CI118" s="103" t="n"/>
      <c r="CK118" s="104">
        <f>IFERROR(IF(F118='[1]Paramètres Généraux'!$K$12,ROUNDUP((REGENERANTS!H118*REGENERANTS!$CF$112)*'[1]Paramètres Généraux'!$M$12,-1),IF(F118='[1]Paramètres Généraux'!$K$15,ROUNDUP((REGENERANTS!H118*REGENERANTS!$CF$112)*'[1]Paramètres Généraux'!$M$15,-1),REGENERANTS!H118*REGENERANTS!$CF$112)),"nd")</f>
        <v/>
      </c>
      <c r="CN118" s="105" t="n"/>
      <c r="CO118" s="106" t="n"/>
      <c r="CP118" s="106" t="n"/>
      <c r="CQ118" s="106" t="n"/>
      <c r="CR118" s="106" t="n"/>
      <c r="CS118" s="178" t="n"/>
      <c r="CT118" s="179" t="n"/>
      <c r="CU118" s="106" t="n"/>
      <c r="CV118" s="178" t="n"/>
      <c r="CW118" s="111" t="n"/>
      <c r="CX118" s="112" t="n"/>
      <c r="CY118" s="111" t="n"/>
      <c r="CZ118" s="109" t="n"/>
      <c r="DA118" s="112" t="n"/>
      <c r="DB118" s="111" t="n"/>
      <c r="DC118" s="109" t="n"/>
      <c r="DD118" s="112" t="n"/>
      <c r="DE118" s="111" t="n"/>
      <c r="DF118" s="109" t="n"/>
      <c r="DG118" s="109" t="n"/>
      <c r="DH118" s="109" t="n"/>
      <c r="DI118" s="109" t="n"/>
      <c r="DJ118" s="109" t="n"/>
      <c r="DK118" s="109" t="n"/>
      <c r="DL118" s="109" t="n"/>
      <c r="DM118" s="109" t="n"/>
      <c r="DN118" s="109" t="n"/>
      <c r="DO118" s="112" t="n"/>
      <c r="DP118" s="111" t="n"/>
      <c r="DQ118" s="20">
        <f>SUM(CN118:DP118)</f>
        <v/>
      </c>
      <c r="DR118" s="20">
        <f>SUM(CV118:DP118)</f>
        <v/>
      </c>
      <c r="DS118" s="20">
        <f>IFERROR((IF(AND($F118="Produit Vente",CO118&gt;0),VLOOKUP($C118,'[1]Paramètres Articles'!$B:$H,7,FALSE)*$CO118)*(1-20%)),0)</f>
        <v/>
      </c>
      <c r="DT118" s="20">
        <f>IFERROR((IF(AND($F118="Produit Vente",DR118&gt;0),VLOOKUP($C118,'[1]Paramètres Articles'!$B:$H,6,FALSE)*$DR118)*(1-15%)),0)</f>
        <v/>
      </c>
      <c r="DU118" s="20">
        <f>IFERROR(DQ118*J118,0)</f>
        <v/>
      </c>
    </row>
    <row r="119" outlineLevel="1" collapsed="1" ht="12.95" customHeight="1">
      <c r="B119" s="1">
        <f>IF(C119="",0,COUNTIFS($B$22:B118,"&gt;"&amp;0)+1)</f>
        <v/>
      </c>
      <c r="C119" s="90" t="n">
        <v>1020107</v>
      </c>
      <c r="D119" s="91">
        <f>IFERROR(IF($C119="","",VLOOKUP($C119,'[1]Paramètres Articles'!$B:$G,2,FALSE)),"Non Trouvé")</f>
        <v/>
      </c>
      <c r="E119" s="92">
        <f>IFERROR(IF($C119="","",_xlfn.XLOOKUP(REGENERANTS!$C119,'[1]New Base PA'!$F:$F,'[1]New Base PA'!$D:$D,"Not Found",0)),"Non Trouvé")</f>
        <v/>
      </c>
      <c r="F119" s="93" t="inlineStr">
        <is>
          <t>Produit Vente</t>
        </is>
      </c>
      <c r="H119" s="94" t="n">
        <v>0</v>
      </c>
      <c r="J119" s="95">
        <f>IFERROR(IF($C119="","",VLOOKUP($C119,'[1]New Base PA'!$F:$J,5,FALSE)),"Non Trouvé")</f>
        <v/>
      </c>
      <c r="K119" s="136">
        <f>IFERROR(IF($C119="","",$J119*$H119),"Non Trouvé")</f>
        <v/>
      </c>
      <c r="L119" s="137" t="n"/>
      <c r="M119" s="95">
        <f>IFERROR(IF(AND($F119="Produit Vente",H119&gt;0),VLOOKUP($C119,'[1]Paramètres Articles'!$B:$G,6,FALSE),0),"Non Trouvé")</f>
        <v/>
      </c>
      <c r="N119" s="95">
        <f>IFERROR(IF($C119="","",$M119*$H119),"Non Trouvé")</f>
        <v/>
      </c>
      <c r="P119" s="97" t="n">
        <v>0.05</v>
      </c>
      <c r="R119" s="95">
        <f>IFERROR(IF($C119="","",$N119*(1-$P119)),"Non Trouvé")</f>
        <v/>
      </c>
      <c r="S119" s="96" t="n"/>
      <c r="T119" s="95">
        <f>IFERROR(IF($C119="","",VLOOKUP($C119,'[1]Paramètres Articles'!$B:$H,7,FALSE)),"Non Trouvé")</f>
        <v/>
      </c>
      <c r="U119" s="98" t="n"/>
      <c r="V119" s="95">
        <f>IFERROR(IF($C119="","",IF($P119="","",$T119*(1-$P119))),"Non Trouvé")</f>
        <v/>
      </c>
      <c r="W119" s="96" t="n"/>
      <c r="X119" s="95">
        <f>IFERROR(T119-V119,"")</f>
        <v/>
      </c>
      <c r="Y119" s="96" t="n"/>
      <c r="Z119" s="95">
        <f>IFERROR(IF(OR(T119=0,T119=""),0,T119*H119),"Non Trouvé")</f>
        <v/>
      </c>
      <c r="AB119" s="99">
        <f>AB118</f>
        <v/>
      </c>
      <c r="AC119" s="99">
        <f>AC118</f>
        <v/>
      </c>
      <c r="AD119" s="95">
        <f>IFERROR(IF($C119="","",IF($P$15="Cascade",$R119*(1-AC119)*AB119,IF($P$15="Additionnelle",($N119-($N119*($P119+AC119)))*AB119))),"Non Trouvé")</f>
        <v/>
      </c>
      <c r="AG119" s="99">
        <f>AG118</f>
        <v/>
      </c>
      <c r="AH119" s="99">
        <f>AH118</f>
        <v/>
      </c>
      <c r="AI119" s="95">
        <f>IFERROR(IF($C119="","",IF($P$15="Cascade",$R119*(1-AH119)*AG119,IF($P$15="Additionnelle",($N119-($N119*($P119+AH119)))*AG119))),"Non Trouvé")</f>
        <v/>
      </c>
      <c r="AL119" s="99">
        <f>AL118</f>
        <v/>
      </c>
      <c r="AM119" s="99">
        <f>AM118</f>
        <v/>
      </c>
      <c r="AN119" s="95">
        <f>IFERROR(IF($C119="","",IF($P$15="Cascade",$R119*(1-AM119)*AL119,IF($P$15="Additionnelle",($N119-($N119*($P119+AM119)))*AL119))),"Non Trouvé")</f>
        <v/>
      </c>
      <c r="AQ119" s="99">
        <f>AQ118</f>
        <v/>
      </c>
      <c r="AR119" s="99">
        <f>AR118</f>
        <v/>
      </c>
      <c r="AS119" s="95">
        <f>IFERROR(IF($C119="","",IF($P$15="Cascade",$R119*(1-AR119)*AQ119,IF($P$15="Additionnelle",($N119-($N119*($P119+AR119)))*AQ119))),"Non Trouvé")</f>
        <v/>
      </c>
      <c r="AV119" s="99">
        <f>AV118</f>
        <v/>
      </c>
      <c r="AW119" s="99">
        <f>AW118</f>
        <v/>
      </c>
      <c r="AX119" s="95">
        <f>IFERROR(IF($C119="","",IF($P$15="Cascade",$R119*(1-AW119)*AV119,IF($P$15="Additionnelle",($N119-($N119*($P119+AW119)))*AV119))),"Non Trouvé")</f>
        <v/>
      </c>
      <c r="BA119" s="99">
        <f>BA118</f>
        <v/>
      </c>
      <c r="BB119" s="99">
        <f>BB118</f>
        <v/>
      </c>
      <c r="BC119" s="95">
        <f>IFERROR(IF($C119="","",IF($P$15="Cascade",$R119*(1-BB119)*BA119,IF($P$15="Additionnelle",($N119-($N119*($P119+BB119)))*BA119))),"Non Trouvé")</f>
        <v/>
      </c>
      <c r="BF119" s="99">
        <f>BF118</f>
        <v/>
      </c>
      <c r="BG119" s="99">
        <f>BG118</f>
        <v/>
      </c>
      <c r="BH119" s="95">
        <f>IFERROR(IF($C119="","",IF($P$15="Cascade",$R119*(1-BG119)*BF119,IF($P$15="Additionnelle",($N119-($N119*($P119+BG119)))*BF119))),"Non Trouvé")</f>
        <v/>
      </c>
      <c r="BK119" s="99">
        <f>BK118</f>
        <v/>
      </c>
      <c r="BL119" s="99">
        <f>BL118</f>
        <v/>
      </c>
      <c r="BM119" s="95">
        <f>IFERROR(IF($C119="","",IF($P$15="Cascade",$R119*(1-BL119)*BK119,IF($P$15="Additionnelle",($N119-($N119*($P119+BL119)))*BK119))),"Non Trouvé")</f>
        <v/>
      </c>
      <c r="BP119" s="99">
        <f>BP118</f>
        <v/>
      </c>
      <c r="BQ119" s="99">
        <f>BQ118</f>
        <v/>
      </c>
      <c r="BR119" s="95">
        <f>IFERROR(IF($C119="","",IF($P$15="Cascade",$R119*(1-BQ119)*BP119,IF($P$15="Additionnelle",($N119-($N119*($P119+BQ119)))*BP119))),"Non Trouvé")</f>
        <v/>
      </c>
      <c r="BU119" s="99">
        <f>BU118</f>
        <v/>
      </c>
      <c r="BV119" s="99">
        <f>BV118</f>
        <v/>
      </c>
      <c r="BW119" s="95">
        <f>IFERROR(IF($C119="","",IF($P$15="Cascade",$R119*(1-BV119)*BU119,IF($P$15="Additionnelle",($N119-($N119*($P119+BV119)))*BU119))),"Non Trouvé")</f>
        <v/>
      </c>
      <c r="BZ119" s="99">
        <f>BZ118</f>
        <v/>
      </c>
      <c r="CA119" s="99">
        <f>CA118</f>
        <v/>
      </c>
      <c r="CB119" s="95">
        <f>IFERROR(IF($C119="","",IF($P$15="Cascade",$R119*(1-CA119)*BZ119,IF($P$15="Additionnelle",($N119-($N119*($P119+CA119)))*BZ119))),"Non Trouvé")</f>
        <v/>
      </c>
      <c r="CE119" s="100" t="n"/>
      <c r="CF119" s="101" t="n"/>
      <c r="CG119" s="93" t="inlineStr">
        <is>
          <t>PLV</t>
        </is>
      </c>
      <c r="CH119" s="125">
        <f>(SUMIFS(K114:K153,F114:F153,"PLV (PDC ou autre)")+SUMIFS(K114:K153,F114:F153,"PLV (vitrine)"))/K112</f>
        <v/>
      </c>
      <c r="CI119" s="103" t="n"/>
      <c r="CK119" s="104">
        <f>IFERROR(IF(F119='[1]Paramètres Généraux'!$K$12,ROUNDUP((REGENERANTS!H119*REGENERANTS!$CF$112)*'[1]Paramètres Généraux'!$M$12,-1),IF(F119='[1]Paramètres Généraux'!$K$15,ROUNDUP((REGENERANTS!H119*REGENERANTS!$CF$112)*'[1]Paramètres Généraux'!$M$15,-1),REGENERANTS!H119*REGENERANTS!$CF$112)),"nd")</f>
        <v/>
      </c>
      <c r="CN119" s="105" t="n"/>
      <c r="CO119" s="106" t="n"/>
      <c r="CP119" s="106" t="n"/>
      <c r="CQ119" s="106" t="n"/>
      <c r="CR119" s="106" t="n"/>
      <c r="CS119" s="178" t="n"/>
      <c r="CT119" s="179" t="n"/>
      <c r="CU119" s="106" t="n"/>
      <c r="CV119" s="178" t="n"/>
      <c r="CW119" s="111" t="n"/>
      <c r="CX119" s="112" t="n"/>
      <c r="CY119" s="111" t="n"/>
      <c r="CZ119" s="109" t="n"/>
      <c r="DA119" s="112" t="n"/>
      <c r="DB119" s="111" t="n"/>
      <c r="DC119" s="109" t="n"/>
      <c r="DD119" s="112" t="n"/>
      <c r="DE119" s="111" t="n"/>
      <c r="DF119" s="109" t="n"/>
      <c r="DG119" s="109" t="n"/>
      <c r="DH119" s="109" t="n"/>
      <c r="DI119" s="109" t="n"/>
      <c r="DJ119" s="109" t="n"/>
      <c r="DK119" s="109" t="n"/>
      <c r="DL119" s="109" t="n"/>
      <c r="DM119" s="109" t="n"/>
      <c r="DN119" s="109" t="n"/>
      <c r="DO119" s="112" t="n"/>
      <c r="DP119" s="111" t="n"/>
      <c r="DQ119" s="20">
        <f>SUM(CN119:DP119)</f>
        <v/>
      </c>
      <c r="DR119" s="20">
        <f>SUM(CV119:DP119)</f>
        <v/>
      </c>
      <c r="DS119" s="20">
        <f>IFERROR((IF(AND($F119="Produit Vente",CO119&gt;0),VLOOKUP($C119,'[1]Paramètres Articles'!$B:$H,7,FALSE)*$CO119)*(1-20%)),0)</f>
        <v/>
      </c>
      <c r="DT119" s="20">
        <f>IFERROR((IF(AND($F119="Produit Vente",DR119&gt;0),VLOOKUP($C119,'[1]Paramètres Articles'!$B:$H,6,FALSE)*$DR119)*(1-15%)),0)</f>
        <v/>
      </c>
      <c r="DU119" s="20">
        <f>IFERROR(DQ119*J119,0)</f>
        <v/>
      </c>
    </row>
    <row r="120" outlineLevel="1" collapsed="1" ht="12.95" customHeight="1">
      <c r="B120" s="1">
        <f>IF(C120="",0,COUNTIFS($B$22:B119,"&gt;"&amp;0)+1)</f>
        <v/>
      </c>
      <c r="C120" s="90" t="n">
        <v>1020102</v>
      </c>
      <c r="D120" s="91">
        <f>IFERROR(IF($C120="","",VLOOKUP($C120,'[1]Paramètres Articles'!$B:$G,2,FALSE)),"Non Trouvé")</f>
        <v/>
      </c>
      <c r="E120" s="92">
        <f>IFERROR(IF($C120="","",_xlfn.XLOOKUP(REGENERANTS!$C120,'[1]New Base PA'!$F:$F,'[1]New Base PA'!$D:$D,"Not Found",0)),"Non Trouvé")</f>
        <v/>
      </c>
      <c r="F120" s="93" t="inlineStr">
        <is>
          <t>Produit Vente</t>
        </is>
      </c>
      <c r="H120" s="94" t="n">
        <v>1</v>
      </c>
      <c r="J120" s="95">
        <f>IFERROR(IF($C120="","",VLOOKUP($C120,'[1]New Base PA'!$F:$J,5,FALSE)),"Non Trouvé")</f>
        <v/>
      </c>
      <c r="K120" s="136">
        <f>IFERROR(IF($C120="","",$J120*$H120),"Non Trouvé")</f>
        <v/>
      </c>
      <c r="L120" s="137" t="n"/>
      <c r="M120" s="95">
        <f>IFERROR(IF(AND($F120="Produit Vente",H120&gt;0),VLOOKUP($C120,'[1]Paramètres Articles'!$B:$G,6,FALSE),0),"Non Trouvé")</f>
        <v/>
      </c>
      <c r="N120" s="95">
        <f>IFERROR(IF($C120="","",$M120*$H120),"Non Trouvé")</f>
        <v/>
      </c>
      <c r="P120" s="97" t="n">
        <v>0.05</v>
      </c>
      <c r="R120" s="95">
        <f>IFERROR(IF($C120="","",$N120*(1-$P120)),"Non Trouvé")</f>
        <v/>
      </c>
      <c r="S120" s="96" t="n"/>
      <c r="T120" s="95">
        <f>IFERROR(IF($C120="","",VLOOKUP($C120,'[1]Paramètres Articles'!$B:$H,7,FALSE)),"Non Trouvé")</f>
        <v/>
      </c>
      <c r="U120" s="98" t="n"/>
      <c r="V120" s="95">
        <f>IFERROR(IF($C120="","",IF($P120="","",$T120*(1-$P120))),"Non Trouvé")</f>
        <v/>
      </c>
      <c r="W120" s="96" t="n"/>
      <c r="X120" s="95">
        <f>IFERROR(T120-V120,"")</f>
        <v/>
      </c>
      <c r="Y120" s="96" t="n"/>
      <c r="Z120" s="95">
        <f>IFERROR(IF(OR(T120=0,T120=""),0,T120*H120),"Non Trouvé")</f>
        <v/>
      </c>
      <c r="AB120" s="99">
        <f>AB118</f>
        <v/>
      </c>
      <c r="AC120" s="99">
        <f>AC118</f>
        <v/>
      </c>
      <c r="AD120" s="95">
        <f>IFERROR(IF($C120="","",IF($P$15="Cascade",$R120*(1-AC120)*AB120,IF($P$15="Additionnelle",($N120-($N120*($P120+AC120)))*AB120))),"Non Trouvé")</f>
        <v/>
      </c>
      <c r="AG120" s="99">
        <f>AG118</f>
        <v/>
      </c>
      <c r="AH120" s="99">
        <f>AH118</f>
        <v/>
      </c>
      <c r="AI120" s="95">
        <f>IFERROR(IF($C120="","",IF($P$15="Cascade",$R120*(1-AH120)*AG120,IF($P$15="Additionnelle",($N120-($N120*($P120+AH120)))*AG120))),"Non Trouvé")</f>
        <v/>
      </c>
      <c r="AL120" s="99">
        <f>AL118</f>
        <v/>
      </c>
      <c r="AM120" s="99">
        <f>AM118</f>
        <v/>
      </c>
      <c r="AN120" s="95">
        <f>IFERROR(IF($C120="","",IF($P$15="Cascade",$R120*(1-AM120)*AL120,IF($P$15="Additionnelle",($N120-($N120*($P120+AM120)))*AL120))),"Non Trouvé")</f>
        <v/>
      </c>
      <c r="AQ120" s="99">
        <f>AQ118</f>
        <v/>
      </c>
      <c r="AR120" s="99">
        <f>AR118</f>
        <v/>
      </c>
      <c r="AS120" s="95">
        <f>IFERROR(IF($C120="","",IF($P$15="Cascade",$R120*(1-AR120)*AQ120,IF($P$15="Additionnelle",($N120-($N120*($P120+AR120)))*AQ120))),"Non Trouvé")</f>
        <v/>
      </c>
      <c r="AV120" s="99">
        <f>AV118</f>
        <v/>
      </c>
      <c r="AW120" s="99">
        <f>AW118</f>
        <v/>
      </c>
      <c r="AX120" s="95">
        <f>IFERROR(IF($C120="","",IF($P$15="Cascade",$R120*(1-AW120)*AV120,IF($P$15="Additionnelle",($N120-($N120*($P120+AW120)))*AV120))),"Non Trouvé")</f>
        <v/>
      </c>
      <c r="BA120" s="99">
        <f>BA118</f>
        <v/>
      </c>
      <c r="BB120" s="99">
        <f>BB118</f>
        <v/>
      </c>
      <c r="BC120" s="95">
        <f>IFERROR(IF($C120="","",IF($P$15="Cascade",$R120*(1-BB120)*BA120,IF($P$15="Additionnelle",($N120-($N120*($P120+BB120)))*BA120))),"Non Trouvé")</f>
        <v/>
      </c>
      <c r="BF120" s="99">
        <f>BF118</f>
        <v/>
      </c>
      <c r="BG120" s="99">
        <f>BG118</f>
        <v/>
      </c>
      <c r="BH120" s="95">
        <f>IFERROR(IF($C120="","",IF($P$15="Cascade",$R120*(1-BG120)*BF120,IF($P$15="Additionnelle",($N120-($N120*($P120+BG120)))*BF120))),"Non Trouvé")</f>
        <v/>
      </c>
      <c r="BK120" s="99">
        <f>BK118</f>
        <v/>
      </c>
      <c r="BL120" s="99">
        <f>BL118</f>
        <v/>
      </c>
      <c r="BM120" s="95">
        <f>IFERROR(IF($C120="","",IF($P$15="Cascade",$R120*(1-BL120)*BK120,IF($P$15="Additionnelle",($N120-($N120*($P120+BL120)))*BK120))),"Non Trouvé")</f>
        <v/>
      </c>
      <c r="BP120" s="99">
        <f>BP118</f>
        <v/>
      </c>
      <c r="BQ120" s="99">
        <f>BQ118</f>
        <v/>
      </c>
      <c r="BR120" s="95">
        <f>IFERROR(IF($C120="","",IF($P$15="Cascade",$R120*(1-BQ120)*BP120,IF($P$15="Additionnelle",($N120-($N120*($P120+BQ120)))*BP120))),"Non Trouvé")</f>
        <v/>
      </c>
      <c r="BU120" s="99">
        <f>BU118</f>
        <v/>
      </c>
      <c r="BV120" s="99">
        <f>BV118</f>
        <v/>
      </c>
      <c r="BW120" s="95">
        <f>IFERROR(IF($C120="","",IF($P$15="Cascade",$R120*(1-BV120)*BU120,IF($P$15="Additionnelle",($N120-($N120*($P120+BV120)))*BU120))),"Non Trouvé")</f>
        <v/>
      </c>
      <c r="BZ120" s="99">
        <f>BZ118</f>
        <v/>
      </c>
      <c r="CA120" s="99">
        <f>CA118</f>
        <v/>
      </c>
      <c r="CB120" s="95">
        <f>IFERROR(IF($C120="","",IF($P$15="Cascade",$R120*(1-CA120)*BZ120,IF($P$15="Additionnelle",($N120-($N120*($P120+CA120)))*BZ120))),"Non Trouvé")</f>
        <v/>
      </c>
      <c r="CE120" s="100" t="n"/>
      <c r="CF120" s="101" t="n"/>
      <c r="CG120" s="93" t="inlineStr">
        <is>
          <t>Echantillon</t>
        </is>
      </c>
      <c r="CH120" s="125">
        <f>SUMIFS(K114:K154,F114:F154,CG120)/K112</f>
        <v/>
      </c>
      <c r="CI120" s="103" t="n"/>
      <c r="CK120" s="104">
        <f>IFERROR(IF(F120='[1]Paramètres Généraux'!$K$12,ROUNDUP((REGENERANTS!H120*REGENERANTS!$CF$112)*'[1]Paramètres Généraux'!$M$12,-1),IF(F120='[1]Paramètres Généraux'!$K$15,ROUNDUP((REGENERANTS!H120*REGENERANTS!$CF$112)*'[1]Paramètres Généraux'!$M$15,-1),REGENERANTS!H120*REGENERANTS!$CF$112)),"nd")</f>
        <v/>
      </c>
      <c r="CN120" s="105" t="n"/>
      <c r="CO120" s="106" t="n"/>
      <c r="CP120" s="106" t="n"/>
      <c r="CQ120" s="106" t="n"/>
      <c r="CR120" s="106" t="n"/>
      <c r="CS120" s="178" t="n"/>
      <c r="CT120" s="179" t="n"/>
      <c r="CU120" s="106" t="n"/>
      <c r="CV120" s="178" t="n"/>
      <c r="CW120" s="111" t="n"/>
      <c r="CX120" s="112" t="n"/>
      <c r="CY120" s="111" t="n"/>
      <c r="CZ120" s="109" t="n"/>
      <c r="DA120" s="112" t="n"/>
      <c r="DB120" s="111" t="n"/>
      <c r="DC120" s="109" t="n"/>
      <c r="DD120" s="112" t="n"/>
      <c r="DE120" s="111" t="n"/>
      <c r="DF120" s="109" t="n"/>
      <c r="DG120" s="109" t="n"/>
      <c r="DH120" s="109" t="n"/>
      <c r="DI120" s="109" t="n"/>
      <c r="DJ120" s="109" t="n"/>
      <c r="DK120" s="109" t="n"/>
      <c r="DL120" s="109" t="n"/>
      <c r="DM120" s="109" t="n"/>
      <c r="DN120" s="109" t="n"/>
      <c r="DO120" s="112" t="n"/>
      <c r="DP120" s="111" t="n"/>
      <c r="DQ120" s="20">
        <f>SUM(CN120:DP120)</f>
        <v/>
      </c>
      <c r="DR120" s="20">
        <f>SUM(CV120:DP120)</f>
        <v/>
      </c>
      <c r="DS120" s="20">
        <f>IFERROR((IF(AND($F120="Produit Vente",CO120&gt;0),VLOOKUP($C120,'[1]Paramètres Articles'!$B:$H,7,FALSE)*$CO120)*(1-20%)),0)</f>
        <v/>
      </c>
      <c r="DT120" s="20">
        <f>IFERROR((IF(AND($F120="Produit Vente",DR120&gt;0),VLOOKUP($C120,'[1]Paramètres Articles'!$B:$H,6,FALSE)*$DR120)*(1-15%)),0)</f>
        <v/>
      </c>
      <c r="DU120" s="20">
        <f>IFERROR(DQ120*J120,0)</f>
        <v/>
      </c>
    </row>
    <row r="121" outlineLevel="1" collapsed="1" ht="12.95" customHeight="1">
      <c r="B121" s="1">
        <f>IF(C121="",0,COUNTIFS($B$22:B120,"&gt;"&amp;0)+1)</f>
        <v/>
      </c>
      <c r="C121" s="90" t="n">
        <v>1020722</v>
      </c>
      <c r="D121" s="91">
        <f>IFERROR(IF($C121="","",VLOOKUP($C121,'[1]Paramètres Articles'!$B:$G,2,FALSE)),"Non Trouvé")</f>
        <v/>
      </c>
      <c r="E121" s="92">
        <f>IFERROR(IF($C121="","",_xlfn.XLOOKUP(REGENERANTS!$C121,'[1]New Base PA'!$F:$F,'[1]New Base PA'!$D:$D,"Not Found",0)),"Non Trouvé")</f>
        <v/>
      </c>
      <c r="F121" s="93" t="inlineStr">
        <is>
          <t>Produit Vente</t>
        </is>
      </c>
      <c r="H121" s="94" t="n">
        <v>0</v>
      </c>
      <c r="J121" s="95">
        <f>IFERROR(IF($C121="","",VLOOKUP($C121,'[1]New Base PA'!$F:$J,5,FALSE)),"Non Trouvé")</f>
        <v/>
      </c>
      <c r="K121" s="136">
        <f>IFERROR(IF($C121="","",$J121*$H121),"Non Trouvé")</f>
        <v/>
      </c>
      <c r="L121" s="137" t="n"/>
      <c r="M121" s="95">
        <f>IFERROR(IF(AND($F121="Produit Vente",H121&gt;0),VLOOKUP($C121,'[1]Paramètres Articles'!$B:$G,6,FALSE),0),"Non Trouvé")</f>
        <v/>
      </c>
      <c r="N121" s="95">
        <f>IFERROR(IF($C121="","",$M121*$H121),"Non Trouvé")</f>
        <v/>
      </c>
      <c r="P121" s="97" t="n">
        <v>0.05</v>
      </c>
      <c r="R121" s="95">
        <f>IFERROR(IF($C121="","",$N121*(1-$P121)),"Non Trouvé")</f>
        <v/>
      </c>
      <c r="S121" s="96" t="n"/>
      <c r="T121" s="95">
        <f>IFERROR(IF($C121="","",VLOOKUP($C121,'[1]Paramètres Articles'!$B:$H,7,FALSE)),"Non Trouvé")</f>
        <v/>
      </c>
      <c r="U121" s="98" t="n"/>
      <c r="V121" s="95">
        <f>IFERROR(IF($C121="","",IF($P121="","",$T121*(1-$P121))),"Non Trouvé")</f>
        <v/>
      </c>
      <c r="W121" s="96" t="n"/>
      <c r="X121" s="95">
        <f>IFERROR(T121-V121,"")</f>
        <v/>
      </c>
      <c r="Y121" s="96" t="n"/>
      <c r="Z121" s="95">
        <f>IFERROR(IF(OR(T121=0,T121=""),0,T121*H121),"Non Trouvé")</f>
        <v/>
      </c>
      <c r="AB121" s="99">
        <f>AB120</f>
        <v/>
      </c>
      <c r="AC121" s="99">
        <f>AC120</f>
        <v/>
      </c>
      <c r="AD121" s="95">
        <f>IFERROR(IF($C121="","",IF($P$15="Cascade",$R121*(1-AC121)*AB121,IF($P$15="Additionnelle",($N121-($N121*($P121+AC121)))*AB121))),"Non Trouvé")</f>
        <v/>
      </c>
      <c r="AG121" s="99">
        <f>AG120</f>
        <v/>
      </c>
      <c r="AH121" s="99">
        <f>AH120</f>
        <v/>
      </c>
      <c r="AI121" s="95">
        <f>IFERROR(IF($C121="","",IF($P$15="Cascade",$R121*(1-AH121)*AG121,IF($P$15="Additionnelle",($N121-($N121*($P121+AH121)))*AG121))),"Non Trouvé")</f>
        <v/>
      </c>
      <c r="AL121" s="99">
        <f>AL120</f>
        <v/>
      </c>
      <c r="AM121" s="99">
        <f>AM120</f>
        <v/>
      </c>
      <c r="AN121" s="95">
        <f>IFERROR(IF($C121="","",IF($P$15="Cascade",$R121*(1-AM121)*AL121,IF($P$15="Additionnelle",($N121-($N121*($P121+AM121)))*AL121))),"Non Trouvé")</f>
        <v/>
      </c>
      <c r="AQ121" s="99">
        <f>AQ120</f>
        <v/>
      </c>
      <c r="AR121" s="99">
        <f>AR120</f>
        <v/>
      </c>
      <c r="AS121" s="95">
        <f>IFERROR(IF($C121="","",IF($P$15="Cascade",$R121*(1-AR121)*AQ121,IF($P$15="Additionnelle",($N121-($N121*($P121+AR121)))*AQ121))),"Non Trouvé")</f>
        <v/>
      </c>
      <c r="AV121" s="99">
        <f>AV120</f>
        <v/>
      </c>
      <c r="AW121" s="99">
        <f>AW120</f>
        <v/>
      </c>
      <c r="AX121" s="95">
        <f>IFERROR(IF($C121="","",IF($P$15="Cascade",$R121*(1-AW121)*AV121,IF($P$15="Additionnelle",($N121-($N121*($P121+AW121)))*AV121))),"Non Trouvé")</f>
        <v/>
      </c>
      <c r="BA121" s="99">
        <f>BA120</f>
        <v/>
      </c>
      <c r="BB121" s="99">
        <f>BB120</f>
        <v/>
      </c>
      <c r="BC121" s="95">
        <f>IFERROR(IF($C121="","",IF($P$15="Cascade",$R121*(1-BB121)*BA121,IF($P$15="Additionnelle",($N121-($N121*($P121+BB121)))*BA121))),"Non Trouvé")</f>
        <v/>
      </c>
      <c r="BF121" s="99">
        <f>BF120</f>
        <v/>
      </c>
      <c r="BG121" s="99">
        <f>BG120</f>
        <v/>
      </c>
      <c r="BH121" s="95">
        <f>IFERROR(IF($C121="","",IF($P$15="Cascade",$R121*(1-BG121)*BF121,IF($P$15="Additionnelle",($N121-($N121*($P121+BG121)))*BF121))),"Non Trouvé")</f>
        <v/>
      </c>
      <c r="BK121" s="99">
        <f>BK120</f>
        <v/>
      </c>
      <c r="BL121" s="99">
        <f>BL120</f>
        <v/>
      </c>
      <c r="BM121" s="95">
        <f>IFERROR(IF($C121="","",IF($P$15="Cascade",$R121*(1-BL121)*BK121,IF($P$15="Additionnelle",($N121-($N121*($P121+BL121)))*BK121))),"Non Trouvé")</f>
        <v/>
      </c>
      <c r="BP121" s="99">
        <f>BP120</f>
        <v/>
      </c>
      <c r="BQ121" s="99">
        <f>BQ120</f>
        <v/>
      </c>
      <c r="BR121" s="95">
        <f>IFERROR(IF($C121="","",IF($P$15="Cascade",$R121*(1-BQ121)*BP121,IF($P$15="Additionnelle",($N121-($N121*($P121+BQ121)))*BP121))),"Non Trouvé")</f>
        <v/>
      </c>
      <c r="BU121" s="99">
        <f>BU120</f>
        <v/>
      </c>
      <c r="BV121" s="99">
        <f>BV120</f>
        <v/>
      </c>
      <c r="BW121" s="95">
        <f>IFERROR(IF($C121="","",IF($P$15="Cascade",$R121*(1-BV121)*BU121,IF($P$15="Additionnelle",($N121-($N121*($P121+BV121)))*BU121))),"Non Trouvé")</f>
        <v/>
      </c>
      <c r="BZ121" s="99">
        <f>BZ120</f>
        <v/>
      </c>
      <c r="CA121" s="99">
        <f>CA120</f>
        <v/>
      </c>
      <c r="CB121" s="95">
        <f>IFERROR(IF($C121="","",IF($P$15="Cascade",$R121*(1-CA121)*BZ121,IF($P$15="Additionnelle",($N121-($N121*($P121+CA121)))*BZ121))),"Non Trouvé")</f>
        <v/>
      </c>
      <c r="CE121" s="100" t="n"/>
      <c r="CF121" s="101" t="n"/>
      <c r="CG121" s="93" t="inlineStr">
        <is>
          <t>Testeur</t>
        </is>
      </c>
      <c r="CH121" s="125">
        <f>SUMIFS(K114:K154,F114:F154,CG121)/K112</f>
        <v/>
      </c>
      <c r="CI121" s="103" t="n"/>
      <c r="CK121" s="104">
        <f>IFERROR(IF(F121='[1]Paramètres Généraux'!$K$12,ROUNDUP((REGENERANTS!H121*REGENERANTS!$CF$112)*'[1]Paramètres Généraux'!$M$12,-1),IF(F121='[1]Paramètres Généraux'!$K$15,ROUNDUP((REGENERANTS!H121*REGENERANTS!$CF$112)*'[1]Paramètres Généraux'!$M$15,-1),REGENERANTS!H121*REGENERANTS!$CF$112)),"nd")</f>
        <v/>
      </c>
      <c r="CN121" s="105" t="n"/>
      <c r="CO121" s="106" t="n"/>
      <c r="CP121" s="106" t="n"/>
      <c r="CQ121" s="106" t="n"/>
      <c r="CR121" s="106" t="n"/>
      <c r="CS121" s="178" t="n"/>
      <c r="CT121" s="179" t="n"/>
      <c r="CU121" s="106" t="n"/>
      <c r="CV121" s="178" t="n"/>
      <c r="CW121" s="111" t="n"/>
      <c r="CX121" s="112" t="n"/>
      <c r="CY121" s="111" t="n"/>
      <c r="CZ121" s="109" t="n"/>
      <c r="DA121" s="112" t="n"/>
      <c r="DB121" s="111" t="n"/>
      <c r="DC121" s="109" t="n"/>
      <c r="DD121" s="112" t="n"/>
      <c r="DE121" s="111" t="n"/>
      <c r="DF121" s="109" t="n"/>
      <c r="DG121" s="109" t="n"/>
      <c r="DH121" s="109" t="n"/>
      <c r="DI121" s="109" t="n"/>
      <c r="DJ121" s="109" t="n"/>
      <c r="DK121" s="109" t="n"/>
      <c r="DL121" s="109" t="n"/>
      <c r="DM121" s="109" t="n"/>
      <c r="DN121" s="109" t="n"/>
      <c r="DO121" s="112" t="n"/>
      <c r="DP121" s="111" t="n"/>
      <c r="DQ121" s="20">
        <f>SUM(CN121:DP121)</f>
        <v/>
      </c>
      <c r="DR121" s="20">
        <f>SUM(CV121:DP121)</f>
        <v/>
      </c>
      <c r="DS121" s="20">
        <f>IFERROR((IF(AND($F121="Produit Vente",CO121&gt;0),VLOOKUP($C121,'[1]Paramètres Articles'!$B:$H,7,FALSE)*$CO121)*(1-20%)),0)</f>
        <v/>
      </c>
      <c r="DT121" s="20">
        <f>IFERROR((IF(AND($F121="Produit Vente",DR121&gt;0),VLOOKUP($C121,'[1]Paramètres Articles'!$B:$H,6,FALSE)*$DR121)*(1-15%)),0)</f>
        <v/>
      </c>
      <c r="DU121" s="20">
        <f>IFERROR(DQ121*J121,0)</f>
        <v/>
      </c>
    </row>
    <row r="122" outlineLevel="1" collapsed="1" ht="12.95" customHeight="1">
      <c r="B122" s="1">
        <f>IF(C122="",0,COUNTIFS($B$22:B121,"&gt;"&amp;0)+1)</f>
        <v/>
      </c>
      <c r="C122" s="90" t="n">
        <v>1020719</v>
      </c>
      <c r="D122" s="91">
        <f>IFERROR(IF($C122="","",VLOOKUP($C122,'[1]Paramètres Articles'!$B:$G,2,FALSE)),"Non Trouvé")</f>
        <v/>
      </c>
      <c r="E122" s="92">
        <f>IFERROR(IF($C122="","",_xlfn.XLOOKUP(REGENERANTS!$C122,'[1]New Base PA'!$F:$F,'[1]New Base PA'!$D:$D,"Not Found",0)),"Non Trouvé")</f>
        <v/>
      </c>
      <c r="F122" s="93" t="inlineStr">
        <is>
          <t>Produit Vente</t>
        </is>
      </c>
      <c r="H122" s="94" t="n">
        <v>1</v>
      </c>
      <c r="J122" s="95">
        <f>IFERROR(IF($C122="","",VLOOKUP($C122,'[1]New Base PA'!$F:$J,5,FALSE)),"Non Trouvé")</f>
        <v/>
      </c>
      <c r="K122" s="136">
        <f>IFERROR(IF($C122="","",$J122*$H122),"Non Trouvé")</f>
        <v/>
      </c>
      <c r="L122" s="137" t="n"/>
      <c r="M122" s="95">
        <f>IFERROR(IF(AND($F122="Produit Vente",H122&gt;0),VLOOKUP($C122,'[1]Paramètres Articles'!$B:$G,6,FALSE),0),"Non Trouvé")</f>
        <v/>
      </c>
      <c r="N122" s="95">
        <f>IFERROR(IF($C122="","",$M122*$H122),"Non Trouvé")</f>
        <v/>
      </c>
      <c r="P122" s="97" t="n">
        <v>0.05</v>
      </c>
      <c r="R122" s="95">
        <f>IFERROR(IF($C122="","",$N122*(1-$P122)),"Non Trouvé")</f>
        <v/>
      </c>
      <c r="S122" s="96" t="n"/>
      <c r="T122" s="95">
        <f>IFERROR(IF($C122="","",VLOOKUP($C122,'[1]Paramètres Articles'!$B:$H,7,FALSE)),"Non Trouvé")</f>
        <v/>
      </c>
      <c r="U122" s="98" t="n"/>
      <c r="V122" s="95">
        <f>IFERROR(IF($C122="","",IF($P122="","",$T122*(1-$P122))),"Non Trouvé")</f>
        <v/>
      </c>
      <c r="W122" s="96" t="n"/>
      <c r="X122" s="95">
        <f>IFERROR(T122-V122,"")</f>
        <v/>
      </c>
      <c r="Y122" s="96" t="n"/>
      <c r="Z122" s="95">
        <f>IFERROR(IF(OR(T122=0,T122=""),0,T122*H122),"Non Trouvé")</f>
        <v/>
      </c>
      <c r="AB122" s="99">
        <f>AB120</f>
        <v/>
      </c>
      <c r="AC122" s="99">
        <f>AC120</f>
        <v/>
      </c>
      <c r="AD122" s="95">
        <f>IFERROR(IF($C122="","",IF($P$15="Cascade",$R122*(1-AC122)*AB122,IF($P$15="Additionnelle",($N122-($N122*($P122+AC122)))*AB122))),"Non Trouvé")</f>
        <v/>
      </c>
      <c r="AG122" s="99">
        <f>AG120</f>
        <v/>
      </c>
      <c r="AH122" s="99">
        <f>AH120</f>
        <v/>
      </c>
      <c r="AI122" s="95">
        <f>IFERROR(IF($C122="","",IF($P$15="Cascade",$R122*(1-AH122)*AG122,IF($P$15="Additionnelle",($N122-($N122*($P122+AH122)))*AG122))),"Non Trouvé")</f>
        <v/>
      </c>
      <c r="AL122" s="99">
        <f>AL120</f>
        <v/>
      </c>
      <c r="AM122" s="99">
        <f>AM120</f>
        <v/>
      </c>
      <c r="AN122" s="95">
        <f>IFERROR(IF($C122="","",IF($P$15="Cascade",$R122*(1-AM122)*AL122,IF($P$15="Additionnelle",($N122-($N122*($P122+AM122)))*AL122))),"Non Trouvé")</f>
        <v/>
      </c>
      <c r="AQ122" s="99">
        <f>AQ120</f>
        <v/>
      </c>
      <c r="AR122" s="99">
        <f>AR120</f>
        <v/>
      </c>
      <c r="AS122" s="95">
        <f>IFERROR(IF($C122="","",IF($P$15="Cascade",$R122*(1-AR122)*AQ122,IF($P$15="Additionnelle",($N122-($N122*($P122+AR122)))*AQ122))),"Non Trouvé")</f>
        <v/>
      </c>
      <c r="AV122" s="99">
        <f>AV120</f>
        <v/>
      </c>
      <c r="AW122" s="99">
        <f>AW120</f>
        <v/>
      </c>
      <c r="AX122" s="95">
        <f>IFERROR(IF($C122="","",IF($P$15="Cascade",$R122*(1-AW122)*AV122,IF($P$15="Additionnelle",($N122-($N122*($P122+AW122)))*AV122))),"Non Trouvé")</f>
        <v/>
      </c>
      <c r="BA122" s="99">
        <f>BA120</f>
        <v/>
      </c>
      <c r="BB122" s="99">
        <f>BB120</f>
        <v/>
      </c>
      <c r="BC122" s="95">
        <f>IFERROR(IF($C122="","",IF($P$15="Cascade",$R122*(1-BB122)*BA122,IF($P$15="Additionnelle",($N122-($N122*($P122+BB122)))*BA122))),"Non Trouvé")</f>
        <v/>
      </c>
      <c r="BF122" s="99">
        <f>BF120</f>
        <v/>
      </c>
      <c r="BG122" s="99">
        <f>BG120</f>
        <v/>
      </c>
      <c r="BH122" s="95">
        <f>IFERROR(IF($C122="","",IF($P$15="Cascade",$R122*(1-BG122)*BF122,IF($P$15="Additionnelle",($N122-($N122*($P122+BG122)))*BF122))),"Non Trouvé")</f>
        <v/>
      </c>
      <c r="BK122" s="99">
        <f>BK120</f>
        <v/>
      </c>
      <c r="BL122" s="99">
        <f>BL120</f>
        <v/>
      </c>
      <c r="BM122" s="95">
        <f>IFERROR(IF($C122="","",IF($P$15="Cascade",$R122*(1-BL122)*BK122,IF($P$15="Additionnelle",($N122-($N122*($P122+BL122)))*BK122))),"Non Trouvé")</f>
        <v/>
      </c>
      <c r="BP122" s="99">
        <f>BP120</f>
        <v/>
      </c>
      <c r="BQ122" s="99">
        <f>BQ120</f>
        <v/>
      </c>
      <c r="BR122" s="95">
        <f>IFERROR(IF($C122="","",IF($P$15="Cascade",$R122*(1-BQ122)*BP122,IF($P$15="Additionnelle",($N122-($N122*($P122+BQ122)))*BP122))),"Non Trouvé")</f>
        <v/>
      </c>
      <c r="BU122" s="99">
        <f>BU120</f>
        <v/>
      </c>
      <c r="BV122" s="99">
        <f>BV120</f>
        <v/>
      </c>
      <c r="BW122" s="95">
        <f>IFERROR(IF($C122="","",IF($P$15="Cascade",$R122*(1-BV122)*BU122,IF($P$15="Additionnelle",($N122-($N122*($P122+BV122)))*BU122))),"Non Trouvé")</f>
        <v/>
      </c>
      <c r="BZ122" s="99">
        <f>BZ120</f>
        <v/>
      </c>
      <c r="CA122" s="99">
        <f>CA120</f>
        <v/>
      </c>
      <c r="CB122" s="95">
        <f>IFERROR(IF($C122="","",IF($P$15="Cascade",$R122*(1-CA122)*BZ122,IF($P$15="Additionnelle",($N122-($N122*($P122+CA122)))*BZ122))),"Non Trouvé")</f>
        <v/>
      </c>
      <c r="CE122" s="100" t="n"/>
      <c r="CF122" s="101" t="n"/>
      <c r="CG122" s="102" t="n"/>
      <c r="CH122" s="102" t="n"/>
      <c r="CI122" s="103" t="n"/>
      <c r="CK122" s="104">
        <f>IFERROR(IF(F122='[1]Paramètres Généraux'!$K$12,ROUNDUP((REGENERANTS!H122*REGENERANTS!$CF$112)*'[1]Paramètres Généraux'!$M$12,-1),IF(F122='[1]Paramètres Généraux'!$K$15,ROUNDUP((REGENERANTS!H122*REGENERANTS!$CF$112)*'[1]Paramètres Généraux'!$M$15,-1),REGENERANTS!H122*REGENERANTS!$CF$112)),"nd")</f>
        <v/>
      </c>
      <c r="CN122" s="105" t="n"/>
      <c r="CO122" s="106" t="n"/>
      <c r="CP122" s="106" t="n"/>
      <c r="CQ122" s="106" t="n"/>
      <c r="CR122" s="106" t="n"/>
      <c r="CS122" s="178" t="n"/>
      <c r="CT122" s="179" t="n"/>
      <c r="CU122" s="106" t="n"/>
      <c r="CV122" s="178" t="n"/>
      <c r="CW122" s="111" t="n"/>
      <c r="CX122" s="112" t="n"/>
      <c r="CY122" s="111" t="n"/>
      <c r="CZ122" s="109" t="n"/>
      <c r="DA122" s="112" t="n"/>
      <c r="DB122" s="111" t="n"/>
      <c r="DC122" s="109" t="n"/>
      <c r="DD122" s="112" t="n"/>
      <c r="DE122" s="111" t="n"/>
      <c r="DF122" s="109" t="n"/>
      <c r="DG122" s="109" t="n"/>
      <c r="DH122" s="109" t="n"/>
      <c r="DI122" s="109" t="n"/>
      <c r="DJ122" s="109" t="n"/>
      <c r="DK122" s="109" t="n"/>
      <c r="DL122" s="109" t="n"/>
      <c r="DM122" s="109" t="n"/>
      <c r="DN122" s="109" t="n"/>
      <c r="DO122" s="112" t="n"/>
      <c r="DP122" s="111" t="n"/>
      <c r="DQ122" s="20">
        <f>SUM(CN122:DP122)</f>
        <v/>
      </c>
      <c r="DR122" s="20">
        <f>SUM(CV122:DP122)</f>
        <v/>
      </c>
      <c r="DS122" s="20">
        <f>IFERROR((IF(AND($F122="Produit Vente",CO122&gt;0),VLOOKUP($C122,'[1]Paramètres Articles'!$B:$H,7,FALSE)*$CO122)*(1-20%)),0)</f>
        <v/>
      </c>
      <c r="DT122" s="20">
        <f>IFERROR((IF(AND($F122="Produit Vente",DR122&gt;0),VLOOKUP($C122,'[1]Paramètres Articles'!$B:$H,6,FALSE)*$DR122)*(1-15%)),0)</f>
        <v/>
      </c>
      <c r="DU122" s="20">
        <f>IFERROR(DQ122*J122,0)</f>
        <v/>
      </c>
    </row>
    <row r="123" outlineLevel="1" collapsed="1" ht="12.95" customHeight="1">
      <c r="B123" s="1">
        <f>IF(C123="",0,COUNTIFS($B$22:B122,"&gt;"&amp;0)+1)</f>
        <v/>
      </c>
      <c r="C123" s="90" t="n">
        <v>1020717</v>
      </c>
      <c r="D123" s="91">
        <f>IFERROR(IF($C123="","",VLOOKUP($C123,'[1]Paramètres Articles'!$B:$G,2,FALSE)),"Non Trouvé")</f>
        <v/>
      </c>
      <c r="E123" s="92">
        <f>IFERROR(IF($C123="","",_xlfn.XLOOKUP(REGENERANTS!$C123,'[1]New Base PA'!$F:$F,'[1]New Base PA'!$D:$D,"Not Found",0)),"Non Trouvé")</f>
        <v/>
      </c>
      <c r="F123" s="93" t="inlineStr">
        <is>
          <t>Produit Vente</t>
        </is>
      </c>
      <c r="H123" s="94" t="n">
        <v>1</v>
      </c>
      <c r="J123" s="95">
        <f>IFERROR(IF($C123="","",VLOOKUP($C123,'[1]New Base PA'!$F:$J,5,FALSE)),"Non Trouvé")</f>
        <v/>
      </c>
      <c r="K123" s="136">
        <f>IFERROR(IF($C123="","",$J123*$H123),"Non Trouvé")</f>
        <v/>
      </c>
      <c r="L123" s="137" t="n"/>
      <c r="M123" s="95">
        <f>IFERROR(IF(AND($F123="Produit Vente",H123&gt;0),VLOOKUP($C123,'[1]Paramètres Articles'!$B:$G,6,FALSE),0),"Non Trouvé")</f>
        <v/>
      </c>
      <c r="N123" s="95">
        <f>IFERROR(IF($C123="","",$M123*$H123),"Non Trouvé")</f>
        <v/>
      </c>
      <c r="P123" s="97" t="n">
        <v>0.05</v>
      </c>
      <c r="R123" s="95">
        <f>IFERROR(IF($C123="","",$N123*(1-$P123)),"Non Trouvé")</f>
        <v/>
      </c>
      <c r="S123" s="96" t="n"/>
      <c r="T123" s="95">
        <f>IFERROR(IF($C123="","",VLOOKUP($C123,'[1]Paramètres Articles'!$B:$H,7,FALSE)),"Non Trouvé")</f>
        <v/>
      </c>
      <c r="U123" s="98" t="n"/>
      <c r="V123" s="95">
        <f>IFERROR(IF($C123="","",IF($P123="","",$T123*(1-$P123))),"Non Trouvé")</f>
        <v/>
      </c>
      <c r="W123" s="96" t="n"/>
      <c r="X123" s="95">
        <f>IFERROR(T123-V123,"")</f>
        <v/>
      </c>
      <c r="Y123" s="96" t="n"/>
      <c r="Z123" s="95">
        <f>IFERROR(IF(OR(T123=0,T123=""),0,T123*H123),"Non Trouvé")</f>
        <v/>
      </c>
      <c r="AB123" s="99">
        <f>AB122</f>
        <v/>
      </c>
      <c r="AC123" s="99">
        <f>AC122</f>
        <v/>
      </c>
      <c r="AD123" s="95">
        <f>IFERROR(IF($C123="","",IF($P$15="Cascade",$R123*(1-AC123)*AB123,IF($P$15="Additionnelle",($N123-($N123*($P123+AC123)))*AB123))),"Non Trouvé")</f>
        <v/>
      </c>
      <c r="AG123" s="99">
        <f>AG122</f>
        <v/>
      </c>
      <c r="AH123" s="99">
        <f>AH122</f>
        <v/>
      </c>
      <c r="AI123" s="95">
        <f>IFERROR(IF($C123="","",IF($P$15="Cascade",$R123*(1-AH123)*AG123,IF($P$15="Additionnelle",($N123-($N123*($P123+AH123)))*AG123))),"Non Trouvé")</f>
        <v/>
      </c>
      <c r="AL123" s="99">
        <f>AL122</f>
        <v/>
      </c>
      <c r="AM123" s="99">
        <f>AM122</f>
        <v/>
      </c>
      <c r="AN123" s="95">
        <f>IFERROR(IF($C123="","",IF($P$15="Cascade",$R123*(1-AM123)*AL123,IF($P$15="Additionnelle",($N123-($N123*($P123+AM123)))*AL123))),"Non Trouvé")</f>
        <v/>
      </c>
      <c r="AQ123" s="99">
        <f>AQ122</f>
        <v/>
      </c>
      <c r="AR123" s="99">
        <f>AR122</f>
        <v/>
      </c>
      <c r="AS123" s="95">
        <f>IFERROR(IF($C123="","",IF($P$15="Cascade",$R123*(1-AR123)*AQ123,IF($P$15="Additionnelle",($N123-($N123*($P123+AR123)))*AQ123))),"Non Trouvé")</f>
        <v/>
      </c>
      <c r="AV123" s="99">
        <f>AV122</f>
        <v/>
      </c>
      <c r="AW123" s="99">
        <f>AW122</f>
        <v/>
      </c>
      <c r="AX123" s="95">
        <f>IFERROR(IF($C123="","",IF($P$15="Cascade",$R123*(1-AW123)*AV123,IF($P$15="Additionnelle",($N123-($N123*($P123+AW123)))*AV123))),"Non Trouvé")</f>
        <v/>
      </c>
      <c r="BA123" s="99">
        <f>BA122</f>
        <v/>
      </c>
      <c r="BB123" s="99">
        <f>BB122</f>
        <v/>
      </c>
      <c r="BC123" s="95">
        <f>IFERROR(IF($C123="","",IF($P$15="Cascade",$R123*(1-BB123)*BA123,IF($P$15="Additionnelle",($N123-($N123*($P123+BB123)))*BA123))),"Non Trouvé")</f>
        <v/>
      </c>
      <c r="BF123" s="99">
        <f>BF122</f>
        <v/>
      </c>
      <c r="BG123" s="99">
        <f>BG122</f>
        <v/>
      </c>
      <c r="BH123" s="95">
        <f>IFERROR(IF($C123="","",IF($P$15="Cascade",$R123*(1-BG123)*BF123,IF($P$15="Additionnelle",($N123-($N123*($P123+BG123)))*BF123))),"Non Trouvé")</f>
        <v/>
      </c>
      <c r="BK123" s="99">
        <f>BK122</f>
        <v/>
      </c>
      <c r="BL123" s="99">
        <f>BL122</f>
        <v/>
      </c>
      <c r="BM123" s="95">
        <f>IFERROR(IF($C123="","",IF($P$15="Cascade",$R123*(1-BL123)*BK123,IF($P$15="Additionnelle",($N123-($N123*($P123+BL123)))*BK123))),"Non Trouvé")</f>
        <v/>
      </c>
      <c r="BP123" s="99">
        <f>BP122</f>
        <v/>
      </c>
      <c r="BQ123" s="99">
        <f>BQ122</f>
        <v/>
      </c>
      <c r="BR123" s="95">
        <f>IFERROR(IF($C123="","",IF($P$15="Cascade",$R123*(1-BQ123)*BP123,IF($P$15="Additionnelle",($N123-($N123*($P123+BQ123)))*BP123))),"Non Trouvé")</f>
        <v/>
      </c>
      <c r="BU123" s="99">
        <f>BU122</f>
        <v/>
      </c>
      <c r="BV123" s="99">
        <f>BV122</f>
        <v/>
      </c>
      <c r="BW123" s="95">
        <f>IFERROR(IF($C123="","",IF($P$15="Cascade",$R123*(1-BV123)*BU123,IF($P$15="Additionnelle",($N123-($N123*($P123+BV123)))*BU123))),"Non Trouvé")</f>
        <v/>
      </c>
      <c r="BZ123" s="99">
        <f>BZ122</f>
        <v/>
      </c>
      <c r="CA123" s="99">
        <f>CA122</f>
        <v/>
      </c>
      <c r="CB123" s="95">
        <f>IFERROR(IF($C123="","",IF($P$15="Cascade",$R123*(1-CA123)*BZ123,IF($P$15="Additionnelle",($N123-($N123*($P123+CA123)))*BZ123))),"Non Trouvé")</f>
        <v/>
      </c>
      <c r="CE123" s="100" t="n"/>
      <c r="CF123" s="101" t="n"/>
      <c r="CG123" s="102" t="n"/>
      <c r="CH123" s="102" t="n"/>
      <c r="CI123" s="103" t="n"/>
      <c r="CK123" s="104">
        <f>IFERROR(IF(F123='[1]Paramètres Généraux'!$K$12,ROUNDUP((REGENERANTS!H123*REGENERANTS!$CF$112)*'[1]Paramètres Généraux'!$M$12,-1),IF(F123='[1]Paramètres Généraux'!$K$15,ROUNDUP((REGENERANTS!H123*REGENERANTS!$CF$112)*'[1]Paramètres Généraux'!$M$15,-1),REGENERANTS!H123*REGENERANTS!$CF$112)),"nd")</f>
        <v/>
      </c>
      <c r="CN123" s="105" t="n"/>
      <c r="CO123" s="106" t="n"/>
      <c r="CP123" s="106" t="n"/>
      <c r="CQ123" s="106" t="n"/>
      <c r="CR123" s="106" t="n"/>
      <c r="CS123" s="178" t="n"/>
      <c r="CT123" s="179" t="n"/>
      <c r="CU123" s="106" t="n"/>
      <c r="CV123" s="178" t="n"/>
      <c r="CW123" s="111" t="n"/>
      <c r="CX123" s="112" t="n"/>
      <c r="CY123" s="111" t="n"/>
      <c r="CZ123" s="109" t="n"/>
      <c r="DA123" s="112" t="n"/>
      <c r="DB123" s="111" t="n"/>
      <c r="DC123" s="109" t="n"/>
      <c r="DD123" s="112" t="n"/>
      <c r="DE123" s="111" t="n"/>
      <c r="DF123" s="109" t="n"/>
      <c r="DG123" s="109" t="n"/>
      <c r="DH123" s="109" t="n"/>
      <c r="DI123" s="109" t="n"/>
      <c r="DJ123" s="109" t="n"/>
      <c r="DK123" s="109" t="n"/>
      <c r="DL123" s="109" t="n"/>
      <c r="DM123" s="109" t="n"/>
      <c r="DN123" s="109" t="n"/>
      <c r="DO123" s="112" t="n"/>
      <c r="DP123" s="111" t="n"/>
      <c r="DQ123" s="20">
        <f>SUM(CN123:DP123)</f>
        <v/>
      </c>
      <c r="DR123" s="20">
        <f>SUM(CV123:DP123)</f>
        <v/>
      </c>
      <c r="DS123" s="20">
        <f>IFERROR((IF(AND($F123="Produit Vente",CO123&gt;0),VLOOKUP($C123,'[1]Paramètres Articles'!$B:$H,7,FALSE)*$CO123)*(1-20%)),0)</f>
        <v/>
      </c>
      <c r="DT123" s="20">
        <f>IFERROR((IF(AND($F123="Produit Vente",DR123&gt;0),VLOOKUP($C123,'[1]Paramètres Articles'!$B:$H,6,FALSE)*$DR123)*(1-15%)),0)</f>
        <v/>
      </c>
      <c r="DU123" s="20">
        <f>IFERROR(DQ123*J123,0)</f>
        <v/>
      </c>
    </row>
    <row r="124" outlineLevel="1" collapsed="1" ht="12.95" customHeight="1">
      <c r="B124" s="1">
        <f>IF(C124="",0,COUNTIFS($B$22:B123,"&gt;"&amp;0)+1)</f>
        <v/>
      </c>
      <c r="C124" s="90" t="n">
        <v>1020718</v>
      </c>
      <c r="D124" s="91">
        <f>IFERROR(IF($C124="","",VLOOKUP($C124,'[1]Paramètres Articles'!$B:$G,2,FALSE)),"Non Trouvé")</f>
        <v/>
      </c>
      <c r="E124" s="92">
        <f>IFERROR(IF($C124="","",_xlfn.XLOOKUP(REGENERANTS!$C124,'[1]New Base PA'!$F:$F,'[1]New Base PA'!$D:$D,"Not Found",0)),"Non Trouvé")</f>
        <v/>
      </c>
      <c r="F124" s="93" t="inlineStr">
        <is>
          <t>Produit Vente</t>
        </is>
      </c>
      <c r="H124" s="94" t="n">
        <v>1</v>
      </c>
      <c r="J124" s="95">
        <f>IFERROR(IF($C124="","",VLOOKUP($C124,'[1]New Base PA'!$F:$J,5,FALSE)),"Non Trouvé")</f>
        <v/>
      </c>
      <c r="K124" s="136">
        <f>IFERROR(IF($C124="","",$J124*$H124),"Non Trouvé")</f>
        <v/>
      </c>
      <c r="L124" s="137" t="n"/>
      <c r="M124" s="95">
        <f>IFERROR(IF(AND($F124="Produit Vente",H124&gt;0),VLOOKUP($C124,'[1]Paramètres Articles'!$B:$G,6,FALSE),0),"Non Trouvé")</f>
        <v/>
      </c>
      <c r="N124" s="95">
        <f>IFERROR(IF($C124="","",$M124*$H124),"Non Trouvé")</f>
        <v/>
      </c>
      <c r="P124" s="97" t="n">
        <v>0.05</v>
      </c>
      <c r="R124" s="95">
        <f>IFERROR(IF($C124="","",$N124*(1-$P124)),"Non Trouvé")</f>
        <v/>
      </c>
      <c r="S124" s="96" t="n"/>
      <c r="T124" s="95">
        <f>IFERROR(IF($C124="","",VLOOKUP($C124,'[1]Paramètres Articles'!$B:$H,7,FALSE)),"Non Trouvé")</f>
        <v/>
      </c>
      <c r="U124" s="98" t="n"/>
      <c r="V124" s="95">
        <f>IFERROR(IF($C124="","",IF($P124="","",$T124*(1-$P124))),"Non Trouvé")</f>
        <v/>
      </c>
      <c r="W124" s="96" t="n"/>
      <c r="X124" s="95">
        <f>IFERROR(T124-V124,"")</f>
        <v/>
      </c>
      <c r="Y124" s="96" t="n"/>
      <c r="Z124" s="95">
        <f>IFERROR(IF(OR(T124=0,T124=""),0,T124*H124),"Non Trouvé")</f>
        <v/>
      </c>
      <c r="AB124" s="99">
        <f>AB122</f>
        <v/>
      </c>
      <c r="AC124" s="99">
        <f>AC122</f>
        <v/>
      </c>
      <c r="AD124" s="95">
        <f>IFERROR(IF($C124="","",IF($P$15="Cascade",$R124*(1-AC124)*AB124,IF($P$15="Additionnelle",($N124-($N124*($P124+AC124)))*AB124))),"Non Trouvé")</f>
        <v/>
      </c>
      <c r="AG124" s="99">
        <f>AG122</f>
        <v/>
      </c>
      <c r="AH124" s="99">
        <f>AH122</f>
        <v/>
      </c>
      <c r="AI124" s="95">
        <f>IFERROR(IF($C124="","",IF($P$15="Cascade",$R124*(1-AH124)*AG124,IF($P$15="Additionnelle",($N124-($N124*($P124+AH124)))*AG124))),"Non Trouvé")</f>
        <v/>
      </c>
      <c r="AL124" s="99">
        <f>AL122</f>
        <v/>
      </c>
      <c r="AM124" s="99">
        <f>AM122</f>
        <v/>
      </c>
      <c r="AN124" s="95">
        <f>IFERROR(IF($C124="","",IF($P$15="Cascade",$R124*(1-AM124)*AL124,IF($P$15="Additionnelle",($N124-($N124*($P124+AM124)))*AL124))),"Non Trouvé")</f>
        <v/>
      </c>
      <c r="AQ124" s="99">
        <f>AQ122</f>
        <v/>
      </c>
      <c r="AR124" s="99">
        <f>AR122</f>
        <v/>
      </c>
      <c r="AS124" s="95">
        <f>IFERROR(IF($C124="","",IF($P$15="Cascade",$R124*(1-AR124)*AQ124,IF($P$15="Additionnelle",($N124-($N124*($P124+AR124)))*AQ124))),"Non Trouvé")</f>
        <v/>
      </c>
      <c r="AV124" s="99">
        <f>AV122</f>
        <v/>
      </c>
      <c r="AW124" s="99">
        <f>AW122</f>
        <v/>
      </c>
      <c r="AX124" s="95">
        <f>IFERROR(IF($C124="","",IF($P$15="Cascade",$R124*(1-AW124)*AV124,IF($P$15="Additionnelle",($N124-($N124*($P124+AW124)))*AV124))),"Non Trouvé")</f>
        <v/>
      </c>
      <c r="BA124" s="99">
        <f>BA122</f>
        <v/>
      </c>
      <c r="BB124" s="99">
        <f>BB122</f>
        <v/>
      </c>
      <c r="BC124" s="95">
        <f>IFERROR(IF($C124="","",IF($P$15="Cascade",$R124*(1-BB124)*BA124,IF($P$15="Additionnelle",($N124-($N124*($P124+BB124)))*BA124))),"Non Trouvé")</f>
        <v/>
      </c>
      <c r="BF124" s="99">
        <f>BF122</f>
        <v/>
      </c>
      <c r="BG124" s="99">
        <f>BG122</f>
        <v/>
      </c>
      <c r="BH124" s="95">
        <f>IFERROR(IF($C124="","",IF($P$15="Cascade",$R124*(1-BG124)*BF124,IF($P$15="Additionnelle",($N124-($N124*($P124+BG124)))*BF124))),"Non Trouvé")</f>
        <v/>
      </c>
      <c r="BK124" s="99">
        <f>BK122</f>
        <v/>
      </c>
      <c r="BL124" s="99">
        <f>BL122</f>
        <v/>
      </c>
      <c r="BM124" s="95">
        <f>IFERROR(IF($C124="","",IF($P$15="Cascade",$R124*(1-BL124)*BK124,IF($P$15="Additionnelle",($N124-($N124*($P124+BL124)))*BK124))),"Non Trouvé")</f>
        <v/>
      </c>
      <c r="BP124" s="99">
        <f>BP122</f>
        <v/>
      </c>
      <c r="BQ124" s="99">
        <f>BQ122</f>
        <v/>
      </c>
      <c r="BR124" s="95">
        <f>IFERROR(IF($C124="","",IF($P$15="Cascade",$R124*(1-BQ124)*BP124,IF($P$15="Additionnelle",($N124-($N124*($P124+BQ124)))*BP124))),"Non Trouvé")</f>
        <v/>
      </c>
      <c r="BU124" s="99">
        <f>BU122</f>
        <v/>
      </c>
      <c r="BV124" s="99">
        <f>BV122</f>
        <v/>
      </c>
      <c r="BW124" s="95">
        <f>IFERROR(IF($C124="","",IF($P$15="Cascade",$R124*(1-BV124)*BU124,IF($P$15="Additionnelle",($N124-($N124*($P124+BV124)))*BU124))),"Non Trouvé")</f>
        <v/>
      </c>
      <c r="BZ124" s="99">
        <f>BZ122</f>
        <v/>
      </c>
      <c r="CA124" s="99">
        <f>CA122</f>
        <v/>
      </c>
      <c r="CB124" s="95">
        <f>IFERROR(IF($C124="","",IF($P$15="Cascade",$R124*(1-CA124)*BZ124,IF($P$15="Additionnelle",($N124-($N124*($P124+CA124)))*BZ124))),"Non Trouvé")</f>
        <v/>
      </c>
      <c r="CE124" s="100" t="n"/>
      <c r="CF124" s="101" t="n"/>
      <c r="CG124" s="102" t="n"/>
      <c r="CH124" s="102" t="n"/>
      <c r="CI124" s="103" t="n"/>
      <c r="CK124" s="104">
        <f>IFERROR(IF(F124='[1]Paramètres Généraux'!$K$12,ROUNDUP((REGENERANTS!H124*REGENERANTS!$CF$112)*'[1]Paramètres Généraux'!$M$12,-1),IF(F124='[1]Paramètres Généraux'!$K$15,ROUNDUP((REGENERANTS!H124*REGENERANTS!$CF$112)*'[1]Paramètres Généraux'!$M$15,-1),REGENERANTS!H124*REGENERANTS!$CF$112)),"nd")</f>
        <v/>
      </c>
      <c r="CN124" s="105" t="n"/>
      <c r="CO124" s="106" t="n"/>
      <c r="CP124" s="106" t="n"/>
      <c r="CQ124" s="106" t="n"/>
      <c r="CR124" s="106" t="n"/>
      <c r="CS124" s="178" t="n"/>
      <c r="CT124" s="179" t="n"/>
      <c r="CU124" s="106" t="n"/>
      <c r="CV124" s="178" t="n"/>
      <c r="CW124" s="111" t="n"/>
      <c r="CX124" s="112" t="n"/>
      <c r="CY124" s="111" t="n"/>
      <c r="CZ124" s="109" t="n"/>
      <c r="DA124" s="112" t="n"/>
      <c r="DB124" s="111" t="n"/>
      <c r="DC124" s="109" t="n"/>
      <c r="DD124" s="112" t="n"/>
      <c r="DE124" s="111" t="n"/>
      <c r="DF124" s="109" t="n"/>
      <c r="DG124" s="109" t="n"/>
      <c r="DH124" s="109" t="n"/>
      <c r="DI124" s="109" t="n"/>
      <c r="DJ124" s="109" t="n"/>
      <c r="DK124" s="109" t="n"/>
      <c r="DL124" s="109" t="n"/>
      <c r="DM124" s="109" t="n"/>
      <c r="DN124" s="109" t="n"/>
      <c r="DO124" s="112" t="n"/>
      <c r="DP124" s="111" t="n"/>
      <c r="DQ124" s="20">
        <f>SUM(CN124:DP124)</f>
        <v/>
      </c>
      <c r="DR124" s="20">
        <f>SUM(CV124:DP124)</f>
        <v/>
      </c>
      <c r="DS124" s="20">
        <f>IFERROR((IF(AND($F124="Produit Vente",CO124&gt;0),VLOOKUP($C124,'[1]Paramètres Articles'!$B:$H,7,FALSE)*$CO124)*(1-20%)),0)</f>
        <v/>
      </c>
      <c r="DT124" s="20">
        <f>IFERROR((IF(AND($F124="Produit Vente",DR124&gt;0),VLOOKUP($C124,'[1]Paramètres Articles'!$B:$H,6,FALSE)*$DR124)*(1-15%)),0)</f>
        <v/>
      </c>
      <c r="DU124" s="20">
        <f>IFERROR(DQ124*J124,0)</f>
        <v/>
      </c>
    </row>
    <row r="125" outlineLevel="1" collapsed="1" ht="12.95" customHeight="1">
      <c r="B125" s="1">
        <f>IF(C125="",0,COUNTIFS($B$22:B124,"&gt;"&amp;0)+1)</f>
        <v/>
      </c>
      <c r="C125" s="90" t="n">
        <v>1020301</v>
      </c>
      <c r="D125" s="91">
        <f>IFERROR(IF($C125="","",VLOOKUP($C125,'[1]Paramètres Articles'!$B:$G,2,FALSE)),"Non Trouvé")</f>
        <v/>
      </c>
      <c r="E125" s="92">
        <f>IFERROR(IF($C125="","",_xlfn.XLOOKUP(REGENERANTS!$C125,'[1]New Base PA'!$F:$F,'[1]New Base PA'!$D:$D,"Not Found",0)),"Non Trouvé")</f>
        <v/>
      </c>
      <c r="F125" s="93" t="inlineStr">
        <is>
          <t>Produit Vente</t>
        </is>
      </c>
      <c r="H125" s="94" t="n">
        <v>2</v>
      </c>
      <c r="J125" s="95">
        <f>IFERROR(IF($C125="","",VLOOKUP($C125,'[1]New Base PA'!$F:$J,5,FALSE)),"Non Trouvé")</f>
        <v/>
      </c>
      <c r="K125" s="136">
        <f>IFERROR(IF($C125="","",$J125*$H125),"Non Trouvé")</f>
        <v/>
      </c>
      <c r="L125" s="137" t="n"/>
      <c r="M125" s="95">
        <f>IFERROR(IF(AND($F125="Produit Vente",H125&gt;0),VLOOKUP($C125,'[1]Paramètres Articles'!$B:$G,6,FALSE),0),"Non Trouvé")</f>
        <v/>
      </c>
      <c r="N125" s="95">
        <f>IFERROR(IF($C125="","",$M125*$H125),"Non Trouvé")</f>
        <v/>
      </c>
      <c r="P125" s="97" t="n">
        <v>0.05</v>
      </c>
      <c r="R125" s="95">
        <f>IFERROR(IF($C125="","",$N125*(1-$P125)),"Non Trouvé")</f>
        <v/>
      </c>
      <c r="S125" s="96" t="n"/>
      <c r="T125" s="95">
        <f>IFERROR(IF($C125="","",VLOOKUP($C125,'[1]Paramètres Articles'!$B:$H,7,FALSE)),"Non Trouvé")</f>
        <v/>
      </c>
      <c r="U125" s="98" t="n"/>
      <c r="V125" s="95">
        <f>IFERROR(IF($C125="","",IF($P125="","",$T125*(1-$P125))),"Non Trouvé")</f>
        <v/>
      </c>
      <c r="W125" s="96" t="n"/>
      <c r="X125" s="95">
        <f>IFERROR(T125-V125,"")</f>
        <v/>
      </c>
      <c r="Y125" s="96" t="n"/>
      <c r="Z125" s="95">
        <f>IFERROR(IF(OR(T125=0,T125=""),0,T125*H125),"Non Trouvé")</f>
        <v/>
      </c>
      <c r="AB125" s="99">
        <f>AB124</f>
        <v/>
      </c>
      <c r="AC125" s="99">
        <f>AC124</f>
        <v/>
      </c>
      <c r="AD125" s="95">
        <f>IFERROR(IF($C125="","",IF($P$15="Cascade",$R125*(1-AC125)*AB125,IF($P$15="Additionnelle",($N125-($N125*($P125+AC125)))*AB125))),"Non Trouvé")</f>
        <v/>
      </c>
      <c r="AG125" s="99">
        <f>AG124</f>
        <v/>
      </c>
      <c r="AH125" s="99">
        <f>AH124</f>
        <v/>
      </c>
      <c r="AI125" s="95">
        <f>IFERROR(IF($C125="","",IF($P$15="Cascade",$R125*(1-AH125)*AG125,IF($P$15="Additionnelle",($N125-($N125*($P125+AH125)))*AG125))),"Non Trouvé")</f>
        <v/>
      </c>
      <c r="AL125" s="99">
        <f>AL124</f>
        <v/>
      </c>
      <c r="AM125" s="99">
        <f>AM124</f>
        <v/>
      </c>
      <c r="AN125" s="95">
        <f>IFERROR(IF($C125="","",IF($P$15="Cascade",$R125*(1-AM125)*AL125,IF($P$15="Additionnelle",($N125-($N125*($P125+AM125)))*AL125))),"Non Trouvé")</f>
        <v/>
      </c>
      <c r="AQ125" s="99">
        <f>AQ124</f>
        <v/>
      </c>
      <c r="AR125" s="99">
        <f>AR124</f>
        <v/>
      </c>
      <c r="AS125" s="95">
        <f>IFERROR(IF($C125="","",IF($P$15="Cascade",$R125*(1-AR125)*AQ125,IF($P$15="Additionnelle",($N125-($N125*($P125+AR125)))*AQ125))),"Non Trouvé")</f>
        <v/>
      </c>
      <c r="AV125" s="99">
        <f>AV124</f>
        <v/>
      </c>
      <c r="AW125" s="99">
        <f>AW124</f>
        <v/>
      </c>
      <c r="AX125" s="95">
        <f>IFERROR(IF($C125="","",IF($P$15="Cascade",$R125*(1-AW125)*AV125,IF($P$15="Additionnelle",($N125-($N125*($P125+AW125)))*AV125))),"Non Trouvé")</f>
        <v/>
      </c>
      <c r="BA125" s="99">
        <f>BA124</f>
        <v/>
      </c>
      <c r="BB125" s="99">
        <f>BB124</f>
        <v/>
      </c>
      <c r="BC125" s="95">
        <f>IFERROR(IF($C125="","",IF($P$15="Cascade",$R125*(1-BB125)*BA125,IF($P$15="Additionnelle",($N125-($N125*($P125+BB125)))*BA125))),"Non Trouvé")</f>
        <v/>
      </c>
      <c r="BF125" s="99">
        <f>BF124</f>
        <v/>
      </c>
      <c r="BG125" s="99">
        <f>BG124</f>
        <v/>
      </c>
      <c r="BH125" s="95">
        <f>IFERROR(IF($C125="","",IF($P$15="Cascade",$R125*(1-BG125)*BF125,IF($P$15="Additionnelle",($N125-($N125*($P125+BG125)))*BF125))),"Non Trouvé")</f>
        <v/>
      </c>
      <c r="BK125" s="99">
        <f>BK124</f>
        <v/>
      </c>
      <c r="BL125" s="99">
        <f>BL124</f>
        <v/>
      </c>
      <c r="BM125" s="95">
        <f>IFERROR(IF($C125="","",IF($P$15="Cascade",$R125*(1-BL125)*BK125,IF($P$15="Additionnelle",($N125-($N125*($P125+BL125)))*BK125))),"Non Trouvé")</f>
        <v/>
      </c>
      <c r="BP125" s="99">
        <f>BP124</f>
        <v/>
      </c>
      <c r="BQ125" s="99">
        <f>BQ124</f>
        <v/>
      </c>
      <c r="BR125" s="95">
        <f>IFERROR(IF($C125="","",IF($P$15="Cascade",$R125*(1-BQ125)*BP125,IF($P$15="Additionnelle",($N125-($N125*($P125+BQ125)))*BP125))),"Non Trouvé")</f>
        <v/>
      </c>
      <c r="BU125" s="99">
        <f>BU124</f>
        <v/>
      </c>
      <c r="BV125" s="99">
        <f>BV124</f>
        <v/>
      </c>
      <c r="BW125" s="95">
        <f>IFERROR(IF($C125="","",IF($P$15="Cascade",$R125*(1-BV125)*BU125,IF($P$15="Additionnelle",($N125-($N125*($P125+BV125)))*BU125))),"Non Trouvé")</f>
        <v/>
      </c>
      <c r="BZ125" s="99">
        <f>BZ124</f>
        <v/>
      </c>
      <c r="CA125" s="99">
        <f>CA124</f>
        <v/>
      </c>
      <c r="CB125" s="95">
        <f>IFERROR(IF($C125="","",IF($P$15="Cascade",$R125*(1-CA125)*BZ125,IF($P$15="Additionnelle",($N125-($N125*($P125+CA125)))*BZ125))),"Non Trouvé")</f>
        <v/>
      </c>
      <c r="CE125" s="100" t="n"/>
      <c r="CF125" s="133" t="n"/>
      <c r="CG125" s="102" t="n"/>
      <c r="CH125" s="102" t="n"/>
      <c r="CI125" s="103" t="n"/>
      <c r="CK125" s="104">
        <f>IFERROR(IF(F125='[1]Paramètres Généraux'!$K$12,ROUNDUP((REGENERANTS!H125*REGENERANTS!$CF$112)*'[1]Paramètres Généraux'!$M$12,-1),IF(F125='[1]Paramètres Généraux'!$K$15,ROUNDUP((REGENERANTS!H125*REGENERANTS!$CF$112)*'[1]Paramètres Généraux'!$M$15,-1),REGENERANTS!H125*REGENERANTS!$CF$112)),"nd")</f>
        <v/>
      </c>
      <c r="CN125" s="105" t="n"/>
      <c r="CO125" s="106" t="n"/>
      <c r="CP125" s="106" t="n"/>
      <c r="CQ125" s="106" t="n"/>
      <c r="CR125" s="106" t="n"/>
      <c r="CS125" s="178" t="n"/>
      <c r="CT125" s="179" t="n"/>
      <c r="CU125" s="106" t="n"/>
      <c r="CV125" s="178" t="n"/>
      <c r="CW125" s="111" t="n"/>
      <c r="CX125" s="112" t="n"/>
      <c r="CY125" s="111" t="n"/>
      <c r="CZ125" s="109" t="n"/>
      <c r="DA125" s="112" t="n"/>
      <c r="DB125" s="111" t="n"/>
      <c r="DC125" s="109" t="n"/>
      <c r="DD125" s="112" t="n"/>
      <c r="DE125" s="111" t="n"/>
      <c r="DF125" s="109" t="n"/>
      <c r="DG125" s="109" t="n"/>
      <c r="DH125" s="109" t="n"/>
      <c r="DI125" s="109" t="n"/>
      <c r="DJ125" s="109" t="n"/>
      <c r="DK125" s="109" t="n"/>
      <c r="DL125" s="109" t="n"/>
      <c r="DM125" s="109" t="n"/>
      <c r="DN125" s="109" t="n"/>
      <c r="DO125" s="112" t="n"/>
      <c r="DP125" s="111" t="n"/>
      <c r="DQ125" s="20">
        <f>SUM(CN125:DP125)</f>
        <v/>
      </c>
      <c r="DR125" s="20">
        <f>SUM(CV125:DP125)</f>
        <v/>
      </c>
      <c r="DS125" s="20">
        <f>IFERROR((IF(AND($F125="Produit Vente",CO125&gt;0),VLOOKUP($C125,'[1]Paramètres Articles'!$B:$H,7,FALSE)*$CO125)*(1-20%)),0)</f>
        <v/>
      </c>
      <c r="DT125" s="20">
        <f>IFERROR((IF(AND($F125="Produit Vente",DR125&gt;0),VLOOKUP($C125,'[1]Paramètres Articles'!$B:$H,6,FALSE)*$DR125)*(1-15%)),0)</f>
        <v/>
      </c>
      <c r="DU125" s="20">
        <f>IFERROR(DQ125*J125,0)</f>
        <v/>
      </c>
    </row>
    <row r="126" outlineLevel="1" collapsed="1" ht="12.95" customHeight="1">
      <c r="B126" s="1">
        <f>IF(C126="",0,COUNTIFS($B$22:B125,"&gt;"&amp;0)+1)</f>
        <v/>
      </c>
      <c r="C126" s="90" t="n">
        <v>1020720</v>
      </c>
      <c r="D126" s="91">
        <f>IFERROR(IF($C126="","",VLOOKUP($C126,'[1]Paramètres Articles'!$B:$G,2,FALSE)),"Non Trouvé")</f>
        <v/>
      </c>
      <c r="E126" s="92">
        <f>IFERROR(IF($C126="","",_xlfn.XLOOKUP(REGENERANTS!$C126,'[1]New Base PA'!$F:$F,'[1]New Base PA'!$D:$D,"Not Found",0)),"Non Trouvé")</f>
        <v/>
      </c>
      <c r="F126" s="93" t="inlineStr">
        <is>
          <t>Produit Vente</t>
        </is>
      </c>
      <c r="H126" s="94" t="n">
        <v>2</v>
      </c>
      <c r="J126" s="95">
        <f>IFERROR(IF($C126="","",VLOOKUP($C126,'[1]New Base PA'!$F:$J,5,FALSE)),"Non Trouvé")</f>
        <v/>
      </c>
      <c r="K126" s="136">
        <f>IFERROR(IF($C126="","",$J126*$H126),"Non Trouvé")</f>
        <v/>
      </c>
      <c r="L126" s="137" t="n"/>
      <c r="M126" s="95">
        <f>IFERROR(IF(AND($F126="Produit Vente",H126&gt;0),VLOOKUP($C126,'[1]Paramètres Articles'!$B:$G,6,FALSE),0),"Non Trouvé")</f>
        <v/>
      </c>
      <c r="N126" s="95">
        <f>IFERROR(IF($C126="","",$M126*$H126),"Non Trouvé")</f>
        <v/>
      </c>
      <c r="P126" s="97" t="n">
        <v>0.05</v>
      </c>
      <c r="R126" s="95">
        <f>IFERROR(IF($C126="","",$N126*(1-$P126)),"Non Trouvé")</f>
        <v/>
      </c>
      <c r="S126" s="96" t="n"/>
      <c r="T126" s="95">
        <f>IFERROR(IF($C126="","",VLOOKUP($C126,'[1]Paramètres Articles'!$B:$H,7,FALSE)),"Non Trouvé")</f>
        <v/>
      </c>
      <c r="U126" s="98" t="n"/>
      <c r="V126" s="95">
        <f>IFERROR(IF($C126="","",IF($P126="","",$T126*(1-$P126))),"Non Trouvé")</f>
        <v/>
      </c>
      <c r="W126" s="96" t="n"/>
      <c r="X126" s="95">
        <f>IFERROR(T126-V126,"")</f>
        <v/>
      </c>
      <c r="Y126" s="96" t="n"/>
      <c r="Z126" s="95">
        <f>IFERROR(IF(OR(T126=0,T126=""),0,T126*H126),"Non Trouvé")</f>
        <v/>
      </c>
      <c r="AB126" s="99">
        <f>AB124</f>
        <v/>
      </c>
      <c r="AC126" s="99">
        <f>AC124</f>
        <v/>
      </c>
      <c r="AD126" s="95">
        <f>IFERROR(IF($C126="","",IF($P$15="Cascade",$R126*(1-AC126)*AB126,IF($P$15="Additionnelle",($N126-($N126*($P126+AC126)))*AB126))),"Non Trouvé")</f>
        <v/>
      </c>
      <c r="AG126" s="99">
        <f>AG124</f>
        <v/>
      </c>
      <c r="AH126" s="99">
        <f>AH124</f>
        <v/>
      </c>
      <c r="AI126" s="95">
        <f>IFERROR(IF($C126="","",IF($P$15="Cascade",$R126*(1-AH126)*AG126,IF($P$15="Additionnelle",($N126-($N126*($P126+AH126)))*AG126))),"Non Trouvé")</f>
        <v/>
      </c>
      <c r="AL126" s="99">
        <f>AL124</f>
        <v/>
      </c>
      <c r="AM126" s="99">
        <f>AM124</f>
        <v/>
      </c>
      <c r="AN126" s="95">
        <f>IFERROR(IF($C126="","",IF($P$15="Cascade",$R126*(1-AM126)*AL126,IF($P$15="Additionnelle",($N126-($N126*($P126+AM126)))*AL126))),"Non Trouvé")</f>
        <v/>
      </c>
      <c r="AQ126" s="99">
        <f>AQ124</f>
        <v/>
      </c>
      <c r="AR126" s="99">
        <f>AR124</f>
        <v/>
      </c>
      <c r="AS126" s="95">
        <f>IFERROR(IF($C126="","",IF($P$15="Cascade",$R126*(1-AR126)*AQ126,IF($P$15="Additionnelle",($N126-($N126*($P126+AR126)))*AQ126))),"Non Trouvé")</f>
        <v/>
      </c>
      <c r="AV126" s="99">
        <f>AV124</f>
        <v/>
      </c>
      <c r="AW126" s="99">
        <f>AW124</f>
        <v/>
      </c>
      <c r="AX126" s="95">
        <f>IFERROR(IF($C126="","",IF($P$15="Cascade",$R126*(1-AW126)*AV126,IF($P$15="Additionnelle",($N126-($N126*($P126+AW126)))*AV126))),"Non Trouvé")</f>
        <v/>
      </c>
      <c r="BA126" s="99">
        <f>BA124</f>
        <v/>
      </c>
      <c r="BB126" s="99">
        <f>BB124</f>
        <v/>
      </c>
      <c r="BC126" s="95">
        <f>IFERROR(IF($C126="","",IF($P$15="Cascade",$R126*(1-BB126)*BA126,IF($P$15="Additionnelle",($N126-($N126*($P126+BB126)))*BA126))),"Non Trouvé")</f>
        <v/>
      </c>
      <c r="BF126" s="99">
        <f>BF124</f>
        <v/>
      </c>
      <c r="BG126" s="99">
        <f>BG124</f>
        <v/>
      </c>
      <c r="BH126" s="95">
        <f>IFERROR(IF($C126="","",IF($P$15="Cascade",$R126*(1-BG126)*BF126,IF($P$15="Additionnelle",($N126-($N126*($P126+BG126)))*BF126))),"Non Trouvé")</f>
        <v/>
      </c>
      <c r="BK126" s="99">
        <f>BK124</f>
        <v/>
      </c>
      <c r="BL126" s="99">
        <f>BL124</f>
        <v/>
      </c>
      <c r="BM126" s="95">
        <f>IFERROR(IF($C126="","",IF($P$15="Cascade",$R126*(1-BL126)*BK126,IF($P$15="Additionnelle",($N126-($N126*($P126+BL126)))*BK126))),"Non Trouvé")</f>
        <v/>
      </c>
      <c r="BP126" s="99">
        <f>BP124</f>
        <v/>
      </c>
      <c r="BQ126" s="99">
        <f>BQ124</f>
        <v/>
      </c>
      <c r="BR126" s="95">
        <f>IFERROR(IF($C126="","",IF($P$15="Cascade",$R126*(1-BQ126)*BP126,IF($P$15="Additionnelle",($N126-($N126*($P126+BQ126)))*BP126))),"Non Trouvé")</f>
        <v/>
      </c>
      <c r="BU126" s="99">
        <f>BU124</f>
        <v/>
      </c>
      <c r="BV126" s="99">
        <f>BV124</f>
        <v/>
      </c>
      <c r="BW126" s="95">
        <f>IFERROR(IF($C126="","",IF($P$15="Cascade",$R126*(1-BV126)*BU126,IF($P$15="Additionnelle",($N126-($N126*($P126+BV126)))*BU126))),"Non Trouvé")</f>
        <v/>
      </c>
      <c r="BZ126" s="99">
        <f>BZ124</f>
        <v/>
      </c>
      <c r="CA126" s="99">
        <f>CA124</f>
        <v/>
      </c>
      <c r="CB126" s="95">
        <f>IFERROR(IF($C126="","",IF($P$15="Cascade",$R126*(1-CA126)*BZ126,IF($P$15="Additionnelle",($N126-($N126*($P126+CA126)))*BZ126))),"Non Trouvé")</f>
        <v/>
      </c>
      <c r="CE126" s="100" t="n"/>
      <c r="CF126" s="102" t="n"/>
      <c r="CG126" s="133" t="inlineStr">
        <is>
          <t>Retail</t>
        </is>
      </c>
      <c r="CH126" s="102" t="n"/>
      <c r="CI126" s="103" t="n"/>
      <c r="CK126" s="104">
        <f>IFERROR(IF(F126='[1]Paramètres Généraux'!$K$12,ROUNDUP((REGENERANTS!H126*REGENERANTS!$CF$112)*'[1]Paramètres Généraux'!$M$12,-1),IF(F126='[1]Paramètres Généraux'!$K$15,ROUNDUP((REGENERANTS!H126*REGENERANTS!$CF$112)*'[1]Paramètres Généraux'!$M$15,-1),REGENERANTS!H126*REGENERANTS!$CF$112)),"nd")</f>
        <v/>
      </c>
      <c r="CN126" s="105" t="n"/>
      <c r="CO126" s="106" t="n"/>
      <c r="CP126" s="106" t="n"/>
      <c r="CQ126" s="106" t="n"/>
      <c r="CR126" s="106" t="n"/>
      <c r="CS126" s="178" t="n"/>
      <c r="CT126" s="179" t="n"/>
      <c r="CU126" s="106" t="n"/>
      <c r="CV126" s="178" t="n"/>
      <c r="CW126" s="111" t="n"/>
      <c r="CX126" s="112" t="n"/>
      <c r="CY126" s="111" t="n"/>
      <c r="CZ126" s="109" t="n"/>
      <c r="DA126" s="112" t="n"/>
      <c r="DB126" s="111" t="n"/>
      <c r="DC126" s="109" t="n"/>
      <c r="DD126" s="112" t="n"/>
      <c r="DE126" s="111" t="n"/>
      <c r="DF126" s="109" t="n"/>
      <c r="DG126" s="109" t="n"/>
      <c r="DH126" s="109" t="n"/>
      <c r="DI126" s="109" t="n"/>
      <c r="DJ126" s="109" t="n"/>
      <c r="DK126" s="109" t="n"/>
      <c r="DL126" s="109" t="n"/>
      <c r="DM126" s="109" t="n"/>
      <c r="DN126" s="109" t="n"/>
      <c r="DO126" s="112" t="n"/>
      <c r="DP126" s="111" t="n"/>
      <c r="DQ126" s="20">
        <f>SUM(CN126:DP126)</f>
        <v/>
      </c>
      <c r="DR126" s="20">
        <f>SUM(CV126:DP126)</f>
        <v/>
      </c>
      <c r="DS126" s="20">
        <f>IFERROR((IF(AND($F126="Produit Vente",CO126&gt;0),VLOOKUP($C126,'[1]Paramètres Articles'!$B:$H,7,FALSE)*$CO126)*(1-20%)),0)</f>
        <v/>
      </c>
      <c r="DT126" s="20">
        <f>IFERROR((IF(AND($F126="Produit Vente",DR126&gt;0),VLOOKUP($C126,'[1]Paramètres Articles'!$B:$H,6,FALSE)*$DR126)*(1-15%)),0)</f>
        <v/>
      </c>
      <c r="DU126" s="20">
        <f>IFERROR(DQ126*J126,0)</f>
        <v/>
      </c>
    </row>
    <row r="127" outlineLevel="1" collapsed="1" ht="12.95" customHeight="1">
      <c r="B127" s="1">
        <f>IF(C127="",0,COUNTIFS($B$22:B126,"&gt;"&amp;0)+1)</f>
        <v/>
      </c>
      <c r="C127" s="90" t="inlineStr">
        <is>
          <t>PANNEAU REGE</t>
        </is>
      </c>
      <c r="D127" s="91">
        <f>IFERROR(IF($C127="","",VLOOKUP($C127,'[1]Paramètres Articles'!$B:$G,2,FALSE)),"Non Trouvé")</f>
        <v/>
      </c>
      <c r="E127" s="92">
        <f>IFERROR(IF($C127="","",_xlfn.XLOOKUP(REGENERANTS!$C127,'[1]New Base PA'!$F:$F,'[1]New Base PA'!$D:$D,"Not Found",0)),"Non Trouvé")</f>
        <v/>
      </c>
      <c r="F127" s="93" t="inlineStr">
        <is>
          <t>PLV (vitrine)</t>
        </is>
      </c>
      <c r="H127" s="94" t="n">
        <v>1</v>
      </c>
      <c r="J127" s="95">
        <f>IFERROR(IF($C127="","",VLOOKUP($C127,'[1]New Base PA'!$F:$J,5,FALSE)),"Non Trouvé")</f>
        <v/>
      </c>
      <c r="K127" s="136">
        <f>IFERROR(IF($C127="","",$J127*$H127),"Non Trouvé")</f>
        <v/>
      </c>
      <c r="L127" s="137" t="n"/>
      <c r="M127" s="95">
        <f>IFERROR(IF(AND($F127="Produit Vente",H127&gt;0),VLOOKUP($C127,'[1]Paramètres Articles'!$B:$G,6,FALSE),0),"Non Trouvé")</f>
        <v/>
      </c>
      <c r="N127" s="95">
        <f>IFERROR(IF($C127="","",$M127*$H127),"Non Trouvé")</f>
        <v/>
      </c>
      <c r="P127" s="97" t="n"/>
      <c r="R127" s="95">
        <f>IFERROR(IF($C127="","",$N127*(1-$P127)),"Non Trouvé")</f>
        <v/>
      </c>
      <c r="S127" s="96" t="n"/>
      <c r="T127" s="95">
        <f>IFERROR(IF($C127="","",VLOOKUP($C127,'[1]Paramètres Articles'!$B:$H,7,FALSE)),"Non Trouvé")</f>
        <v/>
      </c>
      <c r="U127" s="98" t="n"/>
      <c r="V127" s="95">
        <f>IFERROR(IF($C127="","",IF($P127="","",$T127*(1-$P127))),"Non Trouvé")</f>
        <v/>
      </c>
      <c r="W127" s="96" t="n"/>
      <c r="X127" s="95">
        <f>IFERROR(T127-V127,"")</f>
        <v/>
      </c>
      <c r="Y127" s="96" t="n"/>
      <c r="Z127" s="95">
        <f>IFERROR(IF(OR(T127=0,T127=""),0,T127*H127),"Non Trouvé")</f>
        <v/>
      </c>
      <c r="AB127" s="99">
        <f>AB126</f>
        <v/>
      </c>
      <c r="AC127" s="99">
        <f>AC126</f>
        <v/>
      </c>
      <c r="AD127" s="95">
        <f>IFERROR(IF($C127="","",IF($P$15="Cascade",$R127*(1-AC127)*AB127,IF($P$15="Additionnelle",($N127-($N127*($P127+AC127)))*AB127))),"Non Trouvé")</f>
        <v/>
      </c>
      <c r="AG127" s="99">
        <f>AG126</f>
        <v/>
      </c>
      <c r="AH127" s="99">
        <f>AH126</f>
        <v/>
      </c>
      <c r="AI127" s="95">
        <f>IFERROR(IF($C127="","",IF($P$15="Cascade",$R127*(1-AH127)*AG127,IF($P$15="Additionnelle",($N127-($N127*($P127+AH127)))*AG127))),"Non Trouvé")</f>
        <v/>
      </c>
      <c r="AL127" s="99">
        <f>AL126</f>
        <v/>
      </c>
      <c r="AM127" s="99">
        <f>AM126</f>
        <v/>
      </c>
      <c r="AN127" s="95">
        <f>IFERROR(IF($C127="","",IF($P$15="Cascade",$R127*(1-AM127)*AL127,IF($P$15="Additionnelle",($N127-($N127*($P127+AM127)))*AL127))),"Non Trouvé")</f>
        <v/>
      </c>
      <c r="AQ127" s="99">
        <f>AQ126</f>
        <v/>
      </c>
      <c r="AR127" s="99">
        <f>AR126</f>
        <v/>
      </c>
      <c r="AS127" s="95">
        <f>IFERROR(IF($C127="","",IF($P$15="Cascade",$R127*(1-AR127)*AQ127,IF($P$15="Additionnelle",($N127-($N127*($P127+AR127)))*AQ127))),"Non Trouvé")</f>
        <v/>
      </c>
      <c r="AV127" s="99">
        <f>AV126</f>
        <v/>
      </c>
      <c r="AW127" s="99">
        <f>AW126</f>
        <v/>
      </c>
      <c r="AX127" s="95">
        <f>IFERROR(IF($C127="","",IF($P$15="Cascade",$R127*(1-AW127)*AV127,IF($P$15="Additionnelle",($N127-($N127*($P127+AW127)))*AV127))),"Non Trouvé")</f>
        <v/>
      </c>
      <c r="BA127" s="99">
        <f>BA126</f>
        <v/>
      </c>
      <c r="BB127" s="99">
        <f>BB126</f>
        <v/>
      </c>
      <c r="BC127" s="95">
        <f>IFERROR(IF($C127="","",IF($P$15="Cascade",$R127*(1-BB127)*BA127,IF($P$15="Additionnelle",($N127-($N127*($P127+BB127)))*BA127))),"Non Trouvé")</f>
        <v/>
      </c>
      <c r="BF127" s="99">
        <f>BF126</f>
        <v/>
      </c>
      <c r="BG127" s="99">
        <f>BG126</f>
        <v/>
      </c>
      <c r="BH127" s="95">
        <f>IFERROR(IF($C127="","",IF($P$15="Cascade",$R127*(1-BG127)*BF127,IF($P$15="Additionnelle",($N127-($N127*($P127+BG127)))*BF127))),"Non Trouvé")</f>
        <v/>
      </c>
      <c r="BK127" s="99">
        <f>BK126</f>
        <v/>
      </c>
      <c r="BL127" s="99">
        <f>BL126</f>
        <v/>
      </c>
      <c r="BM127" s="95">
        <f>IFERROR(IF($C127="","",IF($P$15="Cascade",$R127*(1-BL127)*BK127,IF($P$15="Additionnelle",($N127-($N127*($P127+BL127)))*BK127))),"Non Trouvé")</f>
        <v/>
      </c>
      <c r="BP127" s="99">
        <f>BP126</f>
        <v/>
      </c>
      <c r="BQ127" s="99">
        <f>BQ126</f>
        <v/>
      </c>
      <c r="BR127" s="95">
        <f>IFERROR(IF($C127="","",IF($P$15="Cascade",$R127*(1-BQ127)*BP127,IF($P$15="Additionnelle",($N127-($N127*($P127+BQ127)))*BP127))),"Non Trouvé")</f>
        <v/>
      </c>
      <c r="BU127" s="99">
        <f>BU126</f>
        <v/>
      </c>
      <c r="BV127" s="99">
        <f>BV126</f>
        <v/>
      </c>
      <c r="BW127" s="95">
        <f>IFERROR(IF($C127="","",IF($P$15="Cascade",$R127*(1-BV127)*BU127,IF($P$15="Additionnelle",($N127-($N127*($P127+BV127)))*BU127))),"Non Trouvé")</f>
        <v/>
      </c>
      <c r="BZ127" s="99">
        <f>BZ126</f>
        <v/>
      </c>
      <c r="CA127" s="99">
        <f>CA126</f>
        <v/>
      </c>
      <c r="CB127" s="95">
        <f>IFERROR(IF($C127="","",IF($P$15="Cascade",$R127*(1-CA127)*BZ127,IF($P$15="Additionnelle",($N127-($N127*($P127+CA127)))*BZ127))),"Non Trouvé")</f>
        <v/>
      </c>
      <c r="CE127" s="100" t="n"/>
      <c r="CF127" s="138" t="n"/>
      <c r="CG127" s="102" t="inlineStr">
        <is>
          <t>Nbrs Offres planifiées</t>
        </is>
      </c>
      <c r="CH127" s="138">
        <f>SUMIFS($AB112:$AT112,$AB109:$AT109,CG127)+SUMIFS($BZ112:$CC112,$BZ109:$CC109,CG127)</f>
        <v/>
      </c>
      <c r="CI127" s="103" t="n"/>
      <c r="CK127" s="104">
        <f>IFERROR(IF(F127='[1]Paramètres Généraux'!$K$12,ROUNDUP((REGENERANTS!H127*REGENERANTS!$CF$112)*'[1]Paramètres Généraux'!$M$12,-1),IF(F127='[1]Paramètres Généraux'!$K$15,ROUNDUP((REGENERANTS!H127*REGENERANTS!$CF$112)*'[1]Paramètres Généraux'!$M$15,-1),REGENERANTS!H127*REGENERANTS!$CF$112)),"nd")</f>
        <v/>
      </c>
      <c r="CN127" s="105" t="n"/>
      <c r="CO127" s="106" t="n"/>
      <c r="CP127" s="106" t="n"/>
      <c r="CQ127" s="106" t="n"/>
      <c r="CR127" s="106" t="n"/>
      <c r="CS127" s="178" t="n"/>
      <c r="CT127" s="179" t="n"/>
      <c r="CU127" s="106" t="n"/>
      <c r="CV127" s="178" t="n"/>
      <c r="CW127" s="111" t="n"/>
      <c r="CX127" s="112" t="n"/>
      <c r="CY127" s="111" t="n"/>
      <c r="CZ127" s="109" t="n"/>
      <c r="DA127" s="112" t="n"/>
      <c r="DB127" s="111" t="n"/>
      <c r="DC127" s="109" t="n"/>
      <c r="DD127" s="112" t="n"/>
      <c r="DE127" s="111" t="n"/>
      <c r="DF127" s="109" t="n"/>
      <c r="DG127" s="109" t="n"/>
      <c r="DH127" s="109" t="n"/>
      <c r="DI127" s="109" t="n"/>
      <c r="DJ127" s="109" t="n"/>
      <c r="DK127" s="109" t="n"/>
      <c r="DL127" s="109" t="n"/>
      <c r="DM127" s="109" t="n"/>
      <c r="DN127" s="109" t="n"/>
      <c r="DO127" s="112" t="n"/>
      <c r="DP127" s="111" t="n"/>
      <c r="DQ127" s="20">
        <f>SUM(CN127:DP127)</f>
        <v/>
      </c>
      <c r="DR127" s="20">
        <f>SUM(CV127:DP127)</f>
        <v/>
      </c>
      <c r="DS127" s="20">
        <f>IFERROR((IF(AND($F127="Produit Vente",CO127&gt;0),VLOOKUP($C127,'[1]Paramètres Articles'!$B:$H,7,FALSE)*$CO127)*(1-20%)),0)</f>
        <v/>
      </c>
      <c r="DT127" s="20">
        <f>IFERROR((IF(AND($F127="Produit Vente",DR127&gt;0),VLOOKUP($C127,'[1]Paramètres Articles'!$B:$H,6,FALSE)*$DR127)*(1-15%)),0)</f>
        <v/>
      </c>
      <c r="DU127" s="20">
        <f>IFERROR(DQ127*J127,0)</f>
        <v/>
      </c>
    </row>
    <row r="128" outlineLevel="1" collapsed="1" ht="12.95" customHeight="1">
      <c r="B128" s="1">
        <f>IF(C128="",0,COUNTIFS($B$22:B127,"&gt;"&amp;0)+1)</f>
        <v/>
      </c>
      <c r="C128" s="90" t="inlineStr">
        <is>
          <t>PRESENTOIR REGE</t>
        </is>
      </c>
      <c r="D128" s="91">
        <f>IFERROR(IF($C128="","",VLOOKUP($C128,'[1]Paramètres Articles'!$B:$G,2,FALSE)),"Non Trouvé")</f>
        <v/>
      </c>
      <c r="E128" s="92">
        <f>IFERROR(IF($C128="","",_xlfn.XLOOKUP(REGENERANTS!$C128,'[1]New Base PA'!$F:$F,'[1]New Base PA'!$D:$D,"Not Found",0)),"Non Trouvé")</f>
        <v/>
      </c>
      <c r="F128" s="93" t="inlineStr">
        <is>
          <t>PLV (PDC ou autre)</t>
        </is>
      </c>
      <c r="H128" s="94" t="n">
        <v>1</v>
      </c>
      <c r="J128" s="95">
        <f>IFERROR(IF($C128="","",VLOOKUP($C128,'[1]New Base PA'!$F:$J,5,FALSE)),"Non Trouvé")</f>
        <v/>
      </c>
      <c r="K128" s="136">
        <f>IFERROR(IF($C128="","",$J128*$H128),"Non Trouvé")</f>
        <v/>
      </c>
      <c r="L128" s="137" t="n"/>
      <c r="M128" s="95">
        <f>IFERROR(IF(AND($F128="Produit Vente",H128&gt;0),VLOOKUP($C128,'[1]Paramètres Articles'!$B:$G,6,FALSE),0),"Non Trouvé")</f>
        <v/>
      </c>
      <c r="N128" s="95">
        <f>IFERROR(IF($C128="","",$M128*$H128),"Non Trouvé")</f>
        <v/>
      </c>
      <c r="P128" s="97" t="n"/>
      <c r="R128" s="95">
        <f>IFERROR(IF($C128="","",$N128*(1-$P128)),"Non Trouvé")</f>
        <v/>
      </c>
      <c r="S128" s="96" t="n"/>
      <c r="T128" s="95">
        <f>IFERROR(IF($C128="","",VLOOKUP($C128,'[1]Paramètres Articles'!$B:$H,7,FALSE)),"Non Trouvé")</f>
        <v/>
      </c>
      <c r="U128" s="98" t="n"/>
      <c r="V128" s="95">
        <f>IFERROR(IF($C128="","",IF($P128="","",$T128*(1-$P128))),"Non Trouvé")</f>
        <v/>
      </c>
      <c r="W128" s="96" t="n"/>
      <c r="X128" s="95">
        <f>IFERROR(T128-V128,"")</f>
        <v/>
      </c>
      <c r="Y128" s="96" t="n"/>
      <c r="Z128" s="95">
        <f>IFERROR(IF(OR(T128=0,T128=""),0,T128*H128),"Non Trouvé")</f>
        <v/>
      </c>
      <c r="AB128" s="99">
        <f>AB126</f>
        <v/>
      </c>
      <c r="AC128" s="99">
        <f>AC126</f>
        <v/>
      </c>
      <c r="AD128" s="95">
        <f>IFERROR(IF($C128="","",IF($P$15="Cascade",$R128*(1-AC128)*AB128,IF($P$15="Additionnelle",($N128-($N128*($P128+AC128)))*AB128))),"Non Trouvé")</f>
        <v/>
      </c>
      <c r="AG128" s="99">
        <f>AG126</f>
        <v/>
      </c>
      <c r="AH128" s="99">
        <f>AH126</f>
        <v/>
      </c>
      <c r="AI128" s="95">
        <f>IFERROR(IF($C128="","",IF($P$15="Cascade",$R128*(1-AH128)*AG128,IF($P$15="Additionnelle",($N128-($N128*($P128+AH128)))*AG128))),"Non Trouvé")</f>
        <v/>
      </c>
      <c r="AL128" s="99">
        <f>AL126</f>
        <v/>
      </c>
      <c r="AM128" s="99">
        <f>AM126</f>
        <v/>
      </c>
      <c r="AN128" s="95">
        <f>IFERROR(IF($C128="","",IF($P$15="Cascade",$R128*(1-AM128)*AL128,IF($P$15="Additionnelle",($N128-($N128*($P128+AM128)))*AL128))),"Non Trouvé")</f>
        <v/>
      </c>
      <c r="AQ128" s="99">
        <f>AQ126</f>
        <v/>
      </c>
      <c r="AR128" s="99">
        <f>AR126</f>
        <v/>
      </c>
      <c r="AS128" s="95">
        <f>IFERROR(IF($C128="","",IF($P$15="Cascade",$R128*(1-AR128)*AQ128,IF($P$15="Additionnelle",($N128-($N128*($P128+AR128)))*AQ128))),"Non Trouvé")</f>
        <v/>
      </c>
      <c r="AV128" s="99">
        <f>AV126</f>
        <v/>
      </c>
      <c r="AW128" s="99">
        <f>AW126</f>
        <v/>
      </c>
      <c r="AX128" s="95">
        <f>IFERROR(IF($C128="","",IF($P$15="Cascade",$R128*(1-AW128)*AV128,IF($P$15="Additionnelle",($N128-($N128*($P128+AW128)))*AV128))),"Non Trouvé")</f>
        <v/>
      </c>
      <c r="BA128" s="99">
        <f>BA126</f>
        <v/>
      </c>
      <c r="BB128" s="99">
        <f>BB126</f>
        <v/>
      </c>
      <c r="BC128" s="95">
        <f>IFERROR(IF($C128="","",IF($P$15="Cascade",$R128*(1-BB128)*BA128,IF($P$15="Additionnelle",($N128-($N128*($P128+BB128)))*BA128))),"Non Trouvé")</f>
        <v/>
      </c>
      <c r="BF128" s="99">
        <f>BF126</f>
        <v/>
      </c>
      <c r="BG128" s="99">
        <f>BG126</f>
        <v/>
      </c>
      <c r="BH128" s="95">
        <f>IFERROR(IF($C128="","",IF($P$15="Cascade",$R128*(1-BG128)*BF128,IF($P$15="Additionnelle",($N128-($N128*($P128+BG128)))*BF128))),"Non Trouvé")</f>
        <v/>
      </c>
      <c r="BK128" s="99">
        <f>BK126</f>
        <v/>
      </c>
      <c r="BL128" s="99">
        <f>BL126</f>
        <v/>
      </c>
      <c r="BM128" s="95">
        <f>IFERROR(IF($C128="","",IF($P$15="Cascade",$R128*(1-BL128)*BK128,IF($P$15="Additionnelle",($N128-($N128*($P128+BL128)))*BK128))),"Non Trouvé")</f>
        <v/>
      </c>
      <c r="BP128" s="99">
        <f>BP126</f>
        <v/>
      </c>
      <c r="BQ128" s="99">
        <f>BQ126</f>
        <v/>
      </c>
      <c r="BR128" s="95">
        <f>IFERROR(IF($C128="","",IF($P$15="Cascade",$R128*(1-BQ128)*BP128,IF($P$15="Additionnelle",($N128-($N128*($P128+BQ128)))*BP128))),"Non Trouvé")</f>
        <v/>
      </c>
      <c r="BU128" s="99">
        <f>BU126</f>
        <v/>
      </c>
      <c r="BV128" s="99">
        <f>BV126</f>
        <v/>
      </c>
      <c r="BW128" s="95">
        <f>IFERROR(IF($C128="","",IF($P$15="Cascade",$R128*(1-BV128)*BU128,IF($P$15="Additionnelle",($N128-($N128*($P128+BV128)))*BU128))),"Non Trouvé")</f>
        <v/>
      </c>
      <c r="BZ128" s="99">
        <f>BZ126</f>
        <v/>
      </c>
      <c r="CA128" s="99">
        <f>CA126</f>
        <v/>
      </c>
      <c r="CB128" s="95">
        <f>IFERROR(IF($C128="","",IF($P$15="Cascade",$R128*(1-CA128)*BZ128,IF($P$15="Additionnelle",($N128-($N128*($P128+CA128)))*BZ128))),"Non Trouvé")</f>
        <v/>
      </c>
      <c r="CE128" s="100" t="n"/>
      <c r="CF128" s="101" t="n"/>
      <c r="CG128" s="102" t="inlineStr">
        <is>
          <t>CA</t>
        </is>
      </c>
      <c r="CH128" s="139">
        <f>SUMIFS($AB112:$AT112,$AB109:$AT109,CG128)+SUMIFS($BZ112:$CC112,$BZ109:$CC109,CG128)</f>
        <v/>
      </c>
      <c r="CI128" s="103" t="n"/>
      <c r="CK128" s="104">
        <f>IFERROR(IF(F128='[1]Paramètres Généraux'!$K$12,ROUNDUP((REGENERANTS!H128*REGENERANTS!$CF$112)*'[1]Paramètres Généraux'!$M$12,-1),IF(F128='[1]Paramètres Généraux'!$K$15,ROUNDUP((REGENERANTS!H128*REGENERANTS!$CF$112)*'[1]Paramètres Généraux'!$M$15,-1),REGENERANTS!H128*REGENERANTS!$CF$112)),"nd")</f>
        <v/>
      </c>
      <c r="CN128" s="105" t="n"/>
      <c r="CO128" s="106" t="n"/>
      <c r="CP128" s="106" t="n"/>
      <c r="CQ128" s="106" t="n"/>
      <c r="CR128" s="106" t="n"/>
      <c r="CS128" s="178" t="n"/>
      <c r="CT128" s="179" t="n"/>
      <c r="CU128" s="106" t="n"/>
      <c r="CV128" s="178" t="n"/>
      <c r="CW128" s="111" t="n"/>
      <c r="CX128" s="112" t="n"/>
      <c r="CY128" s="111" t="n"/>
      <c r="CZ128" s="109" t="n"/>
      <c r="DA128" s="112" t="n"/>
      <c r="DB128" s="111" t="n"/>
      <c r="DC128" s="109" t="n"/>
      <c r="DD128" s="112" t="n"/>
      <c r="DE128" s="111" t="n"/>
      <c r="DF128" s="109" t="n"/>
      <c r="DG128" s="109" t="n"/>
      <c r="DH128" s="109" t="n"/>
      <c r="DI128" s="109" t="n"/>
      <c r="DJ128" s="109" t="n"/>
      <c r="DK128" s="109" t="n"/>
      <c r="DL128" s="109" t="n"/>
      <c r="DM128" s="109" t="n"/>
      <c r="DN128" s="109" t="n"/>
      <c r="DO128" s="112" t="n"/>
      <c r="DP128" s="111" t="n"/>
      <c r="DQ128" s="20">
        <f>SUM(CN128:DP128)</f>
        <v/>
      </c>
      <c r="DR128" s="20">
        <f>SUM(CV128:DP128)</f>
        <v/>
      </c>
      <c r="DS128" s="20">
        <f>IFERROR((IF(AND($F128="Produit Vente",CO128&gt;0),VLOOKUP($C128,'[1]Paramètres Articles'!$B:$H,7,FALSE)*$CO128)*(1-20%)),0)</f>
        <v/>
      </c>
      <c r="DT128" s="20">
        <f>IFERROR((IF(AND($F128="Produit Vente",DR128&gt;0),VLOOKUP($C128,'[1]Paramètres Articles'!$B:$H,6,FALSE)*$DR128)*(1-15%)),0)</f>
        <v/>
      </c>
      <c r="DU128" s="20">
        <f>IFERROR(DQ128*J128,0)</f>
        <v/>
      </c>
    </row>
    <row r="129" outlineLevel="1" collapsed="1" ht="12.95" customHeight="1">
      <c r="B129" s="1">
        <f>IF(C129="",0,COUNTIFS($B$22:B128,"&gt;"&amp;0)+1)</f>
        <v/>
      </c>
      <c r="C129" s="90" t="n">
        <v>3020202</v>
      </c>
      <c r="D129" s="91">
        <f>IFERROR(IF($C129="","",VLOOKUP($C129,'[1]Paramètres Articles'!$B:$G,2,FALSE)),"Non Trouvé")</f>
        <v/>
      </c>
      <c r="E129" s="92">
        <f>IFERROR(IF($C129="","",_xlfn.XLOOKUP(REGENERANTS!$C129,'[1]New Base PA'!$F:$F,'[1]New Base PA'!$D:$D,"Not Found",0)),"Non Trouvé")</f>
        <v/>
      </c>
      <c r="F129" s="93" t="inlineStr">
        <is>
          <t>Testeur</t>
        </is>
      </c>
      <c r="H129" s="94" t="n">
        <v>1</v>
      </c>
      <c r="J129" s="95">
        <f>IFERROR(IF($C129="","",VLOOKUP($C129,'[1]New Base PA'!$F:$J,5,FALSE)),"Non Trouvé")</f>
        <v/>
      </c>
      <c r="K129" s="136">
        <f>IFERROR(IF($C129="","",$J129*$H129),"Non Trouvé")</f>
        <v/>
      </c>
      <c r="L129" s="137" t="n"/>
      <c r="M129" s="95">
        <f>IFERROR(IF(AND($F129="Produit Vente",H129&gt;0),VLOOKUP($C129,'[1]Paramètres Articles'!$B:$G,6,FALSE),0),"Non Trouvé")</f>
        <v/>
      </c>
      <c r="N129" s="95">
        <f>IFERROR(IF($C129="","",$M129*$H129),"Non Trouvé")</f>
        <v/>
      </c>
      <c r="P129" s="97" t="n"/>
      <c r="R129" s="95">
        <f>IFERROR(IF($C129="","",$N129*(1-$P129)),"Non Trouvé")</f>
        <v/>
      </c>
      <c r="S129" s="96" t="n"/>
      <c r="T129" s="95">
        <f>IFERROR(IF($C129="","",VLOOKUP($C129,'[1]Paramètres Articles'!$B:$H,7,FALSE)),"Non Trouvé")</f>
        <v/>
      </c>
      <c r="U129" s="98" t="n"/>
      <c r="V129" s="95">
        <f>IFERROR(IF($C129="","",IF($P129="","",$T129*(1-$P129))),"Non Trouvé")</f>
        <v/>
      </c>
      <c r="W129" s="96" t="n"/>
      <c r="X129" s="95">
        <f>IFERROR(T129-V129,"")</f>
        <v/>
      </c>
      <c r="Y129" s="96" t="n"/>
      <c r="Z129" s="95">
        <f>IFERROR(IF(OR(T129=0,T129=""),0,T129*H129),"Non Trouvé")</f>
        <v/>
      </c>
      <c r="AB129" s="99">
        <f>AB128</f>
        <v/>
      </c>
      <c r="AC129" s="99">
        <f>AC128</f>
        <v/>
      </c>
      <c r="AD129" s="95">
        <f>IFERROR(IF($C129="","",IF($P$15="Cascade",$R129*(1-AC129)*AB129,IF($P$15="Additionnelle",($N129-($N129*($P129+AC129)))*AB129))),"Non Trouvé")</f>
        <v/>
      </c>
      <c r="AG129" s="99">
        <f>AG128</f>
        <v/>
      </c>
      <c r="AH129" s="99">
        <f>AH128</f>
        <v/>
      </c>
      <c r="AI129" s="95">
        <f>IFERROR(IF($C129="","",IF($P$15="Cascade",$R129*(1-AH129)*AG129,IF($P$15="Additionnelle",($N129-($N129*($P129+AH129)))*AG129))),"Non Trouvé")</f>
        <v/>
      </c>
      <c r="AL129" s="99">
        <f>AL128</f>
        <v/>
      </c>
      <c r="AM129" s="99">
        <f>AM128</f>
        <v/>
      </c>
      <c r="AN129" s="95">
        <f>IFERROR(IF($C129="","",IF($P$15="Cascade",$R129*(1-AM129)*AL129,IF($P$15="Additionnelle",($N129-($N129*($P129+AM129)))*AL129))),"Non Trouvé")</f>
        <v/>
      </c>
      <c r="AQ129" s="99">
        <f>AQ128</f>
        <v/>
      </c>
      <c r="AR129" s="99">
        <f>AR128</f>
        <v/>
      </c>
      <c r="AS129" s="95">
        <f>IFERROR(IF($C129="","",IF($P$15="Cascade",$R129*(1-AR129)*AQ129,IF($P$15="Additionnelle",($N129-($N129*($P129+AR129)))*AQ129))),"Non Trouvé")</f>
        <v/>
      </c>
      <c r="AV129" s="99">
        <f>AV128</f>
        <v/>
      </c>
      <c r="AW129" s="99">
        <f>AW128</f>
        <v/>
      </c>
      <c r="AX129" s="95">
        <f>IFERROR(IF($C129="","",IF($P$15="Cascade",$R129*(1-AW129)*AV129,IF($P$15="Additionnelle",($N129-($N129*($P129+AW129)))*AV129))),"Non Trouvé")</f>
        <v/>
      </c>
      <c r="BA129" s="99">
        <f>BA128</f>
        <v/>
      </c>
      <c r="BB129" s="99">
        <f>BB128</f>
        <v/>
      </c>
      <c r="BC129" s="95">
        <f>IFERROR(IF($C129="","",IF($P$15="Cascade",$R129*(1-BB129)*BA129,IF($P$15="Additionnelle",($N129-($N129*($P129+BB129)))*BA129))),"Non Trouvé")</f>
        <v/>
      </c>
      <c r="BF129" s="99">
        <f>BF128</f>
        <v/>
      </c>
      <c r="BG129" s="99">
        <f>BG128</f>
        <v/>
      </c>
      <c r="BH129" s="95">
        <f>IFERROR(IF($C129="","",IF($P$15="Cascade",$R129*(1-BG129)*BF129,IF($P$15="Additionnelle",($N129-($N129*($P129+BG129)))*BF129))),"Non Trouvé")</f>
        <v/>
      </c>
      <c r="BK129" s="99">
        <f>BK128</f>
        <v/>
      </c>
      <c r="BL129" s="99">
        <f>BL128</f>
        <v/>
      </c>
      <c r="BM129" s="95">
        <f>IFERROR(IF($C129="","",IF($P$15="Cascade",$R129*(1-BL129)*BK129,IF($P$15="Additionnelle",($N129-($N129*($P129+BL129)))*BK129))),"Non Trouvé")</f>
        <v/>
      </c>
      <c r="BP129" s="99">
        <f>BP128</f>
        <v/>
      </c>
      <c r="BQ129" s="99">
        <f>BQ128</f>
        <v/>
      </c>
      <c r="BR129" s="95">
        <f>IFERROR(IF($C129="","",IF($P$15="Cascade",$R129*(1-BQ129)*BP129,IF($P$15="Additionnelle",($N129-($N129*($P129+BQ129)))*BP129))),"Non Trouvé")</f>
        <v/>
      </c>
      <c r="BU129" s="99">
        <f>BU128</f>
        <v/>
      </c>
      <c r="BV129" s="99">
        <f>BV128</f>
        <v/>
      </c>
      <c r="BW129" s="95">
        <f>IFERROR(IF($C129="","",IF($P$15="Cascade",$R129*(1-BV129)*BU129,IF($P$15="Additionnelle",($N129-($N129*($P129+BV129)))*BU129))),"Non Trouvé")</f>
        <v/>
      </c>
      <c r="BZ129" s="99">
        <f>BZ128</f>
        <v/>
      </c>
      <c r="CA129" s="99">
        <f>CA128</f>
        <v/>
      </c>
      <c r="CB129" s="95">
        <f>IFERROR(IF($C129="","",IF($P$15="Cascade",$R129*(1-CA129)*BZ129,IF($P$15="Additionnelle",($N129-($N129*($P129+CA129)))*BZ129))),"Non Trouvé")</f>
        <v/>
      </c>
      <c r="CE129" s="100" t="n"/>
      <c r="CF129" s="133" t="n"/>
      <c r="CG129" s="102" t="inlineStr">
        <is>
          <t>Marges</t>
        </is>
      </c>
      <c r="CH129" s="142">
        <f>IFERROR((CH128-$K112*CH127)/CH128,"Non Trouvé")</f>
        <v/>
      </c>
      <c r="CI129" s="103" t="n"/>
      <c r="CK129" s="104">
        <f>IFERROR(IF(F129='[1]Paramètres Généraux'!$K$12,ROUNDUP((REGENERANTS!H129*REGENERANTS!$CF$112)*'[1]Paramètres Généraux'!$M$12,-1),IF(F129='[1]Paramètres Généraux'!$K$15,ROUNDUP((REGENERANTS!H129*REGENERANTS!$CF$112)*'[1]Paramètres Généraux'!$M$15,-1),REGENERANTS!H129*REGENERANTS!$CF$112)),"nd")</f>
        <v/>
      </c>
      <c r="CN129" s="105" t="n"/>
      <c r="CO129" s="106" t="n"/>
      <c r="CP129" s="106" t="n"/>
      <c r="CQ129" s="106" t="n"/>
      <c r="CR129" s="106" t="n"/>
      <c r="CS129" s="178" t="n"/>
      <c r="CT129" s="179" t="n"/>
      <c r="CU129" s="106" t="n"/>
      <c r="CV129" s="178" t="n"/>
      <c r="CW129" s="111" t="n"/>
      <c r="CX129" s="112" t="n"/>
      <c r="CY129" s="111" t="n"/>
      <c r="CZ129" s="109" t="n"/>
      <c r="DA129" s="112" t="n"/>
      <c r="DB129" s="111" t="n"/>
      <c r="DC129" s="109" t="n"/>
      <c r="DD129" s="112" t="n"/>
      <c r="DE129" s="111" t="n"/>
      <c r="DF129" s="109" t="n"/>
      <c r="DG129" s="109" t="n"/>
      <c r="DH129" s="109" t="n"/>
      <c r="DI129" s="109" t="n"/>
      <c r="DJ129" s="109" t="n"/>
      <c r="DK129" s="109" t="n"/>
      <c r="DL129" s="109" t="n"/>
      <c r="DM129" s="109" t="n"/>
      <c r="DN129" s="109" t="n"/>
      <c r="DO129" s="112" t="n"/>
      <c r="DP129" s="111" t="n"/>
      <c r="DQ129" s="20">
        <f>SUM(CN129:DP129)</f>
        <v/>
      </c>
      <c r="DR129" s="20">
        <f>SUM(CV129:DP129)</f>
        <v/>
      </c>
      <c r="DS129" s="20">
        <f>IFERROR((IF(AND($F129="Produit Vente",CO129&gt;0),VLOOKUP($C129,'[1]Paramètres Articles'!$B:$H,7,FALSE)*$CO129)*(1-20%)),0)</f>
        <v/>
      </c>
      <c r="DT129" s="20">
        <f>IFERROR((IF(AND($F129="Produit Vente",DR129&gt;0),VLOOKUP($C129,'[1]Paramètres Articles'!$B:$H,6,FALSE)*$DR129)*(1-15%)),0)</f>
        <v/>
      </c>
      <c r="DU129" s="20">
        <f>IFERROR(DQ129*J129,0)</f>
        <v/>
      </c>
    </row>
    <row r="130" outlineLevel="1" collapsed="1" ht="12.95" customHeight="1">
      <c r="B130" s="1">
        <f>IF(C130="",0,COUNTIFS($B$22:B129,"&gt;"&amp;0)+1)</f>
        <v/>
      </c>
      <c r="C130" s="90" t="n">
        <v>3020301</v>
      </c>
      <c r="D130" s="91">
        <f>IFERROR(IF($C130="","",VLOOKUP($C130,'[1]Paramètres Articles'!$B:$G,2,FALSE)),"Non Trouvé")</f>
        <v/>
      </c>
      <c r="E130" s="92">
        <f>IFERROR(IF($C130="","",_xlfn.XLOOKUP(REGENERANTS!$C130,'[1]New Base PA'!$F:$F,'[1]New Base PA'!$D:$D,"Not Found",0)),"Non Trouvé")</f>
        <v/>
      </c>
      <c r="F130" s="93" t="inlineStr">
        <is>
          <t>Testeur</t>
        </is>
      </c>
      <c r="H130" s="94" t="n">
        <v>1</v>
      </c>
      <c r="J130" s="95">
        <f>IFERROR(IF($C130="","",VLOOKUP($C130,'[1]New Base PA'!$F:$J,5,FALSE)),"Non Trouvé")</f>
        <v/>
      </c>
      <c r="K130" s="136">
        <f>IFERROR(IF($C130="","",$J130*$H130),"Non Trouvé")</f>
        <v/>
      </c>
      <c r="L130" s="137" t="n"/>
      <c r="M130" s="95">
        <f>IFERROR(IF(AND($F130="Produit Vente",H130&gt;0),VLOOKUP($C130,'[1]Paramètres Articles'!$B:$G,6,FALSE),0),"Non Trouvé")</f>
        <v/>
      </c>
      <c r="N130" s="95">
        <f>IFERROR(IF($C130="","",$M130*$H130),"Non Trouvé")</f>
        <v/>
      </c>
      <c r="P130" s="97" t="n"/>
      <c r="R130" s="95">
        <f>IFERROR(IF($C130="","",$N130*(1-$P130)),"Non Trouvé")</f>
        <v/>
      </c>
      <c r="S130" s="96" t="n"/>
      <c r="T130" s="95">
        <f>IFERROR(IF($C130="","",VLOOKUP($C130,'[1]Paramètres Articles'!$B:$H,7,FALSE)),"Non Trouvé")</f>
        <v/>
      </c>
      <c r="U130" s="98" t="n"/>
      <c r="V130" s="95">
        <f>IFERROR(IF($C130="","",IF($P130="","",$T130*(1-$P130))),"Non Trouvé")</f>
        <v/>
      </c>
      <c r="W130" s="96" t="n"/>
      <c r="X130" s="95">
        <f>IFERROR(T130-V130,"")</f>
        <v/>
      </c>
      <c r="Y130" s="96" t="n"/>
      <c r="Z130" s="95">
        <f>IFERROR(IF(OR(T130=0,T130=""),0,T130*H130),"Non Trouvé")</f>
        <v/>
      </c>
      <c r="AB130" s="99">
        <f>AB128</f>
        <v/>
      </c>
      <c r="AC130" s="99">
        <f>AC128</f>
        <v/>
      </c>
      <c r="AD130" s="95">
        <f>IFERROR(IF($C130="","",IF($P$15="Cascade",$R130*(1-AC130)*AB130,IF($P$15="Additionnelle",($N130-($N130*($P130+AC130)))*AB130))),"Non Trouvé")</f>
        <v/>
      </c>
      <c r="AG130" s="99">
        <f>AG128</f>
        <v/>
      </c>
      <c r="AH130" s="99">
        <f>AH128</f>
        <v/>
      </c>
      <c r="AI130" s="95">
        <f>IFERROR(IF($C130="","",IF($P$15="Cascade",$R130*(1-AH130)*AG130,IF($P$15="Additionnelle",($N130-($N130*($P130+AH130)))*AG130))),"Non Trouvé")</f>
        <v/>
      </c>
      <c r="AL130" s="99">
        <f>AL128</f>
        <v/>
      </c>
      <c r="AM130" s="99">
        <f>AM128</f>
        <v/>
      </c>
      <c r="AN130" s="95">
        <f>IFERROR(IF($C130="","",IF($P$15="Cascade",$R130*(1-AM130)*AL130,IF($P$15="Additionnelle",($N130-($N130*($P130+AM130)))*AL130))),"Non Trouvé")</f>
        <v/>
      </c>
      <c r="AQ130" s="99">
        <f>AQ128</f>
        <v/>
      </c>
      <c r="AR130" s="99">
        <f>AR128</f>
        <v/>
      </c>
      <c r="AS130" s="95">
        <f>IFERROR(IF($C130="","",IF($P$15="Cascade",$R130*(1-AR130)*AQ130,IF($P$15="Additionnelle",($N130-($N130*($P130+AR130)))*AQ130))),"Non Trouvé")</f>
        <v/>
      </c>
      <c r="AV130" s="99">
        <f>AV128</f>
        <v/>
      </c>
      <c r="AW130" s="99">
        <f>AW128</f>
        <v/>
      </c>
      <c r="AX130" s="95">
        <f>IFERROR(IF($C130="","",IF($P$15="Cascade",$R130*(1-AW130)*AV130,IF($P$15="Additionnelle",($N130-($N130*($P130+AW130)))*AV130))),"Non Trouvé")</f>
        <v/>
      </c>
      <c r="BA130" s="99">
        <f>BA128</f>
        <v/>
      </c>
      <c r="BB130" s="99">
        <f>BB128</f>
        <v/>
      </c>
      <c r="BC130" s="95">
        <f>IFERROR(IF($C130="","",IF($P$15="Cascade",$R130*(1-BB130)*BA130,IF($P$15="Additionnelle",($N130-($N130*($P130+BB130)))*BA130))),"Non Trouvé")</f>
        <v/>
      </c>
      <c r="BF130" s="99">
        <f>BF128</f>
        <v/>
      </c>
      <c r="BG130" s="99">
        <f>BG128</f>
        <v/>
      </c>
      <c r="BH130" s="95">
        <f>IFERROR(IF($C130="","",IF($P$15="Cascade",$R130*(1-BG130)*BF130,IF($P$15="Additionnelle",($N130-($N130*($P130+BG130)))*BF130))),"Non Trouvé")</f>
        <v/>
      </c>
      <c r="BK130" s="99">
        <f>BK128</f>
        <v/>
      </c>
      <c r="BL130" s="99">
        <f>BL128</f>
        <v/>
      </c>
      <c r="BM130" s="95">
        <f>IFERROR(IF($C130="","",IF($P$15="Cascade",$R130*(1-BL130)*BK130,IF($P$15="Additionnelle",($N130-($N130*($P130+BL130)))*BK130))),"Non Trouvé")</f>
        <v/>
      </c>
      <c r="BP130" s="99">
        <f>BP128</f>
        <v/>
      </c>
      <c r="BQ130" s="99">
        <f>BQ128</f>
        <v/>
      </c>
      <c r="BR130" s="95">
        <f>IFERROR(IF($C130="","",IF($P$15="Cascade",$R130*(1-BQ130)*BP130,IF($P$15="Additionnelle",($N130-($N130*($P130+BQ130)))*BP130))),"Non Trouvé")</f>
        <v/>
      </c>
      <c r="BU130" s="99">
        <f>BU128</f>
        <v/>
      </c>
      <c r="BV130" s="99">
        <f>BV128</f>
        <v/>
      </c>
      <c r="BW130" s="95">
        <f>IFERROR(IF($C130="","",IF($P$15="Cascade",$R130*(1-BV130)*BU130,IF($P$15="Additionnelle",($N130-($N130*($P130+BV130)))*BU130))),"Non Trouvé")</f>
        <v/>
      </c>
      <c r="BZ130" s="99">
        <f>BZ128</f>
        <v/>
      </c>
      <c r="CA130" s="99">
        <f>CA128</f>
        <v/>
      </c>
      <c r="CB130" s="95">
        <f>IFERROR(IF($C130="","",IF($P$15="Cascade",$R130*(1-CA130)*BZ130,IF($P$15="Additionnelle",($N130-($N130*($P130+CA130)))*BZ130))),"Non Trouvé")</f>
        <v/>
      </c>
      <c r="CE130" s="100" t="n"/>
      <c r="CF130" s="102" t="n"/>
      <c r="CG130" s="102" t="inlineStr">
        <is>
          <t>Marges €</t>
        </is>
      </c>
      <c r="CH130" s="139">
        <f>IFERROR(CH128*CH129,0)</f>
        <v/>
      </c>
      <c r="CI130" s="103" t="n"/>
      <c r="CK130" s="104">
        <f>IFERROR(IF(F130='[1]Paramètres Généraux'!$K$12,ROUNDUP((REGENERANTS!H130*REGENERANTS!$CF$112)*'[1]Paramètres Généraux'!$M$12,-1),IF(F130='[1]Paramètres Généraux'!$K$15,ROUNDUP((REGENERANTS!H130*REGENERANTS!$CF$112)*'[1]Paramètres Généraux'!$M$15,-1),REGENERANTS!H130*REGENERANTS!$CF$112)),"nd")</f>
        <v/>
      </c>
      <c r="CN130" s="105" t="n"/>
      <c r="CO130" s="106" t="n"/>
      <c r="CP130" s="106" t="n"/>
      <c r="CQ130" s="106" t="n"/>
      <c r="CR130" s="106" t="n"/>
      <c r="CS130" s="178" t="n"/>
      <c r="CT130" s="179" t="n"/>
      <c r="CU130" s="106" t="n"/>
      <c r="CV130" s="178" t="n"/>
      <c r="CW130" s="111" t="n"/>
      <c r="CX130" s="112" t="n"/>
      <c r="CY130" s="111" t="n"/>
      <c r="CZ130" s="109" t="n"/>
      <c r="DA130" s="112" t="n"/>
      <c r="DB130" s="111" t="n"/>
      <c r="DC130" s="109" t="n"/>
      <c r="DD130" s="112" t="n"/>
      <c r="DE130" s="111" t="n"/>
      <c r="DF130" s="109" t="n"/>
      <c r="DG130" s="109" t="n"/>
      <c r="DH130" s="109" t="n"/>
      <c r="DI130" s="109" t="n"/>
      <c r="DJ130" s="109" t="n"/>
      <c r="DK130" s="109" t="n"/>
      <c r="DL130" s="109" t="n"/>
      <c r="DM130" s="109" t="n"/>
      <c r="DN130" s="109" t="n"/>
      <c r="DO130" s="112" t="n"/>
      <c r="DP130" s="111" t="n"/>
      <c r="DQ130" s="20">
        <f>SUM(CN130:DP130)</f>
        <v/>
      </c>
      <c r="DR130" s="20">
        <f>SUM(CV130:DP130)</f>
        <v/>
      </c>
      <c r="DS130" s="20">
        <f>IFERROR((IF(AND($F130="Produit Vente",CO130&gt;0),VLOOKUP($C130,'[1]Paramètres Articles'!$B:$H,7,FALSE)*$CO130)*(1-20%)),0)</f>
        <v/>
      </c>
      <c r="DT130" s="20">
        <f>IFERROR((IF(AND($F130="Produit Vente",DR130&gt;0),VLOOKUP($C130,'[1]Paramètres Articles'!$B:$H,6,FALSE)*$DR130)*(1-15%)),0)</f>
        <v/>
      </c>
      <c r="DU130" s="20">
        <f>IFERROR(DQ130*J130,0)</f>
        <v/>
      </c>
    </row>
    <row r="131" outlineLevel="1" collapsed="1" ht="12.95" customHeight="1">
      <c r="B131" s="1">
        <f>IF(C131="",0,COUNTIFS($B$22:B130,"&gt;"&amp;0)+1)</f>
        <v/>
      </c>
      <c r="C131" s="90" t="n">
        <v>3020720</v>
      </c>
      <c r="D131" s="91">
        <f>IFERROR(IF($C131="","",VLOOKUP($C131,'[1]Paramètres Articles'!$B:$G,2,FALSE)),"Non Trouvé")</f>
        <v/>
      </c>
      <c r="E131" s="92">
        <f>IFERROR(IF($C131="","",_xlfn.XLOOKUP(REGENERANTS!$C131,'[1]New Base PA'!$F:$F,'[1]New Base PA'!$D:$D,"Not Found",0)),"Non Trouvé")</f>
        <v/>
      </c>
      <c r="F131" s="93" t="inlineStr">
        <is>
          <t>Testeur</t>
        </is>
      </c>
      <c r="H131" s="94" t="n">
        <v>1</v>
      </c>
      <c r="J131" s="95">
        <f>IFERROR(IF($C131="","",VLOOKUP($C131,'[1]New Base PA'!$F:$J,5,FALSE)),"Non Trouvé")</f>
        <v/>
      </c>
      <c r="K131" s="136">
        <f>IFERROR(IF($C131="","",$J131*$H131),"Non Trouvé")</f>
        <v/>
      </c>
      <c r="L131" s="137" t="n"/>
      <c r="M131" s="95">
        <f>IFERROR(IF(AND($F131="Produit Vente",H131&gt;0),VLOOKUP($C131,'[1]Paramètres Articles'!$B:$G,6,FALSE),0),"Non Trouvé")</f>
        <v/>
      </c>
      <c r="N131" s="95">
        <f>IFERROR(IF($C131="","",$M131*$H131),"Non Trouvé")</f>
        <v/>
      </c>
      <c r="P131" s="97" t="n"/>
      <c r="R131" s="95">
        <f>IFERROR(IF($C131="","",$N131*(1-$P131)),"Non Trouvé")</f>
        <v/>
      </c>
      <c r="S131" s="96" t="n"/>
      <c r="T131" s="95">
        <f>IFERROR(IF($C131="","",VLOOKUP($C131,'[1]Paramètres Articles'!$B:$H,7,FALSE)),"Non Trouvé")</f>
        <v/>
      </c>
      <c r="U131" s="98" t="n"/>
      <c r="V131" s="95">
        <f>IFERROR(IF($C131="","",IF($P131="","",$T131*(1-$P131))),"Non Trouvé")</f>
        <v/>
      </c>
      <c r="W131" s="96" t="n"/>
      <c r="X131" s="95">
        <f>IFERROR(T131-V131,"")</f>
        <v/>
      </c>
      <c r="Y131" s="96" t="n"/>
      <c r="Z131" s="95">
        <f>IFERROR(IF(OR(T131=0,T131=""),0,T131*H131),"Non Trouvé")</f>
        <v/>
      </c>
      <c r="AB131" s="99">
        <f>AB130</f>
        <v/>
      </c>
      <c r="AC131" s="99">
        <f>AC130</f>
        <v/>
      </c>
      <c r="AD131" s="95">
        <f>IFERROR(IF($C131="","",IF($P$15="Cascade",$R131*(1-AC131)*AB131,IF($P$15="Additionnelle",($N131-($N131*($P131+AC131)))*AB131))),"Non Trouvé")</f>
        <v/>
      </c>
      <c r="AG131" s="99">
        <f>AG130</f>
        <v/>
      </c>
      <c r="AH131" s="99">
        <f>AH130</f>
        <v/>
      </c>
      <c r="AI131" s="95">
        <f>IFERROR(IF($C131="","",IF($P$15="Cascade",$R131*(1-AH131)*AG131,IF($P$15="Additionnelle",($N131-($N131*($P131+AH131)))*AG131))),"Non Trouvé")</f>
        <v/>
      </c>
      <c r="AL131" s="99">
        <f>AL130</f>
        <v/>
      </c>
      <c r="AM131" s="99">
        <f>AM130</f>
        <v/>
      </c>
      <c r="AN131" s="95">
        <f>IFERROR(IF($C131="","",IF($P$15="Cascade",$R131*(1-AM131)*AL131,IF($P$15="Additionnelle",($N131-($N131*($P131+AM131)))*AL131))),"Non Trouvé")</f>
        <v/>
      </c>
      <c r="AQ131" s="99">
        <f>AQ130</f>
        <v/>
      </c>
      <c r="AR131" s="99">
        <f>AR130</f>
        <v/>
      </c>
      <c r="AS131" s="95">
        <f>IFERROR(IF($C131="","",IF($P$15="Cascade",$R131*(1-AR131)*AQ131,IF($P$15="Additionnelle",($N131-($N131*($P131+AR131)))*AQ131))),"Non Trouvé")</f>
        <v/>
      </c>
      <c r="AV131" s="99">
        <f>AV130</f>
        <v/>
      </c>
      <c r="AW131" s="99">
        <f>AW130</f>
        <v/>
      </c>
      <c r="AX131" s="95">
        <f>IFERROR(IF($C131="","",IF($P$15="Cascade",$R131*(1-AW131)*AV131,IF($P$15="Additionnelle",($N131-($N131*($P131+AW131)))*AV131))),"Non Trouvé")</f>
        <v/>
      </c>
      <c r="BA131" s="99">
        <f>BA130</f>
        <v/>
      </c>
      <c r="BB131" s="99">
        <f>BB130</f>
        <v/>
      </c>
      <c r="BC131" s="95">
        <f>IFERROR(IF($C131="","",IF($P$15="Cascade",$R131*(1-BB131)*BA131,IF($P$15="Additionnelle",($N131-($N131*($P131+BB131)))*BA131))),"Non Trouvé")</f>
        <v/>
      </c>
      <c r="BF131" s="99">
        <f>BF130</f>
        <v/>
      </c>
      <c r="BG131" s="99">
        <f>BG130</f>
        <v/>
      </c>
      <c r="BH131" s="95">
        <f>IFERROR(IF($C131="","",IF($P$15="Cascade",$R131*(1-BG131)*BF131,IF($P$15="Additionnelle",($N131-($N131*($P131+BG131)))*BF131))),"Non Trouvé")</f>
        <v/>
      </c>
      <c r="BK131" s="99">
        <f>BK130</f>
        <v/>
      </c>
      <c r="BL131" s="99">
        <f>BL130</f>
        <v/>
      </c>
      <c r="BM131" s="95">
        <f>IFERROR(IF($C131="","",IF($P$15="Cascade",$R131*(1-BL131)*BK131,IF($P$15="Additionnelle",($N131-($N131*($P131+BL131)))*BK131))),"Non Trouvé")</f>
        <v/>
      </c>
      <c r="BP131" s="99">
        <f>BP130</f>
        <v/>
      </c>
      <c r="BQ131" s="99">
        <f>BQ130</f>
        <v/>
      </c>
      <c r="BR131" s="95">
        <f>IFERROR(IF($C131="","",IF($P$15="Cascade",$R131*(1-BQ131)*BP131,IF($P$15="Additionnelle",($N131-($N131*($P131+BQ131)))*BP131))),"Non Trouvé")</f>
        <v/>
      </c>
      <c r="BU131" s="99">
        <f>BU130</f>
        <v/>
      </c>
      <c r="BV131" s="99">
        <f>BV130</f>
        <v/>
      </c>
      <c r="BW131" s="95">
        <f>IFERROR(IF($C131="","",IF($P$15="Cascade",$R131*(1-BV131)*BU131,IF($P$15="Additionnelle",($N131-($N131*($P131+BV131)))*BU131))),"Non Trouvé")</f>
        <v/>
      </c>
      <c r="BZ131" s="99">
        <f>BZ130</f>
        <v/>
      </c>
      <c r="CA131" s="99">
        <f>CA130</f>
        <v/>
      </c>
      <c r="CB131" s="95">
        <f>IFERROR(IF($C131="","",IF($P$15="Cascade",$R131*(1-CA131)*BZ131,IF($P$15="Additionnelle",($N131-($N131*($P131+CA131)))*BZ131))),"Non Trouvé")</f>
        <v/>
      </c>
      <c r="CE131" s="100" t="n"/>
      <c r="CF131" s="138" t="n"/>
      <c r="CG131" s="101" t="n"/>
      <c r="CH131" s="101" t="n"/>
      <c r="CI131" s="103" t="n"/>
      <c r="CK131" s="104">
        <f>IFERROR(IF(F131='[1]Paramètres Généraux'!$K$12,ROUNDUP((REGENERANTS!H131*REGENERANTS!$CF$112)*'[1]Paramètres Généraux'!$M$12,-1),IF(F131='[1]Paramètres Généraux'!$K$15,ROUNDUP((REGENERANTS!H131*REGENERANTS!$CF$112)*'[1]Paramètres Généraux'!$M$15,-1),REGENERANTS!H131*REGENERANTS!$CF$112)),"nd")</f>
        <v/>
      </c>
      <c r="CN131" s="105" t="n"/>
      <c r="CO131" s="106" t="n"/>
      <c r="CP131" s="106" t="n"/>
      <c r="CQ131" s="106" t="n"/>
      <c r="CR131" s="106" t="n"/>
      <c r="CS131" s="178" t="n"/>
      <c r="CT131" s="179" t="n"/>
      <c r="CU131" s="106" t="n"/>
      <c r="CV131" s="178" t="n"/>
      <c r="CW131" s="111" t="n"/>
      <c r="CX131" s="112" t="n"/>
      <c r="CY131" s="111" t="n"/>
      <c r="CZ131" s="109" t="n"/>
      <c r="DA131" s="112" t="n"/>
      <c r="DB131" s="111" t="n"/>
      <c r="DC131" s="109" t="n"/>
      <c r="DD131" s="112" t="n"/>
      <c r="DE131" s="111" t="n"/>
      <c r="DF131" s="109" t="n"/>
      <c r="DG131" s="109" t="n"/>
      <c r="DH131" s="109" t="n"/>
      <c r="DI131" s="109" t="n"/>
      <c r="DJ131" s="109" t="n"/>
      <c r="DK131" s="109" t="n"/>
      <c r="DL131" s="109" t="n"/>
      <c r="DM131" s="109" t="n"/>
      <c r="DN131" s="109" t="n"/>
      <c r="DO131" s="112" t="n"/>
      <c r="DP131" s="111" t="n"/>
      <c r="DQ131" s="20">
        <f>SUM(CN131:DP131)</f>
        <v/>
      </c>
      <c r="DR131" s="20">
        <f>SUM(CV131:DP131)</f>
        <v/>
      </c>
      <c r="DS131" s="20">
        <f>IFERROR((IF(AND($F131="Produit Vente",CO131&gt;0),VLOOKUP($C131,'[1]Paramètres Articles'!$B:$H,7,FALSE)*$CO131)*(1-20%)),0)</f>
        <v/>
      </c>
      <c r="DT131" s="20">
        <f>IFERROR((IF(AND($F131="Produit Vente",DR131&gt;0),VLOOKUP($C131,'[1]Paramètres Articles'!$B:$H,6,FALSE)*$DR131)*(1-15%)),0)</f>
        <v/>
      </c>
      <c r="DU131" s="20">
        <f>IFERROR(DQ131*J131,0)</f>
        <v/>
      </c>
    </row>
    <row r="132" outlineLevel="1" collapsed="1" ht="12.95" customHeight="1">
      <c r="B132" s="1">
        <f>IF(C132="",0,COUNTIFS($B$22:B131,"&gt;"&amp;0)+1)</f>
        <v/>
      </c>
      <c r="C132" s="90" t="n">
        <v>3020718</v>
      </c>
      <c r="D132" s="91">
        <f>IFERROR(IF($C132="","",VLOOKUP($C132,'[1]Paramètres Articles'!$B:$G,2,FALSE)),"Non Trouvé")</f>
        <v/>
      </c>
      <c r="E132" s="92">
        <f>IFERROR(IF($C132="","",_xlfn.XLOOKUP(REGENERANTS!$C132,'[1]New Base PA'!$F:$F,'[1]New Base PA'!$D:$D,"Not Found",0)),"Non Trouvé")</f>
        <v/>
      </c>
      <c r="F132" s="93" t="inlineStr">
        <is>
          <t>Testeur</t>
        </is>
      </c>
      <c r="H132" s="94" t="n">
        <v>1</v>
      </c>
      <c r="J132" s="95">
        <f>IFERROR(IF($C132="","",VLOOKUP($C132,'[1]New Base PA'!$F:$J,5,FALSE)),"Non Trouvé")</f>
        <v/>
      </c>
      <c r="K132" s="136">
        <f>IFERROR(IF($C132="","",$J132*$H132),"Non Trouvé")</f>
        <v/>
      </c>
      <c r="L132" s="137" t="n"/>
      <c r="M132" s="95">
        <f>IFERROR(IF(AND($F132="Produit Vente",H132&gt;0),VLOOKUP($C132,'[1]Paramètres Articles'!$B:$G,6,FALSE),0),"Non Trouvé")</f>
        <v/>
      </c>
      <c r="N132" s="95">
        <f>IFERROR(IF($C132="","",$M132*$H132),"Non Trouvé")</f>
        <v/>
      </c>
      <c r="P132" s="97" t="n"/>
      <c r="R132" s="95">
        <f>IFERROR(IF($C132="","",$N132*(1-$P132)),"Non Trouvé")</f>
        <v/>
      </c>
      <c r="S132" s="96" t="n"/>
      <c r="T132" s="95">
        <f>IFERROR(IF($C132="","",VLOOKUP($C132,'[1]Paramètres Articles'!$B:$H,7,FALSE)),"Non Trouvé")</f>
        <v/>
      </c>
      <c r="U132" s="98" t="n"/>
      <c r="V132" s="95">
        <f>IFERROR(IF($C132="","",IF($P132="","",$T132*(1-$P132))),"Non Trouvé")</f>
        <v/>
      </c>
      <c r="W132" s="96" t="n"/>
      <c r="X132" s="95">
        <f>IFERROR(T132-V132,"")</f>
        <v/>
      </c>
      <c r="Y132" s="96" t="n"/>
      <c r="Z132" s="95">
        <f>IFERROR(IF(OR(T132=0,T132=""),0,T132*H132),"Non Trouvé")</f>
        <v/>
      </c>
      <c r="AB132" s="99">
        <f>AB130</f>
        <v/>
      </c>
      <c r="AC132" s="99">
        <f>AC130</f>
        <v/>
      </c>
      <c r="AD132" s="95">
        <f>IFERROR(IF($C132="","",IF($P$15="Cascade",$R132*(1-AC132)*AB132,IF($P$15="Additionnelle",($N132-($N132*($P132+AC132)))*AB132))),"Non Trouvé")</f>
        <v/>
      </c>
      <c r="AG132" s="99">
        <f>AG130</f>
        <v/>
      </c>
      <c r="AH132" s="99">
        <f>AH130</f>
        <v/>
      </c>
      <c r="AI132" s="95">
        <f>IFERROR(IF($C132="","",IF($P$15="Cascade",$R132*(1-AH132)*AG132,IF($P$15="Additionnelle",($N132-($N132*($P132+AH132)))*AG132))),"Non Trouvé")</f>
        <v/>
      </c>
      <c r="AL132" s="99">
        <f>AL130</f>
        <v/>
      </c>
      <c r="AM132" s="99">
        <f>AM130</f>
        <v/>
      </c>
      <c r="AN132" s="95">
        <f>IFERROR(IF($C132="","",IF($P$15="Cascade",$R132*(1-AM132)*AL132,IF($P$15="Additionnelle",($N132-($N132*($P132+AM132)))*AL132))),"Non Trouvé")</f>
        <v/>
      </c>
      <c r="AQ132" s="99">
        <f>AQ130</f>
        <v/>
      </c>
      <c r="AR132" s="99">
        <f>AR130</f>
        <v/>
      </c>
      <c r="AS132" s="95">
        <f>IFERROR(IF($C132="","",IF($P$15="Cascade",$R132*(1-AR132)*AQ132,IF($P$15="Additionnelle",($N132-($N132*($P132+AR132)))*AQ132))),"Non Trouvé")</f>
        <v/>
      </c>
      <c r="AV132" s="99">
        <f>AV130</f>
        <v/>
      </c>
      <c r="AW132" s="99">
        <f>AW130</f>
        <v/>
      </c>
      <c r="AX132" s="95">
        <f>IFERROR(IF($C132="","",IF($P$15="Cascade",$R132*(1-AW132)*AV132,IF($P$15="Additionnelle",($N132-($N132*($P132+AW132)))*AV132))),"Non Trouvé")</f>
        <v/>
      </c>
      <c r="BA132" s="99">
        <f>BA130</f>
        <v/>
      </c>
      <c r="BB132" s="99">
        <f>BB130</f>
        <v/>
      </c>
      <c r="BC132" s="95">
        <f>IFERROR(IF($C132="","",IF($P$15="Cascade",$R132*(1-BB132)*BA132,IF($P$15="Additionnelle",($N132-($N132*($P132+BB132)))*BA132))),"Non Trouvé")</f>
        <v/>
      </c>
      <c r="BF132" s="99">
        <f>BF130</f>
        <v/>
      </c>
      <c r="BG132" s="99">
        <f>BG130</f>
        <v/>
      </c>
      <c r="BH132" s="95">
        <f>IFERROR(IF($C132="","",IF($P$15="Cascade",$R132*(1-BG132)*BF132,IF($P$15="Additionnelle",($N132-($N132*($P132+BG132)))*BF132))),"Non Trouvé")</f>
        <v/>
      </c>
      <c r="BK132" s="99">
        <f>BK130</f>
        <v/>
      </c>
      <c r="BL132" s="99">
        <f>BL130</f>
        <v/>
      </c>
      <c r="BM132" s="95">
        <f>IFERROR(IF($C132="","",IF($P$15="Cascade",$R132*(1-BL132)*BK132,IF($P$15="Additionnelle",($N132-($N132*($P132+BL132)))*BK132))),"Non Trouvé")</f>
        <v/>
      </c>
      <c r="BP132" s="99">
        <f>BP130</f>
        <v/>
      </c>
      <c r="BQ132" s="99">
        <f>BQ130</f>
        <v/>
      </c>
      <c r="BR132" s="95">
        <f>IFERROR(IF($C132="","",IF($P$15="Cascade",$R132*(1-BQ132)*BP132,IF($P$15="Additionnelle",($N132-($N132*($P132+BQ132)))*BP132))),"Non Trouvé")</f>
        <v/>
      </c>
      <c r="BU132" s="99">
        <f>BU130</f>
        <v/>
      </c>
      <c r="BV132" s="99">
        <f>BV130</f>
        <v/>
      </c>
      <c r="BW132" s="95">
        <f>IFERROR(IF($C132="","",IF($P$15="Cascade",$R132*(1-BV132)*BU132,IF($P$15="Additionnelle",($N132-($N132*($P132+BV132)))*BU132))),"Non Trouvé")</f>
        <v/>
      </c>
      <c r="BZ132" s="99">
        <f>BZ130</f>
        <v/>
      </c>
      <c r="CA132" s="99">
        <f>CA130</f>
        <v/>
      </c>
      <c r="CB132" s="95">
        <f>IFERROR(IF($C132="","",IF($P$15="Cascade",$R132*(1-CA132)*BZ132,IF($P$15="Additionnelle",($N132-($N132*($P132+CA132)))*BZ132))),"Non Trouvé")</f>
        <v/>
      </c>
      <c r="CE132" s="100" t="n"/>
      <c r="CF132" s="101" t="n"/>
      <c r="CG132" s="133" t="inlineStr">
        <is>
          <t>Institut</t>
        </is>
      </c>
      <c r="CH132" s="101" t="n"/>
      <c r="CI132" s="103" t="n"/>
      <c r="CK132" s="104">
        <f>IFERROR(IF(F132='[1]Paramètres Généraux'!$K$12,ROUNDUP((REGENERANTS!H132*REGENERANTS!$CF$112)*'[1]Paramètres Généraux'!$M$12,-1),IF(F132='[1]Paramètres Généraux'!$K$15,ROUNDUP((REGENERANTS!H132*REGENERANTS!$CF$112)*'[1]Paramètres Généraux'!$M$15,-1),REGENERANTS!H132*REGENERANTS!$CF$112)),"nd")</f>
        <v/>
      </c>
      <c r="CN132" s="105" t="n"/>
      <c r="CO132" s="106" t="n"/>
      <c r="CP132" s="106" t="n"/>
      <c r="CQ132" s="106" t="n"/>
      <c r="CR132" s="106" t="n"/>
      <c r="CS132" s="178" t="n"/>
      <c r="CT132" s="179" t="n"/>
      <c r="CU132" s="106" t="n"/>
      <c r="CV132" s="178" t="n"/>
      <c r="CW132" s="111" t="n"/>
      <c r="CX132" s="112" t="n"/>
      <c r="CY132" s="111" t="n"/>
      <c r="CZ132" s="109" t="n"/>
      <c r="DA132" s="112" t="n"/>
      <c r="DB132" s="111" t="n"/>
      <c r="DC132" s="109" t="n"/>
      <c r="DD132" s="112" t="n"/>
      <c r="DE132" s="111" t="n"/>
      <c r="DF132" s="109" t="n"/>
      <c r="DG132" s="109" t="n"/>
      <c r="DH132" s="109" t="n"/>
      <c r="DI132" s="109" t="n"/>
      <c r="DJ132" s="109" t="n"/>
      <c r="DK132" s="109" t="n"/>
      <c r="DL132" s="109" t="n"/>
      <c r="DM132" s="109" t="n"/>
      <c r="DN132" s="109" t="n"/>
      <c r="DO132" s="112" t="n"/>
      <c r="DP132" s="111" t="n"/>
      <c r="DQ132" s="20">
        <f>SUM(CN132:DP132)</f>
        <v/>
      </c>
      <c r="DR132" s="20">
        <f>SUM(CV132:DP132)</f>
        <v/>
      </c>
      <c r="DS132" s="20">
        <f>IFERROR((IF(AND($F132="Produit Vente",CO132&gt;0),VLOOKUP($C132,'[1]Paramètres Articles'!$B:$H,7,FALSE)*$CO132)*(1-20%)),0)</f>
        <v/>
      </c>
      <c r="DT132" s="20">
        <f>IFERROR((IF(AND($F132="Produit Vente",DR132&gt;0),VLOOKUP($C132,'[1]Paramètres Articles'!$B:$H,6,FALSE)*$DR132)*(1-15%)),0)</f>
        <v/>
      </c>
      <c r="DU132" s="20">
        <f>IFERROR(DQ132*J132,0)</f>
        <v/>
      </c>
    </row>
    <row r="133" outlineLevel="1" collapsed="1" ht="12.95" customHeight="1">
      <c r="B133" s="1">
        <f>IF(C133="",0,COUNTIFS($B$22:B132,"&gt;"&amp;0)+1)</f>
        <v/>
      </c>
      <c r="C133" s="90" t="inlineStr">
        <is>
          <t>SR REGE RETAIL 2</t>
        </is>
      </c>
      <c r="D133" s="91">
        <f>IFERROR(IF($C133="","",VLOOKUP($C133,'[1]Paramètres Articles'!$B:$G,2,FALSE)),"Non Trouvé")</f>
        <v/>
      </c>
      <c r="E133" s="92">
        <f>IFERROR(IF($C133="","",_xlfn.XLOOKUP(REGENERANTS!$C133,'[1]New Base PA'!$F:$F,'[1]New Base PA'!$D:$D,"Not Found",0)),"Non Trouvé")</f>
        <v/>
      </c>
      <c r="F133" s="93" t="inlineStr">
        <is>
          <t>PLV (PDC ou autre)</t>
        </is>
      </c>
      <c r="H133" s="94" t="n">
        <v>1</v>
      </c>
      <c r="J133" s="95">
        <f>IFERROR(IF($C133="","",VLOOKUP($C133,'[1]New Base PA'!$F:$J,5,FALSE)),"Non Trouvé")</f>
        <v/>
      </c>
      <c r="K133" s="136">
        <f>IFERROR(IF($C133="","",$J133*$H133),"Non Trouvé")</f>
        <v/>
      </c>
      <c r="L133" s="137" t="n"/>
      <c r="M133" s="95">
        <f>IFERROR(IF(AND($F133="Produit Vente",H133&gt;0),VLOOKUP($C133,'[1]Paramètres Articles'!$B:$G,6,FALSE),0),"Non Trouvé")</f>
        <v/>
      </c>
      <c r="N133" s="95">
        <f>IFERROR(IF($C133="","",$M133*$H133),"Non Trouvé")</f>
        <v/>
      </c>
      <c r="P133" s="97" t="n"/>
      <c r="R133" s="95">
        <f>IFERROR(IF($C133="","",$N133*(1-$P133)),"Non Trouvé")</f>
        <v/>
      </c>
      <c r="S133" s="96" t="n"/>
      <c r="T133" s="95">
        <f>IFERROR(IF($C133="","",VLOOKUP($C133,'[1]Paramètres Articles'!$B:$H,7,FALSE)),"Non Trouvé")</f>
        <v/>
      </c>
      <c r="U133" s="98" t="n"/>
      <c r="V133" s="95">
        <f>IFERROR(IF($C133="","",IF($P133="","",$T133*(1-$P133))),"Non Trouvé")</f>
        <v/>
      </c>
      <c r="W133" s="96" t="n"/>
      <c r="X133" s="95">
        <f>IFERROR(T133-V133,"")</f>
        <v/>
      </c>
      <c r="Y133" s="96" t="n"/>
      <c r="Z133" s="95">
        <f>IFERROR(IF(OR(T133=0,T133=""),0,T133*H133),"Non Trouvé")</f>
        <v/>
      </c>
      <c r="AB133" s="99">
        <f>AB132</f>
        <v/>
      </c>
      <c r="AC133" s="99">
        <f>AC132</f>
        <v/>
      </c>
      <c r="AD133" s="95">
        <f>IFERROR(IF($C133="","",IF($P$15="Cascade",$R133*(1-AC133)*AB133,IF($P$15="Additionnelle",($N133-($N133*($P133+AC133)))*AB133))),"Non Trouvé")</f>
        <v/>
      </c>
      <c r="AG133" s="99">
        <f>AG132</f>
        <v/>
      </c>
      <c r="AH133" s="99">
        <f>AH132</f>
        <v/>
      </c>
      <c r="AI133" s="95">
        <f>IFERROR(IF($C133="","",IF($P$15="Cascade",$R133*(1-AH133)*AG133,IF($P$15="Additionnelle",($N133-($N133*($P133+AH133)))*AG133))),"Non Trouvé")</f>
        <v/>
      </c>
      <c r="AL133" s="99">
        <f>AL132</f>
        <v/>
      </c>
      <c r="AM133" s="99">
        <f>AM132</f>
        <v/>
      </c>
      <c r="AN133" s="95">
        <f>IFERROR(IF($C133="","",IF($P$15="Cascade",$R133*(1-AM133)*AL133,IF($P$15="Additionnelle",($N133-($N133*($P133+AM133)))*AL133))),"Non Trouvé")</f>
        <v/>
      </c>
      <c r="AQ133" s="99">
        <f>AQ132</f>
        <v/>
      </c>
      <c r="AR133" s="99">
        <f>AR132</f>
        <v/>
      </c>
      <c r="AS133" s="95">
        <f>IFERROR(IF($C133="","",IF($P$15="Cascade",$R133*(1-AR133)*AQ133,IF($P$15="Additionnelle",($N133-($N133*($P133+AR133)))*AQ133))),"Non Trouvé")</f>
        <v/>
      </c>
      <c r="AV133" s="99">
        <f>AV132</f>
        <v/>
      </c>
      <c r="AW133" s="99">
        <f>AW132</f>
        <v/>
      </c>
      <c r="AX133" s="95">
        <f>IFERROR(IF($C133="","",IF($P$15="Cascade",$R133*(1-AW133)*AV133,IF($P$15="Additionnelle",($N133-($N133*($P133+AW133)))*AV133))),"Non Trouvé")</f>
        <v/>
      </c>
      <c r="BA133" s="99">
        <f>BA132</f>
        <v/>
      </c>
      <c r="BB133" s="99">
        <f>BB132</f>
        <v/>
      </c>
      <c r="BC133" s="95">
        <f>IFERROR(IF($C133="","",IF($P$15="Cascade",$R133*(1-BB133)*BA133,IF($P$15="Additionnelle",($N133-($N133*($P133+BB133)))*BA133))),"Non Trouvé")</f>
        <v/>
      </c>
      <c r="BF133" s="99">
        <f>BF132</f>
        <v/>
      </c>
      <c r="BG133" s="99">
        <f>BG132</f>
        <v/>
      </c>
      <c r="BH133" s="95">
        <f>IFERROR(IF($C133="","",IF($P$15="Cascade",$R133*(1-BG133)*BF133,IF($P$15="Additionnelle",($N133-($N133*($P133+BG133)))*BF133))),"Non Trouvé")</f>
        <v/>
      </c>
      <c r="BK133" s="99">
        <f>BK132</f>
        <v/>
      </c>
      <c r="BL133" s="99">
        <f>BL132</f>
        <v/>
      </c>
      <c r="BM133" s="95">
        <f>IFERROR(IF($C133="","",IF($P$15="Cascade",$R133*(1-BL133)*BK133,IF($P$15="Additionnelle",($N133-($N133*($P133+BL133)))*BK133))),"Non Trouvé")</f>
        <v/>
      </c>
      <c r="BP133" s="99">
        <f>BP132</f>
        <v/>
      </c>
      <c r="BQ133" s="99">
        <f>BQ132</f>
        <v/>
      </c>
      <c r="BR133" s="95">
        <f>IFERROR(IF($C133="","",IF($P$15="Cascade",$R133*(1-BQ133)*BP133,IF($P$15="Additionnelle",($N133-($N133*($P133+BQ133)))*BP133))),"Non Trouvé")</f>
        <v/>
      </c>
      <c r="BU133" s="99">
        <f>BU132</f>
        <v/>
      </c>
      <c r="BV133" s="99">
        <f>BV132</f>
        <v/>
      </c>
      <c r="BW133" s="95">
        <f>IFERROR(IF($C133="","",IF($P$15="Cascade",$R133*(1-BV133)*BU133,IF($P$15="Additionnelle",($N133-($N133*($P133+BV133)))*BU133))),"Non Trouvé")</f>
        <v/>
      </c>
      <c r="BZ133" s="99">
        <f>BZ132</f>
        <v/>
      </c>
      <c r="CA133" s="99">
        <f>CA132</f>
        <v/>
      </c>
      <c r="CB133" s="95">
        <f>IFERROR(IF($C133="","",IF($P$15="Cascade",$R133*(1-CA133)*BZ133,IF($P$15="Additionnelle",($N133-($N133*($P133+CA133)))*BZ133))),"Non Trouvé")</f>
        <v/>
      </c>
      <c r="CE133" s="100" t="n"/>
      <c r="CF133" s="101" t="n"/>
      <c r="CG133" s="102" t="inlineStr">
        <is>
          <t>Nbrs Offres planifiées</t>
        </is>
      </c>
      <c r="CH133" s="138">
        <f>SUMIFS($AV112:$BX112,$AV109:$BX109,CG133)</f>
        <v/>
      </c>
      <c r="CI133" s="103" t="n"/>
      <c r="CK133" s="104">
        <f>IFERROR(IF(F133='[1]Paramètres Généraux'!$K$12,ROUNDUP((REGENERANTS!H133*REGENERANTS!$CF$112)*'[1]Paramètres Généraux'!$M$12,-1),IF(F133='[1]Paramètres Généraux'!$K$15,ROUNDUP((REGENERANTS!H133*REGENERANTS!$CF$112)*'[1]Paramètres Généraux'!$M$15,-1),REGENERANTS!H133*REGENERANTS!$CF$112)),"nd")</f>
        <v/>
      </c>
      <c r="CN133" s="153" t="n"/>
      <c r="CO133" s="154" t="n"/>
      <c r="CP133" s="154" t="n"/>
      <c r="CQ133" s="154" t="n"/>
      <c r="CR133" s="154" t="n"/>
      <c r="CS133" s="180" t="n"/>
      <c r="CT133" s="181" t="n"/>
      <c r="CU133" s="154" t="n"/>
      <c r="CV133" s="180" t="n"/>
      <c r="CW133" s="157" t="n"/>
      <c r="CX133" s="156" t="n"/>
      <c r="CY133" s="157" t="n"/>
      <c r="CZ133" s="143" t="n"/>
      <c r="DA133" s="156" t="n"/>
      <c r="DB133" s="157" t="n"/>
      <c r="DC133" s="143" t="n"/>
      <c r="DD133" s="156" t="n"/>
      <c r="DE133" s="157" t="n"/>
      <c r="DF133" s="143" t="n"/>
      <c r="DG133" s="143" t="n"/>
      <c r="DH133" s="143" t="n"/>
      <c r="DI133" s="143" t="n"/>
      <c r="DJ133" s="143" t="n"/>
      <c r="DK133" s="143" t="n"/>
      <c r="DL133" s="143" t="n"/>
      <c r="DM133" s="143" t="n"/>
      <c r="DN133" s="143" t="n"/>
      <c r="DO133" s="156" t="n"/>
      <c r="DP133" s="157" t="n"/>
      <c r="DQ133" s="20">
        <f>SUM(CN133:DP133)</f>
        <v/>
      </c>
      <c r="DR133" s="20">
        <f>SUM(CV133:DP133)</f>
        <v/>
      </c>
      <c r="DS133" s="20">
        <f>IFERROR((IF(AND($F133="Produit Vente",CO133&gt;0),VLOOKUP($C133,'[1]Paramètres Articles'!$B:$H,7,FALSE)*$CO133)*(1-20%)),0)</f>
        <v/>
      </c>
      <c r="DT133" s="20">
        <f>IFERROR((IF(AND($F133="Produit Vente",DR133&gt;0),VLOOKUP($C133,'[1]Paramètres Articles'!$B:$H,6,FALSE)*$DR133)*(1-15%)),0)</f>
        <v/>
      </c>
      <c r="DU133" s="20">
        <f>IFERROR(DQ133*J133,0)</f>
        <v/>
      </c>
    </row>
    <row r="134" outlineLevel="1" collapsed="1" ht="12.95" customHeight="1">
      <c r="B134" s="1">
        <f>IF(C134="",0,COUNTIFS($B$22:B133,"&gt;"&amp;0)+1)</f>
        <v/>
      </c>
      <c r="C134" s="90" t="n"/>
      <c r="D134" s="91">
        <f>IFERROR(IF($C134="","",VLOOKUP($C134,'[1]Paramètres Articles'!$B:$G,2,FALSE)),"Non Trouvé")</f>
        <v/>
      </c>
      <c r="E134" s="92">
        <f>IFERROR(IF($C134="","",_xlfn.XLOOKUP(REGENERANTS!$C134,'[1]New Base PA'!$F:$F,'[1]New Base PA'!$D:$D,"Not Found",0)),"Non Trouvé")</f>
        <v/>
      </c>
      <c r="F134" s="93" t="n"/>
      <c r="H134" s="106" t="n"/>
      <c r="J134" s="95">
        <f>IFERROR(IF($C134="","",VLOOKUP($C134,'[1]New Base PA'!$F:$J,5,FALSE)),"Non Trouvé")</f>
        <v/>
      </c>
      <c r="K134" s="136">
        <f>IFERROR(IF($C134="","",$J134*$H134),"Non Trouvé")</f>
        <v/>
      </c>
      <c r="L134" s="137" t="n"/>
      <c r="M134" s="95">
        <f>IFERROR(IF(AND($F134="Produit Vente",H134&gt;0),VLOOKUP($C134,'[1]Paramètres Articles'!$B:$G,6,FALSE),0),"Non Trouvé")</f>
        <v/>
      </c>
      <c r="N134" s="95">
        <f>IFERROR(IF($C134="","",$M134*$H134),"Non Trouvé")</f>
        <v/>
      </c>
      <c r="P134" s="97" t="n"/>
      <c r="R134" s="95">
        <f>IFERROR(IF($C134="","",$N134*(1-$P134)),"Non Trouvé")</f>
        <v/>
      </c>
      <c r="S134" s="96" t="n"/>
      <c r="T134" s="95">
        <f>IFERROR(IF($C134="","",VLOOKUP($C134,'[1]Paramètres Articles'!$B:$H,7,FALSE)),"Non Trouvé")</f>
        <v/>
      </c>
      <c r="U134" s="98" t="n"/>
      <c r="V134" s="95">
        <f>IFERROR(IF($C134="","",IF($P134="","",$T134*(1-$P134))),"Non Trouvé")</f>
        <v/>
      </c>
      <c r="W134" s="96" t="n"/>
      <c r="X134" s="95">
        <f>IFERROR(T134-V134,"")</f>
        <v/>
      </c>
      <c r="Y134" s="96" t="n"/>
      <c r="Z134" s="95">
        <f>IFERROR(IF(OR(T134=0,T134=""),0,T134*H134),"Non Trouvé")</f>
        <v/>
      </c>
      <c r="AB134" s="99">
        <f>AB132</f>
        <v/>
      </c>
      <c r="AC134" s="99">
        <f>AC132</f>
        <v/>
      </c>
      <c r="AD134" s="95">
        <f>IFERROR(IF($C134="","",IF($P$15="Cascade",$R134*(1-AC134)*AB134,IF($P$15="Additionnelle",($N134-($N134*($P134+AC134)))*AB134))),"Non Trouvé")</f>
        <v/>
      </c>
      <c r="AG134" s="99">
        <f>AG132</f>
        <v/>
      </c>
      <c r="AH134" s="99">
        <f>AH132</f>
        <v/>
      </c>
      <c r="AI134" s="95">
        <f>IFERROR(IF($C134="","",IF($P$15="Cascade",$R134*(1-AH134)*AG134,IF($P$15="Additionnelle",($N134-($N134*($P134+AH134)))*AG134))),"Non Trouvé")</f>
        <v/>
      </c>
      <c r="AL134" s="99">
        <f>AL132</f>
        <v/>
      </c>
      <c r="AM134" s="99">
        <f>AM132</f>
        <v/>
      </c>
      <c r="AN134" s="95">
        <f>IFERROR(IF($C134="","",IF($P$15="Cascade",$R134*(1-AM134)*AL134,IF($P$15="Additionnelle",($N134-($N134*($P134+AM134)))*AL134))),"Non Trouvé")</f>
        <v/>
      </c>
      <c r="AQ134" s="99">
        <f>AQ132</f>
        <v/>
      </c>
      <c r="AR134" s="99">
        <f>AR132</f>
        <v/>
      </c>
      <c r="AS134" s="95">
        <f>IFERROR(IF($C134="","",IF($P$15="Cascade",$R134*(1-AR134)*AQ134,IF($P$15="Additionnelle",($N134-($N134*($P134+AR134)))*AQ134))),"Non Trouvé")</f>
        <v/>
      </c>
      <c r="AV134" s="99">
        <f>AV132</f>
        <v/>
      </c>
      <c r="AW134" s="99">
        <f>AW132</f>
        <v/>
      </c>
      <c r="AX134" s="95">
        <f>IFERROR(IF($C134="","",IF($P$15="Cascade",$R134*(1-AW134)*AV134,IF($P$15="Additionnelle",($N134-($N134*($P134+AW134)))*AV134))),"Non Trouvé")</f>
        <v/>
      </c>
      <c r="BA134" s="99">
        <f>BA132</f>
        <v/>
      </c>
      <c r="BB134" s="99">
        <f>BB132</f>
        <v/>
      </c>
      <c r="BC134" s="95">
        <f>IFERROR(IF($C134="","",IF($P$15="Cascade",$R134*(1-BB134)*BA134,IF($P$15="Additionnelle",($N134-($N134*($P134+BB134)))*BA134))),"Non Trouvé")</f>
        <v/>
      </c>
      <c r="BF134" s="99">
        <f>BF132</f>
        <v/>
      </c>
      <c r="BG134" s="99">
        <f>BG132</f>
        <v/>
      </c>
      <c r="BH134" s="95">
        <f>IFERROR(IF($C134="","",IF($P$15="Cascade",$R134*(1-BG134)*BF134,IF($P$15="Additionnelle",($N134-($N134*($P134+BG134)))*BF134))),"Non Trouvé")</f>
        <v/>
      </c>
      <c r="BK134" s="99">
        <f>BK132</f>
        <v/>
      </c>
      <c r="BL134" s="99">
        <f>BL132</f>
        <v/>
      </c>
      <c r="BM134" s="95">
        <f>IFERROR(IF($C134="","",IF($P$15="Cascade",$R134*(1-BL134)*BK134,IF($P$15="Additionnelle",($N134-($N134*($P134+BL134)))*BK134))),"Non Trouvé")</f>
        <v/>
      </c>
      <c r="BP134" s="99">
        <f>BP132</f>
        <v/>
      </c>
      <c r="BQ134" s="99">
        <f>BQ132</f>
        <v/>
      </c>
      <c r="BR134" s="95">
        <f>IFERROR(IF($C134="","",IF($P$15="Cascade",$R134*(1-BQ134)*BP134,IF($P$15="Additionnelle",($N134-($N134*($P134+BQ134)))*BP134))),"Non Trouvé")</f>
        <v/>
      </c>
      <c r="BU134" s="99">
        <f>BU132</f>
        <v/>
      </c>
      <c r="BV134" s="99">
        <f>BV132</f>
        <v/>
      </c>
      <c r="BW134" s="95">
        <f>IFERROR(IF($C134="","",IF($P$15="Cascade",$R134*(1-BV134)*BU134,IF($P$15="Additionnelle",($N134-($N134*($P134+BV134)))*BU134))),"Non Trouvé")</f>
        <v/>
      </c>
      <c r="BZ134" s="99">
        <f>BZ132</f>
        <v/>
      </c>
      <c r="CA134" s="99">
        <f>CA132</f>
        <v/>
      </c>
      <c r="CB134" s="95">
        <f>IFERROR(IF($C134="","",IF($P$15="Cascade",$R134*(1-CA134)*BZ134,IF($P$15="Additionnelle",($N134-($N134*($P134+CA134)))*BZ134))),"Non Trouvé")</f>
        <v/>
      </c>
      <c r="CE134" s="100" t="n"/>
      <c r="CF134" s="101" t="n"/>
      <c r="CG134" s="102" t="inlineStr">
        <is>
          <t>CA</t>
        </is>
      </c>
      <c r="CH134" s="139">
        <f>SUMIFS($AV112:$BX112,$AV109:$BX109,CG134)</f>
        <v/>
      </c>
      <c r="CI134" s="103" t="n"/>
      <c r="CK134" s="104">
        <f>IFERROR(IF(F134='[1]Paramètres Généraux'!$K$12,ROUNDUP((REGENERANTS!H134*REGENERANTS!$CF$112)*'[1]Paramètres Généraux'!$M$12,-1),IF(F134='[1]Paramètres Généraux'!$K$15,ROUNDUP((REGENERANTS!H134*REGENERANTS!$CF$112)*'[1]Paramètres Généraux'!$M$15,-1),REGENERANTS!H134*REGENERANTS!$CF$112)),"nd")</f>
        <v/>
      </c>
      <c r="CN134" s="153" t="n"/>
      <c r="CO134" s="154" t="n"/>
      <c r="CP134" s="154" t="n"/>
      <c r="CQ134" s="154" t="n"/>
      <c r="CR134" s="154" t="n"/>
      <c r="CS134" s="180" t="n"/>
      <c r="CT134" s="181" t="n"/>
      <c r="CU134" s="154" t="n"/>
      <c r="CV134" s="180" t="n"/>
      <c r="CW134" s="157" t="n"/>
      <c r="CX134" s="156" t="n"/>
      <c r="CY134" s="157" t="n"/>
      <c r="CZ134" s="143" t="n"/>
      <c r="DA134" s="156" t="n"/>
      <c r="DB134" s="157" t="n"/>
      <c r="DC134" s="143" t="n"/>
      <c r="DD134" s="156" t="n"/>
      <c r="DE134" s="157" t="n"/>
      <c r="DF134" s="143" t="n"/>
      <c r="DG134" s="143" t="n"/>
      <c r="DH134" s="143" t="n"/>
      <c r="DI134" s="143" t="n"/>
      <c r="DJ134" s="143" t="n"/>
      <c r="DK134" s="143" t="n"/>
      <c r="DL134" s="143" t="n"/>
      <c r="DM134" s="143" t="n"/>
      <c r="DN134" s="143" t="n"/>
      <c r="DO134" s="156" t="n"/>
      <c r="DP134" s="157" t="n"/>
      <c r="DQ134" s="20">
        <f>SUM(CN134:DP134)</f>
        <v/>
      </c>
      <c r="DR134" s="20">
        <f>SUM(CV134:DP134)</f>
        <v/>
      </c>
      <c r="DS134" s="20">
        <f>IFERROR((IF(AND($F134="Produit Vente",CO134&gt;0),VLOOKUP($C134,'[1]Paramètres Articles'!$B:$H,7,FALSE)*$CO134)*(1-20%)),0)</f>
        <v/>
      </c>
      <c r="DT134" s="20">
        <f>IFERROR((IF(AND($F134="Produit Vente",DR134&gt;0),VLOOKUP($C134,'[1]Paramètres Articles'!$B:$H,6,FALSE)*$DR134)*(1-15%)),0)</f>
        <v/>
      </c>
      <c r="DU134" s="20">
        <f>IFERROR(DQ134*J134,0)</f>
        <v/>
      </c>
    </row>
    <row r="135" outlineLevel="1" collapsed="1" ht="12.95" customHeight="1">
      <c r="B135" s="1">
        <f>IF(C135="",0,COUNTIFS($B$22:B134,"&gt;"&amp;0)+1)</f>
        <v/>
      </c>
      <c r="C135" s="90" t="n"/>
      <c r="D135" s="91">
        <f>IFERROR(IF($C135="","",VLOOKUP($C135,'[1]Paramètres Articles'!$B:$G,2,FALSE)),"Non Trouvé")</f>
        <v/>
      </c>
      <c r="E135" s="92">
        <f>IFERROR(IF($C135="","",_xlfn.XLOOKUP(REGENERANTS!$C135,'[1]New Base PA'!$F:$F,'[1]New Base PA'!$D:$D,"Not Found",0)),"Non Trouvé")</f>
        <v/>
      </c>
      <c r="F135" s="93" t="n"/>
      <c r="H135" s="106" t="n"/>
      <c r="J135" s="95">
        <f>IFERROR(IF($C135="","",VLOOKUP($C135,'[1]New Base PA'!$F:$J,5,FALSE)),"Non Trouvé")</f>
        <v/>
      </c>
      <c r="K135" s="136">
        <f>IFERROR(IF($C135="","",$J135*$H135),"Non Trouvé")</f>
        <v/>
      </c>
      <c r="L135" s="137" t="n"/>
      <c r="M135" s="95">
        <f>IFERROR(IF(AND($F135="Produit Vente",H135&gt;0),VLOOKUP($C135,'[1]Paramètres Articles'!$B:$G,6,FALSE),0),"Non Trouvé")</f>
        <v/>
      </c>
      <c r="N135" s="95">
        <f>IFERROR(IF($C135="","",$M135*$H135),"Non Trouvé")</f>
        <v/>
      </c>
      <c r="P135" s="97" t="n"/>
      <c r="R135" s="95">
        <f>IFERROR(IF($C135="","",$N135*(1-$P135)),"Non Trouvé")</f>
        <v/>
      </c>
      <c r="S135" s="96" t="n"/>
      <c r="T135" s="95">
        <f>IFERROR(IF($C135="","",VLOOKUP($C135,'[1]Paramètres Articles'!$B:$H,7,FALSE)),"Non Trouvé")</f>
        <v/>
      </c>
      <c r="U135" s="98" t="n"/>
      <c r="V135" s="95">
        <f>IFERROR(IF($C135="","",IF($P135="","",$T135*(1-$P135))),"Non Trouvé")</f>
        <v/>
      </c>
      <c r="W135" s="96" t="n"/>
      <c r="X135" s="95">
        <f>IFERROR(T135-V135,"")</f>
        <v/>
      </c>
      <c r="Y135" s="96" t="n"/>
      <c r="Z135" s="95">
        <f>IFERROR(IF(OR(T135=0,T135=""),0,T135*H135),"Non Trouvé")</f>
        <v/>
      </c>
      <c r="AB135" s="99">
        <f>AB134</f>
        <v/>
      </c>
      <c r="AC135" s="99">
        <f>AC134</f>
        <v/>
      </c>
      <c r="AD135" s="95">
        <f>IFERROR(IF($C135="","",IF($P$15="Cascade",$R135*(1-AC135)*AB135,IF($P$15="Additionnelle",($N135-($N135*($P135+AC135)))*AB135))),"Non Trouvé")</f>
        <v/>
      </c>
      <c r="AG135" s="99">
        <f>AG134</f>
        <v/>
      </c>
      <c r="AH135" s="99">
        <f>AH134</f>
        <v/>
      </c>
      <c r="AI135" s="95">
        <f>IFERROR(IF($C135="","",IF($P$15="Cascade",$R135*(1-AH135)*AG135,IF($P$15="Additionnelle",($N135-($N135*($P135+AH135)))*AG135))),"Non Trouvé")</f>
        <v/>
      </c>
      <c r="AL135" s="99">
        <f>AL134</f>
        <v/>
      </c>
      <c r="AM135" s="99">
        <f>AM134</f>
        <v/>
      </c>
      <c r="AN135" s="95">
        <f>IFERROR(IF($C135="","",IF($P$15="Cascade",$R135*(1-AM135)*AL135,IF($P$15="Additionnelle",($N135-($N135*($P135+AM135)))*AL135))),"Non Trouvé")</f>
        <v/>
      </c>
      <c r="AQ135" s="99">
        <f>AQ134</f>
        <v/>
      </c>
      <c r="AR135" s="99">
        <f>AR134</f>
        <v/>
      </c>
      <c r="AS135" s="95">
        <f>IFERROR(IF($C135="","",IF($P$15="Cascade",$R135*(1-AR135)*AQ135,IF($P$15="Additionnelle",($N135-($N135*($P135+AR135)))*AQ135))),"Non Trouvé")</f>
        <v/>
      </c>
      <c r="AV135" s="99">
        <f>AV134</f>
        <v/>
      </c>
      <c r="AW135" s="99">
        <f>AW134</f>
        <v/>
      </c>
      <c r="AX135" s="95">
        <f>IFERROR(IF($C135="","",IF($P$15="Cascade",$R135*(1-AW135)*AV135,IF($P$15="Additionnelle",($N135-($N135*($P135+AW135)))*AV135))),"Non Trouvé")</f>
        <v/>
      </c>
      <c r="BA135" s="99">
        <f>BA134</f>
        <v/>
      </c>
      <c r="BB135" s="99">
        <f>BB134</f>
        <v/>
      </c>
      <c r="BC135" s="95">
        <f>IFERROR(IF($C135="","",IF($P$15="Cascade",$R135*(1-BB135)*BA135,IF($P$15="Additionnelle",($N135-($N135*($P135+BB135)))*BA135))),"Non Trouvé")</f>
        <v/>
      </c>
      <c r="BF135" s="99">
        <f>BF134</f>
        <v/>
      </c>
      <c r="BG135" s="99">
        <f>BG134</f>
        <v/>
      </c>
      <c r="BH135" s="95">
        <f>IFERROR(IF($C135="","",IF($P$15="Cascade",$R135*(1-BG135)*BF135,IF($P$15="Additionnelle",($N135-($N135*($P135+BG135)))*BF135))),"Non Trouvé")</f>
        <v/>
      </c>
      <c r="BK135" s="99">
        <f>BK134</f>
        <v/>
      </c>
      <c r="BL135" s="99">
        <f>BL134</f>
        <v/>
      </c>
      <c r="BM135" s="95">
        <f>IFERROR(IF($C135="","",IF($P$15="Cascade",$R135*(1-BL135)*BK135,IF($P$15="Additionnelle",($N135-($N135*($P135+BL135)))*BK135))),"Non Trouvé")</f>
        <v/>
      </c>
      <c r="BP135" s="99">
        <f>BP134</f>
        <v/>
      </c>
      <c r="BQ135" s="99">
        <f>BQ134</f>
        <v/>
      </c>
      <c r="BR135" s="95">
        <f>IFERROR(IF($C135="","",IF($P$15="Cascade",$R135*(1-BQ135)*BP135,IF($P$15="Additionnelle",($N135-($N135*($P135+BQ135)))*BP135))),"Non Trouvé")</f>
        <v/>
      </c>
      <c r="BU135" s="99">
        <f>BU134</f>
        <v/>
      </c>
      <c r="BV135" s="99">
        <f>BV134</f>
        <v/>
      </c>
      <c r="BW135" s="95">
        <f>IFERROR(IF($C135="","",IF($P$15="Cascade",$R135*(1-BV135)*BU135,IF($P$15="Additionnelle",($N135-($N135*($P135+BV135)))*BU135))),"Non Trouvé")</f>
        <v/>
      </c>
      <c r="BZ135" s="99">
        <f>BZ134</f>
        <v/>
      </c>
      <c r="CA135" s="99">
        <f>CA134</f>
        <v/>
      </c>
      <c r="CB135" s="95">
        <f>IFERROR(IF($C135="","",IF($P$15="Cascade",$R135*(1-CA135)*BZ135,IF($P$15="Additionnelle",($N135-($N135*($P135+CA135)))*BZ135))),"Non Trouvé")</f>
        <v/>
      </c>
      <c r="CE135" s="100" t="n"/>
      <c r="CF135" s="101" t="n"/>
      <c r="CG135" s="102" t="inlineStr">
        <is>
          <t>Marges</t>
        </is>
      </c>
      <c r="CH135" s="142">
        <f>IFERROR((CH134-$K112*CH133)/CH134,"Non Trouvé")</f>
        <v/>
      </c>
      <c r="CI135" s="103" t="n"/>
      <c r="CK135" s="104">
        <f>IFERROR(IF(F135='[1]Paramètres Généraux'!$K$12,ROUNDUP((REGENERANTS!H135*REGENERANTS!$CF$112)*'[1]Paramètres Généraux'!$M$12,-1),IF(F135='[1]Paramètres Généraux'!$K$15,ROUNDUP((REGENERANTS!H135*REGENERANTS!$CF$112)*'[1]Paramètres Généraux'!$M$15,-1),REGENERANTS!H135*REGENERANTS!$CF$112)),"nd")</f>
        <v/>
      </c>
      <c r="CN135" s="153" t="n"/>
      <c r="CO135" s="154" t="n"/>
      <c r="CP135" s="154" t="n"/>
      <c r="CQ135" s="154" t="n"/>
      <c r="CR135" s="154" t="n"/>
      <c r="CS135" s="180" t="n"/>
      <c r="CT135" s="181" t="n"/>
      <c r="CU135" s="154" t="n"/>
      <c r="CV135" s="180" t="n"/>
      <c r="CW135" s="157" t="n"/>
      <c r="CX135" s="156" t="n"/>
      <c r="CY135" s="157" t="n"/>
      <c r="CZ135" s="143" t="n"/>
      <c r="DA135" s="156" t="n"/>
      <c r="DB135" s="157" t="n"/>
      <c r="DC135" s="143" t="n"/>
      <c r="DD135" s="156" t="n"/>
      <c r="DE135" s="157" t="n"/>
      <c r="DF135" s="143" t="n"/>
      <c r="DG135" s="143" t="n"/>
      <c r="DH135" s="143" t="n"/>
      <c r="DI135" s="143" t="n"/>
      <c r="DJ135" s="143" t="n"/>
      <c r="DK135" s="143" t="n"/>
      <c r="DL135" s="143" t="n"/>
      <c r="DM135" s="143" t="n"/>
      <c r="DN135" s="143" t="n"/>
      <c r="DO135" s="156" t="n"/>
      <c r="DP135" s="157" t="n"/>
      <c r="DQ135" s="20">
        <f>SUM(CN135:DP135)</f>
        <v/>
      </c>
      <c r="DR135" s="20">
        <f>SUM(CV135:DP135)</f>
        <v/>
      </c>
      <c r="DS135" s="20">
        <f>IFERROR((IF(AND($F135="Produit Vente",CO135&gt;0),VLOOKUP($C135,'[1]Paramètres Articles'!$B:$H,7,FALSE)*$CO135)*(1-20%)),0)</f>
        <v/>
      </c>
      <c r="DT135" s="20">
        <f>IFERROR((IF(AND($F135="Produit Vente",DR135&gt;0),VLOOKUP($C135,'[1]Paramètres Articles'!$B:$H,6,FALSE)*$DR135)*(1-15%)),0)</f>
        <v/>
      </c>
      <c r="DU135" s="20">
        <f>IFERROR(DQ135*J135,0)</f>
        <v/>
      </c>
    </row>
    <row r="136" outlineLevel="1" collapsed="1" ht="12.95" customHeight="1">
      <c r="B136" s="1">
        <f>IF(C136="",0,COUNTIFS($B$22:B135,"&gt;"&amp;0)+1)</f>
        <v/>
      </c>
      <c r="C136" s="90" t="n"/>
      <c r="D136" s="91">
        <f>IFERROR(IF($C136="","",VLOOKUP($C136,'[1]Paramètres Articles'!$B:$G,2,FALSE)),"Non Trouvé")</f>
        <v/>
      </c>
      <c r="E136" s="92">
        <f>IFERROR(IF($C136="","",_xlfn.XLOOKUP(REGENERANTS!$C136,'[1]New Base PA'!$F:$F,'[1]New Base PA'!$D:$D,"Not Found",0)),"Non Trouvé")</f>
        <v/>
      </c>
      <c r="F136" s="93" t="n"/>
      <c r="H136" s="106" t="n"/>
      <c r="J136" s="95">
        <f>IFERROR(IF($C136="","",VLOOKUP($C136,'[1]New Base PA'!$F:$J,5,FALSE)),"Non Trouvé")</f>
        <v/>
      </c>
      <c r="K136" s="136">
        <f>IFERROR(IF($C136="","",$J136*$H136),"Non Trouvé")</f>
        <v/>
      </c>
      <c r="L136" s="137" t="n"/>
      <c r="M136" s="95">
        <f>IFERROR(IF(AND($F136="Produit Vente",H136&gt;0),VLOOKUP($C136,'[1]Paramètres Articles'!$B:$G,6,FALSE),0),"Non Trouvé")</f>
        <v/>
      </c>
      <c r="N136" s="95">
        <f>IFERROR(IF($C136="","",$M136*$H136),"Non Trouvé")</f>
        <v/>
      </c>
      <c r="P136" s="97" t="n"/>
      <c r="R136" s="95">
        <f>IFERROR(IF($C136="","",$N136*(1-$P136)),"Non Trouvé")</f>
        <v/>
      </c>
      <c r="S136" s="96" t="n"/>
      <c r="T136" s="95">
        <f>IFERROR(IF($C136="","",VLOOKUP($C136,'[1]Paramètres Articles'!$B:$H,7,FALSE)),"Non Trouvé")</f>
        <v/>
      </c>
      <c r="U136" s="98" t="n"/>
      <c r="V136" s="95">
        <f>IFERROR(IF($C136="","",IF($P136="","",$T136*(1-$P136))),"Non Trouvé")</f>
        <v/>
      </c>
      <c r="W136" s="96" t="n"/>
      <c r="X136" s="95">
        <f>IFERROR(T136-V136,"")</f>
        <v/>
      </c>
      <c r="Y136" s="96" t="n"/>
      <c r="Z136" s="95">
        <f>IFERROR(IF(OR(T136=0,T136=""),0,T136*H136),"Non Trouvé")</f>
        <v/>
      </c>
      <c r="AB136" s="99">
        <f>AB134</f>
        <v/>
      </c>
      <c r="AC136" s="99">
        <f>AC134</f>
        <v/>
      </c>
      <c r="AD136" s="95">
        <f>IFERROR(IF($C136="","",IF($P$15="Cascade",$R136*(1-AC136)*AB136,IF($P$15="Additionnelle",($N136-($N136*($P136+AC136)))*AB136))),"Non Trouvé")</f>
        <v/>
      </c>
      <c r="AG136" s="99">
        <f>AG134</f>
        <v/>
      </c>
      <c r="AH136" s="99">
        <f>AH134</f>
        <v/>
      </c>
      <c r="AI136" s="95">
        <f>IFERROR(IF($C136="","",IF($P$15="Cascade",$R136*(1-AH136)*AG136,IF($P$15="Additionnelle",($N136-($N136*($P136+AH136)))*AG136))),"Non Trouvé")</f>
        <v/>
      </c>
      <c r="AL136" s="99">
        <f>AL134</f>
        <v/>
      </c>
      <c r="AM136" s="99">
        <f>AM134</f>
        <v/>
      </c>
      <c r="AN136" s="95">
        <f>IFERROR(IF($C136="","",IF($P$15="Cascade",$R136*(1-AM136)*AL136,IF($P$15="Additionnelle",($N136-($N136*($P136+AM136)))*AL136))),"Non Trouvé")</f>
        <v/>
      </c>
      <c r="AQ136" s="99">
        <f>AQ134</f>
        <v/>
      </c>
      <c r="AR136" s="99">
        <f>AR134</f>
        <v/>
      </c>
      <c r="AS136" s="95">
        <f>IFERROR(IF($C136="","",IF($P$15="Cascade",$R136*(1-AR136)*AQ136,IF($P$15="Additionnelle",($N136-($N136*($P136+AR136)))*AQ136))),"Non Trouvé")</f>
        <v/>
      </c>
      <c r="AV136" s="99">
        <f>AV134</f>
        <v/>
      </c>
      <c r="AW136" s="99">
        <f>AW134</f>
        <v/>
      </c>
      <c r="AX136" s="95">
        <f>IFERROR(IF($C136="","",IF($P$15="Cascade",$R136*(1-AW136)*AV136,IF($P$15="Additionnelle",($N136-($N136*($P136+AW136)))*AV136))),"Non Trouvé")</f>
        <v/>
      </c>
      <c r="BA136" s="99">
        <f>BA134</f>
        <v/>
      </c>
      <c r="BB136" s="99">
        <f>BB134</f>
        <v/>
      </c>
      <c r="BC136" s="95">
        <f>IFERROR(IF($C136="","",IF($P$15="Cascade",$R136*(1-BB136)*BA136,IF($P$15="Additionnelle",($N136-($N136*($P136+BB136)))*BA136))),"Non Trouvé")</f>
        <v/>
      </c>
      <c r="BF136" s="99">
        <f>BF134</f>
        <v/>
      </c>
      <c r="BG136" s="99">
        <f>BG134</f>
        <v/>
      </c>
      <c r="BH136" s="95">
        <f>IFERROR(IF($C136="","",IF($P$15="Cascade",$R136*(1-BG136)*BF136,IF($P$15="Additionnelle",($N136-($N136*($P136+BG136)))*BF136))),"Non Trouvé")</f>
        <v/>
      </c>
      <c r="BK136" s="99">
        <f>BK134</f>
        <v/>
      </c>
      <c r="BL136" s="99">
        <f>BL134</f>
        <v/>
      </c>
      <c r="BM136" s="95">
        <f>IFERROR(IF($C136="","",IF($P$15="Cascade",$R136*(1-BL136)*BK136,IF($P$15="Additionnelle",($N136-($N136*($P136+BL136)))*BK136))),"Non Trouvé")</f>
        <v/>
      </c>
      <c r="BP136" s="99">
        <f>BP134</f>
        <v/>
      </c>
      <c r="BQ136" s="99">
        <f>BQ134</f>
        <v/>
      </c>
      <c r="BR136" s="95">
        <f>IFERROR(IF($C136="","",IF($P$15="Cascade",$R136*(1-BQ136)*BP136,IF($P$15="Additionnelle",($N136-($N136*($P136+BQ136)))*BP136))),"Non Trouvé")</f>
        <v/>
      </c>
      <c r="BU136" s="99">
        <f>BU134</f>
        <v/>
      </c>
      <c r="BV136" s="99">
        <f>BV134</f>
        <v/>
      </c>
      <c r="BW136" s="95">
        <f>IFERROR(IF($C136="","",IF($P$15="Cascade",$R136*(1-BV136)*BU136,IF($P$15="Additionnelle",($N136-($N136*($P136+BV136)))*BU136))),"Non Trouvé")</f>
        <v/>
      </c>
      <c r="BZ136" s="99">
        <f>BZ134</f>
        <v/>
      </c>
      <c r="CA136" s="99">
        <f>CA134</f>
        <v/>
      </c>
      <c r="CB136" s="95">
        <f>IFERROR(IF($C136="","",IF($P$15="Cascade",$R136*(1-CA136)*BZ136,IF($P$15="Additionnelle",($N136-($N136*($P136+CA136)))*BZ136))),"Non Trouvé")</f>
        <v/>
      </c>
      <c r="CE136" s="100" t="n"/>
      <c r="CF136" s="101" t="n"/>
      <c r="CG136" s="102" t="inlineStr">
        <is>
          <t>Marges €</t>
        </is>
      </c>
      <c r="CH136" s="139">
        <f>IFERROR(CH134*CH135,0)</f>
        <v/>
      </c>
      <c r="CI136" s="103" t="n"/>
      <c r="CK136" s="104">
        <f>IFERROR(IF(F136='[1]Paramètres Généraux'!$K$12,ROUNDUP((REGENERANTS!H136*REGENERANTS!$CF$112)*'[1]Paramètres Généraux'!$M$12,-1),IF(F136='[1]Paramètres Généraux'!$K$15,ROUNDUP((REGENERANTS!H136*REGENERANTS!$CF$112)*'[1]Paramètres Généraux'!$M$15,-1),REGENERANTS!H136*REGENERANTS!$CF$112)),"nd")</f>
        <v/>
      </c>
      <c r="CN136" s="153" t="n"/>
      <c r="CO136" s="154" t="n"/>
      <c r="CP136" s="154" t="n"/>
      <c r="CQ136" s="154" t="n"/>
      <c r="CR136" s="154" t="n"/>
      <c r="CS136" s="180" t="n"/>
      <c r="CT136" s="181" t="n"/>
      <c r="CU136" s="154" t="n"/>
      <c r="CV136" s="180" t="n"/>
      <c r="CW136" s="157" t="n"/>
      <c r="CX136" s="156" t="n"/>
      <c r="CY136" s="157" t="n"/>
      <c r="CZ136" s="143" t="n"/>
      <c r="DA136" s="156" t="n"/>
      <c r="DB136" s="157" t="n"/>
      <c r="DC136" s="143" t="n"/>
      <c r="DD136" s="156" t="n"/>
      <c r="DE136" s="157" t="n"/>
      <c r="DF136" s="143" t="n"/>
      <c r="DG136" s="143" t="n"/>
      <c r="DH136" s="143" t="n"/>
      <c r="DI136" s="143" t="n"/>
      <c r="DJ136" s="143" t="n"/>
      <c r="DK136" s="143" t="n"/>
      <c r="DL136" s="143" t="n"/>
      <c r="DM136" s="143" t="n"/>
      <c r="DN136" s="143" t="n"/>
      <c r="DO136" s="156" t="n"/>
      <c r="DP136" s="157" t="n"/>
      <c r="DQ136" s="20">
        <f>SUM(CN136:DP136)</f>
        <v/>
      </c>
      <c r="DR136" s="20">
        <f>SUM(CV136:DP136)</f>
        <v/>
      </c>
      <c r="DS136" s="20">
        <f>IFERROR((IF(AND($F136="Produit Vente",CO136&gt;0),VLOOKUP($C136,'[1]Paramètres Articles'!$B:$H,7,FALSE)*$CO136)*(1-20%)),0)</f>
        <v/>
      </c>
      <c r="DT136" s="20">
        <f>IFERROR((IF(AND($F136="Produit Vente",DR136&gt;0),VLOOKUP($C136,'[1]Paramètres Articles'!$B:$H,6,FALSE)*$DR136)*(1-15%)),0)</f>
        <v/>
      </c>
      <c r="DU136" s="20">
        <f>IFERROR(DQ136*J136,0)</f>
        <v/>
      </c>
    </row>
    <row r="137" outlineLevel="1" collapsed="1" ht="12.95" customHeight="1">
      <c r="B137" s="1">
        <f>IF(C137="",0,COUNTIFS($B$22:B136,"&gt;"&amp;0)+1)</f>
        <v/>
      </c>
      <c r="C137" s="90" t="n"/>
      <c r="D137" s="91">
        <f>IFERROR(IF($C137="","",VLOOKUP($C137,'[1]Paramètres Articles'!$B:$G,2,FALSE)),"Non Trouvé")</f>
        <v/>
      </c>
      <c r="E137" s="92">
        <f>IFERROR(IF($C137="","",_xlfn.XLOOKUP(REGENERANTS!$C137,'[1]New Base PA'!$F:$F,'[1]New Base PA'!$D:$D,"Not Found",0)),"Non Trouvé")</f>
        <v/>
      </c>
      <c r="F137" s="93" t="n"/>
      <c r="H137" s="106" t="n"/>
      <c r="J137" s="95">
        <f>IFERROR(IF($C137="","",VLOOKUP($C137,'[1]New Base PA'!$F:$J,5,FALSE)),"Non Trouvé")</f>
        <v/>
      </c>
      <c r="K137" s="136">
        <f>IFERROR(IF($C137="","",$J137*$H137),"Non Trouvé")</f>
        <v/>
      </c>
      <c r="L137" s="137" t="n"/>
      <c r="M137" s="95">
        <f>IFERROR(IF(AND($F137="Produit Vente",H137&gt;0),VLOOKUP($C137,'[1]Paramètres Articles'!$B:$G,6,FALSE),0),"Non Trouvé")</f>
        <v/>
      </c>
      <c r="N137" s="95">
        <f>IFERROR(IF($C137="","",$M137*$H137),"Non Trouvé")</f>
        <v/>
      </c>
      <c r="P137" s="97" t="n"/>
      <c r="R137" s="95">
        <f>IFERROR(IF($C137="","",$N137*(1-$P137)),"Non Trouvé")</f>
        <v/>
      </c>
      <c r="S137" s="96" t="n"/>
      <c r="T137" s="95">
        <f>IFERROR(IF($C137="","",VLOOKUP($C137,'[1]Paramètres Articles'!$B:$H,7,FALSE)),"Non Trouvé")</f>
        <v/>
      </c>
      <c r="U137" s="98" t="n"/>
      <c r="V137" s="95">
        <f>IFERROR(IF($C137="","",IF($P137="","",$T137*(1-$P137))),"Non Trouvé")</f>
        <v/>
      </c>
      <c r="W137" s="96" t="n"/>
      <c r="X137" s="95">
        <f>IFERROR(T137-V137,"")</f>
        <v/>
      </c>
      <c r="Y137" s="96" t="n"/>
      <c r="Z137" s="95">
        <f>IFERROR(IF(OR(T137=0,T137=""),0,T137*H137),"Non Trouvé")</f>
        <v/>
      </c>
      <c r="AB137" s="99">
        <f>AB136</f>
        <v/>
      </c>
      <c r="AC137" s="99">
        <f>AC136</f>
        <v/>
      </c>
      <c r="AD137" s="95">
        <f>IFERROR(IF($C137="","",IF($P$15="Cascade",$R137*(1-AC137)*AB137,IF($P$15="Additionnelle",($N137-($N137*($P137+AC137)))*AB137))),"Non Trouvé")</f>
        <v/>
      </c>
      <c r="AG137" s="99">
        <f>AG136</f>
        <v/>
      </c>
      <c r="AH137" s="99">
        <f>AH136</f>
        <v/>
      </c>
      <c r="AI137" s="95">
        <f>IFERROR(IF($C137="","",IF($P$15="Cascade",$R137*(1-AH137)*AG137,IF($P$15="Additionnelle",($N137-($N137*($P137+AH137)))*AG137))),"Non Trouvé")</f>
        <v/>
      </c>
      <c r="AL137" s="99">
        <f>AL136</f>
        <v/>
      </c>
      <c r="AM137" s="99">
        <f>AM136</f>
        <v/>
      </c>
      <c r="AN137" s="95">
        <f>IFERROR(IF($C137="","",IF($P$15="Cascade",$R137*(1-AM137)*AL137,IF($P$15="Additionnelle",($N137-($N137*($P137+AM137)))*AL137))),"Non Trouvé")</f>
        <v/>
      </c>
      <c r="AQ137" s="99">
        <f>AQ136</f>
        <v/>
      </c>
      <c r="AR137" s="99">
        <f>AR136</f>
        <v/>
      </c>
      <c r="AS137" s="95">
        <f>IFERROR(IF($C137="","",IF($P$15="Cascade",$R137*(1-AR137)*AQ137,IF($P$15="Additionnelle",($N137-($N137*($P137+AR137)))*AQ137))),"Non Trouvé")</f>
        <v/>
      </c>
      <c r="AV137" s="99">
        <f>AV136</f>
        <v/>
      </c>
      <c r="AW137" s="99">
        <f>AW136</f>
        <v/>
      </c>
      <c r="AX137" s="95">
        <f>IFERROR(IF($C137="","",IF($P$15="Cascade",$R137*(1-AW137)*AV137,IF($P$15="Additionnelle",($N137-($N137*($P137+AW137)))*AV137))),"Non Trouvé")</f>
        <v/>
      </c>
      <c r="BA137" s="99">
        <f>BA136</f>
        <v/>
      </c>
      <c r="BB137" s="99">
        <f>BB136</f>
        <v/>
      </c>
      <c r="BC137" s="95">
        <f>IFERROR(IF($C137="","",IF($P$15="Cascade",$R137*(1-BB137)*BA137,IF($P$15="Additionnelle",($N137-($N137*($P137+BB137)))*BA137))),"Non Trouvé")</f>
        <v/>
      </c>
      <c r="BF137" s="99">
        <f>BF136</f>
        <v/>
      </c>
      <c r="BG137" s="99">
        <f>BG136</f>
        <v/>
      </c>
      <c r="BH137" s="95">
        <f>IFERROR(IF($C137="","",IF($P$15="Cascade",$R137*(1-BG137)*BF137,IF($P$15="Additionnelle",($N137-($N137*($P137+BG137)))*BF137))),"Non Trouvé")</f>
        <v/>
      </c>
      <c r="BK137" s="99">
        <f>BK136</f>
        <v/>
      </c>
      <c r="BL137" s="99">
        <f>BL136</f>
        <v/>
      </c>
      <c r="BM137" s="95">
        <f>IFERROR(IF($C137="","",IF($P$15="Cascade",$R137*(1-BL137)*BK137,IF($P$15="Additionnelle",($N137-($N137*($P137+BL137)))*BK137))),"Non Trouvé")</f>
        <v/>
      </c>
      <c r="BP137" s="99">
        <f>BP136</f>
        <v/>
      </c>
      <c r="BQ137" s="99">
        <f>BQ136</f>
        <v/>
      </c>
      <c r="BR137" s="95">
        <f>IFERROR(IF($C137="","",IF($P$15="Cascade",$R137*(1-BQ137)*BP137,IF($P$15="Additionnelle",($N137-($N137*($P137+BQ137)))*BP137))),"Non Trouvé")</f>
        <v/>
      </c>
      <c r="BU137" s="99">
        <f>BU136</f>
        <v/>
      </c>
      <c r="BV137" s="99">
        <f>BV136</f>
        <v/>
      </c>
      <c r="BW137" s="95">
        <f>IFERROR(IF($C137="","",IF($P$15="Cascade",$R137*(1-BV137)*BU137,IF($P$15="Additionnelle",($N137-($N137*($P137+BV137)))*BU137))),"Non Trouvé")</f>
        <v/>
      </c>
      <c r="BZ137" s="99">
        <f>BZ136</f>
        <v/>
      </c>
      <c r="CA137" s="99">
        <f>CA136</f>
        <v/>
      </c>
      <c r="CB137" s="95">
        <f>IFERROR(IF($C137="","",IF($P$15="Cascade",$R137*(1-CA137)*BZ137,IF($P$15="Additionnelle",($N137-($N137*($P137+CA137)))*BZ137))),"Non Trouvé")</f>
        <v/>
      </c>
      <c r="CE137" s="100" t="n"/>
      <c r="CF137" s="101" t="n"/>
      <c r="CG137" s="102" t="n"/>
      <c r="CH137" s="102" t="n"/>
      <c r="CI137" s="103" t="n"/>
      <c r="CK137" s="104">
        <f>IFERROR(IF(F137='[1]Paramètres Généraux'!$K$12,ROUNDUP((REGENERANTS!H137*REGENERANTS!$CF$112)*'[1]Paramètres Généraux'!$M$12,-1),IF(F137='[1]Paramètres Généraux'!$K$15,ROUNDUP((REGENERANTS!H137*REGENERANTS!$CF$112)*'[1]Paramètres Généraux'!$M$15,-1),REGENERANTS!H137*REGENERANTS!$CF$112)),"nd")</f>
        <v/>
      </c>
      <c r="CN137" s="153" t="n"/>
      <c r="CO137" s="154" t="n"/>
      <c r="CP137" s="154" t="n"/>
      <c r="CQ137" s="154" t="n"/>
      <c r="CR137" s="154" t="n"/>
      <c r="CS137" s="180" t="n"/>
      <c r="CT137" s="181" t="n"/>
      <c r="CU137" s="154" t="n"/>
      <c r="CV137" s="180" t="n"/>
      <c r="CW137" s="157" t="n"/>
      <c r="CX137" s="156" t="n"/>
      <c r="CY137" s="157" t="n"/>
      <c r="CZ137" s="143" t="n"/>
      <c r="DA137" s="156" t="n"/>
      <c r="DB137" s="157" t="n"/>
      <c r="DC137" s="143" t="n"/>
      <c r="DD137" s="156" t="n"/>
      <c r="DE137" s="157" t="n"/>
      <c r="DF137" s="143" t="n"/>
      <c r="DG137" s="143" t="n"/>
      <c r="DH137" s="143" t="n"/>
      <c r="DI137" s="143" t="n"/>
      <c r="DJ137" s="143" t="n"/>
      <c r="DK137" s="143" t="n"/>
      <c r="DL137" s="143" t="n"/>
      <c r="DM137" s="143" t="n"/>
      <c r="DN137" s="143" t="n"/>
      <c r="DO137" s="156" t="n"/>
      <c r="DP137" s="157" t="n"/>
      <c r="DQ137" s="20">
        <f>SUM(CN137:DP137)</f>
        <v/>
      </c>
      <c r="DR137" s="20">
        <f>SUM(CV137:DP137)</f>
        <v/>
      </c>
      <c r="DS137" s="20">
        <f>IFERROR((IF(AND($F137="Produit Vente",CO137&gt;0),VLOOKUP($C137,'[1]Paramètres Articles'!$B:$H,7,FALSE)*$CO137)*(1-20%)),0)</f>
        <v/>
      </c>
      <c r="DT137" s="20">
        <f>IFERROR((IF(AND($F137="Produit Vente",DR137&gt;0),VLOOKUP($C137,'[1]Paramètres Articles'!$B:$H,6,FALSE)*$DR137)*(1-15%)),0)</f>
        <v/>
      </c>
      <c r="DU137" s="20">
        <f>IFERROR(DQ137*J137,0)</f>
        <v/>
      </c>
    </row>
    <row r="138" outlineLevel="1" collapsed="1" ht="12.95" customHeight="1">
      <c r="B138" s="1">
        <f>IF(C138="",0,COUNTIFS($B$22:B137,"&gt;"&amp;0)+1)</f>
        <v/>
      </c>
      <c r="C138" s="90" t="n"/>
      <c r="D138" s="91">
        <f>IFERROR(IF($C138="","",VLOOKUP($C138,'[1]Paramètres Articles'!$B:$G,2,FALSE)),"Non Trouvé")</f>
        <v/>
      </c>
      <c r="E138" s="92">
        <f>IFERROR(IF($C138="","",_xlfn.XLOOKUP(REGENERANTS!$C138,'[1]New Base PA'!$F:$F,'[1]New Base PA'!$D:$D,"Not Found",0)),"Non Trouvé")</f>
        <v/>
      </c>
      <c r="F138" s="93" t="n"/>
      <c r="H138" s="106" t="n"/>
      <c r="J138" s="95">
        <f>IFERROR(IF($C138="","",VLOOKUP($C138,'[1]New Base PA'!$F:$J,5,FALSE)),"Non Trouvé")</f>
        <v/>
      </c>
      <c r="K138" s="136">
        <f>IFERROR(IF($C138="","",$J138*$H138),"Non Trouvé")</f>
        <v/>
      </c>
      <c r="L138" s="137" t="n"/>
      <c r="M138" s="95">
        <f>IFERROR(IF(AND($F138="Produit Vente",H138&gt;0),VLOOKUP($C138,'[1]Paramètres Articles'!$B:$G,6,FALSE),0),"Non Trouvé")</f>
        <v/>
      </c>
      <c r="N138" s="95">
        <f>IFERROR(IF($C138="","",$M138*$H138),"Non Trouvé")</f>
        <v/>
      </c>
      <c r="P138" s="97" t="n"/>
      <c r="R138" s="95">
        <f>IFERROR(IF($C138="","",$N138*(1-$P138)),"Non Trouvé")</f>
        <v/>
      </c>
      <c r="S138" s="96" t="n"/>
      <c r="T138" s="95">
        <f>IFERROR(IF($C138="","",VLOOKUP($C138,'[1]Paramètres Articles'!$B:$H,7,FALSE)),"Non Trouvé")</f>
        <v/>
      </c>
      <c r="U138" s="98" t="n"/>
      <c r="V138" s="95">
        <f>IFERROR(IF($C138="","",IF($P138="","",$T138*(1-$P138))),"Non Trouvé")</f>
        <v/>
      </c>
      <c r="W138" s="96" t="n"/>
      <c r="X138" s="95">
        <f>IFERROR(T138-V138,"")</f>
        <v/>
      </c>
      <c r="Y138" s="96" t="n"/>
      <c r="Z138" s="95">
        <f>IFERROR(IF(OR(T138=0,T138=""),0,T138*H138),"Non Trouvé")</f>
        <v/>
      </c>
      <c r="AB138" s="99">
        <f>AB136</f>
        <v/>
      </c>
      <c r="AC138" s="99">
        <f>AC136</f>
        <v/>
      </c>
      <c r="AD138" s="95">
        <f>IFERROR(IF($C138="","",IF($P$15="Cascade",$R138*(1-AC138)*AB138,IF($P$15="Additionnelle",($N138-($N138*($P138+AC138)))*AB138))),"Non Trouvé")</f>
        <v/>
      </c>
      <c r="AG138" s="99">
        <f>AG136</f>
        <v/>
      </c>
      <c r="AH138" s="99">
        <f>AH136</f>
        <v/>
      </c>
      <c r="AI138" s="95">
        <f>IFERROR(IF($C138="","",IF($P$15="Cascade",$R138*(1-AH138)*AG138,IF($P$15="Additionnelle",($N138-($N138*($P138+AH138)))*AG138))),"Non Trouvé")</f>
        <v/>
      </c>
      <c r="AL138" s="99">
        <f>AL136</f>
        <v/>
      </c>
      <c r="AM138" s="99">
        <f>AM136</f>
        <v/>
      </c>
      <c r="AN138" s="95">
        <f>IFERROR(IF($C138="","",IF($P$15="Cascade",$R138*(1-AM138)*AL138,IF($P$15="Additionnelle",($N138-($N138*($P138+AM138)))*AL138))),"Non Trouvé")</f>
        <v/>
      </c>
      <c r="AQ138" s="99">
        <f>AQ136</f>
        <v/>
      </c>
      <c r="AR138" s="99">
        <f>AR136</f>
        <v/>
      </c>
      <c r="AS138" s="95">
        <f>IFERROR(IF($C138="","",IF($P$15="Cascade",$R138*(1-AR138)*AQ138,IF($P$15="Additionnelle",($N138-($N138*($P138+AR138)))*AQ138))),"Non Trouvé")</f>
        <v/>
      </c>
      <c r="AV138" s="99">
        <f>AV136</f>
        <v/>
      </c>
      <c r="AW138" s="99">
        <f>AW136</f>
        <v/>
      </c>
      <c r="AX138" s="95">
        <f>IFERROR(IF($C138="","",IF($P$15="Cascade",$R138*(1-AW138)*AV138,IF($P$15="Additionnelle",($N138-($N138*($P138+AW138)))*AV138))),"Non Trouvé")</f>
        <v/>
      </c>
      <c r="BA138" s="99">
        <f>BA136</f>
        <v/>
      </c>
      <c r="BB138" s="99">
        <f>BB136</f>
        <v/>
      </c>
      <c r="BC138" s="95">
        <f>IFERROR(IF($C138="","",IF($P$15="Cascade",$R138*(1-BB138)*BA138,IF($P$15="Additionnelle",($N138-($N138*($P138+BB138)))*BA138))),"Non Trouvé")</f>
        <v/>
      </c>
      <c r="BF138" s="99">
        <f>BF136</f>
        <v/>
      </c>
      <c r="BG138" s="99">
        <f>BG136</f>
        <v/>
      </c>
      <c r="BH138" s="95">
        <f>IFERROR(IF($C138="","",IF($P$15="Cascade",$R138*(1-BG138)*BF138,IF($P$15="Additionnelle",($N138-($N138*($P138+BG138)))*BF138))),"Non Trouvé")</f>
        <v/>
      </c>
      <c r="BK138" s="99">
        <f>BK136</f>
        <v/>
      </c>
      <c r="BL138" s="99">
        <f>BL136</f>
        <v/>
      </c>
      <c r="BM138" s="95">
        <f>IFERROR(IF($C138="","",IF($P$15="Cascade",$R138*(1-BL138)*BK138,IF($P$15="Additionnelle",($N138-($N138*($P138+BL138)))*BK138))),"Non Trouvé")</f>
        <v/>
      </c>
      <c r="BP138" s="99">
        <f>BP136</f>
        <v/>
      </c>
      <c r="BQ138" s="99">
        <f>BQ136</f>
        <v/>
      </c>
      <c r="BR138" s="95">
        <f>IFERROR(IF($C138="","",IF($P$15="Cascade",$R138*(1-BQ138)*BP138,IF($P$15="Additionnelle",($N138-($N138*($P138+BQ138)))*BP138))),"Non Trouvé")</f>
        <v/>
      </c>
      <c r="BU138" s="99">
        <f>BU136</f>
        <v/>
      </c>
      <c r="BV138" s="99">
        <f>BV136</f>
        <v/>
      </c>
      <c r="BW138" s="95">
        <f>IFERROR(IF($C138="","",IF($P$15="Cascade",$R138*(1-BV138)*BU138,IF($P$15="Additionnelle",($N138-($N138*($P138+BV138)))*BU138))),"Non Trouvé")</f>
        <v/>
      </c>
      <c r="BZ138" s="99">
        <f>BZ136</f>
        <v/>
      </c>
      <c r="CA138" s="99">
        <f>CA136</f>
        <v/>
      </c>
      <c r="CB138" s="95">
        <f>IFERROR(IF($C138="","",IF($P$15="Cascade",$R138*(1-CA138)*BZ138,IF($P$15="Additionnelle",($N138-($N138*($P138+CA138)))*BZ138))),"Non Trouvé")</f>
        <v/>
      </c>
      <c r="CE138" s="100" t="n"/>
      <c r="CF138" s="101" t="n"/>
      <c r="CG138" s="102" t="n"/>
      <c r="CH138" s="102" t="n"/>
      <c r="CI138" s="103" t="n"/>
      <c r="CK138" s="104">
        <f>IFERROR(IF(F138='[1]Paramètres Généraux'!$K$12,ROUNDUP((REGENERANTS!H138*REGENERANTS!$CF$112)*'[1]Paramètres Généraux'!$M$12,-1),IF(F138='[1]Paramètres Généraux'!$K$15,ROUNDUP((REGENERANTS!H138*REGENERANTS!$CF$112)*'[1]Paramètres Généraux'!$M$15,-1),REGENERANTS!H138*REGENERANTS!$CF$112)),"nd")</f>
        <v/>
      </c>
      <c r="CN138" s="153" t="n"/>
      <c r="CO138" s="154" t="n"/>
      <c r="CP138" s="154" t="n"/>
      <c r="CQ138" s="154" t="n"/>
      <c r="CR138" s="154" t="n"/>
      <c r="CS138" s="180" t="n"/>
      <c r="CT138" s="181" t="n"/>
      <c r="CU138" s="154" t="n"/>
      <c r="CV138" s="180" t="n"/>
      <c r="CW138" s="157" t="n"/>
      <c r="CX138" s="156" t="n"/>
      <c r="CY138" s="157" t="n"/>
      <c r="CZ138" s="143" t="n"/>
      <c r="DA138" s="156" t="n"/>
      <c r="DB138" s="157" t="n"/>
      <c r="DC138" s="143" t="n"/>
      <c r="DD138" s="156" t="n"/>
      <c r="DE138" s="157" t="n"/>
      <c r="DF138" s="143" t="n"/>
      <c r="DG138" s="143" t="n"/>
      <c r="DH138" s="143" t="n"/>
      <c r="DI138" s="143" t="n"/>
      <c r="DJ138" s="143" t="n"/>
      <c r="DK138" s="143" t="n"/>
      <c r="DL138" s="143" t="n"/>
      <c r="DM138" s="143" t="n"/>
      <c r="DN138" s="143" t="n"/>
      <c r="DO138" s="156" t="n"/>
      <c r="DP138" s="157" t="n"/>
      <c r="DQ138" s="20">
        <f>SUM(CN138:DP138)</f>
        <v/>
      </c>
      <c r="DR138" s="20">
        <f>SUM(CV138:DP138)</f>
        <v/>
      </c>
      <c r="DS138" s="20">
        <f>IFERROR((IF(AND($F138="Produit Vente",CO138&gt;0),VLOOKUP($C138,'[1]Paramètres Articles'!$B:$H,7,FALSE)*$CO138)*(1-20%)),0)</f>
        <v/>
      </c>
      <c r="DT138" s="20">
        <f>IFERROR((IF(AND($F138="Produit Vente",DR138&gt;0),VLOOKUP($C138,'[1]Paramètres Articles'!$B:$H,6,FALSE)*$DR138)*(1-15%)),0)</f>
        <v/>
      </c>
      <c r="DU138" s="20">
        <f>IFERROR(DQ138*J138,0)</f>
        <v/>
      </c>
    </row>
    <row r="139" outlineLevel="1" collapsed="1" ht="12.95" customHeight="1">
      <c r="B139" s="1">
        <f>IF(C139="",0,COUNTIFS($B$22:B138,"&gt;"&amp;0)+1)</f>
        <v/>
      </c>
      <c r="C139" s="90" t="n"/>
      <c r="D139" s="91">
        <f>IFERROR(IF($C139="","",VLOOKUP($C139,'[1]Paramètres Articles'!$B:$G,2,FALSE)),"Non Trouvé")</f>
        <v/>
      </c>
      <c r="E139" s="92">
        <f>IFERROR(IF($C139="","",_xlfn.XLOOKUP(REGENERANTS!$C139,'[1]New Base PA'!$F:$F,'[1]New Base PA'!$D:$D,"Not Found",0)),"Non Trouvé")</f>
        <v/>
      </c>
      <c r="F139" s="93" t="n"/>
      <c r="H139" s="106" t="n"/>
      <c r="J139" s="95">
        <f>IFERROR(IF($C139="","",VLOOKUP($C139,'[1]New Base PA'!$F:$J,5,FALSE)),"Non Trouvé")</f>
        <v/>
      </c>
      <c r="K139" s="136">
        <f>IFERROR(IF($C139="","",$J139*$H139),"Non Trouvé")</f>
        <v/>
      </c>
      <c r="L139" s="137" t="n"/>
      <c r="M139" s="95">
        <f>IFERROR(IF(AND($F139="Produit Vente",H139&gt;0),VLOOKUP($C139,'[1]Paramètres Articles'!$B:$G,6,FALSE),0),"Non Trouvé")</f>
        <v/>
      </c>
      <c r="N139" s="95">
        <f>IFERROR(IF($C139="","",$M139*$H139),"Non Trouvé")</f>
        <v/>
      </c>
      <c r="P139" s="97" t="n"/>
      <c r="R139" s="95">
        <f>IFERROR(IF($C139="","",$N139*(1-$P139)),"Non Trouvé")</f>
        <v/>
      </c>
      <c r="S139" s="96" t="n"/>
      <c r="T139" s="95">
        <f>IFERROR(IF($C139="","",VLOOKUP($C139,'[1]Paramètres Articles'!$B:$H,7,FALSE)),"Non Trouvé")</f>
        <v/>
      </c>
      <c r="U139" s="98" t="n"/>
      <c r="V139" s="95">
        <f>IFERROR(IF($C139="","",IF($P139="","",$T139*(1-$P139))),"Non Trouvé")</f>
        <v/>
      </c>
      <c r="W139" s="96" t="n"/>
      <c r="X139" s="95">
        <f>IFERROR(T139-V139,"")</f>
        <v/>
      </c>
      <c r="Y139" s="96" t="n"/>
      <c r="Z139" s="95">
        <f>IFERROR(IF(OR(T139=0,T139=""),0,T139*H139),"Non Trouvé")</f>
        <v/>
      </c>
      <c r="AB139" s="99">
        <f>AB138</f>
        <v/>
      </c>
      <c r="AC139" s="99">
        <f>AC138</f>
        <v/>
      </c>
      <c r="AD139" s="95">
        <f>IFERROR(IF($C139="","",IF($P$15="Cascade",$R139*(1-AC139)*AB139,IF($P$15="Additionnelle",($N139-($N139*($P139+AC139)))*AB139))),"Non Trouvé")</f>
        <v/>
      </c>
      <c r="AG139" s="99">
        <f>AG138</f>
        <v/>
      </c>
      <c r="AH139" s="99">
        <f>AH138</f>
        <v/>
      </c>
      <c r="AI139" s="95">
        <f>IFERROR(IF($C139="","",IF($P$15="Cascade",$R139*(1-AH139)*AG139,IF($P$15="Additionnelle",($N139-($N139*($P139+AH139)))*AG139))),"Non Trouvé")</f>
        <v/>
      </c>
      <c r="AL139" s="99">
        <f>AL138</f>
        <v/>
      </c>
      <c r="AM139" s="99">
        <f>AM138</f>
        <v/>
      </c>
      <c r="AN139" s="95">
        <f>IFERROR(IF($C139="","",IF($P$15="Cascade",$R139*(1-AM139)*AL139,IF($P$15="Additionnelle",($N139-($N139*($P139+AM139)))*AL139))),"Non Trouvé")</f>
        <v/>
      </c>
      <c r="AQ139" s="99">
        <f>AQ138</f>
        <v/>
      </c>
      <c r="AR139" s="99">
        <f>AR138</f>
        <v/>
      </c>
      <c r="AS139" s="95">
        <f>IFERROR(IF($C139="","",IF($P$15="Cascade",$R139*(1-AR139)*AQ139,IF($P$15="Additionnelle",($N139-($N139*($P139+AR139)))*AQ139))),"Non Trouvé")</f>
        <v/>
      </c>
      <c r="AV139" s="99">
        <f>AV138</f>
        <v/>
      </c>
      <c r="AW139" s="99">
        <f>AW138</f>
        <v/>
      </c>
      <c r="AX139" s="95">
        <f>IFERROR(IF($C139="","",IF($P$15="Cascade",$R139*(1-AW139)*AV139,IF($P$15="Additionnelle",($N139-($N139*($P139+AW139)))*AV139))),"Non Trouvé")</f>
        <v/>
      </c>
      <c r="BA139" s="99">
        <f>BA138</f>
        <v/>
      </c>
      <c r="BB139" s="99">
        <f>BB138</f>
        <v/>
      </c>
      <c r="BC139" s="95">
        <f>IFERROR(IF($C139="","",IF($P$15="Cascade",$R139*(1-BB139)*BA139,IF($P$15="Additionnelle",($N139-($N139*($P139+BB139)))*BA139))),"Non Trouvé")</f>
        <v/>
      </c>
      <c r="BF139" s="99">
        <f>BF138</f>
        <v/>
      </c>
      <c r="BG139" s="99">
        <f>BG138</f>
        <v/>
      </c>
      <c r="BH139" s="95">
        <f>IFERROR(IF($C139="","",IF($P$15="Cascade",$R139*(1-BG139)*BF139,IF($P$15="Additionnelle",($N139-($N139*($P139+BG139)))*BF139))),"Non Trouvé")</f>
        <v/>
      </c>
      <c r="BK139" s="99">
        <f>BK138</f>
        <v/>
      </c>
      <c r="BL139" s="99">
        <f>BL138</f>
        <v/>
      </c>
      <c r="BM139" s="95">
        <f>IFERROR(IF($C139="","",IF($P$15="Cascade",$R139*(1-BL139)*BK139,IF($P$15="Additionnelle",($N139-($N139*($P139+BL139)))*BK139))),"Non Trouvé")</f>
        <v/>
      </c>
      <c r="BP139" s="99">
        <f>BP138</f>
        <v/>
      </c>
      <c r="BQ139" s="99">
        <f>BQ138</f>
        <v/>
      </c>
      <c r="BR139" s="95">
        <f>IFERROR(IF($C139="","",IF($P$15="Cascade",$R139*(1-BQ139)*BP139,IF($P$15="Additionnelle",($N139-($N139*($P139+BQ139)))*BP139))),"Non Trouvé")</f>
        <v/>
      </c>
      <c r="BU139" s="99">
        <f>BU138</f>
        <v/>
      </c>
      <c r="BV139" s="99">
        <f>BV138</f>
        <v/>
      </c>
      <c r="BW139" s="95">
        <f>IFERROR(IF($C139="","",IF($P$15="Cascade",$R139*(1-BV139)*BU139,IF($P$15="Additionnelle",($N139-($N139*($P139+BV139)))*BU139))),"Non Trouvé")</f>
        <v/>
      </c>
      <c r="BZ139" s="99">
        <f>BZ138</f>
        <v/>
      </c>
      <c r="CA139" s="99">
        <f>CA138</f>
        <v/>
      </c>
      <c r="CB139" s="95">
        <f>IFERROR(IF($C139="","",IF($P$15="Cascade",$R139*(1-CA139)*BZ139,IF($P$15="Additionnelle",($N139-($N139*($P139+CA139)))*BZ139))),"Non Trouvé")</f>
        <v/>
      </c>
      <c r="CE139" s="100" t="n"/>
      <c r="CF139" s="101" t="n"/>
      <c r="CG139" s="102" t="n"/>
      <c r="CH139" s="102" t="n"/>
      <c r="CI139" s="103" t="n"/>
      <c r="CK139" s="104">
        <f>IFERROR(IF(F139='[1]Paramètres Généraux'!$K$12,ROUNDUP((REGENERANTS!H139*REGENERANTS!$CF$112)*'[1]Paramètres Généraux'!$M$12,-1),IF(F139='[1]Paramètres Généraux'!$K$15,ROUNDUP((REGENERANTS!H139*REGENERANTS!$CF$112)*'[1]Paramètres Généraux'!$M$15,-1),REGENERANTS!H139*REGENERANTS!$CF$112)),"nd")</f>
        <v/>
      </c>
      <c r="CN139" s="153" t="n"/>
      <c r="CO139" s="154" t="n"/>
      <c r="CP139" s="154" t="n"/>
      <c r="CQ139" s="154" t="n"/>
      <c r="CR139" s="154" t="n"/>
      <c r="CS139" s="180" t="n"/>
      <c r="CT139" s="181" t="n"/>
      <c r="CU139" s="154" t="n"/>
      <c r="CV139" s="180" t="n"/>
      <c r="CW139" s="157" t="n"/>
      <c r="CX139" s="156" t="n"/>
      <c r="CY139" s="157" t="n"/>
      <c r="CZ139" s="143" t="n"/>
      <c r="DA139" s="156" t="n"/>
      <c r="DB139" s="157" t="n"/>
      <c r="DC139" s="143" t="n"/>
      <c r="DD139" s="156" t="n"/>
      <c r="DE139" s="157" t="n"/>
      <c r="DF139" s="143" t="n"/>
      <c r="DG139" s="143" t="n"/>
      <c r="DH139" s="143" t="n"/>
      <c r="DI139" s="143" t="n"/>
      <c r="DJ139" s="143" t="n"/>
      <c r="DK139" s="143" t="n"/>
      <c r="DL139" s="143" t="n"/>
      <c r="DM139" s="143" t="n"/>
      <c r="DN139" s="143" t="n"/>
      <c r="DO139" s="156" t="n"/>
      <c r="DP139" s="157" t="n"/>
      <c r="DQ139" s="20">
        <f>SUM(CN139:DP139)</f>
        <v/>
      </c>
      <c r="DR139" s="20">
        <f>SUM(CV139:DP139)</f>
        <v/>
      </c>
      <c r="DS139" s="20">
        <f>IFERROR((IF(AND($F139="Produit Vente",CO139&gt;0),VLOOKUP($C139,'[1]Paramètres Articles'!$B:$H,7,FALSE)*$CO139)*(1-20%)),0)</f>
        <v/>
      </c>
      <c r="DT139" s="20">
        <f>IFERROR((IF(AND($F139="Produit Vente",DR139&gt;0),VLOOKUP($C139,'[1]Paramètres Articles'!$B:$H,6,FALSE)*$DR139)*(1-15%)),0)</f>
        <v/>
      </c>
      <c r="DU139" s="20">
        <f>IFERROR(DQ139*J139,0)</f>
        <v/>
      </c>
    </row>
    <row r="140" outlineLevel="1" collapsed="1" ht="12.95" customHeight="1">
      <c r="B140" s="1">
        <f>IF(C140="",0,COUNTIFS($B$22:B139,"&gt;"&amp;0)+1)</f>
        <v/>
      </c>
      <c r="C140" s="90" t="n"/>
      <c r="D140" s="91">
        <f>IFERROR(IF($C140="","",VLOOKUP($C140,'[1]Paramètres Articles'!$B:$G,2,FALSE)),"Non Trouvé")</f>
        <v/>
      </c>
      <c r="E140" s="92">
        <f>IFERROR(IF($C140="","",_xlfn.XLOOKUP(REGENERANTS!$C140,'[1]New Base PA'!$F:$F,'[1]New Base PA'!$D:$D,"Not Found",0)),"Non Trouvé")</f>
        <v/>
      </c>
      <c r="F140" s="93" t="n"/>
      <c r="H140" s="106" t="n"/>
      <c r="J140" s="95">
        <f>IFERROR(IF($C140="","",VLOOKUP($C140,'[1]New Base PA'!$F:$J,5,FALSE)),"Non Trouvé")</f>
        <v/>
      </c>
      <c r="K140" s="136">
        <f>IFERROR(IF($C140="","",$J140*$H140),"Non Trouvé")</f>
        <v/>
      </c>
      <c r="L140" s="137" t="n"/>
      <c r="M140" s="95">
        <f>IFERROR(IF(AND($F140="Produit Vente",H140&gt;0),VLOOKUP($C140,'[1]Paramètres Articles'!$B:$G,6,FALSE),0),"Non Trouvé")</f>
        <v/>
      </c>
      <c r="N140" s="95">
        <f>IFERROR(IF($C140="","",$M140*$H140),"Non Trouvé")</f>
        <v/>
      </c>
      <c r="P140" s="97" t="n"/>
      <c r="R140" s="95">
        <f>IFERROR(IF($C140="","",$N140*(1-$P140)),"Non Trouvé")</f>
        <v/>
      </c>
      <c r="S140" s="96" t="n"/>
      <c r="T140" s="95">
        <f>IFERROR(IF($C140="","",VLOOKUP($C140,'[1]Paramètres Articles'!$B:$H,7,FALSE)),"Non Trouvé")</f>
        <v/>
      </c>
      <c r="U140" s="98" t="n"/>
      <c r="V140" s="95">
        <f>IFERROR(IF($C140="","",IF($P140="","",$T140*(1-$P140))),"Non Trouvé")</f>
        <v/>
      </c>
      <c r="W140" s="96" t="n"/>
      <c r="X140" s="95">
        <f>IFERROR(T140-V140,"")</f>
        <v/>
      </c>
      <c r="Y140" s="96" t="n"/>
      <c r="Z140" s="95">
        <f>IFERROR(IF(OR(T140=0,T140=""),0,T140*H140),"Non Trouvé")</f>
        <v/>
      </c>
      <c r="AB140" s="99">
        <f>AB138</f>
        <v/>
      </c>
      <c r="AC140" s="99">
        <f>AC138</f>
        <v/>
      </c>
      <c r="AD140" s="95">
        <f>IFERROR(IF($C140="","",IF($P$15="Cascade",$R140*(1-AC140)*AB140,IF($P$15="Additionnelle",($N140-($N140*($P140+AC140)))*AB140))),"Non Trouvé")</f>
        <v/>
      </c>
      <c r="AG140" s="99">
        <f>AG138</f>
        <v/>
      </c>
      <c r="AH140" s="99">
        <f>AH138</f>
        <v/>
      </c>
      <c r="AI140" s="95">
        <f>IFERROR(IF($C140="","",IF($P$15="Cascade",$R140*(1-AH140)*AG140,IF($P$15="Additionnelle",($N140-($N140*($P140+AH140)))*AG140))),"Non Trouvé")</f>
        <v/>
      </c>
      <c r="AL140" s="99">
        <f>AL138</f>
        <v/>
      </c>
      <c r="AM140" s="99">
        <f>AM138</f>
        <v/>
      </c>
      <c r="AN140" s="95">
        <f>IFERROR(IF($C140="","",IF($P$15="Cascade",$R140*(1-AM140)*AL140,IF($P$15="Additionnelle",($N140-($N140*($P140+AM140)))*AL140))),"Non Trouvé")</f>
        <v/>
      </c>
      <c r="AQ140" s="99">
        <f>AQ138</f>
        <v/>
      </c>
      <c r="AR140" s="99">
        <f>AR138</f>
        <v/>
      </c>
      <c r="AS140" s="95">
        <f>IFERROR(IF($C140="","",IF($P$15="Cascade",$R140*(1-AR140)*AQ140,IF($P$15="Additionnelle",($N140-($N140*($P140+AR140)))*AQ140))),"Non Trouvé")</f>
        <v/>
      </c>
      <c r="AV140" s="99">
        <f>AV138</f>
        <v/>
      </c>
      <c r="AW140" s="99">
        <f>AW138</f>
        <v/>
      </c>
      <c r="AX140" s="95">
        <f>IFERROR(IF($C140="","",IF($P$15="Cascade",$R140*(1-AW140)*AV140,IF($P$15="Additionnelle",($N140-($N140*($P140+AW140)))*AV140))),"Non Trouvé")</f>
        <v/>
      </c>
      <c r="BA140" s="99">
        <f>BA138</f>
        <v/>
      </c>
      <c r="BB140" s="99">
        <f>BB138</f>
        <v/>
      </c>
      <c r="BC140" s="95">
        <f>IFERROR(IF($C140="","",IF($P$15="Cascade",$R140*(1-BB140)*BA140,IF($P$15="Additionnelle",($N140-($N140*($P140+BB140)))*BA140))),"Non Trouvé")</f>
        <v/>
      </c>
      <c r="BF140" s="99">
        <f>BF138</f>
        <v/>
      </c>
      <c r="BG140" s="99">
        <f>BG138</f>
        <v/>
      </c>
      <c r="BH140" s="95">
        <f>IFERROR(IF($C140="","",IF($P$15="Cascade",$R140*(1-BG140)*BF140,IF($P$15="Additionnelle",($N140-($N140*($P140+BG140)))*BF140))),"Non Trouvé")</f>
        <v/>
      </c>
      <c r="BK140" s="99">
        <f>BK138</f>
        <v/>
      </c>
      <c r="BL140" s="99">
        <f>BL138</f>
        <v/>
      </c>
      <c r="BM140" s="95">
        <f>IFERROR(IF($C140="","",IF($P$15="Cascade",$R140*(1-BL140)*BK140,IF($P$15="Additionnelle",($N140-($N140*($P140+BL140)))*BK140))),"Non Trouvé")</f>
        <v/>
      </c>
      <c r="BP140" s="99">
        <f>BP138</f>
        <v/>
      </c>
      <c r="BQ140" s="99">
        <f>BQ138</f>
        <v/>
      </c>
      <c r="BR140" s="95">
        <f>IFERROR(IF($C140="","",IF($P$15="Cascade",$R140*(1-BQ140)*BP140,IF($P$15="Additionnelle",($N140-($N140*($P140+BQ140)))*BP140))),"Non Trouvé")</f>
        <v/>
      </c>
      <c r="BU140" s="99">
        <f>BU138</f>
        <v/>
      </c>
      <c r="BV140" s="99">
        <f>BV138</f>
        <v/>
      </c>
      <c r="BW140" s="95">
        <f>IFERROR(IF($C140="","",IF($P$15="Cascade",$R140*(1-BV140)*BU140,IF($P$15="Additionnelle",($N140-($N140*($P140+BV140)))*BU140))),"Non Trouvé")</f>
        <v/>
      </c>
      <c r="BZ140" s="99">
        <f>BZ138</f>
        <v/>
      </c>
      <c r="CA140" s="99">
        <f>CA138</f>
        <v/>
      </c>
      <c r="CB140" s="95">
        <f>IFERROR(IF($C140="","",IF($P$15="Cascade",$R140*(1-CA140)*BZ140,IF($P$15="Additionnelle",($N140-($N140*($P140+CA140)))*BZ140))),"Non Trouvé")</f>
        <v/>
      </c>
      <c r="CE140" s="100" t="n"/>
      <c r="CF140" s="101" t="n"/>
      <c r="CG140" s="102" t="n"/>
      <c r="CH140" s="102" t="n"/>
      <c r="CI140" s="103" t="n"/>
      <c r="CK140" s="104">
        <f>IFERROR(IF(F140='[1]Paramètres Généraux'!$K$12,ROUNDUP((REGENERANTS!H140*REGENERANTS!$CF$112)*'[1]Paramètres Généraux'!$M$12,-1),IF(F140='[1]Paramètres Généraux'!$K$15,ROUNDUP((REGENERANTS!H140*REGENERANTS!$CF$112)*'[1]Paramètres Généraux'!$M$15,-1),REGENERANTS!H140*REGENERANTS!$CF$112)),"nd")</f>
        <v/>
      </c>
      <c r="CN140" s="153" t="n"/>
      <c r="CO140" s="154" t="n"/>
      <c r="CP140" s="154" t="n"/>
      <c r="CQ140" s="154" t="n"/>
      <c r="CR140" s="154" t="n"/>
      <c r="CS140" s="180" t="n"/>
      <c r="CT140" s="181" t="n"/>
      <c r="CU140" s="154" t="n"/>
      <c r="CV140" s="180" t="n"/>
      <c r="CW140" s="157" t="n"/>
      <c r="CX140" s="156" t="n"/>
      <c r="CY140" s="157" t="n"/>
      <c r="CZ140" s="143" t="n"/>
      <c r="DA140" s="156" t="n"/>
      <c r="DB140" s="157" t="n"/>
      <c r="DC140" s="143" t="n"/>
      <c r="DD140" s="156" t="n"/>
      <c r="DE140" s="157" t="n"/>
      <c r="DF140" s="143" t="n"/>
      <c r="DG140" s="143" t="n"/>
      <c r="DH140" s="143" t="n"/>
      <c r="DI140" s="143" t="n"/>
      <c r="DJ140" s="143" t="n"/>
      <c r="DK140" s="143" t="n"/>
      <c r="DL140" s="143" t="n"/>
      <c r="DM140" s="143" t="n"/>
      <c r="DN140" s="143" t="n"/>
      <c r="DO140" s="156" t="n"/>
      <c r="DP140" s="157" t="n"/>
      <c r="DQ140" s="20">
        <f>SUM(CN140:DP140)</f>
        <v/>
      </c>
      <c r="DR140" s="20">
        <f>SUM(CV140:DP140)</f>
        <v/>
      </c>
      <c r="DS140" s="20">
        <f>IFERROR((IF(AND($F140="Produit Vente",CO140&gt;0),VLOOKUP($C140,'[1]Paramètres Articles'!$B:$H,7,FALSE)*$CO140)*(1-20%)),0)</f>
        <v/>
      </c>
      <c r="DT140" s="20">
        <f>IFERROR((IF(AND($F140="Produit Vente",DR140&gt;0),VLOOKUP($C140,'[1]Paramètres Articles'!$B:$H,6,FALSE)*$DR140)*(1-15%)),0)</f>
        <v/>
      </c>
      <c r="DU140" s="20">
        <f>IFERROR(DQ140*J140,0)</f>
        <v/>
      </c>
    </row>
    <row r="141" outlineLevel="1" collapsed="1" ht="12.95" customHeight="1">
      <c r="B141" s="1">
        <f>IF(C141="",0,COUNTIFS($B$22:B140,"&gt;"&amp;0)+1)</f>
        <v/>
      </c>
      <c r="C141" s="90" t="n"/>
      <c r="D141" s="91">
        <f>IFERROR(IF($C141="","",VLOOKUP($C141,'[1]Paramètres Articles'!$B:$G,2,FALSE)),"Non Trouvé")</f>
        <v/>
      </c>
      <c r="E141" s="92">
        <f>IFERROR(IF($C141="","",_xlfn.XLOOKUP(REGENERANTS!$C141,'[1]New Base PA'!$F:$F,'[1]New Base PA'!$D:$D,"Not Found",0)),"Non Trouvé")</f>
        <v/>
      </c>
      <c r="F141" s="93" t="n"/>
      <c r="H141" s="106" t="n"/>
      <c r="J141" s="95">
        <f>IFERROR(IF($C141="","",VLOOKUP($C141,'[1]New Base PA'!$F:$J,5,FALSE)),"Non Trouvé")</f>
        <v/>
      </c>
      <c r="K141" s="136">
        <f>IFERROR(IF($C141="","",$J141*$H141),"Non Trouvé")</f>
        <v/>
      </c>
      <c r="L141" s="137" t="n"/>
      <c r="M141" s="95">
        <f>IFERROR(IF(AND($F141="Produit Vente",H141&gt;0),VLOOKUP($C141,'[1]Paramètres Articles'!$B:$G,6,FALSE),0),"Non Trouvé")</f>
        <v/>
      </c>
      <c r="N141" s="95">
        <f>IFERROR(IF($C141="","",$M141*$H141),"Non Trouvé")</f>
        <v/>
      </c>
      <c r="P141" s="97" t="n"/>
      <c r="R141" s="95">
        <f>IFERROR(IF($C141="","",$N141*(1-$P141)),"Non Trouvé")</f>
        <v/>
      </c>
      <c r="S141" s="96" t="n"/>
      <c r="T141" s="95">
        <f>IFERROR(IF($C141="","",VLOOKUP($C141,'[1]Paramètres Articles'!$B:$H,7,FALSE)),"Non Trouvé")</f>
        <v/>
      </c>
      <c r="U141" s="98" t="n"/>
      <c r="V141" s="95">
        <f>IFERROR(IF($C141="","",IF($P141="","",$T141*(1-$P141))),"Non Trouvé")</f>
        <v/>
      </c>
      <c r="W141" s="96" t="n"/>
      <c r="X141" s="95">
        <f>IFERROR(T141-V141,"")</f>
        <v/>
      </c>
      <c r="Y141" s="96" t="n"/>
      <c r="Z141" s="95">
        <f>IFERROR(IF(OR(T141=0,T141=""),0,T141*H141),"Non Trouvé")</f>
        <v/>
      </c>
      <c r="AB141" s="99">
        <f>AB139</f>
        <v/>
      </c>
      <c r="AC141" s="99">
        <f>AC139</f>
        <v/>
      </c>
      <c r="AD141" s="95">
        <f>IFERROR(IF($C141="","",IF($P$15="Cascade",$R141*(1-AC141)*AB141,IF($P$15="Additionnelle",($N141-($N141*($P141+AC141)))*AB141))),"Non Trouvé")</f>
        <v/>
      </c>
      <c r="AG141" s="99">
        <f>AG139</f>
        <v/>
      </c>
      <c r="AH141" s="99">
        <f>AH139</f>
        <v/>
      </c>
      <c r="AI141" s="95">
        <f>IFERROR(IF($C141="","",IF($P$15="Cascade",$R141*(1-AH141)*AG141,IF($P$15="Additionnelle",($N141-($N141*($P141+AH141)))*AG141))),"Non Trouvé")</f>
        <v/>
      </c>
      <c r="AL141" s="99">
        <f>AL139</f>
        <v/>
      </c>
      <c r="AM141" s="99">
        <f>AM139</f>
        <v/>
      </c>
      <c r="AN141" s="95">
        <f>IFERROR(IF($C141="","",IF($P$15="Cascade",$R141*(1-AM141)*AL141,IF($P$15="Additionnelle",($N141-($N141*($P141+AM141)))*AL141))),"Non Trouvé")</f>
        <v/>
      </c>
      <c r="AQ141" s="99">
        <f>AQ139</f>
        <v/>
      </c>
      <c r="AR141" s="99">
        <f>AR139</f>
        <v/>
      </c>
      <c r="AS141" s="95">
        <f>IFERROR(IF($C141="","",IF($P$15="Cascade",$R141*(1-AR141)*AQ141,IF($P$15="Additionnelle",($N141-($N141*($P141+AR141)))*AQ141))),"Non Trouvé")</f>
        <v/>
      </c>
      <c r="AV141" s="99">
        <f>AV139</f>
        <v/>
      </c>
      <c r="AW141" s="99">
        <f>AW139</f>
        <v/>
      </c>
      <c r="AX141" s="95">
        <f>IFERROR(IF($C141="","",IF($P$15="Cascade",$R141*(1-AW141)*AV141,IF($P$15="Additionnelle",($N141-($N141*($P141+AW141)))*AV141))),"Non Trouvé")</f>
        <v/>
      </c>
      <c r="BA141" s="99">
        <f>BA139</f>
        <v/>
      </c>
      <c r="BB141" s="99">
        <f>BB139</f>
        <v/>
      </c>
      <c r="BC141" s="95">
        <f>IFERROR(IF($C141="","",IF($P$15="Cascade",$R141*(1-BB141)*BA141,IF($P$15="Additionnelle",($N141-($N141*($P141+BB141)))*BA141))),"Non Trouvé")</f>
        <v/>
      </c>
      <c r="BF141" s="99">
        <f>BF139</f>
        <v/>
      </c>
      <c r="BG141" s="99">
        <f>BG139</f>
        <v/>
      </c>
      <c r="BH141" s="95">
        <f>IFERROR(IF($C141="","",IF($P$15="Cascade",$R141*(1-BG141)*BF141,IF($P$15="Additionnelle",($N141-($N141*($P141+BG141)))*BF141))),"Non Trouvé")</f>
        <v/>
      </c>
      <c r="BK141" s="99">
        <f>BK139</f>
        <v/>
      </c>
      <c r="BL141" s="99">
        <f>BL139</f>
        <v/>
      </c>
      <c r="BM141" s="95">
        <f>IFERROR(IF($C141="","",IF($P$15="Cascade",$R141*(1-BL141)*BK141,IF($P$15="Additionnelle",($N141-($N141*($P141+BL141)))*BK141))),"Non Trouvé")</f>
        <v/>
      </c>
      <c r="BP141" s="99">
        <f>BP139</f>
        <v/>
      </c>
      <c r="BQ141" s="99">
        <f>BQ139</f>
        <v/>
      </c>
      <c r="BR141" s="95">
        <f>IFERROR(IF($C141="","",IF($P$15="Cascade",$R141*(1-BQ141)*BP141,IF($P$15="Additionnelle",($N141-($N141*($P141+BQ141)))*BP141))),"Non Trouvé")</f>
        <v/>
      </c>
      <c r="BU141" s="99">
        <f>BU139</f>
        <v/>
      </c>
      <c r="BV141" s="99">
        <f>BV139</f>
        <v/>
      </c>
      <c r="BW141" s="95">
        <f>IFERROR(IF($C141="","",IF($P$15="Cascade",$R141*(1-BV141)*BU141,IF($P$15="Additionnelle",($N141-($N141*($P141+BV141)))*BU141))),"Non Trouvé")</f>
        <v/>
      </c>
      <c r="BZ141" s="99">
        <f>BZ139</f>
        <v/>
      </c>
      <c r="CA141" s="99">
        <f>CA139</f>
        <v/>
      </c>
      <c r="CB141" s="95">
        <f>IFERROR(IF($C141="","",IF($P$15="Cascade",$R141*(1-CA141)*BZ141,IF($P$15="Additionnelle",($N141-($N141*($P141+CA141)))*BZ141))),"Non Trouvé")</f>
        <v/>
      </c>
      <c r="CE141" s="100" t="n"/>
      <c r="CF141" s="101" t="n"/>
      <c r="CG141" s="102" t="n"/>
      <c r="CH141" s="102" t="n"/>
      <c r="CI141" s="103" t="n"/>
      <c r="CK141" s="104">
        <f>IFERROR(IF(F141='[1]Paramètres Généraux'!$K$12,ROUNDUP((REGENERANTS!H141*REGENERANTS!$CF$112)*'[1]Paramètres Généraux'!$M$12,-1),IF(F141='[1]Paramètres Généraux'!$K$15,ROUNDUP((REGENERANTS!H141*REGENERANTS!$CF$112)*'[1]Paramètres Généraux'!$M$15,-1),REGENERANTS!H141*REGENERANTS!$CF$112)),"nd")</f>
        <v/>
      </c>
      <c r="CN141" s="153" t="n"/>
      <c r="CO141" s="154" t="n"/>
      <c r="CP141" s="154" t="n"/>
      <c r="CQ141" s="154" t="n"/>
      <c r="CR141" s="154" t="n"/>
      <c r="CS141" s="180" t="n"/>
      <c r="CT141" s="181" t="n"/>
      <c r="CU141" s="154" t="n"/>
      <c r="CV141" s="180" t="n"/>
      <c r="CW141" s="157" t="n"/>
      <c r="CX141" s="156" t="n"/>
      <c r="CY141" s="157" t="n"/>
      <c r="CZ141" s="143" t="n"/>
      <c r="DA141" s="156" t="n"/>
      <c r="DB141" s="157" t="n"/>
      <c r="DC141" s="143" t="n"/>
      <c r="DD141" s="156" t="n"/>
      <c r="DE141" s="157" t="n"/>
      <c r="DF141" s="143" t="n"/>
      <c r="DG141" s="143" t="n"/>
      <c r="DH141" s="143" t="n"/>
      <c r="DI141" s="143" t="n"/>
      <c r="DJ141" s="143" t="n"/>
      <c r="DK141" s="143" t="n"/>
      <c r="DL141" s="143" t="n"/>
      <c r="DM141" s="143" t="n"/>
      <c r="DN141" s="143" t="n"/>
      <c r="DO141" s="156" t="n"/>
      <c r="DP141" s="157" t="n"/>
      <c r="DQ141" s="20">
        <f>SUM(CN141:DP141)</f>
        <v/>
      </c>
      <c r="DR141" s="20">
        <f>SUM(CV141:DP141)</f>
        <v/>
      </c>
      <c r="DS141" s="20">
        <f>IFERROR((IF(AND($F141="Produit Vente",CO141&gt;0),VLOOKUP($C141,'[1]Paramètres Articles'!$B:$H,7,FALSE)*$CO141)*(1-20%)),0)</f>
        <v/>
      </c>
      <c r="DT141" s="20">
        <f>IFERROR((IF(AND($F141="Produit Vente",DR141&gt;0),VLOOKUP($C141,'[1]Paramètres Articles'!$B:$H,6,FALSE)*$DR141)*(1-15%)),0)</f>
        <v/>
      </c>
      <c r="DU141" s="20">
        <f>IFERROR(DQ141*J141,0)</f>
        <v/>
      </c>
    </row>
    <row r="142" outlineLevel="1" collapsed="1" ht="12.95" customHeight="1">
      <c r="B142" s="1">
        <f>IF(C142="",0,COUNTIFS($B$22:B141,"&gt;"&amp;0)+1)</f>
        <v/>
      </c>
      <c r="C142" s="90" t="n"/>
      <c r="D142" s="91">
        <f>IFERROR(IF($C142="","",VLOOKUP($C142,'[1]Paramètres Articles'!$B:$G,2,FALSE)),"Non Trouvé")</f>
        <v/>
      </c>
      <c r="E142" s="92">
        <f>IFERROR(IF($C142="","",_xlfn.XLOOKUP(REGENERANTS!$C142,'[1]New Base PA'!$F:$F,'[1]New Base PA'!$D:$D,"Not Found",0)),"Non Trouvé")</f>
        <v/>
      </c>
      <c r="F142" s="93" t="n"/>
      <c r="H142" s="106" t="n"/>
      <c r="J142" s="95">
        <f>IFERROR(IF($C142="","",VLOOKUP($C142,'[1]New Base PA'!$F:$J,5,FALSE)),"Non Trouvé")</f>
        <v/>
      </c>
      <c r="K142" s="136">
        <f>IFERROR(IF($C142="","",$J142*$H142),"Non Trouvé")</f>
        <v/>
      </c>
      <c r="L142" s="137" t="n"/>
      <c r="M142" s="95">
        <f>IFERROR(IF(AND($F142="Produit Vente",H142&gt;0),VLOOKUP($C142,'[1]Paramètres Articles'!$B:$G,6,FALSE),0),"Non Trouvé")</f>
        <v/>
      </c>
      <c r="N142" s="95">
        <f>IFERROR(IF($C142="","",$M142*$H142),"Non Trouvé")</f>
        <v/>
      </c>
      <c r="P142" s="97" t="n"/>
      <c r="R142" s="95">
        <f>IFERROR(IF($C142="","",$N142*(1-$P142)),"Non Trouvé")</f>
        <v/>
      </c>
      <c r="S142" s="96" t="n"/>
      <c r="T142" s="95">
        <f>IFERROR(IF($C142="","",VLOOKUP($C142,'[1]Paramètres Articles'!$B:$H,7,FALSE)),"Non Trouvé")</f>
        <v/>
      </c>
      <c r="U142" s="98" t="n"/>
      <c r="V142" s="95">
        <f>IFERROR(IF($C142="","",IF($P142="","",$T142*(1-$P142))),"Non Trouvé")</f>
        <v/>
      </c>
      <c r="W142" s="96" t="n"/>
      <c r="X142" s="95">
        <f>IFERROR(T142-V142,"")</f>
        <v/>
      </c>
      <c r="Y142" s="96" t="n"/>
      <c r="Z142" s="95">
        <f>IFERROR(IF(OR(T142=0,T142=""),0,T142*H142),"Non Trouvé")</f>
        <v/>
      </c>
      <c r="AB142" s="99">
        <f>AB140</f>
        <v/>
      </c>
      <c r="AC142" s="99">
        <f>AC140</f>
        <v/>
      </c>
      <c r="AD142" s="95">
        <f>IFERROR(IF($C142="","",IF($P$15="Cascade",$R142*(1-AC142)*AB142,IF($P$15="Additionnelle",($N142-($N142*($P142+AC142)))*AB142))),"Non Trouvé")</f>
        <v/>
      </c>
      <c r="AG142" s="99">
        <f>AG140</f>
        <v/>
      </c>
      <c r="AH142" s="99">
        <f>AH140</f>
        <v/>
      </c>
      <c r="AI142" s="95">
        <f>IFERROR(IF($C142="","",IF($P$15="Cascade",$R142*(1-AH142)*AG142,IF($P$15="Additionnelle",($N142-($N142*($P142+AH142)))*AG142))),"Non Trouvé")</f>
        <v/>
      </c>
      <c r="AL142" s="99">
        <f>AL140</f>
        <v/>
      </c>
      <c r="AM142" s="99">
        <f>AM140</f>
        <v/>
      </c>
      <c r="AN142" s="95">
        <f>IFERROR(IF($C142="","",IF($P$15="Cascade",$R142*(1-AM142)*AL142,IF($P$15="Additionnelle",($N142-($N142*($P142+AM142)))*AL142))),"Non Trouvé")</f>
        <v/>
      </c>
      <c r="AQ142" s="99">
        <f>AQ140</f>
        <v/>
      </c>
      <c r="AR142" s="99">
        <f>AR140</f>
        <v/>
      </c>
      <c r="AS142" s="95">
        <f>IFERROR(IF($C142="","",IF($P$15="Cascade",$R142*(1-AR142)*AQ142,IF($P$15="Additionnelle",($N142-($N142*($P142+AR142)))*AQ142))),"Non Trouvé")</f>
        <v/>
      </c>
      <c r="AV142" s="99">
        <f>AV140</f>
        <v/>
      </c>
      <c r="AW142" s="99">
        <f>AW140</f>
        <v/>
      </c>
      <c r="AX142" s="95">
        <f>IFERROR(IF($C142="","",IF($P$15="Cascade",$R142*(1-AW142)*AV142,IF($P$15="Additionnelle",($N142-($N142*($P142+AW142)))*AV142))),"Non Trouvé")</f>
        <v/>
      </c>
      <c r="BA142" s="99">
        <f>BA140</f>
        <v/>
      </c>
      <c r="BB142" s="99">
        <f>BB140</f>
        <v/>
      </c>
      <c r="BC142" s="95">
        <f>IFERROR(IF($C142="","",IF($P$15="Cascade",$R142*(1-BB142)*BA142,IF($P$15="Additionnelle",($N142-($N142*($P142+BB142)))*BA142))),"Non Trouvé")</f>
        <v/>
      </c>
      <c r="BF142" s="99">
        <f>BF140</f>
        <v/>
      </c>
      <c r="BG142" s="99">
        <f>BG140</f>
        <v/>
      </c>
      <c r="BH142" s="95">
        <f>IFERROR(IF($C142="","",IF($P$15="Cascade",$R142*(1-BG142)*BF142,IF($P$15="Additionnelle",($N142-($N142*($P142+BG142)))*BF142))),"Non Trouvé")</f>
        <v/>
      </c>
      <c r="BK142" s="99">
        <f>BK140</f>
        <v/>
      </c>
      <c r="BL142" s="99">
        <f>BL140</f>
        <v/>
      </c>
      <c r="BM142" s="95">
        <f>IFERROR(IF($C142="","",IF($P$15="Cascade",$R142*(1-BL142)*BK142,IF($P$15="Additionnelle",($N142-($N142*($P142+BL142)))*BK142))),"Non Trouvé")</f>
        <v/>
      </c>
      <c r="BP142" s="99">
        <f>BP140</f>
        <v/>
      </c>
      <c r="BQ142" s="99">
        <f>BQ140</f>
        <v/>
      </c>
      <c r="BR142" s="95">
        <f>IFERROR(IF($C142="","",IF($P$15="Cascade",$R142*(1-BQ142)*BP142,IF($P$15="Additionnelle",($N142-($N142*($P142+BQ142)))*BP142))),"Non Trouvé")</f>
        <v/>
      </c>
      <c r="BU142" s="99">
        <f>BU140</f>
        <v/>
      </c>
      <c r="BV142" s="99">
        <f>BV140</f>
        <v/>
      </c>
      <c r="BW142" s="95">
        <f>IFERROR(IF($C142="","",IF($P$15="Cascade",$R142*(1-BV142)*BU142,IF($P$15="Additionnelle",($N142-($N142*($P142+BV142)))*BU142))),"Non Trouvé")</f>
        <v/>
      </c>
      <c r="BZ142" s="99">
        <f>BZ140</f>
        <v/>
      </c>
      <c r="CA142" s="99">
        <f>CA140</f>
        <v/>
      </c>
      <c r="CB142" s="95">
        <f>IFERROR(IF($C142="","",IF($P$15="Cascade",$R142*(1-CA142)*BZ142,IF($P$15="Additionnelle",($N142-($N142*($P142+CA142)))*BZ142))),"Non Trouvé")</f>
        <v/>
      </c>
      <c r="CE142" s="100" t="n"/>
      <c r="CF142" s="101" t="n"/>
      <c r="CG142" s="102" t="n"/>
      <c r="CH142" s="102" t="n"/>
      <c r="CI142" s="103" t="n"/>
      <c r="CK142" s="104">
        <f>IFERROR(IF(F142='[1]Paramètres Généraux'!$K$12,ROUNDUP((REGENERANTS!H142*REGENERANTS!$CF$112)*'[1]Paramètres Généraux'!$M$12,-1),IF(F142='[1]Paramètres Généraux'!$K$15,ROUNDUP((REGENERANTS!H142*REGENERANTS!$CF$112)*'[1]Paramètres Généraux'!$M$15,-1),REGENERANTS!H142*REGENERANTS!$CF$112)),"nd")</f>
        <v/>
      </c>
      <c r="CN142" s="153" t="n"/>
      <c r="CO142" s="154" t="n"/>
      <c r="CP142" s="154" t="n"/>
      <c r="CQ142" s="154" t="n"/>
      <c r="CR142" s="154" t="n"/>
      <c r="CS142" s="180" t="n"/>
      <c r="CT142" s="181" t="n"/>
      <c r="CU142" s="154" t="n"/>
      <c r="CV142" s="180" t="n"/>
      <c r="CW142" s="157" t="n"/>
      <c r="CX142" s="156" t="n"/>
      <c r="CY142" s="157" t="n"/>
      <c r="CZ142" s="143" t="n"/>
      <c r="DA142" s="156" t="n"/>
      <c r="DB142" s="157" t="n"/>
      <c r="DC142" s="143" t="n"/>
      <c r="DD142" s="156" t="n"/>
      <c r="DE142" s="157" t="n"/>
      <c r="DF142" s="143" t="n"/>
      <c r="DG142" s="143" t="n"/>
      <c r="DH142" s="143" t="n"/>
      <c r="DI142" s="143" t="n"/>
      <c r="DJ142" s="143" t="n"/>
      <c r="DK142" s="143" t="n"/>
      <c r="DL142" s="143" t="n"/>
      <c r="DM142" s="143" t="n"/>
      <c r="DN142" s="143" t="n"/>
      <c r="DO142" s="156" t="n"/>
      <c r="DP142" s="157" t="n"/>
      <c r="DQ142" s="20">
        <f>SUM(CN142:DP142)</f>
        <v/>
      </c>
      <c r="DR142" s="20">
        <f>SUM(CV142:DP142)</f>
        <v/>
      </c>
      <c r="DS142" s="20">
        <f>IFERROR((IF(AND($F142="Produit Vente",CO142&gt;0),VLOOKUP($C142,'[1]Paramètres Articles'!$B:$H,7,FALSE)*$CO142)*(1-20%)),0)</f>
        <v/>
      </c>
      <c r="DT142" s="20">
        <f>IFERROR((IF(AND($F142="Produit Vente",DR142&gt;0),VLOOKUP($C142,'[1]Paramètres Articles'!$B:$H,6,FALSE)*$DR142)*(1-15%)),0)</f>
        <v/>
      </c>
      <c r="DU142" s="20">
        <f>IFERROR(DQ142*J142,0)</f>
        <v/>
      </c>
    </row>
    <row r="143" outlineLevel="1" collapsed="1" ht="12.95" customHeight="1">
      <c r="B143" s="1">
        <f>IF(C143="",0,COUNTIFS($B$22:B142,"&gt;"&amp;0)+1)</f>
        <v/>
      </c>
      <c r="C143" s="90" t="n"/>
      <c r="D143" s="91">
        <f>IFERROR(IF($C143="","",VLOOKUP($C143,'[1]Paramètres Articles'!$B:$G,2,FALSE)),"Non Trouvé")</f>
        <v/>
      </c>
      <c r="E143" s="92">
        <f>IFERROR(IF($C143="","",_xlfn.XLOOKUP(REGENERANTS!$C143,'[1]New Base PA'!$F:$F,'[1]New Base PA'!$D:$D,"Not Found",0)),"Non Trouvé")</f>
        <v/>
      </c>
      <c r="F143" s="93" t="n"/>
      <c r="H143" s="106" t="n"/>
      <c r="J143" s="95">
        <f>IFERROR(IF($C143="","",VLOOKUP($C143,'[1]New Base PA'!$F:$J,5,FALSE)),"Non Trouvé")</f>
        <v/>
      </c>
      <c r="K143" s="136">
        <f>IFERROR(IF($C143="","",$J143*$H143),"Non Trouvé")</f>
        <v/>
      </c>
      <c r="L143" s="137" t="n"/>
      <c r="M143" s="95">
        <f>IFERROR(IF(AND($F143="Produit Vente",H143&gt;0),VLOOKUP($C143,'[1]Paramètres Articles'!$B:$G,6,FALSE),0),"Non Trouvé")</f>
        <v/>
      </c>
      <c r="N143" s="95">
        <f>IFERROR(IF($C143="","",$M143*$H143),"Non Trouvé")</f>
        <v/>
      </c>
      <c r="P143" s="97" t="n"/>
      <c r="R143" s="95">
        <f>IFERROR(IF($C143="","",$N143*(1-$P143)),"Non Trouvé")</f>
        <v/>
      </c>
      <c r="S143" s="96" t="n"/>
      <c r="T143" s="95">
        <f>IFERROR(IF($C143="","",VLOOKUP($C143,'[1]Paramètres Articles'!$B:$H,7,FALSE)),"Non Trouvé")</f>
        <v/>
      </c>
      <c r="U143" s="98" t="n"/>
      <c r="V143" s="95">
        <f>IFERROR(IF($C143="","",IF($P143="","",$T143*(1-$P143))),"Non Trouvé")</f>
        <v/>
      </c>
      <c r="W143" s="96" t="n"/>
      <c r="X143" s="95">
        <f>IFERROR(T143-V143,"")</f>
        <v/>
      </c>
      <c r="Y143" s="96" t="n"/>
      <c r="Z143" s="95">
        <f>IFERROR(IF(OR(T143=0,T143=""),0,T143*H143),"Non Trouvé")</f>
        <v/>
      </c>
      <c r="AB143" s="99">
        <f>AB141</f>
        <v/>
      </c>
      <c r="AC143" s="99">
        <f>AC141</f>
        <v/>
      </c>
      <c r="AD143" s="95">
        <f>IFERROR(IF($C143="","",IF($P$15="Cascade",$R143*(1-AC143)*AB143,IF($P$15="Additionnelle",($N143-($N143*($P143+AC143)))*AB143))),"Non Trouvé")</f>
        <v/>
      </c>
      <c r="AG143" s="99">
        <f>AG141</f>
        <v/>
      </c>
      <c r="AH143" s="99">
        <f>AH141</f>
        <v/>
      </c>
      <c r="AI143" s="95">
        <f>IFERROR(IF($C143="","",IF($P$15="Cascade",$R143*(1-AH143)*AG143,IF($P$15="Additionnelle",($N143-($N143*($P143+AH143)))*AG143))),"Non Trouvé")</f>
        <v/>
      </c>
      <c r="AL143" s="99">
        <f>AL141</f>
        <v/>
      </c>
      <c r="AM143" s="99">
        <f>AM141</f>
        <v/>
      </c>
      <c r="AN143" s="95">
        <f>IFERROR(IF($C143="","",IF($P$15="Cascade",$R143*(1-AM143)*AL143,IF($P$15="Additionnelle",($N143-($N143*($P143+AM143)))*AL143))),"Non Trouvé")</f>
        <v/>
      </c>
      <c r="AQ143" s="99">
        <f>AQ141</f>
        <v/>
      </c>
      <c r="AR143" s="99">
        <f>AR141</f>
        <v/>
      </c>
      <c r="AS143" s="95">
        <f>IFERROR(IF($C143="","",IF($P$15="Cascade",$R143*(1-AR143)*AQ143,IF($P$15="Additionnelle",($N143-($N143*($P143+AR143)))*AQ143))),"Non Trouvé")</f>
        <v/>
      </c>
      <c r="AV143" s="99">
        <f>AV141</f>
        <v/>
      </c>
      <c r="AW143" s="99">
        <f>AW141</f>
        <v/>
      </c>
      <c r="AX143" s="95">
        <f>IFERROR(IF($C143="","",IF($P$15="Cascade",$R143*(1-AW143)*AV143,IF($P$15="Additionnelle",($N143-($N143*($P143+AW143)))*AV143))),"Non Trouvé")</f>
        <v/>
      </c>
      <c r="BA143" s="99">
        <f>BA141</f>
        <v/>
      </c>
      <c r="BB143" s="99">
        <f>BB141</f>
        <v/>
      </c>
      <c r="BC143" s="95">
        <f>IFERROR(IF($C143="","",IF($P$15="Cascade",$R143*(1-BB143)*BA143,IF($P$15="Additionnelle",($N143-($N143*($P143+BB143)))*BA143))),"Non Trouvé")</f>
        <v/>
      </c>
      <c r="BF143" s="99">
        <f>BF141</f>
        <v/>
      </c>
      <c r="BG143" s="99">
        <f>BG141</f>
        <v/>
      </c>
      <c r="BH143" s="95">
        <f>IFERROR(IF($C143="","",IF($P$15="Cascade",$R143*(1-BG143)*BF143,IF($P$15="Additionnelle",($N143-($N143*($P143+BG143)))*BF143))),"Non Trouvé")</f>
        <v/>
      </c>
      <c r="BK143" s="99">
        <f>BK141</f>
        <v/>
      </c>
      <c r="BL143" s="99">
        <f>BL141</f>
        <v/>
      </c>
      <c r="BM143" s="95">
        <f>IFERROR(IF($C143="","",IF($P$15="Cascade",$R143*(1-BL143)*BK143,IF($P$15="Additionnelle",($N143-($N143*($P143+BL143)))*BK143))),"Non Trouvé")</f>
        <v/>
      </c>
      <c r="BP143" s="99">
        <f>BP141</f>
        <v/>
      </c>
      <c r="BQ143" s="99">
        <f>BQ141</f>
        <v/>
      </c>
      <c r="BR143" s="95">
        <f>IFERROR(IF($C143="","",IF($P$15="Cascade",$R143*(1-BQ143)*BP143,IF($P$15="Additionnelle",($N143-($N143*($P143+BQ143)))*BP143))),"Non Trouvé")</f>
        <v/>
      </c>
      <c r="BU143" s="99">
        <f>BU141</f>
        <v/>
      </c>
      <c r="BV143" s="99">
        <f>BV141</f>
        <v/>
      </c>
      <c r="BW143" s="95">
        <f>IFERROR(IF($C143="","",IF($P$15="Cascade",$R143*(1-BV143)*BU143,IF($P$15="Additionnelle",($N143-($N143*($P143+BV143)))*BU143))),"Non Trouvé")</f>
        <v/>
      </c>
      <c r="BZ143" s="99">
        <f>BZ141</f>
        <v/>
      </c>
      <c r="CA143" s="99">
        <f>CA141</f>
        <v/>
      </c>
      <c r="CB143" s="95">
        <f>IFERROR(IF($C143="","",IF($P$15="Cascade",$R143*(1-CA143)*BZ143,IF($P$15="Additionnelle",($N143-($N143*($P143+CA143)))*BZ143))),"Non Trouvé")</f>
        <v/>
      </c>
      <c r="CE143" s="100" t="n"/>
      <c r="CF143" s="101" t="n"/>
      <c r="CG143" s="102" t="n"/>
      <c r="CH143" s="102" t="n"/>
      <c r="CI143" s="103" t="n"/>
      <c r="CK143" s="104">
        <f>IFERROR(IF(F143='[1]Paramètres Généraux'!$K$12,ROUNDUP((REGENERANTS!H143*REGENERANTS!$CF$112)*'[1]Paramètres Généraux'!$M$12,-1),IF(F143='[1]Paramètres Généraux'!$K$15,ROUNDUP((REGENERANTS!H143*REGENERANTS!$CF$112)*'[1]Paramètres Généraux'!$M$15,-1),REGENERANTS!H143*REGENERANTS!$CF$112)),"nd")</f>
        <v/>
      </c>
      <c r="CN143" s="153" t="n"/>
      <c r="CO143" s="154" t="n"/>
      <c r="CP143" s="154" t="n"/>
      <c r="CQ143" s="154" t="n"/>
      <c r="CR143" s="154" t="n"/>
      <c r="CS143" s="180" t="n"/>
      <c r="CT143" s="181" t="n"/>
      <c r="CU143" s="154" t="n"/>
      <c r="CV143" s="180" t="n"/>
      <c r="CW143" s="157" t="n"/>
      <c r="CX143" s="156" t="n"/>
      <c r="CY143" s="157" t="n"/>
      <c r="CZ143" s="143" t="n"/>
      <c r="DA143" s="156" t="n"/>
      <c r="DB143" s="157" t="n"/>
      <c r="DC143" s="143" t="n"/>
      <c r="DD143" s="156" t="n"/>
      <c r="DE143" s="157" t="n"/>
      <c r="DF143" s="143" t="n"/>
      <c r="DG143" s="143" t="n"/>
      <c r="DH143" s="143" t="n"/>
      <c r="DI143" s="143" t="n"/>
      <c r="DJ143" s="143" t="n"/>
      <c r="DK143" s="143" t="n"/>
      <c r="DL143" s="143" t="n"/>
      <c r="DM143" s="143" t="n"/>
      <c r="DN143" s="143" t="n"/>
      <c r="DO143" s="156" t="n"/>
      <c r="DP143" s="157" t="n"/>
      <c r="DQ143" s="20">
        <f>SUM(CN143:DP143)</f>
        <v/>
      </c>
      <c r="DR143" s="20">
        <f>SUM(CV143:DP143)</f>
        <v/>
      </c>
      <c r="DS143" s="20">
        <f>IFERROR((IF(AND($F143="Produit Vente",CO143&gt;0),VLOOKUP($C143,'[1]Paramètres Articles'!$B:$H,7,FALSE)*$CO143)*(1-20%)),0)</f>
        <v/>
      </c>
      <c r="DT143" s="20">
        <f>IFERROR((IF(AND($F143="Produit Vente",DR143&gt;0),VLOOKUP($C143,'[1]Paramètres Articles'!$B:$H,6,FALSE)*$DR143)*(1-15%)),0)</f>
        <v/>
      </c>
      <c r="DU143" s="20">
        <f>IFERROR(DQ143*J143,0)</f>
        <v/>
      </c>
    </row>
    <row r="144" outlineLevel="1" collapsed="1" ht="12.95" customHeight="1">
      <c r="B144" s="1">
        <f>IF(C144="",0,COUNTIFS($B$22:B143,"&gt;"&amp;0)+1)</f>
        <v/>
      </c>
      <c r="C144" s="90" t="n"/>
      <c r="D144" s="91">
        <f>IFERROR(IF($C144="","",VLOOKUP($C144,'[1]Paramètres Articles'!$B:$G,2,FALSE)),"Non Trouvé")</f>
        <v/>
      </c>
      <c r="E144" s="92">
        <f>IFERROR(IF($C144="","",_xlfn.XLOOKUP(REGENERANTS!$C144,'[1]New Base PA'!$F:$F,'[1]New Base PA'!$D:$D,"Not Found",0)),"Non Trouvé")</f>
        <v/>
      </c>
      <c r="F144" s="93" t="n"/>
      <c r="H144" s="106" t="n"/>
      <c r="J144" s="95">
        <f>IFERROR(IF($C144="","",VLOOKUP($C144,'[1]New Base PA'!$F:$J,5,FALSE)),"Non Trouvé")</f>
        <v/>
      </c>
      <c r="K144" s="136">
        <f>IFERROR(IF($C144="","",$J144*$H144),"Non Trouvé")</f>
        <v/>
      </c>
      <c r="L144" s="137" t="n"/>
      <c r="M144" s="95">
        <f>IFERROR(IF(AND($F144="Produit Vente",H144&gt;0),VLOOKUP($C144,'[1]Paramètres Articles'!$B:$G,6,FALSE),0),"Non Trouvé")</f>
        <v/>
      </c>
      <c r="N144" s="95">
        <f>IFERROR(IF($C144="","",$M144*$H144),"Non Trouvé")</f>
        <v/>
      </c>
      <c r="P144" s="97" t="n"/>
      <c r="R144" s="95">
        <f>IFERROR(IF($C144="","",$N144*(1-$P144)),"Non Trouvé")</f>
        <v/>
      </c>
      <c r="S144" s="96" t="n"/>
      <c r="T144" s="95">
        <f>IFERROR(IF($C144="","",VLOOKUP($C144,'[1]Paramètres Articles'!$B:$H,7,FALSE)),"Non Trouvé")</f>
        <v/>
      </c>
      <c r="U144" s="98" t="n"/>
      <c r="V144" s="95">
        <f>IFERROR(IF($C144="","",IF($P144="","",$T144*(1-$P144))),"Non Trouvé")</f>
        <v/>
      </c>
      <c r="W144" s="96" t="n"/>
      <c r="X144" s="95">
        <f>IFERROR(T144-V144,"")</f>
        <v/>
      </c>
      <c r="Y144" s="96" t="n"/>
      <c r="Z144" s="95">
        <f>IFERROR(IF(OR(T144=0,T144=""),0,T144*H144),"Non Trouvé")</f>
        <v/>
      </c>
      <c r="AB144" s="99">
        <f>AB142</f>
        <v/>
      </c>
      <c r="AC144" s="99">
        <f>AC142</f>
        <v/>
      </c>
      <c r="AD144" s="95">
        <f>IFERROR(IF($C144="","",IF($P$15="Cascade",$R144*(1-AC144)*AB144,IF($P$15="Additionnelle",($N144-($N144*($P144+AC144)))*AB144))),"Non Trouvé")</f>
        <v/>
      </c>
      <c r="AG144" s="99">
        <f>AG142</f>
        <v/>
      </c>
      <c r="AH144" s="99">
        <f>AH142</f>
        <v/>
      </c>
      <c r="AI144" s="95">
        <f>IFERROR(IF($C144="","",IF($P$15="Cascade",$R144*(1-AH144)*AG144,IF($P$15="Additionnelle",($N144-($N144*($P144+AH144)))*AG144))),"Non Trouvé")</f>
        <v/>
      </c>
      <c r="AL144" s="99">
        <f>AL142</f>
        <v/>
      </c>
      <c r="AM144" s="99">
        <f>AM142</f>
        <v/>
      </c>
      <c r="AN144" s="95">
        <f>IFERROR(IF($C144="","",IF($P$15="Cascade",$R144*(1-AM144)*AL144,IF($P$15="Additionnelle",($N144-($N144*($P144+AM144)))*AL144))),"Non Trouvé")</f>
        <v/>
      </c>
      <c r="AQ144" s="99">
        <f>AQ142</f>
        <v/>
      </c>
      <c r="AR144" s="99">
        <f>AR142</f>
        <v/>
      </c>
      <c r="AS144" s="95">
        <f>IFERROR(IF($C144="","",IF($P$15="Cascade",$R144*(1-AR144)*AQ144,IF($P$15="Additionnelle",($N144-($N144*($P144+AR144)))*AQ144))),"Non Trouvé")</f>
        <v/>
      </c>
      <c r="AV144" s="99">
        <f>AV142</f>
        <v/>
      </c>
      <c r="AW144" s="99">
        <f>AW142</f>
        <v/>
      </c>
      <c r="AX144" s="95">
        <f>IFERROR(IF($C144="","",IF($P$15="Cascade",$R144*(1-AW144)*AV144,IF($P$15="Additionnelle",($N144-($N144*($P144+AW144)))*AV144))),"Non Trouvé")</f>
        <v/>
      </c>
      <c r="BA144" s="99">
        <f>BA142</f>
        <v/>
      </c>
      <c r="BB144" s="99">
        <f>BB142</f>
        <v/>
      </c>
      <c r="BC144" s="95">
        <f>IFERROR(IF($C144="","",IF($P$15="Cascade",$R144*(1-BB144)*BA144,IF($P$15="Additionnelle",($N144-($N144*($P144+BB144)))*BA144))),"Non Trouvé")</f>
        <v/>
      </c>
      <c r="BF144" s="99">
        <f>BF142</f>
        <v/>
      </c>
      <c r="BG144" s="99">
        <f>BG142</f>
        <v/>
      </c>
      <c r="BH144" s="95">
        <f>IFERROR(IF($C144="","",IF($P$15="Cascade",$R144*(1-BG144)*BF144,IF($P$15="Additionnelle",($N144-($N144*($P144+BG144)))*BF144))),"Non Trouvé")</f>
        <v/>
      </c>
      <c r="BK144" s="99">
        <f>BK142</f>
        <v/>
      </c>
      <c r="BL144" s="99">
        <f>BL142</f>
        <v/>
      </c>
      <c r="BM144" s="95">
        <f>IFERROR(IF($C144="","",IF($P$15="Cascade",$R144*(1-BL144)*BK144,IF($P$15="Additionnelle",($N144-($N144*($P144+BL144)))*BK144))),"Non Trouvé")</f>
        <v/>
      </c>
      <c r="BP144" s="99">
        <f>BP142</f>
        <v/>
      </c>
      <c r="BQ144" s="99">
        <f>BQ142</f>
        <v/>
      </c>
      <c r="BR144" s="95">
        <f>IFERROR(IF($C144="","",IF($P$15="Cascade",$R144*(1-BQ144)*BP144,IF($P$15="Additionnelle",($N144-($N144*($P144+BQ144)))*BP144))),"Non Trouvé")</f>
        <v/>
      </c>
      <c r="BU144" s="99">
        <f>BU142</f>
        <v/>
      </c>
      <c r="BV144" s="99">
        <f>BV142</f>
        <v/>
      </c>
      <c r="BW144" s="95">
        <f>IFERROR(IF($C144="","",IF($P$15="Cascade",$R144*(1-BV144)*BU144,IF($P$15="Additionnelle",($N144-($N144*($P144+BV144)))*BU144))),"Non Trouvé")</f>
        <v/>
      </c>
      <c r="BZ144" s="99">
        <f>BZ142</f>
        <v/>
      </c>
      <c r="CA144" s="99">
        <f>CA142</f>
        <v/>
      </c>
      <c r="CB144" s="95">
        <f>IFERROR(IF($C144="","",IF($P$15="Cascade",$R144*(1-CA144)*BZ144,IF($P$15="Additionnelle",($N144-($N144*($P144+CA144)))*BZ144))),"Non Trouvé")</f>
        <v/>
      </c>
      <c r="CE144" s="100" t="n"/>
      <c r="CF144" s="101" t="n"/>
      <c r="CG144" s="102" t="n"/>
      <c r="CH144" s="102" t="n"/>
      <c r="CI144" s="103" t="n"/>
      <c r="CK144" s="104">
        <f>IFERROR(IF(F144='[1]Paramètres Généraux'!$K$12,ROUNDUP((REGENERANTS!H144*REGENERANTS!$CF$112)*'[1]Paramètres Généraux'!$M$12,-1),IF(F144='[1]Paramètres Généraux'!$K$15,ROUNDUP((REGENERANTS!H144*REGENERANTS!$CF$112)*'[1]Paramètres Généraux'!$M$15,-1),REGENERANTS!H144*REGENERANTS!$CF$112)),"nd")</f>
        <v/>
      </c>
      <c r="CN144" s="153" t="n"/>
      <c r="CO144" s="154" t="n"/>
      <c r="CP144" s="154" t="n"/>
      <c r="CQ144" s="154" t="n"/>
      <c r="CR144" s="154" t="n"/>
      <c r="CS144" s="180" t="n"/>
      <c r="CT144" s="181" t="n"/>
      <c r="CU144" s="154" t="n"/>
      <c r="CV144" s="180" t="n"/>
      <c r="CW144" s="157" t="n"/>
      <c r="CX144" s="156" t="n"/>
      <c r="CY144" s="157" t="n"/>
      <c r="CZ144" s="143" t="n"/>
      <c r="DA144" s="156" t="n"/>
      <c r="DB144" s="157" t="n"/>
      <c r="DC144" s="143" t="n"/>
      <c r="DD144" s="156" t="n"/>
      <c r="DE144" s="157" t="n"/>
      <c r="DF144" s="143" t="n"/>
      <c r="DG144" s="143" t="n"/>
      <c r="DH144" s="143" t="n"/>
      <c r="DI144" s="143" t="n"/>
      <c r="DJ144" s="143" t="n"/>
      <c r="DK144" s="143" t="n"/>
      <c r="DL144" s="143" t="n"/>
      <c r="DM144" s="143" t="n"/>
      <c r="DN144" s="143" t="n"/>
      <c r="DO144" s="156" t="n"/>
      <c r="DP144" s="157" t="n"/>
      <c r="DQ144" s="20">
        <f>SUM(CN144:DP144)</f>
        <v/>
      </c>
      <c r="DR144" s="20">
        <f>SUM(CV144:DP144)</f>
        <v/>
      </c>
      <c r="DS144" s="20">
        <f>IFERROR((IF(AND($F144="Produit Vente",CO144&gt;0),VLOOKUP($C144,'[1]Paramètres Articles'!$B:$H,7,FALSE)*$CO144)*(1-20%)),0)</f>
        <v/>
      </c>
      <c r="DT144" s="20">
        <f>IFERROR((IF(AND($F144="Produit Vente",DR144&gt;0),VLOOKUP($C144,'[1]Paramètres Articles'!$B:$H,6,FALSE)*$DR144)*(1-15%)),0)</f>
        <v/>
      </c>
      <c r="DU144" s="20">
        <f>IFERROR(DQ144*J144,0)</f>
        <v/>
      </c>
    </row>
    <row r="145" outlineLevel="1" collapsed="1" ht="12.95" customHeight="1">
      <c r="B145" s="1">
        <f>IF(C145="",0,COUNTIFS($B$22:B144,"&gt;"&amp;0)+1)</f>
        <v/>
      </c>
      <c r="C145" s="90" t="n"/>
      <c r="D145" s="91">
        <f>IFERROR(IF($C145="","",VLOOKUP($C145,'[1]Paramètres Articles'!$B:$G,2,FALSE)),"Non Trouvé")</f>
        <v/>
      </c>
      <c r="E145" s="92">
        <f>IFERROR(IF($C145="","",_xlfn.XLOOKUP(REGENERANTS!$C145,'[1]New Base PA'!$F:$F,'[1]New Base PA'!$D:$D,"Not Found",0)),"Non Trouvé")</f>
        <v/>
      </c>
      <c r="F145" s="93" t="n"/>
      <c r="H145" s="106" t="n"/>
      <c r="J145" s="95">
        <f>IFERROR(IF($C145="","",VLOOKUP($C145,'[1]New Base PA'!$F:$J,5,FALSE)),"Non Trouvé")</f>
        <v/>
      </c>
      <c r="K145" s="136">
        <f>IFERROR(IF($C145="","",$J145*$H145),"Non Trouvé")</f>
        <v/>
      </c>
      <c r="L145" s="137" t="n"/>
      <c r="M145" s="95">
        <f>IFERROR(IF(AND($F145="Produit Vente",H145&gt;0),VLOOKUP($C145,'[1]Paramètres Articles'!$B:$G,6,FALSE),0),"Non Trouvé")</f>
        <v/>
      </c>
      <c r="N145" s="95">
        <f>IFERROR(IF($C145="","",$M145*$H145),"Non Trouvé")</f>
        <v/>
      </c>
      <c r="P145" s="97" t="n"/>
      <c r="R145" s="95">
        <f>IFERROR(IF($C145="","",$N145*(1-$P145)),"Non Trouvé")</f>
        <v/>
      </c>
      <c r="S145" s="96" t="n"/>
      <c r="T145" s="95">
        <f>IFERROR(IF($C145="","",VLOOKUP($C145,'[1]Paramètres Articles'!$B:$H,7,FALSE)),"Non Trouvé")</f>
        <v/>
      </c>
      <c r="U145" s="98" t="n"/>
      <c r="V145" s="95">
        <f>IFERROR(IF($C145="","",IF($P145="","",$T145*(1-$P145))),"Non Trouvé")</f>
        <v/>
      </c>
      <c r="W145" s="96" t="n"/>
      <c r="X145" s="95">
        <f>IFERROR(T145-V145,"")</f>
        <v/>
      </c>
      <c r="Y145" s="96" t="n"/>
      <c r="Z145" s="95">
        <f>IFERROR(IF(OR(T145=0,T145=""),0,T145*H145),"Non Trouvé")</f>
        <v/>
      </c>
      <c r="AB145" s="99">
        <f>AB143</f>
        <v/>
      </c>
      <c r="AC145" s="99">
        <f>AC143</f>
        <v/>
      </c>
      <c r="AD145" s="95">
        <f>IFERROR(IF($C145="","",IF($P$15="Cascade",$R145*(1-AC145)*AB145,IF($P$15="Additionnelle",($N145-($N145*($P145+AC145)))*AB145))),"Non Trouvé")</f>
        <v/>
      </c>
      <c r="AG145" s="99">
        <f>AG143</f>
        <v/>
      </c>
      <c r="AH145" s="99">
        <f>AH143</f>
        <v/>
      </c>
      <c r="AI145" s="95">
        <f>IFERROR(IF($C145="","",IF($P$15="Cascade",$R145*(1-AH145)*AG145,IF($P$15="Additionnelle",($N145-($N145*($P145+AH145)))*AG145))),"Non Trouvé")</f>
        <v/>
      </c>
      <c r="AL145" s="99">
        <f>AL143</f>
        <v/>
      </c>
      <c r="AM145" s="99">
        <f>AM143</f>
        <v/>
      </c>
      <c r="AN145" s="95">
        <f>IFERROR(IF($C145="","",IF($P$15="Cascade",$R145*(1-AM145)*AL145,IF($P$15="Additionnelle",($N145-($N145*($P145+AM145)))*AL145))),"Non Trouvé")</f>
        <v/>
      </c>
      <c r="AQ145" s="99">
        <f>AQ143</f>
        <v/>
      </c>
      <c r="AR145" s="99">
        <f>AR143</f>
        <v/>
      </c>
      <c r="AS145" s="95">
        <f>IFERROR(IF($C145="","",IF($P$15="Cascade",$R145*(1-AR145)*AQ145,IF($P$15="Additionnelle",($N145-($N145*($P145+AR145)))*AQ145))),"Non Trouvé")</f>
        <v/>
      </c>
      <c r="AV145" s="99">
        <f>AV143</f>
        <v/>
      </c>
      <c r="AW145" s="99">
        <f>AW143</f>
        <v/>
      </c>
      <c r="AX145" s="95">
        <f>IFERROR(IF($C145="","",IF($P$15="Cascade",$R145*(1-AW145)*AV145,IF($P$15="Additionnelle",($N145-($N145*($P145+AW145)))*AV145))),"Non Trouvé")</f>
        <v/>
      </c>
      <c r="BA145" s="99">
        <f>BA143</f>
        <v/>
      </c>
      <c r="BB145" s="99">
        <f>BB143</f>
        <v/>
      </c>
      <c r="BC145" s="95">
        <f>IFERROR(IF($C145="","",IF($P$15="Cascade",$R145*(1-BB145)*BA145,IF($P$15="Additionnelle",($N145-($N145*($P145+BB145)))*BA145))),"Non Trouvé")</f>
        <v/>
      </c>
      <c r="BF145" s="99">
        <f>BF143</f>
        <v/>
      </c>
      <c r="BG145" s="99">
        <f>BG143</f>
        <v/>
      </c>
      <c r="BH145" s="95">
        <f>IFERROR(IF($C145="","",IF($P$15="Cascade",$R145*(1-BG145)*BF145,IF($P$15="Additionnelle",($N145-($N145*($P145+BG145)))*BF145))),"Non Trouvé")</f>
        <v/>
      </c>
      <c r="BK145" s="99">
        <f>BK143</f>
        <v/>
      </c>
      <c r="BL145" s="99">
        <f>BL143</f>
        <v/>
      </c>
      <c r="BM145" s="95">
        <f>IFERROR(IF($C145="","",IF($P$15="Cascade",$R145*(1-BL145)*BK145,IF($P$15="Additionnelle",($N145-($N145*($P145+BL145)))*BK145))),"Non Trouvé")</f>
        <v/>
      </c>
      <c r="BP145" s="99">
        <f>BP143</f>
        <v/>
      </c>
      <c r="BQ145" s="99">
        <f>BQ143</f>
        <v/>
      </c>
      <c r="BR145" s="95">
        <f>IFERROR(IF($C145="","",IF($P$15="Cascade",$R145*(1-BQ145)*BP145,IF($P$15="Additionnelle",($N145-($N145*($P145+BQ145)))*BP145))),"Non Trouvé")</f>
        <v/>
      </c>
      <c r="BU145" s="99">
        <f>BU143</f>
        <v/>
      </c>
      <c r="BV145" s="99">
        <f>BV143</f>
        <v/>
      </c>
      <c r="BW145" s="95">
        <f>IFERROR(IF($C145="","",IF($P$15="Cascade",$R145*(1-BV145)*BU145,IF($P$15="Additionnelle",($N145-($N145*($P145+BV145)))*BU145))),"Non Trouvé")</f>
        <v/>
      </c>
      <c r="BZ145" s="99">
        <f>BZ143</f>
        <v/>
      </c>
      <c r="CA145" s="99">
        <f>CA143</f>
        <v/>
      </c>
      <c r="CB145" s="95">
        <f>IFERROR(IF($C145="","",IF($P$15="Cascade",$R145*(1-CA145)*BZ145,IF($P$15="Additionnelle",($N145-($N145*($P145+CA145)))*BZ145))),"Non Trouvé")</f>
        <v/>
      </c>
      <c r="CE145" s="100" t="n"/>
      <c r="CF145" s="101" t="n"/>
      <c r="CG145" s="102" t="n"/>
      <c r="CH145" s="102" t="n"/>
      <c r="CI145" s="103" t="n"/>
      <c r="CK145" s="104">
        <f>IFERROR(IF(F145='[1]Paramètres Généraux'!$K$12,ROUNDUP((REGENERANTS!H145*REGENERANTS!$CF$112)*'[1]Paramètres Généraux'!$M$12,-1),IF(F145='[1]Paramètres Généraux'!$K$15,ROUNDUP((REGENERANTS!H145*REGENERANTS!$CF$112)*'[1]Paramètres Généraux'!$M$15,-1),REGENERANTS!H145*REGENERANTS!$CF$112)),"nd")</f>
        <v/>
      </c>
      <c r="CN145" s="153" t="n"/>
      <c r="CO145" s="154" t="n"/>
      <c r="CP145" s="154" t="n"/>
      <c r="CQ145" s="154" t="n"/>
      <c r="CR145" s="154" t="n"/>
      <c r="CS145" s="180" t="n"/>
      <c r="CT145" s="181" t="n"/>
      <c r="CU145" s="154" t="n"/>
      <c r="CV145" s="180" t="n"/>
      <c r="CW145" s="157" t="n"/>
      <c r="CX145" s="156" t="n"/>
      <c r="CY145" s="157" t="n"/>
      <c r="CZ145" s="143" t="n"/>
      <c r="DA145" s="156" t="n"/>
      <c r="DB145" s="157" t="n"/>
      <c r="DC145" s="143" t="n"/>
      <c r="DD145" s="156" t="n"/>
      <c r="DE145" s="157" t="n"/>
      <c r="DF145" s="143" t="n"/>
      <c r="DG145" s="143" t="n"/>
      <c r="DH145" s="143" t="n"/>
      <c r="DI145" s="143" t="n"/>
      <c r="DJ145" s="143" t="n"/>
      <c r="DK145" s="143" t="n"/>
      <c r="DL145" s="143" t="n"/>
      <c r="DM145" s="143" t="n"/>
      <c r="DN145" s="143" t="n"/>
      <c r="DO145" s="156" t="n"/>
      <c r="DP145" s="157" t="n"/>
      <c r="DQ145" s="20">
        <f>SUM(CN145:DP145)</f>
        <v/>
      </c>
      <c r="DR145" s="20">
        <f>SUM(CV145:DP145)</f>
        <v/>
      </c>
      <c r="DS145" s="20">
        <f>IFERROR((IF(AND($F145="Produit Vente",CO145&gt;0),VLOOKUP($C145,'[1]Paramètres Articles'!$B:$H,7,FALSE)*$CO145)*(1-20%)),0)</f>
        <v/>
      </c>
      <c r="DT145" s="20">
        <f>IFERROR((IF(AND($F145="Produit Vente",DR145&gt;0),VLOOKUP($C145,'[1]Paramètres Articles'!$B:$H,6,FALSE)*$DR145)*(1-15%)),0)</f>
        <v/>
      </c>
      <c r="DU145" s="20">
        <f>IFERROR(DQ145*J145,0)</f>
        <v/>
      </c>
    </row>
    <row r="146" outlineLevel="1" collapsed="1" ht="12.95" customHeight="1">
      <c r="B146" s="1">
        <f>IF(C146="",0,COUNTIFS($B$22:B145,"&gt;"&amp;0)+1)</f>
        <v/>
      </c>
      <c r="C146" s="90" t="n"/>
      <c r="D146" s="91">
        <f>IFERROR(IF($C146="","",VLOOKUP($C146,'[1]Paramètres Articles'!$B:$G,2,FALSE)),"Non Trouvé")</f>
        <v/>
      </c>
      <c r="E146" s="92">
        <f>IFERROR(IF($C146="","",_xlfn.XLOOKUP(REGENERANTS!$C146,'[1]New Base PA'!$F:$F,'[1]New Base PA'!$D:$D,"Not Found",0)),"Non Trouvé")</f>
        <v/>
      </c>
      <c r="F146" s="93" t="n"/>
      <c r="H146" s="106" t="n"/>
      <c r="J146" s="95">
        <f>IFERROR(IF($C146="","",VLOOKUP($C146,'[1]New Base PA'!$F:$J,5,FALSE)),"Non Trouvé")</f>
        <v/>
      </c>
      <c r="K146" s="136">
        <f>IFERROR(IF($C146="","",$J146*$H146),"Non Trouvé")</f>
        <v/>
      </c>
      <c r="L146" s="137" t="n"/>
      <c r="M146" s="95">
        <f>IFERROR(IF(AND($F146="Produit Vente",H146&gt;0),VLOOKUP($C146,'[1]Paramètres Articles'!$B:$G,6,FALSE),0),"Non Trouvé")</f>
        <v/>
      </c>
      <c r="N146" s="95">
        <f>IFERROR(IF($C146="","",$M146*$H146),"Non Trouvé")</f>
        <v/>
      </c>
      <c r="P146" s="97" t="n"/>
      <c r="R146" s="95">
        <f>IFERROR(IF($C146="","",$N146*(1-$P146)),"Non Trouvé")</f>
        <v/>
      </c>
      <c r="S146" s="96" t="n"/>
      <c r="T146" s="95">
        <f>IFERROR(IF($C146="","",VLOOKUP($C146,'[1]Paramètres Articles'!$B:$H,7,FALSE)),"Non Trouvé")</f>
        <v/>
      </c>
      <c r="U146" s="98" t="n"/>
      <c r="V146" s="95">
        <f>IFERROR(IF($C146="","",IF($P146="","",$T146*(1-$P146))),"Non Trouvé")</f>
        <v/>
      </c>
      <c r="W146" s="96" t="n"/>
      <c r="X146" s="95">
        <f>IFERROR(T146-V146,"")</f>
        <v/>
      </c>
      <c r="Y146" s="96" t="n"/>
      <c r="Z146" s="95">
        <f>IFERROR(IF(OR(T146=0,T146=""),0,T146*H146),"Non Trouvé")</f>
        <v/>
      </c>
      <c r="AB146" s="99">
        <f>AB144</f>
        <v/>
      </c>
      <c r="AC146" s="99">
        <f>AC144</f>
        <v/>
      </c>
      <c r="AD146" s="95">
        <f>IFERROR(IF($C146="","",IF($P$15="Cascade",$R146*(1-AC146)*AB146,IF($P$15="Additionnelle",($N146-($N146*($P146+AC146)))*AB146))),"Non Trouvé")</f>
        <v/>
      </c>
      <c r="AG146" s="99">
        <f>AG144</f>
        <v/>
      </c>
      <c r="AH146" s="99">
        <f>AH144</f>
        <v/>
      </c>
      <c r="AI146" s="95">
        <f>IFERROR(IF($C146="","",IF($P$15="Cascade",$R146*(1-AH146)*AG146,IF($P$15="Additionnelle",($N146-($N146*($P146+AH146)))*AG146))),"Non Trouvé")</f>
        <v/>
      </c>
      <c r="AL146" s="99">
        <f>AL144</f>
        <v/>
      </c>
      <c r="AM146" s="99">
        <f>AM144</f>
        <v/>
      </c>
      <c r="AN146" s="95">
        <f>IFERROR(IF($C146="","",IF($P$15="Cascade",$R146*(1-AM146)*AL146,IF($P$15="Additionnelle",($N146-($N146*($P146+AM146)))*AL146))),"Non Trouvé")</f>
        <v/>
      </c>
      <c r="AQ146" s="99">
        <f>AQ144</f>
        <v/>
      </c>
      <c r="AR146" s="99">
        <f>AR144</f>
        <v/>
      </c>
      <c r="AS146" s="95">
        <f>IFERROR(IF($C146="","",IF($P$15="Cascade",$R146*(1-AR146)*AQ146,IF($P$15="Additionnelle",($N146-($N146*($P146+AR146)))*AQ146))),"Non Trouvé")</f>
        <v/>
      </c>
      <c r="AV146" s="99">
        <f>AV144</f>
        <v/>
      </c>
      <c r="AW146" s="99">
        <f>AW144</f>
        <v/>
      </c>
      <c r="AX146" s="95">
        <f>IFERROR(IF($C146="","",IF($P$15="Cascade",$R146*(1-AW146)*AV146,IF($P$15="Additionnelle",($N146-($N146*($P146+AW146)))*AV146))),"Non Trouvé")</f>
        <v/>
      </c>
      <c r="BA146" s="99">
        <f>BA144</f>
        <v/>
      </c>
      <c r="BB146" s="99">
        <f>BB144</f>
        <v/>
      </c>
      <c r="BC146" s="95">
        <f>IFERROR(IF($C146="","",IF($P$15="Cascade",$R146*(1-BB146)*BA146,IF($P$15="Additionnelle",($N146-($N146*($P146+BB146)))*BA146))),"Non Trouvé")</f>
        <v/>
      </c>
      <c r="BF146" s="99">
        <f>BF144</f>
        <v/>
      </c>
      <c r="BG146" s="99">
        <f>BG144</f>
        <v/>
      </c>
      <c r="BH146" s="95">
        <f>IFERROR(IF($C146="","",IF($P$15="Cascade",$R146*(1-BG146)*BF146,IF($P$15="Additionnelle",($N146-($N146*($P146+BG146)))*BF146))),"Non Trouvé")</f>
        <v/>
      </c>
      <c r="BK146" s="99">
        <f>BK144</f>
        <v/>
      </c>
      <c r="BL146" s="99">
        <f>BL144</f>
        <v/>
      </c>
      <c r="BM146" s="95">
        <f>IFERROR(IF($C146="","",IF($P$15="Cascade",$R146*(1-BL146)*BK146,IF($P$15="Additionnelle",($N146-($N146*($P146+BL146)))*BK146))),"Non Trouvé")</f>
        <v/>
      </c>
      <c r="BP146" s="99">
        <f>BP144</f>
        <v/>
      </c>
      <c r="BQ146" s="99">
        <f>BQ144</f>
        <v/>
      </c>
      <c r="BR146" s="95">
        <f>IFERROR(IF($C146="","",IF($P$15="Cascade",$R146*(1-BQ146)*BP146,IF($P$15="Additionnelle",($N146-($N146*($P146+BQ146)))*BP146))),"Non Trouvé")</f>
        <v/>
      </c>
      <c r="BU146" s="99">
        <f>BU144</f>
        <v/>
      </c>
      <c r="BV146" s="99">
        <f>BV144</f>
        <v/>
      </c>
      <c r="BW146" s="95">
        <f>IFERROR(IF($C146="","",IF($P$15="Cascade",$R146*(1-BV146)*BU146,IF($P$15="Additionnelle",($N146-($N146*($P146+BV146)))*BU146))),"Non Trouvé")</f>
        <v/>
      </c>
      <c r="BZ146" s="99">
        <f>BZ144</f>
        <v/>
      </c>
      <c r="CA146" s="99">
        <f>CA144</f>
        <v/>
      </c>
      <c r="CB146" s="95">
        <f>IFERROR(IF($C146="","",IF($P$15="Cascade",$R146*(1-CA146)*BZ146,IF($P$15="Additionnelle",($N146-($N146*($P146+CA146)))*BZ146))),"Non Trouvé")</f>
        <v/>
      </c>
      <c r="CE146" s="100" t="n"/>
      <c r="CF146" s="101" t="n"/>
      <c r="CG146" s="102" t="n"/>
      <c r="CH146" s="102" t="n"/>
      <c r="CI146" s="103" t="n"/>
      <c r="CK146" s="104">
        <f>IFERROR(IF(F146='[1]Paramètres Généraux'!$K$12,ROUNDUP((REGENERANTS!H146*REGENERANTS!$CF$112)*'[1]Paramètres Généraux'!$M$12,-1),IF(F146='[1]Paramètres Généraux'!$K$15,ROUNDUP((REGENERANTS!H146*REGENERANTS!$CF$112)*'[1]Paramètres Généraux'!$M$15,-1),REGENERANTS!H146*REGENERANTS!$CF$112)),"nd")</f>
        <v/>
      </c>
      <c r="CN146" s="153" t="n"/>
      <c r="CO146" s="154" t="n"/>
      <c r="CP146" s="154" t="n"/>
      <c r="CQ146" s="154" t="n"/>
      <c r="CR146" s="154" t="n"/>
      <c r="CS146" s="180" t="n"/>
      <c r="CT146" s="181" t="n"/>
      <c r="CU146" s="154" t="n"/>
      <c r="CV146" s="180" t="n"/>
      <c r="CW146" s="157" t="n"/>
      <c r="CX146" s="156" t="n"/>
      <c r="CY146" s="157" t="n"/>
      <c r="CZ146" s="143" t="n"/>
      <c r="DA146" s="156" t="n"/>
      <c r="DB146" s="157" t="n"/>
      <c r="DC146" s="143" t="n"/>
      <c r="DD146" s="156" t="n"/>
      <c r="DE146" s="157" t="n"/>
      <c r="DF146" s="143" t="n"/>
      <c r="DG146" s="143" t="n"/>
      <c r="DH146" s="143" t="n"/>
      <c r="DI146" s="143" t="n"/>
      <c r="DJ146" s="143" t="n"/>
      <c r="DK146" s="143" t="n"/>
      <c r="DL146" s="143" t="n"/>
      <c r="DM146" s="143" t="n"/>
      <c r="DN146" s="143" t="n"/>
      <c r="DO146" s="156" t="n"/>
      <c r="DP146" s="157" t="n"/>
      <c r="DQ146" s="20">
        <f>SUM(CN146:DP146)</f>
        <v/>
      </c>
      <c r="DR146" s="20">
        <f>SUM(CV146:DP146)</f>
        <v/>
      </c>
      <c r="DS146" s="20">
        <f>IFERROR((IF(AND($F146="Produit Vente",CO146&gt;0),VLOOKUP($C146,'[1]Paramètres Articles'!$B:$H,7,FALSE)*$CO146)*(1-20%)),0)</f>
        <v/>
      </c>
      <c r="DT146" s="20">
        <f>IFERROR((IF(AND($F146="Produit Vente",DR146&gt;0),VLOOKUP($C146,'[1]Paramètres Articles'!$B:$H,6,FALSE)*$DR146)*(1-15%)),0)</f>
        <v/>
      </c>
      <c r="DU146" s="20">
        <f>IFERROR(DQ146*J146,0)</f>
        <v/>
      </c>
    </row>
    <row r="147" outlineLevel="1" collapsed="1" ht="12.95" customHeight="1">
      <c r="B147" s="1">
        <f>IF(C147="",0,COUNTIFS($B$22:B146,"&gt;"&amp;0)+1)</f>
        <v/>
      </c>
      <c r="C147" s="90" t="n"/>
      <c r="D147" s="91">
        <f>IFERROR(IF($C147="","",VLOOKUP($C147,'[1]Paramètres Articles'!$B:$G,2,FALSE)),"Non Trouvé")</f>
        <v/>
      </c>
      <c r="E147" s="92">
        <f>IFERROR(IF($C147="","",_xlfn.XLOOKUP(REGENERANTS!$C147,'[1]New Base PA'!$F:$F,'[1]New Base PA'!$D:$D,"Not Found",0)),"Non Trouvé")</f>
        <v/>
      </c>
      <c r="F147" s="93" t="n"/>
      <c r="H147" s="106" t="n"/>
      <c r="J147" s="95">
        <f>IFERROR(IF($C147="","",VLOOKUP($C147,'[1]New Base PA'!$F:$J,5,FALSE)),"Non Trouvé")</f>
        <v/>
      </c>
      <c r="K147" s="136">
        <f>IFERROR(IF($C147="","",$J147*$H147),"Non Trouvé")</f>
        <v/>
      </c>
      <c r="L147" s="137" t="n"/>
      <c r="M147" s="95">
        <f>IFERROR(IF(AND($F147="Produit Vente",H147&gt;0),VLOOKUP($C147,'[1]Paramètres Articles'!$B:$G,6,FALSE),0),"Non Trouvé")</f>
        <v/>
      </c>
      <c r="N147" s="95">
        <f>IFERROR(IF($C147="","",$M147*$H147),"Non Trouvé")</f>
        <v/>
      </c>
      <c r="P147" s="97" t="n"/>
      <c r="R147" s="95">
        <f>IFERROR(IF($C147="","",$N147*(1-$P147)),"Non Trouvé")</f>
        <v/>
      </c>
      <c r="S147" s="96" t="n"/>
      <c r="T147" s="95">
        <f>IFERROR(IF($C147="","",VLOOKUP($C147,'[1]Paramètres Articles'!$B:$H,7,FALSE)),"Non Trouvé")</f>
        <v/>
      </c>
      <c r="U147" s="98" t="n"/>
      <c r="V147" s="95">
        <f>IFERROR(IF($C147="","",IF($P147="","",$T147*(1-$P147))),"Non Trouvé")</f>
        <v/>
      </c>
      <c r="W147" s="96" t="n"/>
      <c r="X147" s="95">
        <f>IFERROR(T147-V147,"")</f>
        <v/>
      </c>
      <c r="Y147" s="96" t="n"/>
      <c r="Z147" s="95">
        <f>IFERROR(IF(OR(T147=0,T147=""),0,T147*H147),"Non Trouvé")</f>
        <v/>
      </c>
      <c r="AB147" s="99">
        <f>AB145</f>
        <v/>
      </c>
      <c r="AC147" s="99">
        <f>AC145</f>
        <v/>
      </c>
      <c r="AD147" s="95">
        <f>IFERROR(IF($C147="","",IF($P$15="Cascade",$R147*(1-AC147)*AB147,IF($P$15="Additionnelle",($N147-($N147*($P147+AC147)))*AB147))),"Non Trouvé")</f>
        <v/>
      </c>
      <c r="AG147" s="99">
        <f>AG145</f>
        <v/>
      </c>
      <c r="AH147" s="99">
        <f>AH145</f>
        <v/>
      </c>
      <c r="AI147" s="95">
        <f>IFERROR(IF($C147="","",IF($P$15="Cascade",$R147*(1-AH147)*AG147,IF($P$15="Additionnelle",($N147-($N147*($P147+AH147)))*AG147))),"Non Trouvé")</f>
        <v/>
      </c>
      <c r="AL147" s="99">
        <f>AL145</f>
        <v/>
      </c>
      <c r="AM147" s="99">
        <f>AM145</f>
        <v/>
      </c>
      <c r="AN147" s="95">
        <f>IFERROR(IF($C147="","",IF($P$15="Cascade",$R147*(1-AM147)*AL147,IF($P$15="Additionnelle",($N147-($N147*($P147+AM147)))*AL147))),"Non Trouvé")</f>
        <v/>
      </c>
      <c r="AQ147" s="99">
        <f>AQ145</f>
        <v/>
      </c>
      <c r="AR147" s="99">
        <f>AR145</f>
        <v/>
      </c>
      <c r="AS147" s="95">
        <f>IFERROR(IF($C147="","",IF($P$15="Cascade",$R147*(1-AR147)*AQ147,IF($P$15="Additionnelle",($N147-($N147*($P147+AR147)))*AQ147))),"Non Trouvé")</f>
        <v/>
      </c>
      <c r="AV147" s="99">
        <f>AV145</f>
        <v/>
      </c>
      <c r="AW147" s="99">
        <f>AW145</f>
        <v/>
      </c>
      <c r="AX147" s="95">
        <f>IFERROR(IF($C147="","",IF($P$15="Cascade",$R147*(1-AW147)*AV147,IF($P$15="Additionnelle",($N147-($N147*($P147+AW147)))*AV147))),"Non Trouvé")</f>
        <v/>
      </c>
      <c r="BA147" s="99">
        <f>BA145</f>
        <v/>
      </c>
      <c r="BB147" s="99">
        <f>BB145</f>
        <v/>
      </c>
      <c r="BC147" s="95">
        <f>IFERROR(IF($C147="","",IF($P$15="Cascade",$R147*(1-BB147)*BA147,IF($P$15="Additionnelle",($N147-($N147*($P147+BB147)))*BA147))),"Non Trouvé")</f>
        <v/>
      </c>
      <c r="BF147" s="99">
        <f>BF145</f>
        <v/>
      </c>
      <c r="BG147" s="99">
        <f>BG145</f>
        <v/>
      </c>
      <c r="BH147" s="95">
        <f>IFERROR(IF($C147="","",IF($P$15="Cascade",$R147*(1-BG147)*BF147,IF($P$15="Additionnelle",($N147-($N147*($P147+BG147)))*BF147))),"Non Trouvé")</f>
        <v/>
      </c>
      <c r="BK147" s="99">
        <f>BK145</f>
        <v/>
      </c>
      <c r="BL147" s="99">
        <f>BL145</f>
        <v/>
      </c>
      <c r="BM147" s="95">
        <f>IFERROR(IF($C147="","",IF($P$15="Cascade",$R147*(1-BL147)*BK147,IF($P$15="Additionnelle",($N147-($N147*($P147+BL147)))*BK147))),"Non Trouvé")</f>
        <v/>
      </c>
      <c r="BP147" s="99">
        <f>BP145</f>
        <v/>
      </c>
      <c r="BQ147" s="99">
        <f>BQ145</f>
        <v/>
      </c>
      <c r="BR147" s="95">
        <f>IFERROR(IF($C147="","",IF($P$15="Cascade",$R147*(1-BQ147)*BP147,IF($P$15="Additionnelle",($N147-($N147*($P147+BQ147)))*BP147))),"Non Trouvé")</f>
        <v/>
      </c>
      <c r="BU147" s="99">
        <f>BU145</f>
        <v/>
      </c>
      <c r="BV147" s="99">
        <f>BV145</f>
        <v/>
      </c>
      <c r="BW147" s="95">
        <f>IFERROR(IF($C147="","",IF($P$15="Cascade",$R147*(1-BV147)*BU147,IF($P$15="Additionnelle",($N147-($N147*($P147+BV147)))*BU147))),"Non Trouvé")</f>
        <v/>
      </c>
      <c r="BZ147" s="99">
        <f>BZ145</f>
        <v/>
      </c>
      <c r="CA147" s="99">
        <f>CA145</f>
        <v/>
      </c>
      <c r="CB147" s="95">
        <f>IFERROR(IF($C147="","",IF($P$15="Cascade",$R147*(1-CA147)*BZ147,IF($P$15="Additionnelle",($N147-($N147*($P147+CA147)))*BZ147))),"Non Trouvé")</f>
        <v/>
      </c>
      <c r="CE147" s="100" t="n"/>
      <c r="CF147" s="101" t="n"/>
      <c r="CG147" s="102" t="n"/>
      <c r="CH147" s="102" t="n"/>
      <c r="CI147" s="103" t="n"/>
      <c r="CK147" s="104">
        <f>IFERROR(IF(F147='[1]Paramètres Généraux'!$K$12,ROUNDUP((REGENERANTS!H147*REGENERANTS!$CF$112)*'[1]Paramètres Généraux'!$M$12,-1),IF(F147='[1]Paramètres Généraux'!$K$15,ROUNDUP((REGENERANTS!H147*REGENERANTS!$CF$112)*'[1]Paramètres Généraux'!$M$15,-1),REGENERANTS!H147*REGENERANTS!$CF$112)),"nd")</f>
        <v/>
      </c>
      <c r="CN147" s="153" t="n"/>
      <c r="CO147" s="154" t="n"/>
      <c r="CP147" s="154" t="n"/>
      <c r="CQ147" s="154" t="n"/>
      <c r="CR147" s="154" t="n"/>
      <c r="CS147" s="180" t="n"/>
      <c r="CT147" s="181" t="n"/>
      <c r="CU147" s="154" t="n"/>
      <c r="CV147" s="180" t="n"/>
      <c r="CW147" s="157" t="n"/>
      <c r="CX147" s="156" t="n"/>
      <c r="CY147" s="157" t="n"/>
      <c r="CZ147" s="143" t="n"/>
      <c r="DA147" s="156" t="n"/>
      <c r="DB147" s="157" t="n"/>
      <c r="DC147" s="143" t="n"/>
      <c r="DD147" s="156" t="n"/>
      <c r="DE147" s="157" t="n"/>
      <c r="DF147" s="143" t="n"/>
      <c r="DG147" s="143" t="n"/>
      <c r="DH147" s="143" t="n"/>
      <c r="DI147" s="143" t="n"/>
      <c r="DJ147" s="143" t="n"/>
      <c r="DK147" s="143" t="n"/>
      <c r="DL147" s="143" t="n"/>
      <c r="DM147" s="143" t="n"/>
      <c r="DN147" s="143" t="n"/>
      <c r="DO147" s="156" t="n"/>
      <c r="DP147" s="157" t="n"/>
      <c r="DQ147" s="20">
        <f>SUM(CN147:DP147)</f>
        <v/>
      </c>
      <c r="DR147" s="20">
        <f>SUM(CV147:DP147)</f>
        <v/>
      </c>
      <c r="DS147" s="20">
        <f>IFERROR((IF(AND($F147="Produit Vente",CO147&gt;0),VLOOKUP($C147,'[1]Paramètres Articles'!$B:$H,7,FALSE)*$CO147)*(1-20%)),0)</f>
        <v/>
      </c>
      <c r="DT147" s="20">
        <f>IFERROR((IF(AND($F147="Produit Vente",DR147&gt;0),VLOOKUP($C147,'[1]Paramètres Articles'!$B:$H,6,FALSE)*$DR147)*(1-15%)),0)</f>
        <v/>
      </c>
      <c r="DU147" s="20">
        <f>IFERROR(DQ147*J147,0)</f>
        <v/>
      </c>
    </row>
    <row r="148" outlineLevel="1" collapsed="1" ht="12.95" customHeight="1">
      <c r="B148" s="1">
        <f>IF(C148="",0,COUNTIFS($B$22:B147,"&gt;"&amp;0)+1)</f>
        <v/>
      </c>
      <c r="C148" s="90" t="n"/>
      <c r="D148" s="91">
        <f>IFERROR(IF($C148="","",VLOOKUP($C148,'[1]Paramètres Articles'!$B:$G,2,FALSE)),"Non Trouvé")</f>
        <v/>
      </c>
      <c r="E148" s="92">
        <f>IFERROR(IF($C148="","",_xlfn.XLOOKUP(REGENERANTS!$C148,'[1]New Base PA'!$F:$F,'[1]New Base PA'!$D:$D,"Not Found",0)),"Non Trouvé")</f>
        <v/>
      </c>
      <c r="F148" s="93" t="n"/>
      <c r="H148" s="106" t="n"/>
      <c r="J148" s="95">
        <f>IFERROR(IF($C148="","",VLOOKUP($C148,'[1]New Base PA'!$F:$J,5,FALSE)),"Non Trouvé")</f>
        <v/>
      </c>
      <c r="K148" s="136">
        <f>IFERROR(IF($C148="","",$J148*$H148),"Non Trouvé")</f>
        <v/>
      </c>
      <c r="L148" s="137" t="n"/>
      <c r="M148" s="95">
        <f>IFERROR(IF(AND($F148="Produit Vente",H148&gt;0),VLOOKUP($C148,'[1]Paramètres Articles'!$B:$G,6,FALSE),0),"Non Trouvé")</f>
        <v/>
      </c>
      <c r="N148" s="95">
        <f>IFERROR(IF($C148="","",$M148*$H148),"Non Trouvé")</f>
        <v/>
      </c>
      <c r="P148" s="97" t="n"/>
      <c r="R148" s="95">
        <f>IFERROR(IF($C148="","",$N148*(1-$P148)),"Non Trouvé")</f>
        <v/>
      </c>
      <c r="S148" s="96" t="n"/>
      <c r="T148" s="95">
        <f>IFERROR(IF($C148="","",VLOOKUP($C148,'[1]Paramètres Articles'!$B:$H,7,FALSE)),"Non Trouvé")</f>
        <v/>
      </c>
      <c r="U148" s="98" t="n"/>
      <c r="V148" s="95">
        <f>IFERROR(IF($C148="","",IF($P148="","",$T148*(1-$P148))),"Non Trouvé")</f>
        <v/>
      </c>
      <c r="W148" s="96" t="n"/>
      <c r="X148" s="95">
        <f>IFERROR(T148-V148,"")</f>
        <v/>
      </c>
      <c r="Y148" s="96" t="n"/>
      <c r="Z148" s="95">
        <f>IFERROR(IF(OR(T148=0,T148=""),0,T148*H148),"Non Trouvé")</f>
        <v/>
      </c>
      <c r="AB148" s="99">
        <f>AB146</f>
        <v/>
      </c>
      <c r="AC148" s="99">
        <f>AC146</f>
        <v/>
      </c>
      <c r="AD148" s="95">
        <f>IFERROR(IF($C148="","",IF($P$15="Cascade",$R148*(1-AC148)*AB148,IF($P$15="Additionnelle",($N148-($N148*($P148+AC148)))*AB148))),"Non Trouvé")</f>
        <v/>
      </c>
      <c r="AG148" s="99">
        <f>AG146</f>
        <v/>
      </c>
      <c r="AH148" s="99">
        <f>AH146</f>
        <v/>
      </c>
      <c r="AI148" s="95">
        <f>IFERROR(IF($C148="","",IF($P$15="Cascade",$R148*(1-AH148)*AG148,IF($P$15="Additionnelle",($N148-($N148*($P148+AH148)))*AG148))),"Non Trouvé")</f>
        <v/>
      </c>
      <c r="AL148" s="99">
        <f>AL146</f>
        <v/>
      </c>
      <c r="AM148" s="99">
        <f>AM146</f>
        <v/>
      </c>
      <c r="AN148" s="95">
        <f>IFERROR(IF($C148="","",IF($P$15="Cascade",$R148*(1-AM148)*AL148,IF($P$15="Additionnelle",($N148-($N148*($P148+AM148)))*AL148))),"Non Trouvé")</f>
        <v/>
      </c>
      <c r="AQ148" s="99">
        <f>AQ146</f>
        <v/>
      </c>
      <c r="AR148" s="99">
        <f>AR146</f>
        <v/>
      </c>
      <c r="AS148" s="95">
        <f>IFERROR(IF($C148="","",IF($P$15="Cascade",$R148*(1-AR148)*AQ148,IF($P$15="Additionnelle",($N148-($N148*($P148+AR148)))*AQ148))),"Non Trouvé")</f>
        <v/>
      </c>
      <c r="AV148" s="99">
        <f>AV146</f>
        <v/>
      </c>
      <c r="AW148" s="99">
        <f>AW146</f>
        <v/>
      </c>
      <c r="AX148" s="95">
        <f>IFERROR(IF($C148="","",IF($P$15="Cascade",$R148*(1-AW148)*AV148,IF($P$15="Additionnelle",($N148-($N148*($P148+AW148)))*AV148))),"Non Trouvé")</f>
        <v/>
      </c>
      <c r="BA148" s="99">
        <f>BA146</f>
        <v/>
      </c>
      <c r="BB148" s="99">
        <f>BB146</f>
        <v/>
      </c>
      <c r="BC148" s="95">
        <f>IFERROR(IF($C148="","",IF($P$15="Cascade",$R148*(1-BB148)*BA148,IF($P$15="Additionnelle",($N148-($N148*($P148+BB148)))*BA148))),"Non Trouvé")</f>
        <v/>
      </c>
      <c r="BF148" s="99">
        <f>BF146</f>
        <v/>
      </c>
      <c r="BG148" s="99">
        <f>BG146</f>
        <v/>
      </c>
      <c r="BH148" s="95">
        <f>IFERROR(IF($C148="","",IF($P$15="Cascade",$R148*(1-BG148)*BF148,IF($P$15="Additionnelle",($N148-($N148*($P148+BG148)))*BF148))),"Non Trouvé")</f>
        <v/>
      </c>
      <c r="BK148" s="99">
        <f>BK146</f>
        <v/>
      </c>
      <c r="BL148" s="99">
        <f>BL146</f>
        <v/>
      </c>
      <c r="BM148" s="95">
        <f>IFERROR(IF($C148="","",IF($P$15="Cascade",$R148*(1-BL148)*BK148,IF($P$15="Additionnelle",($N148-($N148*($P148+BL148)))*BK148))),"Non Trouvé")</f>
        <v/>
      </c>
      <c r="BP148" s="99">
        <f>BP146</f>
        <v/>
      </c>
      <c r="BQ148" s="99">
        <f>BQ146</f>
        <v/>
      </c>
      <c r="BR148" s="95">
        <f>IFERROR(IF($C148="","",IF($P$15="Cascade",$R148*(1-BQ148)*BP148,IF($P$15="Additionnelle",($N148-($N148*($P148+BQ148)))*BP148))),"Non Trouvé")</f>
        <v/>
      </c>
      <c r="BU148" s="99">
        <f>BU146</f>
        <v/>
      </c>
      <c r="BV148" s="99">
        <f>BV146</f>
        <v/>
      </c>
      <c r="BW148" s="95">
        <f>IFERROR(IF($C148="","",IF($P$15="Cascade",$R148*(1-BV148)*BU148,IF($P$15="Additionnelle",($N148-($N148*($P148+BV148)))*BU148))),"Non Trouvé")</f>
        <v/>
      </c>
      <c r="BZ148" s="99">
        <f>BZ146</f>
        <v/>
      </c>
      <c r="CA148" s="99">
        <f>CA146</f>
        <v/>
      </c>
      <c r="CB148" s="95">
        <f>IFERROR(IF($C148="","",IF($P$15="Cascade",$R148*(1-CA148)*BZ148,IF($P$15="Additionnelle",($N148-($N148*($P148+CA148)))*BZ148))),"Non Trouvé")</f>
        <v/>
      </c>
      <c r="CE148" s="100" t="n"/>
      <c r="CF148" s="101" t="n"/>
      <c r="CG148" s="102" t="n"/>
      <c r="CH148" s="102" t="n"/>
      <c r="CI148" s="103" t="n"/>
      <c r="CK148" s="104">
        <f>IFERROR(IF(F148='[1]Paramètres Généraux'!$K$12,ROUNDUP((REGENERANTS!H148*REGENERANTS!$CF$112)*'[1]Paramètres Généraux'!$M$12,-1),IF(F148='[1]Paramètres Généraux'!$K$15,ROUNDUP((REGENERANTS!H148*REGENERANTS!$CF$112)*'[1]Paramètres Généraux'!$M$15,-1),REGENERANTS!H148*REGENERANTS!$CF$112)),"nd")</f>
        <v/>
      </c>
      <c r="CN148" s="153" t="n"/>
      <c r="CO148" s="154" t="n"/>
      <c r="CP148" s="154" t="n"/>
      <c r="CQ148" s="154" t="n"/>
      <c r="CR148" s="154" t="n"/>
      <c r="CS148" s="180" t="n"/>
      <c r="CT148" s="181" t="n"/>
      <c r="CU148" s="154" t="n"/>
      <c r="CV148" s="180" t="n"/>
      <c r="CW148" s="157" t="n"/>
      <c r="CX148" s="156" t="n"/>
      <c r="CY148" s="157" t="n"/>
      <c r="CZ148" s="143" t="n"/>
      <c r="DA148" s="156" t="n"/>
      <c r="DB148" s="157" t="n"/>
      <c r="DC148" s="143" t="n"/>
      <c r="DD148" s="156" t="n"/>
      <c r="DE148" s="157" t="n"/>
      <c r="DF148" s="143" t="n"/>
      <c r="DG148" s="143" t="n"/>
      <c r="DH148" s="143" t="n"/>
      <c r="DI148" s="143" t="n"/>
      <c r="DJ148" s="143" t="n"/>
      <c r="DK148" s="143" t="n"/>
      <c r="DL148" s="143" t="n"/>
      <c r="DM148" s="143" t="n"/>
      <c r="DN148" s="143" t="n"/>
      <c r="DO148" s="156" t="n"/>
      <c r="DP148" s="157" t="n"/>
      <c r="DQ148" s="20">
        <f>SUM(CN148:DP148)</f>
        <v/>
      </c>
      <c r="DR148" s="20">
        <f>SUM(CV148:DP148)</f>
        <v/>
      </c>
      <c r="DS148" s="20">
        <f>IFERROR((IF(AND($F148="Produit Vente",CO148&gt;0),VLOOKUP($C148,'[1]Paramètres Articles'!$B:$H,7,FALSE)*$CO148)*(1-20%)),0)</f>
        <v/>
      </c>
      <c r="DT148" s="20">
        <f>IFERROR((IF(AND($F148="Produit Vente",DR148&gt;0),VLOOKUP($C148,'[1]Paramètres Articles'!$B:$H,6,FALSE)*$DR148)*(1-15%)),0)</f>
        <v/>
      </c>
      <c r="DU148" s="20">
        <f>IFERROR(DQ148*J148,0)</f>
        <v/>
      </c>
    </row>
    <row r="149" outlineLevel="1" collapsed="1" ht="12.95" customHeight="1">
      <c r="B149" s="1">
        <f>IF(C149="",0,COUNTIFS($B$22:B148,"&gt;"&amp;0)+1)</f>
        <v/>
      </c>
      <c r="C149" s="90" t="n"/>
      <c r="D149" s="91">
        <f>IFERROR(IF($C149="","",VLOOKUP($C149,'[1]Paramètres Articles'!$B:$G,2,FALSE)),"Non Trouvé")</f>
        <v/>
      </c>
      <c r="E149" s="92">
        <f>IFERROR(IF($C149="","",_xlfn.XLOOKUP(REGENERANTS!$C149,'[1]New Base PA'!$F:$F,'[1]New Base PA'!$D:$D,"Not Found",0)),"Non Trouvé")</f>
        <v/>
      </c>
      <c r="F149" s="93" t="n"/>
      <c r="H149" s="106" t="n"/>
      <c r="J149" s="95">
        <f>IFERROR(IF($C149="","",VLOOKUP($C149,'[1]New Base PA'!$F:$J,5,FALSE)),"Non Trouvé")</f>
        <v/>
      </c>
      <c r="K149" s="136">
        <f>IFERROR(IF($C149="","",$J149*$H149),"Non Trouvé")</f>
        <v/>
      </c>
      <c r="L149" s="137" t="n"/>
      <c r="M149" s="95">
        <f>IFERROR(IF(AND($F149="Produit Vente",H149&gt;0),VLOOKUP($C149,'[1]Paramètres Articles'!$B:$G,6,FALSE),0),"Non Trouvé")</f>
        <v/>
      </c>
      <c r="N149" s="95">
        <f>IFERROR(IF($C149="","",$M149*$H149),"Non Trouvé")</f>
        <v/>
      </c>
      <c r="P149" s="97" t="n"/>
      <c r="R149" s="95">
        <f>IFERROR(IF($C149="","",$N149*(1-$P149)),"Non Trouvé")</f>
        <v/>
      </c>
      <c r="S149" s="96" t="n"/>
      <c r="T149" s="95">
        <f>IFERROR(IF($C149="","",VLOOKUP($C149,'[1]Paramètres Articles'!$B:$H,7,FALSE)),"Non Trouvé")</f>
        <v/>
      </c>
      <c r="U149" s="98" t="n"/>
      <c r="V149" s="95">
        <f>IFERROR(IF($C149="","",IF($P149="","",$T149*(1-$P149))),"Non Trouvé")</f>
        <v/>
      </c>
      <c r="W149" s="96" t="n"/>
      <c r="X149" s="95">
        <f>IFERROR(T149-V149,"")</f>
        <v/>
      </c>
      <c r="Y149" s="96" t="n"/>
      <c r="Z149" s="95">
        <f>IFERROR(IF(OR(T149=0,T149=""),0,T149*H149),"Non Trouvé")</f>
        <v/>
      </c>
      <c r="AB149" s="99">
        <f>AB147</f>
        <v/>
      </c>
      <c r="AC149" s="99">
        <f>AC147</f>
        <v/>
      </c>
      <c r="AD149" s="95">
        <f>IFERROR(IF($C149="","",IF($P$15="Cascade",$R149*(1-AC149)*AB149,IF($P$15="Additionnelle",($N149-($N149*($P149+AC149)))*AB149))),"Non Trouvé")</f>
        <v/>
      </c>
      <c r="AG149" s="99">
        <f>AG147</f>
        <v/>
      </c>
      <c r="AH149" s="99">
        <f>AH147</f>
        <v/>
      </c>
      <c r="AI149" s="95">
        <f>IFERROR(IF($C149="","",IF($P$15="Cascade",$R149*(1-AH149)*AG149,IF($P$15="Additionnelle",($N149-($N149*($P149+AH149)))*AG149))),"Non Trouvé")</f>
        <v/>
      </c>
      <c r="AL149" s="99">
        <f>AL147</f>
        <v/>
      </c>
      <c r="AM149" s="99">
        <f>AM147</f>
        <v/>
      </c>
      <c r="AN149" s="95">
        <f>IFERROR(IF($C149="","",IF($P$15="Cascade",$R149*(1-AM149)*AL149,IF($P$15="Additionnelle",($N149-($N149*($P149+AM149)))*AL149))),"Non Trouvé")</f>
        <v/>
      </c>
      <c r="AQ149" s="99">
        <f>AQ147</f>
        <v/>
      </c>
      <c r="AR149" s="99">
        <f>AR147</f>
        <v/>
      </c>
      <c r="AS149" s="95">
        <f>IFERROR(IF($C149="","",IF($P$15="Cascade",$R149*(1-AR149)*AQ149,IF($P$15="Additionnelle",($N149-($N149*($P149+AR149)))*AQ149))),"Non Trouvé")</f>
        <v/>
      </c>
      <c r="AV149" s="99">
        <f>AV147</f>
        <v/>
      </c>
      <c r="AW149" s="99">
        <f>AW147</f>
        <v/>
      </c>
      <c r="AX149" s="95">
        <f>IFERROR(IF($C149="","",IF($P$15="Cascade",$R149*(1-AW149)*AV149,IF($P$15="Additionnelle",($N149-($N149*($P149+AW149)))*AV149))),"Non Trouvé")</f>
        <v/>
      </c>
      <c r="BA149" s="99">
        <f>BA147</f>
        <v/>
      </c>
      <c r="BB149" s="99">
        <f>BB147</f>
        <v/>
      </c>
      <c r="BC149" s="95">
        <f>IFERROR(IF($C149="","",IF($P$15="Cascade",$R149*(1-BB149)*BA149,IF($P$15="Additionnelle",($N149-($N149*($P149+BB149)))*BA149))),"Non Trouvé")</f>
        <v/>
      </c>
      <c r="BF149" s="99">
        <f>BF147</f>
        <v/>
      </c>
      <c r="BG149" s="99">
        <f>BG147</f>
        <v/>
      </c>
      <c r="BH149" s="95">
        <f>IFERROR(IF($C149="","",IF($P$15="Cascade",$R149*(1-BG149)*BF149,IF($P$15="Additionnelle",($N149-($N149*($P149+BG149)))*BF149))),"Non Trouvé")</f>
        <v/>
      </c>
      <c r="BK149" s="99">
        <f>BK147</f>
        <v/>
      </c>
      <c r="BL149" s="99">
        <f>BL147</f>
        <v/>
      </c>
      <c r="BM149" s="95">
        <f>IFERROR(IF($C149="","",IF($P$15="Cascade",$R149*(1-BL149)*BK149,IF($P$15="Additionnelle",($N149-($N149*($P149+BL149)))*BK149))),"Non Trouvé")</f>
        <v/>
      </c>
      <c r="BP149" s="99">
        <f>BP147</f>
        <v/>
      </c>
      <c r="BQ149" s="99">
        <f>BQ147</f>
        <v/>
      </c>
      <c r="BR149" s="95">
        <f>IFERROR(IF($C149="","",IF($P$15="Cascade",$R149*(1-BQ149)*BP149,IF($P$15="Additionnelle",($N149-($N149*($P149+BQ149)))*BP149))),"Non Trouvé")</f>
        <v/>
      </c>
      <c r="BU149" s="99">
        <f>BU147</f>
        <v/>
      </c>
      <c r="BV149" s="99">
        <f>BV147</f>
        <v/>
      </c>
      <c r="BW149" s="95">
        <f>IFERROR(IF($C149="","",IF($P$15="Cascade",$R149*(1-BV149)*BU149,IF($P$15="Additionnelle",($N149-($N149*($P149+BV149)))*BU149))),"Non Trouvé")</f>
        <v/>
      </c>
      <c r="BZ149" s="99">
        <f>BZ147</f>
        <v/>
      </c>
      <c r="CA149" s="99">
        <f>CA147</f>
        <v/>
      </c>
      <c r="CB149" s="95">
        <f>IFERROR(IF($C149="","",IF($P$15="Cascade",$R149*(1-CA149)*BZ149,IF($P$15="Additionnelle",($N149-($N149*($P149+CA149)))*BZ149))),"Non Trouvé")</f>
        <v/>
      </c>
      <c r="CE149" s="100" t="n"/>
      <c r="CF149" s="101" t="n"/>
      <c r="CG149" s="102" t="n"/>
      <c r="CH149" s="102" t="n"/>
      <c r="CI149" s="103" t="n"/>
      <c r="CK149" s="104">
        <f>IFERROR(IF(F149='[1]Paramètres Généraux'!$K$12,ROUNDUP((REGENERANTS!H149*REGENERANTS!$CF$112)*'[1]Paramètres Généraux'!$M$12,-1),IF(F149='[1]Paramètres Généraux'!$K$15,ROUNDUP((REGENERANTS!H149*REGENERANTS!$CF$112)*'[1]Paramètres Généraux'!$M$15,-1),REGENERANTS!H149*REGENERANTS!$CF$112)),"nd")</f>
        <v/>
      </c>
      <c r="CN149" s="153" t="n"/>
      <c r="CO149" s="154" t="n"/>
      <c r="CP149" s="154" t="n"/>
      <c r="CQ149" s="154" t="n"/>
      <c r="CR149" s="154" t="n"/>
      <c r="CS149" s="180" t="n"/>
      <c r="CT149" s="181" t="n"/>
      <c r="CU149" s="154" t="n"/>
      <c r="CV149" s="180" t="n"/>
      <c r="CW149" s="157" t="n"/>
      <c r="CX149" s="156" t="n"/>
      <c r="CY149" s="157" t="n"/>
      <c r="CZ149" s="143" t="n"/>
      <c r="DA149" s="156" t="n"/>
      <c r="DB149" s="157" t="n"/>
      <c r="DC149" s="143" t="n"/>
      <c r="DD149" s="156" t="n"/>
      <c r="DE149" s="157" t="n"/>
      <c r="DF149" s="143" t="n"/>
      <c r="DG149" s="143" t="n"/>
      <c r="DH149" s="143" t="n"/>
      <c r="DI149" s="143" t="n"/>
      <c r="DJ149" s="143" t="n"/>
      <c r="DK149" s="143" t="n"/>
      <c r="DL149" s="143" t="n"/>
      <c r="DM149" s="143" t="n"/>
      <c r="DN149" s="143" t="n"/>
      <c r="DO149" s="156" t="n"/>
      <c r="DP149" s="157" t="n"/>
      <c r="DQ149" s="20">
        <f>SUM(CN149:DP149)</f>
        <v/>
      </c>
      <c r="DR149" s="20">
        <f>SUM(CV149:DP149)</f>
        <v/>
      </c>
      <c r="DS149" s="20">
        <f>IFERROR((IF(AND($F149="Produit Vente",CO149&gt;0),VLOOKUP($C149,'[1]Paramètres Articles'!$B:$H,7,FALSE)*$CO149)*(1-20%)),0)</f>
        <v/>
      </c>
      <c r="DT149" s="20">
        <f>IFERROR((IF(AND($F149="Produit Vente",DR149&gt;0),VLOOKUP($C149,'[1]Paramètres Articles'!$B:$H,6,FALSE)*$DR149)*(1-15%)),0)</f>
        <v/>
      </c>
      <c r="DU149" s="20">
        <f>IFERROR(DQ149*J149,0)</f>
        <v/>
      </c>
    </row>
    <row r="150" outlineLevel="1" collapsed="1" ht="12.95" customHeight="1">
      <c r="B150" s="1">
        <f>IF(C150="",0,COUNTIFS($B$22:B149,"&gt;"&amp;0)+1)</f>
        <v/>
      </c>
      <c r="C150" s="90" t="n"/>
      <c r="D150" s="91">
        <f>IFERROR(IF($C150="","",VLOOKUP($C150,'[1]Paramètres Articles'!$B:$G,2,FALSE)),"Non Trouvé")</f>
        <v/>
      </c>
      <c r="E150" s="92">
        <f>IFERROR(IF($C150="","",_xlfn.XLOOKUP(REGENERANTS!$C150,'[1]New Base PA'!$F:$F,'[1]New Base PA'!$D:$D,"Not Found",0)),"Non Trouvé")</f>
        <v/>
      </c>
      <c r="F150" s="93" t="n"/>
      <c r="H150" s="106" t="n"/>
      <c r="J150" s="95">
        <f>IFERROR(IF($C150="","",VLOOKUP($C150,'[1]New Base PA'!$F:$J,5,FALSE)),"Non Trouvé")</f>
        <v/>
      </c>
      <c r="K150" s="136">
        <f>IFERROR(IF($C150="","",$J150*$H150),"Non Trouvé")</f>
        <v/>
      </c>
      <c r="L150" s="137" t="n"/>
      <c r="M150" s="95">
        <f>IFERROR(IF(AND($F150="Produit Vente",H150&gt;0),VLOOKUP($C150,'[1]Paramètres Articles'!$B:$G,6,FALSE),0),"Non Trouvé")</f>
        <v/>
      </c>
      <c r="N150" s="95">
        <f>IFERROR(IF($C150="","",$M150*$H150),"Non Trouvé")</f>
        <v/>
      </c>
      <c r="P150" s="97" t="n"/>
      <c r="R150" s="95">
        <f>IFERROR(IF($C150="","",$N150*(1-$P150)),"Non Trouvé")</f>
        <v/>
      </c>
      <c r="S150" s="96" t="n"/>
      <c r="T150" s="95">
        <f>IFERROR(IF($C150="","",VLOOKUP($C150,'[1]Paramètres Articles'!$B:$H,7,FALSE)),"Non Trouvé")</f>
        <v/>
      </c>
      <c r="U150" s="98" t="n"/>
      <c r="V150" s="95">
        <f>IFERROR(IF($C150="","",IF($P150="","",$T150*(1-$P150))),"Non Trouvé")</f>
        <v/>
      </c>
      <c r="W150" s="96" t="n"/>
      <c r="X150" s="95">
        <f>IFERROR(T150-V150,"")</f>
        <v/>
      </c>
      <c r="Y150" s="96" t="n"/>
      <c r="Z150" s="95">
        <f>IFERROR(IF(OR(T150=0,T150=""),0,T150*H150),"Non Trouvé")</f>
        <v/>
      </c>
      <c r="AB150" s="99">
        <f>AB148</f>
        <v/>
      </c>
      <c r="AC150" s="99">
        <f>AC148</f>
        <v/>
      </c>
      <c r="AD150" s="95">
        <f>IFERROR(IF($C150="","",IF($P$15="Cascade",$R150*(1-AC150)*AB150,IF($P$15="Additionnelle",($N150-($N150*($P150+AC150)))*AB150))),"Non Trouvé")</f>
        <v/>
      </c>
      <c r="AG150" s="99">
        <f>AG148</f>
        <v/>
      </c>
      <c r="AH150" s="99">
        <f>AH148</f>
        <v/>
      </c>
      <c r="AI150" s="95">
        <f>IFERROR(IF($C150="","",IF($P$15="Cascade",$R150*(1-AH150)*AG150,IF($P$15="Additionnelle",($N150-($N150*($P150+AH150)))*AG150))),"Non Trouvé")</f>
        <v/>
      </c>
      <c r="AL150" s="99">
        <f>AL148</f>
        <v/>
      </c>
      <c r="AM150" s="99">
        <f>AM148</f>
        <v/>
      </c>
      <c r="AN150" s="95">
        <f>IFERROR(IF($C150="","",IF($P$15="Cascade",$R150*(1-AM150)*AL150,IF($P$15="Additionnelle",($N150-($N150*($P150+AM150)))*AL150))),"Non Trouvé")</f>
        <v/>
      </c>
      <c r="AQ150" s="99">
        <f>AQ148</f>
        <v/>
      </c>
      <c r="AR150" s="99">
        <f>AR148</f>
        <v/>
      </c>
      <c r="AS150" s="95">
        <f>IFERROR(IF($C150="","",IF($P$15="Cascade",$R150*(1-AR150)*AQ150,IF($P$15="Additionnelle",($N150-($N150*($P150+AR150)))*AQ150))),"Non Trouvé")</f>
        <v/>
      </c>
      <c r="AV150" s="99">
        <f>AV148</f>
        <v/>
      </c>
      <c r="AW150" s="99">
        <f>AW148</f>
        <v/>
      </c>
      <c r="AX150" s="95">
        <f>IFERROR(IF($C150="","",IF($P$15="Cascade",$R150*(1-AW150)*AV150,IF($P$15="Additionnelle",($N150-($N150*($P150+AW150)))*AV150))),"Non Trouvé")</f>
        <v/>
      </c>
      <c r="BA150" s="99">
        <f>BA148</f>
        <v/>
      </c>
      <c r="BB150" s="99">
        <f>BB148</f>
        <v/>
      </c>
      <c r="BC150" s="95">
        <f>IFERROR(IF($C150="","",IF($P$15="Cascade",$R150*(1-BB150)*BA150,IF($P$15="Additionnelle",($N150-($N150*($P150+BB150)))*BA150))),"Non Trouvé")</f>
        <v/>
      </c>
      <c r="BF150" s="99">
        <f>BF148</f>
        <v/>
      </c>
      <c r="BG150" s="99">
        <f>BG148</f>
        <v/>
      </c>
      <c r="BH150" s="95">
        <f>IFERROR(IF($C150="","",IF($P$15="Cascade",$R150*(1-BG150)*BF150,IF($P$15="Additionnelle",($N150-($N150*($P150+BG150)))*BF150))),"Non Trouvé")</f>
        <v/>
      </c>
      <c r="BK150" s="99">
        <f>BK148</f>
        <v/>
      </c>
      <c r="BL150" s="99">
        <f>BL148</f>
        <v/>
      </c>
      <c r="BM150" s="95">
        <f>IFERROR(IF($C150="","",IF($P$15="Cascade",$R150*(1-BL150)*BK150,IF($P$15="Additionnelle",($N150-($N150*($P150+BL150)))*BK150))),"Non Trouvé")</f>
        <v/>
      </c>
      <c r="BP150" s="99">
        <f>BP148</f>
        <v/>
      </c>
      <c r="BQ150" s="99">
        <f>BQ148</f>
        <v/>
      </c>
      <c r="BR150" s="95">
        <f>IFERROR(IF($C150="","",IF($P$15="Cascade",$R150*(1-BQ150)*BP150,IF($P$15="Additionnelle",($N150-($N150*($P150+BQ150)))*BP150))),"Non Trouvé")</f>
        <v/>
      </c>
      <c r="BU150" s="99">
        <f>BU148</f>
        <v/>
      </c>
      <c r="BV150" s="99">
        <f>BV148</f>
        <v/>
      </c>
      <c r="BW150" s="95">
        <f>IFERROR(IF($C150="","",IF($P$15="Cascade",$R150*(1-BV150)*BU150,IF($P$15="Additionnelle",($N150-($N150*($P150+BV150)))*BU150))),"Non Trouvé")</f>
        <v/>
      </c>
      <c r="BZ150" s="99">
        <f>BZ148</f>
        <v/>
      </c>
      <c r="CA150" s="99">
        <f>CA148</f>
        <v/>
      </c>
      <c r="CB150" s="95">
        <f>IFERROR(IF($C150="","",IF($P$15="Cascade",$R150*(1-CA150)*BZ150,IF($P$15="Additionnelle",($N150-($N150*($P150+CA150)))*BZ150))),"Non Trouvé")</f>
        <v/>
      </c>
      <c r="CE150" s="100" t="n"/>
      <c r="CF150" s="101" t="n"/>
      <c r="CG150" s="102" t="n"/>
      <c r="CH150" s="102" t="n"/>
      <c r="CI150" s="103" t="n"/>
      <c r="CK150" s="104">
        <f>IFERROR(IF(F150='[1]Paramètres Généraux'!$K$12,ROUNDUP((REGENERANTS!H150*REGENERANTS!$CF$112)*'[1]Paramètres Généraux'!$M$12,-1),IF(F150='[1]Paramètres Généraux'!$K$15,ROUNDUP((REGENERANTS!H150*REGENERANTS!$CF$112)*'[1]Paramètres Généraux'!$M$15,-1),REGENERANTS!H150*REGENERANTS!$CF$112)),"nd")</f>
        <v/>
      </c>
      <c r="CN150" s="153" t="n"/>
      <c r="CO150" s="154" t="n"/>
      <c r="CP150" s="154" t="n"/>
      <c r="CQ150" s="154" t="n"/>
      <c r="CR150" s="154" t="n"/>
      <c r="CS150" s="180" t="n"/>
      <c r="CT150" s="181" t="n"/>
      <c r="CU150" s="154" t="n"/>
      <c r="CV150" s="180" t="n"/>
      <c r="CW150" s="157" t="n"/>
      <c r="CX150" s="156" t="n"/>
      <c r="CY150" s="157" t="n"/>
      <c r="CZ150" s="143" t="n"/>
      <c r="DA150" s="156" t="n"/>
      <c r="DB150" s="157" t="n"/>
      <c r="DC150" s="143" t="n"/>
      <c r="DD150" s="156" t="n"/>
      <c r="DE150" s="157" t="n"/>
      <c r="DF150" s="143" t="n"/>
      <c r="DG150" s="143" t="n"/>
      <c r="DH150" s="143" t="n"/>
      <c r="DI150" s="143" t="n"/>
      <c r="DJ150" s="143" t="n"/>
      <c r="DK150" s="143" t="n"/>
      <c r="DL150" s="143" t="n"/>
      <c r="DM150" s="143" t="n"/>
      <c r="DN150" s="143" t="n"/>
      <c r="DO150" s="156" t="n"/>
      <c r="DP150" s="157" t="n"/>
      <c r="DQ150" s="20">
        <f>SUM(CN150:DP150)</f>
        <v/>
      </c>
      <c r="DR150" s="20">
        <f>SUM(CV150:DP150)</f>
        <v/>
      </c>
      <c r="DS150" s="20">
        <f>IFERROR((IF(AND($F150="Produit Vente",CO150&gt;0),VLOOKUP($C150,'[1]Paramètres Articles'!$B:$H,7,FALSE)*$CO150)*(1-20%)),0)</f>
        <v/>
      </c>
      <c r="DT150" s="20">
        <f>IFERROR((IF(AND($F150="Produit Vente",DR150&gt;0),VLOOKUP($C150,'[1]Paramètres Articles'!$B:$H,6,FALSE)*$DR150)*(1-15%)),0)</f>
        <v/>
      </c>
      <c r="DU150" s="20">
        <f>IFERROR(DQ150*J150,0)</f>
        <v/>
      </c>
    </row>
    <row r="151" outlineLevel="1" collapsed="1" ht="12.95" customHeight="1">
      <c r="B151" s="1">
        <f>IF(C151="",0,COUNTIFS($B$22:B150,"&gt;"&amp;0)+1)</f>
        <v/>
      </c>
      <c r="C151" s="90" t="n"/>
      <c r="D151" s="91">
        <f>IFERROR(IF($C151="","",VLOOKUP($C151,'[1]Paramètres Articles'!$B:$G,2,FALSE)),"Non Trouvé")</f>
        <v/>
      </c>
      <c r="E151" s="92">
        <f>IFERROR(IF($C151="","",_xlfn.XLOOKUP(REGENERANTS!$C151,'[1]New Base PA'!$F:$F,'[1]New Base PA'!$D:$D,"Not Found",0)),"Non Trouvé")</f>
        <v/>
      </c>
      <c r="F151" s="93" t="n"/>
      <c r="H151" s="106" t="n"/>
      <c r="J151" s="95">
        <f>IFERROR(IF($C151="","",VLOOKUP($C151,'[1]New Base PA'!$F:$J,5,FALSE)),"Non Trouvé")</f>
        <v/>
      </c>
      <c r="K151" s="136">
        <f>IFERROR(IF($C151="","",$J151*$H151),"Non Trouvé")</f>
        <v/>
      </c>
      <c r="L151" s="137" t="n"/>
      <c r="M151" s="95">
        <f>IFERROR(IF(AND($F151="Produit Vente",H151&gt;0),VLOOKUP($C151,'[1]Paramètres Articles'!$B:$G,6,FALSE),0),"Non Trouvé")</f>
        <v/>
      </c>
      <c r="N151" s="95">
        <f>IFERROR(IF($C151="","",$M151*$H151),"Non Trouvé")</f>
        <v/>
      </c>
      <c r="P151" s="97" t="n"/>
      <c r="R151" s="95">
        <f>IFERROR(IF($C151="","",$N151*(1-$P151)),"Non Trouvé")</f>
        <v/>
      </c>
      <c r="S151" s="96" t="n"/>
      <c r="T151" s="95">
        <f>IFERROR(IF($C151="","",VLOOKUP($C151,'[1]Paramètres Articles'!$B:$H,7,FALSE)),"Non Trouvé")</f>
        <v/>
      </c>
      <c r="U151" s="98" t="n"/>
      <c r="V151" s="95">
        <f>IFERROR(IF($C151="","",IF($P151="","",$T151*(1-$P151))),"Non Trouvé")</f>
        <v/>
      </c>
      <c r="W151" s="96" t="n"/>
      <c r="X151" s="95">
        <f>IFERROR(T151-V151,"")</f>
        <v/>
      </c>
      <c r="Y151" s="96" t="n"/>
      <c r="Z151" s="95">
        <f>IFERROR(IF(OR(T151=0,T151=""),0,T151*H151),"Non Trouvé")</f>
        <v/>
      </c>
      <c r="AB151" s="99">
        <f>AB149</f>
        <v/>
      </c>
      <c r="AC151" s="99">
        <f>AC149</f>
        <v/>
      </c>
      <c r="AD151" s="95">
        <f>IFERROR(IF($C151="","",IF($P$15="Cascade",$R151*(1-AC151)*AB151,IF($P$15="Additionnelle",($N151-($N151*($P151+AC151)))*AB151))),"Non Trouvé")</f>
        <v/>
      </c>
      <c r="AG151" s="99">
        <f>AG149</f>
        <v/>
      </c>
      <c r="AH151" s="99">
        <f>AH149</f>
        <v/>
      </c>
      <c r="AI151" s="95">
        <f>IFERROR(IF($C151="","",IF($P$15="Cascade",$R151*(1-AH151)*AG151,IF($P$15="Additionnelle",($N151-($N151*($P151+AH151)))*AG151))),"Non Trouvé")</f>
        <v/>
      </c>
      <c r="AL151" s="99">
        <f>AL149</f>
        <v/>
      </c>
      <c r="AM151" s="99">
        <f>AM149</f>
        <v/>
      </c>
      <c r="AN151" s="95">
        <f>IFERROR(IF($C151="","",IF($P$15="Cascade",$R151*(1-AM151)*AL151,IF($P$15="Additionnelle",($N151-($N151*($P151+AM151)))*AL151))),"Non Trouvé")</f>
        <v/>
      </c>
      <c r="AQ151" s="99">
        <f>AQ149</f>
        <v/>
      </c>
      <c r="AR151" s="99">
        <f>AR149</f>
        <v/>
      </c>
      <c r="AS151" s="95">
        <f>IFERROR(IF($C151="","",IF($P$15="Cascade",$R151*(1-AR151)*AQ151,IF($P$15="Additionnelle",($N151-($N151*($P151+AR151)))*AQ151))),"Non Trouvé")</f>
        <v/>
      </c>
      <c r="AV151" s="99">
        <f>AV149</f>
        <v/>
      </c>
      <c r="AW151" s="99">
        <f>AW149</f>
        <v/>
      </c>
      <c r="AX151" s="95">
        <f>IFERROR(IF($C151="","",IF($P$15="Cascade",$R151*(1-AW151)*AV151,IF($P$15="Additionnelle",($N151-($N151*($P151+AW151)))*AV151))),"Non Trouvé")</f>
        <v/>
      </c>
      <c r="BA151" s="99">
        <f>BA149</f>
        <v/>
      </c>
      <c r="BB151" s="99">
        <f>BB149</f>
        <v/>
      </c>
      <c r="BC151" s="95">
        <f>IFERROR(IF($C151="","",IF($P$15="Cascade",$R151*(1-BB151)*BA151,IF($P$15="Additionnelle",($N151-($N151*($P151+BB151)))*BA151))),"Non Trouvé")</f>
        <v/>
      </c>
      <c r="BF151" s="99">
        <f>BF149</f>
        <v/>
      </c>
      <c r="BG151" s="99">
        <f>BG149</f>
        <v/>
      </c>
      <c r="BH151" s="95">
        <f>IFERROR(IF($C151="","",IF($P$15="Cascade",$R151*(1-BG151)*BF151,IF($P$15="Additionnelle",($N151-($N151*($P151+BG151)))*BF151))),"Non Trouvé")</f>
        <v/>
      </c>
      <c r="BK151" s="99">
        <f>BK149</f>
        <v/>
      </c>
      <c r="BL151" s="99">
        <f>BL149</f>
        <v/>
      </c>
      <c r="BM151" s="95">
        <f>IFERROR(IF($C151="","",IF($P$15="Cascade",$R151*(1-BL151)*BK151,IF($P$15="Additionnelle",($N151-($N151*($P151+BL151)))*BK151))),"Non Trouvé")</f>
        <v/>
      </c>
      <c r="BP151" s="99">
        <f>BP149</f>
        <v/>
      </c>
      <c r="BQ151" s="99">
        <f>BQ149</f>
        <v/>
      </c>
      <c r="BR151" s="95">
        <f>IFERROR(IF($C151="","",IF($P$15="Cascade",$R151*(1-BQ151)*BP151,IF($P$15="Additionnelle",($N151-($N151*($P151+BQ151)))*BP151))),"Non Trouvé")</f>
        <v/>
      </c>
      <c r="BU151" s="99">
        <f>BU149</f>
        <v/>
      </c>
      <c r="BV151" s="99">
        <f>BV149</f>
        <v/>
      </c>
      <c r="BW151" s="95">
        <f>IFERROR(IF($C151="","",IF($P$15="Cascade",$R151*(1-BV151)*BU151,IF($P$15="Additionnelle",($N151-($N151*($P151+BV151)))*BU151))),"Non Trouvé")</f>
        <v/>
      </c>
      <c r="BZ151" s="99">
        <f>BZ149</f>
        <v/>
      </c>
      <c r="CA151" s="99">
        <f>CA149</f>
        <v/>
      </c>
      <c r="CB151" s="95">
        <f>IFERROR(IF($C151="","",IF($P$15="Cascade",$R151*(1-CA151)*BZ151,IF($P$15="Additionnelle",($N151-($N151*($P151+CA151)))*BZ151))),"Non Trouvé")</f>
        <v/>
      </c>
      <c r="CE151" s="100" t="n"/>
      <c r="CF151" s="101" t="n"/>
      <c r="CG151" s="102" t="n"/>
      <c r="CH151" s="102" t="n"/>
      <c r="CI151" s="103" t="n"/>
      <c r="CK151" s="104">
        <f>IFERROR(IF(F151='[1]Paramètres Généraux'!$K$12,ROUNDUP((REGENERANTS!H151*REGENERANTS!$CF$112)*'[1]Paramètres Généraux'!$M$12,-1),IF(F151='[1]Paramètres Généraux'!$K$15,ROUNDUP((REGENERANTS!H151*REGENERANTS!$CF$112)*'[1]Paramètres Généraux'!$M$15,-1),REGENERANTS!H151*REGENERANTS!$CF$112)),"nd")</f>
        <v/>
      </c>
      <c r="CN151" s="153" t="n"/>
      <c r="CO151" s="154" t="n"/>
      <c r="CP151" s="154" t="n"/>
      <c r="CQ151" s="154" t="n"/>
      <c r="CR151" s="154" t="n"/>
      <c r="CS151" s="180" t="n"/>
      <c r="CT151" s="181" t="n"/>
      <c r="CU151" s="154" t="n"/>
      <c r="CV151" s="180" t="n"/>
      <c r="CW151" s="157" t="n"/>
      <c r="CX151" s="156" t="n"/>
      <c r="CY151" s="157" t="n"/>
      <c r="CZ151" s="143" t="n"/>
      <c r="DA151" s="156" t="n"/>
      <c r="DB151" s="157" t="n"/>
      <c r="DC151" s="143" t="n"/>
      <c r="DD151" s="156" t="n"/>
      <c r="DE151" s="157" t="n"/>
      <c r="DF151" s="143" t="n"/>
      <c r="DG151" s="143" t="n"/>
      <c r="DH151" s="143" t="n"/>
      <c r="DI151" s="143" t="n"/>
      <c r="DJ151" s="143" t="n"/>
      <c r="DK151" s="143" t="n"/>
      <c r="DL151" s="143" t="n"/>
      <c r="DM151" s="143" t="n"/>
      <c r="DN151" s="143" t="n"/>
      <c r="DO151" s="156" t="n"/>
      <c r="DP151" s="157" t="n"/>
      <c r="DQ151" s="20">
        <f>SUM(CN151:DP151)</f>
        <v/>
      </c>
      <c r="DR151" s="20">
        <f>SUM(CV151:DP151)</f>
        <v/>
      </c>
      <c r="DS151" s="20">
        <f>IFERROR((IF(AND($F151="Produit Vente",CO151&gt;0),VLOOKUP($C151,'[1]Paramètres Articles'!$B:$H,7,FALSE)*$CO151)*(1-20%)),0)</f>
        <v/>
      </c>
      <c r="DT151" s="20">
        <f>IFERROR((IF(AND($F151="Produit Vente",DR151&gt;0),VLOOKUP($C151,'[1]Paramètres Articles'!$B:$H,6,FALSE)*$DR151)*(1-15%)),0)</f>
        <v/>
      </c>
      <c r="DU151" s="20">
        <f>IFERROR(DQ151*J151,0)</f>
        <v/>
      </c>
    </row>
    <row r="152" outlineLevel="1" collapsed="1" ht="12.95" customHeight="1">
      <c r="B152" s="1">
        <f>IF(C152="",0,COUNTIFS($B$22:B151,"&gt;"&amp;0)+1)</f>
        <v/>
      </c>
      <c r="C152" s="90" t="n"/>
      <c r="D152" s="91">
        <f>IFERROR(IF($C152="","",VLOOKUP($C152,'[1]Paramètres Articles'!$B:$G,2,FALSE)),"Non Trouvé")</f>
        <v/>
      </c>
      <c r="E152" s="92">
        <f>IFERROR(IF($C152="","",_xlfn.XLOOKUP(REGENERANTS!$C152,'[1]New Base PA'!$F:$F,'[1]New Base PA'!$D:$D,"Not Found",0)),"Non Trouvé")</f>
        <v/>
      </c>
      <c r="F152" s="93" t="n"/>
      <c r="H152" s="106" t="n"/>
      <c r="J152" s="95">
        <f>IFERROR(IF($C152="","",VLOOKUP($C152,'[1]New Base PA'!$F:$J,5,FALSE)),"Non Trouvé")</f>
        <v/>
      </c>
      <c r="K152" s="136">
        <f>IFERROR(IF($C152="","",$J152*$H152),"Non Trouvé")</f>
        <v/>
      </c>
      <c r="L152" s="137" t="n"/>
      <c r="M152" s="95">
        <f>IFERROR(IF(AND($F152="Produit Vente",H152&gt;0),VLOOKUP($C152,'[1]Paramètres Articles'!$B:$G,6,FALSE),0),"Non Trouvé")</f>
        <v/>
      </c>
      <c r="N152" s="95">
        <f>IFERROR(IF($C152="","",$M152*$H152),"Non Trouvé")</f>
        <v/>
      </c>
      <c r="P152" s="97" t="n"/>
      <c r="R152" s="95">
        <f>IFERROR(IF($C152="","",$N152*(1-$P152)),"Non Trouvé")</f>
        <v/>
      </c>
      <c r="S152" s="96" t="n"/>
      <c r="T152" s="95">
        <f>IFERROR(IF($C152="","",VLOOKUP($C152,'[1]Paramètres Articles'!$B:$H,7,FALSE)),"Non Trouvé")</f>
        <v/>
      </c>
      <c r="U152" s="98" t="n"/>
      <c r="V152" s="95">
        <f>IFERROR(IF($C152="","",IF($P152="","",$T152*(1-$P152))),"Non Trouvé")</f>
        <v/>
      </c>
      <c r="W152" s="96" t="n"/>
      <c r="X152" s="95">
        <f>IFERROR(T152-V152,"")</f>
        <v/>
      </c>
      <c r="Y152" s="96" t="n"/>
      <c r="Z152" s="95">
        <f>IFERROR(IF(OR(T152=0,T152=""),0,T152*H152),"Non Trouvé")</f>
        <v/>
      </c>
      <c r="AB152" s="99">
        <f>AB150</f>
        <v/>
      </c>
      <c r="AC152" s="99">
        <f>AC150</f>
        <v/>
      </c>
      <c r="AD152" s="95">
        <f>IFERROR(IF($C152="","",IF($P$15="Cascade",$R152*(1-AC152)*AB152,IF($P$15="Additionnelle",($N152-($N152*($P152+AC152)))*AB152))),"Non Trouvé")</f>
        <v/>
      </c>
      <c r="AG152" s="99">
        <f>AG150</f>
        <v/>
      </c>
      <c r="AH152" s="99">
        <f>AH150</f>
        <v/>
      </c>
      <c r="AI152" s="95">
        <f>IFERROR(IF($C152="","",IF($P$15="Cascade",$R152*(1-AH152)*AG152,IF($P$15="Additionnelle",($N152-($N152*($P152+AH152)))*AG152))),"Non Trouvé")</f>
        <v/>
      </c>
      <c r="AL152" s="99">
        <f>AL150</f>
        <v/>
      </c>
      <c r="AM152" s="99">
        <f>AM150</f>
        <v/>
      </c>
      <c r="AN152" s="95">
        <f>IFERROR(IF($C152="","",IF($P$15="Cascade",$R152*(1-AM152)*AL152,IF($P$15="Additionnelle",($N152-($N152*($P152+AM152)))*AL152))),"Non Trouvé")</f>
        <v/>
      </c>
      <c r="AQ152" s="99">
        <f>AQ150</f>
        <v/>
      </c>
      <c r="AR152" s="99">
        <f>AR150</f>
        <v/>
      </c>
      <c r="AS152" s="95">
        <f>IFERROR(IF($C152="","",IF($P$15="Cascade",$R152*(1-AR152)*AQ152,IF($P$15="Additionnelle",($N152-($N152*($P152+AR152)))*AQ152))),"Non Trouvé")</f>
        <v/>
      </c>
      <c r="AV152" s="99">
        <f>AV150</f>
        <v/>
      </c>
      <c r="AW152" s="99">
        <f>AW150</f>
        <v/>
      </c>
      <c r="AX152" s="95">
        <f>IFERROR(IF($C152="","",IF($P$15="Cascade",$R152*(1-AW152)*AV152,IF($P$15="Additionnelle",($N152-($N152*($P152+AW152)))*AV152))),"Non Trouvé")</f>
        <v/>
      </c>
      <c r="BA152" s="99">
        <f>BA150</f>
        <v/>
      </c>
      <c r="BB152" s="99">
        <f>BB150</f>
        <v/>
      </c>
      <c r="BC152" s="95">
        <f>IFERROR(IF($C152="","",IF($P$15="Cascade",$R152*(1-BB152)*BA152,IF($P$15="Additionnelle",($N152-($N152*($P152+BB152)))*BA152))),"Non Trouvé")</f>
        <v/>
      </c>
      <c r="BF152" s="99">
        <f>BF150</f>
        <v/>
      </c>
      <c r="BG152" s="99">
        <f>BG150</f>
        <v/>
      </c>
      <c r="BH152" s="95">
        <f>IFERROR(IF($C152="","",IF($P$15="Cascade",$R152*(1-BG152)*BF152,IF($P$15="Additionnelle",($N152-($N152*($P152+BG152)))*BF152))),"Non Trouvé")</f>
        <v/>
      </c>
      <c r="BK152" s="99">
        <f>BK150</f>
        <v/>
      </c>
      <c r="BL152" s="99">
        <f>BL150</f>
        <v/>
      </c>
      <c r="BM152" s="95">
        <f>IFERROR(IF($C152="","",IF($P$15="Cascade",$R152*(1-BL152)*BK152,IF($P$15="Additionnelle",($N152-($N152*($P152+BL152)))*BK152))),"Non Trouvé")</f>
        <v/>
      </c>
      <c r="BP152" s="99">
        <f>BP150</f>
        <v/>
      </c>
      <c r="BQ152" s="99">
        <f>BQ150</f>
        <v/>
      </c>
      <c r="BR152" s="95">
        <f>IFERROR(IF($C152="","",IF($P$15="Cascade",$R152*(1-BQ152)*BP152,IF($P$15="Additionnelle",($N152-($N152*($P152+BQ152)))*BP152))),"Non Trouvé")</f>
        <v/>
      </c>
      <c r="BU152" s="99">
        <f>BU150</f>
        <v/>
      </c>
      <c r="BV152" s="99">
        <f>BV150</f>
        <v/>
      </c>
      <c r="BW152" s="95">
        <f>IFERROR(IF($C152="","",IF($P$15="Cascade",$R152*(1-BV152)*BU152,IF($P$15="Additionnelle",($N152-($N152*($P152+BV152)))*BU152))),"Non Trouvé")</f>
        <v/>
      </c>
      <c r="BZ152" s="99">
        <f>BZ150</f>
        <v/>
      </c>
      <c r="CA152" s="99">
        <f>CA150</f>
        <v/>
      </c>
      <c r="CB152" s="95">
        <f>IFERROR(IF($C152="","",IF($P$15="Cascade",$R152*(1-CA152)*BZ152,IF($P$15="Additionnelle",($N152-($N152*($P152+CA152)))*BZ152))),"Non Trouvé")</f>
        <v/>
      </c>
      <c r="CE152" s="100" t="n"/>
      <c r="CF152" s="101" t="n"/>
      <c r="CG152" s="102" t="n"/>
      <c r="CH152" s="102" t="n"/>
      <c r="CI152" s="103" t="n"/>
      <c r="CK152" s="104">
        <f>IFERROR(IF(F152='[1]Paramètres Généraux'!$K$12,ROUNDUP((REGENERANTS!H152*REGENERANTS!$CF$112)*'[1]Paramètres Généraux'!$M$12,-1),IF(F152='[1]Paramètres Généraux'!$K$15,ROUNDUP((REGENERANTS!H152*REGENERANTS!$CF$112)*'[1]Paramètres Généraux'!$M$15,-1),REGENERANTS!H152*REGENERANTS!$CF$112)),"nd")</f>
        <v/>
      </c>
      <c r="CN152" s="153" t="n"/>
      <c r="CO152" s="154" t="n"/>
      <c r="CP152" s="154" t="n"/>
      <c r="CQ152" s="154" t="n"/>
      <c r="CR152" s="154" t="n"/>
      <c r="CS152" s="180" t="n"/>
      <c r="CT152" s="181" t="n"/>
      <c r="CU152" s="154" t="n"/>
      <c r="CV152" s="180" t="n"/>
      <c r="CW152" s="157" t="n"/>
      <c r="CX152" s="156" t="n"/>
      <c r="CY152" s="157" t="n"/>
      <c r="CZ152" s="143" t="n"/>
      <c r="DA152" s="156" t="n"/>
      <c r="DB152" s="157" t="n"/>
      <c r="DC152" s="143" t="n"/>
      <c r="DD152" s="156" t="n"/>
      <c r="DE152" s="157" t="n"/>
      <c r="DF152" s="143" t="n"/>
      <c r="DG152" s="143" t="n"/>
      <c r="DH152" s="143" t="n"/>
      <c r="DI152" s="143" t="n"/>
      <c r="DJ152" s="143" t="n"/>
      <c r="DK152" s="143" t="n"/>
      <c r="DL152" s="143" t="n"/>
      <c r="DM152" s="143" t="n"/>
      <c r="DN152" s="143" t="n"/>
      <c r="DO152" s="156" t="n"/>
      <c r="DP152" s="157" t="n"/>
      <c r="DQ152" s="20">
        <f>SUM(CN152:DP152)</f>
        <v/>
      </c>
      <c r="DR152" s="20">
        <f>SUM(CV152:DP152)</f>
        <v/>
      </c>
      <c r="DS152" s="20">
        <f>IFERROR((IF(AND($F152="Produit Vente",CO152&gt;0),VLOOKUP($C152,'[1]Paramètres Articles'!$B:$H,7,FALSE)*$CO152)*(1-20%)),0)</f>
        <v/>
      </c>
      <c r="DT152" s="20">
        <f>IFERROR((IF(AND($F152="Produit Vente",DR152&gt;0),VLOOKUP($C152,'[1]Paramètres Articles'!$B:$H,6,FALSE)*$DR152)*(1-15%)),0)</f>
        <v/>
      </c>
      <c r="DU152" s="20">
        <f>IFERROR(DQ152*J152,0)</f>
        <v/>
      </c>
    </row>
    <row r="153" outlineLevel="1" collapsed="1" ht="12.95" customHeight="1">
      <c r="B153" s="1">
        <f>IF(C153="",0,COUNTIFS($B$22:B152,"&gt;"&amp;0)+1)</f>
        <v/>
      </c>
      <c r="C153" s="90" t="n"/>
      <c r="D153" s="91">
        <f>IFERROR(IF($C153="","",VLOOKUP($C153,'[1]Paramètres Articles'!$B:$G,2,FALSE)),"Non Trouvé")</f>
        <v/>
      </c>
      <c r="E153" s="92">
        <f>IFERROR(IF($C153="","",_xlfn.XLOOKUP(REGENERANTS!$C153,'[1]New Base PA'!$F:$F,'[1]New Base PA'!$D:$D,"Not Found",0)),"Non Trouvé")</f>
        <v/>
      </c>
      <c r="F153" s="93" t="n"/>
      <c r="H153" s="106" t="n"/>
      <c r="J153" s="95">
        <f>IFERROR(IF($C153="","",VLOOKUP($C153,'[1]New Base PA'!$F:$J,5,FALSE)),"Non Trouvé")</f>
        <v/>
      </c>
      <c r="K153" s="136">
        <f>IFERROR(IF($C153="","",$J153*$H153),"Non Trouvé")</f>
        <v/>
      </c>
      <c r="L153" s="137" t="n"/>
      <c r="M153" s="95">
        <f>IFERROR(IF(AND($F153="Produit Vente",H153&gt;0),VLOOKUP($C153,'[1]Paramètres Articles'!$B:$G,6,FALSE),0),"Non Trouvé")</f>
        <v/>
      </c>
      <c r="N153" s="95">
        <f>IFERROR(IF($C153="","",$M153*$H153),"Non Trouvé")</f>
        <v/>
      </c>
      <c r="P153" s="97" t="n"/>
      <c r="R153" s="95">
        <f>IFERROR(IF($C153="","",$N153*(1-$P153)),"Non Trouvé")</f>
        <v/>
      </c>
      <c r="S153" s="96" t="n"/>
      <c r="T153" s="95">
        <f>IFERROR(IF($C153="","",VLOOKUP($C153,'[1]Paramètres Articles'!$B:$H,7,FALSE)),"Non Trouvé")</f>
        <v/>
      </c>
      <c r="U153" s="98" t="n"/>
      <c r="V153" s="95">
        <f>IFERROR(IF($C153="","",IF($P153="","",$T153*(1-$P153))),"Non Trouvé")</f>
        <v/>
      </c>
      <c r="W153" s="96" t="n"/>
      <c r="X153" s="95">
        <f>IFERROR(T153-V153,"")</f>
        <v/>
      </c>
      <c r="Y153" s="96" t="n"/>
      <c r="Z153" s="95">
        <f>IFERROR(IF(OR(T153=0,T153=""),0,T153*H153),"Non Trouvé")</f>
        <v/>
      </c>
      <c r="AB153" s="99">
        <f>AB151</f>
        <v/>
      </c>
      <c r="AC153" s="99">
        <f>AC151</f>
        <v/>
      </c>
      <c r="AD153" s="95">
        <f>IFERROR(IF($C153="","",IF($P$15="Cascade",$R153*(1-AC153)*AB153,IF($P$15="Additionnelle",($N153-($N153*($P153+AC153)))*AB153))),"Non Trouvé")</f>
        <v/>
      </c>
      <c r="AG153" s="99">
        <f>AG151</f>
        <v/>
      </c>
      <c r="AH153" s="99">
        <f>AH151</f>
        <v/>
      </c>
      <c r="AI153" s="95">
        <f>IFERROR(IF($C153="","",IF($P$15="Cascade",$R153*(1-AH153)*AG153,IF($P$15="Additionnelle",($N153-($N153*($P153+AH153)))*AG153))),"Non Trouvé")</f>
        <v/>
      </c>
      <c r="AL153" s="99">
        <f>AL151</f>
        <v/>
      </c>
      <c r="AM153" s="99">
        <f>AM151</f>
        <v/>
      </c>
      <c r="AN153" s="95">
        <f>IFERROR(IF($C153="","",IF($P$15="Cascade",$R153*(1-AM153)*AL153,IF($P$15="Additionnelle",($N153-($N153*($P153+AM153)))*AL153))),"Non Trouvé")</f>
        <v/>
      </c>
      <c r="AQ153" s="99">
        <f>AQ151</f>
        <v/>
      </c>
      <c r="AR153" s="99">
        <f>AR151</f>
        <v/>
      </c>
      <c r="AS153" s="95">
        <f>IFERROR(IF($C153="","",IF($P$15="Cascade",$R153*(1-AR153)*AQ153,IF($P$15="Additionnelle",($N153-($N153*($P153+AR153)))*AQ153))),"Non Trouvé")</f>
        <v/>
      </c>
      <c r="AV153" s="99">
        <f>AV151</f>
        <v/>
      </c>
      <c r="AW153" s="99">
        <f>AW151</f>
        <v/>
      </c>
      <c r="AX153" s="95">
        <f>IFERROR(IF($C153="","",IF($P$15="Cascade",$R153*(1-AW153)*AV153,IF($P$15="Additionnelle",($N153-($N153*($P153+AW153)))*AV153))),"Non Trouvé")</f>
        <v/>
      </c>
      <c r="BA153" s="99">
        <f>BA151</f>
        <v/>
      </c>
      <c r="BB153" s="99">
        <f>BB151</f>
        <v/>
      </c>
      <c r="BC153" s="95">
        <f>IFERROR(IF($C153="","",IF($P$15="Cascade",$R153*(1-BB153)*BA153,IF($P$15="Additionnelle",($N153-($N153*($P153+BB153)))*BA153))),"Non Trouvé")</f>
        <v/>
      </c>
      <c r="BF153" s="99">
        <f>BF151</f>
        <v/>
      </c>
      <c r="BG153" s="99">
        <f>BG151</f>
        <v/>
      </c>
      <c r="BH153" s="95">
        <f>IFERROR(IF($C153="","",IF($P$15="Cascade",$R153*(1-BG153)*BF153,IF($P$15="Additionnelle",($N153-($N153*($P153+BG153)))*BF153))),"Non Trouvé")</f>
        <v/>
      </c>
      <c r="BK153" s="99">
        <f>BK151</f>
        <v/>
      </c>
      <c r="BL153" s="99">
        <f>BL151</f>
        <v/>
      </c>
      <c r="BM153" s="95">
        <f>IFERROR(IF($C153="","",IF($P$15="Cascade",$R153*(1-BL153)*BK153,IF($P$15="Additionnelle",($N153-($N153*($P153+BL153)))*BK153))),"Non Trouvé")</f>
        <v/>
      </c>
      <c r="BP153" s="99">
        <f>BP151</f>
        <v/>
      </c>
      <c r="BQ153" s="99">
        <f>BQ151</f>
        <v/>
      </c>
      <c r="BR153" s="95">
        <f>IFERROR(IF($C153="","",IF($P$15="Cascade",$R153*(1-BQ153)*BP153,IF($P$15="Additionnelle",($N153-($N153*($P153+BQ153)))*BP153))),"Non Trouvé")</f>
        <v/>
      </c>
      <c r="BU153" s="99">
        <f>BU151</f>
        <v/>
      </c>
      <c r="BV153" s="99">
        <f>BV151</f>
        <v/>
      </c>
      <c r="BW153" s="95">
        <f>IFERROR(IF($C153="","",IF($P$15="Cascade",$R153*(1-BV153)*BU153,IF($P$15="Additionnelle",($N153-($N153*($P153+BV153)))*BU153))),"Non Trouvé")</f>
        <v/>
      </c>
      <c r="BZ153" s="99">
        <f>BZ151</f>
        <v/>
      </c>
      <c r="CA153" s="99">
        <f>CA151</f>
        <v/>
      </c>
      <c r="CB153" s="95">
        <f>IFERROR(IF($C153="","",IF($P$15="Cascade",$R153*(1-CA153)*BZ153,IF($P$15="Additionnelle",($N153-($N153*($P153+CA153)))*BZ153))),"Non Trouvé")</f>
        <v/>
      </c>
      <c r="CE153" s="100" t="n"/>
      <c r="CF153" s="101" t="n"/>
      <c r="CG153" s="102" t="n"/>
      <c r="CH153" s="102" t="n"/>
      <c r="CI153" s="103" t="n"/>
      <c r="CK153" s="104">
        <f>IFERROR(IF(F153='[1]Paramètres Généraux'!$K$12,ROUNDUP((REGENERANTS!H153*REGENERANTS!$CF$112)*'[1]Paramètres Généraux'!$M$12,-1),IF(F153='[1]Paramètres Généraux'!$K$15,ROUNDUP((REGENERANTS!H153*REGENERANTS!$CF$112)*'[1]Paramètres Généraux'!$M$15,-1),REGENERANTS!H153*REGENERANTS!$CF$112)),"nd")</f>
        <v/>
      </c>
      <c r="CN153" s="153" t="n"/>
      <c r="CO153" s="154" t="n"/>
      <c r="CP153" s="154" t="n"/>
      <c r="CQ153" s="154" t="n"/>
      <c r="CR153" s="154" t="n"/>
      <c r="CS153" s="180" t="n"/>
      <c r="CT153" s="181" t="n"/>
      <c r="CU153" s="154" t="n"/>
      <c r="CV153" s="180" t="n"/>
      <c r="CW153" s="157" t="n"/>
      <c r="CX153" s="156" t="n"/>
      <c r="CY153" s="157" t="n"/>
      <c r="CZ153" s="143" t="n"/>
      <c r="DA153" s="156" t="n"/>
      <c r="DB153" s="157" t="n"/>
      <c r="DC153" s="143" t="n"/>
      <c r="DD153" s="156" t="n"/>
      <c r="DE153" s="157" t="n"/>
      <c r="DF153" s="143" t="n"/>
      <c r="DG153" s="143" t="n"/>
      <c r="DH153" s="143" t="n"/>
      <c r="DI153" s="143" t="n"/>
      <c r="DJ153" s="143" t="n"/>
      <c r="DK153" s="143" t="n"/>
      <c r="DL153" s="143" t="n"/>
      <c r="DM153" s="143" t="n"/>
      <c r="DN153" s="143" t="n"/>
      <c r="DO153" s="156" t="n"/>
      <c r="DP153" s="157" t="n"/>
      <c r="DQ153" s="20">
        <f>SUM(CN153:DP153)</f>
        <v/>
      </c>
      <c r="DR153" s="20">
        <f>SUM(CV153:DP153)</f>
        <v/>
      </c>
      <c r="DS153" s="20">
        <f>IFERROR((IF(AND($F153="Produit Vente",CO153&gt;0),VLOOKUP($C153,'[1]Paramètres Articles'!$B:$H,7,FALSE)*$CO153)*(1-20%)),0)</f>
        <v/>
      </c>
      <c r="DT153" s="20">
        <f>IFERROR((IF(AND($F153="Produit Vente",DR153&gt;0),VLOOKUP($C153,'[1]Paramètres Articles'!$B:$H,6,FALSE)*$DR153)*(1-15%)),0)</f>
        <v/>
      </c>
      <c r="DU153" s="20">
        <f>IFERROR(DQ153*J153,0)</f>
        <v/>
      </c>
    </row>
    <row r="154">
      <c r="B154" s="1">
        <f>IF(C154="",0,COUNTIFS($B$22:B153,"&gt;"&amp;0)+1)</f>
        <v/>
      </c>
      <c r="CE154" s="162" t="n"/>
      <c r="CF154" s="163" t="n"/>
      <c r="CG154" s="163" t="n"/>
      <c r="CH154" s="163" t="n"/>
      <c r="CI154" s="164" t="n"/>
      <c r="CK154" s="104">
        <f>IFERROR(IF(F154='[1]Paramètres Généraux'!$K$12,ROUNDUP((REGENERANTS!H154*REGENERANTS!$CF$112)*'[1]Paramètres Généraux'!$M$12,-1),IF(F154='[1]Paramètres Généraux'!$K$15,ROUNDUP((REGENERANTS!H154*REGENERANTS!$CF$112)*'[1]Paramètres Généraux'!$M$15,-1),REGENERANTS!H154*REGENERANTS!$CF$112)),"nd")</f>
        <v/>
      </c>
      <c r="CN154" s="153" t="n"/>
      <c r="CO154" s="154" t="n"/>
      <c r="CP154" s="154" t="n"/>
      <c r="CQ154" s="154" t="n"/>
      <c r="CR154" s="154" t="n"/>
      <c r="CS154" s="180" t="n"/>
      <c r="CT154" s="181" t="n"/>
      <c r="CU154" s="154" t="n"/>
      <c r="CV154" s="180" t="n"/>
      <c r="CW154" s="157" t="n"/>
      <c r="CX154" s="156" t="n"/>
      <c r="CY154" s="157" t="n"/>
      <c r="CZ154" s="143" t="n"/>
      <c r="DA154" s="156" t="n"/>
      <c r="DB154" s="157" t="n"/>
      <c r="DC154" s="143" t="n"/>
      <c r="DD154" s="156" t="n"/>
      <c r="DE154" s="157" t="n"/>
      <c r="DF154" s="143" t="n"/>
      <c r="DG154" s="143" t="n"/>
      <c r="DH154" s="143" t="n"/>
      <c r="DI154" s="143" t="n"/>
      <c r="DJ154" s="143" t="n"/>
      <c r="DK154" s="143" t="n"/>
      <c r="DL154" s="143" t="n"/>
      <c r="DM154" s="143" t="n"/>
      <c r="DN154" s="143" t="n"/>
      <c r="DO154" s="156" t="n"/>
      <c r="DP154" s="157" t="n"/>
      <c r="DQ154" s="20">
        <f>SUM(CN154:DP154)</f>
        <v/>
      </c>
      <c r="DR154" s="20">
        <f>SUM(CV154:DP154)</f>
        <v/>
      </c>
      <c r="DS154" s="20">
        <f>IFERROR((IF(AND($F154="Produit Vente",CO154&gt;0),VLOOKUP($C154,'[1]Paramètres Articles'!$B:$H,7,FALSE)*$CO154)*(1-20%)),0)</f>
        <v/>
      </c>
      <c r="DT154" s="20">
        <f>IFERROR((IF(AND($F154="Produit Vente",DR154&gt;0),VLOOKUP($C154,'[1]Paramètres Articles'!$B:$H,6,FALSE)*$DR154)*(1-15%)),0)</f>
        <v/>
      </c>
      <c r="DU154" s="20">
        <f>IFERROR(DQ154*J154,0)</f>
        <v/>
      </c>
    </row>
    <row r="155" ht="15" customHeight="1">
      <c r="CK155" s="104" t="n"/>
    </row>
    <row r="156" hidden="1">
      <c r="C156" s="22" t="n"/>
      <c r="D156" s="23" t="n"/>
      <c r="E156" s="24" t="n"/>
      <c r="F156" s="25" t="inlineStr">
        <is>
          <t>Panachage 50 unités // Mécanique sell-out : pour 2 régé achetés = 1 baume lacté 75 ml offert</t>
        </is>
      </c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  <c r="AZ156" s="23" t="n"/>
      <c r="BA156" s="23" t="n"/>
      <c r="BB156" s="23" t="n"/>
      <c r="BC156" s="23" t="n"/>
      <c r="BD156" s="23" t="n"/>
      <c r="BE156" s="23" t="n"/>
      <c r="BF156" s="23" t="n"/>
      <c r="BG156" s="23" t="n"/>
      <c r="BH156" s="23" t="n"/>
      <c r="BI156" s="23" t="n"/>
      <c r="BJ156" s="23" t="n"/>
      <c r="BK156" s="23" t="n"/>
      <c r="BL156" s="23" t="n"/>
      <c r="BM156" s="23" t="n"/>
      <c r="BN156" s="23" t="n"/>
      <c r="BO156" s="23" t="n"/>
      <c r="BP156" s="23" t="n"/>
      <c r="BQ156" s="23" t="n"/>
      <c r="BR156" s="23" t="n"/>
      <c r="BS156" s="23" t="n"/>
      <c r="BT156" s="23" t="n"/>
      <c r="BU156" s="23" t="n"/>
      <c r="BV156" s="23" t="n"/>
      <c r="BW156" s="23" t="n"/>
      <c r="BX156" s="23" t="n"/>
      <c r="BY156" s="23" t="n"/>
      <c r="BZ156" s="23" t="n"/>
      <c r="CA156" s="23" t="n"/>
      <c r="CB156" s="23" t="n"/>
      <c r="CC156" s="23" t="n"/>
      <c r="CD156" s="23" t="n"/>
      <c r="CE156" s="23" t="n"/>
      <c r="CF156" s="23" t="n"/>
      <c r="CG156" s="23" t="n"/>
      <c r="CH156" s="23" t="n"/>
      <c r="CI156" s="23" t="n"/>
      <c r="CK156" s="104" t="n"/>
    </row>
    <row r="157" hidden="1" ht="5.25" customHeight="1">
      <c r="CK157" s="104" t="n"/>
    </row>
    <row r="158" hidden="1" ht="17.25" customHeight="1"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6" t="n"/>
      <c r="AP158" s="26" t="n"/>
      <c r="AQ158" s="26" t="n"/>
      <c r="AR158" s="26" t="n"/>
      <c r="AS158" s="26" t="n"/>
      <c r="AT158" s="26" t="n"/>
      <c r="AU158" s="26" t="n"/>
      <c r="AV158" s="26" t="n"/>
      <c r="AW158" s="26" t="n"/>
      <c r="AX158" s="26" t="n"/>
      <c r="AY158" s="26" t="n"/>
      <c r="AZ158" s="26" t="n"/>
      <c r="BA158" s="26" t="n"/>
      <c r="BB158" s="26" t="n"/>
      <c r="BC158" s="26" t="n"/>
      <c r="BD158" s="26" t="n"/>
      <c r="BE158" s="26" t="n"/>
      <c r="BF158" s="26" t="n"/>
      <c r="BG158" s="26" t="n"/>
      <c r="BH158" s="26" t="n"/>
      <c r="BI158" s="26" t="n"/>
      <c r="BJ158" s="26" t="n"/>
      <c r="BK158" s="26" t="n"/>
      <c r="BL158" s="26" t="n"/>
      <c r="BM158" s="26" t="n"/>
      <c r="BN158" s="26" t="n"/>
      <c r="BO158" s="26" t="n"/>
      <c r="BP158" s="26" t="n"/>
      <c r="BQ158" s="26" t="n"/>
      <c r="BR158" s="26" t="n"/>
      <c r="BS158" s="26" t="n"/>
      <c r="BT158" s="26" t="n"/>
      <c r="BU158" s="26" t="n"/>
      <c r="BV158" s="26" t="n"/>
      <c r="BW158" s="26" t="n"/>
      <c r="BX158" s="26" t="n"/>
      <c r="BY158" s="26" t="n"/>
      <c r="BZ158" s="26" t="n"/>
      <c r="CA158" s="26" t="n"/>
      <c r="CB158" s="26" t="n"/>
      <c r="CC158" s="26" t="n"/>
      <c r="CE158" s="27" t="n"/>
      <c r="CF158" s="28" t="n"/>
      <c r="CG158" s="28" t="n"/>
      <c r="CH158" s="28" t="n"/>
      <c r="CI158" s="29" t="n"/>
      <c r="CK158" s="104" t="n"/>
    </row>
    <row r="159" hidden="1">
      <c r="AB159" s="30" t="inlineStr">
        <is>
          <t>Tarif Retail</t>
        </is>
      </c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0" t="n"/>
      <c r="AR159" s="30" t="n"/>
      <c r="AS159" s="30" t="n"/>
      <c r="AT159" s="30" t="n"/>
      <c r="AV159" s="31" t="inlineStr">
        <is>
          <t>Tarif Institut</t>
        </is>
      </c>
      <c r="AW159" s="31" t="n"/>
      <c r="AX159" s="31" t="n"/>
      <c r="AY159" s="31" t="n"/>
      <c r="AZ159" s="31" t="n"/>
      <c r="BA159" s="31" t="n"/>
      <c r="BB159" s="31" t="n"/>
      <c r="BC159" s="31" t="n"/>
      <c r="BD159" s="31" t="n"/>
      <c r="BE159" s="31" t="n"/>
      <c r="BF159" s="31" t="n"/>
      <c r="BG159" s="31" t="n"/>
      <c r="BH159" s="31" t="n"/>
      <c r="BI159" s="31" t="n"/>
      <c r="BJ159" s="31" t="n"/>
      <c r="BK159" s="31" t="n"/>
      <c r="BL159" s="31" t="n"/>
      <c r="BM159" s="31" t="n"/>
      <c r="BN159" s="31" t="n"/>
      <c r="BO159" s="31" t="n"/>
      <c r="BP159" s="31" t="n"/>
      <c r="BQ159" s="31" t="n"/>
      <c r="BR159" s="31" t="n"/>
      <c r="BS159" s="31" t="n"/>
      <c r="BT159" s="31" t="n"/>
      <c r="BU159" s="31" t="n"/>
      <c r="BV159" s="31" t="n"/>
      <c r="BW159" s="31" t="n"/>
      <c r="BX159" s="31" t="n"/>
      <c r="BZ159" s="32" t="inlineStr">
        <is>
          <t>Autres</t>
        </is>
      </c>
      <c r="CA159" s="32" t="n"/>
      <c r="CB159" s="32" t="n"/>
      <c r="CC159" s="32" t="n"/>
      <c r="CE159" s="33" t="n"/>
      <c r="CF159" s="34" t="inlineStr">
        <is>
          <t>Tous réseaux</t>
        </is>
      </c>
      <c r="CG159" s="34" t="n"/>
      <c r="CH159" s="34" t="n"/>
      <c r="CI159" s="35" t="n"/>
      <c r="CK159" s="104" t="n"/>
    </row>
    <row r="160" hidden="1" ht="5.25" customHeight="1">
      <c r="CE160" s="33" t="n"/>
      <c r="CF160" s="39" t="n"/>
      <c r="CG160" s="39" t="n"/>
      <c r="CH160" s="39" t="n"/>
      <c r="CI160" s="35" t="n"/>
      <c r="CK160" s="104" t="n"/>
    </row>
    <row r="161" hidden="1">
      <c r="P161" s="1" t="inlineStr">
        <is>
          <t>Additionnelle</t>
        </is>
      </c>
      <c r="AB161" s="42" t="inlineStr">
        <is>
          <t>Ambassadeur</t>
        </is>
      </c>
      <c r="AC161" s="42" t="n"/>
      <c r="AD161" s="42" t="n"/>
      <c r="AE161" s="42" t="n"/>
      <c r="AG161" s="42" t="inlineStr">
        <is>
          <t>Compagnon</t>
        </is>
      </c>
      <c r="AH161" s="42" t="n"/>
      <c r="AI161" s="42" t="n"/>
      <c r="AJ161" s="42" t="n"/>
      <c r="AL161" s="42" t="inlineStr">
        <is>
          <t>Challenger</t>
        </is>
      </c>
      <c r="AM161" s="42" t="n"/>
      <c r="AN161" s="42" t="n"/>
      <c r="AO161" s="42" t="n"/>
      <c r="AQ161" s="42" t="inlineStr">
        <is>
          <t>Partenaire</t>
        </is>
      </c>
      <c r="AR161" s="42" t="n"/>
      <c r="AS161" s="42" t="n"/>
      <c r="AT161" s="42" t="n"/>
      <c r="AV161" s="43" t="inlineStr">
        <is>
          <t>Rose</t>
        </is>
      </c>
      <c r="AW161" s="43" t="n"/>
      <c r="AX161" s="43" t="n"/>
      <c r="AY161" s="43" t="n"/>
      <c r="BA161" s="43" t="inlineStr">
        <is>
          <t>Prunelier</t>
        </is>
      </c>
      <c r="BB161" s="43" t="n"/>
      <c r="BC161" s="43" t="n"/>
      <c r="BD161" s="43" t="n"/>
      <c r="BF161" s="43" t="inlineStr">
        <is>
          <t>Anthylide</t>
        </is>
      </c>
      <c r="BG161" s="43" t="n"/>
      <c r="BH161" s="43" t="n"/>
      <c r="BI161" s="43" t="n"/>
      <c r="BK161" s="43" t="inlineStr">
        <is>
          <t>Calendula</t>
        </is>
      </c>
      <c r="BL161" s="43" t="n"/>
      <c r="BM161" s="43" t="n"/>
      <c r="BN161" s="43" t="n"/>
      <c r="BP161" s="43" t="inlineStr">
        <is>
          <t>Bourrache</t>
        </is>
      </c>
      <c r="BQ161" s="43" t="n"/>
      <c r="BR161" s="43" t="n"/>
      <c r="BS161" s="43" t="n"/>
      <c r="BU161" s="43" t="inlineStr">
        <is>
          <t>Herbacée</t>
        </is>
      </c>
      <c r="BV161" s="43" t="n"/>
      <c r="BW161" s="43" t="n"/>
      <c r="BX161" s="43" t="n"/>
      <c r="BZ161" s="44" t="inlineStr">
        <is>
          <t>Autres</t>
        </is>
      </c>
      <c r="CA161" s="44" t="n"/>
      <c r="CB161" s="44" t="n"/>
      <c r="CC161" s="44" t="n"/>
      <c r="CE161" s="33" t="n"/>
      <c r="CF161" s="45" t="inlineStr">
        <is>
          <t>Total</t>
        </is>
      </c>
      <c r="CG161" s="45" t="n"/>
      <c r="CH161" s="45" t="n"/>
      <c r="CI161" s="35" t="n"/>
      <c r="CK161" s="104" t="n"/>
    </row>
    <row r="162" hidden="1" ht="5.25" customHeight="1">
      <c r="CE162" s="33" t="n"/>
      <c r="CF162" s="39" t="n"/>
      <c r="CG162" s="39" t="n"/>
      <c r="CH162" s="39" t="n"/>
      <c r="CI162" s="35" t="n"/>
      <c r="CK162" s="104" t="n"/>
    </row>
    <row r="163" hidden="1" ht="38.25" customFormat="1" customHeight="1" s="46">
      <c r="E163" s="47" t="n"/>
      <c r="H163" s="48" t="inlineStr">
        <is>
          <t>Pdt dans offre</t>
        </is>
      </c>
      <c r="J163" s="48" t="inlineStr">
        <is>
          <t>PA x Unit.</t>
        </is>
      </c>
      <c r="K163" s="48" t="inlineStr">
        <is>
          <t>Coûts Achats</t>
        </is>
      </c>
      <c r="M163" s="48" t="inlineStr">
        <is>
          <t>Tarif Rev.  x Unit.</t>
        </is>
      </c>
      <c r="N163" s="48" t="inlineStr">
        <is>
          <t>Tarif Rev.</t>
        </is>
      </c>
      <c r="P163" s="48" t="inlineStr">
        <is>
          <t>Remise Offres x Prod.</t>
        </is>
      </c>
      <c r="R163" s="48" t="inlineStr">
        <is>
          <t>Tarif Rev. Remisé</t>
        </is>
      </c>
      <c r="T163" s="48" t="inlineStr">
        <is>
          <t>PPC Unitaire Indicatif</t>
        </is>
      </c>
      <c r="U163" s="48" t="n"/>
      <c r="V163" s="48" t="inlineStr">
        <is>
          <t>PPC Unitaire Remisé</t>
        </is>
      </c>
      <c r="X163" s="48" t="inlineStr">
        <is>
          <t>Montant BRI</t>
        </is>
      </c>
      <c r="Z163" s="48" t="inlineStr">
        <is>
          <t>PPC global Indicatif</t>
        </is>
      </c>
      <c r="AB163" s="48" t="inlineStr">
        <is>
          <t>Nbrs Offres planifiées</t>
        </is>
      </c>
      <c r="AC163" s="48" t="inlineStr">
        <is>
          <t>Remise Statut</t>
        </is>
      </c>
      <c r="AD163" s="48" t="inlineStr">
        <is>
          <t>CA</t>
        </is>
      </c>
      <c r="AE163" s="48" t="inlineStr">
        <is>
          <t>Marges</t>
        </is>
      </c>
      <c r="AG163" s="48" t="inlineStr">
        <is>
          <t>Nbrs Offres planifiées</t>
        </is>
      </c>
      <c r="AH163" s="48" t="inlineStr">
        <is>
          <t>Remise Statut</t>
        </is>
      </c>
      <c r="AI163" s="48" t="inlineStr">
        <is>
          <t>CA</t>
        </is>
      </c>
      <c r="AJ163" s="48" t="inlineStr">
        <is>
          <t>Marges</t>
        </is>
      </c>
      <c r="AL163" s="48" t="inlineStr">
        <is>
          <t>Nbrs Offres planifiées</t>
        </is>
      </c>
      <c r="AM163" s="48" t="inlineStr">
        <is>
          <t>Remise Statut</t>
        </is>
      </c>
      <c r="AN163" s="48" t="inlineStr">
        <is>
          <t>CA</t>
        </is>
      </c>
      <c r="AO163" s="48" t="inlineStr">
        <is>
          <t>Marges</t>
        </is>
      </c>
      <c r="AQ163" s="48" t="inlineStr">
        <is>
          <t>Nbrs Offres planifiées</t>
        </is>
      </c>
      <c r="AR163" s="48" t="inlineStr">
        <is>
          <t>Remise Statut</t>
        </is>
      </c>
      <c r="AS163" s="48" t="inlineStr">
        <is>
          <t>CA</t>
        </is>
      </c>
      <c r="AT163" s="48" t="inlineStr">
        <is>
          <t>Marges</t>
        </is>
      </c>
      <c r="AV163" s="48" t="inlineStr">
        <is>
          <t>Nbrs Offres planifiées</t>
        </is>
      </c>
      <c r="AW163" s="48" t="inlineStr">
        <is>
          <t>Remise Statut</t>
        </is>
      </c>
      <c r="AX163" s="48" t="inlineStr">
        <is>
          <t>CA</t>
        </is>
      </c>
      <c r="AY163" s="48" t="inlineStr">
        <is>
          <t>Marges</t>
        </is>
      </c>
      <c r="BA163" s="48" t="inlineStr">
        <is>
          <t>Nbrs Offres planifiées</t>
        </is>
      </c>
      <c r="BB163" s="48" t="inlineStr">
        <is>
          <t>Remise Statut</t>
        </is>
      </c>
      <c r="BC163" s="48" t="inlineStr">
        <is>
          <t>CA</t>
        </is>
      </c>
      <c r="BD163" s="48" t="inlineStr">
        <is>
          <t>Marges</t>
        </is>
      </c>
      <c r="BF163" s="48" t="inlineStr">
        <is>
          <t>Nbrs Offres planifiées</t>
        </is>
      </c>
      <c r="BG163" s="48" t="inlineStr">
        <is>
          <t>Remise Statut</t>
        </is>
      </c>
      <c r="BH163" s="48" t="inlineStr">
        <is>
          <t>CA</t>
        </is>
      </c>
      <c r="BI163" s="48" t="inlineStr">
        <is>
          <t>Marges</t>
        </is>
      </c>
      <c r="BK163" s="48" t="inlineStr">
        <is>
          <t>Nbrs Offres planifiées</t>
        </is>
      </c>
      <c r="BL163" s="48" t="inlineStr">
        <is>
          <t>Remise Statut</t>
        </is>
      </c>
      <c r="BM163" s="48" t="inlineStr">
        <is>
          <t>CA</t>
        </is>
      </c>
      <c r="BN163" s="48" t="inlineStr">
        <is>
          <t>Marges</t>
        </is>
      </c>
      <c r="BP163" s="48" t="inlineStr">
        <is>
          <t>Nbrs Offres planifiées</t>
        </is>
      </c>
      <c r="BQ163" s="48" t="inlineStr">
        <is>
          <t>Remise Statut</t>
        </is>
      </c>
      <c r="BR163" s="48" t="inlineStr">
        <is>
          <t>CA</t>
        </is>
      </c>
      <c r="BS163" s="48" t="inlineStr">
        <is>
          <t>Marges</t>
        </is>
      </c>
      <c r="BU163" s="48" t="inlineStr">
        <is>
          <t>Nbrs Offres planifiées</t>
        </is>
      </c>
      <c r="BV163" s="48" t="inlineStr">
        <is>
          <t>Remise Statut</t>
        </is>
      </c>
      <c r="BW163" s="48" t="inlineStr">
        <is>
          <t>CA</t>
        </is>
      </c>
      <c r="BX163" s="48" t="inlineStr">
        <is>
          <t>Marges</t>
        </is>
      </c>
      <c r="BZ163" s="48" t="inlineStr">
        <is>
          <t>Nbrs Offres planifiées</t>
        </is>
      </c>
      <c r="CA163" s="48" t="inlineStr">
        <is>
          <t>Remise Statut</t>
        </is>
      </c>
      <c r="CB163" s="48" t="inlineStr">
        <is>
          <t>CA</t>
        </is>
      </c>
      <c r="CC163" s="48" t="inlineStr">
        <is>
          <t>Marges</t>
        </is>
      </c>
      <c r="CE163" s="49" t="n"/>
      <c r="CF163" s="50" t="inlineStr">
        <is>
          <t>Nbrs Offres planifiées</t>
        </is>
      </c>
      <c r="CG163" s="50" t="inlineStr">
        <is>
          <t>CA</t>
        </is>
      </c>
      <c r="CH163" s="50" t="inlineStr">
        <is>
          <t>Marges</t>
        </is>
      </c>
      <c r="CI163" s="51" t="n"/>
      <c r="CK163" s="167" t="n"/>
      <c r="CW163" s="183" t="n"/>
      <c r="CX163" s="183" t="n"/>
      <c r="CY163" s="183" t="n"/>
      <c r="CZ163" s="183" t="n"/>
      <c r="DA163" s="183" t="n"/>
      <c r="DB163" s="183" t="n"/>
      <c r="DC163" s="183" t="n"/>
      <c r="DD163" s="183" t="n"/>
      <c r="DE163" s="183" t="n"/>
      <c r="DF163" s="183" t="n"/>
      <c r="DG163" s="183" t="n"/>
      <c r="DH163" s="183" t="n"/>
      <c r="DI163" s="183" t="n"/>
      <c r="DJ163" s="183" t="n"/>
      <c r="DK163" s="183" t="n"/>
      <c r="DL163" s="183" t="n"/>
      <c r="DM163" s="183" t="n"/>
      <c r="DN163" s="183" t="n"/>
      <c r="DO163" s="183" t="n"/>
      <c r="DP163" s="183" t="n"/>
    </row>
    <row r="164" hidden="1" ht="26.25" customHeight="1">
      <c r="C164" s="66" t="inlineStr">
        <is>
          <t>Code article</t>
        </is>
      </c>
      <c r="D164" s="66" t="inlineStr">
        <is>
          <t>Libellé article</t>
        </is>
      </c>
      <c r="E164" s="168" t="inlineStr">
        <is>
          <t>Code à barres (EAN)</t>
        </is>
      </c>
      <c r="F164" s="66" t="inlineStr">
        <is>
          <t>Typ. Prod</t>
        </is>
      </c>
      <c r="H164" s="66" t="inlineStr">
        <is>
          <t>'#</t>
        </is>
      </c>
      <c r="J164" s="66" t="inlineStr">
        <is>
          <t>'€</t>
        </is>
      </c>
      <c r="K164" s="66" t="inlineStr">
        <is>
          <t>'€</t>
        </is>
      </c>
      <c r="M164" s="66" t="inlineStr">
        <is>
          <t>'€</t>
        </is>
      </c>
      <c r="N164" s="66" t="inlineStr">
        <is>
          <t>'€</t>
        </is>
      </c>
      <c r="P164" s="66" t="inlineStr">
        <is>
          <t>'€</t>
        </is>
      </c>
      <c r="R164" s="66" t="inlineStr">
        <is>
          <t>'€</t>
        </is>
      </c>
      <c r="T164" s="66" t="inlineStr">
        <is>
          <t>'€</t>
        </is>
      </c>
      <c r="U164" s="67" t="n"/>
      <c r="V164" s="66" t="inlineStr">
        <is>
          <t>'€</t>
        </is>
      </c>
      <c r="X164" s="66" t="inlineStr">
        <is>
          <t>'€</t>
        </is>
      </c>
      <c r="Z164" s="66" t="inlineStr">
        <is>
          <t>'€</t>
        </is>
      </c>
      <c r="AB164" s="66" t="inlineStr">
        <is>
          <t>'#</t>
        </is>
      </c>
      <c r="AC164" s="66" t="inlineStr">
        <is>
          <t>'€</t>
        </is>
      </c>
      <c r="AD164" s="66" t="inlineStr">
        <is>
          <t>'€</t>
        </is>
      </c>
      <c r="AE164" s="66" t="inlineStr">
        <is>
          <t>'€</t>
        </is>
      </c>
      <c r="AG164" s="66" t="inlineStr">
        <is>
          <t>'#</t>
        </is>
      </c>
      <c r="AH164" s="66" t="inlineStr">
        <is>
          <t>'€</t>
        </is>
      </c>
      <c r="AI164" s="66" t="inlineStr">
        <is>
          <t>'€</t>
        </is>
      </c>
      <c r="AJ164" s="66" t="inlineStr">
        <is>
          <t>'€</t>
        </is>
      </c>
      <c r="AL164" s="66" t="inlineStr">
        <is>
          <t>'#</t>
        </is>
      </c>
      <c r="AM164" s="66" t="inlineStr">
        <is>
          <t>'€</t>
        </is>
      </c>
      <c r="AN164" s="66" t="inlineStr">
        <is>
          <t>'€</t>
        </is>
      </c>
      <c r="AO164" s="66" t="inlineStr">
        <is>
          <t>'€</t>
        </is>
      </c>
      <c r="AQ164" s="66" t="inlineStr">
        <is>
          <t>'#</t>
        </is>
      </c>
      <c r="AR164" s="66" t="inlineStr">
        <is>
          <t>'€</t>
        </is>
      </c>
      <c r="AS164" s="66" t="inlineStr">
        <is>
          <t>'€</t>
        </is>
      </c>
      <c r="AT164" s="66" t="inlineStr">
        <is>
          <t>'€</t>
        </is>
      </c>
      <c r="AV164" s="66" t="inlineStr">
        <is>
          <t>'#</t>
        </is>
      </c>
      <c r="AW164" s="66" t="inlineStr">
        <is>
          <t>'€</t>
        </is>
      </c>
      <c r="AX164" s="66" t="inlineStr">
        <is>
          <t>'€</t>
        </is>
      </c>
      <c r="AY164" s="66" t="inlineStr">
        <is>
          <t>'€</t>
        </is>
      </c>
      <c r="BA164" s="66" t="inlineStr">
        <is>
          <t>'#</t>
        </is>
      </c>
      <c r="BB164" s="66" t="inlineStr">
        <is>
          <t>'€</t>
        </is>
      </c>
      <c r="BC164" s="66" t="inlineStr">
        <is>
          <t>'€</t>
        </is>
      </c>
      <c r="BD164" s="66" t="inlineStr">
        <is>
          <t>'€</t>
        </is>
      </c>
      <c r="BF164" s="66" t="inlineStr">
        <is>
          <t>'#</t>
        </is>
      </c>
      <c r="BG164" s="66" t="inlineStr">
        <is>
          <t>'€</t>
        </is>
      </c>
      <c r="BH164" s="66" t="inlineStr">
        <is>
          <t>'€</t>
        </is>
      </c>
      <c r="BI164" s="66" t="inlineStr">
        <is>
          <t>'€</t>
        </is>
      </c>
      <c r="BK164" s="66" t="inlineStr">
        <is>
          <t>'#</t>
        </is>
      </c>
      <c r="BL164" s="66" t="inlineStr">
        <is>
          <t>'€</t>
        </is>
      </c>
      <c r="BM164" s="66" t="inlineStr">
        <is>
          <t>'€</t>
        </is>
      </c>
      <c r="BN164" s="66" t="inlineStr">
        <is>
          <t>'€</t>
        </is>
      </c>
      <c r="BP164" s="66" t="inlineStr">
        <is>
          <t>'#</t>
        </is>
      </c>
      <c r="BQ164" s="66" t="inlineStr">
        <is>
          <t>'€</t>
        </is>
      </c>
      <c r="BR164" s="66" t="inlineStr">
        <is>
          <t>'€</t>
        </is>
      </c>
      <c r="BS164" s="66" t="inlineStr">
        <is>
          <t>'€</t>
        </is>
      </c>
      <c r="BU164" s="66" t="inlineStr">
        <is>
          <t>'#</t>
        </is>
      </c>
      <c r="BV164" s="66" t="inlineStr">
        <is>
          <t>'€</t>
        </is>
      </c>
      <c r="BW164" s="66" t="inlineStr">
        <is>
          <t>'€</t>
        </is>
      </c>
      <c r="BX164" s="66" t="inlineStr">
        <is>
          <t>'€</t>
        </is>
      </c>
      <c r="BZ164" s="66" t="inlineStr">
        <is>
          <t>'#</t>
        </is>
      </c>
      <c r="CA164" s="66" t="inlineStr">
        <is>
          <t>'€</t>
        </is>
      </c>
      <c r="CB164" s="66" t="inlineStr">
        <is>
          <t>'€</t>
        </is>
      </c>
      <c r="CC164" s="66" t="inlineStr">
        <is>
          <t>'€</t>
        </is>
      </c>
      <c r="CE164" s="33" t="n"/>
      <c r="CF164" s="68" t="inlineStr">
        <is>
          <t>'#</t>
        </is>
      </c>
      <c r="CG164" s="68" t="inlineStr">
        <is>
          <t>'€</t>
        </is>
      </c>
      <c r="CH164" s="68" t="inlineStr">
        <is>
          <t>'€</t>
        </is>
      </c>
      <c r="CI164" s="35" t="n"/>
      <c r="CJ164" s="69">
        <f>ROUNDUP(CF166*60%,-1)</f>
        <v/>
      </c>
      <c r="CK164" s="104" t="n"/>
    </row>
    <row r="165" hidden="1" ht="5.25" customHeight="1">
      <c r="CE165" s="33" t="n"/>
      <c r="CF165" s="39" t="n"/>
      <c r="CG165" s="39" t="n"/>
      <c r="CH165" s="39" t="n"/>
      <c r="CI165" s="35" t="n"/>
      <c r="CK165" s="104" t="n"/>
    </row>
    <row r="166" hidden="1" ht="12.95" customFormat="1" customHeight="1" s="69">
      <c r="B166" s="69">
        <f>C156</f>
        <v/>
      </c>
      <c r="C166" s="70" t="inlineStr">
        <is>
          <t>Synthèse</t>
        </is>
      </c>
      <c r="D166" s="70" t="n"/>
      <c r="E166" s="71" t="n"/>
      <c r="F166" s="70" t="n"/>
      <c r="H166" s="72">
        <f>IFERROR(SUMIFS(H168:H207,F168:F207,"Produit Vente"),"Non trouvé")</f>
        <v/>
      </c>
      <c r="J166" s="73">
        <f>IFERROR($K166/$H166,"Non Trouvé")</f>
        <v/>
      </c>
      <c r="K166" s="73">
        <f>IFERROR(SUM(K168:K207),"Non Trouvé")</f>
        <v/>
      </c>
      <c r="M166" s="73">
        <f>IFERROR($N166/$H166,"Non Trouvé")</f>
        <v/>
      </c>
      <c r="N166" s="73">
        <f>IFERROR(SUM(N168:N207),"Non Trouvé")</f>
        <v/>
      </c>
      <c r="P166" s="74">
        <f>IFERROR(-(R166-N166)/N166,"Non Trouvé")</f>
        <v/>
      </c>
      <c r="R166" s="73">
        <f>IFERROR(SUM(R168:R207),"Non Trouvé")</f>
        <v/>
      </c>
      <c r="T166" s="73">
        <f>IFERROR(SUM(T168:T207),"Non Trouvé")</f>
        <v/>
      </c>
      <c r="U166" s="75" t="n"/>
      <c r="V166" s="73">
        <f>IFERROR(SUM(V168:V208),"Non Trouvé")</f>
        <v/>
      </c>
      <c r="X166" s="73">
        <f>IFERROR(SUM(X168:X208),"Non Trouvé")</f>
        <v/>
      </c>
      <c r="Z166" s="73">
        <f>IFERROR(SUM(Z168:Z207),"Non Trouvé")</f>
        <v/>
      </c>
      <c r="AB166" s="76">
        <f>ROUND($AB$155*AB158,0)</f>
        <v/>
      </c>
      <c r="AC166" s="77">
        <f>IFERROR(VLOOKUP(AB161,'[1]Paramètres Généraux'!$O:$P,2,FALSE),"Non Trouvé")</f>
        <v/>
      </c>
      <c r="AD166" s="73">
        <f>IFERROR(SUM(AD168:AD208),"Non Trouvé")</f>
        <v/>
      </c>
      <c r="AE166" s="74">
        <f>IFERROR((AD166-$K166*AB166)/AD166,"Non Trouvé")</f>
        <v/>
      </c>
      <c r="AG166" s="76">
        <f>ROUND($AB$155*AG158,0)</f>
        <v/>
      </c>
      <c r="AH166" s="77">
        <f>IFERROR(VLOOKUP(AG161,'[1]Paramètres Généraux'!$O:$P,2,FALSE),"Non Trouvé")</f>
        <v/>
      </c>
      <c r="AI166" s="73">
        <f>IFERROR(SUM(AI168:AI208),"Non Trouvé")</f>
        <v/>
      </c>
      <c r="AJ166" s="74">
        <f>IFERROR((AI166-$K166*AG166)/AI166,"Non Trouvé")</f>
        <v/>
      </c>
      <c r="AL166" s="76">
        <f>ROUND($AB$155*AL158,0)</f>
        <v/>
      </c>
      <c r="AM166" s="77">
        <f>IFERROR(VLOOKUP(AL161,'[1]Paramètres Généraux'!$O:$P,2,FALSE),"Non Trouvé")</f>
        <v/>
      </c>
      <c r="AN166" s="73">
        <f>IFERROR(SUM(AN168:AN208),"Non Trouvé")</f>
        <v/>
      </c>
      <c r="AO166" s="74">
        <f>IFERROR((AN166-$K166*AL166)/AN166,"Non Trouvé")</f>
        <v/>
      </c>
      <c r="AQ166" s="76">
        <f>ROUND($AB$155*AQ158,0)</f>
        <v/>
      </c>
      <c r="AR166" s="77">
        <f>IFERROR(VLOOKUP(AQ161,'[1]Paramètres Généraux'!$O:$P,2,FALSE),"Non Trouvé")</f>
        <v/>
      </c>
      <c r="AS166" s="73">
        <f>IFERROR(SUM(AS168:AS208),"Non Trouvé")</f>
        <v/>
      </c>
      <c r="AT166" s="74">
        <f>IFERROR((AS166-$K166*AQ166)/AS166,"Non Trouvé")</f>
        <v/>
      </c>
      <c r="AV166" s="76">
        <f>ROUND($AB$155*AV158,0)</f>
        <v/>
      </c>
      <c r="AW166" s="77">
        <f>IFERROR(VLOOKUP(AV161,'[1]Paramètres Généraux'!$O:$P,2,FALSE),"Non Trouvé")</f>
        <v/>
      </c>
      <c r="AX166" s="73">
        <f>IFERROR(SUM(AX168:AX208),"Non Trouvé")</f>
        <v/>
      </c>
      <c r="AY166" s="74">
        <f>IFERROR((AX166-$K166*AV166)/AX166,"Non Trouvé")</f>
        <v/>
      </c>
      <c r="BA166" s="76">
        <f>ROUND($AB$155*BA158,0)</f>
        <v/>
      </c>
      <c r="BB166" s="77">
        <f>IFERROR(VLOOKUP(BA161,'[1]Paramètres Généraux'!$O:$P,2,FALSE),"Non Trouvé")</f>
        <v/>
      </c>
      <c r="BC166" s="73">
        <f>IFERROR(SUM(BC168:BC208),"Non Trouvé")</f>
        <v/>
      </c>
      <c r="BD166" s="74">
        <f>IFERROR((BC166-$K166*BA166)/BC166,"Non Trouvé")</f>
        <v/>
      </c>
      <c r="BF166" s="76">
        <f>ROUND($AB$155*BF158,0)</f>
        <v/>
      </c>
      <c r="BG166" s="77">
        <f>IFERROR(VLOOKUP(BF161,'[1]Paramètres Généraux'!$O:$P,2,FALSE),"Non Trouvé")</f>
        <v/>
      </c>
      <c r="BH166" s="73">
        <f>IFERROR(SUM(BH168:BH208),"Non Trouvé")</f>
        <v/>
      </c>
      <c r="BI166" s="74">
        <f>IFERROR((BH166-$K166*BF166)/BH166,"Non Trouvé")</f>
        <v/>
      </c>
      <c r="BK166" s="76">
        <f>ROUND($AB$155*BK158,0)</f>
        <v/>
      </c>
      <c r="BL166" s="77">
        <f>IFERROR(VLOOKUP(BK161,'[1]Paramètres Généraux'!$O:$P,2,FALSE),"Non Trouvé")</f>
        <v/>
      </c>
      <c r="BM166" s="73">
        <f>IFERROR(SUM(BM168:BM208),"Non Trouvé")</f>
        <v/>
      </c>
      <c r="BN166" s="74">
        <f>IFERROR((BM166-$K166*BK166)/BM166,"Non Trouvé")</f>
        <v/>
      </c>
      <c r="BP166" s="76">
        <f>ROUND($AB$155*BP158,0)</f>
        <v/>
      </c>
      <c r="BQ166" s="77">
        <f>IFERROR(VLOOKUP(BP161,'[1]Paramètres Généraux'!$O:$P,2,FALSE),"Non Trouvé")</f>
        <v/>
      </c>
      <c r="BR166" s="73">
        <f>IFERROR(SUM(BR168:BR208),"Non Trouvé")</f>
        <v/>
      </c>
      <c r="BS166" s="74">
        <f>IFERROR((BR166-$K166*BP166)/BR166,"Non Trouvé")</f>
        <v/>
      </c>
      <c r="BU166" s="76">
        <f>ROUND($AB$155*BU158,0)</f>
        <v/>
      </c>
      <c r="BV166" s="77">
        <f>IFERROR(VLOOKUP(BU161,'[1]Paramètres Généraux'!$O:$P,2,FALSE),"Non Trouvé")</f>
        <v/>
      </c>
      <c r="BW166" s="73">
        <f>IFERROR(SUM(BW168:BW208),"Non Trouvé")</f>
        <v/>
      </c>
      <c r="BX166" s="74">
        <f>IFERROR((BW166-$K166*BU166)/BW166,"Non Trouvé")</f>
        <v/>
      </c>
      <c r="BZ166" s="76">
        <f>ROUND($AB$155*BZ158,0)</f>
        <v/>
      </c>
      <c r="CA166" s="77">
        <f>IFERROR(VLOOKUP(BZ161,'[1]Paramètres Généraux'!$O:$P,2,FALSE),"Non Trouvé")</f>
        <v/>
      </c>
      <c r="CB166" s="73">
        <f>IFERROR(SUM(CB168:CB208),"Non Trouvé")</f>
        <v/>
      </c>
      <c r="CC166" s="74">
        <f>IFERROR((CB166-$K166*BZ166)/CB166,"Non Trouvé")</f>
        <v/>
      </c>
      <c r="CE166" s="78" t="n"/>
      <c r="CF166" s="72">
        <f>SUMIFS($AB166:$CC166,$AB163:$CC163,CF163)</f>
        <v/>
      </c>
      <c r="CG166" s="72">
        <f>SUMIFS($AB166:$CC166,$AB163:$CC163,CG163)</f>
        <v/>
      </c>
      <c r="CH166" s="79">
        <f>IFERROR((CG166-$K166*CF166)/CG166,"Non Trouvé")</f>
        <v/>
      </c>
      <c r="CI166" s="80" t="n"/>
      <c r="CJ166" s="69">
        <f>ROUNDUP(CF166*70%,-1)</f>
        <v/>
      </c>
      <c r="CK166" s="169" t="n"/>
      <c r="CW166" s="184" t="n"/>
      <c r="CX166" s="184" t="n"/>
      <c r="CY166" s="184" t="n"/>
      <c r="CZ166" s="184" t="n"/>
      <c r="DA166" s="184" t="n"/>
      <c r="DB166" s="184" t="n"/>
      <c r="DC166" s="184" t="n"/>
      <c r="DD166" s="184" t="n"/>
      <c r="DE166" s="184" t="n"/>
      <c r="DF166" s="184" t="n"/>
      <c r="DG166" s="184" t="n"/>
      <c r="DH166" s="184" t="n"/>
      <c r="DI166" s="184" t="n"/>
      <c r="DJ166" s="184" t="n"/>
      <c r="DK166" s="184" t="n"/>
      <c r="DL166" s="184" t="n"/>
      <c r="DM166" s="184" t="n"/>
      <c r="DN166" s="184" t="n"/>
      <c r="DO166" s="184" t="n"/>
      <c r="DP166" s="184" t="n"/>
    </row>
    <row r="167" hidden="1" ht="5.25" customHeight="1">
      <c r="CE167" s="33" t="n"/>
      <c r="CF167" s="39" t="n"/>
      <c r="CG167" s="39" t="n"/>
      <c r="CH167" s="39" t="n"/>
      <c r="CI167" s="35" t="n"/>
      <c r="CK167" s="104" t="n"/>
    </row>
    <row r="168" hidden="1" ht="12.95" customHeight="1">
      <c r="B168" s="1">
        <f>IF(C168="",0,COUNTIFS($B$22:B167,"&gt;"&amp;0)+1)</f>
        <v/>
      </c>
      <c r="C168" s="90" t="n">
        <v>1020202</v>
      </c>
      <c r="D168" s="91">
        <f>IFERROR(IF($C168="","",VLOOKUP($C168,'[1]Paramètres Articles'!$B:$G,2,FALSE)),"Non Trouvé")</f>
        <v/>
      </c>
      <c r="E168" s="92">
        <f>IFERROR(IF($C168="","",_xlfn.XLOOKUP(REGENERANTS!$C168,'[1]New Base PA'!$F:$F,'[1]New Base PA'!$D:$D,"Not Found",0)),"Non Trouvé")</f>
        <v/>
      </c>
      <c r="F168" s="93" t="inlineStr">
        <is>
          <t>Produit Vente</t>
        </is>
      </c>
      <c r="H168" s="106">
        <f>50*13%</f>
        <v/>
      </c>
      <c r="J168" s="95">
        <f>IFERROR(IF($C168="","",VLOOKUP($C168,'[1]New Base PA'!$F:$J,5,FALSE)),"Non Trouvé")</f>
        <v/>
      </c>
      <c r="K168" s="136">
        <f>IFERROR(IF($C168="","",$J168*$H168),"Non Trouvé")</f>
        <v/>
      </c>
      <c r="L168" s="137" t="n"/>
      <c r="M168" s="95">
        <f>IFERROR(IF(AND($F168="Produit Vente",H168&gt;0),VLOOKUP($C168,'[1]Paramètres Articles'!$B:$G,6,FALSE),0),"Non Trouvé")</f>
        <v/>
      </c>
      <c r="N168" s="95">
        <f>IFERROR(IF($C168="","",$M168*$H168),"Non Trouvé")</f>
        <v/>
      </c>
      <c r="P168" s="97" t="n"/>
      <c r="R168" s="95">
        <f>IFERROR(IF($C168="","",$N168*(1-$P168)),"Non Trouvé")</f>
        <v/>
      </c>
      <c r="S168" s="96" t="n"/>
      <c r="T168" s="95">
        <f>IFERROR(IF($C168="","",VLOOKUP($C168,'[1]Paramètres Articles'!$B:$H,7,FALSE)),"Non Trouvé")</f>
        <v/>
      </c>
      <c r="U168" s="98" t="n"/>
      <c r="V168" s="95">
        <f>IFERROR(IF($C168="","",IF($P168="","",$T168*(1-$P168))),"Non Trouvé")</f>
        <v/>
      </c>
      <c r="W168" s="96" t="n"/>
      <c r="X168" s="95">
        <f>IFERROR(T168-V168,"")</f>
        <v/>
      </c>
      <c r="Y168" s="96" t="n"/>
      <c r="Z168" s="95">
        <f>IFERROR(IF(OR(T168=0,T168=""),0,T168*H168),"Non Trouvé")</f>
        <v/>
      </c>
      <c r="AB168" s="99">
        <f>AB166</f>
        <v/>
      </c>
      <c r="AC168" s="99">
        <f>AC166</f>
        <v/>
      </c>
      <c r="AD168" s="95">
        <f>IFERROR(IF($C168="","",IF($P$15="Cascade",$R168*(1-AC168)*AB168,IF($P$15="Additionnelle",($N168-($N168*($P168+AC168)))*AB168))),"Non Trouvé")</f>
        <v/>
      </c>
      <c r="AG168" s="99">
        <f>AG166</f>
        <v/>
      </c>
      <c r="AH168" s="99">
        <f>AH166</f>
        <v/>
      </c>
      <c r="AI168" s="95">
        <f>IFERROR(IF($C168="","",IF($P$15="Cascade",$R168*(1-AH168)*AG168,IF($P$15="Additionnelle",($N168-($N168*($P168+AH168)))*AG168))),"Non Trouvé")</f>
        <v/>
      </c>
      <c r="AL168" s="99">
        <f>AL166</f>
        <v/>
      </c>
      <c r="AM168" s="99">
        <f>AM166</f>
        <v/>
      </c>
      <c r="AN168" s="95">
        <f>IFERROR(IF($C168="","",IF($P$15="Cascade",$R168*(1-AM168)*AL168,IF($P$15="Additionnelle",($N168-($N168*($P168+AM168)))*AL168))),"Non Trouvé")</f>
        <v/>
      </c>
      <c r="AQ168" s="99">
        <f>AQ166</f>
        <v/>
      </c>
      <c r="AR168" s="99">
        <f>AR166</f>
        <v/>
      </c>
      <c r="AS168" s="95">
        <f>IFERROR(IF($C168="","",IF($P$15="Cascade",$R168*(1-AR168)*AQ168,IF($P$15="Additionnelle",($N168-($N168*($P168+AR168)))*AQ168))),"Non Trouvé")</f>
        <v/>
      </c>
      <c r="AV168" s="99">
        <f>AV166</f>
        <v/>
      </c>
      <c r="AW168" s="99">
        <f>AW166</f>
        <v/>
      </c>
      <c r="AX168" s="95">
        <f>IFERROR(IF($C168="","",IF($P$15="Cascade",$R168*(1-AW168)*AV168,IF($P$15="Additionnelle",($N168-($N168*($P168+AW168)))*AV168))),"Non Trouvé")</f>
        <v/>
      </c>
      <c r="BA168" s="99">
        <f>BA166</f>
        <v/>
      </c>
      <c r="BB168" s="99">
        <f>BB166</f>
        <v/>
      </c>
      <c r="BC168" s="95">
        <f>IFERROR(IF($C168="","",IF($P$15="Cascade",$R168*(1-BB168)*BA168,IF($P$15="Additionnelle",($N168-($N168*($P168+BB168)))*BA168))),"Non Trouvé")</f>
        <v/>
      </c>
      <c r="BF168" s="99">
        <f>BF166</f>
        <v/>
      </c>
      <c r="BG168" s="99">
        <f>BG166</f>
        <v/>
      </c>
      <c r="BH168" s="95">
        <f>IFERROR(IF($C168="","",IF($P$15="Cascade",$R168*(1-BG168)*BF168,IF($P$15="Additionnelle",($N168-($N168*($P168+BG168)))*BF168))),"Non Trouvé")</f>
        <v/>
      </c>
      <c r="BK168" s="99">
        <f>BK166</f>
        <v/>
      </c>
      <c r="BL168" s="99">
        <f>BL166</f>
        <v/>
      </c>
      <c r="BM168" s="95">
        <f>IFERROR(IF($C168="","",IF($P$15="Cascade",$R168*(1-BL168)*BK168,IF($P$15="Additionnelle",($N168-($N168*($P168+BL168)))*BK168))),"Non Trouvé")</f>
        <v/>
      </c>
      <c r="BP168" s="99">
        <f>BP166</f>
        <v/>
      </c>
      <c r="BQ168" s="99">
        <f>BQ166</f>
        <v/>
      </c>
      <c r="BR168" s="95">
        <f>IFERROR(IF($C168="","",IF($P$15="Cascade",$R168*(1-BQ168)*BP168,IF($P$15="Additionnelle",($N168-($N168*($P168+BQ168)))*BP168))),"Non Trouvé")</f>
        <v/>
      </c>
      <c r="BU168" s="99">
        <f>BU166</f>
        <v/>
      </c>
      <c r="BV168" s="99">
        <f>BV166</f>
        <v/>
      </c>
      <c r="BW168" s="95">
        <f>IFERROR(IF($C168="","",IF($P$15="Cascade",$R168*(1-BV168)*BU168,IF($P$15="Additionnelle",($N168-($N168*($P168+BV168)))*BU168))),"Non Trouvé")</f>
        <v/>
      </c>
      <c r="BZ168" s="99">
        <f>BZ166</f>
        <v/>
      </c>
      <c r="CA168" s="99">
        <f>CA166</f>
        <v/>
      </c>
      <c r="CB168" s="95">
        <f>IFERROR(IF($C168="","",IF($P$15="Cascade",$R168*(1-CA168)*BZ168,IF($P$15="Additionnelle",($N168-($N168*($P168+CA168)))*BZ168))),"Non Trouvé")</f>
        <v/>
      </c>
      <c r="CE168" s="100" t="n"/>
      <c r="CF168" s="101" t="n"/>
      <c r="CG168" s="102" t="n"/>
      <c r="CH168" s="102" t="n"/>
      <c r="CI168" s="103" t="n"/>
      <c r="CK168" s="104">
        <f>IFERROR(IF(F168='[1]Paramètres Généraux'!$K$12,ROUNDUP((REGENERANTS!H168*REGENERANTS!$CF$166)*'[1]Paramètres Généraux'!$M$12,-1),REGENERANTS!H168*REGENERANTS!$CF$166),"nd")</f>
        <v/>
      </c>
      <c r="CN168" s="171" t="n"/>
      <c r="CO168" s="172" t="n"/>
      <c r="CP168" s="172" t="n"/>
      <c r="CQ168" s="172" t="n"/>
      <c r="CR168" s="172" t="n"/>
      <c r="CS168" s="173" t="n"/>
      <c r="CT168" s="174" t="n"/>
      <c r="CU168" s="172" t="n"/>
      <c r="CV168" s="173" t="n"/>
      <c r="CW168" s="175" t="n"/>
      <c r="CX168" s="176" t="n"/>
      <c r="CY168" s="175" t="n"/>
      <c r="CZ168" s="177" t="n"/>
      <c r="DA168" s="176" t="n"/>
      <c r="DB168" s="175" t="n"/>
      <c r="DC168" s="177" t="n"/>
      <c r="DD168" s="176" t="n"/>
      <c r="DE168" s="175" t="n"/>
      <c r="DF168" s="177" t="n"/>
      <c r="DG168" s="177" t="n"/>
      <c r="DH168" s="177" t="n"/>
      <c r="DI168" s="177" t="n"/>
      <c r="DJ168" s="177" t="n"/>
      <c r="DK168" s="177" t="n"/>
      <c r="DL168" s="177" t="n"/>
      <c r="DM168" s="177" t="n"/>
      <c r="DN168" s="177" t="n"/>
      <c r="DO168" s="176" t="n"/>
      <c r="DP168" s="175" t="n"/>
      <c r="DQ168" s="20">
        <f>SUM(CN168:DP168)</f>
        <v/>
      </c>
      <c r="DR168" s="20">
        <f>SUM(CV168:DP168)</f>
        <v/>
      </c>
      <c r="DS168" s="20">
        <f>IFERROR((IF(AND($F168="Produit Vente",CO168&gt;0),VLOOKUP($C168,'[1]Paramètres Articles'!$B:$H,7,FALSE)*$CO168)*(1-20%)),0)</f>
        <v/>
      </c>
      <c r="DT168" s="20">
        <f>IFERROR((IF(AND($F168="Produit Vente",DR168&gt;0),VLOOKUP($C168,'[1]Paramètres Articles'!$B:$H,6,FALSE)*$DR168)*(1-15%)),0)</f>
        <v/>
      </c>
    </row>
    <row r="169" hidden="1" ht="12.95" customHeight="1">
      <c r="B169" s="1">
        <f>IF(C169="",0,COUNTIFS($B$22:B168,"&gt;"&amp;0)+1)</f>
        <v/>
      </c>
      <c r="C169" s="90" t="n">
        <v>1020310</v>
      </c>
      <c r="D169" s="91">
        <f>IFERROR(IF($C169="","",VLOOKUP($C169,'[1]Paramètres Articles'!$B:$G,2,FALSE)),"Non Trouvé")</f>
        <v/>
      </c>
      <c r="E169" s="92">
        <f>IFERROR(IF($C169="","",_xlfn.XLOOKUP(REGENERANTS!$C169,'[1]New Base PA'!$F:$F,'[1]New Base PA'!$D:$D,"Not Found",0)),"Non Trouvé")</f>
        <v/>
      </c>
      <c r="F169" s="93" t="inlineStr">
        <is>
          <t>Produit Vente</t>
        </is>
      </c>
      <c r="H169" s="106">
        <f>50*7%</f>
        <v/>
      </c>
      <c r="J169" s="95">
        <f>IFERROR(IF($C169="","",VLOOKUP($C169,'[1]New Base PA'!$F:$J,5,FALSE)),"Non Trouvé")</f>
        <v/>
      </c>
      <c r="K169" s="136">
        <f>IFERROR(IF($C169="","",$J169*$H169),"Non Trouvé")</f>
        <v/>
      </c>
      <c r="L169" s="137" t="n"/>
      <c r="M169" s="95">
        <f>IFERROR(IF(AND($F169="Produit Vente",H169&gt;0),VLOOKUP($C169,'[1]Paramètres Articles'!$B:$G,6,FALSE),0),"Non Trouvé")</f>
        <v/>
      </c>
      <c r="N169" s="95">
        <f>IFERROR(IF($C169="","",$M169*$H169),"Non Trouvé")</f>
        <v/>
      </c>
      <c r="P169" s="97" t="n"/>
      <c r="R169" s="95">
        <f>IFERROR(IF($C169="","",$N169*(1-$P169)),"Non Trouvé")</f>
        <v/>
      </c>
      <c r="S169" s="96" t="n"/>
      <c r="T169" s="95">
        <f>IFERROR(IF($C169="","",VLOOKUP($C169,'[1]Paramètres Articles'!$B:$H,7,FALSE)),"Non Trouvé")</f>
        <v/>
      </c>
      <c r="U169" s="98" t="n"/>
      <c r="V169" s="95">
        <f>IFERROR(IF($C169="","",IF($P169="","",$T169*(1-$P169))),"Non Trouvé")</f>
        <v/>
      </c>
      <c r="W169" s="96" t="n"/>
      <c r="X169" s="95">
        <f>IFERROR(T169-V169,"")</f>
        <v/>
      </c>
      <c r="Y169" s="96" t="n"/>
      <c r="Z169" s="95">
        <f>IFERROR(IF(OR(T169=0,T169=""),0,T169*H169),"Non Trouvé")</f>
        <v/>
      </c>
      <c r="AB169" s="99">
        <f>AB168</f>
        <v/>
      </c>
      <c r="AC169" s="99">
        <f>AC168</f>
        <v/>
      </c>
      <c r="AD169" s="95">
        <f>IFERROR(IF($C169="","",IF($P$15="Cascade",$R169*(1-AC169)*AB169,IF($P$15="Additionnelle",($N169-($N169*($P169+AC169)))*AB169))),"Non Trouvé")</f>
        <v/>
      </c>
      <c r="AG169" s="99">
        <f>AG168</f>
        <v/>
      </c>
      <c r="AH169" s="99">
        <f>AH168</f>
        <v/>
      </c>
      <c r="AI169" s="95">
        <f>IFERROR(IF($C169="","",IF($P$15="Cascade",$R169*(1-AH169)*AG169,IF($P$15="Additionnelle",($N169-($N169*($P169+AH169)))*AG169))),"Non Trouvé")</f>
        <v/>
      </c>
      <c r="AL169" s="99">
        <f>AL168</f>
        <v/>
      </c>
      <c r="AM169" s="99">
        <f>AM168</f>
        <v/>
      </c>
      <c r="AN169" s="95">
        <f>IFERROR(IF($C169="","",IF($P$15="Cascade",$R169*(1-AM169)*AL169,IF($P$15="Additionnelle",($N169-($N169*($P169+AM169)))*AL169))),"Non Trouvé")</f>
        <v/>
      </c>
      <c r="AQ169" s="99">
        <f>AQ168</f>
        <v/>
      </c>
      <c r="AR169" s="99">
        <f>AR168</f>
        <v/>
      </c>
      <c r="AS169" s="95">
        <f>IFERROR(IF($C169="","",IF($P$15="Cascade",$R169*(1-AR169)*AQ169,IF($P$15="Additionnelle",($N169-($N169*($P169+AR169)))*AQ169))),"Non Trouvé")</f>
        <v/>
      </c>
      <c r="AV169" s="99">
        <f>AV168</f>
        <v/>
      </c>
      <c r="AW169" s="99">
        <f>AW168</f>
        <v/>
      </c>
      <c r="AX169" s="95">
        <f>IFERROR(IF($C169="","",IF($P$15="Cascade",$R169*(1-AW169)*AV169,IF($P$15="Additionnelle",($N169-($N169*($P169+AW169)))*AV169))),"Non Trouvé")</f>
        <v/>
      </c>
      <c r="BA169" s="99">
        <f>BA168</f>
        <v/>
      </c>
      <c r="BB169" s="99">
        <f>BB168</f>
        <v/>
      </c>
      <c r="BC169" s="95">
        <f>IFERROR(IF($C169="","",IF($P$15="Cascade",$R169*(1-BB169)*BA169,IF($P$15="Additionnelle",($N169-($N169*($P169+BB169)))*BA169))),"Non Trouvé")</f>
        <v/>
      </c>
      <c r="BF169" s="99">
        <f>BF168</f>
        <v/>
      </c>
      <c r="BG169" s="99">
        <f>BG168</f>
        <v/>
      </c>
      <c r="BH169" s="95">
        <f>IFERROR(IF($C169="","",IF($P$15="Cascade",$R169*(1-BG169)*BF169,IF($P$15="Additionnelle",($N169-($N169*($P169+BG169)))*BF169))),"Non Trouvé")</f>
        <v/>
      </c>
      <c r="BK169" s="99">
        <f>BK168</f>
        <v/>
      </c>
      <c r="BL169" s="99">
        <f>BL168</f>
        <v/>
      </c>
      <c r="BM169" s="95">
        <f>IFERROR(IF($C169="","",IF($P$15="Cascade",$R169*(1-BL169)*BK169,IF($P$15="Additionnelle",($N169-($N169*($P169+BL169)))*BK169))),"Non Trouvé")</f>
        <v/>
      </c>
      <c r="BP169" s="99">
        <f>BP168</f>
        <v/>
      </c>
      <c r="BQ169" s="99">
        <f>BQ168</f>
        <v/>
      </c>
      <c r="BR169" s="95">
        <f>IFERROR(IF($C169="","",IF($P$15="Cascade",$R169*(1-BQ169)*BP169,IF($P$15="Additionnelle",($N169-($N169*($P169+BQ169)))*BP169))),"Non Trouvé")</f>
        <v/>
      </c>
      <c r="BU169" s="99">
        <f>BU168</f>
        <v/>
      </c>
      <c r="BV169" s="99">
        <f>BV168</f>
        <v/>
      </c>
      <c r="BW169" s="95">
        <f>IFERROR(IF($C169="","",IF($P$15="Cascade",$R169*(1-BV169)*BU169,IF($P$15="Additionnelle",($N169-($N169*($P169+BV169)))*BU169))),"Non Trouvé")</f>
        <v/>
      </c>
      <c r="BZ169" s="99">
        <f>BZ168</f>
        <v/>
      </c>
      <c r="CA169" s="99">
        <f>CA168</f>
        <v/>
      </c>
      <c r="CB169" s="95">
        <f>IFERROR(IF($C169="","",IF($P$15="Cascade",$R169*(1-CA169)*BZ169,IF($P$15="Additionnelle",($N169-($N169*($P169+CA169)))*BZ169))),"Non Trouvé")</f>
        <v/>
      </c>
      <c r="CE169" s="100" t="n"/>
      <c r="CF169" s="119" t="n"/>
      <c r="CG169" s="120" t="inlineStr">
        <is>
          <t>Prix Offre Moy. Remisé :</t>
        </is>
      </c>
      <c r="CH169" s="121">
        <f>CG166/CF166</f>
        <v/>
      </c>
      <c r="CI169" s="103" t="n"/>
      <c r="CK169" s="104">
        <f>IFERROR(IF(F169='[1]Paramètres Généraux'!$K$12,ROUNDUP((REGENERANTS!H169*REGENERANTS!$CF$166)*'[1]Paramètres Généraux'!$M$12,-1),REGENERANTS!H169*REGENERANTS!$CF$166),"nd")</f>
        <v/>
      </c>
      <c r="CN169" s="105" t="n"/>
      <c r="CO169" s="106" t="n"/>
      <c r="CP169" s="106" t="n"/>
      <c r="CQ169" s="106" t="n"/>
      <c r="CR169" s="106" t="n"/>
      <c r="CS169" s="178" t="n"/>
      <c r="CT169" s="179" t="n"/>
      <c r="CU169" s="106" t="n"/>
      <c r="CV169" s="178" t="n"/>
      <c r="CW169" s="111" t="n"/>
      <c r="CX169" s="112" t="n"/>
      <c r="CY169" s="111" t="n"/>
      <c r="CZ169" s="109" t="n"/>
      <c r="DA169" s="112" t="n"/>
      <c r="DB169" s="111" t="n"/>
      <c r="DC169" s="109" t="n"/>
      <c r="DD169" s="112" t="n"/>
      <c r="DE169" s="111" t="n"/>
      <c r="DF169" s="109" t="n"/>
      <c r="DG169" s="109" t="n"/>
      <c r="DH169" s="109" t="n"/>
      <c r="DI169" s="109" t="n"/>
      <c r="DJ169" s="109" t="n"/>
      <c r="DK169" s="109" t="n"/>
      <c r="DL169" s="109" t="n"/>
      <c r="DM169" s="109" t="n"/>
      <c r="DN169" s="109" t="n"/>
      <c r="DO169" s="112" t="n"/>
      <c r="DP169" s="111" t="n"/>
      <c r="DQ169" s="20">
        <f>SUM(CN169:DP169)</f>
        <v/>
      </c>
      <c r="DR169" s="20">
        <f>SUM(CV169:DP169)</f>
        <v/>
      </c>
      <c r="DS169" s="20">
        <f>IFERROR((IF(AND($F169="Produit Vente",CO169&gt;0),VLOOKUP($C169,'[1]Paramètres Articles'!$B:$H,7,FALSE)*$CO169)*(1-20%)),0)</f>
        <v/>
      </c>
      <c r="DT169" s="20">
        <f>IFERROR((IF(AND($F169="Produit Vente",DR169&gt;0),VLOOKUP($C169,'[1]Paramètres Articles'!$B:$H,6,FALSE)*$DR169)*(1-15%)),0)</f>
        <v/>
      </c>
    </row>
    <row r="170" hidden="1" ht="12.95" customHeight="1">
      <c r="B170" s="1">
        <f>IF(C170="",0,COUNTIFS($B$22:B169,"&gt;"&amp;0)+1)</f>
        <v/>
      </c>
      <c r="C170" s="90" t="n">
        <v>1020401</v>
      </c>
      <c r="D170" s="91">
        <f>IFERROR(IF($C170="","",VLOOKUP($C170,'[1]Paramètres Articles'!$B:$G,2,FALSE)),"Non Trouvé")</f>
        <v/>
      </c>
      <c r="E170" s="92">
        <f>IFERROR(IF($C170="","",_xlfn.XLOOKUP(REGENERANTS!$C170,'[1]New Base PA'!$F:$F,'[1]New Base PA'!$D:$D,"Not Found",0)),"Non Trouvé")</f>
        <v/>
      </c>
      <c r="F170" s="93" t="inlineStr">
        <is>
          <t>Produit Vente</t>
        </is>
      </c>
      <c r="H170" s="106">
        <f>50*9%</f>
        <v/>
      </c>
      <c r="J170" s="95">
        <f>IFERROR(IF($C170="","",VLOOKUP($C170,'[1]New Base PA'!$F:$J,5,FALSE)),"Non Trouvé")</f>
        <v/>
      </c>
      <c r="K170" s="136">
        <f>IFERROR(IF($C170="","",$J170*$H170),"Non Trouvé")</f>
        <v/>
      </c>
      <c r="L170" s="137" t="n"/>
      <c r="M170" s="95">
        <f>IFERROR(IF(AND($F170="Produit Vente",H170&gt;0),VLOOKUP($C170,'[1]Paramètres Articles'!$B:$G,6,FALSE),0),"Non Trouvé")</f>
        <v/>
      </c>
      <c r="N170" s="95">
        <f>IFERROR(IF($C170="","",$M170*$H170),"Non Trouvé")</f>
        <v/>
      </c>
      <c r="P170" s="97" t="n"/>
      <c r="R170" s="95">
        <f>IFERROR(IF($C170="","",$N170*(1-$P170)),"Non Trouvé")</f>
        <v/>
      </c>
      <c r="S170" s="96" t="n"/>
      <c r="T170" s="95">
        <f>IFERROR(IF($C170="","",VLOOKUP($C170,'[1]Paramètres Articles'!$B:$H,7,FALSE)),"Non Trouvé")</f>
        <v/>
      </c>
      <c r="U170" s="98" t="n"/>
      <c r="V170" s="95">
        <f>IFERROR(IF($C170="","",IF($P170="","",$T170*(1-$P170))),"Non Trouvé")</f>
        <v/>
      </c>
      <c r="W170" s="96" t="n"/>
      <c r="X170" s="95">
        <f>IFERROR(T170-V170,"")</f>
        <v/>
      </c>
      <c r="Y170" s="96" t="n"/>
      <c r="Z170" s="95">
        <f>IFERROR(IF(OR(T170=0,T170=""),0,T170*H170),"Non Trouvé")</f>
        <v/>
      </c>
      <c r="AB170" s="99">
        <f>AB168</f>
        <v/>
      </c>
      <c r="AC170" s="99">
        <f>AC168</f>
        <v/>
      </c>
      <c r="AD170" s="95">
        <f>IFERROR(IF($C170="","",IF($P$15="Cascade",$R170*(1-AC170)*AB170,IF($P$15="Additionnelle",($N170-($N170*($P170+AC170)))*AB170))),"Non Trouvé")</f>
        <v/>
      </c>
      <c r="AG170" s="99">
        <f>AG168</f>
        <v/>
      </c>
      <c r="AH170" s="99">
        <f>AH168</f>
        <v/>
      </c>
      <c r="AI170" s="95">
        <f>IFERROR(IF($C170="","",IF($P$15="Cascade",$R170*(1-AH170)*AG170,IF($P$15="Additionnelle",($N170-($N170*($P170+AH170)))*AG170))),"Non Trouvé")</f>
        <v/>
      </c>
      <c r="AL170" s="99">
        <f>AL168</f>
        <v/>
      </c>
      <c r="AM170" s="99">
        <f>AM168</f>
        <v/>
      </c>
      <c r="AN170" s="95">
        <f>IFERROR(IF($C170="","",IF($P$15="Cascade",$R170*(1-AM170)*AL170,IF($P$15="Additionnelle",($N170-($N170*($P170+AM170)))*AL170))),"Non Trouvé")</f>
        <v/>
      </c>
      <c r="AQ170" s="99">
        <f>AQ168</f>
        <v/>
      </c>
      <c r="AR170" s="99">
        <f>AR168</f>
        <v/>
      </c>
      <c r="AS170" s="95">
        <f>IFERROR(IF($C170="","",IF($P$15="Cascade",$R170*(1-AR170)*AQ170,IF($P$15="Additionnelle",($N170-($N170*($P170+AR170)))*AQ170))),"Non Trouvé")</f>
        <v/>
      </c>
      <c r="AV170" s="99">
        <f>AV168</f>
        <v/>
      </c>
      <c r="AW170" s="99">
        <f>AW168</f>
        <v/>
      </c>
      <c r="AX170" s="95">
        <f>IFERROR(IF($C170="","",IF($P$15="Cascade",$R170*(1-AW170)*AV170,IF($P$15="Additionnelle",($N170-($N170*($P170+AW170)))*AV170))),"Non Trouvé")</f>
        <v/>
      </c>
      <c r="BA170" s="99">
        <f>BA168</f>
        <v/>
      </c>
      <c r="BB170" s="99">
        <f>BB168</f>
        <v/>
      </c>
      <c r="BC170" s="95">
        <f>IFERROR(IF($C170="","",IF($P$15="Cascade",$R170*(1-BB170)*BA170,IF($P$15="Additionnelle",($N170-($N170*($P170+BB170)))*BA170))),"Non Trouvé")</f>
        <v/>
      </c>
      <c r="BF170" s="99">
        <f>BF168</f>
        <v/>
      </c>
      <c r="BG170" s="99">
        <f>BG168</f>
        <v/>
      </c>
      <c r="BH170" s="95">
        <f>IFERROR(IF($C170="","",IF($P$15="Cascade",$R170*(1-BG170)*BF170,IF($P$15="Additionnelle",($N170-($N170*($P170+BG170)))*BF170))),"Non Trouvé")</f>
        <v/>
      </c>
      <c r="BK170" s="99">
        <f>BK168</f>
        <v/>
      </c>
      <c r="BL170" s="99">
        <f>BL168</f>
        <v/>
      </c>
      <c r="BM170" s="95">
        <f>IFERROR(IF($C170="","",IF($P$15="Cascade",$R170*(1-BL170)*BK170,IF($P$15="Additionnelle",($N170-($N170*($P170+BL170)))*BK170))),"Non Trouvé")</f>
        <v/>
      </c>
      <c r="BP170" s="99">
        <f>BP168</f>
        <v/>
      </c>
      <c r="BQ170" s="99">
        <f>BQ168</f>
        <v/>
      </c>
      <c r="BR170" s="95">
        <f>IFERROR(IF($C170="","",IF($P$15="Cascade",$R170*(1-BQ170)*BP170,IF($P$15="Additionnelle",($N170-($N170*($P170+BQ170)))*BP170))),"Non Trouvé")</f>
        <v/>
      </c>
      <c r="BU170" s="99">
        <f>BU168</f>
        <v/>
      </c>
      <c r="BV170" s="99">
        <f>BV168</f>
        <v/>
      </c>
      <c r="BW170" s="95">
        <f>IFERROR(IF($C170="","",IF($P$15="Cascade",$R170*(1-BV170)*BU170,IF($P$15="Additionnelle",($N170-($N170*($P170+BV170)))*BU170))),"Non Trouvé")</f>
        <v/>
      </c>
      <c r="BZ170" s="99">
        <f>BZ168</f>
        <v/>
      </c>
      <c r="CA170" s="99">
        <f>CA168</f>
        <v/>
      </c>
      <c r="CB170" s="95">
        <f>IFERROR(IF($C170="","",IF($P$15="Cascade",$R170*(1-CA170)*BZ170,IF($P$15="Additionnelle",($N170-($N170*($P170+CA170)))*BZ170))),"Non Trouvé")</f>
        <v/>
      </c>
      <c r="CE170" s="100" t="n"/>
      <c r="CF170" s="119" t="n"/>
      <c r="CG170" s="120" t="inlineStr">
        <is>
          <t>Poids Gratuités achats :</t>
        </is>
      </c>
      <c r="CH170" s="123">
        <f>SUM(CH172:CH175)</f>
        <v/>
      </c>
      <c r="CI170" s="103" t="n"/>
      <c r="CK170" s="104">
        <f>IFERROR(IF(F170='[1]Paramètres Généraux'!$K$12,ROUNDUP((REGENERANTS!H170*REGENERANTS!$CF$166)*'[1]Paramètres Généraux'!$M$12,-1),REGENERANTS!H170*REGENERANTS!$CF$166),"nd")</f>
        <v/>
      </c>
      <c r="CN170" s="105" t="n"/>
      <c r="CO170" s="106" t="n"/>
      <c r="CP170" s="106" t="n"/>
      <c r="CQ170" s="106" t="n"/>
      <c r="CR170" s="106" t="n"/>
      <c r="CS170" s="178" t="n"/>
      <c r="CT170" s="179" t="n"/>
      <c r="CU170" s="106" t="n"/>
      <c r="CV170" s="178" t="n"/>
      <c r="CW170" s="111" t="n"/>
      <c r="CX170" s="112" t="n"/>
      <c r="CY170" s="111" t="n"/>
      <c r="CZ170" s="109" t="n"/>
      <c r="DA170" s="112" t="n"/>
      <c r="DB170" s="111" t="n"/>
      <c r="DC170" s="109" t="n"/>
      <c r="DD170" s="112" t="n"/>
      <c r="DE170" s="111" t="n"/>
      <c r="DF170" s="109" t="n"/>
      <c r="DG170" s="109" t="n"/>
      <c r="DH170" s="109" t="n"/>
      <c r="DI170" s="109" t="n"/>
      <c r="DJ170" s="109" t="n"/>
      <c r="DK170" s="109" t="n"/>
      <c r="DL170" s="109" t="n"/>
      <c r="DM170" s="109" t="n"/>
      <c r="DN170" s="109" t="n"/>
      <c r="DO170" s="112" t="n"/>
      <c r="DP170" s="111" t="n"/>
      <c r="DQ170" s="20">
        <f>SUM(CN170:DP170)</f>
        <v/>
      </c>
      <c r="DR170" s="20">
        <f>SUM(CV170:DP170)</f>
        <v/>
      </c>
      <c r="DS170" s="20">
        <f>IFERROR((IF(AND($F170="Produit Vente",CO170&gt;0),VLOOKUP($C170,'[1]Paramètres Articles'!$B:$H,7,FALSE)*$CO170)*(1-20%)),0)</f>
        <v/>
      </c>
      <c r="DT170" s="20">
        <f>IFERROR((IF(AND($F170="Produit Vente",DR170&gt;0),VLOOKUP($C170,'[1]Paramètres Articles'!$B:$H,6,FALSE)*$DR170)*(1-15%)),0)</f>
        <v/>
      </c>
    </row>
    <row r="171" hidden="1" outlineLevel="1" collapsed="1" ht="12.95" customHeight="1">
      <c r="B171" s="1">
        <f>IF(C171="",0,COUNTIFS($B$22:B170,"&gt;"&amp;0)+1)</f>
        <v/>
      </c>
      <c r="C171" s="90" t="n">
        <v>1020302</v>
      </c>
      <c r="D171" s="91">
        <f>IFERROR(IF($C171="","",VLOOKUP($C171,'[1]Paramètres Articles'!$B:$G,2,FALSE)),"Non Trouvé")</f>
        <v/>
      </c>
      <c r="E171" s="92">
        <f>IFERROR(IF($C171="","",_xlfn.XLOOKUP(REGENERANTS!$C171,'[1]New Base PA'!$F:$F,'[1]New Base PA'!$D:$D,"Not Found",0)),"Non Trouvé")</f>
        <v/>
      </c>
      <c r="F171" s="93" t="inlineStr">
        <is>
          <t>Produit Vente</t>
        </is>
      </c>
      <c r="H171" s="106">
        <f>50*4%</f>
        <v/>
      </c>
      <c r="J171" s="95">
        <f>IFERROR(IF($C171="","",VLOOKUP($C171,'[1]New Base PA'!$F:$J,5,FALSE)),"Non Trouvé")</f>
        <v/>
      </c>
      <c r="K171" s="136">
        <f>IFERROR(IF($C171="","",$J171*$H171),"Non Trouvé")</f>
        <v/>
      </c>
      <c r="L171" s="137" t="n"/>
      <c r="M171" s="95">
        <f>IFERROR(IF(AND($F171="Produit Vente",H171&gt;0),VLOOKUP($C171,'[1]Paramètres Articles'!$B:$G,6,FALSE),0),"Non Trouvé")</f>
        <v/>
      </c>
      <c r="N171" s="95">
        <f>IFERROR(IF($C171="","",$M171*$H171),"Non Trouvé")</f>
        <v/>
      </c>
      <c r="P171" s="97" t="n"/>
      <c r="R171" s="95">
        <f>IFERROR(IF($C171="","",$N171*(1-$P171)),"Non Trouvé")</f>
        <v/>
      </c>
      <c r="S171" s="96" t="n"/>
      <c r="T171" s="95">
        <f>IFERROR(IF($C171="","",VLOOKUP($C171,'[1]Paramètres Articles'!$B:$H,7,FALSE)),"Non Trouvé")</f>
        <v/>
      </c>
      <c r="U171" s="98" t="n"/>
      <c r="V171" s="95">
        <f>IFERROR(IF($C171="","",IF($P171="","",$T171*(1-$P171))),"Non Trouvé")</f>
        <v/>
      </c>
      <c r="W171" s="96" t="n"/>
      <c r="X171" s="95">
        <f>IFERROR(T171-V171,"")</f>
        <v/>
      </c>
      <c r="Y171" s="96" t="n"/>
      <c r="Z171" s="95">
        <f>IFERROR(IF(OR(T171=0,T171=""),0,T171*H171),"Non Trouvé")</f>
        <v/>
      </c>
      <c r="AB171" s="99">
        <f>AB170</f>
        <v/>
      </c>
      <c r="AC171" s="99">
        <f>AC170</f>
        <v/>
      </c>
      <c r="AD171" s="95">
        <f>IFERROR(IF($C171="","",IF($P$15="Cascade",$R171*(1-AC171)*AB171,IF($P$15="Additionnelle",($N171-($N171*($P171+AC171)))*AB171))),"Non Trouvé")</f>
        <v/>
      </c>
      <c r="AG171" s="99">
        <f>AG170</f>
        <v/>
      </c>
      <c r="AH171" s="99">
        <f>AH170</f>
        <v/>
      </c>
      <c r="AI171" s="95">
        <f>IFERROR(IF($C171="","",IF($P$15="Cascade",$R171*(1-AH171)*AG171,IF($P$15="Additionnelle",($N171-($N171*($P171+AH171)))*AG171))),"Non Trouvé")</f>
        <v/>
      </c>
      <c r="AL171" s="99">
        <f>AL170</f>
        <v/>
      </c>
      <c r="AM171" s="99">
        <f>AM170</f>
        <v/>
      </c>
      <c r="AN171" s="95">
        <f>IFERROR(IF($C171="","",IF($P$15="Cascade",$R171*(1-AM171)*AL171,IF($P$15="Additionnelle",($N171-($N171*($P171+AM171)))*AL171))),"Non Trouvé")</f>
        <v/>
      </c>
      <c r="AQ171" s="99">
        <f>AQ170</f>
        <v/>
      </c>
      <c r="AR171" s="99">
        <f>AR170</f>
        <v/>
      </c>
      <c r="AS171" s="95">
        <f>IFERROR(IF($C171="","",IF($P$15="Cascade",$R171*(1-AR171)*AQ171,IF($P$15="Additionnelle",($N171-($N171*($P171+AR171)))*AQ171))),"Non Trouvé")</f>
        <v/>
      </c>
      <c r="AV171" s="99">
        <f>AV170</f>
        <v/>
      </c>
      <c r="AW171" s="99">
        <f>AW170</f>
        <v/>
      </c>
      <c r="AX171" s="95">
        <f>IFERROR(IF($C171="","",IF($P$15="Cascade",$R171*(1-AW171)*AV171,IF($P$15="Additionnelle",($N171-($N171*($P171+AW171)))*AV171))),"Non Trouvé")</f>
        <v/>
      </c>
      <c r="BA171" s="99">
        <f>BA170</f>
        <v/>
      </c>
      <c r="BB171" s="99">
        <f>BB170</f>
        <v/>
      </c>
      <c r="BC171" s="95">
        <f>IFERROR(IF($C171="","",IF($P$15="Cascade",$R171*(1-BB171)*BA171,IF($P$15="Additionnelle",($N171-($N171*($P171+BB171)))*BA171))),"Non Trouvé")</f>
        <v/>
      </c>
      <c r="BF171" s="99">
        <f>BF170</f>
        <v/>
      </c>
      <c r="BG171" s="99">
        <f>BG170</f>
        <v/>
      </c>
      <c r="BH171" s="95">
        <f>IFERROR(IF($C171="","",IF($P$15="Cascade",$R171*(1-BG171)*BF171,IF($P$15="Additionnelle",($N171-($N171*($P171+BG171)))*BF171))),"Non Trouvé")</f>
        <v/>
      </c>
      <c r="BK171" s="99">
        <f>BK170</f>
        <v/>
      </c>
      <c r="BL171" s="99">
        <f>BL170</f>
        <v/>
      </c>
      <c r="BM171" s="95">
        <f>IFERROR(IF($C171="","",IF($P$15="Cascade",$R171*(1-BL171)*BK171,IF($P$15="Additionnelle",($N171-($N171*($P171+BL171)))*BK171))),"Non Trouvé")</f>
        <v/>
      </c>
      <c r="BP171" s="99">
        <f>BP170</f>
        <v/>
      </c>
      <c r="BQ171" s="99">
        <f>BQ170</f>
        <v/>
      </c>
      <c r="BR171" s="95">
        <f>IFERROR(IF($C171="","",IF($P$15="Cascade",$R171*(1-BQ171)*BP171,IF($P$15="Additionnelle",($N171-($N171*($P171+BQ171)))*BP171))),"Non Trouvé")</f>
        <v/>
      </c>
      <c r="BU171" s="99">
        <f>BU170</f>
        <v/>
      </c>
      <c r="BV171" s="99">
        <f>BV170</f>
        <v/>
      </c>
      <c r="BW171" s="95">
        <f>IFERROR(IF($C171="","",IF($P$15="Cascade",$R171*(1-BV171)*BU171,IF($P$15="Additionnelle",($N171-($N171*($P171+BV171)))*BU171))),"Non Trouvé")</f>
        <v/>
      </c>
      <c r="BZ171" s="99">
        <f>BZ170</f>
        <v/>
      </c>
      <c r="CA171" s="99">
        <f>CA170</f>
        <v/>
      </c>
      <c r="CB171" s="95">
        <f>IFERROR(IF($C171="","",IF($P$15="Cascade",$R171*(1-CA171)*BZ171,IF($P$15="Additionnelle",($N171-($N171*($P171+CA171)))*BZ171))),"Non Trouvé")</f>
        <v/>
      </c>
      <c r="CE171" s="100" t="n"/>
      <c r="CF171" s="101" t="n"/>
      <c r="CG171" s="102" t="n"/>
      <c r="CH171" s="102" t="n"/>
      <c r="CI171" s="103" t="n"/>
      <c r="CK171" s="104">
        <f>IFERROR(IF(F171='[1]Paramètres Généraux'!$K$12,ROUNDUP((REGENERANTS!H171*REGENERANTS!$CF$166)*'[1]Paramètres Généraux'!$M$12,-1),REGENERANTS!H171*REGENERANTS!$CF$166),"nd")</f>
        <v/>
      </c>
      <c r="CN171" s="105" t="n"/>
      <c r="CO171" s="106" t="n"/>
      <c r="CP171" s="106" t="n"/>
      <c r="CQ171" s="106" t="n"/>
      <c r="CR171" s="106" t="n"/>
      <c r="CS171" s="178" t="n"/>
      <c r="CT171" s="179" t="n"/>
      <c r="CU171" s="106" t="n"/>
      <c r="CV171" s="178" t="n"/>
      <c r="CW171" s="111" t="n"/>
      <c r="CX171" s="112" t="n"/>
      <c r="CY171" s="111" t="n"/>
      <c r="CZ171" s="109" t="n"/>
      <c r="DA171" s="112" t="n"/>
      <c r="DB171" s="111" t="n"/>
      <c r="DC171" s="109" t="n"/>
      <c r="DD171" s="112" t="n"/>
      <c r="DE171" s="111" t="n"/>
      <c r="DF171" s="109" t="n"/>
      <c r="DG171" s="109" t="n"/>
      <c r="DH171" s="109" t="n"/>
      <c r="DI171" s="109" t="n"/>
      <c r="DJ171" s="109" t="n"/>
      <c r="DK171" s="109" t="n"/>
      <c r="DL171" s="109" t="n"/>
      <c r="DM171" s="109" t="n"/>
      <c r="DN171" s="109" t="n"/>
      <c r="DO171" s="112" t="n"/>
      <c r="DP171" s="111" t="n"/>
      <c r="DQ171" s="20">
        <f>SUM(CN171:DP171)</f>
        <v/>
      </c>
      <c r="DR171" s="20">
        <f>SUM(CV171:DP171)</f>
        <v/>
      </c>
      <c r="DS171" s="20">
        <f>IFERROR((IF(AND($F171="Produit Vente",CO171&gt;0),VLOOKUP($C171,'[1]Paramètres Articles'!$B:$H,7,FALSE)*$CO171)*(1-20%)),0)</f>
        <v/>
      </c>
      <c r="DT171" s="20">
        <f>IFERROR((IF(AND($F171="Produit Vente",DR171&gt;0),VLOOKUP($C171,'[1]Paramètres Articles'!$B:$H,6,FALSE)*$DR171)*(1-15%)),0)</f>
        <v/>
      </c>
    </row>
    <row r="172" hidden="1" outlineLevel="1" collapsed="1" ht="12.95" customHeight="1">
      <c r="B172" s="1">
        <f>IF(C172="",0,COUNTIFS($B$22:B171,"&gt;"&amp;0)+1)</f>
        <v/>
      </c>
      <c r="C172" s="90" t="n">
        <v>1020721</v>
      </c>
      <c r="D172" s="91">
        <f>IFERROR(IF($C172="","",VLOOKUP($C172,'[1]Paramètres Articles'!$B:$G,2,FALSE)),"Non Trouvé")</f>
        <v/>
      </c>
      <c r="E172" s="92">
        <f>IFERROR(IF($C172="","",_xlfn.XLOOKUP(REGENERANTS!$C172,'[1]New Base PA'!$F:$F,'[1]New Base PA'!$D:$D,"Not Found",0)),"Non Trouvé")</f>
        <v/>
      </c>
      <c r="F172" s="93" t="inlineStr">
        <is>
          <t>Produit Vente</t>
        </is>
      </c>
      <c r="H172" s="106" t="n">
        <v>0</v>
      </c>
      <c r="J172" s="95">
        <f>IFERROR(IF($C172="","",VLOOKUP($C172,'[1]New Base PA'!$F:$J,5,FALSE)),"Non Trouvé")</f>
        <v/>
      </c>
      <c r="K172" s="136">
        <f>IFERROR(IF($C172="","",$J172*$H172),"Non Trouvé")</f>
        <v/>
      </c>
      <c r="L172" s="137" t="n"/>
      <c r="M172" s="95">
        <f>IFERROR(IF(AND($F172="Produit Vente",H172&gt;0),VLOOKUP($C172,'[1]Paramètres Articles'!$B:$G,6,FALSE),0),"Non Trouvé")</f>
        <v/>
      </c>
      <c r="N172" s="95">
        <f>IFERROR(IF($C172="","",$M172*$H172),"Non Trouvé")</f>
        <v/>
      </c>
      <c r="P172" s="97" t="n"/>
      <c r="R172" s="95">
        <f>IFERROR(IF($C172="","",$N172*(1-$P172)),"Non Trouvé")</f>
        <v/>
      </c>
      <c r="S172" s="96" t="n"/>
      <c r="T172" s="95">
        <f>IFERROR(IF($C172="","",VLOOKUP($C172,'[1]Paramètres Articles'!$B:$H,7,FALSE)),"Non Trouvé")</f>
        <v/>
      </c>
      <c r="U172" s="98" t="n"/>
      <c r="V172" s="95">
        <f>IFERROR(IF($C172="","",IF($P172="","",$T172*(1-$P172))),"Non Trouvé")</f>
        <v/>
      </c>
      <c r="W172" s="96" t="n"/>
      <c r="X172" s="95">
        <f>IFERROR(T172-V172,"")</f>
        <v/>
      </c>
      <c r="Y172" s="96" t="n"/>
      <c r="Z172" s="95">
        <f>IFERROR(IF(OR(T172=0,T172=""),0,T172*H172),"Non Trouvé")</f>
        <v/>
      </c>
      <c r="AB172" s="99">
        <f>AB170</f>
        <v/>
      </c>
      <c r="AC172" s="99">
        <f>AC170</f>
        <v/>
      </c>
      <c r="AD172" s="95">
        <f>IFERROR(IF($C172="","",IF($P$15="Cascade",$R172*(1-AC172)*AB172,IF($P$15="Additionnelle",($N172-($N172*($P172+AC172)))*AB172))),"Non Trouvé")</f>
        <v/>
      </c>
      <c r="AG172" s="99">
        <f>AG170</f>
        <v/>
      </c>
      <c r="AH172" s="99">
        <f>AH170</f>
        <v/>
      </c>
      <c r="AI172" s="95">
        <f>IFERROR(IF($C172="","",IF($P$15="Cascade",$R172*(1-AH172)*AG172,IF($P$15="Additionnelle",($N172-($N172*($P172+AH172)))*AG172))),"Non Trouvé")</f>
        <v/>
      </c>
      <c r="AL172" s="99">
        <f>AL170</f>
        <v/>
      </c>
      <c r="AM172" s="99">
        <f>AM170</f>
        <v/>
      </c>
      <c r="AN172" s="95">
        <f>IFERROR(IF($C172="","",IF($P$15="Cascade",$R172*(1-AM172)*AL172,IF($P$15="Additionnelle",($N172-($N172*($P172+AM172)))*AL172))),"Non Trouvé")</f>
        <v/>
      </c>
      <c r="AQ172" s="99">
        <f>AQ170</f>
        <v/>
      </c>
      <c r="AR172" s="99">
        <f>AR170</f>
        <v/>
      </c>
      <c r="AS172" s="95">
        <f>IFERROR(IF($C172="","",IF($P$15="Cascade",$R172*(1-AR172)*AQ172,IF($P$15="Additionnelle",($N172-($N172*($P172+AR172)))*AQ172))),"Non Trouvé")</f>
        <v/>
      </c>
      <c r="AV172" s="99">
        <f>AV170</f>
        <v/>
      </c>
      <c r="AW172" s="99">
        <f>AW170</f>
        <v/>
      </c>
      <c r="AX172" s="95">
        <f>IFERROR(IF($C172="","",IF($P$15="Cascade",$R172*(1-AW172)*AV172,IF($P$15="Additionnelle",($N172-($N172*($P172+AW172)))*AV172))),"Non Trouvé")</f>
        <v/>
      </c>
      <c r="BA172" s="99">
        <f>BA170</f>
        <v/>
      </c>
      <c r="BB172" s="99">
        <f>BB170</f>
        <v/>
      </c>
      <c r="BC172" s="95">
        <f>IFERROR(IF($C172="","",IF($P$15="Cascade",$R172*(1-BB172)*BA172,IF($P$15="Additionnelle",($N172-($N172*($P172+BB172)))*BA172))),"Non Trouvé")</f>
        <v/>
      </c>
      <c r="BF172" s="99">
        <f>BF170</f>
        <v/>
      </c>
      <c r="BG172" s="99">
        <f>BG170</f>
        <v/>
      </c>
      <c r="BH172" s="95">
        <f>IFERROR(IF($C172="","",IF($P$15="Cascade",$R172*(1-BG172)*BF172,IF($P$15="Additionnelle",($N172-($N172*($P172+BG172)))*BF172))),"Non Trouvé")</f>
        <v/>
      </c>
      <c r="BK172" s="99">
        <f>BK170</f>
        <v/>
      </c>
      <c r="BL172" s="99">
        <f>BL170</f>
        <v/>
      </c>
      <c r="BM172" s="95">
        <f>IFERROR(IF($C172="","",IF($P$15="Cascade",$R172*(1-BL172)*BK172,IF($P$15="Additionnelle",($N172-($N172*($P172+BL172)))*BK172))),"Non Trouvé")</f>
        <v/>
      </c>
      <c r="BP172" s="99">
        <f>BP170</f>
        <v/>
      </c>
      <c r="BQ172" s="99">
        <f>BQ170</f>
        <v/>
      </c>
      <c r="BR172" s="95">
        <f>IFERROR(IF($C172="","",IF($P$15="Cascade",$R172*(1-BQ172)*BP172,IF($P$15="Additionnelle",($N172-($N172*($P172+BQ172)))*BP172))),"Non Trouvé")</f>
        <v/>
      </c>
      <c r="BU172" s="99">
        <f>BU170</f>
        <v/>
      </c>
      <c r="BV172" s="99">
        <f>BV170</f>
        <v/>
      </c>
      <c r="BW172" s="95">
        <f>IFERROR(IF($C172="","",IF($P$15="Cascade",$R172*(1-BV172)*BU172,IF($P$15="Additionnelle",($N172-($N172*($P172+BV172)))*BU172))),"Non Trouvé")</f>
        <v/>
      </c>
      <c r="BZ172" s="99">
        <f>BZ170</f>
        <v/>
      </c>
      <c r="CA172" s="99">
        <f>CA170</f>
        <v/>
      </c>
      <c r="CB172" s="95">
        <f>IFERROR(IF($C172="","",IF($P$15="Cascade",$R172*(1-CA172)*BZ172,IF($P$15="Additionnelle",($N172-($N172*($P172+CA172)))*BZ172))),"Non Trouvé")</f>
        <v/>
      </c>
      <c r="CE172" s="100" t="n"/>
      <c r="CF172" s="101" t="n"/>
      <c r="CG172" s="93" t="inlineStr">
        <is>
          <t>UG</t>
        </is>
      </c>
      <c r="CH172" s="125">
        <f>SUMIFS(K168:K207,F168:F207,CG172)/SUMIFS(K168:K207,F168:F207,"Produit Vente")</f>
        <v/>
      </c>
      <c r="CI172" s="103" t="n"/>
      <c r="CK172" s="104">
        <f>IFERROR(IF(F172='[1]Paramètres Généraux'!$K$12,ROUNDUP((REGENERANTS!H172*REGENERANTS!$CF$166)*'[1]Paramètres Généraux'!$M$12,-1),REGENERANTS!H172*REGENERANTS!$CF$166),"nd")</f>
        <v/>
      </c>
      <c r="CN172" s="105" t="n"/>
      <c r="CO172" s="106" t="n"/>
      <c r="CP172" s="106" t="n"/>
      <c r="CQ172" s="106" t="n"/>
      <c r="CR172" s="106" t="n"/>
      <c r="CS172" s="178" t="n"/>
      <c r="CT172" s="179" t="n"/>
      <c r="CU172" s="106" t="n"/>
      <c r="CV172" s="178" t="n"/>
      <c r="CW172" s="111" t="n"/>
      <c r="CX172" s="112" t="n"/>
      <c r="CY172" s="111" t="n"/>
      <c r="CZ172" s="109" t="n"/>
      <c r="DA172" s="112" t="n"/>
      <c r="DB172" s="111" t="n"/>
      <c r="DC172" s="109" t="n"/>
      <c r="DD172" s="112" t="n"/>
      <c r="DE172" s="111" t="n"/>
      <c r="DF172" s="109" t="n"/>
      <c r="DG172" s="109" t="n"/>
      <c r="DH172" s="109" t="n"/>
      <c r="DI172" s="109" t="n"/>
      <c r="DJ172" s="109" t="n"/>
      <c r="DK172" s="109" t="n"/>
      <c r="DL172" s="109" t="n"/>
      <c r="DM172" s="109" t="n"/>
      <c r="DN172" s="109" t="n"/>
      <c r="DO172" s="112" t="n"/>
      <c r="DP172" s="111" t="n"/>
      <c r="DQ172" s="20">
        <f>SUM(CN172:DP172)</f>
        <v/>
      </c>
      <c r="DR172" s="20">
        <f>SUM(CV172:DP172)</f>
        <v/>
      </c>
      <c r="DS172" s="20">
        <f>IFERROR((IF(AND($F172="Produit Vente",CO172&gt;0),VLOOKUP($C172,'[1]Paramètres Articles'!$B:$H,7,FALSE)*$CO172)*(1-20%)),0)</f>
        <v/>
      </c>
      <c r="DT172" s="20">
        <f>IFERROR((IF(AND($F172="Produit Vente",DR172&gt;0),VLOOKUP($C172,'[1]Paramètres Articles'!$B:$H,6,FALSE)*$DR172)*(1-15%)),0)</f>
        <v/>
      </c>
    </row>
    <row r="173" hidden="1" outlineLevel="1" collapsed="1" ht="12.95" customHeight="1">
      <c r="B173" s="1">
        <f>IF(C173="",0,COUNTIFS($B$22:B172,"&gt;"&amp;0)+1)</f>
        <v/>
      </c>
      <c r="C173" s="90" t="n">
        <v>1020107</v>
      </c>
      <c r="D173" s="91">
        <f>IFERROR(IF($C173="","",VLOOKUP($C173,'[1]Paramètres Articles'!$B:$G,2,FALSE)),"Non Trouvé")</f>
        <v/>
      </c>
      <c r="E173" s="92">
        <f>IFERROR(IF($C173="","",_xlfn.XLOOKUP(REGENERANTS!$C173,'[1]New Base PA'!$F:$F,'[1]New Base PA'!$D:$D,"Not Found",0)),"Non Trouvé")</f>
        <v/>
      </c>
      <c r="F173" s="93" t="inlineStr">
        <is>
          <t>Produit Vente</t>
        </is>
      </c>
      <c r="H173" s="106">
        <f>50*3%</f>
        <v/>
      </c>
      <c r="J173" s="95">
        <f>IFERROR(IF($C173="","",VLOOKUP($C173,'[1]New Base PA'!$F:$J,5,FALSE)),"Non Trouvé")</f>
        <v/>
      </c>
      <c r="K173" s="136">
        <f>IFERROR(IF($C173="","",$J173*$H173),"Non Trouvé")</f>
        <v/>
      </c>
      <c r="L173" s="137" t="n"/>
      <c r="M173" s="95">
        <f>IFERROR(IF(AND($F173="Produit Vente",H173&gt;0),VLOOKUP($C173,'[1]Paramètres Articles'!$B:$G,6,FALSE),0),"Non Trouvé")</f>
        <v/>
      </c>
      <c r="N173" s="95">
        <f>IFERROR(IF($C173="","",$M173*$H173),"Non Trouvé")</f>
        <v/>
      </c>
      <c r="P173" s="97" t="n"/>
      <c r="R173" s="95">
        <f>IFERROR(IF($C173="","",$N173*(1-$P173)),"Non Trouvé")</f>
        <v/>
      </c>
      <c r="S173" s="96" t="n"/>
      <c r="T173" s="95">
        <f>IFERROR(IF($C173="","",VLOOKUP($C173,'[1]Paramètres Articles'!$B:$H,7,FALSE)),"Non Trouvé")</f>
        <v/>
      </c>
      <c r="U173" s="98" t="n"/>
      <c r="V173" s="95">
        <f>IFERROR(IF($C173="","",IF($P173="","",$T173*(1-$P173))),"Non Trouvé")</f>
        <v/>
      </c>
      <c r="W173" s="96" t="n"/>
      <c r="X173" s="95">
        <f>IFERROR(T173-V173,"")</f>
        <v/>
      </c>
      <c r="Y173" s="96" t="n"/>
      <c r="Z173" s="95">
        <f>IFERROR(IF(OR(T173=0,T173=""),0,T173*H173),"Non Trouvé")</f>
        <v/>
      </c>
      <c r="AB173" s="99">
        <f>AB172</f>
        <v/>
      </c>
      <c r="AC173" s="99">
        <f>AC172</f>
        <v/>
      </c>
      <c r="AD173" s="95">
        <f>IFERROR(IF($C173="","",IF($P$15="Cascade",$R173*(1-AC173)*AB173,IF($P$15="Additionnelle",($N173-($N173*($P173+AC173)))*AB173))),"Non Trouvé")</f>
        <v/>
      </c>
      <c r="AG173" s="99">
        <f>AG172</f>
        <v/>
      </c>
      <c r="AH173" s="99">
        <f>AH172</f>
        <v/>
      </c>
      <c r="AI173" s="95">
        <f>IFERROR(IF($C173="","",IF($P$15="Cascade",$R173*(1-AH173)*AG173,IF($P$15="Additionnelle",($N173-($N173*($P173+AH173)))*AG173))),"Non Trouvé")</f>
        <v/>
      </c>
      <c r="AL173" s="99">
        <f>AL172</f>
        <v/>
      </c>
      <c r="AM173" s="99">
        <f>AM172</f>
        <v/>
      </c>
      <c r="AN173" s="95">
        <f>IFERROR(IF($C173="","",IF($P$15="Cascade",$R173*(1-AM173)*AL173,IF($P$15="Additionnelle",($N173-($N173*($P173+AM173)))*AL173))),"Non Trouvé")</f>
        <v/>
      </c>
      <c r="AQ173" s="99">
        <f>AQ172</f>
        <v/>
      </c>
      <c r="AR173" s="99">
        <f>AR172</f>
        <v/>
      </c>
      <c r="AS173" s="95">
        <f>IFERROR(IF($C173="","",IF($P$15="Cascade",$R173*(1-AR173)*AQ173,IF($P$15="Additionnelle",($N173-($N173*($P173+AR173)))*AQ173))),"Non Trouvé")</f>
        <v/>
      </c>
      <c r="AV173" s="99">
        <f>AV172</f>
        <v/>
      </c>
      <c r="AW173" s="99">
        <f>AW172</f>
        <v/>
      </c>
      <c r="AX173" s="95">
        <f>IFERROR(IF($C173="","",IF($P$15="Cascade",$R173*(1-AW173)*AV173,IF($P$15="Additionnelle",($N173-($N173*($P173+AW173)))*AV173))),"Non Trouvé")</f>
        <v/>
      </c>
      <c r="BA173" s="99">
        <f>BA172</f>
        <v/>
      </c>
      <c r="BB173" s="99">
        <f>BB172</f>
        <v/>
      </c>
      <c r="BC173" s="95">
        <f>IFERROR(IF($C173="","",IF($P$15="Cascade",$R173*(1-BB173)*BA173,IF($P$15="Additionnelle",($N173-($N173*($P173+BB173)))*BA173))),"Non Trouvé")</f>
        <v/>
      </c>
      <c r="BF173" s="99">
        <f>BF172</f>
        <v/>
      </c>
      <c r="BG173" s="99">
        <f>BG172</f>
        <v/>
      </c>
      <c r="BH173" s="95">
        <f>IFERROR(IF($C173="","",IF($P$15="Cascade",$R173*(1-BG173)*BF173,IF($P$15="Additionnelle",($N173-($N173*($P173+BG173)))*BF173))),"Non Trouvé")</f>
        <v/>
      </c>
      <c r="BK173" s="99">
        <f>BK172</f>
        <v/>
      </c>
      <c r="BL173" s="99">
        <f>BL172</f>
        <v/>
      </c>
      <c r="BM173" s="95">
        <f>IFERROR(IF($C173="","",IF($P$15="Cascade",$R173*(1-BL173)*BK173,IF($P$15="Additionnelle",($N173-($N173*($P173+BL173)))*BK173))),"Non Trouvé")</f>
        <v/>
      </c>
      <c r="BP173" s="99">
        <f>BP172</f>
        <v/>
      </c>
      <c r="BQ173" s="99">
        <f>BQ172</f>
        <v/>
      </c>
      <c r="BR173" s="95">
        <f>IFERROR(IF($C173="","",IF($P$15="Cascade",$R173*(1-BQ173)*BP173,IF($P$15="Additionnelle",($N173-($N173*($P173+BQ173)))*BP173))),"Non Trouvé")</f>
        <v/>
      </c>
      <c r="BU173" s="99">
        <f>BU172</f>
        <v/>
      </c>
      <c r="BV173" s="99">
        <f>BV172</f>
        <v/>
      </c>
      <c r="BW173" s="95">
        <f>IFERROR(IF($C173="","",IF($P$15="Cascade",$R173*(1-BV173)*BU173,IF($P$15="Additionnelle",($N173-($N173*($P173+BV173)))*BU173))),"Non Trouvé")</f>
        <v/>
      </c>
      <c r="BZ173" s="99">
        <f>BZ172</f>
        <v/>
      </c>
      <c r="CA173" s="99">
        <f>CA172</f>
        <v/>
      </c>
      <c r="CB173" s="95">
        <f>IFERROR(IF($C173="","",IF($P$15="Cascade",$R173*(1-CA173)*BZ173,IF($P$15="Additionnelle",($N173-($N173*($P173+CA173)))*BZ173))),"Non Trouvé")</f>
        <v/>
      </c>
      <c r="CE173" s="100" t="n"/>
      <c r="CF173" s="101" t="n"/>
      <c r="CG173" s="93" t="inlineStr">
        <is>
          <t>PLV</t>
        </is>
      </c>
      <c r="CH173" s="125">
        <f>SUMIFS(K168:K208,F168:F208,CG173)/K166</f>
        <v/>
      </c>
      <c r="CI173" s="103" t="n"/>
      <c r="CK173" s="104">
        <f>IFERROR(IF(F173='[1]Paramètres Généraux'!$K$12,ROUNDUP((REGENERANTS!H173*REGENERANTS!$CF$166)*'[1]Paramètres Généraux'!$M$12,-1),REGENERANTS!H173*REGENERANTS!$CF$166),"nd")</f>
        <v/>
      </c>
      <c r="CN173" s="105" t="n"/>
      <c r="CO173" s="106" t="n"/>
      <c r="CP173" s="106" t="n"/>
      <c r="CQ173" s="106" t="n"/>
      <c r="CR173" s="106" t="n"/>
      <c r="CS173" s="178" t="n"/>
      <c r="CT173" s="179" t="n"/>
      <c r="CU173" s="106" t="n"/>
      <c r="CV173" s="178" t="n"/>
      <c r="CW173" s="111" t="n"/>
      <c r="CX173" s="112" t="n"/>
      <c r="CY173" s="111" t="n"/>
      <c r="CZ173" s="109" t="n"/>
      <c r="DA173" s="112" t="n"/>
      <c r="DB173" s="111" t="n"/>
      <c r="DC173" s="109" t="n"/>
      <c r="DD173" s="112" t="n"/>
      <c r="DE173" s="111" t="n"/>
      <c r="DF173" s="109" t="n"/>
      <c r="DG173" s="109" t="n"/>
      <c r="DH173" s="109" t="n"/>
      <c r="DI173" s="109" t="n"/>
      <c r="DJ173" s="109" t="n"/>
      <c r="DK173" s="109" t="n"/>
      <c r="DL173" s="109" t="n"/>
      <c r="DM173" s="109" t="n"/>
      <c r="DN173" s="109" t="n"/>
      <c r="DO173" s="112" t="n"/>
      <c r="DP173" s="111" t="n"/>
      <c r="DQ173" s="20">
        <f>SUM(CN173:DP173)</f>
        <v/>
      </c>
      <c r="DR173" s="20">
        <f>SUM(CV173:DP173)</f>
        <v/>
      </c>
      <c r="DS173" s="20">
        <f>IFERROR((IF(AND($F173="Produit Vente",CO173&gt;0),VLOOKUP($C173,'[1]Paramètres Articles'!$B:$H,7,FALSE)*$CO173)*(1-20%)),0)</f>
        <v/>
      </c>
      <c r="DT173" s="20">
        <f>IFERROR((IF(AND($F173="Produit Vente",DR173&gt;0),VLOOKUP($C173,'[1]Paramètres Articles'!$B:$H,6,FALSE)*$DR173)*(1-15%)),0)</f>
        <v/>
      </c>
    </row>
    <row r="174" hidden="1" outlineLevel="1" collapsed="1" ht="12.95" customHeight="1">
      <c r="B174" s="1">
        <f>IF(C174="",0,COUNTIFS($B$22:B173,"&gt;"&amp;0)+1)</f>
        <v/>
      </c>
      <c r="C174" s="90" t="n">
        <v>1020102</v>
      </c>
      <c r="D174" s="91">
        <f>IFERROR(IF($C174="","",VLOOKUP($C174,'[1]Paramètres Articles'!$B:$G,2,FALSE)),"Non Trouvé")</f>
        <v/>
      </c>
      <c r="E174" s="92">
        <f>IFERROR(IF($C174="","",_xlfn.XLOOKUP(REGENERANTS!$C174,'[1]New Base PA'!$F:$F,'[1]New Base PA'!$D:$D,"Not Found",0)),"Non Trouvé")</f>
        <v/>
      </c>
      <c r="F174" s="93" t="inlineStr">
        <is>
          <t>Produit Vente</t>
        </is>
      </c>
      <c r="H174" s="106">
        <f>50*5%</f>
        <v/>
      </c>
      <c r="J174" s="95">
        <f>IFERROR(IF($C174="","",VLOOKUP($C174,'[1]New Base PA'!$F:$J,5,FALSE)),"Non Trouvé")</f>
        <v/>
      </c>
      <c r="K174" s="136">
        <f>IFERROR(IF($C174="","",$J174*$H174),"Non Trouvé")</f>
        <v/>
      </c>
      <c r="L174" s="137" t="n"/>
      <c r="M174" s="95">
        <f>IFERROR(IF(AND($F174="Produit Vente",H174&gt;0),VLOOKUP($C174,'[1]Paramètres Articles'!$B:$G,6,FALSE),0),"Non Trouvé")</f>
        <v/>
      </c>
      <c r="N174" s="95">
        <f>IFERROR(IF($C174="","",$M174*$H174),"Non Trouvé")</f>
        <v/>
      </c>
      <c r="P174" s="97" t="n"/>
      <c r="R174" s="95">
        <f>IFERROR(IF($C174="","",$N174*(1-$P174)),"Non Trouvé")</f>
        <v/>
      </c>
      <c r="S174" s="96" t="n"/>
      <c r="T174" s="95">
        <f>IFERROR(IF($C174="","",VLOOKUP($C174,'[1]Paramètres Articles'!$B:$H,7,FALSE)),"Non Trouvé")</f>
        <v/>
      </c>
      <c r="U174" s="98" t="n"/>
      <c r="V174" s="95">
        <f>IFERROR(IF($C174="","",IF($P174="","",$T174*(1-$P174))),"Non Trouvé")</f>
        <v/>
      </c>
      <c r="W174" s="96" t="n"/>
      <c r="X174" s="95">
        <f>IFERROR(T174-V174,"")</f>
        <v/>
      </c>
      <c r="Y174" s="96" t="n"/>
      <c r="Z174" s="95">
        <f>IFERROR(IF(OR(T174=0,T174=""),0,T174*H174),"Non Trouvé")</f>
        <v/>
      </c>
      <c r="AB174" s="99">
        <f>AB172</f>
        <v/>
      </c>
      <c r="AC174" s="99">
        <f>AC172</f>
        <v/>
      </c>
      <c r="AD174" s="95">
        <f>IFERROR(IF($C174="","",IF($P$15="Cascade",$R174*(1-AC174)*AB174,IF($P$15="Additionnelle",($N174-($N174*($P174+AC174)))*AB174))),"Non Trouvé")</f>
        <v/>
      </c>
      <c r="AG174" s="99">
        <f>AG172</f>
        <v/>
      </c>
      <c r="AH174" s="99">
        <f>AH172</f>
        <v/>
      </c>
      <c r="AI174" s="95">
        <f>IFERROR(IF($C174="","",IF($P$15="Cascade",$R174*(1-AH174)*AG174,IF($P$15="Additionnelle",($N174-($N174*($P174+AH174)))*AG174))),"Non Trouvé")</f>
        <v/>
      </c>
      <c r="AL174" s="99">
        <f>AL172</f>
        <v/>
      </c>
      <c r="AM174" s="99">
        <f>AM172</f>
        <v/>
      </c>
      <c r="AN174" s="95">
        <f>IFERROR(IF($C174="","",IF($P$15="Cascade",$R174*(1-AM174)*AL174,IF($P$15="Additionnelle",($N174-($N174*($P174+AM174)))*AL174))),"Non Trouvé")</f>
        <v/>
      </c>
      <c r="AQ174" s="99">
        <f>AQ172</f>
        <v/>
      </c>
      <c r="AR174" s="99">
        <f>AR172</f>
        <v/>
      </c>
      <c r="AS174" s="95">
        <f>IFERROR(IF($C174="","",IF($P$15="Cascade",$R174*(1-AR174)*AQ174,IF($P$15="Additionnelle",($N174-($N174*($P174+AR174)))*AQ174))),"Non Trouvé")</f>
        <v/>
      </c>
      <c r="AV174" s="99">
        <f>AV172</f>
        <v/>
      </c>
      <c r="AW174" s="99">
        <f>AW172</f>
        <v/>
      </c>
      <c r="AX174" s="95">
        <f>IFERROR(IF($C174="","",IF($P$15="Cascade",$R174*(1-AW174)*AV174,IF($P$15="Additionnelle",($N174-($N174*($P174+AW174)))*AV174))),"Non Trouvé")</f>
        <v/>
      </c>
      <c r="BA174" s="99">
        <f>BA172</f>
        <v/>
      </c>
      <c r="BB174" s="99">
        <f>BB172</f>
        <v/>
      </c>
      <c r="BC174" s="95">
        <f>IFERROR(IF($C174="","",IF($P$15="Cascade",$R174*(1-BB174)*BA174,IF($P$15="Additionnelle",($N174-($N174*($P174+BB174)))*BA174))),"Non Trouvé")</f>
        <v/>
      </c>
      <c r="BF174" s="99">
        <f>BF172</f>
        <v/>
      </c>
      <c r="BG174" s="99">
        <f>BG172</f>
        <v/>
      </c>
      <c r="BH174" s="95">
        <f>IFERROR(IF($C174="","",IF($P$15="Cascade",$R174*(1-BG174)*BF174,IF($P$15="Additionnelle",($N174-($N174*($P174+BG174)))*BF174))),"Non Trouvé")</f>
        <v/>
      </c>
      <c r="BK174" s="99">
        <f>BK172</f>
        <v/>
      </c>
      <c r="BL174" s="99">
        <f>BL172</f>
        <v/>
      </c>
      <c r="BM174" s="95">
        <f>IFERROR(IF($C174="","",IF($P$15="Cascade",$R174*(1-BL174)*BK174,IF($P$15="Additionnelle",($N174-($N174*($P174+BL174)))*BK174))),"Non Trouvé")</f>
        <v/>
      </c>
      <c r="BP174" s="99">
        <f>BP172</f>
        <v/>
      </c>
      <c r="BQ174" s="99">
        <f>BQ172</f>
        <v/>
      </c>
      <c r="BR174" s="95">
        <f>IFERROR(IF($C174="","",IF($P$15="Cascade",$R174*(1-BQ174)*BP174,IF($P$15="Additionnelle",($N174-($N174*($P174+BQ174)))*BP174))),"Non Trouvé")</f>
        <v/>
      </c>
      <c r="BU174" s="99">
        <f>BU172</f>
        <v/>
      </c>
      <c r="BV174" s="99">
        <f>BV172</f>
        <v/>
      </c>
      <c r="BW174" s="95">
        <f>IFERROR(IF($C174="","",IF($P$15="Cascade",$R174*(1-BV174)*BU174,IF($P$15="Additionnelle",($N174-($N174*($P174+BV174)))*BU174))),"Non Trouvé")</f>
        <v/>
      </c>
      <c r="BZ174" s="99">
        <f>BZ172</f>
        <v/>
      </c>
      <c r="CA174" s="99">
        <f>CA172</f>
        <v/>
      </c>
      <c r="CB174" s="95">
        <f>IFERROR(IF($C174="","",IF($P$15="Cascade",$R174*(1-CA174)*BZ174,IF($P$15="Additionnelle",($N174-($N174*($P174+CA174)))*BZ174))),"Non Trouvé")</f>
        <v/>
      </c>
      <c r="CE174" s="100" t="n"/>
      <c r="CF174" s="101" t="n"/>
      <c r="CG174" s="93" t="inlineStr">
        <is>
          <t>Echantillon</t>
        </is>
      </c>
      <c r="CH174" s="125">
        <f>SUMIFS(K168:K208,F168:F208,CG174)/K166</f>
        <v/>
      </c>
      <c r="CI174" s="103" t="n"/>
      <c r="CK174" s="104">
        <f>IFERROR(IF(F174='[1]Paramètres Généraux'!$K$12,ROUNDUP((REGENERANTS!H174*REGENERANTS!$CF$166)*'[1]Paramètres Généraux'!$M$12,-1),REGENERANTS!H174*REGENERANTS!$CF$166),"nd")</f>
        <v/>
      </c>
      <c r="CN174" s="105" t="n"/>
      <c r="CO174" s="106" t="n"/>
      <c r="CP174" s="106" t="n"/>
      <c r="CQ174" s="106" t="n"/>
      <c r="CR174" s="106" t="n"/>
      <c r="CS174" s="178" t="n"/>
      <c r="CT174" s="179" t="n"/>
      <c r="CU174" s="106" t="n"/>
      <c r="CV174" s="178" t="n"/>
      <c r="CW174" s="111" t="n"/>
      <c r="CX174" s="112" t="n"/>
      <c r="CY174" s="111" t="n"/>
      <c r="CZ174" s="109" t="n"/>
      <c r="DA174" s="112" t="n"/>
      <c r="DB174" s="111" t="n"/>
      <c r="DC174" s="109" t="n"/>
      <c r="DD174" s="112" t="n"/>
      <c r="DE174" s="111" t="n"/>
      <c r="DF174" s="109" t="n"/>
      <c r="DG174" s="109" t="n"/>
      <c r="DH174" s="109" t="n"/>
      <c r="DI174" s="109" t="n"/>
      <c r="DJ174" s="109" t="n"/>
      <c r="DK174" s="109" t="n"/>
      <c r="DL174" s="109" t="n"/>
      <c r="DM174" s="109" t="n"/>
      <c r="DN174" s="109" t="n"/>
      <c r="DO174" s="112" t="n"/>
      <c r="DP174" s="111" t="n"/>
      <c r="DQ174" s="20">
        <f>SUM(CN174:DP174)</f>
        <v/>
      </c>
      <c r="DR174" s="20">
        <f>SUM(CV174:DP174)</f>
        <v/>
      </c>
      <c r="DS174" s="20">
        <f>IFERROR((IF(AND($F174="Produit Vente",CO174&gt;0),VLOOKUP($C174,'[1]Paramètres Articles'!$B:$H,7,FALSE)*$CO174)*(1-20%)),0)</f>
        <v/>
      </c>
      <c r="DT174" s="20">
        <f>IFERROR((IF(AND($F174="Produit Vente",DR174&gt;0),VLOOKUP($C174,'[1]Paramètres Articles'!$B:$H,6,FALSE)*$DR174)*(1-15%)),0)</f>
        <v/>
      </c>
    </row>
    <row r="175" hidden="1" outlineLevel="1" collapsed="1" ht="12.95" customHeight="1">
      <c r="B175" s="1">
        <f>IF(C175="",0,COUNTIFS($B$22:B174,"&gt;"&amp;0)+1)</f>
        <v/>
      </c>
      <c r="C175" s="90" t="n">
        <v>1020722</v>
      </c>
      <c r="D175" s="91">
        <f>IFERROR(IF($C175="","",VLOOKUP($C175,'[1]Paramètres Articles'!$B:$G,2,FALSE)),"Non Trouvé")</f>
        <v/>
      </c>
      <c r="E175" s="92">
        <f>IFERROR(IF($C175="","",_xlfn.XLOOKUP(REGENERANTS!$C175,'[1]New Base PA'!$F:$F,'[1]New Base PA'!$D:$D,"Not Found",0)),"Non Trouvé")</f>
        <v/>
      </c>
      <c r="F175" s="93" t="inlineStr">
        <is>
          <t>Produit Vente</t>
        </is>
      </c>
      <c r="H175" s="106" t="n">
        <v>0</v>
      </c>
      <c r="J175" s="95">
        <f>IFERROR(IF($C175="","",VLOOKUP($C175,'[1]New Base PA'!$F:$J,5,FALSE)),"Non Trouvé")</f>
        <v/>
      </c>
      <c r="K175" s="136">
        <f>IFERROR(IF($C175="","",$J175*$H175),"Non Trouvé")</f>
        <v/>
      </c>
      <c r="L175" s="137" t="n"/>
      <c r="M175" s="95">
        <f>IFERROR(IF(AND($F175="Produit Vente",H175&gt;0),VLOOKUP($C175,'[1]Paramètres Articles'!$B:$G,6,FALSE),0),"Non Trouvé")</f>
        <v/>
      </c>
      <c r="N175" s="95">
        <f>IFERROR(IF($C175="","",$M175*$H175),"Non Trouvé")</f>
        <v/>
      </c>
      <c r="P175" s="97" t="n"/>
      <c r="R175" s="95">
        <f>IFERROR(IF($C175="","",$N175*(1-$P175)),"Non Trouvé")</f>
        <v/>
      </c>
      <c r="S175" s="96" t="n"/>
      <c r="T175" s="95">
        <f>IFERROR(IF($C175="","",VLOOKUP($C175,'[1]Paramètres Articles'!$B:$H,7,FALSE)),"Non Trouvé")</f>
        <v/>
      </c>
      <c r="U175" s="98" t="n"/>
      <c r="V175" s="95">
        <f>IFERROR(IF($C175="","",IF($P175="","",$T175*(1-$P175))),"Non Trouvé")</f>
        <v/>
      </c>
      <c r="W175" s="96" t="n"/>
      <c r="X175" s="95">
        <f>IFERROR(T175-V175,"")</f>
        <v/>
      </c>
      <c r="Y175" s="96" t="n"/>
      <c r="Z175" s="95">
        <f>IFERROR(IF(OR(T175=0,T175=""),0,T175*H175),"Non Trouvé")</f>
        <v/>
      </c>
      <c r="AB175" s="99">
        <f>AB174</f>
        <v/>
      </c>
      <c r="AC175" s="99">
        <f>AC174</f>
        <v/>
      </c>
      <c r="AD175" s="95">
        <f>IFERROR(IF($C175="","",IF($P$15="Cascade",$R175*(1-AC175)*AB175,IF($P$15="Additionnelle",($N175-($N175*($P175+AC175)))*AB175))),"Non Trouvé")</f>
        <v/>
      </c>
      <c r="AG175" s="99">
        <f>AG174</f>
        <v/>
      </c>
      <c r="AH175" s="99">
        <f>AH174</f>
        <v/>
      </c>
      <c r="AI175" s="95">
        <f>IFERROR(IF($C175="","",IF($P$15="Cascade",$R175*(1-AH175)*AG175,IF($P$15="Additionnelle",($N175-($N175*($P175+AH175)))*AG175))),"Non Trouvé")</f>
        <v/>
      </c>
      <c r="AL175" s="99">
        <f>AL174</f>
        <v/>
      </c>
      <c r="AM175" s="99">
        <f>AM174</f>
        <v/>
      </c>
      <c r="AN175" s="95">
        <f>IFERROR(IF($C175="","",IF($P$15="Cascade",$R175*(1-AM175)*AL175,IF($P$15="Additionnelle",($N175-($N175*($P175+AM175)))*AL175))),"Non Trouvé")</f>
        <v/>
      </c>
      <c r="AQ175" s="99">
        <f>AQ174</f>
        <v/>
      </c>
      <c r="AR175" s="99">
        <f>AR174</f>
        <v/>
      </c>
      <c r="AS175" s="95">
        <f>IFERROR(IF($C175="","",IF($P$15="Cascade",$R175*(1-AR175)*AQ175,IF($P$15="Additionnelle",($N175-($N175*($P175+AR175)))*AQ175))),"Non Trouvé")</f>
        <v/>
      </c>
      <c r="AV175" s="99">
        <f>AV174</f>
        <v/>
      </c>
      <c r="AW175" s="99">
        <f>AW174</f>
        <v/>
      </c>
      <c r="AX175" s="95">
        <f>IFERROR(IF($C175="","",IF($P$15="Cascade",$R175*(1-AW175)*AV175,IF($P$15="Additionnelle",($N175-($N175*($P175+AW175)))*AV175))),"Non Trouvé")</f>
        <v/>
      </c>
      <c r="BA175" s="99">
        <f>BA174</f>
        <v/>
      </c>
      <c r="BB175" s="99">
        <f>BB174</f>
        <v/>
      </c>
      <c r="BC175" s="95">
        <f>IFERROR(IF($C175="","",IF($P$15="Cascade",$R175*(1-BB175)*BA175,IF($P$15="Additionnelle",($N175-($N175*($P175+BB175)))*BA175))),"Non Trouvé")</f>
        <v/>
      </c>
      <c r="BF175" s="99">
        <f>BF174</f>
        <v/>
      </c>
      <c r="BG175" s="99">
        <f>BG174</f>
        <v/>
      </c>
      <c r="BH175" s="95">
        <f>IFERROR(IF($C175="","",IF($P$15="Cascade",$R175*(1-BG175)*BF175,IF($P$15="Additionnelle",($N175-($N175*($P175+BG175)))*BF175))),"Non Trouvé")</f>
        <v/>
      </c>
      <c r="BK175" s="99">
        <f>BK174</f>
        <v/>
      </c>
      <c r="BL175" s="99">
        <f>BL174</f>
        <v/>
      </c>
      <c r="BM175" s="95">
        <f>IFERROR(IF($C175="","",IF($P$15="Cascade",$R175*(1-BL175)*BK175,IF($P$15="Additionnelle",($N175-($N175*($P175+BL175)))*BK175))),"Non Trouvé")</f>
        <v/>
      </c>
      <c r="BP175" s="99">
        <f>BP174</f>
        <v/>
      </c>
      <c r="BQ175" s="99">
        <f>BQ174</f>
        <v/>
      </c>
      <c r="BR175" s="95">
        <f>IFERROR(IF($C175="","",IF($P$15="Cascade",$R175*(1-BQ175)*BP175,IF($P$15="Additionnelle",($N175-($N175*($P175+BQ175)))*BP175))),"Non Trouvé")</f>
        <v/>
      </c>
      <c r="BU175" s="99">
        <f>BU174</f>
        <v/>
      </c>
      <c r="BV175" s="99">
        <f>BV174</f>
        <v/>
      </c>
      <c r="BW175" s="95">
        <f>IFERROR(IF($C175="","",IF($P$15="Cascade",$R175*(1-BV175)*BU175,IF($P$15="Additionnelle",($N175-($N175*($P175+BV175)))*BU175))),"Non Trouvé")</f>
        <v/>
      </c>
      <c r="BZ175" s="99">
        <f>BZ174</f>
        <v/>
      </c>
      <c r="CA175" s="99">
        <f>CA174</f>
        <v/>
      </c>
      <c r="CB175" s="95">
        <f>IFERROR(IF($C175="","",IF($P$15="Cascade",$R175*(1-CA175)*BZ175,IF($P$15="Additionnelle",($N175-($N175*($P175+CA175)))*BZ175))),"Non Trouvé")</f>
        <v/>
      </c>
      <c r="CE175" s="100" t="n"/>
      <c r="CF175" s="101" t="n"/>
      <c r="CG175" s="93" t="inlineStr">
        <is>
          <t>Testeur</t>
        </is>
      </c>
      <c r="CH175" s="125">
        <f>SUMIFS(K168:K208,F168:F208,CG175)/K166</f>
        <v/>
      </c>
      <c r="CI175" s="103" t="n"/>
      <c r="CK175" s="104">
        <f>IFERROR(IF(F175='[1]Paramètres Généraux'!$K$12,ROUNDUP((REGENERANTS!H175*REGENERANTS!$CF$166)*'[1]Paramètres Généraux'!$M$12,-1),REGENERANTS!H175*REGENERANTS!$CF$166),"nd")</f>
        <v/>
      </c>
      <c r="CN175" s="105" t="n"/>
      <c r="CO175" s="106" t="n"/>
      <c r="CP175" s="106" t="n"/>
      <c r="CQ175" s="106" t="n"/>
      <c r="CR175" s="106" t="n"/>
      <c r="CS175" s="178" t="n"/>
      <c r="CT175" s="179" t="n"/>
      <c r="CU175" s="106" t="n"/>
      <c r="CV175" s="178" t="n"/>
      <c r="CW175" s="111" t="n"/>
      <c r="CX175" s="112" t="n"/>
      <c r="CY175" s="111" t="n"/>
      <c r="CZ175" s="109" t="n"/>
      <c r="DA175" s="112" t="n"/>
      <c r="DB175" s="111" t="n"/>
      <c r="DC175" s="109" t="n"/>
      <c r="DD175" s="112" t="n"/>
      <c r="DE175" s="111" t="n"/>
      <c r="DF175" s="109" t="n"/>
      <c r="DG175" s="109" t="n"/>
      <c r="DH175" s="109" t="n"/>
      <c r="DI175" s="109" t="n"/>
      <c r="DJ175" s="109" t="n"/>
      <c r="DK175" s="109" t="n"/>
      <c r="DL175" s="109" t="n"/>
      <c r="DM175" s="109" t="n"/>
      <c r="DN175" s="109" t="n"/>
      <c r="DO175" s="112" t="n"/>
      <c r="DP175" s="111" t="n"/>
      <c r="DQ175" s="20">
        <f>SUM(CN175:DP175)</f>
        <v/>
      </c>
      <c r="DR175" s="20">
        <f>SUM(CV175:DP175)</f>
        <v/>
      </c>
      <c r="DS175" s="20">
        <f>IFERROR((IF(AND($F175="Produit Vente",CO175&gt;0),VLOOKUP($C175,'[1]Paramètres Articles'!$B:$H,7,FALSE)*$CO175)*(1-20%)),0)</f>
        <v/>
      </c>
      <c r="DT175" s="20">
        <f>IFERROR((IF(AND($F175="Produit Vente",DR175&gt;0),VLOOKUP($C175,'[1]Paramètres Articles'!$B:$H,6,FALSE)*$DR175)*(1-15%)),0)</f>
        <v/>
      </c>
    </row>
    <row r="176" hidden="1" outlineLevel="1" collapsed="1" ht="12.95" customHeight="1">
      <c r="B176" s="1">
        <f>IF(C176="",0,COUNTIFS($B$22:B175,"&gt;"&amp;0)+1)</f>
        <v/>
      </c>
      <c r="C176" s="90" t="n">
        <v>1020719</v>
      </c>
      <c r="D176" s="91">
        <f>IFERROR(IF($C176="","",VLOOKUP($C176,'[1]Paramètres Articles'!$B:$G,2,FALSE)),"Non Trouvé")</f>
        <v/>
      </c>
      <c r="E176" s="92">
        <f>IFERROR(IF($C176="","",_xlfn.XLOOKUP(REGENERANTS!$C176,'[1]New Base PA'!$F:$F,'[1]New Base PA'!$D:$D,"Not Found",0)),"Non Trouvé")</f>
        <v/>
      </c>
      <c r="F176" s="93" t="inlineStr">
        <is>
          <t>Produit Vente</t>
        </is>
      </c>
      <c r="H176" s="106">
        <f>50*7%</f>
        <v/>
      </c>
      <c r="J176" s="95">
        <f>IFERROR(IF($C176="","",VLOOKUP($C176,'[1]New Base PA'!$F:$J,5,FALSE)),"Non Trouvé")</f>
        <v/>
      </c>
      <c r="K176" s="136">
        <f>IFERROR(IF($C176="","",$J176*$H176),"Non Trouvé")</f>
        <v/>
      </c>
      <c r="L176" s="137" t="n"/>
      <c r="M176" s="95">
        <f>IFERROR(IF(AND($F176="Produit Vente",H176&gt;0),VLOOKUP($C176,'[1]Paramètres Articles'!$B:$G,6,FALSE),0),"Non Trouvé")</f>
        <v/>
      </c>
      <c r="N176" s="95">
        <f>IFERROR(IF($C176="","",$M176*$H176),"Non Trouvé")</f>
        <v/>
      </c>
      <c r="P176" s="97" t="n"/>
      <c r="R176" s="95">
        <f>IFERROR(IF($C176="","",$N176*(1-$P176)),"Non Trouvé")</f>
        <v/>
      </c>
      <c r="S176" s="96" t="n"/>
      <c r="T176" s="95">
        <f>IFERROR(IF($C176="","",VLOOKUP($C176,'[1]Paramètres Articles'!$B:$H,7,FALSE)),"Non Trouvé")</f>
        <v/>
      </c>
      <c r="U176" s="98" t="n"/>
      <c r="V176" s="95">
        <f>IFERROR(IF($C176="","",IF($P176="","",$T176*(1-$P176))),"Non Trouvé")</f>
        <v/>
      </c>
      <c r="W176" s="96" t="n"/>
      <c r="X176" s="95">
        <f>IFERROR(T176-V176,"")</f>
        <v/>
      </c>
      <c r="Y176" s="96" t="n"/>
      <c r="Z176" s="95">
        <f>IFERROR(IF(OR(T176=0,T176=""),0,T176*H176),"Non Trouvé")</f>
        <v/>
      </c>
      <c r="AB176" s="99">
        <f>AB174</f>
        <v/>
      </c>
      <c r="AC176" s="99">
        <f>AC174</f>
        <v/>
      </c>
      <c r="AD176" s="95">
        <f>IFERROR(IF($C176="","",IF($P$15="Cascade",$R176*(1-AC176)*AB176,IF($P$15="Additionnelle",($N176-($N176*($P176+AC176)))*AB176))),"Non Trouvé")</f>
        <v/>
      </c>
      <c r="AG176" s="99">
        <f>AG174</f>
        <v/>
      </c>
      <c r="AH176" s="99">
        <f>AH174</f>
        <v/>
      </c>
      <c r="AI176" s="95">
        <f>IFERROR(IF($C176="","",IF($P$15="Cascade",$R176*(1-AH176)*AG176,IF($P$15="Additionnelle",($N176-($N176*($P176+AH176)))*AG176))),"Non Trouvé")</f>
        <v/>
      </c>
      <c r="AL176" s="99">
        <f>AL174</f>
        <v/>
      </c>
      <c r="AM176" s="99">
        <f>AM174</f>
        <v/>
      </c>
      <c r="AN176" s="95">
        <f>IFERROR(IF($C176="","",IF($P$15="Cascade",$R176*(1-AM176)*AL176,IF($P$15="Additionnelle",($N176-($N176*($P176+AM176)))*AL176))),"Non Trouvé")</f>
        <v/>
      </c>
      <c r="AQ176" s="99">
        <f>AQ174</f>
        <v/>
      </c>
      <c r="AR176" s="99">
        <f>AR174</f>
        <v/>
      </c>
      <c r="AS176" s="95">
        <f>IFERROR(IF($C176="","",IF($P$15="Cascade",$R176*(1-AR176)*AQ176,IF($P$15="Additionnelle",($N176-($N176*($P176+AR176)))*AQ176))),"Non Trouvé")</f>
        <v/>
      </c>
      <c r="AV176" s="99">
        <f>AV174</f>
        <v/>
      </c>
      <c r="AW176" s="99">
        <f>AW174</f>
        <v/>
      </c>
      <c r="AX176" s="95">
        <f>IFERROR(IF($C176="","",IF($P$15="Cascade",$R176*(1-AW176)*AV176,IF($P$15="Additionnelle",($N176-($N176*($P176+AW176)))*AV176))),"Non Trouvé")</f>
        <v/>
      </c>
      <c r="BA176" s="99">
        <f>BA174</f>
        <v/>
      </c>
      <c r="BB176" s="99">
        <f>BB174</f>
        <v/>
      </c>
      <c r="BC176" s="95">
        <f>IFERROR(IF($C176="","",IF($P$15="Cascade",$R176*(1-BB176)*BA176,IF($P$15="Additionnelle",($N176-($N176*($P176+BB176)))*BA176))),"Non Trouvé")</f>
        <v/>
      </c>
      <c r="BF176" s="99">
        <f>BF174</f>
        <v/>
      </c>
      <c r="BG176" s="99">
        <f>BG174</f>
        <v/>
      </c>
      <c r="BH176" s="95">
        <f>IFERROR(IF($C176="","",IF($P$15="Cascade",$R176*(1-BG176)*BF176,IF($P$15="Additionnelle",($N176-($N176*($P176+BG176)))*BF176))),"Non Trouvé")</f>
        <v/>
      </c>
      <c r="BK176" s="99">
        <f>BK174</f>
        <v/>
      </c>
      <c r="BL176" s="99">
        <f>BL174</f>
        <v/>
      </c>
      <c r="BM176" s="95">
        <f>IFERROR(IF($C176="","",IF($P$15="Cascade",$R176*(1-BL176)*BK176,IF($P$15="Additionnelle",($N176-($N176*($P176+BL176)))*BK176))),"Non Trouvé")</f>
        <v/>
      </c>
      <c r="BP176" s="99">
        <f>BP174</f>
        <v/>
      </c>
      <c r="BQ176" s="99">
        <f>BQ174</f>
        <v/>
      </c>
      <c r="BR176" s="95">
        <f>IFERROR(IF($C176="","",IF($P$15="Cascade",$R176*(1-BQ176)*BP176,IF($P$15="Additionnelle",($N176-($N176*($P176+BQ176)))*BP176))),"Non Trouvé")</f>
        <v/>
      </c>
      <c r="BU176" s="99">
        <f>BU174</f>
        <v/>
      </c>
      <c r="BV176" s="99">
        <f>BV174</f>
        <v/>
      </c>
      <c r="BW176" s="95">
        <f>IFERROR(IF($C176="","",IF($P$15="Cascade",$R176*(1-BV176)*BU176,IF($P$15="Additionnelle",($N176-($N176*($P176+BV176)))*BU176))),"Non Trouvé")</f>
        <v/>
      </c>
      <c r="BZ176" s="99">
        <f>BZ174</f>
        <v/>
      </c>
      <c r="CA176" s="99">
        <f>CA174</f>
        <v/>
      </c>
      <c r="CB176" s="95">
        <f>IFERROR(IF($C176="","",IF($P$15="Cascade",$R176*(1-CA176)*BZ176,IF($P$15="Additionnelle",($N176-($N176*($P176+CA176)))*BZ176))),"Non Trouvé")</f>
        <v/>
      </c>
      <c r="CE176" s="100" t="n"/>
      <c r="CF176" s="101" t="n"/>
      <c r="CG176" s="102" t="n"/>
      <c r="CH176" s="102" t="n"/>
      <c r="CI176" s="103" t="n"/>
      <c r="CK176" s="104">
        <f>IFERROR(IF(F176='[1]Paramètres Généraux'!$K$12,ROUNDUP((REGENERANTS!H176*REGENERANTS!$CF$166)*'[1]Paramètres Généraux'!$M$12,-1),REGENERANTS!H176*REGENERANTS!$CF$166),"nd")</f>
        <v/>
      </c>
      <c r="CN176" s="105" t="n"/>
      <c r="CO176" s="106" t="n"/>
      <c r="CP176" s="106" t="n"/>
      <c r="CQ176" s="106" t="n"/>
      <c r="CR176" s="106" t="n"/>
      <c r="CS176" s="178" t="n"/>
      <c r="CT176" s="179" t="n"/>
      <c r="CU176" s="106" t="n"/>
      <c r="CV176" s="178" t="n"/>
      <c r="CW176" s="111" t="n"/>
      <c r="CX176" s="112" t="n"/>
      <c r="CY176" s="111" t="n"/>
      <c r="CZ176" s="109" t="n"/>
      <c r="DA176" s="112" t="n"/>
      <c r="DB176" s="111" t="n"/>
      <c r="DC176" s="109" t="n"/>
      <c r="DD176" s="112" t="n"/>
      <c r="DE176" s="111" t="n"/>
      <c r="DF176" s="109" t="n"/>
      <c r="DG176" s="109" t="n"/>
      <c r="DH176" s="109" t="n"/>
      <c r="DI176" s="109" t="n"/>
      <c r="DJ176" s="109" t="n"/>
      <c r="DK176" s="109" t="n"/>
      <c r="DL176" s="109" t="n"/>
      <c r="DM176" s="109" t="n"/>
      <c r="DN176" s="109" t="n"/>
      <c r="DO176" s="112" t="n"/>
      <c r="DP176" s="111" t="n"/>
      <c r="DQ176" s="20">
        <f>SUM(CN176:DP176)</f>
        <v/>
      </c>
      <c r="DR176" s="20">
        <f>SUM(CV176:DP176)</f>
        <v/>
      </c>
      <c r="DS176" s="20">
        <f>IFERROR((IF(AND($F176="Produit Vente",CO176&gt;0),VLOOKUP($C176,'[1]Paramètres Articles'!$B:$H,7,FALSE)*$CO176)*(1-20%)),0)</f>
        <v/>
      </c>
      <c r="DT176" s="20">
        <f>IFERROR((IF(AND($F176="Produit Vente",DR176&gt;0),VLOOKUP($C176,'[1]Paramètres Articles'!$B:$H,6,FALSE)*$DR176)*(1-15%)),0)</f>
        <v/>
      </c>
    </row>
    <row r="177" hidden="1" outlineLevel="1" collapsed="1" ht="12.95" customHeight="1">
      <c r="B177" s="1">
        <f>IF(C177="",0,COUNTIFS($B$22:B176,"&gt;"&amp;0)+1)</f>
        <v/>
      </c>
      <c r="C177" s="90" t="n">
        <v>1020717</v>
      </c>
      <c r="D177" s="91">
        <f>IFERROR(IF($C177="","",VLOOKUP($C177,'[1]Paramètres Articles'!$B:$G,2,FALSE)),"Non Trouvé")</f>
        <v/>
      </c>
      <c r="E177" s="92">
        <f>IFERROR(IF($C177="","",_xlfn.XLOOKUP(REGENERANTS!$C177,'[1]New Base PA'!$F:$F,'[1]New Base PA'!$D:$D,"Not Found",0)),"Non Trouvé")</f>
        <v/>
      </c>
      <c r="F177" s="93" t="inlineStr">
        <is>
          <t>Produit Vente</t>
        </is>
      </c>
      <c r="H177" s="106">
        <f>50*6%</f>
        <v/>
      </c>
      <c r="J177" s="95">
        <f>IFERROR(IF($C177="","",VLOOKUP($C177,'[1]New Base PA'!$F:$J,5,FALSE)),"Non Trouvé")</f>
        <v/>
      </c>
      <c r="K177" s="136">
        <f>IFERROR(IF($C177="","",$J177*$H177),"Non Trouvé")</f>
        <v/>
      </c>
      <c r="L177" s="137" t="n"/>
      <c r="M177" s="95">
        <f>IFERROR(IF(AND($F177="Produit Vente",H177&gt;0),VLOOKUP($C177,'[1]Paramètres Articles'!$B:$G,6,FALSE),0),"Non Trouvé")</f>
        <v/>
      </c>
      <c r="N177" s="95">
        <f>IFERROR(IF($C177="","",$M177*$H177),"Non Trouvé")</f>
        <v/>
      </c>
      <c r="P177" s="97" t="n"/>
      <c r="R177" s="95">
        <f>IFERROR(IF($C177="","",$N177*(1-$P177)),"Non Trouvé")</f>
        <v/>
      </c>
      <c r="S177" s="96" t="n"/>
      <c r="T177" s="95">
        <f>IFERROR(IF($C177="","",VLOOKUP($C177,'[1]Paramètres Articles'!$B:$H,7,FALSE)),"Non Trouvé")</f>
        <v/>
      </c>
      <c r="U177" s="98" t="n"/>
      <c r="V177" s="95">
        <f>IFERROR(IF($C177="","",IF($P177="","",$T177*(1-$P177))),"Non Trouvé")</f>
        <v/>
      </c>
      <c r="W177" s="96" t="n"/>
      <c r="X177" s="95">
        <f>IFERROR(T177-V177,"")</f>
        <v/>
      </c>
      <c r="Y177" s="96" t="n"/>
      <c r="Z177" s="95">
        <f>IFERROR(IF(OR(T177=0,T177=""),0,T177*H177),"Non Trouvé")</f>
        <v/>
      </c>
      <c r="AB177" s="99">
        <f>AB176</f>
        <v/>
      </c>
      <c r="AC177" s="99">
        <f>AC176</f>
        <v/>
      </c>
      <c r="AD177" s="95">
        <f>IFERROR(IF($C177="","",IF($P$15="Cascade",$R177*(1-AC177)*AB177,IF($P$15="Additionnelle",($N177-($N177*($P177+AC177)))*AB177))),"Non Trouvé")</f>
        <v/>
      </c>
      <c r="AG177" s="99">
        <f>AG176</f>
        <v/>
      </c>
      <c r="AH177" s="99">
        <f>AH176</f>
        <v/>
      </c>
      <c r="AI177" s="95">
        <f>IFERROR(IF($C177="","",IF($P$15="Cascade",$R177*(1-AH177)*AG177,IF($P$15="Additionnelle",($N177-($N177*($P177+AH177)))*AG177))),"Non Trouvé")</f>
        <v/>
      </c>
      <c r="AL177" s="99">
        <f>AL176</f>
        <v/>
      </c>
      <c r="AM177" s="99">
        <f>AM176</f>
        <v/>
      </c>
      <c r="AN177" s="95">
        <f>IFERROR(IF($C177="","",IF($P$15="Cascade",$R177*(1-AM177)*AL177,IF($P$15="Additionnelle",($N177-($N177*($P177+AM177)))*AL177))),"Non Trouvé")</f>
        <v/>
      </c>
      <c r="AQ177" s="99">
        <f>AQ176</f>
        <v/>
      </c>
      <c r="AR177" s="99">
        <f>AR176</f>
        <v/>
      </c>
      <c r="AS177" s="95">
        <f>IFERROR(IF($C177="","",IF($P$15="Cascade",$R177*(1-AR177)*AQ177,IF($P$15="Additionnelle",($N177-($N177*($P177+AR177)))*AQ177))),"Non Trouvé")</f>
        <v/>
      </c>
      <c r="AV177" s="99">
        <f>AV176</f>
        <v/>
      </c>
      <c r="AW177" s="99">
        <f>AW176</f>
        <v/>
      </c>
      <c r="AX177" s="95">
        <f>IFERROR(IF($C177="","",IF($P$15="Cascade",$R177*(1-AW177)*AV177,IF($P$15="Additionnelle",($N177-($N177*($P177+AW177)))*AV177))),"Non Trouvé")</f>
        <v/>
      </c>
      <c r="BA177" s="99">
        <f>BA176</f>
        <v/>
      </c>
      <c r="BB177" s="99">
        <f>BB176</f>
        <v/>
      </c>
      <c r="BC177" s="95">
        <f>IFERROR(IF($C177="","",IF($P$15="Cascade",$R177*(1-BB177)*BA177,IF($P$15="Additionnelle",($N177-($N177*($P177+BB177)))*BA177))),"Non Trouvé")</f>
        <v/>
      </c>
      <c r="BF177" s="99">
        <f>BF176</f>
        <v/>
      </c>
      <c r="BG177" s="99">
        <f>BG176</f>
        <v/>
      </c>
      <c r="BH177" s="95">
        <f>IFERROR(IF($C177="","",IF($P$15="Cascade",$R177*(1-BG177)*BF177,IF($P$15="Additionnelle",($N177-($N177*($P177+BG177)))*BF177))),"Non Trouvé")</f>
        <v/>
      </c>
      <c r="BK177" s="99">
        <f>BK176</f>
        <v/>
      </c>
      <c r="BL177" s="99">
        <f>BL176</f>
        <v/>
      </c>
      <c r="BM177" s="95">
        <f>IFERROR(IF($C177="","",IF($P$15="Cascade",$R177*(1-BL177)*BK177,IF($P$15="Additionnelle",($N177-($N177*($P177+BL177)))*BK177))),"Non Trouvé")</f>
        <v/>
      </c>
      <c r="BP177" s="99">
        <f>BP176</f>
        <v/>
      </c>
      <c r="BQ177" s="99">
        <f>BQ176</f>
        <v/>
      </c>
      <c r="BR177" s="95">
        <f>IFERROR(IF($C177="","",IF($P$15="Cascade",$R177*(1-BQ177)*BP177,IF($P$15="Additionnelle",($N177-($N177*($P177+BQ177)))*BP177))),"Non Trouvé")</f>
        <v/>
      </c>
      <c r="BU177" s="99">
        <f>BU176</f>
        <v/>
      </c>
      <c r="BV177" s="99">
        <f>BV176</f>
        <v/>
      </c>
      <c r="BW177" s="95">
        <f>IFERROR(IF($C177="","",IF($P$15="Cascade",$R177*(1-BV177)*BU177,IF($P$15="Additionnelle",($N177-($N177*($P177+BV177)))*BU177))),"Non Trouvé")</f>
        <v/>
      </c>
      <c r="BZ177" s="99">
        <f>BZ176</f>
        <v/>
      </c>
      <c r="CA177" s="99">
        <f>CA176</f>
        <v/>
      </c>
      <c r="CB177" s="95">
        <f>IFERROR(IF($C177="","",IF($P$15="Cascade",$R177*(1-CA177)*BZ177,IF($P$15="Additionnelle",($N177-($N177*($P177+CA177)))*BZ177))),"Non Trouvé")</f>
        <v/>
      </c>
      <c r="CE177" s="100" t="n"/>
      <c r="CF177" s="101" t="n"/>
      <c r="CG177" s="102" t="n"/>
      <c r="CH177" s="102" t="n"/>
      <c r="CI177" s="103" t="n"/>
      <c r="CK177" s="104">
        <f>IFERROR(IF(F177='[1]Paramètres Généraux'!$K$12,ROUNDUP((REGENERANTS!H177*REGENERANTS!$CF$166)*'[1]Paramètres Généraux'!$M$12,-1),REGENERANTS!H177*REGENERANTS!$CF$166),"nd")</f>
        <v/>
      </c>
      <c r="CN177" s="105" t="n"/>
      <c r="CO177" s="106" t="n"/>
      <c r="CP177" s="106" t="n"/>
      <c r="CQ177" s="106" t="n"/>
      <c r="CR177" s="106" t="n"/>
      <c r="CS177" s="178" t="n"/>
      <c r="CT177" s="179" t="n"/>
      <c r="CU177" s="106" t="n"/>
      <c r="CV177" s="178" t="n"/>
      <c r="CW177" s="111" t="n"/>
      <c r="CX177" s="112" t="n"/>
      <c r="CY177" s="111" t="n"/>
      <c r="CZ177" s="109" t="n"/>
      <c r="DA177" s="112" t="n"/>
      <c r="DB177" s="111" t="n"/>
      <c r="DC177" s="109" t="n"/>
      <c r="DD177" s="112" t="n"/>
      <c r="DE177" s="111" t="n"/>
      <c r="DF177" s="109" t="n"/>
      <c r="DG177" s="109" t="n"/>
      <c r="DH177" s="109" t="n"/>
      <c r="DI177" s="109" t="n"/>
      <c r="DJ177" s="109" t="n"/>
      <c r="DK177" s="109" t="n"/>
      <c r="DL177" s="109" t="n"/>
      <c r="DM177" s="109" t="n"/>
      <c r="DN177" s="109" t="n"/>
      <c r="DO177" s="112" t="n"/>
      <c r="DP177" s="111" t="n"/>
      <c r="DQ177" s="20">
        <f>SUM(CN177:DP177)</f>
        <v/>
      </c>
      <c r="DR177" s="20">
        <f>SUM(CV177:DP177)</f>
        <v/>
      </c>
      <c r="DS177" s="20">
        <f>IFERROR((IF(AND($F177="Produit Vente",CO177&gt;0),VLOOKUP($C177,'[1]Paramètres Articles'!$B:$H,7,FALSE)*$CO177)*(1-20%)),0)</f>
        <v/>
      </c>
      <c r="DT177" s="20">
        <f>IFERROR((IF(AND($F177="Produit Vente",DR177&gt;0),VLOOKUP($C177,'[1]Paramètres Articles'!$B:$H,6,FALSE)*$DR177)*(1-15%)),0)</f>
        <v/>
      </c>
    </row>
    <row r="178" hidden="1" outlineLevel="1" collapsed="1" ht="12.95" customHeight="1">
      <c r="B178" s="1">
        <f>IF(C178="",0,COUNTIFS($B$22:B177,"&gt;"&amp;0)+1)</f>
        <v/>
      </c>
      <c r="C178" s="90" t="n">
        <v>1020718</v>
      </c>
      <c r="D178" s="91">
        <f>IFERROR(IF($C178="","",VLOOKUP($C178,'[1]Paramètres Articles'!$B:$G,2,FALSE)),"Non Trouvé")</f>
        <v/>
      </c>
      <c r="E178" s="92">
        <f>IFERROR(IF($C178="","",_xlfn.XLOOKUP(REGENERANTS!$C178,'[1]New Base PA'!$F:$F,'[1]New Base PA'!$D:$D,"Not Found",0)),"Non Trouvé")</f>
        <v/>
      </c>
      <c r="F178" s="93" t="inlineStr">
        <is>
          <t>Produit Vente</t>
        </is>
      </c>
      <c r="H178" s="106">
        <f>50*11%</f>
        <v/>
      </c>
      <c r="J178" s="95">
        <f>IFERROR(IF($C178="","",VLOOKUP($C178,'[1]New Base PA'!$F:$J,5,FALSE)),"Non Trouvé")</f>
        <v/>
      </c>
      <c r="K178" s="136">
        <f>IFERROR(IF($C178="","",$J178*$H178),"Non Trouvé")</f>
        <v/>
      </c>
      <c r="L178" s="137" t="n"/>
      <c r="M178" s="95">
        <f>IFERROR(IF(AND($F178="Produit Vente",H178&gt;0),VLOOKUP($C178,'[1]Paramètres Articles'!$B:$G,6,FALSE),0),"Non Trouvé")</f>
        <v/>
      </c>
      <c r="N178" s="95">
        <f>IFERROR(IF($C178="","",$M178*$H178),"Non Trouvé")</f>
        <v/>
      </c>
      <c r="P178" s="97" t="n"/>
      <c r="R178" s="95">
        <f>IFERROR(IF($C178="","",$N178*(1-$P178)),"Non Trouvé")</f>
        <v/>
      </c>
      <c r="S178" s="96" t="n"/>
      <c r="T178" s="95">
        <f>IFERROR(IF($C178="","",VLOOKUP($C178,'[1]Paramètres Articles'!$B:$H,7,FALSE)),"Non Trouvé")</f>
        <v/>
      </c>
      <c r="U178" s="98" t="n"/>
      <c r="V178" s="95">
        <f>IFERROR(IF($C178="","",IF($P178="","",$T178*(1-$P178))),"Non Trouvé")</f>
        <v/>
      </c>
      <c r="W178" s="96" t="n"/>
      <c r="X178" s="95">
        <f>IFERROR(T178-V178,"")</f>
        <v/>
      </c>
      <c r="Y178" s="96" t="n"/>
      <c r="Z178" s="95">
        <f>IFERROR(IF(OR(T178=0,T178=""),0,T178*H178),"Non Trouvé")</f>
        <v/>
      </c>
      <c r="AB178" s="99">
        <f>AB176</f>
        <v/>
      </c>
      <c r="AC178" s="99">
        <f>AC176</f>
        <v/>
      </c>
      <c r="AD178" s="95">
        <f>IFERROR(IF($C178="","",IF($P$15="Cascade",$R178*(1-AC178)*AB178,IF($P$15="Additionnelle",($N178-($N178*($P178+AC178)))*AB178))),"Non Trouvé")</f>
        <v/>
      </c>
      <c r="AG178" s="99">
        <f>AG176</f>
        <v/>
      </c>
      <c r="AH178" s="99">
        <f>AH176</f>
        <v/>
      </c>
      <c r="AI178" s="95">
        <f>IFERROR(IF($C178="","",IF($P$15="Cascade",$R178*(1-AH178)*AG178,IF($P$15="Additionnelle",($N178-($N178*($P178+AH178)))*AG178))),"Non Trouvé")</f>
        <v/>
      </c>
      <c r="AL178" s="99">
        <f>AL176</f>
        <v/>
      </c>
      <c r="AM178" s="99">
        <f>AM176</f>
        <v/>
      </c>
      <c r="AN178" s="95">
        <f>IFERROR(IF($C178="","",IF($P$15="Cascade",$R178*(1-AM178)*AL178,IF($P$15="Additionnelle",($N178-($N178*($P178+AM178)))*AL178))),"Non Trouvé")</f>
        <v/>
      </c>
      <c r="AQ178" s="99">
        <f>AQ176</f>
        <v/>
      </c>
      <c r="AR178" s="99">
        <f>AR176</f>
        <v/>
      </c>
      <c r="AS178" s="95">
        <f>IFERROR(IF($C178="","",IF($P$15="Cascade",$R178*(1-AR178)*AQ178,IF($P$15="Additionnelle",($N178-($N178*($P178+AR178)))*AQ178))),"Non Trouvé")</f>
        <v/>
      </c>
      <c r="AV178" s="99">
        <f>AV176</f>
        <v/>
      </c>
      <c r="AW178" s="99">
        <f>AW176</f>
        <v/>
      </c>
      <c r="AX178" s="95">
        <f>IFERROR(IF($C178="","",IF($P$15="Cascade",$R178*(1-AW178)*AV178,IF($P$15="Additionnelle",($N178-($N178*($P178+AW178)))*AV178))),"Non Trouvé")</f>
        <v/>
      </c>
      <c r="BA178" s="99">
        <f>BA176</f>
        <v/>
      </c>
      <c r="BB178" s="99">
        <f>BB176</f>
        <v/>
      </c>
      <c r="BC178" s="95">
        <f>IFERROR(IF($C178="","",IF($P$15="Cascade",$R178*(1-BB178)*BA178,IF($P$15="Additionnelle",($N178-($N178*($P178+BB178)))*BA178))),"Non Trouvé")</f>
        <v/>
      </c>
      <c r="BF178" s="99">
        <f>BF176</f>
        <v/>
      </c>
      <c r="BG178" s="99">
        <f>BG176</f>
        <v/>
      </c>
      <c r="BH178" s="95">
        <f>IFERROR(IF($C178="","",IF($P$15="Cascade",$R178*(1-BG178)*BF178,IF($P$15="Additionnelle",($N178-($N178*($P178+BG178)))*BF178))),"Non Trouvé")</f>
        <v/>
      </c>
      <c r="BK178" s="99">
        <f>BK176</f>
        <v/>
      </c>
      <c r="BL178" s="99">
        <f>BL176</f>
        <v/>
      </c>
      <c r="BM178" s="95">
        <f>IFERROR(IF($C178="","",IF($P$15="Cascade",$R178*(1-BL178)*BK178,IF($P$15="Additionnelle",($N178-($N178*($P178+BL178)))*BK178))),"Non Trouvé")</f>
        <v/>
      </c>
      <c r="BP178" s="99">
        <f>BP176</f>
        <v/>
      </c>
      <c r="BQ178" s="99">
        <f>BQ176</f>
        <v/>
      </c>
      <c r="BR178" s="95">
        <f>IFERROR(IF($C178="","",IF($P$15="Cascade",$R178*(1-BQ178)*BP178,IF($P$15="Additionnelle",($N178-($N178*($P178+BQ178)))*BP178))),"Non Trouvé")</f>
        <v/>
      </c>
      <c r="BU178" s="99">
        <f>BU176</f>
        <v/>
      </c>
      <c r="BV178" s="99">
        <f>BV176</f>
        <v/>
      </c>
      <c r="BW178" s="95">
        <f>IFERROR(IF($C178="","",IF($P$15="Cascade",$R178*(1-BV178)*BU178,IF($P$15="Additionnelle",($N178-($N178*($P178+BV178)))*BU178))),"Non Trouvé")</f>
        <v/>
      </c>
      <c r="BZ178" s="99">
        <f>BZ176</f>
        <v/>
      </c>
      <c r="CA178" s="99">
        <f>CA176</f>
        <v/>
      </c>
      <c r="CB178" s="95">
        <f>IFERROR(IF($C178="","",IF($P$15="Cascade",$R178*(1-CA178)*BZ178,IF($P$15="Additionnelle",($N178-($N178*($P178+CA178)))*BZ178))),"Non Trouvé")</f>
        <v/>
      </c>
      <c r="CE178" s="100" t="n"/>
      <c r="CF178" s="101" t="n"/>
      <c r="CG178" s="102" t="n"/>
      <c r="CH178" s="102" t="n"/>
      <c r="CI178" s="103" t="n"/>
      <c r="CK178" s="104">
        <f>IFERROR(IF(F178='[1]Paramètres Généraux'!$K$12,ROUNDUP((REGENERANTS!H178*REGENERANTS!$CF$166)*'[1]Paramètres Généraux'!$M$12,-1),REGENERANTS!H178*REGENERANTS!$CF$166),"nd")</f>
        <v/>
      </c>
      <c r="CN178" s="105" t="n"/>
      <c r="CO178" s="106" t="n"/>
      <c r="CP178" s="106" t="n"/>
      <c r="CQ178" s="106" t="n"/>
      <c r="CR178" s="106" t="n"/>
      <c r="CS178" s="178" t="n"/>
      <c r="CT178" s="179" t="n"/>
      <c r="CU178" s="106" t="n"/>
      <c r="CV178" s="178" t="n"/>
      <c r="CW178" s="111" t="n"/>
      <c r="CX178" s="112" t="n"/>
      <c r="CY178" s="111" t="n"/>
      <c r="CZ178" s="109" t="n"/>
      <c r="DA178" s="112" t="n"/>
      <c r="DB178" s="111" t="n"/>
      <c r="DC178" s="109" t="n"/>
      <c r="DD178" s="112" t="n"/>
      <c r="DE178" s="111" t="n"/>
      <c r="DF178" s="109" t="n"/>
      <c r="DG178" s="109" t="n"/>
      <c r="DH178" s="109" t="n"/>
      <c r="DI178" s="109" t="n"/>
      <c r="DJ178" s="109" t="n"/>
      <c r="DK178" s="109" t="n"/>
      <c r="DL178" s="109" t="n"/>
      <c r="DM178" s="109" t="n"/>
      <c r="DN178" s="109" t="n"/>
      <c r="DO178" s="112" t="n"/>
      <c r="DP178" s="111" t="n"/>
      <c r="DQ178" s="20">
        <f>SUM(CN178:DP178)</f>
        <v/>
      </c>
      <c r="DR178" s="20">
        <f>SUM(CV178:DP178)</f>
        <v/>
      </c>
      <c r="DS178" s="20">
        <f>IFERROR((IF(AND($F178="Produit Vente",CO178&gt;0),VLOOKUP($C178,'[1]Paramètres Articles'!$B:$H,7,FALSE)*$CO178)*(1-20%)),0)</f>
        <v/>
      </c>
      <c r="DT178" s="20">
        <f>IFERROR((IF(AND($F178="Produit Vente",DR178&gt;0),VLOOKUP($C178,'[1]Paramètres Articles'!$B:$H,6,FALSE)*$DR178)*(1-15%)),0)</f>
        <v/>
      </c>
    </row>
    <row r="179" hidden="1" outlineLevel="1" collapsed="1" ht="12.95" customHeight="1">
      <c r="B179" s="1">
        <f>IF(C179="",0,COUNTIFS($B$22:B178,"&gt;"&amp;0)+1)</f>
        <v/>
      </c>
      <c r="C179" s="90" t="n">
        <v>1020301</v>
      </c>
      <c r="D179" s="91">
        <f>IFERROR(IF($C179="","",VLOOKUP($C179,'[1]Paramètres Articles'!$B:$G,2,FALSE)),"Non Trouvé")</f>
        <v/>
      </c>
      <c r="E179" s="92">
        <f>IFERROR(IF($C179="","",_xlfn.XLOOKUP(REGENERANTS!$C179,'[1]New Base PA'!$F:$F,'[1]New Base PA'!$D:$D,"Not Found",0)),"Non Trouvé")</f>
        <v/>
      </c>
      <c r="F179" s="93" t="inlineStr">
        <is>
          <t>Produit Vente</t>
        </is>
      </c>
      <c r="H179" s="106">
        <f>50*17%</f>
        <v/>
      </c>
      <c r="J179" s="95">
        <f>IFERROR(IF($C179="","",VLOOKUP($C179,'[1]New Base PA'!$F:$J,5,FALSE)),"Non Trouvé")</f>
        <v/>
      </c>
      <c r="K179" s="136">
        <f>IFERROR(IF($C179="","",$J179*$H179),"Non Trouvé")</f>
        <v/>
      </c>
      <c r="L179" s="137" t="n"/>
      <c r="M179" s="95">
        <f>IFERROR(IF(AND($F179="Produit Vente",H179&gt;0),VLOOKUP($C179,'[1]Paramètres Articles'!$B:$G,6,FALSE),0),"Non Trouvé")</f>
        <v/>
      </c>
      <c r="N179" s="95">
        <f>IFERROR(IF($C179="","",$M179*$H179),"Non Trouvé")</f>
        <v/>
      </c>
      <c r="P179" s="97" t="n"/>
      <c r="R179" s="95">
        <f>IFERROR(IF($C179="","",$N179*(1-$P179)),"Non Trouvé")</f>
        <v/>
      </c>
      <c r="S179" s="96" t="n"/>
      <c r="T179" s="95">
        <f>IFERROR(IF($C179="","",VLOOKUP($C179,'[1]Paramètres Articles'!$B:$H,7,FALSE)),"Non Trouvé")</f>
        <v/>
      </c>
      <c r="U179" s="98" t="n"/>
      <c r="V179" s="95">
        <f>IFERROR(IF($C179="","",IF($P179="","",$T179*(1-$P179))),"Non Trouvé")</f>
        <v/>
      </c>
      <c r="W179" s="96" t="n"/>
      <c r="X179" s="95">
        <f>IFERROR(T179-V179,"")</f>
        <v/>
      </c>
      <c r="Y179" s="96" t="n"/>
      <c r="Z179" s="95">
        <f>IFERROR(IF(OR(T179=0,T179=""),0,T179*H179),"Non Trouvé")</f>
        <v/>
      </c>
      <c r="AB179" s="99">
        <f>AB178</f>
        <v/>
      </c>
      <c r="AC179" s="99">
        <f>AC178</f>
        <v/>
      </c>
      <c r="AD179" s="95">
        <f>IFERROR(IF($C179="","",IF($P$15="Cascade",$R179*(1-AC179)*AB179,IF($P$15="Additionnelle",($N179-($N179*($P179+AC179)))*AB179))),"Non Trouvé")</f>
        <v/>
      </c>
      <c r="AG179" s="99">
        <f>AG178</f>
        <v/>
      </c>
      <c r="AH179" s="99">
        <f>AH178</f>
        <v/>
      </c>
      <c r="AI179" s="95">
        <f>IFERROR(IF($C179="","",IF($P$15="Cascade",$R179*(1-AH179)*AG179,IF($P$15="Additionnelle",($N179-($N179*($P179+AH179)))*AG179))),"Non Trouvé")</f>
        <v/>
      </c>
      <c r="AL179" s="99">
        <f>AL178</f>
        <v/>
      </c>
      <c r="AM179" s="99">
        <f>AM178</f>
        <v/>
      </c>
      <c r="AN179" s="95">
        <f>IFERROR(IF($C179="","",IF($P$15="Cascade",$R179*(1-AM179)*AL179,IF($P$15="Additionnelle",($N179-($N179*($P179+AM179)))*AL179))),"Non Trouvé")</f>
        <v/>
      </c>
      <c r="AQ179" s="99">
        <f>AQ178</f>
        <v/>
      </c>
      <c r="AR179" s="99">
        <f>AR178</f>
        <v/>
      </c>
      <c r="AS179" s="95">
        <f>IFERROR(IF($C179="","",IF($P$15="Cascade",$R179*(1-AR179)*AQ179,IF($P$15="Additionnelle",($N179-($N179*($P179+AR179)))*AQ179))),"Non Trouvé")</f>
        <v/>
      </c>
      <c r="AV179" s="99">
        <f>AV178</f>
        <v/>
      </c>
      <c r="AW179" s="99">
        <f>AW178</f>
        <v/>
      </c>
      <c r="AX179" s="95">
        <f>IFERROR(IF($C179="","",IF($P$15="Cascade",$R179*(1-AW179)*AV179,IF($P$15="Additionnelle",($N179-($N179*($P179+AW179)))*AV179))),"Non Trouvé")</f>
        <v/>
      </c>
      <c r="BA179" s="99">
        <f>BA178</f>
        <v/>
      </c>
      <c r="BB179" s="99">
        <f>BB178</f>
        <v/>
      </c>
      <c r="BC179" s="95">
        <f>IFERROR(IF($C179="","",IF($P$15="Cascade",$R179*(1-BB179)*BA179,IF($P$15="Additionnelle",($N179-($N179*($P179+BB179)))*BA179))),"Non Trouvé")</f>
        <v/>
      </c>
      <c r="BF179" s="99">
        <f>BF178</f>
        <v/>
      </c>
      <c r="BG179" s="99">
        <f>BG178</f>
        <v/>
      </c>
      <c r="BH179" s="95">
        <f>IFERROR(IF($C179="","",IF($P$15="Cascade",$R179*(1-BG179)*BF179,IF($P$15="Additionnelle",($N179-($N179*($P179+BG179)))*BF179))),"Non Trouvé")</f>
        <v/>
      </c>
      <c r="BK179" s="99">
        <f>BK178</f>
        <v/>
      </c>
      <c r="BL179" s="99">
        <f>BL178</f>
        <v/>
      </c>
      <c r="BM179" s="95">
        <f>IFERROR(IF($C179="","",IF($P$15="Cascade",$R179*(1-BL179)*BK179,IF($P$15="Additionnelle",($N179-($N179*($P179+BL179)))*BK179))),"Non Trouvé")</f>
        <v/>
      </c>
      <c r="BP179" s="99">
        <f>BP178</f>
        <v/>
      </c>
      <c r="BQ179" s="99">
        <f>BQ178</f>
        <v/>
      </c>
      <c r="BR179" s="95">
        <f>IFERROR(IF($C179="","",IF($P$15="Cascade",$R179*(1-BQ179)*BP179,IF($P$15="Additionnelle",($N179-($N179*($P179+BQ179)))*BP179))),"Non Trouvé")</f>
        <v/>
      </c>
      <c r="BU179" s="99">
        <f>BU178</f>
        <v/>
      </c>
      <c r="BV179" s="99">
        <f>BV178</f>
        <v/>
      </c>
      <c r="BW179" s="95">
        <f>IFERROR(IF($C179="","",IF($P$15="Cascade",$R179*(1-BV179)*BU179,IF($P$15="Additionnelle",($N179-($N179*($P179+BV179)))*BU179))),"Non Trouvé")</f>
        <v/>
      </c>
      <c r="BZ179" s="99">
        <f>BZ178</f>
        <v/>
      </c>
      <c r="CA179" s="99">
        <f>CA178</f>
        <v/>
      </c>
      <c r="CB179" s="95">
        <f>IFERROR(IF($C179="","",IF($P$15="Cascade",$R179*(1-CA179)*BZ179,IF($P$15="Additionnelle",($N179-($N179*($P179+CA179)))*BZ179))),"Non Trouvé")</f>
        <v/>
      </c>
      <c r="CE179" s="100" t="n"/>
      <c r="CF179" s="133" t="n"/>
      <c r="CG179" s="102" t="n"/>
      <c r="CH179" s="102" t="n"/>
      <c r="CI179" s="103" t="n"/>
      <c r="CK179" s="104">
        <f>IFERROR(IF(F179='[1]Paramètres Généraux'!$K$12,ROUNDUP((REGENERANTS!H179*REGENERANTS!$CF$166)*'[1]Paramètres Généraux'!$M$12,-1),REGENERANTS!H179*REGENERANTS!$CF$166),"nd")</f>
        <v/>
      </c>
      <c r="CN179" s="105" t="n"/>
      <c r="CO179" s="106" t="n"/>
      <c r="CP179" s="106" t="n"/>
      <c r="CQ179" s="106" t="n"/>
      <c r="CR179" s="106" t="n"/>
      <c r="CS179" s="178" t="n"/>
      <c r="CT179" s="179" t="n"/>
      <c r="CU179" s="106" t="n"/>
      <c r="CV179" s="178" t="n"/>
      <c r="CW179" s="111" t="n"/>
      <c r="CX179" s="112" t="n"/>
      <c r="CY179" s="111" t="n"/>
      <c r="CZ179" s="109" t="n"/>
      <c r="DA179" s="112" t="n"/>
      <c r="DB179" s="111" t="n"/>
      <c r="DC179" s="109" t="n"/>
      <c r="DD179" s="112" t="n"/>
      <c r="DE179" s="111" t="n"/>
      <c r="DF179" s="109" t="n"/>
      <c r="DG179" s="109" t="n"/>
      <c r="DH179" s="109" t="n"/>
      <c r="DI179" s="109" t="n"/>
      <c r="DJ179" s="109" t="n"/>
      <c r="DK179" s="109" t="n"/>
      <c r="DL179" s="109" t="n"/>
      <c r="DM179" s="109" t="n"/>
      <c r="DN179" s="109" t="n"/>
      <c r="DO179" s="112" t="n"/>
      <c r="DP179" s="111" t="n"/>
      <c r="DQ179" s="20">
        <f>SUM(CN179:DP179)</f>
        <v/>
      </c>
      <c r="DR179" s="20">
        <f>SUM(CV179:DP179)</f>
        <v/>
      </c>
      <c r="DS179" s="20">
        <f>IFERROR((IF(AND($F179="Produit Vente",CO179&gt;0),VLOOKUP($C179,'[1]Paramètres Articles'!$B:$H,7,FALSE)*$CO179)*(1-20%)),0)</f>
        <v/>
      </c>
      <c r="DT179" s="20">
        <f>IFERROR((IF(AND($F179="Produit Vente",DR179&gt;0),VLOOKUP($C179,'[1]Paramètres Articles'!$B:$H,6,FALSE)*$DR179)*(1-15%)),0)</f>
        <v/>
      </c>
    </row>
    <row r="180" hidden="1" outlineLevel="1" collapsed="1" ht="12.95" customHeight="1">
      <c r="B180" s="1">
        <f>IF(C180="",0,COUNTIFS($B$22:B179,"&gt;"&amp;0)+1)</f>
        <v/>
      </c>
      <c r="C180" s="90" t="n">
        <v>1020720</v>
      </c>
      <c r="D180" s="91">
        <f>IFERROR(IF($C180="","",VLOOKUP($C180,'[1]Paramètres Articles'!$B:$G,2,FALSE)),"Non Trouvé")</f>
        <v/>
      </c>
      <c r="E180" s="92">
        <f>IFERROR(IF($C180="","",_xlfn.XLOOKUP(REGENERANTS!$C180,'[1]New Base PA'!$F:$F,'[1]New Base PA'!$D:$D,"Not Found",0)),"Non Trouvé")</f>
        <v/>
      </c>
      <c r="F180" s="93" t="inlineStr">
        <is>
          <t>Produit Vente</t>
        </is>
      </c>
      <c r="H180" s="106">
        <f>50*17%</f>
        <v/>
      </c>
      <c r="J180" s="95">
        <f>IFERROR(IF($C180="","",VLOOKUP($C180,'[1]New Base PA'!$F:$J,5,FALSE)),"Non Trouvé")</f>
        <v/>
      </c>
      <c r="K180" s="136">
        <f>IFERROR(IF($C180="","",$J180*$H180),"Non Trouvé")</f>
        <v/>
      </c>
      <c r="L180" s="137" t="n"/>
      <c r="M180" s="95">
        <f>IFERROR(IF(AND($F180="Produit Vente",H180&gt;0),VLOOKUP($C180,'[1]Paramètres Articles'!$B:$G,6,FALSE),0),"Non Trouvé")</f>
        <v/>
      </c>
      <c r="N180" s="95">
        <f>IFERROR(IF($C180="","",$M180*$H180),"Non Trouvé")</f>
        <v/>
      </c>
      <c r="P180" s="97" t="n"/>
      <c r="R180" s="95">
        <f>IFERROR(IF($C180="","",$N180*(1-$P180)),"Non Trouvé")</f>
        <v/>
      </c>
      <c r="S180" s="96" t="n"/>
      <c r="T180" s="95">
        <f>IFERROR(IF($C180="","",VLOOKUP($C180,'[1]Paramètres Articles'!$B:$H,7,FALSE)),"Non Trouvé")</f>
        <v/>
      </c>
      <c r="U180" s="98" t="n"/>
      <c r="V180" s="95">
        <f>IFERROR(IF($C180="","",IF($P180="","",$T180*(1-$P180))),"Non Trouvé")</f>
        <v/>
      </c>
      <c r="W180" s="96" t="n"/>
      <c r="X180" s="95">
        <f>IFERROR(T180-V180,"")</f>
        <v/>
      </c>
      <c r="Y180" s="96" t="n"/>
      <c r="Z180" s="95">
        <f>IFERROR(IF(OR(T180=0,T180=""),0,T180*H180),"Non Trouvé")</f>
        <v/>
      </c>
      <c r="AB180" s="99">
        <f>AB178</f>
        <v/>
      </c>
      <c r="AC180" s="99">
        <f>AC178</f>
        <v/>
      </c>
      <c r="AD180" s="95">
        <f>IFERROR(IF($C180="","",IF($P$15="Cascade",$R180*(1-AC180)*AB180,IF($P$15="Additionnelle",($N180-($N180*($P180+AC180)))*AB180))),"Non Trouvé")</f>
        <v/>
      </c>
      <c r="AG180" s="99">
        <f>AG178</f>
        <v/>
      </c>
      <c r="AH180" s="99">
        <f>AH178</f>
        <v/>
      </c>
      <c r="AI180" s="95">
        <f>IFERROR(IF($C180="","",IF($P$15="Cascade",$R180*(1-AH180)*AG180,IF($P$15="Additionnelle",($N180-($N180*($P180+AH180)))*AG180))),"Non Trouvé")</f>
        <v/>
      </c>
      <c r="AL180" s="99">
        <f>AL178</f>
        <v/>
      </c>
      <c r="AM180" s="99">
        <f>AM178</f>
        <v/>
      </c>
      <c r="AN180" s="95">
        <f>IFERROR(IF($C180="","",IF($P$15="Cascade",$R180*(1-AM180)*AL180,IF($P$15="Additionnelle",($N180-($N180*($P180+AM180)))*AL180))),"Non Trouvé")</f>
        <v/>
      </c>
      <c r="AQ180" s="99">
        <f>AQ178</f>
        <v/>
      </c>
      <c r="AR180" s="99">
        <f>AR178</f>
        <v/>
      </c>
      <c r="AS180" s="95">
        <f>IFERROR(IF($C180="","",IF($P$15="Cascade",$R180*(1-AR180)*AQ180,IF($P$15="Additionnelle",($N180-($N180*($P180+AR180)))*AQ180))),"Non Trouvé")</f>
        <v/>
      </c>
      <c r="AV180" s="99">
        <f>AV178</f>
        <v/>
      </c>
      <c r="AW180" s="99">
        <f>AW178</f>
        <v/>
      </c>
      <c r="AX180" s="95">
        <f>IFERROR(IF($C180="","",IF($P$15="Cascade",$R180*(1-AW180)*AV180,IF($P$15="Additionnelle",($N180-($N180*($P180+AW180)))*AV180))),"Non Trouvé")</f>
        <v/>
      </c>
      <c r="BA180" s="99">
        <f>BA178</f>
        <v/>
      </c>
      <c r="BB180" s="99">
        <f>BB178</f>
        <v/>
      </c>
      <c r="BC180" s="95">
        <f>IFERROR(IF($C180="","",IF($P$15="Cascade",$R180*(1-BB180)*BA180,IF($P$15="Additionnelle",($N180-($N180*($P180+BB180)))*BA180))),"Non Trouvé")</f>
        <v/>
      </c>
      <c r="BF180" s="99">
        <f>BF178</f>
        <v/>
      </c>
      <c r="BG180" s="99">
        <f>BG178</f>
        <v/>
      </c>
      <c r="BH180" s="95">
        <f>IFERROR(IF($C180="","",IF($P$15="Cascade",$R180*(1-BG180)*BF180,IF($P$15="Additionnelle",($N180-($N180*($P180+BG180)))*BF180))),"Non Trouvé")</f>
        <v/>
      </c>
      <c r="BK180" s="99">
        <f>BK178</f>
        <v/>
      </c>
      <c r="BL180" s="99">
        <f>BL178</f>
        <v/>
      </c>
      <c r="BM180" s="95">
        <f>IFERROR(IF($C180="","",IF($P$15="Cascade",$R180*(1-BL180)*BK180,IF($P$15="Additionnelle",($N180-($N180*($P180+BL180)))*BK180))),"Non Trouvé")</f>
        <v/>
      </c>
      <c r="BP180" s="99">
        <f>BP178</f>
        <v/>
      </c>
      <c r="BQ180" s="99">
        <f>BQ178</f>
        <v/>
      </c>
      <c r="BR180" s="95">
        <f>IFERROR(IF($C180="","",IF($P$15="Cascade",$R180*(1-BQ180)*BP180,IF($P$15="Additionnelle",($N180-($N180*($P180+BQ180)))*BP180))),"Non Trouvé")</f>
        <v/>
      </c>
      <c r="BU180" s="99">
        <f>BU178</f>
        <v/>
      </c>
      <c r="BV180" s="99">
        <f>BV178</f>
        <v/>
      </c>
      <c r="BW180" s="95">
        <f>IFERROR(IF($C180="","",IF($P$15="Cascade",$R180*(1-BV180)*BU180,IF($P$15="Additionnelle",($N180-($N180*($P180+BV180)))*BU180))),"Non Trouvé")</f>
        <v/>
      </c>
      <c r="BZ180" s="99">
        <f>BZ178</f>
        <v/>
      </c>
      <c r="CA180" s="99">
        <f>CA178</f>
        <v/>
      </c>
      <c r="CB180" s="95">
        <f>IFERROR(IF($C180="","",IF($P$15="Cascade",$R180*(1-CA180)*BZ180,IF($P$15="Additionnelle",($N180-($N180*($P180+CA180)))*BZ180))),"Non Trouvé")</f>
        <v/>
      </c>
      <c r="CE180" s="100" t="n"/>
      <c r="CF180" s="102" t="n"/>
      <c r="CG180" s="133" t="inlineStr">
        <is>
          <t>Retail</t>
        </is>
      </c>
      <c r="CH180" s="102" t="n"/>
      <c r="CI180" s="103" t="n"/>
      <c r="CK180" s="104">
        <f>IFERROR(IF(F180='[1]Paramètres Généraux'!$K$12,ROUNDUP((REGENERANTS!H180*REGENERANTS!$CF$166)*'[1]Paramètres Généraux'!$M$12,-1),REGENERANTS!H180*REGENERANTS!$CF$166),"nd")</f>
        <v/>
      </c>
      <c r="CN180" s="105" t="n"/>
      <c r="CO180" s="106" t="n"/>
      <c r="CP180" s="106" t="n"/>
      <c r="CQ180" s="106" t="n"/>
      <c r="CR180" s="106" t="n"/>
      <c r="CS180" s="178" t="n"/>
      <c r="CT180" s="179" t="n"/>
      <c r="CU180" s="106" t="n"/>
      <c r="CV180" s="178" t="n"/>
      <c r="CW180" s="111" t="n"/>
      <c r="CX180" s="112" t="n"/>
      <c r="CY180" s="111" t="n"/>
      <c r="CZ180" s="109" t="n"/>
      <c r="DA180" s="112" t="n"/>
      <c r="DB180" s="111" t="n"/>
      <c r="DC180" s="109" t="n"/>
      <c r="DD180" s="112" t="n"/>
      <c r="DE180" s="111" t="n"/>
      <c r="DF180" s="109" t="n"/>
      <c r="DG180" s="109" t="n"/>
      <c r="DH180" s="109" t="n"/>
      <c r="DI180" s="109" t="n"/>
      <c r="DJ180" s="109" t="n"/>
      <c r="DK180" s="109" t="n"/>
      <c r="DL180" s="109" t="n"/>
      <c r="DM180" s="109" t="n"/>
      <c r="DN180" s="109" t="n"/>
      <c r="DO180" s="112" t="n"/>
      <c r="DP180" s="111" t="n"/>
      <c r="DQ180" s="20">
        <f>SUM(CN180:DP180)</f>
        <v/>
      </c>
      <c r="DR180" s="20">
        <f>SUM(CV180:DP180)</f>
        <v/>
      </c>
      <c r="DS180" s="20">
        <f>IFERROR((IF(AND($F180="Produit Vente",CO180&gt;0),VLOOKUP($C180,'[1]Paramètres Articles'!$B:$H,7,FALSE)*$CO180)*(1-20%)),0)</f>
        <v/>
      </c>
      <c r="DT180" s="20">
        <f>IFERROR((IF(AND($F180="Produit Vente",DR180&gt;0),VLOOKUP($C180,'[1]Paramètres Articles'!$B:$H,6,FALSE)*$DR180)*(1-15%)),0)</f>
        <v/>
      </c>
    </row>
    <row r="181" hidden="1" outlineLevel="1" collapsed="1" ht="12.95" customHeight="1">
      <c r="B181" s="1">
        <f>IF(C181="",0,COUNTIFS($B$22:B180,"&gt;"&amp;0)+1)</f>
        <v/>
      </c>
      <c r="C181" s="90" t="inlineStr">
        <is>
          <t>PANNEAU REGE</t>
        </is>
      </c>
      <c r="D181" s="91">
        <f>IFERROR(IF($C181="","",VLOOKUP($C181,'[1]Paramètres Articles'!$B:$G,2,FALSE)),"Non Trouvé")</f>
        <v/>
      </c>
      <c r="E181" s="92">
        <f>IFERROR(IF($C181="","",_xlfn.XLOOKUP(REGENERANTS!$C181,'[1]New Base PA'!$F:$F,'[1]New Base PA'!$D:$D,"Not Found",0)),"Non Trouvé")</f>
        <v/>
      </c>
      <c r="F181" s="93" t="inlineStr">
        <is>
          <t>PLV (vitrine)</t>
        </is>
      </c>
      <c r="H181" s="106" t="n">
        <v>1</v>
      </c>
      <c r="J181" s="95">
        <f>IFERROR(IF($C181="","",VLOOKUP($C181,'[1]New Base PA'!$F:$J,5,FALSE)),"Non Trouvé")</f>
        <v/>
      </c>
      <c r="K181" s="136">
        <f>IFERROR(IF($C181="","",$J181*$H181),"Non Trouvé")</f>
        <v/>
      </c>
      <c r="L181" s="137" t="n"/>
      <c r="M181" s="95">
        <f>IFERROR(IF(AND($F181="Produit Vente",H181&gt;0),VLOOKUP($C181,'[1]Paramètres Articles'!$B:$G,6,FALSE),0),"Non Trouvé")</f>
        <v/>
      </c>
      <c r="N181" s="95">
        <f>IFERROR(IF($C181="","",$M181*$H181),"Non Trouvé")</f>
        <v/>
      </c>
      <c r="P181" s="97" t="n"/>
      <c r="R181" s="95">
        <f>IFERROR(IF($C181="","",$N181*(1-$P181)),"Non Trouvé")</f>
        <v/>
      </c>
      <c r="S181" s="96" t="n"/>
      <c r="T181" s="95">
        <f>IFERROR(IF($C181="","",VLOOKUP($C181,'[1]Paramètres Articles'!$B:$H,7,FALSE)),"Non Trouvé")</f>
        <v/>
      </c>
      <c r="U181" s="98" t="n"/>
      <c r="V181" s="95">
        <f>IFERROR(IF($C181="","",IF($P181="","",$T181*(1-$P181))),"Non Trouvé")</f>
        <v/>
      </c>
      <c r="W181" s="96" t="n"/>
      <c r="X181" s="95">
        <f>IFERROR(T181-V181,"")</f>
        <v/>
      </c>
      <c r="Y181" s="96" t="n"/>
      <c r="Z181" s="95">
        <f>IFERROR(IF(OR(T181=0,T181=""),0,T181*H181),"Non Trouvé")</f>
        <v/>
      </c>
      <c r="AB181" s="99">
        <f>AB180</f>
        <v/>
      </c>
      <c r="AC181" s="99">
        <f>AC180</f>
        <v/>
      </c>
      <c r="AD181" s="95">
        <f>IFERROR(IF($C181="","",IF($P$15="Cascade",$R181*(1-AC181)*AB181,IF($P$15="Additionnelle",($N181-($N181*($P181+AC181)))*AB181))),"Non Trouvé")</f>
        <v/>
      </c>
      <c r="AG181" s="99">
        <f>AG180</f>
        <v/>
      </c>
      <c r="AH181" s="99">
        <f>AH180</f>
        <v/>
      </c>
      <c r="AI181" s="95">
        <f>IFERROR(IF($C181="","",IF($P$15="Cascade",$R181*(1-AH181)*AG181,IF($P$15="Additionnelle",($N181-($N181*($P181+AH181)))*AG181))),"Non Trouvé")</f>
        <v/>
      </c>
      <c r="AL181" s="99">
        <f>AL180</f>
        <v/>
      </c>
      <c r="AM181" s="99">
        <f>AM180</f>
        <v/>
      </c>
      <c r="AN181" s="95">
        <f>IFERROR(IF($C181="","",IF($P$15="Cascade",$R181*(1-AM181)*AL181,IF($P$15="Additionnelle",($N181-($N181*($P181+AM181)))*AL181))),"Non Trouvé")</f>
        <v/>
      </c>
      <c r="AQ181" s="99">
        <f>AQ180</f>
        <v/>
      </c>
      <c r="AR181" s="99">
        <f>AR180</f>
        <v/>
      </c>
      <c r="AS181" s="95">
        <f>IFERROR(IF($C181="","",IF($P$15="Cascade",$R181*(1-AR181)*AQ181,IF($P$15="Additionnelle",($N181-($N181*($P181+AR181)))*AQ181))),"Non Trouvé")</f>
        <v/>
      </c>
      <c r="AV181" s="99">
        <f>AV180</f>
        <v/>
      </c>
      <c r="AW181" s="99">
        <f>AW180</f>
        <v/>
      </c>
      <c r="AX181" s="95">
        <f>IFERROR(IF($C181="","",IF($P$15="Cascade",$R181*(1-AW181)*AV181,IF($P$15="Additionnelle",($N181-($N181*($P181+AW181)))*AV181))),"Non Trouvé")</f>
        <v/>
      </c>
      <c r="BA181" s="99">
        <f>BA180</f>
        <v/>
      </c>
      <c r="BB181" s="99">
        <f>BB180</f>
        <v/>
      </c>
      <c r="BC181" s="95">
        <f>IFERROR(IF($C181="","",IF($P$15="Cascade",$R181*(1-BB181)*BA181,IF($P$15="Additionnelle",($N181-($N181*($P181+BB181)))*BA181))),"Non Trouvé")</f>
        <v/>
      </c>
      <c r="BF181" s="99">
        <f>BF180</f>
        <v/>
      </c>
      <c r="BG181" s="99">
        <f>BG180</f>
        <v/>
      </c>
      <c r="BH181" s="95">
        <f>IFERROR(IF($C181="","",IF($P$15="Cascade",$R181*(1-BG181)*BF181,IF($P$15="Additionnelle",($N181-($N181*($P181+BG181)))*BF181))),"Non Trouvé")</f>
        <v/>
      </c>
      <c r="BK181" s="99">
        <f>BK180</f>
        <v/>
      </c>
      <c r="BL181" s="99">
        <f>BL180</f>
        <v/>
      </c>
      <c r="BM181" s="95">
        <f>IFERROR(IF($C181="","",IF($P$15="Cascade",$R181*(1-BL181)*BK181,IF($P$15="Additionnelle",($N181-($N181*($P181+BL181)))*BK181))),"Non Trouvé")</f>
        <v/>
      </c>
      <c r="BP181" s="99">
        <f>BP180</f>
        <v/>
      </c>
      <c r="BQ181" s="99">
        <f>BQ180</f>
        <v/>
      </c>
      <c r="BR181" s="95">
        <f>IFERROR(IF($C181="","",IF($P$15="Cascade",$R181*(1-BQ181)*BP181,IF($P$15="Additionnelle",($N181-($N181*($P181+BQ181)))*BP181))),"Non Trouvé")</f>
        <v/>
      </c>
      <c r="BU181" s="99">
        <f>BU180</f>
        <v/>
      </c>
      <c r="BV181" s="99">
        <f>BV180</f>
        <v/>
      </c>
      <c r="BW181" s="95">
        <f>IFERROR(IF($C181="","",IF($P$15="Cascade",$R181*(1-BV181)*BU181,IF($P$15="Additionnelle",($N181-($N181*($P181+BV181)))*BU181))),"Non Trouvé")</f>
        <v/>
      </c>
      <c r="BZ181" s="99">
        <f>BZ180</f>
        <v/>
      </c>
      <c r="CA181" s="99">
        <f>CA180</f>
        <v/>
      </c>
      <c r="CB181" s="95">
        <f>IFERROR(IF($C181="","",IF($P$15="Cascade",$R181*(1-CA181)*BZ181,IF($P$15="Additionnelle",($N181-($N181*($P181+CA181)))*BZ181))),"Non Trouvé")</f>
        <v/>
      </c>
      <c r="CE181" s="100" t="n"/>
      <c r="CF181" s="138" t="n"/>
      <c r="CG181" s="102" t="inlineStr">
        <is>
          <t>Nbrs Offres planifiées</t>
        </is>
      </c>
      <c r="CH181" s="138">
        <f>SUMIFS($AB166:$AT166,$AB163:$AT163,CG181)+SUMIFS($BZ166:$CC166,$BZ163:$CC163,CG181)</f>
        <v/>
      </c>
      <c r="CI181" s="103" t="n"/>
      <c r="CK181" s="104">
        <f>IFERROR(IF(F181='[1]Paramètres Généraux'!$K$12,ROUNDUP((REGENERANTS!H181*REGENERANTS!$CF$166)*'[1]Paramètres Généraux'!$M$12,-1),REGENERANTS!H181*REGENERANTS!$CF$166),"nd")</f>
        <v/>
      </c>
      <c r="CN181" s="105" t="n"/>
      <c r="CO181" s="106" t="n"/>
      <c r="CP181" s="106" t="n"/>
      <c r="CQ181" s="106" t="n"/>
      <c r="CR181" s="106" t="n"/>
      <c r="CS181" s="178" t="n"/>
      <c r="CT181" s="179" t="n"/>
      <c r="CU181" s="106" t="n"/>
      <c r="CV181" s="178" t="n"/>
      <c r="CW181" s="111" t="n"/>
      <c r="CX181" s="112" t="n"/>
      <c r="CY181" s="111" t="n"/>
      <c r="CZ181" s="109" t="n"/>
      <c r="DA181" s="112" t="n"/>
      <c r="DB181" s="111" t="n"/>
      <c r="DC181" s="109" t="n"/>
      <c r="DD181" s="112" t="n"/>
      <c r="DE181" s="111" t="n"/>
      <c r="DF181" s="109" t="n"/>
      <c r="DG181" s="109" t="n"/>
      <c r="DH181" s="109" t="n"/>
      <c r="DI181" s="109" t="n"/>
      <c r="DJ181" s="109" t="n"/>
      <c r="DK181" s="109" t="n"/>
      <c r="DL181" s="109" t="n"/>
      <c r="DM181" s="109" t="n"/>
      <c r="DN181" s="109" t="n"/>
      <c r="DO181" s="112" t="n"/>
      <c r="DP181" s="111" t="n"/>
      <c r="DQ181" s="20">
        <f>SUM(CN181:DP181)</f>
        <v/>
      </c>
      <c r="DR181" s="20">
        <f>SUM(CV181:DP181)</f>
        <v/>
      </c>
      <c r="DS181" s="20">
        <f>IFERROR((IF(AND($F181="Produit Vente",CO181&gt;0),VLOOKUP($C181,'[1]Paramètres Articles'!$B:$H,7,FALSE)*$CO181)*(1-20%)),0)</f>
        <v/>
      </c>
      <c r="DT181" s="20">
        <f>IFERROR((IF(AND($F181="Produit Vente",DR181&gt;0),VLOOKUP($C181,'[1]Paramètres Articles'!$B:$H,6,FALSE)*$DR181)*(1-15%)),0)</f>
        <v/>
      </c>
    </row>
    <row r="182" hidden="1" outlineLevel="1" collapsed="1" ht="12.95" customHeight="1">
      <c r="B182" s="1">
        <f>IF(C182="",0,COUNTIFS($B$22:B181,"&gt;"&amp;0)+1)</f>
        <v/>
      </c>
      <c r="C182" s="90" t="inlineStr">
        <is>
          <t>PRESENTOIR REGE</t>
        </is>
      </c>
      <c r="D182" s="91">
        <f>IFERROR(IF($C182="","",VLOOKUP($C182,'[1]Paramètres Articles'!$B:$G,2,FALSE)),"Non Trouvé")</f>
        <v/>
      </c>
      <c r="E182" s="92">
        <f>IFERROR(IF($C182="","",_xlfn.XLOOKUP(REGENERANTS!$C182,'[1]New Base PA'!$F:$F,'[1]New Base PA'!$D:$D,"Not Found",0)),"Non Trouvé")</f>
        <v/>
      </c>
      <c r="F182" s="93" t="inlineStr">
        <is>
          <t>PLV (PDC ou autre)</t>
        </is>
      </c>
      <c r="H182" s="106" t="n">
        <v>1</v>
      </c>
      <c r="J182" s="95">
        <f>IFERROR(IF($C182="","",VLOOKUP($C182,'[1]New Base PA'!$F:$J,5,FALSE)),"Non Trouvé")</f>
        <v/>
      </c>
      <c r="K182" s="136">
        <f>IFERROR(IF($C182="","",$J182*$H182),"Non Trouvé")</f>
        <v/>
      </c>
      <c r="L182" s="137" t="n"/>
      <c r="M182" s="95">
        <f>IFERROR(IF(AND($F182="Produit Vente",H182&gt;0),VLOOKUP($C182,'[1]Paramètres Articles'!$B:$G,6,FALSE),0),"Non Trouvé")</f>
        <v/>
      </c>
      <c r="N182" s="95">
        <f>IFERROR(IF($C182="","",$M182*$H182),"Non Trouvé")</f>
        <v/>
      </c>
      <c r="P182" s="97" t="n"/>
      <c r="R182" s="95">
        <f>IFERROR(IF($C182="","",$N182*(1-$P182)),"Non Trouvé")</f>
        <v/>
      </c>
      <c r="S182" s="96" t="n"/>
      <c r="T182" s="95">
        <f>IFERROR(IF($C182="","",VLOOKUP($C182,'[1]Paramètres Articles'!$B:$H,7,FALSE)),"Non Trouvé")</f>
        <v/>
      </c>
      <c r="U182" s="98" t="n"/>
      <c r="V182" s="95">
        <f>IFERROR(IF($C182="","",IF($P182="","",$T182*(1-$P182))),"Non Trouvé")</f>
        <v/>
      </c>
      <c r="W182" s="96" t="n"/>
      <c r="X182" s="95">
        <f>IFERROR(T182-V182,"")</f>
        <v/>
      </c>
      <c r="Y182" s="96" t="n"/>
      <c r="Z182" s="95">
        <f>IFERROR(IF(OR(T182=0,T182=""),0,T182*H182),"Non Trouvé")</f>
        <v/>
      </c>
      <c r="AB182" s="99">
        <f>AB180</f>
        <v/>
      </c>
      <c r="AC182" s="99">
        <f>AC180</f>
        <v/>
      </c>
      <c r="AD182" s="95">
        <f>IFERROR(IF($C182="","",IF($P$15="Cascade",$R182*(1-AC182)*AB182,IF($P$15="Additionnelle",($N182-($N182*($P182+AC182)))*AB182))),"Non Trouvé")</f>
        <v/>
      </c>
      <c r="AG182" s="99">
        <f>AG180</f>
        <v/>
      </c>
      <c r="AH182" s="99">
        <f>AH180</f>
        <v/>
      </c>
      <c r="AI182" s="95">
        <f>IFERROR(IF($C182="","",IF($P$15="Cascade",$R182*(1-AH182)*AG182,IF($P$15="Additionnelle",($N182-($N182*($P182+AH182)))*AG182))),"Non Trouvé")</f>
        <v/>
      </c>
      <c r="AL182" s="99">
        <f>AL180</f>
        <v/>
      </c>
      <c r="AM182" s="99">
        <f>AM180</f>
        <v/>
      </c>
      <c r="AN182" s="95">
        <f>IFERROR(IF($C182="","",IF($P$15="Cascade",$R182*(1-AM182)*AL182,IF($P$15="Additionnelle",($N182-($N182*($P182+AM182)))*AL182))),"Non Trouvé")</f>
        <v/>
      </c>
      <c r="AQ182" s="99">
        <f>AQ180</f>
        <v/>
      </c>
      <c r="AR182" s="99">
        <f>AR180</f>
        <v/>
      </c>
      <c r="AS182" s="95">
        <f>IFERROR(IF($C182="","",IF($P$15="Cascade",$R182*(1-AR182)*AQ182,IF($P$15="Additionnelle",($N182-($N182*($P182+AR182)))*AQ182))),"Non Trouvé")</f>
        <v/>
      </c>
      <c r="AV182" s="99">
        <f>AV180</f>
        <v/>
      </c>
      <c r="AW182" s="99">
        <f>AW180</f>
        <v/>
      </c>
      <c r="AX182" s="95">
        <f>IFERROR(IF($C182="","",IF($P$15="Cascade",$R182*(1-AW182)*AV182,IF($P$15="Additionnelle",($N182-($N182*($P182+AW182)))*AV182))),"Non Trouvé")</f>
        <v/>
      </c>
      <c r="BA182" s="99">
        <f>BA180</f>
        <v/>
      </c>
      <c r="BB182" s="99">
        <f>BB180</f>
        <v/>
      </c>
      <c r="BC182" s="95">
        <f>IFERROR(IF($C182="","",IF($P$15="Cascade",$R182*(1-BB182)*BA182,IF($P$15="Additionnelle",($N182-($N182*($P182+BB182)))*BA182))),"Non Trouvé")</f>
        <v/>
      </c>
      <c r="BF182" s="99">
        <f>BF180</f>
        <v/>
      </c>
      <c r="BG182" s="99">
        <f>BG180</f>
        <v/>
      </c>
      <c r="BH182" s="95">
        <f>IFERROR(IF($C182="","",IF($P$15="Cascade",$R182*(1-BG182)*BF182,IF($P$15="Additionnelle",($N182-($N182*($P182+BG182)))*BF182))),"Non Trouvé")</f>
        <v/>
      </c>
      <c r="BK182" s="99">
        <f>BK180</f>
        <v/>
      </c>
      <c r="BL182" s="99">
        <f>BL180</f>
        <v/>
      </c>
      <c r="BM182" s="95">
        <f>IFERROR(IF($C182="","",IF($P$15="Cascade",$R182*(1-BL182)*BK182,IF($P$15="Additionnelle",($N182-($N182*($P182+BL182)))*BK182))),"Non Trouvé")</f>
        <v/>
      </c>
      <c r="BP182" s="99">
        <f>BP180</f>
        <v/>
      </c>
      <c r="BQ182" s="99">
        <f>BQ180</f>
        <v/>
      </c>
      <c r="BR182" s="95">
        <f>IFERROR(IF($C182="","",IF($P$15="Cascade",$R182*(1-BQ182)*BP182,IF($P$15="Additionnelle",($N182-($N182*($P182+BQ182)))*BP182))),"Non Trouvé")</f>
        <v/>
      </c>
      <c r="BU182" s="99">
        <f>BU180</f>
        <v/>
      </c>
      <c r="BV182" s="99">
        <f>BV180</f>
        <v/>
      </c>
      <c r="BW182" s="95">
        <f>IFERROR(IF($C182="","",IF($P$15="Cascade",$R182*(1-BV182)*BU182,IF($P$15="Additionnelle",($N182-($N182*($P182+BV182)))*BU182))),"Non Trouvé")</f>
        <v/>
      </c>
      <c r="BZ182" s="99">
        <f>BZ180</f>
        <v/>
      </c>
      <c r="CA182" s="99">
        <f>CA180</f>
        <v/>
      </c>
      <c r="CB182" s="95">
        <f>IFERROR(IF($C182="","",IF($P$15="Cascade",$R182*(1-CA182)*BZ182,IF($P$15="Additionnelle",($N182-($N182*($P182+CA182)))*BZ182))),"Non Trouvé")</f>
        <v/>
      </c>
      <c r="CE182" s="100" t="n"/>
      <c r="CF182" s="101" t="n"/>
      <c r="CG182" s="102" t="inlineStr">
        <is>
          <t>CA</t>
        </is>
      </c>
      <c r="CH182" s="139">
        <f>SUMIFS($AB166:$AT166,$AB163:$AT163,CG182)+SUMIFS($BZ166:$CC166,$BZ163:$CC163,CG182)</f>
        <v/>
      </c>
      <c r="CI182" s="103" t="n"/>
      <c r="CK182" s="104">
        <f>IFERROR(IF(F182='[1]Paramètres Généraux'!$K$12,ROUNDUP((REGENERANTS!H182*REGENERANTS!$CF$166)*'[1]Paramètres Généraux'!$M$12,-1),REGENERANTS!H182*REGENERANTS!$CF$166),"nd")</f>
        <v/>
      </c>
      <c r="CN182" s="105" t="n"/>
      <c r="CO182" s="106" t="n"/>
      <c r="CP182" s="106" t="n"/>
      <c r="CQ182" s="106" t="n"/>
      <c r="CR182" s="106" t="n"/>
      <c r="CS182" s="178" t="n"/>
      <c r="CT182" s="179" t="n"/>
      <c r="CU182" s="106" t="n"/>
      <c r="CV182" s="178" t="n"/>
      <c r="CW182" s="111" t="n"/>
      <c r="CX182" s="112" t="n"/>
      <c r="CY182" s="111" t="n"/>
      <c r="CZ182" s="109" t="n"/>
      <c r="DA182" s="112" t="n"/>
      <c r="DB182" s="111" t="n"/>
      <c r="DC182" s="109" t="n"/>
      <c r="DD182" s="112" t="n"/>
      <c r="DE182" s="111" t="n"/>
      <c r="DF182" s="109" t="n"/>
      <c r="DG182" s="109" t="n"/>
      <c r="DH182" s="109" t="n"/>
      <c r="DI182" s="109" t="n"/>
      <c r="DJ182" s="109" t="n"/>
      <c r="DK182" s="109" t="n"/>
      <c r="DL182" s="109" t="n"/>
      <c r="DM182" s="109" t="n"/>
      <c r="DN182" s="109" t="n"/>
      <c r="DO182" s="112" t="n"/>
      <c r="DP182" s="111" t="n"/>
      <c r="DQ182" s="20">
        <f>SUM(CN182:DP182)</f>
        <v/>
      </c>
      <c r="DR182" s="20">
        <f>SUM(CV182:DP182)</f>
        <v/>
      </c>
      <c r="DS182" s="20">
        <f>IFERROR((IF(AND($F182="Produit Vente",CO182&gt;0),VLOOKUP($C182,'[1]Paramètres Articles'!$B:$H,7,FALSE)*$CO182)*(1-20%)),0)</f>
        <v/>
      </c>
      <c r="DT182" s="20">
        <f>IFERROR((IF(AND($F182="Produit Vente",DR182&gt;0),VLOOKUP($C182,'[1]Paramètres Articles'!$B:$H,6,FALSE)*$DR182)*(1-15%)),0)</f>
        <v/>
      </c>
    </row>
    <row r="183" hidden="1" outlineLevel="1" collapsed="1" ht="12.95" customHeight="1">
      <c r="B183" s="1">
        <f>IF(C183="",0,COUNTIFS($B$22:B182,"&gt;"&amp;0)+1)</f>
        <v/>
      </c>
      <c r="C183" s="90" t="n">
        <v>3020202</v>
      </c>
      <c r="D183" s="91">
        <f>IFERROR(IF($C183="","",VLOOKUP($C183,'[1]Paramètres Articles'!$B:$G,2,FALSE)),"Non Trouvé")</f>
        <v/>
      </c>
      <c r="E183" s="92">
        <f>IFERROR(IF($C183="","",_xlfn.XLOOKUP(REGENERANTS!$C183,'[1]New Base PA'!$F:$F,'[1]New Base PA'!$D:$D,"Not Found",0)),"Non Trouvé")</f>
        <v/>
      </c>
      <c r="F183" s="93" t="inlineStr">
        <is>
          <t>Testeur</t>
        </is>
      </c>
      <c r="H183" s="106" t="n">
        <v>1</v>
      </c>
      <c r="J183" s="95">
        <f>IFERROR(IF($C183="","",VLOOKUP($C183,'[1]New Base PA'!$F:$J,5,FALSE)),"Non Trouvé")</f>
        <v/>
      </c>
      <c r="K183" s="136">
        <f>IFERROR(IF($C183="","",$J183*$H183),"Non Trouvé")</f>
        <v/>
      </c>
      <c r="L183" s="137" t="n"/>
      <c r="M183" s="95">
        <f>IFERROR(IF(AND($F183="Produit Vente",H183&gt;0),VLOOKUP($C183,'[1]Paramètres Articles'!$B:$G,6,FALSE),0),"Non Trouvé")</f>
        <v/>
      </c>
      <c r="N183" s="95">
        <f>IFERROR(IF($C183="","",$M183*$H183),"Non Trouvé")</f>
        <v/>
      </c>
      <c r="P183" s="97" t="n"/>
      <c r="R183" s="95">
        <f>IFERROR(IF($C183="","",$N183*(1-$P183)),"Non Trouvé")</f>
        <v/>
      </c>
      <c r="S183" s="96" t="n"/>
      <c r="T183" s="95">
        <f>IFERROR(IF($C183="","",VLOOKUP($C183,'[1]Paramètres Articles'!$B:$H,7,FALSE)),"Non Trouvé")</f>
        <v/>
      </c>
      <c r="U183" s="98" t="n"/>
      <c r="V183" s="95">
        <f>IFERROR(IF($C183="","",IF($P183="","",$T183*(1-$P183))),"Non Trouvé")</f>
        <v/>
      </c>
      <c r="W183" s="96" t="n"/>
      <c r="X183" s="95">
        <f>IFERROR(T183-V183,"")</f>
        <v/>
      </c>
      <c r="Y183" s="96" t="n"/>
      <c r="Z183" s="95">
        <f>IFERROR(IF(OR(T183=0,T183=""),0,T183*H183),"Non Trouvé")</f>
        <v/>
      </c>
      <c r="AB183" s="99">
        <f>AB182</f>
        <v/>
      </c>
      <c r="AC183" s="99">
        <f>AC182</f>
        <v/>
      </c>
      <c r="AD183" s="95">
        <f>IFERROR(IF($C183="","",IF($P$15="Cascade",$R183*(1-AC183)*AB183,IF($P$15="Additionnelle",($N183-($N183*($P183+AC183)))*AB183))),"Non Trouvé")</f>
        <v/>
      </c>
      <c r="AG183" s="99">
        <f>AG182</f>
        <v/>
      </c>
      <c r="AH183" s="99">
        <f>AH182</f>
        <v/>
      </c>
      <c r="AI183" s="95">
        <f>IFERROR(IF($C183="","",IF($P$15="Cascade",$R183*(1-AH183)*AG183,IF($P$15="Additionnelle",($N183-($N183*($P183+AH183)))*AG183))),"Non Trouvé")</f>
        <v/>
      </c>
      <c r="AL183" s="99">
        <f>AL182</f>
        <v/>
      </c>
      <c r="AM183" s="99">
        <f>AM182</f>
        <v/>
      </c>
      <c r="AN183" s="95">
        <f>IFERROR(IF($C183="","",IF($P$15="Cascade",$R183*(1-AM183)*AL183,IF($P$15="Additionnelle",($N183-($N183*($P183+AM183)))*AL183))),"Non Trouvé")</f>
        <v/>
      </c>
      <c r="AQ183" s="99">
        <f>AQ182</f>
        <v/>
      </c>
      <c r="AR183" s="99">
        <f>AR182</f>
        <v/>
      </c>
      <c r="AS183" s="95">
        <f>IFERROR(IF($C183="","",IF($P$15="Cascade",$R183*(1-AR183)*AQ183,IF($P$15="Additionnelle",($N183-($N183*($P183+AR183)))*AQ183))),"Non Trouvé")</f>
        <v/>
      </c>
      <c r="AV183" s="99">
        <f>AV182</f>
        <v/>
      </c>
      <c r="AW183" s="99">
        <f>AW182</f>
        <v/>
      </c>
      <c r="AX183" s="95">
        <f>IFERROR(IF($C183="","",IF($P$15="Cascade",$R183*(1-AW183)*AV183,IF($P$15="Additionnelle",($N183-($N183*($P183+AW183)))*AV183))),"Non Trouvé")</f>
        <v/>
      </c>
      <c r="BA183" s="99">
        <f>BA182</f>
        <v/>
      </c>
      <c r="BB183" s="99">
        <f>BB182</f>
        <v/>
      </c>
      <c r="BC183" s="95">
        <f>IFERROR(IF($C183="","",IF($P$15="Cascade",$R183*(1-BB183)*BA183,IF($P$15="Additionnelle",($N183-($N183*($P183+BB183)))*BA183))),"Non Trouvé")</f>
        <v/>
      </c>
      <c r="BF183" s="99">
        <f>BF182</f>
        <v/>
      </c>
      <c r="BG183" s="99">
        <f>BG182</f>
        <v/>
      </c>
      <c r="BH183" s="95">
        <f>IFERROR(IF($C183="","",IF($P$15="Cascade",$R183*(1-BG183)*BF183,IF($P$15="Additionnelle",($N183-($N183*($P183+BG183)))*BF183))),"Non Trouvé")</f>
        <v/>
      </c>
      <c r="BK183" s="99">
        <f>BK182</f>
        <v/>
      </c>
      <c r="BL183" s="99">
        <f>BL182</f>
        <v/>
      </c>
      <c r="BM183" s="95">
        <f>IFERROR(IF($C183="","",IF($P$15="Cascade",$R183*(1-BL183)*BK183,IF($P$15="Additionnelle",($N183-($N183*($P183+BL183)))*BK183))),"Non Trouvé")</f>
        <v/>
      </c>
      <c r="BP183" s="99">
        <f>BP182</f>
        <v/>
      </c>
      <c r="BQ183" s="99">
        <f>BQ182</f>
        <v/>
      </c>
      <c r="BR183" s="95">
        <f>IFERROR(IF($C183="","",IF($P$15="Cascade",$R183*(1-BQ183)*BP183,IF($P$15="Additionnelle",($N183-($N183*($P183+BQ183)))*BP183))),"Non Trouvé")</f>
        <v/>
      </c>
      <c r="BU183" s="99">
        <f>BU182</f>
        <v/>
      </c>
      <c r="BV183" s="99">
        <f>BV182</f>
        <v/>
      </c>
      <c r="BW183" s="95">
        <f>IFERROR(IF($C183="","",IF($P$15="Cascade",$R183*(1-BV183)*BU183,IF($P$15="Additionnelle",($N183-($N183*($P183+BV183)))*BU183))),"Non Trouvé")</f>
        <v/>
      </c>
      <c r="BZ183" s="99">
        <f>BZ182</f>
        <v/>
      </c>
      <c r="CA183" s="99">
        <f>CA182</f>
        <v/>
      </c>
      <c r="CB183" s="95">
        <f>IFERROR(IF($C183="","",IF($P$15="Cascade",$R183*(1-CA183)*BZ183,IF($P$15="Additionnelle",($N183-($N183*($P183+CA183)))*BZ183))),"Non Trouvé")</f>
        <v/>
      </c>
      <c r="CE183" s="100" t="n"/>
      <c r="CF183" s="133" t="n"/>
      <c r="CG183" s="102" t="inlineStr">
        <is>
          <t>Marges</t>
        </is>
      </c>
      <c r="CH183" s="142">
        <f>IFERROR((CH182-$K166*CH181)/CH182,"Non Trouvé")</f>
        <v/>
      </c>
      <c r="CI183" s="103" t="n"/>
      <c r="CK183" s="104">
        <f>IFERROR(IF(F183='[1]Paramètres Généraux'!$K$12,ROUNDUP((REGENERANTS!H183*REGENERANTS!$CF$166)*'[1]Paramètres Généraux'!$M$12,-1),REGENERANTS!H183*REGENERANTS!$CF$166),"nd")</f>
        <v/>
      </c>
      <c r="CN183" s="105" t="n"/>
      <c r="CO183" s="106" t="n"/>
      <c r="CP183" s="106" t="n"/>
      <c r="CQ183" s="106" t="n"/>
      <c r="CR183" s="106" t="n"/>
      <c r="CS183" s="178" t="n"/>
      <c r="CT183" s="179" t="n"/>
      <c r="CU183" s="106" t="n"/>
      <c r="CV183" s="178" t="n"/>
      <c r="CW183" s="111" t="n"/>
      <c r="CX183" s="112" t="n"/>
      <c r="CY183" s="111" t="n"/>
      <c r="CZ183" s="109" t="n"/>
      <c r="DA183" s="112" t="n"/>
      <c r="DB183" s="111" t="n"/>
      <c r="DC183" s="109" t="n"/>
      <c r="DD183" s="112" t="n"/>
      <c r="DE183" s="111" t="n"/>
      <c r="DF183" s="109" t="n"/>
      <c r="DG183" s="109" t="n"/>
      <c r="DH183" s="109" t="n"/>
      <c r="DI183" s="109" t="n"/>
      <c r="DJ183" s="109" t="n"/>
      <c r="DK183" s="109" t="n"/>
      <c r="DL183" s="109" t="n"/>
      <c r="DM183" s="109" t="n"/>
      <c r="DN183" s="109" t="n"/>
      <c r="DO183" s="112" t="n"/>
      <c r="DP183" s="111" t="n"/>
      <c r="DQ183" s="20">
        <f>SUM(CN183:DP183)</f>
        <v/>
      </c>
      <c r="DR183" s="20">
        <f>SUM(CV183:DP183)</f>
        <v/>
      </c>
      <c r="DS183" s="20">
        <f>IFERROR((IF(AND($F183="Produit Vente",CO183&gt;0),VLOOKUP($C183,'[1]Paramètres Articles'!$B:$H,7,FALSE)*$CO183)*(1-20%)),0)</f>
        <v/>
      </c>
      <c r="DT183" s="20">
        <f>IFERROR((IF(AND($F183="Produit Vente",DR183&gt;0),VLOOKUP($C183,'[1]Paramètres Articles'!$B:$H,6,FALSE)*$DR183)*(1-15%)),0)</f>
        <v/>
      </c>
    </row>
    <row r="184" hidden="1" outlineLevel="1" collapsed="1" ht="12.95" customHeight="1">
      <c r="B184" s="1">
        <f>IF(C184="",0,COUNTIFS($B$22:B183,"&gt;"&amp;0)+1)</f>
        <v/>
      </c>
      <c r="C184" s="90" t="n">
        <v>3020301</v>
      </c>
      <c r="D184" s="91">
        <f>IFERROR(IF($C184="","",VLOOKUP($C184,'[1]Paramètres Articles'!$B:$G,2,FALSE)),"Non Trouvé")</f>
        <v/>
      </c>
      <c r="E184" s="92">
        <f>IFERROR(IF($C184="","",_xlfn.XLOOKUP(REGENERANTS!$C184,'[1]New Base PA'!$F:$F,'[1]New Base PA'!$D:$D,"Not Found",0)),"Non Trouvé")</f>
        <v/>
      </c>
      <c r="F184" s="93" t="inlineStr">
        <is>
          <t>Testeur</t>
        </is>
      </c>
      <c r="H184" s="106" t="n">
        <v>1</v>
      </c>
      <c r="J184" s="95">
        <f>IFERROR(IF($C184="","",VLOOKUP($C184,'[1]New Base PA'!$F:$J,5,FALSE)),"Non Trouvé")</f>
        <v/>
      </c>
      <c r="K184" s="136">
        <f>IFERROR(IF($C184="","",$J184*$H184),"Non Trouvé")</f>
        <v/>
      </c>
      <c r="L184" s="137" t="n"/>
      <c r="M184" s="95">
        <f>IFERROR(IF(AND($F184="Produit Vente",H184&gt;0),VLOOKUP($C184,'[1]Paramètres Articles'!$B:$G,6,FALSE),0),"Non Trouvé")</f>
        <v/>
      </c>
      <c r="N184" s="95">
        <f>IFERROR(IF($C184="","",$M184*$H184),"Non Trouvé")</f>
        <v/>
      </c>
      <c r="P184" s="97" t="n"/>
      <c r="R184" s="95">
        <f>IFERROR(IF($C184="","",$N184*(1-$P184)),"Non Trouvé")</f>
        <v/>
      </c>
      <c r="S184" s="96" t="n"/>
      <c r="T184" s="95">
        <f>IFERROR(IF($C184="","",VLOOKUP($C184,'[1]Paramètres Articles'!$B:$H,7,FALSE)),"Non Trouvé")</f>
        <v/>
      </c>
      <c r="U184" s="98" t="n"/>
      <c r="V184" s="95">
        <f>IFERROR(IF($C184="","",IF($P184="","",$T184*(1-$P184))),"Non Trouvé")</f>
        <v/>
      </c>
      <c r="W184" s="96" t="n"/>
      <c r="X184" s="95">
        <f>IFERROR(T184-V184,"")</f>
        <v/>
      </c>
      <c r="Y184" s="96" t="n"/>
      <c r="Z184" s="95">
        <f>IFERROR(IF(OR(T184=0,T184=""),0,T184*H184),"Non Trouvé")</f>
        <v/>
      </c>
      <c r="AB184" s="99">
        <f>AB182</f>
        <v/>
      </c>
      <c r="AC184" s="99">
        <f>AC182</f>
        <v/>
      </c>
      <c r="AD184" s="95">
        <f>IFERROR(IF($C184="","",IF($P$15="Cascade",$R184*(1-AC184)*AB184,IF($P$15="Additionnelle",($N184-($N184*($P184+AC184)))*AB184))),"Non Trouvé")</f>
        <v/>
      </c>
      <c r="AG184" s="99">
        <f>AG182</f>
        <v/>
      </c>
      <c r="AH184" s="99">
        <f>AH182</f>
        <v/>
      </c>
      <c r="AI184" s="95">
        <f>IFERROR(IF($C184="","",IF($P$15="Cascade",$R184*(1-AH184)*AG184,IF($P$15="Additionnelle",($N184-($N184*($P184+AH184)))*AG184))),"Non Trouvé")</f>
        <v/>
      </c>
      <c r="AL184" s="99">
        <f>AL182</f>
        <v/>
      </c>
      <c r="AM184" s="99">
        <f>AM182</f>
        <v/>
      </c>
      <c r="AN184" s="95">
        <f>IFERROR(IF($C184="","",IF($P$15="Cascade",$R184*(1-AM184)*AL184,IF($P$15="Additionnelle",($N184-($N184*($P184+AM184)))*AL184))),"Non Trouvé")</f>
        <v/>
      </c>
      <c r="AQ184" s="99">
        <f>AQ182</f>
        <v/>
      </c>
      <c r="AR184" s="99">
        <f>AR182</f>
        <v/>
      </c>
      <c r="AS184" s="95">
        <f>IFERROR(IF($C184="","",IF($P$15="Cascade",$R184*(1-AR184)*AQ184,IF($P$15="Additionnelle",($N184-($N184*($P184+AR184)))*AQ184))),"Non Trouvé")</f>
        <v/>
      </c>
      <c r="AV184" s="99">
        <f>AV182</f>
        <v/>
      </c>
      <c r="AW184" s="99">
        <f>AW182</f>
        <v/>
      </c>
      <c r="AX184" s="95">
        <f>IFERROR(IF($C184="","",IF($P$15="Cascade",$R184*(1-AW184)*AV184,IF($P$15="Additionnelle",($N184-($N184*($P184+AW184)))*AV184))),"Non Trouvé")</f>
        <v/>
      </c>
      <c r="BA184" s="99">
        <f>BA182</f>
        <v/>
      </c>
      <c r="BB184" s="99">
        <f>BB182</f>
        <v/>
      </c>
      <c r="BC184" s="95">
        <f>IFERROR(IF($C184="","",IF($P$15="Cascade",$R184*(1-BB184)*BA184,IF($P$15="Additionnelle",($N184-($N184*($P184+BB184)))*BA184))),"Non Trouvé")</f>
        <v/>
      </c>
      <c r="BF184" s="99">
        <f>BF182</f>
        <v/>
      </c>
      <c r="BG184" s="99">
        <f>BG182</f>
        <v/>
      </c>
      <c r="BH184" s="95">
        <f>IFERROR(IF($C184="","",IF($P$15="Cascade",$R184*(1-BG184)*BF184,IF($P$15="Additionnelle",($N184-($N184*($P184+BG184)))*BF184))),"Non Trouvé")</f>
        <v/>
      </c>
      <c r="BK184" s="99">
        <f>BK182</f>
        <v/>
      </c>
      <c r="BL184" s="99">
        <f>BL182</f>
        <v/>
      </c>
      <c r="BM184" s="95">
        <f>IFERROR(IF($C184="","",IF($P$15="Cascade",$R184*(1-BL184)*BK184,IF($P$15="Additionnelle",($N184-($N184*($P184+BL184)))*BK184))),"Non Trouvé")</f>
        <v/>
      </c>
      <c r="BP184" s="99">
        <f>BP182</f>
        <v/>
      </c>
      <c r="BQ184" s="99">
        <f>BQ182</f>
        <v/>
      </c>
      <c r="BR184" s="95">
        <f>IFERROR(IF($C184="","",IF($P$15="Cascade",$R184*(1-BQ184)*BP184,IF($P$15="Additionnelle",($N184-($N184*($P184+BQ184)))*BP184))),"Non Trouvé")</f>
        <v/>
      </c>
      <c r="BU184" s="99">
        <f>BU182</f>
        <v/>
      </c>
      <c r="BV184" s="99">
        <f>BV182</f>
        <v/>
      </c>
      <c r="BW184" s="95">
        <f>IFERROR(IF($C184="","",IF($P$15="Cascade",$R184*(1-BV184)*BU184,IF($P$15="Additionnelle",($N184-($N184*($P184+BV184)))*BU184))),"Non Trouvé")</f>
        <v/>
      </c>
      <c r="BZ184" s="99">
        <f>BZ182</f>
        <v/>
      </c>
      <c r="CA184" s="99">
        <f>CA182</f>
        <v/>
      </c>
      <c r="CB184" s="95">
        <f>IFERROR(IF($C184="","",IF($P$15="Cascade",$R184*(1-CA184)*BZ184,IF($P$15="Additionnelle",($N184-($N184*($P184+CA184)))*BZ184))),"Non Trouvé")</f>
        <v/>
      </c>
      <c r="CE184" s="100" t="n"/>
      <c r="CF184" s="102" t="n"/>
      <c r="CG184" s="102" t="inlineStr">
        <is>
          <t>Marges €</t>
        </is>
      </c>
      <c r="CH184" s="139">
        <f>IFERROR(CH182*CH183,0)</f>
        <v/>
      </c>
      <c r="CI184" s="103" t="n"/>
      <c r="CK184" s="104">
        <f>IFERROR(IF(F184='[1]Paramètres Généraux'!$K$12,ROUNDUP((REGENERANTS!H184*REGENERANTS!$CF$166)*'[1]Paramètres Généraux'!$M$12,-1),REGENERANTS!H184*REGENERANTS!$CF$166),"nd")</f>
        <v/>
      </c>
      <c r="CN184" s="105" t="n"/>
      <c r="CO184" s="106" t="n"/>
      <c r="CP184" s="106" t="n"/>
      <c r="CQ184" s="106" t="n"/>
      <c r="CR184" s="106" t="n"/>
      <c r="CS184" s="178" t="n"/>
      <c r="CT184" s="179" t="n"/>
      <c r="CU184" s="106" t="n"/>
      <c r="CV184" s="178" t="n"/>
      <c r="CW184" s="111" t="n"/>
      <c r="CX184" s="112" t="n"/>
      <c r="CY184" s="111" t="n"/>
      <c r="CZ184" s="109" t="n"/>
      <c r="DA184" s="112" t="n"/>
      <c r="DB184" s="111" t="n"/>
      <c r="DC184" s="109" t="n"/>
      <c r="DD184" s="112" t="n"/>
      <c r="DE184" s="111" t="n"/>
      <c r="DF184" s="109" t="n"/>
      <c r="DG184" s="109" t="n"/>
      <c r="DH184" s="109" t="n"/>
      <c r="DI184" s="109" t="n"/>
      <c r="DJ184" s="109" t="n"/>
      <c r="DK184" s="109" t="n"/>
      <c r="DL184" s="109" t="n"/>
      <c r="DM184" s="109" t="n"/>
      <c r="DN184" s="109" t="n"/>
      <c r="DO184" s="112" t="n"/>
      <c r="DP184" s="111" t="n"/>
      <c r="DQ184" s="20">
        <f>SUM(CN184:DP184)</f>
        <v/>
      </c>
      <c r="DR184" s="20">
        <f>SUM(CV184:DP184)</f>
        <v/>
      </c>
      <c r="DS184" s="20">
        <f>IFERROR((IF(AND($F184="Produit Vente",CO184&gt;0),VLOOKUP($C184,'[1]Paramètres Articles'!$B:$H,7,FALSE)*$CO184)*(1-20%)),0)</f>
        <v/>
      </c>
      <c r="DT184" s="20">
        <f>IFERROR((IF(AND($F184="Produit Vente",DR184&gt;0),VLOOKUP($C184,'[1]Paramètres Articles'!$B:$H,6,FALSE)*$DR184)*(1-15%)),0)</f>
        <v/>
      </c>
    </row>
    <row r="185" hidden="1" outlineLevel="1" collapsed="1" ht="12.95" customHeight="1">
      <c r="B185" s="1">
        <f>IF(C185="",0,COUNTIFS($B$22:B184,"&gt;"&amp;0)+1)</f>
        <v/>
      </c>
      <c r="C185" s="90" t="n">
        <v>3020720</v>
      </c>
      <c r="D185" s="91">
        <f>IFERROR(IF($C185="","",VLOOKUP($C185,'[1]Paramètres Articles'!$B:$G,2,FALSE)),"Non Trouvé")</f>
        <v/>
      </c>
      <c r="E185" s="92">
        <f>IFERROR(IF($C185="","",_xlfn.XLOOKUP(REGENERANTS!$C185,'[1]New Base PA'!$F:$F,'[1]New Base PA'!$D:$D,"Not Found",0)),"Non Trouvé")</f>
        <v/>
      </c>
      <c r="F185" s="93" t="inlineStr">
        <is>
          <t>Testeur</t>
        </is>
      </c>
      <c r="H185" s="106" t="n">
        <v>1</v>
      </c>
      <c r="J185" s="95">
        <f>IFERROR(IF($C185="","",VLOOKUP($C185,'[1]New Base PA'!$F:$J,5,FALSE)),"Non Trouvé")</f>
        <v/>
      </c>
      <c r="K185" s="136">
        <f>IFERROR(IF($C185="","",$J185*$H185),"Non Trouvé")</f>
        <v/>
      </c>
      <c r="L185" s="137" t="n"/>
      <c r="M185" s="95">
        <f>IFERROR(IF(AND($F185="Produit Vente",H185&gt;0),VLOOKUP($C185,'[1]Paramètres Articles'!$B:$G,6,FALSE),0),"Non Trouvé")</f>
        <v/>
      </c>
      <c r="N185" s="95">
        <f>IFERROR(IF($C185="","",$M185*$H185),"Non Trouvé")</f>
        <v/>
      </c>
      <c r="P185" s="97" t="n"/>
      <c r="R185" s="95">
        <f>IFERROR(IF($C185="","",$N185*(1-$P185)),"Non Trouvé")</f>
        <v/>
      </c>
      <c r="S185" s="96" t="n"/>
      <c r="T185" s="95">
        <f>IFERROR(IF($C185="","",VLOOKUP($C185,'[1]Paramètres Articles'!$B:$H,7,FALSE)),"Non Trouvé")</f>
        <v/>
      </c>
      <c r="U185" s="98" t="n"/>
      <c r="V185" s="95">
        <f>IFERROR(IF($C185="","",IF($P185="","",$T185*(1-$P185))),"Non Trouvé")</f>
        <v/>
      </c>
      <c r="W185" s="96" t="n"/>
      <c r="X185" s="95">
        <f>IFERROR(T185-V185,"")</f>
        <v/>
      </c>
      <c r="Y185" s="96" t="n"/>
      <c r="Z185" s="95">
        <f>IFERROR(IF(OR(T185=0,T185=""),0,T185*H185),"Non Trouvé")</f>
        <v/>
      </c>
      <c r="AB185" s="99">
        <f>AB184</f>
        <v/>
      </c>
      <c r="AC185" s="99">
        <f>AC184</f>
        <v/>
      </c>
      <c r="AD185" s="95">
        <f>IFERROR(IF($C185="","",IF($P$15="Cascade",$R185*(1-AC185)*AB185,IF($P$15="Additionnelle",($N185-($N185*($P185+AC185)))*AB185))),"Non Trouvé")</f>
        <v/>
      </c>
      <c r="AG185" s="99">
        <f>AG184</f>
        <v/>
      </c>
      <c r="AH185" s="99">
        <f>AH184</f>
        <v/>
      </c>
      <c r="AI185" s="95">
        <f>IFERROR(IF($C185="","",IF($P$15="Cascade",$R185*(1-AH185)*AG185,IF($P$15="Additionnelle",($N185-($N185*($P185+AH185)))*AG185))),"Non Trouvé")</f>
        <v/>
      </c>
      <c r="AL185" s="99">
        <f>AL184</f>
        <v/>
      </c>
      <c r="AM185" s="99">
        <f>AM184</f>
        <v/>
      </c>
      <c r="AN185" s="95">
        <f>IFERROR(IF($C185="","",IF($P$15="Cascade",$R185*(1-AM185)*AL185,IF($P$15="Additionnelle",($N185-($N185*($P185+AM185)))*AL185))),"Non Trouvé")</f>
        <v/>
      </c>
      <c r="AQ185" s="99">
        <f>AQ184</f>
        <v/>
      </c>
      <c r="AR185" s="99">
        <f>AR184</f>
        <v/>
      </c>
      <c r="AS185" s="95">
        <f>IFERROR(IF($C185="","",IF($P$15="Cascade",$R185*(1-AR185)*AQ185,IF($P$15="Additionnelle",($N185-($N185*($P185+AR185)))*AQ185))),"Non Trouvé")</f>
        <v/>
      </c>
      <c r="AV185" s="99">
        <f>AV184</f>
        <v/>
      </c>
      <c r="AW185" s="99">
        <f>AW184</f>
        <v/>
      </c>
      <c r="AX185" s="95">
        <f>IFERROR(IF($C185="","",IF($P$15="Cascade",$R185*(1-AW185)*AV185,IF($P$15="Additionnelle",($N185-($N185*($P185+AW185)))*AV185))),"Non Trouvé")</f>
        <v/>
      </c>
      <c r="BA185" s="99">
        <f>BA184</f>
        <v/>
      </c>
      <c r="BB185" s="99">
        <f>BB184</f>
        <v/>
      </c>
      <c r="BC185" s="95">
        <f>IFERROR(IF($C185="","",IF($P$15="Cascade",$R185*(1-BB185)*BA185,IF($P$15="Additionnelle",($N185-($N185*($P185+BB185)))*BA185))),"Non Trouvé")</f>
        <v/>
      </c>
      <c r="BF185" s="99">
        <f>BF184</f>
        <v/>
      </c>
      <c r="BG185" s="99">
        <f>BG184</f>
        <v/>
      </c>
      <c r="BH185" s="95">
        <f>IFERROR(IF($C185="","",IF($P$15="Cascade",$R185*(1-BG185)*BF185,IF($P$15="Additionnelle",($N185-($N185*($P185+BG185)))*BF185))),"Non Trouvé")</f>
        <v/>
      </c>
      <c r="BK185" s="99">
        <f>BK184</f>
        <v/>
      </c>
      <c r="BL185" s="99">
        <f>BL184</f>
        <v/>
      </c>
      <c r="BM185" s="95">
        <f>IFERROR(IF($C185="","",IF($P$15="Cascade",$R185*(1-BL185)*BK185,IF($P$15="Additionnelle",($N185-($N185*($P185+BL185)))*BK185))),"Non Trouvé")</f>
        <v/>
      </c>
      <c r="BP185" s="99">
        <f>BP184</f>
        <v/>
      </c>
      <c r="BQ185" s="99">
        <f>BQ184</f>
        <v/>
      </c>
      <c r="BR185" s="95">
        <f>IFERROR(IF($C185="","",IF($P$15="Cascade",$R185*(1-BQ185)*BP185,IF($P$15="Additionnelle",($N185-($N185*($P185+BQ185)))*BP185))),"Non Trouvé")</f>
        <v/>
      </c>
      <c r="BU185" s="99">
        <f>BU184</f>
        <v/>
      </c>
      <c r="BV185" s="99">
        <f>BV184</f>
        <v/>
      </c>
      <c r="BW185" s="95">
        <f>IFERROR(IF($C185="","",IF($P$15="Cascade",$R185*(1-BV185)*BU185,IF($P$15="Additionnelle",($N185-($N185*($P185+BV185)))*BU185))),"Non Trouvé")</f>
        <v/>
      </c>
      <c r="BZ185" s="99">
        <f>BZ184</f>
        <v/>
      </c>
      <c r="CA185" s="99">
        <f>CA184</f>
        <v/>
      </c>
      <c r="CB185" s="95">
        <f>IFERROR(IF($C185="","",IF($P$15="Cascade",$R185*(1-CA185)*BZ185,IF($P$15="Additionnelle",($N185-($N185*($P185+CA185)))*BZ185))),"Non Trouvé")</f>
        <v/>
      </c>
      <c r="CE185" s="100" t="n"/>
      <c r="CF185" s="138" t="n"/>
      <c r="CG185" s="101" t="n"/>
      <c r="CH185" s="101" t="n"/>
      <c r="CI185" s="103" t="n"/>
      <c r="CK185" s="104">
        <f>IFERROR(IF(F185='[1]Paramètres Généraux'!$K$12,ROUNDUP((REGENERANTS!H185*REGENERANTS!$CF$166)*'[1]Paramètres Généraux'!$M$12,-1),REGENERANTS!H185*REGENERANTS!$CF$166),"nd")</f>
        <v/>
      </c>
      <c r="CN185" s="105" t="n"/>
      <c r="CO185" s="106" t="n"/>
      <c r="CP185" s="106" t="n"/>
      <c r="CQ185" s="106" t="n"/>
      <c r="CR185" s="106" t="n"/>
      <c r="CS185" s="178" t="n"/>
      <c r="CT185" s="179" t="n"/>
      <c r="CU185" s="106" t="n"/>
      <c r="CV185" s="178" t="n"/>
      <c r="CW185" s="111" t="n"/>
      <c r="CX185" s="112" t="n"/>
      <c r="CY185" s="111" t="n"/>
      <c r="CZ185" s="109" t="n"/>
      <c r="DA185" s="112" t="n"/>
      <c r="DB185" s="111" t="n"/>
      <c r="DC185" s="109" t="n"/>
      <c r="DD185" s="112" t="n"/>
      <c r="DE185" s="111" t="n"/>
      <c r="DF185" s="109" t="n"/>
      <c r="DG185" s="109" t="n"/>
      <c r="DH185" s="109" t="n"/>
      <c r="DI185" s="109" t="n"/>
      <c r="DJ185" s="109" t="n"/>
      <c r="DK185" s="109" t="n"/>
      <c r="DL185" s="109" t="n"/>
      <c r="DM185" s="109" t="n"/>
      <c r="DN185" s="109" t="n"/>
      <c r="DO185" s="112" t="n"/>
      <c r="DP185" s="111" t="n"/>
      <c r="DQ185" s="20">
        <f>SUM(CN185:DP185)</f>
        <v/>
      </c>
      <c r="DR185" s="20">
        <f>SUM(CV185:DP185)</f>
        <v/>
      </c>
      <c r="DS185" s="20">
        <f>IFERROR((IF(AND($F185="Produit Vente",CO185&gt;0),VLOOKUP($C185,'[1]Paramètres Articles'!$B:$H,7,FALSE)*$CO185)*(1-20%)),0)</f>
        <v/>
      </c>
      <c r="DT185" s="20">
        <f>IFERROR((IF(AND($F185="Produit Vente",DR185&gt;0),VLOOKUP($C185,'[1]Paramètres Articles'!$B:$H,6,FALSE)*$DR185)*(1-15%)),0)</f>
        <v/>
      </c>
    </row>
    <row r="186" hidden="1" outlineLevel="1" collapsed="1" ht="12.95" customHeight="1">
      <c r="B186" s="1">
        <f>IF(C186="",0,COUNTIFS($B$22:B185,"&gt;"&amp;0)+1)</f>
        <v/>
      </c>
      <c r="C186" s="90" t="n">
        <v>3020718</v>
      </c>
      <c r="D186" s="91">
        <f>IFERROR(IF($C186="","",VLOOKUP($C186,'[1]Paramètres Articles'!$B:$G,2,FALSE)),"Non Trouvé")</f>
        <v/>
      </c>
      <c r="E186" s="92">
        <f>IFERROR(IF($C186="","",_xlfn.XLOOKUP(REGENERANTS!$C186,'[1]New Base PA'!$F:$F,'[1]New Base PA'!$D:$D,"Not Found",0)),"Non Trouvé")</f>
        <v/>
      </c>
      <c r="F186" s="93" t="inlineStr">
        <is>
          <t>Testeur</t>
        </is>
      </c>
      <c r="H186" s="106" t="n">
        <v>1</v>
      </c>
      <c r="J186" s="95">
        <f>IFERROR(IF($C186="","",VLOOKUP($C186,'[1]New Base PA'!$F:$J,5,FALSE)),"Non Trouvé")</f>
        <v/>
      </c>
      <c r="K186" s="136">
        <f>IFERROR(IF($C186="","",$J186*$H186),"Non Trouvé")</f>
        <v/>
      </c>
      <c r="L186" s="137" t="n"/>
      <c r="M186" s="95">
        <f>IFERROR(IF(AND($F186="Produit Vente",H186&gt;0),VLOOKUP($C186,'[1]Paramètres Articles'!$B:$G,6,FALSE),0),"Non Trouvé")</f>
        <v/>
      </c>
      <c r="N186" s="95">
        <f>IFERROR(IF($C186="","",$M186*$H186),"Non Trouvé")</f>
        <v/>
      </c>
      <c r="P186" s="97" t="n"/>
      <c r="R186" s="95">
        <f>IFERROR(IF($C186="","",$N186*(1-$P186)),"Non Trouvé")</f>
        <v/>
      </c>
      <c r="S186" s="96" t="n"/>
      <c r="T186" s="95">
        <f>IFERROR(IF($C186="","",VLOOKUP($C186,'[1]Paramètres Articles'!$B:$H,7,FALSE)),"Non Trouvé")</f>
        <v/>
      </c>
      <c r="U186" s="98" t="n"/>
      <c r="V186" s="95">
        <f>IFERROR(IF($C186="","",IF($P186="","",$T186*(1-$P186))),"Non Trouvé")</f>
        <v/>
      </c>
      <c r="W186" s="96" t="n"/>
      <c r="X186" s="95">
        <f>IFERROR(T186-V186,"")</f>
        <v/>
      </c>
      <c r="Y186" s="96" t="n"/>
      <c r="Z186" s="95">
        <f>IFERROR(IF(OR(T186=0,T186=""),0,T186*H186),"Non Trouvé")</f>
        <v/>
      </c>
      <c r="AB186" s="99">
        <f>AB184</f>
        <v/>
      </c>
      <c r="AC186" s="99">
        <f>AC184</f>
        <v/>
      </c>
      <c r="AD186" s="95">
        <f>IFERROR(IF($C186="","",IF($P$15="Cascade",$R186*(1-AC186)*AB186,IF($P$15="Additionnelle",($N186-($N186*($P186+AC186)))*AB186))),"Non Trouvé")</f>
        <v/>
      </c>
      <c r="AG186" s="99">
        <f>AG184</f>
        <v/>
      </c>
      <c r="AH186" s="99">
        <f>AH184</f>
        <v/>
      </c>
      <c r="AI186" s="95">
        <f>IFERROR(IF($C186="","",IF($P$15="Cascade",$R186*(1-AH186)*AG186,IF($P$15="Additionnelle",($N186-($N186*($P186+AH186)))*AG186))),"Non Trouvé")</f>
        <v/>
      </c>
      <c r="AL186" s="99">
        <f>AL184</f>
        <v/>
      </c>
      <c r="AM186" s="99">
        <f>AM184</f>
        <v/>
      </c>
      <c r="AN186" s="95">
        <f>IFERROR(IF($C186="","",IF($P$15="Cascade",$R186*(1-AM186)*AL186,IF($P$15="Additionnelle",($N186-($N186*($P186+AM186)))*AL186))),"Non Trouvé")</f>
        <v/>
      </c>
      <c r="AQ186" s="99">
        <f>AQ184</f>
        <v/>
      </c>
      <c r="AR186" s="99">
        <f>AR184</f>
        <v/>
      </c>
      <c r="AS186" s="95">
        <f>IFERROR(IF($C186="","",IF($P$15="Cascade",$R186*(1-AR186)*AQ186,IF($P$15="Additionnelle",($N186-($N186*($P186+AR186)))*AQ186))),"Non Trouvé")</f>
        <v/>
      </c>
      <c r="AV186" s="99">
        <f>AV184</f>
        <v/>
      </c>
      <c r="AW186" s="99">
        <f>AW184</f>
        <v/>
      </c>
      <c r="AX186" s="95">
        <f>IFERROR(IF($C186="","",IF($P$15="Cascade",$R186*(1-AW186)*AV186,IF($P$15="Additionnelle",($N186-($N186*($P186+AW186)))*AV186))),"Non Trouvé")</f>
        <v/>
      </c>
      <c r="BA186" s="99">
        <f>BA184</f>
        <v/>
      </c>
      <c r="BB186" s="99">
        <f>BB184</f>
        <v/>
      </c>
      <c r="BC186" s="95">
        <f>IFERROR(IF($C186="","",IF($P$15="Cascade",$R186*(1-BB186)*BA186,IF($P$15="Additionnelle",($N186-($N186*($P186+BB186)))*BA186))),"Non Trouvé")</f>
        <v/>
      </c>
      <c r="BF186" s="99">
        <f>BF184</f>
        <v/>
      </c>
      <c r="BG186" s="99">
        <f>BG184</f>
        <v/>
      </c>
      <c r="BH186" s="95">
        <f>IFERROR(IF($C186="","",IF($P$15="Cascade",$R186*(1-BG186)*BF186,IF($P$15="Additionnelle",($N186-($N186*($P186+BG186)))*BF186))),"Non Trouvé")</f>
        <v/>
      </c>
      <c r="BK186" s="99">
        <f>BK184</f>
        <v/>
      </c>
      <c r="BL186" s="99">
        <f>BL184</f>
        <v/>
      </c>
      <c r="BM186" s="95">
        <f>IFERROR(IF($C186="","",IF($P$15="Cascade",$R186*(1-BL186)*BK186,IF($P$15="Additionnelle",($N186-($N186*($P186+BL186)))*BK186))),"Non Trouvé")</f>
        <v/>
      </c>
      <c r="BP186" s="99">
        <f>BP184</f>
        <v/>
      </c>
      <c r="BQ186" s="99">
        <f>BQ184</f>
        <v/>
      </c>
      <c r="BR186" s="95">
        <f>IFERROR(IF($C186="","",IF($P$15="Cascade",$R186*(1-BQ186)*BP186,IF($P$15="Additionnelle",($N186-($N186*($P186+BQ186)))*BP186))),"Non Trouvé")</f>
        <v/>
      </c>
      <c r="BU186" s="99">
        <f>BU184</f>
        <v/>
      </c>
      <c r="BV186" s="99">
        <f>BV184</f>
        <v/>
      </c>
      <c r="BW186" s="95">
        <f>IFERROR(IF($C186="","",IF($P$15="Cascade",$R186*(1-BV186)*BU186,IF($P$15="Additionnelle",($N186-($N186*($P186+BV186)))*BU186))),"Non Trouvé")</f>
        <v/>
      </c>
      <c r="BZ186" s="99">
        <f>BZ184</f>
        <v/>
      </c>
      <c r="CA186" s="99">
        <f>CA184</f>
        <v/>
      </c>
      <c r="CB186" s="95">
        <f>IFERROR(IF($C186="","",IF($P$15="Cascade",$R186*(1-CA186)*BZ186,IF($P$15="Additionnelle",($N186-($N186*($P186+CA186)))*BZ186))),"Non Trouvé")</f>
        <v/>
      </c>
      <c r="CE186" s="100" t="n"/>
      <c r="CF186" s="101" t="n"/>
      <c r="CG186" s="133" t="inlineStr">
        <is>
          <t>Institut</t>
        </is>
      </c>
      <c r="CH186" s="101" t="n"/>
      <c r="CI186" s="103" t="n"/>
      <c r="CK186" s="104">
        <f>IFERROR(IF(F186='[1]Paramètres Généraux'!$K$12,ROUNDUP((REGENERANTS!H186*REGENERANTS!$CF$166)*'[1]Paramètres Généraux'!$M$12,-1),REGENERANTS!H186*REGENERANTS!$CF$166),"nd")</f>
        <v/>
      </c>
      <c r="CN186" s="105" t="n"/>
      <c r="CO186" s="106" t="n"/>
      <c r="CP186" s="106" t="n"/>
      <c r="CQ186" s="106" t="n"/>
      <c r="CR186" s="106" t="n"/>
      <c r="CS186" s="178" t="n"/>
      <c r="CT186" s="179" t="n"/>
      <c r="CU186" s="106" t="n"/>
      <c r="CV186" s="178" t="n"/>
      <c r="CW186" s="111" t="n"/>
      <c r="CX186" s="112" t="n"/>
      <c r="CY186" s="111" t="n"/>
      <c r="CZ186" s="109" t="n"/>
      <c r="DA186" s="112" t="n"/>
      <c r="DB186" s="111" t="n"/>
      <c r="DC186" s="109" t="n"/>
      <c r="DD186" s="112" t="n"/>
      <c r="DE186" s="111" t="n"/>
      <c r="DF186" s="109" t="n"/>
      <c r="DG186" s="109" t="n"/>
      <c r="DH186" s="109" t="n"/>
      <c r="DI186" s="109" t="n"/>
      <c r="DJ186" s="109" t="n"/>
      <c r="DK186" s="109" t="n"/>
      <c r="DL186" s="109" t="n"/>
      <c r="DM186" s="109" t="n"/>
      <c r="DN186" s="109" t="n"/>
      <c r="DO186" s="112" t="n"/>
      <c r="DP186" s="111" t="n"/>
      <c r="DQ186" s="20">
        <f>SUM(CN186:DP186)</f>
        <v/>
      </c>
      <c r="DR186" s="20">
        <f>SUM(CV186:DP186)</f>
        <v/>
      </c>
      <c r="DS186" s="20">
        <f>IFERROR((IF(AND($F186="Produit Vente",CO186&gt;0),VLOOKUP($C186,'[1]Paramètres Articles'!$B:$H,7,FALSE)*$CO186)*(1-20%)),0)</f>
        <v/>
      </c>
      <c r="DT186" s="20">
        <f>IFERROR((IF(AND($F186="Produit Vente",DR186&gt;0),VLOOKUP($C186,'[1]Paramètres Articles'!$B:$H,6,FALSE)*$DR186)*(1-15%)),0)</f>
        <v/>
      </c>
    </row>
    <row r="187" hidden="1" outlineLevel="1" collapsed="1" ht="12.95" customHeight="1">
      <c r="B187" s="1">
        <f>IF(C187="",0,COUNTIFS($B$22:B186,"&gt;"&amp;0)+1)</f>
        <v/>
      </c>
      <c r="C187" s="90" t="inlineStr">
        <is>
          <t>SR REGE INSTITUT</t>
        </is>
      </c>
      <c r="D187" s="91">
        <f>IFERROR(IF($C187="","",VLOOKUP($C187,'[1]Paramètres Articles'!$B:$G,2,FALSE)),"Non Trouvé")</f>
        <v/>
      </c>
      <c r="E187" s="92">
        <f>IFERROR(IF($C187="","",_xlfn.XLOOKUP(REGENERANTS!$C187,'[1]New Base PA'!$F:$F,'[1]New Base PA'!$D:$D,"Not Found",0)),"Non Trouvé")</f>
        <v/>
      </c>
      <c r="F187" s="93" t="inlineStr">
        <is>
          <t>PLV (PDC ou autre)</t>
        </is>
      </c>
      <c r="H187" s="106" t="n">
        <v>0</v>
      </c>
      <c r="J187" s="95">
        <f>IFERROR(IF($C187="","",VLOOKUP($C187,'[1]New Base PA'!$F:$J,5,FALSE)),"Non Trouvé")</f>
        <v/>
      </c>
      <c r="K187" s="136">
        <f>IFERROR(IF($C187="","",$J187*$H187),"Non Trouvé")</f>
        <v/>
      </c>
      <c r="L187" s="137" t="n"/>
      <c r="M187" s="95">
        <f>IFERROR(IF(AND($F187="Produit Vente",H187&gt;0),VLOOKUP($C187,'[1]Paramètres Articles'!$B:$G,6,FALSE),0),"Non Trouvé")</f>
        <v/>
      </c>
      <c r="N187" s="95">
        <f>IFERROR(IF($C187="","",$M187*$H187),"Non Trouvé")</f>
        <v/>
      </c>
      <c r="P187" s="97" t="n"/>
      <c r="R187" s="95">
        <f>IFERROR(IF($C187="","",$N187*(1-$P187)),"Non Trouvé")</f>
        <v/>
      </c>
      <c r="S187" s="96" t="n"/>
      <c r="T187" s="95">
        <f>IFERROR(IF($C187="","",VLOOKUP($C187,'[1]Paramètres Articles'!$B:$H,7,FALSE)),"Non Trouvé")</f>
        <v/>
      </c>
      <c r="U187" s="98" t="n"/>
      <c r="V187" s="95">
        <f>IFERROR(IF($C187="","",IF($P187="","",$T187*(1-$P187))),"Non Trouvé")</f>
        <v/>
      </c>
      <c r="W187" s="96" t="n"/>
      <c r="X187" s="95">
        <f>IFERROR(T187-V187,"")</f>
        <v/>
      </c>
      <c r="Y187" s="96" t="n"/>
      <c r="Z187" s="95">
        <f>IFERROR(IF(OR(T187=0,T187=""),0,T187*H187),"Non Trouvé")</f>
        <v/>
      </c>
      <c r="AB187" s="99">
        <f>AB186</f>
        <v/>
      </c>
      <c r="AC187" s="99">
        <f>AC186</f>
        <v/>
      </c>
      <c r="AD187" s="95">
        <f>IFERROR(IF($C187="","",IF($P$15="Cascade",$R187*(1-AC187)*AB187,IF($P$15="Additionnelle",($N187-($N187*($P187+AC187)))*AB187))),"Non Trouvé")</f>
        <v/>
      </c>
      <c r="AG187" s="99">
        <f>AG186</f>
        <v/>
      </c>
      <c r="AH187" s="99">
        <f>AH186</f>
        <v/>
      </c>
      <c r="AI187" s="95">
        <f>IFERROR(IF($C187="","",IF($P$15="Cascade",$R187*(1-AH187)*AG187,IF($P$15="Additionnelle",($N187-($N187*($P187+AH187)))*AG187))),"Non Trouvé")</f>
        <v/>
      </c>
      <c r="AL187" s="99">
        <f>AL186</f>
        <v/>
      </c>
      <c r="AM187" s="99">
        <f>AM186</f>
        <v/>
      </c>
      <c r="AN187" s="95">
        <f>IFERROR(IF($C187="","",IF($P$15="Cascade",$R187*(1-AM187)*AL187,IF($P$15="Additionnelle",($N187-($N187*($P187+AM187)))*AL187))),"Non Trouvé")</f>
        <v/>
      </c>
      <c r="AQ187" s="99">
        <f>AQ186</f>
        <v/>
      </c>
      <c r="AR187" s="99">
        <f>AR186</f>
        <v/>
      </c>
      <c r="AS187" s="95">
        <f>IFERROR(IF($C187="","",IF($P$15="Cascade",$R187*(1-AR187)*AQ187,IF($P$15="Additionnelle",($N187-($N187*($P187+AR187)))*AQ187))),"Non Trouvé")</f>
        <v/>
      </c>
      <c r="AV187" s="99">
        <f>AV186</f>
        <v/>
      </c>
      <c r="AW187" s="99">
        <f>AW186</f>
        <v/>
      </c>
      <c r="AX187" s="95">
        <f>IFERROR(IF($C187="","",IF($P$15="Cascade",$R187*(1-AW187)*AV187,IF($P$15="Additionnelle",($N187-($N187*($P187+AW187)))*AV187))),"Non Trouvé")</f>
        <v/>
      </c>
      <c r="BA187" s="99">
        <f>BA186</f>
        <v/>
      </c>
      <c r="BB187" s="99">
        <f>BB186</f>
        <v/>
      </c>
      <c r="BC187" s="95">
        <f>IFERROR(IF($C187="","",IF($P$15="Cascade",$R187*(1-BB187)*BA187,IF($P$15="Additionnelle",($N187-($N187*($P187+BB187)))*BA187))),"Non Trouvé")</f>
        <v/>
      </c>
      <c r="BF187" s="99">
        <f>BF186</f>
        <v/>
      </c>
      <c r="BG187" s="99">
        <f>BG186</f>
        <v/>
      </c>
      <c r="BH187" s="95">
        <f>IFERROR(IF($C187="","",IF($P$15="Cascade",$R187*(1-BG187)*BF187,IF($P$15="Additionnelle",($N187-($N187*($P187+BG187)))*BF187))),"Non Trouvé")</f>
        <v/>
      </c>
      <c r="BK187" s="99">
        <f>BK186</f>
        <v/>
      </c>
      <c r="BL187" s="99">
        <f>BL186</f>
        <v/>
      </c>
      <c r="BM187" s="95">
        <f>IFERROR(IF($C187="","",IF($P$15="Cascade",$R187*(1-BL187)*BK187,IF($P$15="Additionnelle",($N187-($N187*($P187+BL187)))*BK187))),"Non Trouvé")</f>
        <v/>
      </c>
      <c r="BP187" s="99">
        <f>BP186</f>
        <v/>
      </c>
      <c r="BQ187" s="99">
        <f>BQ186</f>
        <v/>
      </c>
      <c r="BR187" s="95">
        <f>IFERROR(IF($C187="","",IF($P$15="Cascade",$R187*(1-BQ187)*BP187,IF($P$15="Additionnelle",($N187-($N187*($P187+BQ187)))*BP187))),"Non Trouvé")</f>
        <v/>
      </c>
      <c r="BU187" s="99">
        <f>BU186</f>
        <v/>
      </c>
      <c r="BV187" s="99">
        <f>BV186</f>
        <v/>
      </c>
      <c r="BW187" s="95">
        <f>IFERROR(IF($C187="","",IF($P$15="Cascade",$R187*(1-BV187)*BU187,IF($P$15="Additionnelle",($N187-($N187*($P187+BV187)))*BU187))),"Non Trouvé")</f>
        <v/>
      </c>
      <c r="BZ187" s="99">
        <f>BZ186</f>
        <v/>
      </c>
      <c r="CA187" s="99">
        <f>CA186</f>
        <v/>
      </c>
      <c r="CB187" s="95">
        <f>IFERROR(IF($C187="","",IF($P$15="Cascade",$R187*(1-CA187)*BZ187,IF($P$15="Additionnelle",($N187-($N187*($P187+CA187)))*BZ187))),"Non Trouvé")</f>
        <v/>
      </c>
      <c r="CE187" s="100" t="n"/>
      <c r="CF187" s="101" t="n"/>
      <c r="CG187" s="102" t="inlineStr">
        <is>
          <t>Nbrs Offres planifiées</t>
        </is>
      </c>
      <c r="CH187" s="138">
        <f>SUMIFS($AV166:$BX166,$AV163:$BX163,CG187)</f>
        <v/>
      </c>
      <c r="CI187" s="103" t="n"/>
      <c r="CK187" s="104">
        <f>IFERROR(IF(F187='[1]Paramètres Généraux'!$K$12,ROUNDUP((REGENERANTS!H187*REGENERANTS!$CF$166)*'[1]Paramètres Généraux'!$M$12,-1),REGENERANTS!H187*REGENERANTS!$CF$166),"nd")</f>
        <v/>
      </c>
      <c r="CN187" s="153" t="n"/>
      <c r="CO187" s="154" t="n"/>
      <c r="CP187" s="154" t="n"/>
      <c r="CQ187" s="154" t="n"/>
      <c r="CR187" s="154" t="n"/>
      <c r="CS187" s="180" t="n"/>
      <c r="CT187" s="181" t="n"/>
      <c r="CU187" s="154" t="n"/>
      <c r="CV187" s="180" t="n"/>
      <c r="CW187" s="157" t="n"/>
      <c r="CX187" s="156" t="n"/>
      <c r="CY187" s="157" t="n"/>
      <c r="CZ187" s="143" t="n"/>
      <c r="DA187" s="156" t="n"/>
      <c r="DB187" s="157" t="n"/>
      <c r="DC187" s="143" t="n"/>
      <c r="DD187" s="156" t="n"/>
      <c r="DE187" s="157" t="n"/>
      <c r="DF187" s="143" t="n"/>
      <c r="DG187" s="143" t="n"/>
      <c r="DH187" s="143" t="n"/>
      <c r="DI187" s="143" t="n"/>
      <c r="DJ187" s="143" t="n"/>
      <c r="DK187" s="143" t="n"/>
      <c r="DL187" s="143" t="n"/>
      <c r="DM187" s="143" t="n"/>
      <c r="DN187" s="143" t="n"/>
      <c r="DO187" s="156" t="n"/>
      <c r="DP187" s="157" t="n"/>
      <c r="DQ187" s="20">
        <f>SUM(CN187:DP187)</f>
        <v/>
      </c>
      <c r="DR187" s="20">
        <f>SUM(CV187:DP187)</f>
        <v/>
      </c>
      <c r="DS187" s="20">
        <f>IFERROR((IF(AND($F187="Produit Vente",CO187&gt;0),VLOOKUP($C187,'[1]Paramètres Articles'!$B:$H,7,FALSE)*$CO187)*(1-20%)),0)</f>
        <v/>
      </c>
      <c r="DT187" s="20">
        <f>IFERROR((IF(AND($F187="Produit Vente",DR187&gt;0),VLOOKUP($C187,'[1]Paramètres Articles'!$B:$H,6,FALSE)*$DR187)*(1-15%)),0)</f>
        <v/>
      </c>
    </row>
    <row r="188" hidden="1" outlineLevel="1" collapsed="1" ht="12.95" customHeight="1">
      <c r="B188" s="1">
        <f>IF(C188="",0,COUNTIFS($B$22:B187,"&gt;"&amp;0)+1)</f>
        <v/>
      </c>
      <c r="C188" s="90" t="n">
        <v>1010116</v>
      </c>
      <c r="D188" s="91">
        <f>IFERROR(IF($C188="","",VLOOKUP($C188,'[1]Paramètres Articles'!$B:$G,2,FALSE)),"Non Trouvé")</f>
        <v/>
      </c>
      <c r="E188" s="92">
        <f>IFERROR(IF($C188="","",_xlfn.XLOOKUP(REGENERANTS!$C188,'[1]New Base PA'!$F:$F,'[1]New Base PA'!$D:$D,"Not Found",0)),"Non Trouvé")</f>
        <v/>
      </c>
      <c r="F188" s="93" t="inlineStr">
        <is>
          <t>UG</t>
        </is>
      </c>
      <c r="H188" s="106" t="n">
        <v>25</v>
      </c>
      <c r="J188" s="95">
        <f>IFERROR(IF($C188="","",VLOOKUP($C188,'[1]New Base PA'!$F:$J,5,FALSE)),"Non Trouvé")</f>
        <v/>
      </c>
      <c r="K188" s="136">
        <f>IFERROR(IF($C188="","",$J188*$H188),"Non Trouvé")</f>
        <v/>
      </c>
      <c r="L188" s="137" t="n"/>
      <c r="M188" s="95">
        <f>IFERROR(IF(AND($F188="Produit Vente",H188&gt;0),VLOOKUP($C188,'[1]Paramètres Articles'!$B:$G,6,FALSE),0),"Non Trouvé")</f>
        <v/>
      </c>
      <c r="N188" s="95">
        <f>IFERROR(IF($C188="","",$M188*$H188),"Non Trouvé")</f>
        <v/>
      </c>
      <c r="P188" s="97" t="n"/>
      <c r="R188" s="95">
        <f>IFERROR(IF($C188="","",$N188*(1-$P188)),"Non Trouvé")</f>
        <v/>
      </c>
      <c r="S188" s="96" t="n"/>
      <c r="T188" s="95">
        <f>IFERROR(IF($C188="","",VLOOKUP($C188,'[1]Paramètres Articles'!$B:$H,7,FALSE)),"Non Trouvé")</f>
        <v/>
      </c>
      <c r="U188" s="98" t="n"/>
      <c r="V188" s="95">
        <f>IFERROR(IF($C188="","",IF($P188="","",$T188*(1-$P188))),"Non Trouvé")</f>
        <v/>
      </c>
      <c r="W188" s="96" t="n"/>
      <c r="X188" s="95">
        <f>IFERROR(T188-V188,"")</f>
        <v/>
      </c>
      <c r="Y188" s="96" t="n"/>
      <c r="Z188" s="95">
        <f>IFERROR(IF(OR(T188=0,T188=""),0,T188*H188),"Non Trouvé")</f>
        <v/>
      </c>
      <c r="AB188" s="99">
        <f>AB186</f>
        <v/>
      </c>
      <c r="AC188" s="99">
        <f>AC186</f>
        <v/>
      </c>
      <c r="AD188" s="95">
        <f>IFERROR(IF($C188="","",IF($P$15="Cascade",$R188*(1-AC188)*AB188,IF($P$15="Additionnelle",($N188-($N188*($P188+AC188)))*AB188))),"Non Trouvé")</f>
        <v/>
      </c>
      <c r="AG188" s="99">
        <f>AG186</f>
        <v/>
      </c>
      <c r="AH188" s="99">
        <f>AH186</f>
        <v/>
      </c>
      <c r="AI188" s="95">
        <f>IFERROR(IF($C188="","",IF($P$15="Cascade",$R188*(1-AH188)*AG188,IF($P$15="Additionnelle",($N188-($N188*($P188+AH188)))*AG188))),"Non Trouvé")</f>
        <v/>
      </c>
      <c r="AL188" s="99">
        <f>AL186</f>
        <v/>
      </c>
      <c r="AM188" s="99">
        <f>AM186</f>
        <v/>
      </c>
      <c r="AN188" s="95">
        <f>IFERROR(IF($C188="","",IF($P$15="Cascade",$R188*(1-AM188)*AL188,IF($P$15="Additionnelle",($N188-($N188*($P188+AM188)))*AL188))),"Non Trouvé")</f>
        <v/>
      </c>
      <c r="AQ188" s="99">
        <f>AQ186</f>
        <v/>
      </c>
      <c r="AR188" s="99">
        <f>AR186</f>
        <v/>
      </c>
      <c r="AS188" s="95">
        <f>IFERROR(IF($C188="","",IF($P$15="Cascade",$R188*(1-AR188)*AQ188,IF($P$15="Additionnelle",($N188-($N188*($P188+AR188)))*AQ188))),"Non Trouvé")</f>
        <v/>
      </c>
      <c r="AV188" s="99">
        <f>AV186</f>
        <v/>
      </c>
      <c r="AW188" s="99">
        <f>AW186</f>
        <v/>
      </c>
      <c r="AX188" s="95">
        <f>IFERROR(IF($C188="","",IF($P$15="Cascade",$R188*(1-AW188)*AV188,IF($P$15="Additionnelle",($N188-($N188*($P188+AW188)))*AV188))),"Non Trouvé")</f>
        <v/>
      </c>
      <c r="BA188" s="99">
        <f>BA186</f>
        <v/>
      </c>
      <c r="BB188" s="99">
        <f>BB186</f>
        <v/>
      </c>
      <c r="BC188" s="95">
        <f>IFERROR(IF($C188="","",IF($P$15="Cascade",$R188*(1-BB188)*BA188,IF($P$15="Additionnelle",($N188-($N188*($P188+BB188)))*BA188))),"Non Trouvé")</f>
        <v/>
      </c>
      <c r="BF188" s="99">
        <f>BF186</f>
        <v/>
      </c>
      <c r="BG188" s="99">
        <f>BG186</f>
        <v/>
      </c>
      <c r="BH188" s="95">
        <f>IFERROR(IF($C188="","",IF($P$15="Cascade",$R188*(1-BG188)*BF188,IF($P$15="Additionnelle",($N188-($N188*($P188+BG188)))*BF188))),"Non Trouvé")</f>
        <v/>
      </c>
      <c r="BK188" s="99">
        <f>BK186</f>
        <v/>
      </c>
      <c r="BL188" s="99">
        <f>BL186</f>
        <v/>
      </c>
      <c r="BM188" s="95">
        <f>IFERROR(IF($C188="","",IF($P$15="Cascade",$R188*(1-BL188)*BK188,IF($P$15="Additionnelle",($N188-($N188*($P188+BL188)))*BK188))),"Non Trouvé")</f>
        <v/>
      </c>
      <c r="BP188" s="99">
        <f>BP186</f>
        <v/>
      </c>
      <c r="BQ188" s="99">
        <f>BQ186</f>
        <v/>
      </c>
      <c r="BR188" s="95">
        <f>IFERROR(IF($C188="","",IF($P$15="Cascade",$R188*(1-BQ188)*BP188,IF($P$15="Additionnelle",($N188-($N188*($P188+BQ188)))*BP188))),"Non Trouvé")</f>
        <v/>
      </c>
      <c r="BU188" s="99">
        <f>BU186</f>
        <v/>
      </c>
      <c r="BV188" s="99">
        <f>BV186</f>
        <v/>
      </c>
      <c r="BW188" s="95">
        <f>IFERROR(IF($C188="","",IF($P$15="Cascade",$R188*(1-BV188)*BU188,IF($P$15="Additionnelle",($N188-($N188*($P188+BV188)))*BU188))),"Non Trouvé")</f>
        <v/>
      </c>
      <c r="BZ188" s="99">
        <f>BZ186</f>
        <v/>
      </c>
      <c r="CA188" s="99">
        <f>CA186</f>
        <v/>
      </c>
      <c r="CB188" s="95">
        <f>IFERROR(IF($C188="","",IF($P$15="Cascade",$R188*(1-CA188)*BZ188,IF($P$15="Additionnelle",($N188-($N188*($P188+CA188)))*BZ188))),"Non Trouvé")</f>
        <v/>
      </c>
      <c r="CE188" s="100" t="n"/>
      <c r="CF188" s="101" t="n"/>
      <c r="CG188" s="102" t="inlineStr">
        <is>
          <t>CA</t>
        </is>
      </c>
      <c r="CH188" s="139">
        <f>SUMIFS($AV166:$BX166,$AV163:$BX163,CG188)</f>
        <v/>
      </c>
      <c r="CI188" s="103" t="n"/>
      <c r="CK188" s="104">
        <f>IFERROR(IF(F188='[1]Paramètres Généraux'!$K$12,ROUNDUP((REGENERANTS!H188*REGENERANTS!$CF$166)*'[1]Paramètres Généraux'!$M$12,-1),REGENERANTS!H188*REGENERANTS!$CF$166),"nd")</f>
        <v/>
      </c>
      <c r="CN188" s="153" t="n"/>
      <c r="CO188" s="154" t="n"/>
      <c r="CP188" s="154" t="n"/>
      <c r="CQ188" s="154" t="n"/>
      <c r="CR188" s="154" t="n"/>
      <c r="CS188" s="180" t="n"/>
      <c r="CT188" s="181" t="n"/>
      <c r="CU188" s="154" t="n"/>
      <c r="CV188" s="180" t="n"/>
      <c r="CW188" s="157" t="n"/>
      <c r="CX188" s="156" t="n"/>
      <c r="CY188" s="157" t="n"/>
      <c r="CZ188" s="143" t="n"/>
      <c r="DA188" s="156" t="n"/>
      <c r="DB188" s="157" t="n"/>
      <c r="DC188" s="143" t="n"/>
      <c r="DD188" s="156" t="n"/>
      <c r="DE188" s="157" t="n"/>
      <c r="DF188" s="143" t="n"/>
      <c r="DG188" s="143" t="n"/>
      <c r="DH188" s="143" t="n"/>
      <c r="DI188" s="143" t="n"/>
      <c r="DJ188" s="143" t="n"/>
      <c r="DK188" s="143" t="n"/>
      <c r="DL188" s="143" t="n"/>
      <c r="DM188" s="143" t="n"/>
      <c r="DN188" s="143" t="n"/>
      <c r="DO188" s="156" t="n"/>
      <c r="DP188" s="157" t="n"/>
      <c r="DQ188" s="20">
        <f>SUM(CN188:DP188)</f>
        <v/>
      </c>
      <c r="DR188" s="20">
        <f>SUM(CV188:DP188)</f>
        <v/>
      </c>
      <c r="DS188" s="20">
        <f>IFERROR((IF(AND($F188="Produit Vente",CO188&gt;0),VLOOKUP($C188,'[1]Paramètres Articles'!$B:$H,7,FALSE)*$CO188)*(1-20%)),0)</f>
        <v/>
      </c>
      <c r="DT188" s="20">
        <f>IFERROR((IF(AND($F188="Produit Vente",DR188&gt;0),VLOOKUP($C188,'[1]Paramètres Articles'!$B:$H,6,FALSE)*$DR188)*(1-15%)),0)</f>
        <v/>
      </c>
    </row>
    <row r="189" hidden="1" outlineLevel="1" collapsed="1" ht="12.95" customHeight="1">
      <c r="B189" s="1">
        <f>IF(C189="",0,COUNTIFS($B$22:B188,"&gt;"&amp;0)+1)</f>
        <v/>
      </c>
      <c r="C189" s="90" t="n"/>
      <c r="D189" s="91">
        <f>IFERROR(IF($C189="","",VLOOKUP($C189,'[1]Paramètres Articles'!$B:$G,2,FALSE)),"Non Trouvé")</f>
        <v/>
      </c>
      <c r="E189" s="92">
        <f>IFERROR(IF($C189="","",_xlfn.XLOOKUP(REGENERANTS!$C189,'[1]New Base PA'!$F:$F,'[1]New Base PA'!$D:$D,"Not Found",0)),"Non Trouvé")</f>
        <v/>
      </c>
      <c r="F189" s="93" t="n"/>
      <c r="H189" s="106" t="n"/>
      <c r="J189" s="95">
        <f>IFERROR(IF($C189="","",VLOOKUP($C189,'[1]New Base PA'!$F:$J,5,FALSE)),"Non Trouvé")</f>
        <v/>
      </c>
      <c r="K189" s="136">
        <f>IFERROR(IF($C189="","",$J189*$H189),"Non Trouvé")</f>
        <v/>
      </c>
      <c r="L189" s="137" t="n"/>
      <c r="M189" s="95">
        <f>IFERROR(IF(AND($F189="Produit Vente",H189&gt;0),VLOOKUP($C189,'[1]Paramètres Articles'!$B:$G,6,FALSE),0),"Non Trouvé")</f>
        <v/>
      </c>
      <c r="N189" s="95">
        <f>IFERROR(IF($C189="","",$M189*$H189),"Non Trouvé")</f>
        <v/>
      </c>
      <c r="P189" s="97" t="n"/>
      <c r="R189" s="95">
        <f>IFERROR(IF($C189="","",$N189*(1-$P189)),"Non Trouvé")</f>
        <v/>
      </c>
      <c r="S189" s="96" t="n"/>
      <c r="T189" s="95">
        <f>IFERROR(IF($C189="","",VLOOKUP($C189,'[1]Paramètres Articles'!$B:$H,7,FALSE)),"Non Trouvé")</f>
        <v/>
      </c>
      <c r="U189" s="98" t="n"/>
      <c r="V189" s="95">
        <f>IFERROR(IF($C189="","",IF($P189="","",$T189*(1-$P189))),"Non Trouvé")</f>
        <v/>
      </c>
      <c r="W189" s="96" t="n"/>
      <c r="X189" s="95">
        <f>IFERROR(T189-V189,"")</f>
        <v/>
      </c>
      <c r="Y189" s="96" t="n"/>
      <c r="Z189" s="95">
        <f>IFERROR(IF(OR(T189=0,T189=""),0,T189*H189),"Non Trouvé")</f>
        <v/>
      </c>
      <c r="AB189" s="99">
        <f>AB188</f>
        <v/>
      </c>
      <c r="AC189" s="99">
        <f>AC188</f>
        <v/>
      </c>
      <c r="AD189" s="95">
        <f>IFERROR(IF($C189="","",IF($P$15="Cascade",$R189*(1-AC189)*AB189,IF($P$15="Additionnelle",($N189-($N189*($P189+AC189)))*AB189))),"Non Trouvé")</f>
        <v/>
      </c>
      <c r="AG189" s="99">
        <f>AG188</f>
        <v/>
      </c>
      <c r="AH189" s="99">
        <f>AH188</f>
        <v/>
      </c>
      <c r="AI189" s="95">
        <f>IFERROR(IF($C189="","",IF($P$15="Cascade",$R189*(1-AH189)*AG189,IF($P$15="Additionnelle",($N189-($N189*($P189+AH189)))*AG189))),"Non Trouvé")</f>
        <v/>
      </c>
      <c r="AL189" s="99">
        <f>AL188</f>
        <v/>
      </c>
      <c r="AM189" s="99">
        <f>AM188</f>
        <v/>
      </c>
      <c r="AN189" s="95">
        <f>IFERROR(IF($C189="","",IF($P$15="Cascade",$R189*(1-AM189)*AL189,IF($P$15="Additionnelle",($N189-($N189*($P189+AM189)))*AL189))),"Non Trouvé")</f>
        <v/>
      </c>
      <c r="AQ189" s="99">
        <f>AQ188</f>
        <v/>
      </c>
      <c r="AR189" s="99">
        <f>AR188</f>
        <v/>
      </c>
      <c r="AS189" s="95">
        <f>IFERROR(IF($C189="","",IF($P$15="Cascade",$R189*(1-AR189)*AQ189,IF($P$15="Additionnelle",($N189-($N189*($P189+AR189)))*AQ189))),"Non Trouvé")</f>
        <v/>
      </c>
      <c r="AV189" s="99">
        <f>AV188</f>
        <v/>
      </c>
      <c r="AW189" s="99">
        <f>AW188</f>
        <v/>
      </c>
      <c r="AX189" s="95">
        <f>IFERROR(IF($C189="","",IF($P$15="Cascade",$R189*(1-AW189)*AV189,IF($P$15="Additionnelle",($N189-($N189*($P189+AW189)))*AV189))),"Non Trouvé")</f>
        <v/>
      </c>
      <c r="BA189" s="99">
        <f>BA188</f>
        <v/>
      </c>
      <c r="BB189" s="99">
        <f>BB188</f>
        <v/>
      </c>
      <c r="BC189" s="95">
        <f>IFERROR(IF($C189="","",IF($P$15="Cascade",$R189*(1-BB189)*BA189,IF($P$15="Additionnelle",($N189-($N189*($P189+BB189)))*BA189))),"Non Trouvé")</f>
        <v/>
      </c>
      <c r="BF189" s="99">
        <f>BF188</f>
        <v/>
      </c>
      <c r="BG189" s="99">
        <f>BG188</f>
        <v/>
      </c>
      <c r="BH189" s="95">
        <f>IFERROR(IF($C189="","",IF($P$15="Cascade",$R189*(1-BG189)*BF189,IF($P$15="Additionnelle",($N189-($N189*($P189+BG189)))*BF189))),"Non Trouvé")</f>
        <v/>
      </c>
      <c r="BK189" s="99">
        <f>BK188</f>
        <v/>
      </c>
      <c r="BL189" s="99">
        <f>BL188</f>
        <v/>
      </c>
      <c r="BM189" s="95">
        <f>IFERROR(IF($C189="","",IF($P$15="Cascade",$R189*(1-BL189)*BK189,IF($P$15="Additionnelle",($N189-($N189*($P189+BL189)))*BK189))),"Non Trouvé")</f>
        <v/>
      </c>
      <c r="BP189" s="99">
        <f>BP188</f>
        <v/>
      </c>
      <c r="BQ189" s="99">
        <f>BQ188</f>
        <v/>
      </c>
      <c r="BR189" s="95">
        <f>IFERROR(IF($C189="","",IF($P$15="Cascade",$R189*(1-BQ189)*BP189,IF($P$15="Additionnelle",($N189-($N189*($P189+BQ189)))*BP189))),"Non Trouvé")</f>
        <v/>
      </c>
      <c r="BU189" s="99">
        <f>BU188</f>
        <v/>
      </c>
      <c r="BV189" s="99">
        <f>BV188</f>
        <v/>
      </c>
      <c r="BW189" s="95">
        <f>IFERROR(IF($C189="","",IF($P$15="Cascade",$R189*(1-BV189)*BU189,IF($P$15="Additionnelle",($N189-($N189*($P189+BV189)))*BU189))),"Non Trouvé")</f>
        <v/>
      </c>
      <c r="BZ189" s="99">
        <f>BZ188</f>
        <v/>
      </c>
      <c r="CA189" s="99">
        <f>CA188</f>
        <v/>
      </c>
      <c r="CB189" s="95">
        <f>IFERROR(IF($C189="","",IF($P$15="Cascade",$R189*(1-CA189)*BZ189,IF($P$15="Additionnelle",($N189-($N189*($P189+CA189)))*BZ189))),"Non Trouvé")</f>
        <v/>
      </c>
      <c r="CE189" s="100" t="n"/>
      <c r="CF189" s="101" t="n"/>
      <c r="CG189" s="102" t="inlineStr">
        <is>
          <t>Marges</t>
        </is>
      </c>
      <c r="CH189" s="142">
        <f>IFERROR((CH188-$K166*CH187)/CH188,"Non Trouvé")</f>
        <v/>
      </c>
      <c r="CI189" s="103" t="n"/>
      <c r="CK189" s="104">
        <f>IFERROR(IF(F189='[1]Paramètres Généraux'!$K$12,ROUNDUP((REGENERANTS!H189*REGENERANTS!$CF$166)*'[1]Paramètres Généraux'!$M$12,-1),REGENERANTS!H189*REGENERANTS!$CF$166),"nd")</f>
        <v/>
      </c>
      <c r="CN189" s="153" t="n"/>
      <c r="CO189" s="154" t="n"/>
      <c r="CP189" s="154" t="n"/>
      <c r="CQ189" s="154" t="n"/>
      <c r="CR189" s="154" t="n"/>
      <c r="CS189" s="180" t="n"/>
      <c r="CT189" s="181" t="n"/>
      <c r="CU189" s="154" t="n"/>
      <c r="CV189" s="180" t="n"/>
      <c r="CW189" s="157" t="n"/>
      <c r="CX189" s="156" t="n"/>
      <c r="CY189" s="157" t="n"/>
      <c r="CZ189" s="143" t="n"/>
      <c r="DA189" s="156" t="n"/>
      <c r="DB189" s="157" t="n"/>
      <c r="DC189" s="143" t="n"/>
      <c r="DD189" s="156" t="n"/>
      <c r="DE189" s="157" t="n"/>
      <c r="DF189" s="143" t="n"/>
      <c r="DG189" s="143" t="n"/>
      <c r="DH189" s="143" t="n"/>
      <c r="DI189" s="143" t="n"/>
      <c r="DJ189" s="143" t="n"/>
      <c r="DK189" s="143" t="n"/>
      <c r="DL189" s="143" t="n"/>
      <c r="DM189" s="143" t="n"/>
      <c r="DN189" s="143" t="n"/>
      <c r="DO189" s="156" t="n"/>
      <c r="DP189" s="157" t="n"/>
      <c r="DQ189" s="20">
        <f>SUM(CN189:DP189)</f>
        <v/>
      </c>
      <c r="DR189" s="20">
        <f>SUM(CV189:DP189)</f>
        <v/>
      </c>
      <c r="DS189" s="20">
        <f>IFERROR((IF(AND($F189="Produit Vente",CO189&gt;0),VLOOKUP($C189,'[1]Paramètres Articles'!$B:$H,7,FALSE)*$CO189)*(1-20%)),0)</f>
        <v/>
      </c>
      <c r="DT189" s="20">
        <f>IFERROR((IF(AND($F189="Produit Vente",DR189&gt;0),VLOOKUP($C189,'[1]Paramètres Articles'!$B:$H,6,FALSE)*$DR189)*(1-15%)),0)</f>
        <v/>
      </c>
    </row>
    <row r="190" hidden="1" outlineLevel="1" collapsed="1" ht="12.95" customHeight="1">
      <c r="B190" s="1">
        <f>IF(C190="",0,COUNTIFS($B$22:B189,"&gt;"&amp;0)+1)</f>
        <v/>
      </c>
      <c r="C190" s="90" t="n"/>
      <c r="D190" s="91">
        <f>IFERROR(IF($C190="","",VLOOKUP($C190,'[1]Paramètres Articles'!$B:$G,2,FALSE)),"Non Trouvé")</f>
        <v/>
      </c>
      <c r="E190" s="92">
        <f>IFERROR(IF($C190="","",_xlfn.XLOOKUP(REGENERANTS!$C190,'[1]New Base PA'!$F:$F,'[1]New Base PA'!$D:$D,"Not Found",0)),"Non Trouvé")</f>
        <v/>
      </c>
      <c r="F190" s="93" t="n"/>
      <c r="H190" s="106" t="n"/>
      <c r="J190" s="95">
        <f>IFERROR(IF($C190="","",VLOOKUP($C190,'[1]New Base PA'!$F:$J,5,FALSE)),"Non Trouvé")</f>
        <v/>
      </c>
      <c r="K190" s="136">
        <f>IFERROR(IF($C190="","",$J190*$H190),"Non Trouvé")</f>
        <v/>
      </c>
      <c r="L190" s="137" t="n"/>
      <c r="M190" s="95">
        <f>IFERROR(IF(AND($F190="Produit Vente",H190&gt;0),VLOOKUP($C190,'[1]Paramètres Articles'!$B:$G,6,FALSE),0),"Non Trouvé")</f>
        <v/>
      </c>
      <c r="N190" s="95">
        <f>IFERROR(IF($C190="","",$M190*$H190),"Non Trouvé")</f>
        <v/>
      </c>
      <c r="P190" s="97" t="n"/>
      <c r="R190" s="95">
        <f>IFERROR(IF($C190="","",$N190*(1-$P190)),"Non Trouvé")</f>
        <v/>
      </c>
      <c r="S190" s="96" t="n"/>
      <c r="T190" s="95">
        <f>IFERROR(IF($C190="","",VLOOKUP($C190,'[1]Paramètres Articles'!$B:$H,7,FALSE)),"Non Trouvé")</f>
        <v/>
      </c>
      <c r="U190" s="98" t="n"/>
      <c r="V190" s="95">
        <f>IFERROR(IF($C190="","",IF($P190="","",$T190*(1-$P190))),"Non Trouvé")</f>
        <v/>
      </c>
      <c r="W190" s="96" t="n"/>
      <c r="X190" s="95">
        <f>IFERROR(T190-V190,"")</f>
        <v/>
      </c>
      <c r="Y190" s="96" t="n"/>
      <c r="Z190" s="95">
        <f>IFERROR(IF(OR(T190=0,T190=""),0,T190*H190),"Non Trouvé")</f>
        <v/>
      </c>
      <c r="AB190" s="99">
        <f>AB188</f>
        <v/>
      </c>
      <c r="AC190" s="99">
        <f>AC188</f>
        <v/>
      </c>
      <c r="AD190" s="95">
        <f>IFERROR(IF($C190="","",IF($P$15="Cascade",$R190*(1-AC190)*AB190,IF($P$15="Additionnelle",($N190-($N190*($P190+AC190)))*AB190))),"Non Trouvé")</f>
        <v/>
      </c>
      <c r="AG190" s="99">
        <f>AG188</f>
        <v/>
      </c>
      <c r="AH190" s="99">
        <f>AH188</f>
        <v/>
      </c>
      <c r="AI190" s="95">
        <f>IFERROR(IF($C190="","",IF($P$15="Cascade",$R190*(1-AH190)*AG190,IF($P$15="Additionnelle",($N190-($N190*($P190+AH190)))*AG190))),"Non Trouvé")</f>
        <v/>
      </c>
      <c r="AL190" s="99">
        <f>AL188</f>
        <v/>
      </c>
      <c r="AM190" s="99">
        <f>AM188</f>
        <v/>
      </c>
      <c r="AN190" s="95">
        <f>IFERROR(IF($C190="","",IF($P$15="Cascade",$R190*(1-AM190)*AL190,IF($P$15="Additionnelle",($N190-($N190*($P190+AM190)))*AL190))),"Non Trouvé")</f>
        <v/>
      </c>
      <c r="AQ190" s="99">
        <f>AQ188</f>
        <v/>
      </c>
      <c r="AR190" s="99">
        <f>AR188</f>
        <v/>
      </c>
      <c r="AS190" s="95">
        <f>IFERROR(IF($C190="","",IF($P$15="Cascade",$R190*(1-AR190)*AQ190,IF($P$15="Additionnelle",($N190-($N190*($P190+AR190)))*AQ190))),"Non Trouvé")</f>
        <v/>
      </c>
      <c r="AV190" s="99">
        <f>AV188</f>
        <v/>
      </c>
      <c r="AW190" s="99">
        <f>AW188</f>
        <v/>
      </c>
      <c r="AX190" s="95">
        <f>IFERROR(IF($C190="","",IF($P$15="Cascade",$R190*(1-AW190)*AV190,IF($P$15="Additionnelle",($N190-($N190*($P190+AW190)))*AV190))),"Non Trouvé")</f>
        <v/>
      </c>
      <c r="BA190" s="99">
        <f>BA188</f>
        <v/>
      </c>
      <c r="BB190" s="99">
        <f>BB188</f>
        <v/>
      </c>
      <c r="BC190" s="95">
        <f>IFERROR(IF($C190="","",IF($P$15="Cascade",$R190*(1-BB190)*BA190,IF($P$15="Additionnelle",($N190-($N190*($P190+BB190)))*BA190))),"Non Trouvé")</f>
        <v/>
      </c>
      <c r="BF190" s="99">
        <f>BF188</f>
        <v/>
      </c>
      <c r="BG190" s="99">
        <f>BG188</f>
        <v/>
      </c>
      <c r="BH190" s="95">
        <f>IFERROR(IF($C190="","",IF($P$15="Cascade",$R190*(1-BG190)*BF190,IF($P$15="Additionnelle",($N190-($N190*($P190+BG190)))*BF190))),"Non Trouvé")</f>
        <v/>
      </c>
      <c r="BK190" s="99">
        <f>BK188</f>
        <v/>
      </c>
      <c r="BL190" s="99">
        <f>BL188</f>
        <v/>
      </c>
      <c r="BM190" s="95">
        <f>IFERROR(IF($C190="","",IF($P$15="Cascade",$R190*(1-BL190)*BK190,IF($P$15="Additionnelle",($N190-($N190*($P190+BL190)))*BK190))),"Non Trouvé")</f>
        <v/>
      </c>
      <c r="BP190" s="99">
        <f>BP188</f>
        <v/>
      </c>
      <c r="BQ190" s="99">
        <f>BQ188</f>
        <v/>
      </c>
      <c r="BR190" s="95">
        <f>IFERROR(IF($C190="","",IF($P$15="Cascade",$R190*(1-BQ190)*BP190,IF($P$15="Additionnelle",($N190-($N190*($P190+BQ190)))*BP190))),"Non Trouvé")</f>
        <v/>
      </c>
      <c r="BU190" s="99">
        <f>BU188</f>
        <v/>
      </c>
      <c r="BV190" s="99">
        <f>BV188</f>
        <v/>
      </c>
      <c r="BW190" s="95">
        <f>IFERROR(IF($C190="","",IF($P$15="Cascade",$R190*(1-BV190)*BU190,IF($P$15="Additionnelle",($N190-($N190*($P190+BV190)))*BU190))),"Non Trouvé")</f>
        <v/>
      </c>
      <c r="BZ190" s="99">
        <f>BZ188</f>
        <v/>
      </c>
      <c r="CA190" s="99">
        <f>CA188</f>
        <v/>
      </c>
      <c r="CB190" s="95">
        <f>IFERROR(IF($C190="","",IF($P$15="Cascade",$R190*(1-CA190)*BZ190,IF($P$15="Additionnelle",($N190-($N190*($P190+CA190)))*BZ190))),"Non Trouvé")</f>
        <v/>
      </c>
      <c r="CE190" s="100" t="n"/>
      <c r="CF190" s="101" t="n"/>
      <c r="CG190" s="102" t="inlineStr">
        <is>
          <t>Marges €</t>
        </is>
      </c>
      <c r="CH190" s="139">
        <f>IFERROR(CH188*CH189,0)</f>
        <v/>
      </c>
      <c r="CI190" s="103" t="n"/>
      <c r="CK190" s="104">
        <f>IFERROR(IF(F190='[1]Paramètres Généraux'!$K$12,ROUNDUP((REGENERANTS!H190*REGENERANTS!$CF$166)*'[1]Paramètres Généraux'!$M$12,-1),REGENERANTS!H190*REGENERANTS!$CF$166),"nd")</f>
        <v/>
      </c>
      <c r="CN190" s="153" t="n"/>
      <c r="CO190" s="154" t="n"/>
      <c r="CP190" s="154" t="n"/>
      <c r="CQ190" s="154" t="n"/>
      <c r="CR190" s="154" t="n"/>
      <c r="CS190" s="180" t="n"/>
      <c r="CT190" s="181" t="n"/>
      <c r="CU190" s="154" t="n"/>
      <c r="CV190" s="180" t="n"/>
      <c r="CW190" s="157" t="n"/>
      <c r="CX190" s="156" t="n"/>
      <c r="CY190" s="157" t="n"/>
      <c r="CZ190" s="143" t="n"/>
      <c r="DA190" s="156" t="n"/>
      <c r="DB190" s="157" t="n"/>
      <c r="DC190" s="143" t="n"/>
      <c r="DD190" s="156" t="n"/>
      <c r="DE190" s="157" t="n"/>
      <c r="DF190" s="143" t="n"/>
      <c r="DG190" s="143" t="n"/>
      <c r="DH190" s="143" t="n"/>
      <c r="DI190" s="143" t="n"/>
      <c r="DJ190" s="143" t="n"/>
      <c r="DK190" s="143" t="n"/>
      <c r="DL190" s="143" t="n"/>
      <c r="DM190" s="143" t="n"/>
      <c r="DN190" s="143" t="n"/>
      <c r="DO190" s="156" t="n"/>
      <c r="DP190" s="157" t="n"/>
      <c r="DQ190" s="20">
        <f>SUM(CN190:DP190)</f>
        <v/>
      </c>
      <c r="DR190" s="20">
        <f>SUM(CV190:DP190)</f>
        <v/>
      </c>
      <c r="DS190" s="20">
        <f>IFERROR((IF(AND($F190="Produit Vente",CO190&gt;0),VLOOKUP($C190,'[1]Paramètres Articles'!$B:$H,7,FALSE)*$CO190)*(1-20%)),0)</f>
        <v/>
      </c>
      <c r="DT190" s="20">
        <f>IFERROR((IF(AND($F190="Produit Vente",DR190&gt;0),VLOOKUP($C190,'[1]Paramètres Articles'!$B:$H,6,FALSE)*$DR190)*(1-15%)),0)</f>
        <v/>
      </c>
    </row>
    <row r="191" hidden="1" outlineLevel="1" collapsed="1" ht="12.95" customHeight="1">
      <c r="B191" s="1">
        <f>IF(C191="",0,COUNTIFS($B$22:B190,"&gt;"&amp;0)+1)</f>
        <v/>
      </c>
      <c r="C191" s="90" t="n"/>
      <c r="D191" s="91">
        <f>IFERROR(IF($C191="","",VLOOKUP($C191,'[1]Paramètres Articles'!$B:$G,2,FALSE)),"Non Trouvé")</f>
        <v/>
      </c>
      <c r="E191" s="92">
        <f>IFERROR(IF($C191="","",_xlfn.XLOOKUP(REGENERANTS!$C191,'[1]New Base PA'!$F:$F,'[1]New Base PA'!$D:$D,"Not Found",0)),"Non Trouvé")</f>
        <v/>
      </c>
      <c r="F191" s="93" t="n"/>
      <c r="H191" s="106" t="n"/>
      <c r="J191" s="95">
        <f>IFERROR(IF($C191="","",VLOOKUP($C191,'[1]New Base PA'!$F:$J,5,FALSE)),"Non Trouvé")</f>
        <v/>
      </c>
      <c r="K191" s="136">
        <f>IFERROR(IF($C191="","",$J191*$H191),"Non Trouvé")</f>
        <v/>
      </c>
      <c r="L191" s="137" t="n"/>
      <c r="M191" s="95">
        <f>IFERROR(IF(AND($F191="Produit Vente",H191&gt;0),VLOOKUP($C191,'[1]Paramètres Articles'!$B:$G,6,FALSE),0),"Non Trouvé")</f>
        <v/>
      </c>
      <c r="N191" s="95">
        <f>IFERROR(IF($C191="","",$M191*$H191),"Non Trouvé")</f>
        <v/>
      </c>
      <c r="P191" s="97" t="n"/>
      <c r="R191" s="95">
        <f>IFERROR(IF($C191="","",$N191*(1-$P191)),"Non Trouvé")</f>
        <v/>
      </c>
      <c r="S191" s="96" t="n"/>
      <c r="T191" s="95">
        <f>IFERROR(IF($C191="","",VLOOKUP($C191,'[1]Paramètres Articles'!$B:$H,7,FALSE)),"Non Trouvé")</f>
        <v/>
      </c>
      <c r="U191" s="98" t="n"/>
      <c r="V191" s="95">
        <f>IFERROR(IF($C191="","",IF($P191="","",$T191*(1-$P191))),"Non Trouvé")</f>
        <v/>
      </c>
      <c r="W191" s="96" t="n"/>
      <c r="X191" s="95">
        <f>IFERROR(T191-V191,"")</f>
        <v/>
      </c>
      <c r="Y191" s="96" t="n"/>
      <c r="Z191" s="95">
        <f>IFERROR(IF(OR(T191=0,T191=""),0,T191*H191),"Non Trouvé")</f>
        <v/>
      </c>
      <c r="AB191" s="99">
        <f>AB190</f>
        <v/>
      </c>
      <c r="AC191" s="99">
        <f>AC190</f>
        <v/>
      </c>
      <c r="AD191" s="95">
        <f>IFERROR(IF($C191="","",IF($P$15="Cascade",$R191*(1-AC191)*AB191,IF($P$15="Additionnelle",($N191-($N191*($P191+AC191)))*AB191))),"Non Trouvé")</f>
        <v/>
      </c>
      <c r="AG191" s="99">
        <f>AG190</f>
        <v/>
      </c>
      <c r="AH191" s="99">
        <f>AH190</f>
        <v/>
      </c>
      <c r="AI191" s="95">
        <f>IFERROR(IF($C191="","",IF($P$15="Cascade",$R191*(1-AH191)*AG191,IF($P$15="Additionnelle",($N191-($N191*($P191+AH191)))*AG191))),"Non Trouvé")</f>
        <v/>
      </c>
      <c r="AL191" s="99">
        <f>AL190</f>
        <v/>
      </c>
      <c r="AM191" s="99">
        <f>AM190</f>
        <v/>
      </c>
      <c r="AN191" s="95">
        <f>IFERROR(IF($C191="","",IF($P$15="Cascade",$R191*(1-AM191)*AL191,IF($P$15="Additionnelle",($N191-($N191*($P191+AM191)))*AL191))),"Non Trouvé")</f>
        <v/>
      </c>
      <c r="AQ191" s="99">
        <f>AQ190</f>
        <v/>
      </c>
      <c r="AR191" s="99">
        <f>AR190</f>
        <v/>
      </c>
      <c r="AS191" s="95">
        <f>IFERROR(IF($C191="","",IF($P$15="Cascade",$R191*(1-AR191)*AQ191,IF($P$15="Additionnelle",($N191-($N191*($P191+AR191)))*AQ191))),"Non Trouvé")</f>
        <v/>
      </c>
      <c r="AV191" s="99">
        <f>AV190</f>
        <v/>
      </c>
      <c r="AW191" s="99">
        <f>AW190</f>
        <v/>
      </c>
      <c r="AX191" s="95">
        <f>IFERROR(IF($C191="","",IF($P$15="Cascade",$R191*(1-AW191)*AV191,IF($P$15="Additionnelle",($N191-($N191*($P191+AW191)))*AV191))),"Non Trouvé")</f>
        <v/>
      </c>
      <c r="BA191" s="99">
        <f>BA190</f>
        <v/>
      </c>
      <c r="BB191" s="99">
        <f>BB190</f>
        <v/>
      </c>
      <c r="BC191" s="95">
        <f>IFERROR(IF($C191="","",IF($P$15="Cascade",$R191*(1-BB191)*BA191,IF($P$15="Additionnelle",($N191-($N191*($P191+BB191)))*BA191))),"Non Trouvé")</f>
        <v/>
      </c>
      <c r="BF191" s="99">
        <f>BF190</f>
        <v/>
      </c>
      <c r="BG191" s="99">
        <f>BG190</f>
        <v/>
      </c>
      <c r="BH191" s="95">
        <f>IFERROR(IF($C191="","",IF($P$15="Cascade",$R191*(1-BG191)*BF191,IF($P$15="Additionnelle",($N191-($N191*($P191+BG191)))*BF191))),"Non Trouvé")</f>
        <v/>
      </c>
      <c r="BK191" s="99">
        <f>BK190</f>
        <v/>
      </c>
      <c r="BL191" s="99">
        <f>BL190</f>
        <v/>
      </c>
      <c r="BM191" s="95">
        <f>IFERROR(IF($C191="","",IF($P$15="Cascade",$R191*(1-BL191)*BK191,IF($P$15="Additionnelle",($N191-($N191*($P191+BL191)))*BK191))),"Non Trouvé")</f>
        <v/>
      </c>
      <c r="BP191" s="99">
        <f>BP190</f>
        <v/>
      </c>
      <c r="BQ191" s="99">
        <f>BQ190</f>
        <v/>
      </c>
      <c r="BR191" s="95">
        <f>IFERROR(IF($C191="","",IF($P$15="Cascade",$R191*(1-BQ191)*BP191,IF($P$15="Additionnelle",($N191-($N191*($P191+BQ191)))*BP191))),"Non Trouvé")</f>
        <v/>
      </c>
      <c r="BU191" s="99">
        <f>BU190</f>
        <v/>
      </c>
      <c r="BV191" s="99">
        <f>BV190</f>
        <v/>
      </c>
      <c r="BW191" s="95">
        <f>IFERROR(IF($C191="","",IF($P$15="Cascade",$R191*(1-BV191)*BU191,IF($P$15="Additionnelle",($N191-($N191*($P191+BV191)))*BU191))),"Non Trouvé")</f>
        <v/>
      </c>
      <c r="BZ191" s="99">
        <f>BZ190</f>
        <v/>
      </c>
      <c r="CA191" s="99">
        <f>CA190</f>
        <v/>
      </c>
      <c r="CB191" s="95">
        <f>IFERROR(IF($C191="","",IF($P$15="Cascade",$R191*(1-CA191)*BZ191,IF($P$15="Additionnelle",($N191-($N191*($P191+CA191)))*BZ191))),"Non Trouvé")</f>
        <v/>
      </c>
      <c r="CE191" s="100" t="n"/>
      <c r="CF191" s="101" t="n"/>
      <c r="CG191" s="102" t="n"/>
      <c r="CH191" s="102" t="n"/>
      <c r="CI191" s="103" t="n"/>
      <c r="CK191" s="104">
        <f>IFERROR(IF(F191='[1]Paramètres Généraux'!$K$12,ROUNDUP((REGENERANTS!H191*REGENERANTS!$CF$166)*'[1]Paramètres Généraux'!$M$12,-1),REGENERANTS!H191*REGENERANTS!$CF$166),"nd")</f>
        <v/>
      </c>
      <c r="CN191" s="153" t="n"/>
      <c r="CO191" s="154" t="n"/>
      <c r="CP191" s="154" t="n"/>
      <c r="CQ191" s="154" t="n"/>
      <c r="CR191" s="154" t="n"/>
      <c r="CS191" s="180" t="n"/>
      <c r="CT191" s="181" t="n"/>
      <c r="CU191" s="154" t="n"/>
      <c r="CV191" s="180" t="n"/>
      <c r="CW191" s="157" t="n"/>
      <c r="CX191" s="156" t="n"/>
      <c r="CY191" s="157" t="n"/>
      <c r="CZ191" s="143" t="n"/>
      <c r="DA191" s="156" t="n"/>
      <c r="DB191" s="157" t="n"/>
      <c r="DC191" s="143" t="n"/>
      <c r="DD191" s="156" t="n"/>
      <c r="DE191" s="157" t="n"/>
      <c r="DF191" s="143" t="n"/>
      <c r="DG191" s="143" t="n"/>
      <c r="DH191" s="143" t="n"/>
      <c r="DI191" s="143" t="n"/>
      <c r="DJ191" s="143" t="n"/>
      <c r="DK191" s="143" t="n"/>
      <c r="DL191" s="143" t="n"/>
      <c r="DM191" s="143" t="n"/>
      <c r="DN191" s="143" t="n"/>
      <c r="DO191" s="156" t="n"/>
      <c r="DP191" s="157" t="n"/>
      <c r="DQ191" s="20">
        <f>SUM(CN191:DP191)</f>
        <v/>
      </c>
      <c r="DR191" s="20">
        <f>SUM(CV191:DP191)</f>
        <v/>
      </c>
      <c r="DS191" s="20">
        <f>IFERROR((IF(AND($F191="Produit Vente",CO191&gt;0),VLOOKUP($C191,'[1]Paramètres Articles'!$B:$H,7,FALSE)*$CO191)*(1-20%)),0)</f>
        <v/>
      </c>
      <c r="DT191" s="20">
        <f>IFERROR((IF(AND($F191="Produit Vente",DR191&gt;0),VLOOKUP($C191,'[1]Paramètres Articles'!$B:$H,6,FALSE)*$DR191)*(1-15%)),0)</f>
        <v/>
      </c>
    </row>
    <row r="192" hidden="1" outlineLevel="1" collapsed="1" ht="12.95" customHeight="1">
      <c r="B192" s="1">
        <f>IF(C192="",0,COUNTIFS($B$22:B191,"&gt;"&amp;0)+1)</f>
        <v/>
      </c>
      <c r="C192" s="90" t="n"/>
      <c r="D192" s="91">
        <f>IFERROR(IF($C192="","",VLOOKUP($C192,'[1]Paramètres Articles'!$B:$G,2,FALSE)),"Non Trouvé")</f>
        <v/>
      </c>
      <c r="E192" s="92">
        <f>IFERROR(IF($C192="","",_xlfn.XLOOKUP(REGENERANTS!$C192,'[1]New Base PA'!$F:$F,'[1]New Base PA'!$D:$D,"Not Found",0)),"Non Trouvé")</f>
        <v/>
      </c>
      <c r="F192" s="93" t="n"/>
      <c r="H192" s="106" t="n"/>
      <c r="J192" s="95">
        <f>IFERROR(IF($C192="","",VLOOKUP($C192,'[1]New Base PA'!$F:$J,5,FALSE)),"Non Trouvé")</f>
        <v/>
      </c>
      <c r="K192" s="136">
        <f>IFERROR(IF($C192="","",$J192*$H192),"Non Trouvé")</f>
        <v/>
      </c>
      <c r="L192" s="137" t="n"/>
      <c r="M192" s="95">
        <f>IFERROR(IF(AND($F192="Produit Vente",H192&gt;0),VLOOKUP($C192,'[1]Paramètres Articles'!$B:$G,6,FALSE),0),"Non Trouvé")</f>
        <v/>
      </c>
      <c r="N192" s="95">
        <f>IFERROR(IF($C192="","",$M192*$H192),"Non Trouvé")</f>
        <v/>
      </c>
      <c r="P192" s="97" t="n"/>
      <c r="R192" s="95">
        <f>IFERROR(IF($C192="","",$N192*(1-$P192)),"Non Trouvé")</f>
        <v/>
      </c>
      <c r="S192" s="96" t="n"/>
      <c r="T192" s="95">
        <f>IFERROR(IF($C192="","",VLOOKUP($C192,'[1]Paramètres Articles'!$B:$H,7,FALSE)),"Non Trouvé")</f>
        <v/>
      </c>
      <c r="U192" s="98" t="n"/>
      <c r="V192" s="95">
        <f>IFERROR(IF($C192="","",IF($P192="","",$T192*(1-$P192))),"Non Trouvé")</f>
        <v/>
      </c>
      <c r="W192" s="96" t="n"/>
      <c r="X192" s="95">
        <f>IFERROR(T192-V192,"")</f>
        <v/>
      </c>
      <c r="Y192" s="96" t="n"/>
      <c r="Z192" s="95">
        <f>IFERROR(IF(OR(T192=0,T192=""),0,T192*H192),"Non Trouvé")</f>
        <v/>
      </c>
      <c r="AB192" s="99">
        <f>AB190</f>
        <v/>
      </c>
      <c r="AC192" s="99">
        <f>AC190</f>
        <v/>
      </c>
      <c r="AD192" s="95">
        <f>IFERROR(IF($C192="","",IF($P$15="Cascade",$R192*(1-AC192)*AB192,IF($P$15="Additionnelle",($N192-($N192*($P192+AC192)))*AB192))),"Non Trouvé")</f>
        <v/>
      </c>
      <c r="AG192" s="99">
        <f>AG190</f>
        <v/>
      </c>
      <c r="AH192" s="99">
        <f>AH190</f>
        <v/>
      </c>
      <c r="AI192" s="95">
        <f>IFERROR(IF($C192="","",IF($P$15="Cascade",$R192*(1-AH192)*AG192,IF($P$15="Additionnelle",($N192-($N192*($P192+AH192)))*AG192))),"Non Trouvé")</f>
        <v/>
      </c>
      <c r="AL192" s="99">
        <f>AL190</f>
        <v/>
      </c>
      <c r="AM192" s="99">
        <f>AM190</f>
        <v/>
      </c>
      <c r="AN192" s="95">
        <f>IFERROR(IF($C192="","",IF($P$15="Cascade",$R192*(1-AM192)*AL192,IF($P$15="Additionnelle",($N192-($N192*($P192+AM192)))*AL192))),"Non Trouvé")</f>
        <v/>
      </c>
      <c r="AQ192" s="99">
        <f>AQ190</f>
        <v/>
      </c>
      <c r="AR192" s="99">
        <f>AR190</f>
        <v/>
      </c>
      <c r="AS192" s="95">
        <f>IFERROR(IF($C192="","",IF($P$15="Cascade",$R192*(1-AR192)*AQ192,IF($P$15="Additionnelle",($N192-($N192*($P192+AR192)))*AQ192))),"Non Trouvé")</f>
        <v/>
      </c>
      <c r="AV192" s="99">
        <f>AV190</f>
        <v/>
      </c>
      <c r="AW192" s="99">
        <f>AW190</f>
        <v/>
      </c>
      <c r="AX192" s="95">
        <f>IFERROR(IF($C192="","",IF($P$15="Cascade",$R192*(1-AW192)*AV192,IF($P$15="Additionnelle",($N192-($N192*($P192+AW192)))*AV192))),"Non Trouvé")</f>
        <v/>
      </c>
      <c r="BA192" s="99">
        <f>BA190</f>
        <v/>
      </c>
      <c r="BB192" s="99">
        <f>BB190</f>
        <v/>
      </c>
      <c r="BC192" s="95">
        <f>IFERROR(IF($C192="","",IF($P$15="Cascade",$R192*(1-BB192)*BA192,IF($P$15="Additionnelle",($N192-($N192*($P192+BB192)))*BA192))),"Non Trouvé")</f>
        <v/>
      </c>
      <c r="BF192" s="99">
        <f>BF190</f>
        <v/>
      </c>
      <c r="BG192" s="99">
        <f>BG190</f>
        <v/>
      </c>
      <c r="BH192" s="95">
        <f>IFERROR(IF($C192="","",IF($P$15="Cascade",$R192*(1-BG192)*BF192,IF($P$15="Additionnelle",($N192-($N192*($P192+BG192)))*BF192))),"Non Trouvé")</f>
        <v/>
      </c>
      <c r="BK192" s="99">
        <f>BK190</f>
        <v/>
      </c>
      <c r="BL192" s="99">
        <f>BL190</f>
        <v/>
      </c>
      <c r="BM192" s="95">
        <f>IFERROR(IF($C192="","",IF($P$15="Cascade",$R192*(1-BL192)*BK192,IF($P$15="Additionnelle",($N192-($N192*($P192+BL192)))*BK192))),"Non Trouvé")</f>
        <v/>
      </c>
      <c r="BP192" s="99">
        <f>BP190</f>
        <v/>
      </c>
      <c r="BQ192" s="99">
        <f>BQ190</f>
        <v/>
      </c>
      <c r="BR192" s="95">
        <f>IFERROR(IF($C192="","",IF($P$15="Cascade",$R192*(1-BQ192)*BP192,IF($P$15="Additionnelle",($N192-($N192*($P192+BQ192)))*BP192))),"Non Trouvé")</f>
        <v/>
      </c>
      <c r="BU192" s="99">
        <f>BU190</f>
        <v/>
      </c>
      <c r="BV192" s="99">
        <f>BV190</f>
        <v/>
      </c>
      <c r="BW192" s="95">
        <f>IFERROR(IF($C192="","",IF($P$15="Cascade",$R192*(1-BV192)*BU192,IF($P$15="Additionnelle",($N192-($N192*($P192+BV192)))*BU192))),"Non Trouvé")</f>
        <v/>
      </c>
      <c r="BZ192" s="99">
        <f>BZ190</f>
        <v/>
      </c>
      <c r="CA192" s="99">
        <f>CA190</f>
        <v/>
      </c>
      <c r="CB192" s="95">
        <f>IFERROR(IF($C192="","",IF($P$15="Cascade",$R192*(1-CA192)*BZ192,IF($P$15="Additionnelle",($N192-($N192*($P192+CA192)))*BZ192))),"Non Trouvé")</f>
        <v/>
      </c>
      <c r="CE192" s="100" t="n"/>
      <c r="CF192" s="101" t="n"/>
      <c r="CG192" s="102" t="n"/>
      <c r="CH192" s="102" t="n"/>
      <c r="CI192" s="103" t="n"/>
      <c r="CK192" s="104">
        <f>IFERROR(IF(F192='[1]Paramètres Généraux'!$K$12,ROUNDUP((REGENERANTS!H192*REGENERANTS!$CF$166)*'[1]Paramètres Généraux'!$M$12,-1),REGENERANTS!H192*REGENERANTS!$CF$166),"nd")</f>
        <v/>
      </c>
      <c r="CN192" s="153" t="n"/>
      <c r="CO192" s="154" t="n"/>
      <c r="CP192" s="154" t="n"/>
      <c r="CQ192" s="154" t="n"/>
      <c r="CR192" s="154" t="n"/>
      <c r="CS192" s="180" t="n"/>
      <c r="CT192" s="181" t="n"/>
      <c r="CU192" s="154" t="n"/>
      <c r="CV192" s="180" t="n"/>
      <c r="CW192" s="157" t="n"/>
      <c r="CX192" s="156" t="n"/>
      <c r="CY192" s="157" t="n"/>
      <c r="CZ192" s="143" t="n"/>
      <c r="DA192" s="156" t="n"/>
      <c r="DB192" s="157" t="n"/>
      <c r="DC192" s="143" t="n"/>
      <c r="DD192" s="156" t="n"/>
      <c r="DE192" s="157" t="n"/>
      <c r="DF192" s="143" t="n"/>
      <c r="DG192" s="143" t="n"/>
      <c r="DH192" s="143" t="n"/>
      <c r="DI192" s="143" t="n"/>
      <c r="DJ192" s="143" t="n"/>
      <c r="DK192" s="143" t="n"/>
      <c r="DL192" s="143" t="n"/>
      <c r="DM192" s="143" t="n"/>
      <c r="DN192" s="143" t="n"/>
      <c r="DO192" s="156" t="n"/>
      <c r="DP192" s="157" t="n"/>
      <c r="DQ192" s="20">
        <f>SUM(CN192:DP192)</f>
        <v/>
      </c>
      <c r="DR192" s="20">
        <f>SUM(CV192:DP192)</f>
        <v/>
      </c>
      <c r="DS192" s="20">
        <f>IFERROR((IF(AND($F192="Produit Vente",CO192&gt;0),VLOOKUP($C192,'[1]Paramètres Articles'!$B:$H,7,FALSE)*$CO192)*(1-20%)),0)</f>
        <v/>
      </c>
      <c r="DT192" s="20">
        <f>IFERROR((IF(AND($F192="Produit Vente",DR192&gt;0),VLOOKUP($C192,'[1]Paramètres Articles'!$B:$H,6,FALSE)*$DR192)*(1-15%)),0)</f>
        <v/>
      </c>
    </row>
    <row r="193" hidden="1" outlineLevel="1" collapsed="1" ht="12.95" customHeight="1">
      <c r="B193" s="1">
        <f>IF(C193="",0,COUNTIFS($B$22:B192,"&gt;"&amp;0)+1)</f>
        <v/>
      </c>
      <c r="C193" s="90" t="n"/>
      <c r="D193" s="91">
        <f>IFERROR(IF($C193="","",VLOOKUP($C193,'[1]Paramètres Articles'!$B:$G,2,FALSE)),"Non Trouvé")</f>
        <v/>
      </c>
      <c r="E193" s="92">
        <f>IFERROR(IF($C193="","",_xlfn.XLOOKUP(REGENERANTS!$C193,'[1]New Base PA'!$F:$F,'[1]New Base PA'!$D:$D,"Not Found",0)),"Non Trouvé")</f>
        <v/>
      </c>
      <c r="F193" s="93" t="n"/>
      <c r="H193" s="106" t="n"/>
      <c r="J193" s="95">
        <f>IFERROR(IF($C193="","",VLOOKUP($C193,'[1]New Base PA'!$F:$J,5,FALSE)),"Non Trouvé")</f>
        <v/>
      </c>
      <c r="K193" s="136">
        <f>IFERROR(IF($C193="","",$J193*$H193),"Non Trouvé")</f>
        <v/>
      </c>
      <c r="L193" s="137" t="n"/>
      <c r="M193" s="95">
        <f>IFERROR(IF(AND($F193="Produit Vente",H193&gt;0),VLOOKUP($C193,'[1]Paramètres Articles'!$B:$G,6,FALSE),0),"Non Trouvé")</f>
        <v/>
      </c>
      <c r="N193" s="95">
        <f>IFERROR(IF($C193="","",$M193*$H193),"Non Trouvé")</f>
        <v/>
      </c>
      <c r="P193" s="97" t="n"/>
      <c r="R193" s="95">
        <f>IFERROR(IF($C193="","",$N193*(1-$P193)),"Non Trouvé")</f>
        <v/>
      </c>
      <c r="S193" s="96" t="n"/>
      <c r="T193" s="95">
        <f>IFERROR(IF($C193="","",VLOOKUP($C193,'[1]Paramètres Articles'!$B:$H,7,FALSE)),"Non Trouvé")</f>
        <v/>
      </c>
      <c r="U193" s="98" t="n"/>
      <c r="V193" s="95">
        <f>IFERROR(IF($C193="","",IF($P193="","",$T193*(1-$P193))),"Non Trouvé")</f>
        <v/>
      </c>
      <c r="W193" s="96" t="n"/>
      <c r="X193" s="95">
        <f>IFERROR(T193-V193,"")</f>
        <v/>
      </c>
      <c r="Y193" s="96" t="n"/>
      <c r="Z193" s="95">
        <f>IFERROR(IF(OR(T193=0,T193=""),0,T193*H193),"Non Trouvé")</f>
        <v/>
      </c>
      <c r="AB193" s="99">
        <f>AB192</f>
        <v/>
      </c>
      <c r="AC193" s="99">
        <f>AC192</f>
        <v/>
      </c>
      <c r="AD193" s="95">
        <f>IFERROR(IF($C193="","",IF($P$15="Cascade",$R193*(1-AC193)*AB193,IF($P$15="Additionnelle",($N193-($N193*($P193+AC193)))*AB193))),"Non Trouvé")</f>
        <v/>
      </c>
      <c r="AG193" s="99">
        <f>AG192</f>
        <v/>
      </c>
      <c r="AH193" s="99">
        <f>AH192</f>
        <v/>
      </c>
      <c r="AI193" s="95">
        <f>IFERROR(IF($C193="","",IF($P$15="Cascade",$R193*(1-AH193)*AG193,IF($P$15="Additionnelle",($N193-($N193*($P193+AH193)))*AG193))),"Non Trouvé")</f>
        <v/>
      </c>
      <c r="AL193" s="99">
        <f>AL192</f>
        <v/>
      </c>
      <c r="AM193" s="99">
        <f>AM192</f>
        <v/>
      </c>
      <c r="AN193" s="95">
        <f>IFERROR(IF($C193="","",IF($P$15="Cascade",$R193*(1-AM193)*AL193,IF($P$15="Additionnelle",($N193-($N193*($P193+AM193)))*AL193))),"Non Trouvé")</f>
        <v/>
      </c>
      <c r="AQ193" s="99">
        <f>AQ192</f>
        <v/>
      </c>
      <c r="AR193" s="99">
        <f>AR192</f>
        <v/>
      </c>
      <c r="AS193" s="95">
        <f>IFERROR(IF($C193="","",IF($P$15="Cascade",$R193*(1-AR193)*AQ193,IF($P$15="Additionnelle",($N193-($N193*($P193+AR193)))*AQ193))),"Non Trouvé")</f>
        <v/>
      </c>
      <c r="AV193" s="99">
        <f>AV192</f>
        <v/>
      </c>
      <c r="AW193" s="99">
        <f>AW192</f>
        <v/>
      </c>
      <c r="AX193" s="95">
        <f>IFERROR(IF($C193="","",IF($P$15="Cascade",$R193*(1-AW193)*AV193,IF($P$15="Additionnelle",($N193-($N193*($P193+AW193)))*AV193))),"Non Trouvé")</f>
        <v/>
      </c>
      <c r="BA193" s="99">
        <f>BA192</f>
        <v/>
      </c>
      <c r="BB193" s="99">
        <f>BB192</f>
        <v/>
      </c>
      <c r="BC193" s="95">
        <f>IFERROR(IF($C193="","",IF($P$15="Cascade",$R193*(1-BB193)*BA193,IF($P$15="Additionnelle",($N193-($N193*($P193+BB193)))*BA193))),"Non Trouvé")</f>
        <v/>
      </c>
      <c r="BF193" s="99">
        <f>BF192</f>
        <v/>
      </c>
      <c r="BG193" s="99">
        <f>BG192</f>
        <v/>
      </c>
      <c r="BH193" s="95">
        <f>IFERROR(IF($C193="","",IF($P$15="Cascade",$R193*(1-BG193)*BF193,IF($P$15="Additionnelle",($N193-($N193*($P193+BG193)))*BF193))),"Non Trouvé")</f>
        <v/>
      </c>
      <c r="BK193" s="99">
        <f>BK192</f>
        <v/>
      </c>
      <c r="BL193" s="99">
        <f>BL192</f>
        <v/>
      </c>
      <c r="BM193" s="95">
        <f>IFERROR(IF($C193="","",IF($P$15="Cascade",$R193*(1-BL193)*BK193,IF($P$15="Additionnelle",($N193-($N193*($P193+BL193)))*BK193))),"Non Trouvé")</f>
        <v/>
      </c>
      <c r="BP193" s="99">
        <f>BP192</f>
        <v/>
      </c>
      <c r="BQ193" s="99">
        <f>BQ192</f>
        <v/>
      </c>
      <c r="BR193" s="95">
        <f>IFERROR(IF($C193="","",IF($P$15="Cascade",$R193*(1-BQ193)*BP193,IF($P$15="Additionnelle",($N193-($N193*($P193+BQ193)))*BP193))),"Non Trouvé")</f>
        <v/>
      </c>
      <c r="BU193" s="99">
        <f>BU192</f>
        <v/>
      </c>
      <c r="BV193" s="99">
        <f>BV192</f>
        <v/>
      </c>
      <c r="BW193" s="95">
        <f>IFERROR(IF($C193="","",IF($P$15="Cascade",$R193*(1-BV193)*BU193,IF($P$15="Additionnelle",($N193-($N193*($P193+BV193)))*BU193))),"Non Trouvé")</f>
        <v/>
      </c>
      <c r="BZ193" s="99">
        <f>BZ192</f>
        <v/>
      </c>
      <c r="CA193" s="99">
        <f>CA192</f>
        <v/>
      </c>
      <c r="CB193" s="95">
        <f>IFERROR(IF($C193="","",IF($P$15="Cascade",$R193*(1-CA193)*BZ193,IF($P$15="Additionnelle",($N193-($N193*($P193+CA193)))*BZ193))),"Non Trouvé")</f>
        <v/>
      </c>
      <c r="CE193" s="100" t="n"/>
      <c r="CF193" s="101" t="n"/>
      <c r="CG193" s="102" t="n"/>
      <c r="CH193" s="102" t="n"/>
      <c r="CI193" s="103" t="n"/>
      <c r="CK193" s="104">
        <f>IFERROR(IF(F193='[1]Paramètres Généraux'!$K$12,ROUNDUP((REGENERANTS!H193*REGENERANTS!$CF$166)*'[1]Paramètres Généraux'!$M$12,-1),REGENERANTS!H193*REGENERANTS!$CF$166),"nd")</f>
        <v/>
      </c>
      <c r="CN193" s="153" t="n"/>
      <c r="CO193" s="154" t="n"/>
      <c r="CP193" s="154" t="n"/>
      <c r="CQ193" s="154" t="n"/>
      <c r="CR193" s="154" t="n"/>
      <c r="CS193" s="180" t="n"/>
      <c r="CT193" s="181" t="n"/>
      <c r="CU193" s="154" t="n"/>
      <c r="CV193" s="180" t="n"/>
      <c r="CW193" s="157" t="n"/>
      <c r="CX193" s="156" t="n"/>
      <c r="CY193" s="157" t="n"/>
      <c r="CZ193" s="143" t="n"/>
      <c r="DA193" s="156" t="n"/>
      <c r="DB193" s="157" t="n"/>
      <c r="DC193" s="143" t="n"/>
      <c r="DD193" s="156" t="n"/>
      <c r="DE193" s="157" t="n"/>
      <c r="DF193" s="143" t="n"/>
      <c r="DG193" s="143" t="n"/>
      <c r="DH193" s="143" t="n"/>
      <c r="DI193" s="143" t="n"/>
      <c r="DJ193" s="143" t="n"/>
      <c r="DK193" s="143" t="n"/>
      <c r="DL193" s="143" t="n"/>
      <c r="DM193" s="143" t="n"/>
      <c r="DN193" s="143" t="n"/>
      <c r="DO193" s="156" t="n"/>
      <c r="DP193" s="157" t="n"/>
      <c r="DQ193" s="20">
        <f>SUM(CN193:DP193)</f>
        <v/>
      </c>
      <c r="DR193" s="20">
        <f>SUM(CV193:DP193)</f>
        <v/>
      </c>
      <c r="DS193" s="20">
        <f>IFERROR((IF(AND($F193="Produit Vente",CO193&gt;0),VLOOKUP($C193,'[1]Paramètres Articles'!$B:$H,7,FALSE)*$CO193)*(1-20%)),0)</f>
        <v/>
      </c>
      <c r="DT193" s="20">
        <f>IFERROR((IF(AND($F193="Produit Vente",DR193&gt;0),VLOOKUP($C193,'[1]Paramètres Articles'!$B:$H,6,FALSE)*$DR193)*(1-15%)),0)</f>
        <v/>
      </c>
    </row>
    <row r="194" hidden="1" outlineLevel="1" collapsed="1" ht="12.95" customHeight="1">
      <c r="B194" s="1">
        <f>IF(C194="",0,COUNTIFS($B$22:B193,"&gt;"&amp;0)+1)</f>
        <v/>
      </c>
      <c r="C194" s="90" t="n"/>
      <c r="D194" s="91">
        <f>IFERROR(IF($C194="","",VLOOKUP($C194,'[1]Paramètres Articles'!$B:$G,2,FALSE)),"Non Trouvé")</f>
        <v/>
      </c>
      <c r="E194" s="92">
        <f>IFERROR(IF($C194="","",_xlfn.XLOOKUP(REGENERANTS!$C194,'[1]New Base PA'!$F:$F,'[1]New Base PA'!$D:$D,"Not Found",0)),"Non Trouvé")</f>
        <v/>
      </c>
      <c r="F194" s="93" t="n"/>
      <c r="H194" s="106" t="n"/>
      <c r="J194" s="95">
        <f>IFERROR(IF($C194="","",VLOOKUP($C194,'[1]New Base PA'!$F:$J,5,FALSE)),"Non Trouvé")</f>
        <v/>
      </c>
      <c r="K194" s="136">
        <f>IFERROR(IF($C194="","",$J194*$H194),"Non Trouvé")</f>
        <v/>
      </c>
      <c r="L194" s="137" t="n"/>
      <c r="M194" s="95">
        <f>IFERROR(IF(AND($F194="Produit Vente",H194&gt;0),VLOOKUP($C194,'[1]Paramètres Articles'!$B:$G,6,FALSE),0),"Non Trouvé")</f>
        <v/>
      </c>
      <c r="N194" s="95">
        <f>IFERROR(IF($C194="","",$M194*$H194),"Non Trouvé")</f>
        <v/>
      </c>
      <c r="P194" s="97" t="n"/>
      <c r="R194" s="95">
        <f>IFERROR(IF($C194="","",$N194*(1-$P194)),"Non Trouvé")</f>
        <v/>
      </c>
      <c r="S194" s="96" t="n"/>
      <c r="T194" s="95">
        <f>IFERROR(IF($C194="","",VLOOKUP($C194,'[1]Paramètres Articles'!$B:$H,7,FALSE)),"Non Trouvé")</f>
        <v/>
      </c>
      <c r="U194" s="98" t="n"/>
      <c r="V194" s="95">
        <f>IFERROR(IF($C194="","",IF($P194="","",$T194*(1-$P194))),"Non Trouvé")</f>
        <v/>
      </c>
      <c r="W194" s="96" t="n"/>
      <c r="X194" s="95">
        <f>IFERROR(T194-V194,"")</f>
        <v/>
      </c>
      <c r="Y194" s="96" t="n"/>
      <c r="Z194" s="95">
        <f>IFERROR(IF(OR(T194=0,T194=""),0,T194*H194),"Non Trouvé")</f>
        <v/>
      </c>
      <c r="AB194" s="99">
        <f>AB192</f>
        <v/>
      </c>
      <c r="AC194" s="99">
        <f>AC192</f>
        <v/>
      </c>
      <c r="AD194" s="95">
        <f>IFERROR(IF($C194="","",IF($P$15="Cascade",$R194*(1-AC194)*AB194,IF($P$15="Additionnelle",($N194-($N194*($P194+AC194)))*AB194))),"Non Trouvé")</f>
        <v/>
      </c>
      <c r="AG194" s="99">
        <f>AG192</f>
        <v/>
      </c>
      <c r="AH194" s="99">
        <f>AH192</f>
        <v/>
      </c>
      <c r="AI194" s="95">
        <f>IFERROR(IF($C194="","",IF($P$15="Cascade",$R194*(1-AH194)*AG194,IF($P$15="Additionnelle",($N194-($N194*($P194+AH194)))*AG194))),"Non Trouvé")</f>
        <v/>
      </c>
      <c r="AL194" s="99">
        <f>AL192</f>
        <v/>
      </c>
      <c r="AM194" s="99">
        <f>AM192</f>
        <v/>
      </c>
      <c r="AN194" s="95">
        <f>IFERROR(IF($C194="","",IF($P$15="Cascade",$R194*(1-AM194)*AL194,IF($P$15="Additionnelle",($N194-($N194*($P194+AM194)))*AL194))),"Non Trouvé")</f>
        <v/>
      </c>
      <c r="AQ194" s="99">
        <f>AQ192</f>
        <v/>
      </c>
      <c r="AR194" s="99">
        <f>AR192</f>
        <v/>
      </c>
      <c r="AS194" s="95">
        <f>IFERROR(IF($C194="","",IF($P$15="Cascade",$R194*(1-AR194)*AQ194,IF($P$15="Additionnelle",($N194-($N194*($P194+AR194)))*AQ194))),"Non Trouvé")</f>
        <v/>
      </c>
      <c r="AV194" s="99">
        <f>AV192</f>
        <v/>
      </c>
      <c r="AW194" s="99">
        <f>AW192</f>
        <v/>
      </c>
      <c r="AX194" s="95">
        <f>IFERROR(IF($C194="","",IF($P$15="Cascade",$R194*(1-AW194)*AV194,IF($P$15="Additionnelle",($N194-($N194*($P194+AW194)))*AV194))),"Non Trouvé")</f>
        <v/>
      </c>
      <c r="BA194" s="99">
        <f>BA192</f>
        <v/>
      </c>
      <c r="BB194" s="99">
        <f>BB192</f>
        <v/>
      </c>
      <c r="BC194" s="95">
        <f>IFERROR(IF($C194="","",IF($P$15="Cascade",$R194*(1-BB194)*BA194,IF($P$15="Additionnelle",($N194-($N194*($P194+BB194)))*BA194))),"Non Trouvé")</f>
        <v/>
      </c>
      <c r="BF194" s="99">
        <f>BF192</f>
        <v/>
      </c>
      <c r="BG194" s="99">
        <f>BG192</f>
        <v/>
      </c>
      <c r="BH194" s="95">
        <f>IFERROR(IF($C194="","",IF($P$15="Cascade",$R194*(1-BG194)*BF194,IF($P$15="Additionnelle",($N194-($N194*($P194+BG194)))*BF194))),"Non Trouvé")</f>
        <v/>
      </c>
      <c r="BK194" s="99">
        <f>BK192</f>
        <v/>
      </c>
      <c r="BL194" s="99">
        <f>BL192</f>
        <v/>
      </c>
      <c r="BM194" s="95">
        <f>IFERROR(IF($C194="","",IF($P$15="Cascade",$R194*(1-BL194)*BK194,IF($P$15="Additionnelle",($N194-($N194*($P194+BL194)))*BK194))),"Non Trouvé")</f>
        <v/>
      </c>
      <c r="BP194" s="99">
        <f>BP192</f>
        <v/>
      </c>
      <c r="BQ194" s="99">
        <f>BQ192</f>
        <v/>
      </c>
      <c r="BR194" s="95">
        <f>IFERROR(IF($C194="","",IF($P$15="Cascade",$R194*(1-BQ194)*BP194,IF($P$15="Additionnelle",($N194-($N194*($P194+BQ194)))*BP194))),"Non Trouvé")</f>
        <v/>
      </c>
      <c r="BU194" s="99">
        <f>BU192</f>
        <v/>
      </c>
      <c r="BV194" s="99">
        <f>BV192</f>
        <v/>
      </c>
      <c r="BW194" s="95">
        <f>IFERROR(IF($C194="","",IF($P$15="Cascade",$R194*(1-BV194)*BU194,IF($P$15="Additionnelle",($N194-($N194*($P194+BV194)))*BU194))),"Non Trouvé")</f>
        <v/>
      </c>
      <c r="BZ194" s="99">
        <f>BZ192</f>
        <v/>
      </c>
      <c r="CA194" s="99">
        <f>CA192</f>
        <v/>
      </c>
      <c r="CB194" s="95">
        <f>IFERROR(IF($C194="","",IF($P$15="Cascade",$R194*(1-CA194)*BZ194,IF($P$15="Additionnelle",($N194-($N194*($P194+CA194)))*BZ194))),"Non Trouvé")</f>
        <v/>
      </c>
      <c r="CE194" s="100" t="n"/>
      <c r="CF194" s="101" t="n"/>
      <c r="CG194" s="102" t="n"/>
      <c r="CH194" s="102" t="n"/>
      <c r="CI194" s="103" t="n"/>
      <c r="CK194" s="104">
        <f>IFERROR(IF(F194='[1]Paramètres Généraux'!$K$12,ROUNDUP((REGENERANTS!H194*REGENERANTS!$CF$166)*'[1]Paramètres Généraux'!$M$12,-1),REGENERANTS!H194*REGENERANTS!$CF$166),"nd")</f>
        <v/>
      </c>
      <c r="CN194" s="153" t="n"/>
      <c r="CO194" s="154" t="n"/>
      <c r="CP194" s="154" t="n"/>
      <c r="CQ194" s="154" t="n"/>
      <c r="CR194" s="154" t="n"/>
      <c r="CS194" s="180" t="n"/>
      <c r="CT194" s="181" t="n"/>
      <c r="CU194" s="154" t="n"/>
      <c r="CV194" s="180" t="n"/>
      <c r="CW194" s="157" t="n"/>
      <c r="CX194" s="156" t="n"/>
      <c r="CY194" s="157" t="n"/>
      <c r="CZ194" s="143" t="n"/>
      <c r="DA194" s="156" t="n"/>
      <c r="DB194" s="157" t="n"/>
      <c r="DC194" s="143" t="n"/>
      <c r="DD194" s="156" t="n"/>
      <c r="DE194" s="157" t="n"/>
      <c r="DF194" s="143" t="n"/>
      <c r="DG194" s="143" t="n"/>
      <c r="DH194" s="143" t="n"/>
      <c r="DI194" s="143" t="n"/>
      <c r="DJ194" s="143" t="n"/>
      <c r="DK194" s="143" t="n"/>
      <c r="DL194" s="143" t="n"/>
      <c r="DM194" s="143" t="n"/>
      <c r="DN194" s="143" t="n"/>
      <c r="DO194" s="156" t="n"/>
      <c r="DP194" s="157" t="n"/>
      <c r="DQ194" s="20">
        <f>SUM(CN194:DP194)</f>
        <v/>
      </c>
      <c r="DR194" s="20">
        <f>SUM(CV194:DP194)</f>
        <v/>
      </c>
      <c r="DS194" s="20">
        <f>IFERROR((IF(AND($F194="Produit Vente",CO194&gt;0),VLOOKUP($C194,'[1]Paramètres Articles'!$B:$H,7,FALSE)*$CO194)*(1-20%)),0)</f>
        <v/>
      </c>
      <c r="DT194" s="20">
        <f>IFERROR((IF(AND($F194="Produit Vente",DR194&gt;0),VLOOKUP($C194,'[1]Paramètres Articles'!$B:$H,6,FALSE)*$DR194)*(1-15%)),0)</f>
        <v/>
      </c>
    </row>
    <row r="195" hidden="1" outlineLevel="1" collapsed="1" ht="12.95" customHeight="1">
      <c r="B195" s="1">
        <f>IF(C195="",0,COUNTIFS($B$22:B194,"&gt;"&amp;0)+1)</f>
        <v/>
      </c>
      <c r="C195" s="90" t="n"/>
      <c r="D195" s="91">
        <f>IFERROR(IF($C195="","",VLOOKUP($C195,'[1]Paramètres Articles'!$B:$G,2,FALSE)),"Non Trouvé")</f>
        <v/>
      </c>
      <c r="E195" s="92">
        <f>IFERROR(IF($C195="","",_xlfn.XLOOKUP(REGENERANTS!$C195,'[1]New Base PA'!$F:$F,'[1]New Base PA'!$D:$D,"Not Found",0)),"Non Trouvé")</f>
        <v/>
      </c>
      <c r="F195" s="93" t="n"/>
      <c r="H195" s="106" t="n"/>
      <c r="J195" s="95">
        <f>IFERROR(IF($C195="","",VLOOKUP($C195,'[1]New Base PA'!$F:$J,5,FALSE)),"Non Trouvé")</f>
        <v/>
      </c>
      <c r="K195" s="136">
        <f>IFERROR(IF($C195="","",$J195*$H195),"Non Trouvé")</f>
        <v/>
      </c>
      <c r="L195" s="137" t="n"/>
      <c r="M195" s="95">
        <f>IFERROR(IF(AND($F195="Produit Vente",H195&gt;0),VLOOKUP($C195,'[1]Paramètres Articles'!$B:$G,6,FALSE),0),"Non Trouvé")</f>
        <v/>
      </c>
      <c r="N195" s="95">
        <f>IFERROR(IF($C195="","",$M195*$H195),"Non Trouvé")</f>
        <v/>
      </c>
      <c r="P195" s="97" t="n"/>
      <c r="R195" s="95">
        <f>IFERROR(IF($C195="","",$N195*(1-$P195)),"Non Trouvé")</f>
        <v/>
      </c>
      <c r="S195" s="96" t="n"/>
      <c r="T195" s="95">
        <f>IFERROR(IF($C195="","",VLOOKUP($C195,'[1]Paramètres Articles'!$B:$H,7,FALSE)),"Non Trouvé")</f>
        <v/>
      </c>
      <c r="U195" s="98" t="n"/>
      <c r="V195" s="95">
        <f>IFERROR(IF($C195="","",IF($P195="","",$T195*(1-$P195))),"Non Trouvé")</f>
        <v/>
      </c>
      <c r="W195" s="96" t="n"/>
      <c r="X195" s="95">
        <f>IFERROR(T195-V195,"")</f>
        <v/>
      </c>
      <c r="Y195" s="96" t="n"/>
      <c r="Z195" s="95">
        <f>IFERROR(IF(OR(T195=0,T195=""),0,T195*H195),"Non Trouvé")</f>
        <v/>
      </c>
      <c r="AB195" s="99">
        <f>AB194</f>
        <v/>
      </c>
      <c r="AC195" s="99">
        <f>AC194</f>
        <v/>
      </c>
      <c r="AD195" s="95">
        <f>IFERROR(IF($C195="","",IF($P$15="Cascade",$R195*(1-AC195)*AB195,IF($P$15="Additionnelle",($N195-($N195*($P195+AC195)))*AB195))),"Non Trouvé")</f>
        <v/>
      </c>
      <c r="AG195" s="99">
        <f>AG194</f>
        <v/>
      </c>
      <c r="AH195" s="99">
        <f>AH194</f>
        <v/>
      </c>
      <c r="AI195" s="95">
        <f>IFERROR(IF($C195="","",IF($P$15="Cascade",$R195*(1-AH195)*AG195,IF($P$15="Additionnelle",($N195-($N195*($P195+AH195)))*AG195))),"Non Trouvé")</f>
        <v/>
      </c>
      <c r="AL195" s="99">
        <f>AL194</f>
        <v/>
      </c>
      <c r="AM195" s="99">
        <f>AM194</f>
        <v/>
      </c>
      <c r="AN195" s="95">
        <f>IFERROR(IF($C195="","",IF($P$15="Cascade",$R195*(1-AM195)*AL195,IF($P$15="Additionnelle",($N195-($N195*($P195+AM195)))*AL195))),"Non Trouvé")</f>
        <v/>
      </c>
      <c r="AQ195" s="99">
        <f>AQ194</f>
        <v/>
      </c>
      <c r="AR195" s="99">
        <f>AR194</f>
        <v/>
      </c>
      <c r="AS195" s="95">
        <f>IFERROR(IF($C195="","",IF($P$15="Cascade",$R195*(1-AR195)*AQ195,IF($P$15="Additionnelle",($N195-($N195*($P195+AR195)))*AQ195))),"Non Trouvé")</f>
        <v/>
      </c>
      <c r="AV195" s="99">
        <f>AV194</f>
        <v/>
      </c>
      <c r="AW195" s="99">
        <f>AW194</f>
        <v/>
      </c>
      <c r="AX195" s="95">
        <f>IFERROR(IF($C195="","",IF($P$15="Cascade",$R195*(1-AW195)*AV195,IF($P$15="Additionnelle",($N195-($N195*($P195+AW195)))*AV195))),"Non Trouvé")</f>
        <v/>
      </c>
      <c r="BA195" s="99">
        <f>BA194</f>
        <v/>
      </c>
      <c r="BB195" s="99">
        <f>BB194</f>
        <v/>
      </c>
      <c r="BC195" s="95">
        <f>IFERROR(IF($C195="","",IF($P$15="Cascade",$R195*(1-BB195)*BA195,IF($P$15="Additionnelle",($N195-($N195*($P195+BB195)))*BA195))),"Non Trouvé")</f>
        <v/>
      </c>
      <c r="BF195" s="99">
        <f>BF194</f>
        <v/>
      </c>
      <c r="BG195" s="99">
        <f>BG194</f>
        <v/>
      </c>
      <c r="BH195" s="95">
        <f>IFERROR(IF($C195="","",IF($P$15="Cascade",$R195*(1-BG195)*BF195,IF($P$15="Additionnelle",($N195-($N195*($P195+BG195)))*BF195))),"Non Trouvé")</f>
        <v/>
      </c>
      <c r="BK195" s="99">
        <f>BK194</f>
        <v/>
      </c>
      <c r="BL195" s="99">
        <f>BL194</f>
        <v/>
      </c>
      <c r="BM195" s="95">
        <f>IFERROR(IF($C195="","",IF($P$15="Cascade",$R195*(1-BL195)*BK195,IF($P$15="Additionnelle",($N195-($N195*($P195+BL195)))*BK195))),"Non Trouvé")</f>
        <v/>
      </c>
      <c r="BP195" s="99">
        <f>BP194</f>
        <v/>
      </c>
      <c r="BQ195" s="99">
        <f>BQ194</f>
        <v/>
      </c>
      <c r="BR195" s="95">
        <f>IFERROR(IF($C195="","",IF($P$15="Cascade",$R195*(1-BQ195)*BP195,IF($P$15="Additionnelle",($N195-($N195*($P195+BQ195)))*BP195))),"Non Trouvé")</f>
        <v/>
      </c>
      <c r="BU195" s="99">
        <f>BU194</f>
        <v/>
      </c>
      <c r="BV195" s="99">
        <f>BV194</f>
        <v/>
      </c>
      <c r="BW195" s="95">
        <f>IFERROR(IF($C195="","",IF($P$15="Cascade",$R195*(1-BV195)*BU195,IF($P$15="Additionnelle",($N195-($N195*($P195+BV195)))*BU195))),"Non Trouvé")</f>
        <v/>
      </c>
      <c r="BZ195" s="99">
        <f>BZ194</f>
        <v/>
      </c>
      <c r="CA195" s="99">
        <f>CA194</f>
        <v/>
      </c>
      <c r="CB195" s="95">
        <f>IFERROR(IF($C195="","",IF($P$15="Cascade",$R195*(1-CA195)*BZ195,IF($P$15="Additionnelle",($N195-($N195*($P195+CA195)))*BZ195))),"Non Trouvé")</f>
        <v/>
      </c>
      <c r="CE195" s="100" t="n"/>
      <c r="CF195" s="101" t="n"/>
      <c r="CG195" s="102" t="n"/>
      <c r="CH195" s="102" t="n"/>
      <c r="CI195" s="103" t="n"/>
      <c r="CK195" s="104">
        <f>IFERROR(IF(F195='[1]Paramètres Généraux'!$K$12,ROUNDUP((REGENERANTS!H195*REGENERANTS!$CF$166)*'[1]Paramètres Généraux'!$M$12,-1),REGENERANTS!H195*REGENERANTS!$CF$166),"nd")</f>
        <v/>
      </c>
      <c r="CN195" s="153" t="n"/>
      <c r="CO195" s="154" t="n"/>
      <c r="CP195" s="154" t="n"/>
      <c r="CQ195" s="154" t="n"/>
      <c r="CR195" s="154" t="n"/>
      <c r="CS195" s="180" t="n"/>
      <c r="CT195" s="181" t="n"/>
      <c r="CU195" s="154" t="n"/>
      <c r="CV195" s="180" t="n"/>
      <c r="CW195" s="157" t="n"/>
      <c r="CX195" s="156" t="n"/>
      <c r="CY195" s="157" t="n"/>
      <c r="CZ195" s="143" t="n"/>
      <c r="DA195" s="156" t="n"/>
      <c r="DB195" s="157" t="n"/>
      <c r="DC195" s="143" t="n"/>
      <c r="DD195" s="156" t="n"/>
      <c r="DE195" s="157" t="n"/>
      <c r="DF195" s="143" t="n"/>
      <c r="DG195" s="143" t="n"/>
      <c r="DH195" s="143" t="n"/>
      <c r="DI195" s="143" t="n"/>
      <c r="DJ195" s="143" t="n"/>
      <c r="DK195" s="143" t="n"/>
      <c r="DL195" s="143" t="n"/>
      <c r="DM195" s="143" t="n"/>
      <c r="DN195" s="143" t="n"/>
      <c r="DO195" s="156" t="n"/>
      <c r="DP195" s="157" t="n"/>
      <c r="DQ195" s="20">
        <f>SUM(CN195:DP195)</f>
        <v/>
      </c>
      <c r="DR195" s="20">
        <f>SUM(CV195:DP195)</f>
        <v/>
      </c>
      <c r="DS195" s="20">
        <f>IFERROR((IF(AND($F195="Produit Vente",CO195&gt;0),VLOOKUP($C195,'[1]Paramètres Articles'!$B:$H,7,FALSE)*$CO195)*(1-20%)),0)</f>
        <v/>
      </c>
      <c r="DT195" s="20">
        <f>IFERROR((IF(AND($F195="Produit Vente",DR195&gt;0),VLOOKUP($C195,'[1]Paramètres Articles'!$B:$H,6,FALSE)*$DR195)*(1-15%)),0)</f>
        <v/>
      </c>
    </row>
    <row r="196" hidden="1" outlineLevel="1" collapsed="1" ht="12.95" customHeight="1">
      <c r="B196" s="1">
        <f>IF(C196="",0,COUNTIFS($B$22:B195,"&gt;"&amp;0)+1)</f>
        <v/>
      </c>
      <c r="C196" s="90" t="n"/>
      <c r="D196" s="91">
        <f>IFERROR(IF($C196="","",VLOOKUP($C196,'[1]Paramètres Articles'!$B:$G,2,FALSE)),"Non Trouvé")</f>
        <v/>
      </c>
      <c r="E196" s="92">
        <f>IFERROR(IF($C196="","",_xlfn.XLOOKUP(REGENERANTS!$C196,'[1]New Base PA'!$F:$F,'[1]New Base PA'!$D:$D,"Not Found",0)),"Non Trouvé")</f>
        <v/>
      </c>
      <c r="F196" s="93" t="n"/>
      <c r="H196" s="106" t="n"/>
      <c r="J196" s="95">
        <f>IFERROR(IF($C196="","",VLOOKUP($C196,'[1]New Base PA'!$F:$J,5,FALSE)),"Non Trouvé")</f>
        <v/>
      </c>
      <c r="K196" s="136">
        <f>IFERROR(IF($C196="","",$J196*$H196),"Non Trouvé")</f>
        <v/>
      </c>
      <c r="L196" s="137" t="n"/>
      <c r="M196" s="95">
        <f>IFERROR(IF(AND($F196="Produit Vente",H196&gt;0),VLOOKUP($C196,'[1]Paramètres Articles'!$B:$G,6,FALSE),0),"Non Trouvé")</f>
        <v/>
      </c>
      <c r="N196" s="95">
        <f>IFERROR(IF($C196="","",$M196*$H196),"Non Trouvé")</f>
        <v/>
      </c>
      <c r="P196" s="97" t="n"/>
      <c r="R196" s="95">
        <f>IFERROR(IF($C196="","",$N196*(1-$P196)),"Non Trouvé")</f>
        <v/>
      </c>
      <c r="S196" s="96" t="n"/>
      <c r="T196" s="95">
        <f>IFERROR(IF($C196="","",VLOOKUP($C196,'[1]Paramètres Articles'!$B:$H,7,FALSE)),"Non Trouvé")</f>
        <v/>
      </c>
      <c r="U196" s="98" t="n"/>
      <c r="V196" s="95">
        <f>IFERROR(IF($C196="","",IF($P196="","",$T196*(1-$P196))),"Non Trouvé")</f>
        <v/>
      </c>
      <c r="W196" s="96" t="n"/>
      <c r="X196" s="95">
        <f>IFERROR(T196-V196,"")</f>
        <v/>
      </c>
      <c r="Y196" s="96" t="n"/>
      <c r="Z196" s="95">
        <f>IFERROR(IF(OR(T196=0,T196=""),0,T196*H196),"Non Trouvé")</f>
        <v/>
      </c>
      <c r="AB196" s="99">
        <f>AB194</f>
        <v/>
      </c>
      <c r="AC196" s="99">
        <f>AC194</f>
        <v/>
      </c>
      <c r="AD196" s="95">
        <f>IFERROR(IF($C196="","",IF($P$15="Cascade",$R196*(1-AC196)*AB196,IF($P$15="Additionnelle",($N196-($N196*($P196+AC196)))*AB196))),"Non Trouvé")</f>
        <v/>
      </c>
      <c r="AG196" s="99">
        <f>AG194</f>
        <v/>
      </c>
      <c r="AH196" s="99">
        <f>AH194</f>
        <v/>
      </c>
      <c r="AI196" s="95">
        <f>IFERROR(IF($C196="","",IF($P$15="Cascade",$R196*(1-AH196)*AG196,IF($P$15="Additionnelle",($N196-($N196*($P196+AH196)))*AG196))),"Non Trouvé")</f>
        <v/>
      </c>
      <c r="AL196" s="99">
        <f>AL194</f>
        <v/>
      </c>
      <c r="AM196" s="99">
        <f>AM194</f>
        <v/>
      </c>
      <c r="AN196" s="95">
        <f>IFERROR(IF($C196="","",IF($P$15="Cascade",$R196*(1-AM196)*AL196,IF($P$15="Additionnelle",($N196-($N196*($P196+AM196)))*AL196))),"Non Trouvé")</f>
        <v/>
      </c>
      <c r="AQ196" s="99">
        <f>AQ194</f>
        <v/>
      </c>
      <c r="AR196" s="99">
        <f>AR194</f>
        <v/>
      </c>
      <c r="AS196" s="95">
        <f>IFERROR(IF($C196="","",IF($P$15="Cascade",$R196*(1-AR196)*AQ196,IF($P$15="Additionnelle",($N196-($N196*($P196+AR196)))*AQ196))),"Non Trouvé")</f>
        <v/>
      </c>
      <c r="AV196" s="99">
        <f>AV194</f>
        <v/>
      </c>
      <c r="AW196" s="99">
        <f>AW194</f>
        <v/>
      </c>
      <c r="AX196" s="95">
        <f>IFERROR(IF($C196="","",IF($P$15="Cascade",$R196*(1-AW196)*AV196,IF($P$15="Additionnelle",($N196-($N196*($P196+AW196)))*AV196))),"Non Trouvé")</f>
        <v/>
      </c>
      <c r="BA196" s="99">
        <f>BA194</f>
        <v/>
      </c>
      <c r="BB196" s="99">
        <f>BB194</f>
        <v/>
      </c>
      <c r="BC196" s="95">
        <f>IFERROR(IF($C196="","",IF($P$15="Cascade",$R196*(1-BB196)*BA196,IF($P$15="Additionnelle",($N196-($N196*($P196+BB196)))*BA196))),"Non Trouvé")</f>
        <v/>
      </c>
      <c r="BF196" s="99">
        <f>BF194</f>
        <v/>
      </c>
      <c r="BG196" s="99">
        <f>BG194</f>
        <v/>
      </c>
      <c r="BH196" s="95">
        <f>IFERROR(IF($C196="","",IF($P$15="Cascade",$R196*(1-BG196)*BF196,IF($P$15="Additionnelle",($N196-($N196*($P196+BG196)))*BF196))),"Non Trouvé")</f>
        <v/>
      </c>
      <c r="BK196" s="99">
        <f>BK194</f>
        <v/>
      </c>
      <c r="BL196" s="99">
        <f>BL194</f>
        <v/>
      </c>
      <c r="BM196" s="95">
        <f>IFERROR(IF($C196="","",IF($P$15="Cascade",$R196*(1-BL196)*BK196,IF($P$15="Additionnelle",($N196-($N196*($P196+BL196)))*BK196))),"Non Trouvé")</f>
        <v/>
      </c>
      <c r="BP196" s="99">
        <f>BP194</f>
        <v/>
      </c>
      <c r="BQ196" s="99">
        <f>BQ194</f>
        <v/>
      </c>
      <c r="BR196" s="95">
        <f>IFERROR(IF($C196="","",IF($P$15="Cascade",$R196*(1-BQ196)*BP196,IF($P$15="Additionnelle",($N196-($N196*($P196+BQ196)))*BP196))),"Non Trouvé")</f>
        <v/>
      </c>
      <c r="BU196" s="99">
        <f>BU194</f>
        <v/>
      </c>
      <c r="BV196" s="99">
        <f>BV194</f>
        <v/>
      </c>
      <c r="BW196" s="95">
        <f>IFERROR(IF($C196="","",IF($P$15="Cascade",$R196*(1-BV196)*BU196,IF($P$15="Additionnelle",($N196-($N196*($P196+BV196)))*BU196))),"Non Trouvé")</f>
        <v/>
      </c>
      <c r="BZ196" s="99">
        <f>BZ194</f>
        <v/>
      </c>
      <c r="CA196" s="99">
        <f>CA194</f>
        <v/>
      </c>
      <c r="CB196" s="95">
        <f>IFERROR(IF($C196="","",IF($P$15="Cascade",$R196*(1-CA196)*BZ196,IF($P$15="Additionnelle",($N196-($N196*($P196+CA196)))*BZ196))),"Non Trouvé")</f>
        <v/>
      </c>
      <c r="CE196" s="100" t="n"/>
      <c r="CF196" s="101" t="n"/>
      <c r="CG196" s="102" t="n"/>
      <c r="CH196" s="102" t="n"/>
      <c r="CI196" s="103" t="n"/>
      <c r="CK196" s="104">
        <f>IFERROR(IF(F196='[1]Paramètres Généraux'!$K$12,ROUNDUP((REGENERANTS!H196*REGENERANTS!$CF$166)*'[1]Paramètres Généraux'!$M$12,-1),REGENERANTS!H196*REGENERANTS!$CF$166),"nd")</f>
        <v/>
      </c>
      <c r="CN196" s="153" t="n"/>
      <c r="CO196" s="154" t="n"/>
      <c r="CP196" s="154" t="n"/>
      <c r="CQ196" s="154" t="n"/>
      <c r="CR196" s="154" t="n"/>
      <c r="CS196" s="180" t="n"/>
      <c r="CT196" s="181" t="n"/>
      <c r="CU196" s="154" t="n"/>
      <c r="CV196" s="180" t="n"/>
      <c r="CW196" s="157" t="n"/>
      <c r="CX196" s="156" t="n"/>
      <c r="CY196" s="157" t="n"/>
      <c r="CZ196" s="143" t="n"/>
      <c r="DA196" s="156" t="n"/>
      <c r="DB196" s="157" t="n"/>
      <c r="DC196" s="143" t="n"/>
      <c r="DD196" s="156" t="n"/>
      <c r="DE196" s="157" t="n"/>
      <c r="DF196" s="143" t="n"/>
      <c r="DG196" s="143" t="n"/>
      <c r="DH196" s="143" t="n"/>
      <c r="DI196" s="143" t="n"/>
      <c r="DJ196" s="143" t="n"/>
      <c r="DK196" s="143" t="n"/>
      <c r="DL196" s="143" t="n"/>
      <c r="DM196" s="143" t="n"/>
      <c r="DN196" s="143" t="n"/>
      <c r="DO196" s="156" t="n"/>
      <c r="DP196" s="157" t="n"/>
      <c r="DQ196" s="20">
        <f>SUM(CN196:DP196)</f>
        <v/>
      </c>
      <c r="DR196" s="20">
        <f>SUM(CV196:DP196)</f>
        <v/>
      </c>
      <c r="DS196" s="20">
        <f>IFERROR((IF(AND($F196="Produit Vente",CO196&gt;0),VLOOKUP($C196,'[1]Paramètres Articles'!$B:$H,7,FALSE)*$CO196)*(1-20%)),0)</f>
        <v/>
      </c>
      <c r="DT196" s="20">
        <f>IFERROR((IF(AND($F196="Produit Vente",DR196&gt;0),VLOOKUP($C196,'[1]Paramètres Articles'!$B:$H,6,FALSE)*$DR196)*(1-15%)),0)</f>
        <v/>
      </c>
    </row>
    <row r="197" hidden="1" outlineLevel="1" collapsed="1" ht="12.95" customHeight="1">
      <c r="B197" s="1">
        <f>IF(C197="",0,COUNTIFS($B$22:B196,"&gt;"&amp;0)+1)</f>
        <v/>
      </c>
      <c r="C197" s="90" t="n"/>
      <c r="D197" s="91">
        <f>IFERROR(IF($C197="","",VLOOKUP($C197,'[1]Paramètres Articles'!$B:$G,2,FALSE)),"Non Trouvé")</f>
        <v/>
      </c>
      <c r="E197" s="92">
        <f>IFERROR(IF($C197="","",_xlfn.XLOOKUP(REGENERANTS!$C197,'[1]New Base PA'!$F:$F,'[1]New Base PA'!$D:$D,"Not Found",0)),"Non Trouvé")</f>
        <v/>
      </c>
      <c r="F197" s="93" t="n"/>
      <c r="H197" s="106" t="n"/>
      <c r="J197" s="95">
        <f>IFERROR(IF($C197="","",VLOOKUP($C197,'[1]New Base PA'!$F:$J,5,FALSE)),"Non Trouvé")</f>
        <v/>
      </c>
      <c r="K197" s="136">
        <f>IFERROR(IF($C197="","",$J197*$H197),"Non Trouvé")</f>
        <v/>
      </c>
      <c r="L197" s="137" t="n"/>
      <c r="M197" s="95">
        <f>IFERROR(IF(AND($F197="Produit Vente",H197&gt;0),VLOOKUP($C197,'[1]Paramètres Articles'!$B:$G,6,FALSE),0),"Non Trouvé")</f>
        <v/>
      </c>
      <c r="N197" s="95">
        <f>IFERROR(IF($C197="","",$M197*$H197),"Non Trouvé")</f>
        <v/>
      </c>
      <c r="P197" s="97" t="n"/>
      <c r="R197" s="95">
        <f>IFERROR(IF($C197="","",$N197*(1-$P197)),"Non Trouvé")</f>
        <v/>
      </c>
      <c r="S197" s="96" t="n"/>
      <c r="T197" s="95">
        <f>IFERROR(IF($C197="","",VLOOKUP($C197,'[1]Paramètres Articles'!$B:$H,7,FALSE)),"Non Trouvé")</f>
        <v/>
      </c>
      <c r="U197" s="98" t="n"/>
      <c r="V197" s="95">
        <f>IFERROR(IF($C197="","",IF($P197="","",$T197*(1-$P197))),"Non Trouvé")</f>
        <v/>
      </c>
      <c r="W197" s="96" t="n"/>
      <c r="X197" s="95">
        <f>IFERROR(T197-V197,"")</f>
        <v/>
      </c>
      <c r="Y197" s="96" t="n"/>
      <c r="Z197" s="95">
        <f>IFERROR(IF(OR(T197=0,T197=""),0,T197*H197),"Non Trouvé")</f>
        <v/>
      </c>
      <c r="AB197" s="99">
        <f>AB196</f>
        <v/>
      </c>
      <c r="AC197" s="99">
        <f>AC196</f>
        <v/>
      </c>
      <c r="AD197" s="95">
        <f>IFERROR(IF($C197="","",IF($P$15="Cascade",$R197*(1-AC197)*AB197,IF($P$15="Additionnelle",($N197-($N197*($P197+AC197)))*AB197))),"Non Trouvé")</f>
        <v/>
      </c>
      <c r="AG197" s="99">
        <f>AG196</f>
        <v/>
      </c>
      <c r="AH197" s="99">
        <f>AH196</f>
        <v/>
      </c>
      <c r="AI197" s="95">
        <f>IFERROR(IF($C197="","",IF($P$15="Cascade",$R197*(1-AH197)*AG197,IF($P$15="Additionnelle",($N197-($N197*($P197+AH197)))*AG197))),"Non Trouvé")</f>
        <v/>
      </c>
      <c r="AL197" s="99">
        <f>AL196</f>
        <v/>
      </c>
      <c r="AM197" s="99">
        <f>AM196</f>
        <v/>
      </c>
      <c r="AN197" s="95">
        <f>IFERROR(IF($C197="","",IF($P$15="Cascade",$R197*(1-AM197)*AL197,IF($P$15="Additionnelle",($N197-($N197*($P197+AM197)))*AL197))),"Non Trouvé")</f>
        <v/>
      </c>
      <c r="AQ197" s="99">
        <f>AQ196</f>
        <v/>
      </c>
      <c r="AR197" s="99">
        <f>AR196</f>
        <v/>
      </c>
      <c r="AS197" s="95">
        <f>IFERROR(IF($C197="","",IF($P$15="Cascade",$R197*(1-AR197)*AQ197,IF($P$15="Additionnelle",($N197-($N197*($P197+AR197)))*AQ197))),"Non Trouvé")</f>
        <v/>
      </c>
      <c r="AV197" s="99">
        <f>AV196</f>
        <v/>
      </c>
      <c r="AW197" s="99">
        <f>AW196</f>
        <v/>
      </c>
      <c r="AX197" s="95">
        <f>IFERROR(IF($C197="","",IF($P$15="Cascade",$R197*(1-AW197)*AV197,IF($P$15="Additionnelle",($N197-($N197*($P197+AW197)))*AV197))),"Non Trouvé")</f>
        <v/>
      </c>
      <c r="BA197" s="99">
        <f>BA196</f>
        <v/>
      </c>
      <c r="BB197" s="99">
        <f>BB196</f>
        <v/>
      </c>
      <c r="BC197" s="95">
        <f>IFERROR(IF($C197="","",IF($P$15="Cascade",$R197*(1-BB197)*BA197,IF($P$15="Additionnelle",($N197-($N197*($P197+BB197)))*BA197))),"Non Trouvé")</f>
        <v/>
      </c>
      <c r="BF197" s="99">
        <f>BF196</f>
        <v/>
      </c>
      <c r="BG197" s="99">
        <f>BG196</f>
        <v/>
      </c>
      <c r="BH197" s="95">
        <f>IFERROR(IF($C197="","",IF($P$15="Cascade",$R197*(1-BG197)*BF197,IF($P$15="Additionnelle",($N197-($N197*($P197+BG197)))*BF197))),"Non Trouvé")</f>
        <v/>
      </c>
      <c r="BK197" s="99">
        <f>BK196</f>
        <v/>
      </c>
      <c r="BL197" s="99">
        <f>BL196</f>
        <v/>
      </c>
      <c r="BM197" s="95">
        <f>IFERROR(IF($C197="","",IF($P$15="Cascade",$R197*(1-BL197)*BK197,IF($P$15="Additionnelle",($N197-($N197*($P197+BL197)))*BK197))),"Non Trouvé")</f>
        <v/>
      </c>
      <c r="BP197" s="99">
        <f>BP196</f>
        <v/>
      </c>
      <c r="BQ197" s="99">
        <f>BQ196</f>
        <v/>
      </c>
      <c r="BR197" s="95">
        <f>IFERROR(IF($C197="","",IF($P$15="Cascade",$R197*(1-BQ197)*BP197,IF($P$15="Additionnelle",($N197-($N197*($P197+BQ197)))*BP197))),"Non Trouvé")</f>
        <v/>
      </c>
      <c r="BU197" s="99">
        <f>BU196</f>
        <v/>
      </c>
      <c r="BV197" s="99">
        <f>BV196</f>
        <v/>
      </c>
      <c r="BW197" s="95">
        <f>IFERROR(IF($C197="","",IF($P$15="Cascade",$R197*(1-BV197)*BU197,IF($P$15="Additionnelle",($N197-($N197*($P197+BV197)))*BU197))),"Non Trouvé")</f>
        <v/>
      </c>
      <c r="BZ197" s="99">
        <f>BZ196</f>
        <v/>
      </c>
      <c r="CA197" s="99">
        <f>CA196</f>
        <v/>
      </c>
      <c r="CB197" s="95">
        <f>IFERROR(IF($C197="","",IF($P$15="Cascade",$R197*(1-CA197)*BZ197,IF($P$15="Additionnelle",($N197-($N197*($P197+CA197)))*BZ197))),"Non Trouvé")</f>
        <v/>
      </c>
      <c r="CE197" s="100" t="n"/>
      <c r="CF197" s="101" t="n"/>
      <c r="CG197" s="102" t="n"/>
      <c r="CH197" s="102" t="n"/>
      <c r="CI197" s="103" t="n"/>
      <c r="CK197" s="104">
        <f>IFERROR(IF(F197='[1]Paramètres Généraux'!$K$12,ROUNDUP((REGENERANTS!H197*REGENERANTS!$CF$166)*'[1]Paramètres Généraux'!$M$12,-1),REGENERANTS!H197*REGENERANTS!$CF$166),"nd")</f>
        <v/>
      </c>
      <c r="CN197" s="153" t="n"/>
      <c r="CO197" s="154" t="n"/>
      <c r="CP197" s="154" t="n"/>
      <c r="CQ197" s="154" t="n"/>
      <c r="CR197" s="154" t="n"/>
      <c r="CS197" s="180" t="n"/>
      <c r="CT197" s="181" t="n"/>
      <c r="CU197" s="154" t="n"/>
      <c r="CV197" s="180" t="n"/>
      <c r="CW197" s="157" t="n"/>
      <c r="CX197" s="156" t="n"/>
      <c r="CY197" s="157" t="n"/>
      <c r="CZ197" s="143" t="n"/>
      <c r="DA197" s="156" t="n"/>
      <c r="DB197" s="157" t="n"/>
      <c r="DC197" s="143" t="n"/>
      <c r="DD197" s="156" t="n"/>
      <c r="DE197" s="157" t="n"/>
      <c r="DF197" s="143" t="n"/>
      <c r="DG197" s="143" t="n"/>
      <c r="DH197" s="143" t="n"/>
      <c r="DI197" s="143" t="n"/>
      <c r="DJ197" s="143" t="n"/>
      <c r="DK197" s="143" t="n"/>
      <c r="DL197" s="143" t="n"/>
      <c r="DM197" s="143" t="n"/>
      <c r="DN197" s="143" t="n"/>
      <c r="DO197" s="156" t="n"/>
      <c r="DP197" s="157" t="n"/>
      <c r="DQ197" s="20">
        <f>SUM(CN197:DP197)</f>
        <v/>
      </c>
      <c r="DR197" s="20">
        <f>SUM(CV197:DP197)</f>
        <v/>
      </c>
      <c r="DS197" s="20">
        <f>IFERROR((IF(AND($F197="Produit Vente",CO197&gt;0),VLOOKUP($C197,'[1]Paramètres Articles'!$B:$H,7,FALSE)*$CO197)*(1-20%)),0)</f>
        <v/>
      </c>
      <c r="DT197" s="20">
        <f>IFERROR((IF(AND($F197="Produit Vente",DR197&gt;0),VLOOKUP($C197,'[1]Paramètres Articles'!$B:$H,6,FALSE)*$DR197)*(1-15%)),0)</f>
        <v/>
      </c>
    </row>
    <row r="198" hidden="1" outlineLevel="1" collapsed="1" ht="12.95" customHeight="1">
      <c r="B198" s="1">
        <f>IF(C198="",0,COUNTIFS($B$22:B197,"&gt;"&amp;0)+1)</f>
        <v/>
      </c>
      <c r="C198" s="90" t="n"/>
      <c r="D198" s="91">
        <f>IFERROR(IF($C198="","",VLOOKUP($C198,'[1]Paramètres Articles'!$B:$G,2,FALSE)),"Non Trouvé")</f>
        <v/>
      </c>
      <c r="E198" s="92">
        <f>IFERROR(IF($C198="","",_xlfn.XLOOKUP(REGENERANTS!$C198,'[1]New Base PA'!$F:$F,'[1]New Base PA'!$D:$D,"Not Found",0)),"Non Trouvé")</f>
        <v/>
      </c>
      <c r="F198" s="93" t="n"/>
      <c r="H198" s="106" t="n"/>
      <c r="J198" s="95">
        <f>IFERROR(IF($C198="","",VLOOKUP($C198,'[1]New Base PA'!$F:$J,5,FALSE)),"Non Trouvé")</f>
        <v/>
      </c>
      <c r="K198" s="136">
        <f>IFERROR(IF($C198="","",$J198*$H198),"Non Trouvé")</f>
        <v/>
      </c>
      <c r="L198" s="137" t="n"/>
      <c r="M198" s="95">
        <f>IFERROR(IF(AND($F198="Produit Vente",H198&gt;0),VLOOKUP($C198,'[1]Paramètres Articles'!$B:$G,6,FALSE),0),"Non Trouvé")</f>
        <v/>
      </c>
      <c r="N198" s="95">
        <f>IFERROR(IF($C198="","",$M198*$H198),"Non Trouvé")</f>
        <v/>
      </c>
      <c r="P198" s="97" t="n"/>
      <c r="R198" s="95">
        <f>IFERROR(IF($C198="","",$N198*(1-$P198)),"Non Trouvé")</f>
        <v/>
      </c>
      <c r="S198" s="96" t="n"/>
      <c r="T198" s="95">
        <f>IFERROR(IF($C198="","",VLOOKUP($C198,'[1]Paramètres Articles'!$B:$H,7,FALSE)),"Non Trouvé")</f>
        <v/>
      </c>
      <c r="U198" s="98" t="n"/>
      <c r="V198" s="95">
        <f>IFERROR(IF($C198="","",IF($P198="","",$T198*(1-$P198))),"Non Trouvé")</f>
        <v/>
      </c>
      <c r="W198" s="96" t="n"/>
      <c r="X198" s="95">
        <f>IFERROR(T198-V198,"")</f>
        <v/>
      </c>
      <c r="Y198" s="96" t="n"/>
      <c r="Z198" s="95">
        <f>IFERROR(IF(OR(T198=0,T198=""),0,T198*H198),"Non Trouvé")</f>
        <v/>
      </c>
      <c r="AB198" s="99">
        <f>AB196</f>
        <v/>
      </c>
      <c r="AC198" s="99">
        <f>AC196</f>
        <v/>
      </c>
      <c r="AD198" s="95">
        <f>IFERROR(IF($C198="","",IF($P$15="Cascade",$R198*(1-AC198)*AB198,IF($P$15="Additionnelle",($N198-($N198*($P198+AC198)))*AB198))),"Non Trouvé")</f>
        <v/>
      </c>
      <c r="AG198" s="99">
        <f>AG196</f>
        <v/>
      </c>
      <c r="AH198" s="99">
        <f>AH196</f>
        <v/>
      </c>
      <c r="AI198" s="95">
        <f>IFERROR(IF($C198="","",IF($P$15="Cascade",$R198*(1-AH198)*AG198,IF($P$15="Additionnelle",($N198-($N198*($P198+AH198)))*AG198))),"Non Trouvé")</f>
        <v/>
      </c>
      <c r="AL198" s="99">
        <f>AL196</f>
        <v/>
      </c>
      <c r="AM198" s="99">
        <f>AM196</f>
        <v/>
      </c>
      <c r="AN198" s="95">
        <f>IFERROR(IF($C198="","",IF($P$15="Cascade",$R198*(1-AM198)*AL198,IF($P$15="Additionnelle",($N198-($N198*($P198+AM198)))*AL198))),"Non Trouvé")</f>
        <v/>
      </c>
      <c r="AQ198" s="99">
        <f>AQ196</f>
        <v/>
      </c>
      <c r="AR198" s="99">
        <f>AR196</f>
        <v/>
      </c>
      <c r="AS198" s="95">
        <f>IFERROR(IF($C198="","",IF($P$15="Cascade",$R198*(1-AR198)*AQ198,IF($P$15="Additionnelle",($N198-($N198*($P198+AR198)))*AQ198))),"Non Trouvé")</f>
        <v/>
      </c>
      <c r="AV198" s="99">
        <f>AV196</f>
        <v/>
      </c>
      <c r="AW198" s="99">
        <f>AW196</f>
        <v/>
      </c>
      <c r="AX198" s="95">
        <f>IFERROR(IF($C198="","",IF($P$15="Cascade",$R198*(1-AW198)*AV198,IF($P$15="Additionnelle",($N198-($N198*($P198+AW198)))*AV198))),"Non Trouvé")</f>
        <v/>
      </c>
      <c r="BA198" s="99">
        <f>BA196</f>
        <v/>
      </c>
      <c r="BB198" s="99">
        <f>BB196</f>
        <v/>
      </c>
      <c r="BC198" s="95">
        <f>IFERROR(IF($C198="","",IF($P$15="Cascade",$R198*(1-BB198)*BA198,IF($P$15="Additionnelle",($N198-($N198*($P198+BB198)))*BA198))),"Non Trouvé")</f>
        <v/>
      </c>
      <c r="BF198" s="99">
        <f>BF196</f>
        <v/>
      </c>
      <c r="BG198" s="99">
        <f>BG196</f>
        <v/>
      </c>
      <c r="BH198" s="95">
        <f>IFERROR(IF($C198="","",IF($P$15="Cascade",$R198*(1-BG198)*BF198,IF($P$15="Additionnelle",($N198-($N198*($P198+BG198)))*BF198))),"Non Trouvé")</f>
        <v/>
      </c>
      <c r="BK198" s="99">
        <f>BK196</f>
        <v/>
      </c>
      <c r="BL198" s="99">
        <f>BL196</f>
        <v/>
      </c>
      <c r="BM198" s="95">
        <f>IFERROR(IF($C198="","",IF($P$15="Cascade",$R198*(1-BL198)*BK198,IF($P$15="Additionnelle",($N198-($N198*($P198+BL198)))*BK198))),"Non Trouvé")</f>
        <v/>
      </c>
      <c r="BP198" s="99">
        <f>BP196</f>
        <v/>
      </c>
      <c r="BQ198" s="99">
        <f>BQ196</f>
        <v/>
      </c>
      <c r="BR198" s="95">
        <f>IFERROR(IF($C198="","",IF($P$15="Cascade",$R198*(1-BQ198)*BP198,IF($P$15="Additionnelle",($N198-($N198*($P198+BQ198)))*BP198))),"Non Trouvé")</f>
        <v/>
      </c>
      <c r="BU198" s="99">
        <f>BU196</f>
        <v/>
      </c>
      <c r="BV198" s="99">
        <f>BV196</f>
        <v/>
      </c>
      <c r="BW198" s="95">
        <f>IFERROR(IF($C198="","",IF($P$15="Cascade",$R198*(1-BV198)*BU198,IF($P$15="Additionnelle",($N198-($N198*($P198+BV198)))*BU198))),"Non Trouvé")</f>
        <v/>
      </c>
      <c r="BZ198" s="99">
        <f>BZ196</f>
        <v/>
      </c>
      <c r="CA198" s="99">
        <f>CA196</f>
        <v/>
      </c>
      <c r="CB198" s="95">
        <f>IFERROR(IF($C198="","",IF($P$15="Cascade",$R198*(1-CA198)*BZ198,IF($P$15="Additionnelle",($N198-($N198*($P198+CA198)))*BZ198))),"Non Trouvé")</f>
        <v/>
      </c>
      <c r="CE198" s="100" t="n"/>
      <c r="CF198" s="101" t="n"/>
      <c r="CG198" s="102" t="n"/>
      <c r="CH198" s="102" t="n"/>
      <c r="CI198" s="103" t="n"/>
      <c r="CK198" s="104">
        <f>IFERROR(IF(F198='[1]Paramètres Généraux'!$K$12,ROUNDUP((REGENERANTS!H198*REGENERANTS!$CF$166)*'[1]Paramètres Généraux'!$M$12,-1),REGENERANTS!H198*REGENERANTS!$CF$166),"nd")</f>
        <v/>
      </c>
      <c r="CN198" s="153" t="n"/>
      <c r="CO198" s="154" t="n"/>
      <c r="CP198" s="154" t="n"/>
      <c r="CQ198" s="154" t="n"/>
      <c r="CR198" s="154" t="n"/>
      <c r="CS198" s="180" t="n"/>
      <c r="CT198" s="181" t="n"/>
      <c r="CU198" s="154" t="n"/>
      <c r="CV198" s="180" t="n"/>
      <c r="CW198" s="157" t="n"/>
      <c r="CX198" s="156" t="n"/>
      <c r="CY198" s="157" t="n"/>
      <c r="CZ198" s="143" t="n"/>
      <c r="DA198" s="156" t="n"/>
      <c r="DB198" s="157" t="n"/>
      <c r="DC198" s="143" t="n"/>
      <c r="DD198" s="156" t="n"/>
      <c r="DE198" s="157" t="n"/>
      <c r="DF198" s="143" t="n"/>
      <c r="DG198" s="143" t="n"/>
      <c r="DH198" s="143" t="n"/>
      <c r="DI198" s="143" t="n"/>
      <c r="DJ198" s="143" t="n"/>
      <c r="DK198" s="143" t="n"/>
      <c r="DL198" s="143" t="n"/>
      <c r="DM198" s="143" t="n"/>
      <c r="DN198" s="143" t="n"/>
      <c r="DO198" s="156" t="n"/>
      <c r="DP198" s="157" t="n"/>
      <c r="DQ198" s="20">
        <f>SUM(CN198:DP198)</f>
        <v/>
      </c>
      <c r="DR198" s="20">
        <f>SUM(CV198:DP198)</f>
        <v/>
      </c>
      <c r="DS198" s="20">
        <f>IFERROR((IF(AND($F198="Produit Vente",CO198&gt;0),VLOOKUP($C198,'[1]Paramètres Articles'!$B:$H,7,FALSE)*$CO198)*(1-20%)),0)</f>
        <v/>
      </c>
      <c r="DT198" s="20">
        <f>IFERROR((IF(AND($F198="Produit Vente",DR198&gt;0),VLOOKUP($C198,'[1]Paramètres Articles'!$B:$H,6,FALSE)*$DR198)*(1-15%)),0)</f>
        <v/>
      </c>
    </row>
    <row r="199" hidden="1" outlineLevel="1" collapsed="1" ht="12.95" customHeight="1">
      <c r="B199" s="1">
        <f>IF(C199="",0,COUNTIFS($B$22:B198,"&gt;"&amp;0)+1)</f>
        <v/>
      </c>
      <c r="C199" s="90" t="n"/>
      <c r="D199" s="91">
        <f>IFERROR(IF($C199="","",VLOOKUP($C199,'[1]Paramètres Articles'!$B:$G,2,FALSE)),"Non Trouvé")</f>
        <v/>
      </c>
      <c r="E199" s="92">
        <f>IFERROR(IF($C199="","",_xlfn.XLOOKUP(REGENERANTS!$C199,'[1]New Base PA'!$F:$F,'[1]New Base PA'!$D:$D,"Not Found",0)),"Non Trouvé")</f>
        <v/>
      </c>
      <c r="F199" s="93" t="n"/>
      <c r="H199" s="106" t="n"/>
      <c r="J199" s="95">
        <f>IFERROR(IF($C199="","",VLOOKUP($C199,'[1]New Base PA'!$F:$J,5,FALSE)),"Non Trouvé")</f>
        <v/>
      </c>
      <c r="K199" s="136">
        <f>IFERROR(IF($C199="","",$J199*$H199),"Non Trouvé")</f>
        <v/>
      </c>
      <c r="L199" s="137" t="n"/>
      <c r="M199" s="95">
        <f>IFERROR(IF(AND($F199="Produit Vente",H199&gt;0),VLOOKUP($C199,'[1]Paramètres Articles'!$B:$G,6,FALSE),0),"Non Trouvé")</f>
        <v/>
      </c>
      <c r="N199" s="95">
        <f>IFERROR(IF($C199="","",$M199*$H199),"Non Trouvé")</f>
        <v/>
      </c>
      <c r="P199" s="97" t="n"/>
      <c r="R199" s="95">
        <f>IFERROR(IF($C199="","",$N199*(1-$P199)),"Non Trouvé")</f>
        <v/>
      </c>
      <c r="S199" s="96" t="n"/>
      <c r="T199" s="95">
        <f>IFERROR(IF($C199="","",VLOOKUP($C199,'[1]Paramètres Articles'!$B:$H,7,FALSE)),"Non Trouvé")</f>
        <v/>
      </c>
      <c r="U199" s="98" t="n"/>
      <c r="V199" s="95">
        <f>IFERROR(IF($C199="","",IF($P199="","",$T199*(1-$P199))),"Non Trouvé")</f>
        <v/>
      </c>
      <c r="W199" s="96" t="n"/>
      <c r="X199" s="95">
        <f>IFERROR(T199-V199,"")</f>
        <v/>
      </c>
      <c r="Y199" s="96" t="n"/>
      <c r="Z199" s="95">
        <f>IFERROR(IF(OR(T199=0,T199=""),0,T199*H199),"Non Trouvé")</f>
        <v/>
      </c>
      <c r="AB199" s="99">
        <f>AB198</f>
        <v/>
      </c>
      <c r="AC199" s="99">
        <f>AC198</f>
        <v/>
      </c>
      <c r="AD199" s="95">
        <f>IFERROR(IF($C199="","",IF($P$15="Cascade",$R199*(1-AC199)*AB199,IF($P$15="Additionnelle",($N199-($N199*($P199+AC199)))*AB199))),"Non Trouvé")</f>
        <v/>
      </c>
      <c r="AG199" s="99">
        <f>AG198</f>
        <v/>
      </c>
      <c r="AH199" s="99">
        <f>AH198</f>
        <v/>
      </c>
      <c r="AI199" s="95">
        <f>IFERROR(IF($C199="","",IF($P$15="Cascade",$R199*(1-AH199)*AG199,IF($P$15="Additionnelle",($N199-($N199*($P199+AH199)))*AG199))),"Non Trouvé")</f>
        <v/>
      </c>
      <c r="AL199" s="99">
        <f>AL198</f>
        <v/>
      </c>
      <c r="AM199" s="99">
        <f>AM198</f>
        <v/>
      </c>
      <c r="AN199" s="95">
        <f>IFERROR(IF($C199="","",IF($P$15="Cascade",$R199*(1-AM199)*AL199,IF($P$15="Additionnelle",($N199-($N199*($P199+AM199)))*AL199))),"Non Trouvé")</f>
        <v/>
      </c>
      <c r="AQ199" s="99">
        <f>AQ198</f>
        <v/>
      </c>
      <c r="AR199" s="99">
        <f>AR198</f>
        <v/>
      </c>
      <c r="AS199" s="95">
        <f>IFERROR(IF($C199="","",IF($P$15="Cascade",$R199*(1-AR199)*AQ199,IF($P$15="Additionnelle",($N199-($N199*($P199+AR199)))*AQ199))),"Non Trouvé")</f>
        <v/>
      </c>
      <c r="AV199" s="99">
        <f>AV198</f>
        <v/>
      </c>
      <c r="AW199" s="99">
        <f>AW198</f>
        <v/>
      </c>
      <c r="AX199" s="95">
        <f>IFERROR(IF($C199="","",IF($P$15="Cascade",$R199*(1-AW199)*AV199,IF($P$15="Additionnelle",($N199-($N199*($P199+AW199)))*AV199))),"Non Trouvé")</f>
        <v/>
      </c>
      <c r="BA199" s="99">
        <f>BA198</f>
        <v/>
      </c>
      <c r="BB199" s="99">
        <f>BB198</f>
        <v/>
      </c>
      <c r="BC199" s="95">
        <f>IFERROR(IF($C199="","",IF($P$15="Cascade",$R199*(1-BB199)*BA199,IF($P$15="Additionnelle",($N199-($N199*($P199+BB199)))*BA199))),"Non Trouvé")</f>
        <v/>
      </c>
      <c r="BF199" s="99">
        <f>BF198</f>
        <v/>
      </c>
      <c r="BG199" s="99">
        <f>BG198</f>
        <v/>
      </c>
      <c r="BH199" s="95">
        <f>IFERROR(IF($C199="","",IF($P$15="Cascade",$R199*(1-BG199)*BF199,IF($P$15="Additionnelle",($N199-($N199*($P199+BG199)))*BF199))),"Non Trouvé")</f>
        <v/>
      </c>
      <c r="BK199" s="99">
        <f>BK198</f>
        <v/>
      </c>
      <c r="BL199" s="99">
        <f>BL198</f>
        <v/>
      </c>
      <c r="BM199" s="95">
        <f>IFERROR(IF($C199="","",IF($P$15="Cascade",$R199*(1-BL199)*BK199,IF($P$15="Additionnelle",($N199-($N199*($P199+BL199)))*BK199))),"Non Trouvé")</f>
        <v/>
      </c>
      <c r="BP199" s="99">
        <f>BP198</f>
        <v/>
      </c>
      <c r="BQ199" s="99">
        <f>BQ198</f>
        <v/>
      </c>
      <c r="BR199" s="95">
        <f>IFERROR(IF($C199="","",IF($P$15="Cascade",$R199*(1-BQ199)*BP199,IF($P$15="Additionnelle",($N199-($N199*($P199+BQ199)))*BP199))),"Non Trouvé")</f>
        <v/>
      </c>
      <c r="BU199" s="99">
        <f>BU198</f>
        <v/>
      </c>
      <c r="BV199" s="99">
        <f>BV198</f>
        <v/>
      </c>
      <c r="BW199" s="95">
        <f>IFERROR(IF($C199="","",IF($P$15="Cascade",$R199*(1-BV199)*BU199,IF($P$15="Additionnelle",($N199-($N199*($P199+BV199)))*BU199))),"Non Trouvé")</f>
        <v/>
      </c>
      <c r="BZ199" s="99">
        <f>BZ198</f>
        <v/>
      </c>
      <c r="CA199" s="99">
        <f>CA198</f>
        <v/>
      </c>
      <c r="CB199" s="95">
        <f>IFERROR(IF($C199="","",IF($P$15="Cascade",$R199*(1-CA199)*BZ199,IF($P$15="Additionnelle",($N199-($N199*($P199+CA199)))*BZ199))),"Non Trouvé")</f>
        <v/>
      </c>
      <c r="CE199" s="100" t="n"/>
      <c r="CF199" s="101" t="n"/>
      <c r="CG199" s="102" t="n"/>
      <c r="CH199" s="102" t="n"/>
      <c r="CI199" s="103" t="n"/>
      <c r="CK199" s="104">
        <f>IFERROR(IF(F199='[1]Paramètres Généraux'!$K$12,ROUNDUP((REGENERANTS!H199*REGENERANTS!$CF$166)*'[1]Paramètres Généraux'!$M$12,-1),REGENERANTS!H199*REGENERANTS!$CF$166),"nd")</f>
        <v/>
      </c>
      <c r="CN199" s="153" t="n"/>
      <c r="CO199" s="154" t="n"/>
      <c r="CP199" s="154" t="n"/>
      <c r="CQ199" s="154" t="n"/>
      <c r="CR199" s="154" t="n"/>
      <c r="CS199" s="180" t="n"/>
      <c r="CT199" s="181" t="n"/>
      <c r="CU199" s="154" t="n"/>
      <c r="CV199" s="180" t="n"/>
      <c r="CW199" s="157" t="n"/>
      <c r="CX199" s="156" t="n"/>
      <c r="CY199" s="157" t="n"/>
      <c r="CZ199" s="143" t="n"/>
      <c r="DA199" s="156" t="n"/>
      <c r="DB199" s="157" t="n"/>
      <c r="DC199" s="143" t="n"/>
      <c r="DD199" s="156" t="n"/>
      <c r="DE199" s="157" t="n"/>
      <c r="DF199" s="143" t="n"/>
      <c r="DG199" s="143" t="n"/>
      <c r="DH199" s="143" t="n"/>
      <c r="DI199" s="143" t="n"/>
      <c r="DJ199" s="143" t="n"/>
      <c r="DK199" s="143" t="n"/>
      <c r="DL199" s="143" t="n"/>
      <c r="DM199" s="143" t="n"/>
      <c r="DN199" s="143" t="n"/>
      <c r="DO199" s="156" t="n"/>
      <c r="DP199" s="157" t="n"/>
      <c r="DQ199" s="20">
        <f>SUM(CN199:DP199)</f>
        <v/>
      </c>
      <c r="DR199" s="20">
        <f>SUM(CV199:DP199)</f>
        <v/>
      </c>
      <c r="DS199" s="20">
        <f>IFERROR((IF(AND($F199="Produit Vente",CO199&gt;0),VLOOKUP($C199,'[1]Paramètres Articles'!$B:$H,7,FALSE)*$CO199)*(1-20%)),0)</f>
        <v/>
      </c>
      <c r="DT199" s="20">
        <f>IFERROR((IF(AND($F199="Produit Vente",DR199&gt;0),VLOOKUP($C199,'[1]Paramètres Articles'!$B:$H,6,FALSE)*$DR199)*(1-15%)),0)</f>
        <v/>
      </c>
    </row>
    <row r="200" hidden="1" outlineLevel="1" collapsed="1" ht="12.95" customHeight="1">
      <c r="B200" s="1">
        <f>IF(C200="",0,COUNTIFS($B$22:B199,"&gt;"&amp;0)+1)</f>
        <v/>
      </c>
      <c r="C200" s="90" t="n"/>
      <c r="D200" s="91">
        <f>IFERROR(IF($C200="","",VLOOKUP($C200,'[1]Paramètres Articles'!$B:$G,2,FALSE)),"Non Trouvé")</f>
        <v/>
      </c>
      <c r="E200" s="92">
        <f>IFERROR(IF($C200="","",_xlfn.XLOOKUP(REGENERANTS!$C200,'[1]New Base PA'!$F:$F,'[1]New Base PA'!$D:$D,"Not Found",0)),"Non Trouvé")</f>
        <v/>
      </c>
      <c r="F200" s="93" t="n"/>
      <c r="H200" s="106" t="n"/>
      <c r="J200" s="95">
        <f>IFERROR(IF($C200="","",VLOOKUP($C200,'[1]New Base PA'!$F:$J,5,FALSE)),"Non Trouvé")</f>
        <v/>
      </c>
      <c r="K200" s="136">
        <f>IFERROR(IF($C200="","",$J200*$H200),"Non Trouvé")</f>
        <v/>
      </c>
      <c r="L200" s="137" t="n"/>
      <c r="M200" s="95">
        <f>IFERROR(IF(AND($F200="Produit Vente",H200&gt;0),VLOOKUP($C200,'[1]Paramètres Articles'!$B:$G,6,FALSE),0),"Non Trouvé")</f>
        <v/>
      </c>
      <c r="N200" s="95">
        <f>IFERROR(IF($C200="","",$M200*$H200),"Non Trouvé")</f>
        <v/>
      </c>
      <c r="P200" s="97" t="n"/>
      <c r="R200" s="95">
        <f>IFERROR(IF($C200="","",$N200*(1-$P200)),"Non Trouvé")</f>
        <v/>
      </c>
      <c r="S200" s="96" t="n"/>
      <c r="T200" s="95">
        <f>IFERROR(IF($C200="","",VLOOKUP($C200,'[1]Paramètres Articles'!$B:$H,7,FALSE)),"Non Trouvé")</f>
        <v/>
      </c>
      <c r="U200" s="98" t="n"/>
      <c r="V200" s="95">
        <f>IFERROR(IF($C200="","",IF($P200="","",$T200*(1-$P200))),"Non Trouvé")</f>
        <v/>
      </c>
      <c r="W200" s="96" t="n"/>
      <c r="X200" s="95">
        <f>IFERROR(T200-V200,"")</f>
        <v/>
      </c>
      <c r="Y200" s="96" t="n"/>
      <c r="Z200" s="95">
        <f>IFERROR(IF(OR(T200=0,T200=""),0,T200*H200),"Non Trouvé")</f>
        <v/>
      </c>
      <c r="AB200" s="99">
        <f>AB198</f>
        <v/>
      </c>
      <c r="AC200" s="99">
        <f>AC198</f>
        <v/>
      </c>
      <c r="AD200" s="95">
        <f>IFERROR(IF($C200="","",IF($P$15="Cascade",$R200*(1-AC200)*AB200,IF($P$15="Additionnelle",($N200-($N200*($P200+AC200)))*AB200))),"Non Trouvé")</f>
        <v/>
      </c>
      <c r="AG200" s="99">
        <f>AG198</f>
        <v/>
      </c>
      <c r="AH200" s="99">
        <f>AH198</f>
        <v/>
      </c>
      <c r="AI200" s="95">
        <f>IFERROR(IF($C200="","",IF($P$15="Cascade",$R200*(1-AH200)*AG200,IF($P$15="Additionnelle",($N200-($N200*($P200+AH200)))*AG200))),"Non Trouvé")</f>
        <v/>
      </c>
      <c r="AL200" s="99">
        <f>AL198</f>
        <v/>
      </c>
      <c r="AM200" s="99">
        <f>AM198</f>
        <v/>
      </c>
      <c r="AN200" s="95">
        <f>IFERROR(IF($C200="","",IF($P$15="Cascade",$R200*(1-AM200)*AL200,IF($P$15="Additionnelle",($N200-($N200*($P200+AM200)))*AL200))),"Non Trouvé")</f>
        <v/>
      </c>
      <c r="AQ200" s="99">
        <f>AQ198</f>
        <v/>
      </c>
      <c r="AR200" s="99">
        <f>AR198</f>
        <v/>
      </c>
      <c r="AS200" s="95">
        <f>IFERROR(IF($C200="","",IF($P$15="Cascade",$R200*(1-AR200)*AQ200,IF($P$15="Additionnelle",($N200-($N200*($P200+AR200)))*AQ200))),"Non Trouvé")</f>
        <v/>
      </c>
      <c r="AV200" s="99">
        <f>AV198</f>
        <v/>
      </c>
      <c r="AW200" s="99">
        <f>AW198</f>
        <v/>
      </c>
      <c r="AX200" s="95">
        <f>IFERROR(IF($C200="","",IF($P$15="Cascade",$R200*(1-AW200)*AV200,IF($P$15="Additionnelle",($N200-($N200*($P200+AW200)))*AV200))),"Non Trouvé")</f>
        <v/>
      </c>
      <c r="BA200" s="99">
        <f>BA198</f>
        <v/>
      </c>
      <c r="BB200" s="99">
        <f>BB198</f>
        <v/>
      </c>
      <c r="BC200" s="95">
        <f>IFERROR(IF($C200="","",IF($P$15="Cascade",$R200*(1-BB200)*BA200,IF($P$15="Additionnelle",($N200-($N200*($P200+BB200)))*BA200))),"Non Trouvé")</f>
        <v/>
      </c>
      <c r="BF200" s="99">
        <f>BF198</f>
        <v/>
      </c>
      <c r="BG200" s="99">
        <f>BG198</f>
        <v/>
      </c>
      <c r="BH200" s="95">
        <f>IFERROR(IF($C200="","",IF($P$15="Cascade",$R200*(1-BG200)*BF200,IF($P$15="Additionnelle",($N200-($N200*($P200+BG200)))*BF200))),"Non Trouvé")</f>
        <v/>
      </c>
      <c r="BK200" s="99">
        <f>BK198</f>
        <v/>
      </c>
      <c r="BL200" s="99">
        <f>BL198</f>
        <v/>
      </c>
      <c r="BM200" s="95">
        <f>IFERROR(IF($C200="","",IF($P$15="Cascade",$R200*(1-BL200)*BK200,IF($P$15="Additionnelle",($N200-($N200*($P200+BL200)))*BK200))),"Non Trouvé")</f>
        <v/>
      </c>
      <c r="BP200" s="99">
        <f>BP198</f>
        <v/>
      </c>
      <c r="BQ200" s="99">
        <f>BQ198</f>
        <v/>
      </c>
      <c r="BR200" s="95">
        <f>IFERROR(IF($C200="","",IF($P$15="Cascade",$R200*(1-BQ200)*BP200,IF($P$15="Additionnelle",($N200-($N200*($P200+BQ200)))*BP200))),"Non Trouvé")</f>
        <v/>
      </c>
      <c r="BU200" s="99">
        <f>BU198</f>
        <v/>
      </c>
      <c r="BV200" s="99">
        <f>BV198</f>
        <v/>
      </c>
      <c r="BW200" s="95">
        <f>IFERROR(IF($C200="","",IF($P$15="Cascade",$R200*(1-BV200)*BU200,IF($P$15="Additionnelle",($N200-($N200*($P200+BV200)))*BU200))),"Non Trouvé")</f>
        <v/>
      </c>
      <c r="BZ200" s="99">
        <f>BZ198</f>
        <v/>
      </c>
      <c r="CA200" s="99">
        <f>CA198</f>
        <v/>
      </c>
      <c r="CB200" s="95">
        <f>IFERROR(IF($C200="","",IF($P$15="Cascade",$R200*(1-CA200)*BZ200,IF($P$15="Additionnelle",($N200-($N200*($P200+CA200)))*BZ200))),"Non Trouvé")</f>
        <v/>
      </c>
      <c r="CE200" s="100" t="n"/>
      <c r="CF200" s="101" t="n"/>
      <c r="CG200" s="102" t="n"/>
      <c r="CH200" s="102" t="n"/>
      <c r="CI200" s="103" t="n"/>
      <c r="CK200" s="104">
        <f>IFERROR(IF(F200='[1]Paramètres Généraux'!$K$12,ROUNDUP((REGENERANTS!H200*REGENERANTS!$CF$166)*'[1]Paramètres Généraux'!$M$12,-1),REGENERANTS!H200*REGENERANTS!$CF$166),"nd")</f>
        <v/>
      </c>
      <c r="CN200" s="153" t="n"/>
      <c r="CO200" s="154" t="n"/>
      <c r="CP200" s="154" t="n"/>
      <c r="CQ200" s="154" t="n"/>
      <c r="CR200" s="154" t="n"/>
      <c r="CS200" s="180" t="n"/>
      <c r="CT200" s="181" t="n"/>
      <c r="CU200" s="154" t="n"/>
      <c r="CV200" s="180" t="n"/>
      <c r="CW200" s="157" t="n"/>
      <c r="CX200" s="156" t="n"/>
      <c r="CY200" s="157" t="n"/>
      <c r="CZ200" s="143" t="n"/>
      <c r="DA200" s="156" t="n"/>
      <c r="DB200" s="157" t="n"/>
      <c r="DC200" s="143" t="n"/>
      <c r="DD200" s="156" t="n"/>
      <c r="DE200" s="157" t="n"/>
      <c r="DF200" s="143" t="n"/>
      <c r="DG200" s="143" t="n"/>
      <c r="DH200" s="143" t="n"/>
      <c r="DI200" s="143" t="n"/>
      <c r="DJ200" s="143" t="n"/>
      <c r="DK200" s="143" t="n"/>
      <c r="DL200" s="143" t="n"/>
      <c r="DM200" s="143" t="n"/>
      <c r="DN200" s="143" t="n"/>
      <c r="DO200" s="156" t="n"/>
      <c r="DP200" s="157" t="n"/>
      <c r="DQ200" s="20">
        <f>SUM(CN200:DP200)</f>
        <v/>
      </c>
      <c r="DR200" s="20">
        <f>SUM(CV200:DP200)</f>
        <v/>
      </c>
      <c r="DS200" s="20">
        <f>IFERROR((IF(AND($F200="Produit Vente",CO200&gt;0),VLOOKUP($C200,'[1]Paramètres Articles'!$B:$H,7,FALSE)*$CO200)*(1-20%)),0)</f>
        <v/>
      </c>
      <c r="DT200" s="20">
        <f>IFERROR((IF(AND($F200="Produit Vente",DR200&gt;0),VLOOKUP($C200,'[1]Paramètres Articles'!$B:$H,6,FALSE)*$DR200)*(1-15%)),0)</f>
        <v/>
      </c>
    </row>
    <row r="201" hidden="1" outlineLevel="1" collapsed="1" ht="12.95" customHeight="1">
      <c r="B201" s="1">
        <f>IF(C201="",0,COUNTIFS($B$22:B200,"&gt;"&amp;0)+1)</f>
        <v/>
      </c>
      <c r="C201" s="90" t="n"/>
      <c r="D201" s="91">
        <f>IFERROR(IF($C201="","",VLOOKUP($C201,'[1]Paramètres Articles'!$B:$G,2,FALSE)),"Non Trouvé")</f>
        <v/>
      </c>
      <c r="E201" s="92">
        <f>IFERROR(IF($C201="","",_xlfn.XLOOKUP(REGENERANTS!$C201,'[1]New Base PA'!$F:$F,'[1]New Base PA'!$D:$D,"Not Found",0)),"Non Trouvé")</f>
        <v/>
      </c>
      <c r="F201" s="93" t="n"/>
      <c r="H201" s="106" t="n"/>
      <c r="J201" s="95">
        <f>IFERROR(IF($C201="","",VLOOKUP($C201,'[1]New Base PA'!$F:$J,5,FALSE)),"Non Trouvé")</f>
        <v/>
      </c>
      <c r="K201" s="136">
        <f>IFERROR(IF($C201="","",$J201*$H201),"Non Trouvé")</f>
        <v/>
      </c>
      <c r="L201" s="137" t="n"/>
      <c r="M201" s="95">
        <f>IFERROR(IF(AND($F201="Produit Vente",H201&gt;0),VLOOKUP($C201,'[1]Paramètres Articles'!$B:$G,6,FALSE),0),"Non Trouvé")</f>
        <v/>
      </c>
      <c r="N201" s="95">
        <f>IFERROR(IF($C201="","",$M201*$H201),"Non Trouvé")</f>
        <v/>
      </c>
      <c r="P201" s="97" t="n"/>
      <c r="R201" s="95">
        <f>IFERROR(IF($C201="","",$N201*(1-$P201)),"Non Trouvé")</f>
        <v/>
      </c>
      <c r="S201" s="96" t="n"/>
      <c r="T201" s="95">
        <f>IFERROR(IF($C201="","",VLOOKUP($C201,'[1]Paramètres Articles'!$B:$H,7,FALSE)),"Non Trouvé")</f>
        <v/>
      </c>
      <c r="U201" s="98" t="n"/>
      <c r="V201" s="95">
        <f>IFERROR(IF($C201="","",IF($P201="","",$T201*(1-$P201))),"Non Trouvé")</f>
        <v/>
      </c>
      <c r="W201" s="96" t="n"/>
      <c r="X201" s="95">
        <f>IFERROR(T201-V201,"")</f>
        <v/>
      </c>
      <c r="Y201" s="96" t="n"/>
      <c r="Z201" s="95">
        <f>IFERROR(IF(OR(T201=0,T201=""),0,T201*H201),"Non Trouvé")</f>
        <v/>
      </c>
      <c r="AB201" s="99">
        <f>AB200</f>
        <v/>
      </c>
      <c r="AC201" s="99">
        <f>AC200</f>
        <v/>
      </c>
      <c r="AD201" s="95">
        <f>IFERROR(IF($C201="","",IF($P$15="Cascade",$R201*(1-AC201)*AB201,IF($P$15="Additionnelle",($N201-($N201*($P201+AC201)))*AB201))),"Non Trouvé")</f>
        <v/>
      </c>
      <c r="AG201" s="99">
        <f>AG200</f>
        <v/>
      </c>
      <c r="AH201" s="99">
        <f>AH200</f>
        <v/>
      </c>
      <c r="AI201" s="95">
        <f>IFERROR(IF($C201="","",IF($P$15="Cascade",$R201*(1-AH201)*AG201,IF($P$15="Additionnelle",($N201-($N201*($P201+AH201)))*AG201))),"Non Trouvé")</f>
        <v/>
      </c>
      <c r="AL201" s="99">
        <f>AL200</f>
        <v/>
      </c>
      <c r="AM201" s="99">
        <f>AM200</f>
        <v/>
      </c>
      <c r="AN201" s="95">
        <f>IFERROR(IF($C201="","",IF($P$15="Cascade",$R201*(1-AM201)*AL201,IF($P$15="Additionnelle",($N201-($N201*($P201+AM201)))*AL201))),"Non Trouvé")</f>
        <v/>
      </c>
      <c r="AQ201" s="99">
        <f>AQ200</f>
        <v/>
      </c>
      <c r="AR201" s="99">
        <f>AR200</f>
        <v/>
      </c>
      <c r="AS201" s="95">
        <f>IFERROR(IF($C201="","",IF($P$15="Cascade",$R201*(1-AR201)*AQ201,IF($P$15="Additionnelle",($N201-($N201*($P201+AR201)))*AQ201))),"Non Trouvé")</f>
        <v/>
      </c>
      <c r="AV201" s="99">
        <f>AV200</f>
        <v/>
      </c>
      <c r="AW201" s="99">
        <f>AW200</f>
        <v/>
      </c>
      <c r="AX201" s="95">
        <f>IFERROR(IF($C201="","",IF($P$15="Cascade",$R201*(1-AW201)*AV201,IF($P$15="Additionnelle",($N201-($N201*($P201+AW201)))*AV201))),"Non Trouvé")</f>
        <v/>
      </c>
      <c r="BA201" s="99">
        <f>BA200</f>
        <v/>
      </c>
      <c r="BB201" s="99">
        <f>BB200</f>
        <v/>
      </c>
      <c r="BC201" s="95">
        <f>IFERROR(IF($C201="","",IF($P$15="Cascade",$R201*(1-BB201)*BA201,IF($P$15="Additionnelle",($N201-($N201*($P201+BB201)))*BA201))),"Non Trouvé")</f>
        <v/>
      </c>
      <c r="BF201" s="99">
        <f>BF200</f>
        <v/>
      </c>
      <c r="BG201" s="99">
        <f>BG200</f>
        <v/>
      </c>
      <c r="BH201" s="95">
        <f>IFERROR(IF($C201="","",IF($P$15="Cascade",$R201*(1-BG201)*BF201,IF($P$15="Additionnelle",($N201-($N201*($P201+BG201)))*BF201))),"Non Trouvé")</f>
        <v/>
      </c>
      <c r="BK201" s="99">
        <f>BK200</f>
        <v/>
      </c>
      <c r="BL201" s="99">
        <f>BL200</f>
        <v/>
      </c>
      <c r="BM201" s="95">
        <f>IFERROR(IF($C201="","",IF($P$15="Cascade",$R201*(1-BL201)*BK201,IF($P$15="Additionnelle",($N201-($N201*($P201+BL201)))*BK201))),"Non Trouvé")</f>
        <v/>
      </c>
      <c r="BP201" s="99">
        <f>BP200</f>
        <v/>
      </c>
      <c r="BQ201" s="99">
        <f>BQ200</f>
        <v/>
      </c>
      <c r="BR201" s="95">
        <f>IFERROR(IF($C201="","",IF($P$15="Cascade",$R201*(1-BQ201)*BP201,IF($P$15="Additionnelle",($N201-($N201*($P201+BQ201)))*BP201))),"Non Trouvé")</f>
        <v/>
      </c>
      <c r="BU201" s="99">
        <f>BU200</f>
        <v/>
      </c>
      <c r="BV201" s="99">
        <f>BV200</f>
        <v/>
      </c>
      <c r="BW201" s="95">
        <f>IFERROR(IF($C201="","",IF($P$15="Cascade",$R201*(1-BV201)*BU201,IF($P$15="Additionnelle",($N201-($N201*($P201+BV201)))*BU201))),"Non Trouvé")</f>
        <v/>
      </c>
      <c r="BZ201" s="99">
        <f>BZ200</f>
        <v/>
      </c>
      <c r="CA201" s="99">
        <f>CA200</f>
        <v/>
      </c>
      <c r="CB201" s="95">
        <f>IFERROR(IF($C201="","",IF($P$15="Cascade",$R201*(1-CA201)*BZ201,IF($P$15="Additionnelle",($N201-($N201*($P201+CA201)))*BZ201))),"Non Trouvé")</f>
        <v/>
      </c>
      <c r="CE201" s="100" t="n"/>
      <c r="CF201" s="101" t="n"/>
      <c r="CG201" s="102" t="n"/>
      <c r="CH201" s="102" t="n"/>
      <c r="CI201" s="103" t="n"/>
      <c r="CK201" s="104">
        <f>IFERROR(IF(F201='[1]Paramètres Généraux'!$K$12,ROUNDUP((REGENERANTS!H201*REGENERANTS!$CF$166)*'[1]Paramètres Généraux'!$M$12,-1),REGENERANTS!H201*REGENERANTS!$CF$166),"nd")</f>
        <v/>
      </c>
      <c r="CN201" s="153" t="n"/>
      <c r="CO201" s="154" t="n"/>
      <c r="CP201" s="154" t="n"/>
      <c r="CQ201" s="154" t="n"/>
      <c r="CR201" s="154" t="n"/>
      <c r="CS201" s="180" t="n"/>
      <c r="CT201" s="181" t="n"/>
      <c r="CU201" s="154" t="n"/>
      <c r="CV201" s="180" t="n"/>
      <c r="CW201" s="157" t="n"/>
      <c r="CX201" s="156" t="n"/>
      <c r="CY201" s="157" t="n"/>
      <c r="CZ201" s="143" t="n"/>
      <c r="DA201" s="156" t="n"/>
      <c r="DB201" s="157" t="n"/>
      <c r="DC201" s="143" t="n"/>
      <c r="DD201" s="156" t="n"/>
      <c r="DE201" s="157" t="n"/>
      <c r="DF201" s="143" t="n"/>
      <c r="DG201" s="143" t="n"/>
      <c r="DH201" s="143" t="n"/>
      <c r="DI201" s="143" t="n"/>
      <c r="DJ201" s="143" t="n"/>
      <c r="DK201" s="143" t="n"/>
      <c r="DL201" s="143" t="n"/>
      <c r="DM201" s="143" t="n"/>
      <c r="DN201" s="143" t="n"/>
      <c r="DO201" s="156" t="n"/>
      <c r="DP201" s="157" t="n"/>
      <c r="DQ201" s="20">
        <f>SUM(CN201:DP201)</f>
        <v/>
      </c>
      <c r="DR201" s="20">
        <f>SUM(CV201:DP201)</f>
        <v/>
      </c>
      <c r="DS201" s="20">
        <f>IFERROR((IF(AND($F201="Produit Vente",CO201&gt;0),VLOOKUP($C201,'[1]Paramètres Articles'!$B:$H,7,FALSE)*$CO201)*(1-20%)),0)</f>
        <v/>
      </c>
      <c r="DT201" s="20">
        <f>IFERROR((IF(AND($F201="Produit Vente",DR201&gt;0),VLOOKUP($C201,'[1]Paramètres Articles'!$B:$H,6,FALSE)*$DR201)*(1-15%)),0)</f>
        <v/>
      </c>
    </row>
    <row r="202" hidden="1" outlineLevel="1" collapsed="1" ht="12.95" customHeight="1">
      <c r="B202" s="1">
        <f>IF(C202="",0,COUNTIFS($B$22:B201,"&gt;"&amp;0)+1)</f>
        <v/>
      </c>
      <c r="C202" s="90" t="n"/>
      <c r="D202" s="91">
        <f>IFERROR(IF($C202="","",VLOOKUP($C202,'[1]Paramètres Articles'!$B:$G,2,FALSE)),"Non Trouvé")</f>
        <v/>
      </c>
      <c r="E202" s="92">
        <f>IFERROR(IF($C202="","",_xlfn.XLOOKUP(REGENERANTS!$C202,'[1]New Base PA'!$F:$F,'[1]New Base PA'!$D:$D,"Not Found",0)),"Non Trouvé")</f>
        <v/>
      </c>
      <c r="F202" s="93" t="n"/>
      <c r="H202" s="106" t="n"/>
      <c r="J202" s="95">
        <f>IFERROR(IF($C202="","",VLOOKUP($C202,'[1]New Base PA'!$F:$J,5,FALSE)),"Non Trouvé")</f>
        <v/>
      </c>
      <c r="K202" s="136">
        <f>IFERROR(IF($C202="","",$J202*$H202),"Non Trouvé")</f>
        <v/>
      </c>
      <c r="L202" s="137" t="n"/>
      <c r="M202" s="95">
        <f>IFERROR(IF(AND($F202="Produit Vente",H202&gt;0),VLOOKUP($C202,'[1]Paramètres Articles'!$B:$G,6,FALSE),0),"Non Trouvé")</f>
        <v/>
      </c>
      <c r="N202" s="95">
        <f>IFERROR(IF($C202="","",$M202*$H202),"Non Trouvé")</f>
        <v/>
      </c>
      <c r="P202" s="97" t="n"/>
      <c r="R202" s="95">
        <f>IFERROR(IF($C202="","",$N202*(1-$P202)),"Non Trouvé")</f>
        <v/>
      </c>
      <c r="S202" s="96" t="n"/>
      <c r="T202" s="95">
        <f>IFERROR(IF($C202="","",VLOOKUP($C202,'[1]Paramètres Articles'!$B:$H,7,FALSE)),"Non Trouvé")</f>
        <v/>
      </c>
      <c r="U202" s="98" t="n"/>
      <c r="V202" s="95">
        <f>IFERROR(IF($C202="","",IF($P202="","",$T202*(1-$P202))),"Non Trouvé")</f>
        <v/>
      </c>
      <c r="W202" s="96" t="n"/>
      <c r="X202" s="95">
        <f>IFERROR(T202-V202,"")</f>
        <v/>
      </c>
      <c r="Y202" s="96" t="n"/>
      <c r="Z202" s="95">
        <f>IFERROR(IF(OR(T202=0,T202=""),0,T202*H202),"Non Trouvé")</f>
        <v/>
      </c>
      <c r="AB202" s="99">
        <f>AB200</f>
        <v/>
      </c>
      <c r="AC202" s="99">
        <f>AC200</f>
        <v/>
      </c>
      <c r="AD202" s="95">
        <f>IFERROR(IF($C202="","",IF($P$15="Cascade",$R202*(1-AC202)*AB202,IF($P$15="Additionnelle",($N202-($N202*($P202+AC202)))*AB202))),"Non Trouvé")</f>
        <v/>
      </c>
      <c r="AG202" s="99">
        <f>AG200</f>
        <v/>
      </c>
      <c r="AH202" s="99">
        <f>AH200</f>
        <v/>
      </c>
      <c r="AI202" s="95">
        <f>IFERROR(IF($C202="","",IF($P$15="Cascade",$R202*(1-AH202)*AG202,IF($P$15="Additionnelle",($N202-($N202*($P202+AH202)))*AG202))),"Non Trouvé")</f>
        <v/>
      </c>
      <c r="AL202" s="99">
        <f>AL200</f>
        <v/>
      </c>
      <c r="AM202" s="99">
        <f>AM200</f>
        <v/>
      </c>
      <c r="AN202" s="95">
        <f>IFERROR(IF($C202="","",IF($P$15="Cascade",$R202*(1-AM202)*AL202,IF($P$15="Additionnelle",($N202-($N202*($P202+AM202)))*AL202))),"Non Trouvé")</f>
        <v/>
      </c>
      <c r="AQ202" s="99">
        <f>AQ200</f>
        <v/>
      </c>
      <c r="AR202" s="99">
        <f>AR200</f>
        <v/>
      </c>
      <c r="AS202" s="95">
        <f>IFERROR(IF($C202="","",IF($P$15="Cascade",$R202*(1-AR202)*AQ202,IF($P$15="Additionnelle",($N202-($N202*($P202+AR202)))*AQ202))),"Non Trouvé")</f>
        <v/>
      </c>
      <c r="AV202" s="99">
        <f>AV200</f>
        <v/>
      </c>
      <c r="AW202" s="99">
        <f>AW200</f>
        <v/>
      </c>
      <c r="AX202" s="95">
        <f>IFERROR(IF($C202="","",IF($P$15="Cascade",$R202*(1-AW202)*AV202,IF($P$15="Additionnelle",($N202-($N202*($P202+AW202)))*AV202))),"Non Trouvé")</f>
        <v/>
      </c>
      <c r="BA202" s="99">
        <f>BA200</f>
        <v/>
      </c>
      <c r="BB202" s="99">
        <f>BB200</f>
        <v/>
      </c>
      <c r="BC202" s="95">
        <f>IFERROR(IF($C202="","",IF($P$15="Cascade",$R202*(1-BB202)*BA202,IF($P$15="Additionnelle",($N202-($N202*($P202+BB202)))*BA202))),"Non Trouvé")</f>
        <v/>
      </c>
      <c r="BF202" s="99">
        <f>BF200</f>
        <v/>
      </c>
      <c r="BG202" s="99">
        <f>BG200</f>
        <v/>
      </c>
      <c r="BH202" s="95">
        <f>IFERROR(IF($C202="","",IF($P$15="Cascade",$R202*(1-BG202)*BF202,IF($P$15="Additionnelle",($N202-($N202*($P202+BG202)))*BF202))),"Non Trouvé")</f>
        <v/>
      </c>
      <c r="BK202" s="99">
        <f>BK200</f>
        <v/>
      </c>
      <c r="BL202" s="99">
        <f>BL200</f>
        <v/>
      </c>
      <c r="BM202" s="95">
        <f>IFERROR(IF($C202="","",IF($P$15="Cascade",$R202*(1-BL202)*BK202,IF($P$15="Additionnelle",($N202-($N202*($P202+BL202)))*BK202))),"Non Trouvé")</f>
        <v/>
      </c>
      <c r="BP202" s="99">
        <f>BP200</f>
        <v/>
      </c>
      <c r="BQ202" s="99">
        <f>BQ200</f>
        <v/>
      </c>
      <c r="BR202" s="95">
        <f>IFERROR(IF($C202="","",IF($P$15="Cascade",$R202*(1-BQ202)*BP202,IF($P$15="Additionnelle",($N202-($N202*($P202+BQ202)))*BP202))),"Non Trouvé")</f>
        <v/>
      </c>
      <c r="BU202" s="99">
        <f>BU200</f>
        <v/>
      </c>
      <c r="BV202" s="99">
        <f>BV200</f>
        <v/>
      </c>
      <c r="BW202" s="95">
        <f>IFERROR(IF($C202="","",IF($P$15="Cascade",$R202*(1-BV202)*BU202,IF($P$15="Additionnelle",($N202-($N202*($P202+BV202)))*BU202))),"Non Trouvé")</f>
        <v/>
      </c>
      <c r="BZ202" s="99">
        <f>BZ200</f>
        <v/>
      </c>
      <c r="CA202" s="99">
        <f>CA200</f>
        <v/>
      </c>
      <c r="CB202" s="95">
        <f>IFERROR(IF($C202="","",IF($P$15="Cascade",$R202*(1-CA202)*BZ202,IF($P$15="Additionnelle",($N202-($N202*($P202+CA202)))*BZ202))),"Non Trouvé")</f>
        <v/>
      </c>
      <c r="CE202" s="100" t="n"/>
      <c r="CF202" s="101" t="n"/>
      <c r="CG202" s="102" t="n"/>
      <c r="CH202" s="102" t="n"/>
      <c r="CI202" s="103" t="n"/>
      <c r="CK202" s="104">
        <f>IFERROR(IF(F202='[1]Paramètres Généraux'!$K$12,ROUNDUP((REGENERANTS!H202*REGENERANTS!$CF$166)*'[1]Paramètres Généraux'!$M$12,-1),REGENERANTS!H202*REGENERANTS!$CF$166),"nd")</f>
        <v/>
      </c>
      <c r="CN202" s="153" t="n"/>
      <c r="CO202" s="154" t="n"/>
      <c r="CP202" s="154" t="n"/>
      <c r="CQ202" s="154" t="n"/>
      <c r="CR202" s="154" t="n"/>
      <c r="CS202" s="180" t="n"/>
      <c r="CT202" s="181" t="n"/>
      <c r="CU202" s="154" t="n"/>
      <c r="CV202" s="180" t="n"/>
      <c r="CW202" s="157" t="n"/>
      <c r="CX202" s="156" t="n"/>
      <c r="CY202" s="157" t="n"/>
      <c r="CZ202" s="143" t="n"/>
      <c r="DA202" s="156" t="n"/>
      <c r="DB202" s="157" t="n"/>
      <c r="DC202" s="143" t="n"/>
      <c r="DD202" s="156" t="n"/>
      <c r="DE202" s="157" t="n"/>
      <c r="DF202" s="143" t="n"/>
      <c r="DG202" s="143" t="n"/>
      <c r="DH202" s="143" t="n"/>
      <c r="DI202" s="143" t="n"/>
      <c r="DJ202" s="143" t="n"/>
      <c r="DK202" s="143" t="n"/>
      <c r="DL202" s="143" t="n"/>
      <c r="DM202" s="143" t="n"/>
      <c r="DN202" s="143" t="n"/>
      <c r="DO202" s="156" t="n"/>
      <c r="DP202" s="157" t="n"/>
      <c r="DQ202" s="20">
        <f>SUM(CN202:DP202)</f>
        <v/>
      </c>
      <c r="DR202" s="20">
        <f>SUM(CV202:DP202)</f>
        <v/>
      </c>
      <c r="DS202" s="20">
        <f>IFERROR((IF(AND($F202="Produit Vente",CO202&gt;0),VLOOKUP($C202,'[1]Paramètres Articles'!$B:$H,7,FALSE)*$CO202)*(1-20%)),0)</f>
        <v/>
      </c>
      <c r="DT202" s="20">
        <f>IFERROR((IF(AND($F202="Produit Vente",DR202&gt;0),VLOOKUP($C202,'[1]Paramètres Articles'!$B:$H,6,FALSE)*$DR202)*(1-15%)),0)</f>
        <v/>
      </c>
    </row>
    <row r="203" hidden="1" outlineLevel="1" collapsed="1" ht="12.95" customHeight="1">
      <c r="B203" s="1">
        <f>IF(C203="",0,COUNTIFS($B$22:B202,"&gt;"&amp;0)+1)</f>
        <v/>
      </c>
      <c r="C203" s="90" t="n"/>
      <c r="D203" s="91">
        <f>IFERROR(IF($C203="","",VLOOKUP($C203,'[1]Paramètres Articles'!$B:$G,2,FALSE)),"Non Trouvé")</f>
        <v/>
      </c>
      <c r="E203" s="92">
        <f>IFERROR(IF($C203="","",_xlfn.XLOOKUP(REGENERANTS!$C203,'[1]New Base PA'!$F:$F,'[1]New Base PA'!$D:$D,"Not Found",0)),"Non Trouvé")</f>
        <v/>
      </c>
      <c r="F203" s="93" t="n"/>
      <c r="H203" s="106" t="n"/>
      <c r="J203" s="95">
        <f>IFERROR(IF($C203="","",VLOOKUP($C203,'[1]New Base PA'!$F:$J,5,FALSE)),"Non Trouvé")</f>
        <v/>
      </c>
      <c r="K203" s="136">
        <f>IFERROR(IF($C203="","",$J203*$H203),"Non Trouvé")</f>
        <v/>
      </c>
      <c r="L203" s="137" t="n"/>
      <c r="M203" s="95">
        <f>IFERROR(IF(AND($F203="Produit Vente",H203&gt;0),VLOOKUP($C203,'[1]Paramètres Articles'!$B:$G,6,FALSE),0),"Non Trouvé")</f>
        <v/>
      </c>
      <c r="N203" s="95">
        <f>IFERROR(IF($C203="","",$M203*$H203),"Non Trouvé")</f>
        <v/>
      </c>
      <c r="P203" s="97" t="n"/>
      <c r="R203" s="95">
        <f>IFERROR(IF($C203="","",$N203*(1-$P203)),"Non Trouvé")</f>
        <v/>
      </c>
      <c r="S203" s="96" t="n"/>
      <c r="T203" s="95">
        <f>IFERROR(IF($C203="","",VLOOKUP($C203,'[1]Paramètres Articles'!$B:$H,7,FALSE)),"Non Trouvé")</f>
        <v/>
      </c>
      <c r="U203" s="98" t="n"/>
      <c r="V203" s="95">
        <f>IFERROR(IF($C203="","",IF($P203="","",$T203*(1-$P203))),"Non Trouvé")</f>
        <v/>
      </c>
      <c r="W203" s="96" t="n"/>
      <c r="X203" s="95">
        <f>IFERROR(T203-V203,"")</f>
        <v/>
      </c>
      <c r="Y203" s="96" t="n"/>
      <c r="Z203" s="95">
        <f>IFERROR(IF(OR(T203=0,T203=""),0,T203*H203),"Non Trouvé")</f>
        <v/>
      </c>
      <c r="AB203" s="99">
        <f>AB202</f>
        <v/>
      </c>
      <c r="AC203" s="99">
        <f>AC202</f>
        <v/>
      </c>
      <c r="AD203" s="95">
        <f>IFERROR(IF($C203="","",IF($P$15="Cascade",$R203*(1-AC203)*AB203,IF($P$15="Additionnelle",($N203-($N203*($P203+AC203)))*AB203))),"Non Trouvé")</f>
        <v/>
      </c>
      <c r="AG203" s="99">
        <f>AG202</f>
        <v/>
      </c>
      <c r="AH203" s="99">
        <f>AH202</f>
        <v/>
      </c>
      <c r="AI203" s="95">
        <f>IFERROR(IF($C203="","",IF($P$15="Cascade",$R203*(1-AH203)*AG203,IF($P$15="Additionnelle",($N203-($N203*($P203+AH203)))*AG203))),"Non Trouvé")</f>
        <v/>
      </c>
      <c r="AL203" s="99">
        <f>AL202</f>
        <v/>
      </c>
      <c r="AM203" s="99">
        <f>AM202</f>
        <v/>
      </c>
      <c r="AN203" s="95">
        <f>IFERROR(IF($C203="","",IF($P$15="Cascade",$R203*(1-AM203)*AL203,IF($P$15="Additionnelle",($N203-($N203*($P203+AM203)))*AL203))),"Non Trouvé")</f>
        <v/>
      </c>
      <c r="AQ203" s="99">
        <f>AQ202</f>
        <v/>
      </c>
      <c r="AR203" s="99">
        <f>AR202</f>
        <v/>
      </c>
      <c r="AS203" s="95">
        <f>IFERROR(IF($C203="","",IF($P$15="Cascade",$R203*(1-AR203)*AQ203,IF($P$15="Additionnelle",($N203-($N203*($P203+AR203)))*AQ203))),"Non Trouvé")</f>
        <v/>
      </c>
      <c r="AV203" s="99">
        <f>AV202</f>
        <v/>
      </c>
      <c r="AW203" s="99">
        <f>AW202</f>
        <v/>
      </c>
      <c r="AX203" s="95">
        <f>IFERROR(IF($C203="","",IF($P$15="Cascade",$R203*(1-AW203)*AV203,IF($P$15="Additionnelle",($N203-($N203*($P203+AW203)))*AV203))),"Non Trouvé")</f>
        <v/>
      </c>
      <c r="BA203" s="99">
        <f>BA202</f>
        <v/>
      </c>
      <c r="BB203" s="99">
        <f>BB202</f>
        <v/>
      </c>
      <c r="BC203" s="95">
        <f>IFERROR(IF($C203="","",IF($P$15="Cascade",$R203*(1-BB203)*BA203,IF($P$15="Additionnelle",($N203-($N203*($P203+BB203)))*BA203))),"Non Trouvé")</f>
        <v/>
      </c>
      <c r="BF203" s="99">
        <f>BF202</f>
        <v/>
      </c>
      <c r="BG203" s="99">
        <f>BG202</f>
        <v/>
      </c>
      <c r="BH203" s="95">
        <f>IFERROR(IF($C203="","",IF($P$15="Cascade",$R203*(1-BG203)*BF203,IF($P$15="Additionnelle",($N203-($N203*($P203+BG203)))*BF203))),"Non Trouvé")</f>
        <v/>
      </c>
      <c r="BK203" s="99">
        <f>BK202</f>
        <v/>
      </c>
      <c r="BL203" s="99">
        <f>BL202</f>
        <v/>
      </c>
      <c r="BM203" s="95">
        <f>IFERROR(IF($C203="","",IF($P$15="Cascade",$R203*(1-BL203)*BK203,IF($P$15="Additionnelle",($N203-($N203*($P203+BL203)))*BK203))),"Non Trouvé")</f>
        <v/>
      </c>
      <c r="BP203" s="99">
        <f>BP202</f>
        <v/>
      </c>
      <c r="BQ203" s="99">
        <f>BQ202</f>
        <v/>
      </c>
      <c r="BR203" s="95">
        <f>IFERROR(IF($C203="","",IF($P$15="Cascade",$R203*(1-BQ203)*BP203,IF($P$15="Additionnelle",($N203-($N203*($P203+BQ203)))*BP203))),"Non Trouvé")</f>
        <v/>
      </c>
      <c r="BU203" s="99">
        <f>BU202</f>
        <v/>
      </c>
      <c r="BV203" s="99">
        <f>BV202</f>
        <v/>
      </c>
      <c r="BW203" s="95">
        <f>IFERROR(IF($C203="","",IF($P$15="Cascade",$R203*(1-BV203)*BU203,IF($P$15="Additionnelle",($N203-($N203*($P203+BV203)))*BU203))),"Non Trouvé")</f>
        <v/>
      </c>
      <c r="BZ203" s="99">
        <f>BZ202</f>
        <v/>
      </c>
      <c r="CA203" s="99">
        <f>CA202</f>
        <v/>
      </c>
      <c r="CB203" s="95">
        <f>IFERROR(IF($C203="","",IF($P$15="Cascade",$R203*(1-CA203)*BZ203,IF($P$15="Additionnelle",($N203-($N203*($P203+CA203)))*BZ203))),"Non Trouvé")</f>
        <v/>
      </c>
      <c r="CE203" s="100" t="n"/>
      <c r="CF203" s="101" t="n"/>
      <c r="CG203" s="102" t="n"/>
      <c r="CH203" s="102" t="n"/>
      <c r="CI203" s="103" t="n"/>
      <c r="CK203" s="104">
        <f>IFERROR(IF(F203='[1]Paramètres Généraux'!$K$12,ROUNDUP((REGENERANTS!H203*REGENERANTS!$CF$166)*'[1]Paramètres Généraux'!$M$12,-1),REGENERANTS!H203*REGENERANTS!$CF$166),"nd")</f>
        <v/>
      </c>
      <c r="CN203" s="153" t="n"/>
      <c r="CO203" s="154" t="n"/>
      <c r="CP203" s="154" t="n"/>
      <c r="CQ203" s="154" t="n"/>
      <c r="CR203" s="154" t="n"/>
      <c r="CS203" s="180" t="n"/>
      <c r="CT203" s="181" t="n"/>
      <c r="CU203" s="154" t="n"/>
      <c r="CV203" s="180" t="n"/>
      <c r="CW203" s="157" t="n"/>
      <c r="CX203" s="156" t="n"/>
      <c r="CY203" s="157" t="n"/>
      <c r="CZ203" s="143" t="n"/>
      <c r="DA203" s="156" t="n"/>
      <c r="DB203" s="157" t="n"/>
      <c r="DC203" s="143" t="n"/>
      <c r="DD203" s="156" t="n"/>
      <c r="DE203" s="157" t="n"/>
      <c r="DF203" s="143" t="n"/>
      <c r="DG203" s="143" t="n"/>
      <c r="DH203" s="143" t="n"/>
      <c r="DI203" s="143" t="n"/>
      <c r="DJ203" s="143" t="n"/>
      <c r="DK203" s="143" t="n"/>
      <c r="DL203" s="143" t="n"/>
      <c r="DM203" s="143" t="n"/>
      <c r="DN203" s="143" t="n"/>
      <c r="DO203" s="156" t="n"/>
      <c r="DP203" s="157" t="n"/>
      <c r="DQ203" s="20">
        <f>SUM(CN203:DP203)</f>
        <v/>
      </c>
      <c r="DR203" s="20">
        <f>SUM(CV203:DP203)</f>
        <v/>
      </c>
      <c r="DS203" s="20">
        <f>IFERROR((IF(AND($F203="Produit Vente",CO203&gt;0),VLOOKUP($C203,'[1]Paramètres Articles'!$B:$H,7,FALSE)*$CO203)*(1-20%)),0)</f>
        <v/>
      </c>
      <c r="DT203" s="20">
        <f>IFERROR((IF(AND($F203="Produit Vente",DR203&gt;0),VLOOKUP($C203,'[1]Paramètres Articles'!$B:$H,6,FALSE)*$DR203)*(1-15%)),0)</f>
        <v/>
      </c>
    </row>
    <row r="204" hidden="1" outlineLevel="1" collapsed="1" ht="12.95" customHeight="1">
      <c r="B204" s="1">
        <f>IF(C204="",0,COUNTIFS($B$22:B203,"&gt;"&amp;0)+1)</f>
        <v/>
      </c>
      <c r="C204" s="90" t="n"/>
      <c r="D204" s="91">
        <f>IFERROR(IF($C204="","",VLOOKUP($C204,'[1]Paramètres Articles'!$B:$G,2,FALSE)),"Non Trouvé")</f>
        <v/>
      </c>
      <c r="E204" s="92">
        <f>IFERROR(IF($C204="","",_xlfn.XLOOKUP(REGENERANTS!$C204,'[1]New Base PA'!$F:$F,'[1]New Base PA'!$D:$D,"Not Found",0)),"Non Trouvé")</f>
        <v/>
      </c>
      <c r="F204" s="93" t="n"/>
      <c r="H204" s="106" t="n"/>
      <c r="J204" s="95">
        <f>IFERROR(IF($C204="","",VLOOKUP($C204,'[1]New Base PA'!$F:$J,5,FALSE)),"Non Trouvé")</f>
        <v/>
      </c>
      <c r="K204" s="136">
        <f>IFERROR(IF($C204="","",$J204*$H204),"Non Trouvé")</f>
        <v/>
      </c>
      <c r="L204" s="137" t="n"/>
      <c r="M204" s="95">
        <f>IFERROR(IF(AND($F204="Produit Vente",H204&gt;0),VLOOKUP($C204,'[1]Paramètres Articles'!$B:$G,6,FALSE),0),"Non Trouvé")</f>
        <v/>
      </c>
      <c r="N204" s="95">
        <f>IFERROR(IF($C204="","",$M204*$H204),"Non Trouvé")</f>
        <v/>
      </c>
      <c r="P204" s="97" t="n"/>
      <c r="R204" s="95">
        <f>IFERROR(IF($C204="","",$N204*(1-$P204)),"Non Trouvé")</f>
        <v/>
      </c>
      <c r="S204" s="96" t="n"/>
      <c r="T204" s="95">
        <f>IFERROR(IF($C204="","",VLOOKUP($C204,'[1]Paramètres Articles'!$B:$H,7,FALSE)),"Non Trouvé")</f>
        <v/>
      </c>
      <c r="U204" s="98" t="n"/>
      <c r="V204" s="95">
        <f>IFERROR(IF($C204="","",IF($P204="","",$T204*(1-$P204))),"Non Trouvé")</f>
        <v/>
      </c>
      <c r="W204" s="96" t="n"/>
      <c r="X204" s="95">
        <f>IFERROR(T204-V204,"")</f>
        <v/>
      </c>
      <c r="Y204" s="96" t="n"/>
      <c r="Z204" s="95">
        <f>IFERROR(IF(OR(T204=0,T204=""),0,T204*H204),"Non Trouvé")</f>
        <v/>
      </c>
      <c r="AB204" s="99">
        <f>AB202</f>
        <v/>
      </c>
      <c r="AC204" s="99">
        <f>AC202</f>
        <v/>
      </c>
      <c r="AD204" s="95">
        <f>IFERROR(IF($C204="","",IF($P$15="Cascade",$R204*(1-AC204)*AB204,IF($P$15="Additionnelle",($N204-($N204*($P204+AC204)))*AB204))),"Non Trouvé")</f>
        <v/>
      </c>
      <c r="AG204" s="99">
        <f>AG202</f>
        <v/>
      </c>
      <c r="AH204" s="99">
        <f>AH202</f>
        <v/>
      </c>
      <c r="AI204" s="95">
        <f>IFERROR(IF($C204="","",IF($P$15="Cascade",$R204*(1-AH204)*AG204,IF($P$15="Additionnelle",($N204-($N204*($P204+AH204)))*AG204))),"Non Trouvé")</f>
        <v/>
      </c>
      <c r="AL204" s="99">
        <f>AL202</f>
        <v/>
      </c>
      <c r="AM204" s="99">
        <f>AM202</f>
        <v/>
      </c>
      <c r="AN204" s="95">
        <f>IFERROR(IF($C204="","",IF($P$15="Cascade",$R204*(1-AM204)*AL204,IF($P$15="Additionnelle",($N204-($N204*($P204+AM204)))*AL204))),"Non Trouvé")</f>
        <v/>
      </c>
      <c r="AQ204" s="99">
        <f>AQ202</f>
        <v/>
      </c>
      <c r="AR204" s="99">
        <f>AR202</f>
        <v/>
      </c>
      <c r="AS204" s="95">
        <f>IFERROR(IF($C204="","",IF($P$15="Cascade",$R204*(1-AR204)*AQ204,IF($P$15="Additionnelle",($N204-($N204*($P204+AR204)))*AQ204))),"Non Trouvé")</f>
        <v/>
      </c>
      <c r="AV204" s="99">
        <f>AV202</f>
        <v/>
      </c>
      <c r="AW204" s="99">
        <f>AW202</f>
        <v/>
      </c>
      <c r="AX204" s="95">
        <f>IFERROR(IF($C204="","",IF($P$15="Cascade",$R204*(1-AW204)*AV204,IF($P$15="Additionnelle",($N204-($N204*($P204+AW204)))*AV204))),"Non Trouvé")</f>
        <v/>
      </c>
      <c r="BA204" s="99">
        <f>BA202</f>
        <v/>
      </c>
      <c r="BB204" s="99">
        <f>BB202</f>
        <v/>
      </c>
      <c r="BC204" s="95">
        <f>IFERROR(IF($C204="","",IF($P$15="Cascade",$R204*(1-BB204)*BA204,IF($P$15="Additionnelle",($N204-($N204*($P204+BB204)))*BA204))),"Non Trouvé")</f>
        <v/>
      </c>
      <c r="BF204" s="99">
        <f>BF202</f>
        <v/>
      </c>
      <c r="BG204" s="99">
        <f>BG202</f>
        <v/>
      </c>
      <c r="BH204" s="95">
        <f>IFERROR(IF($C204="","",IF($P$15="Cascade",$R204*(1-BG204)*BF204,IF($P$15="Additionnelle",($N204-($N204*($P204+BG204)))*BF204))),"Non Trouvé")</f>
        <v/>
      </c>
      <c r="BK204" s="99">
        <f>BK202</f>
        <v/>
      </c>
      <c r="BL204" s="99">
        <f>BL202</f>
        <v/>
      </c>
      <c r="BM204" s="95">
        <f>IFERROR(IF($C204="","",IF($P$15="Cascade",$R204*(1-BL204)*BK204,IF($P$15="Additionnelle",($N204-($N204*($P204+BL204)))*BK204))),"Non Trouvé")</f>
        <v/>
      </c>
      <c r="BP204" s="99">
        <f>BP202</f>
        <v/>
      </c>
      <c r="BQ204" s="99">
        <f>BQ202</f>
        <v/>
      </c>
      <c r="BR204" s="95">
        <f>IFERROR(IF($C204="","",IF($P$15="Cascade",$R204*(1-BQ204)*BP204,IF($P$15="Additionnelle",($N204-($N204*($P204+BQ204)))*BP204))),"Non Trouvé")</f>
        <v/>
      </c>
      <c r="BU204" s="99">
        <f>BU202</f>
        <v/>
      </c>
      <c r="BV204" s="99">
        <f>BV202</f>
        <v/>
      </c>
      <c r="BW204" s="95">
        <f>IFERROR(IF($C204="","",IF($P$15="Cascade",$R204*(1-BV204)*BU204,IF($P$15="Additionnelle",($N204-($N204*($P204+BV204)))*BU204))),"Non Trouvé")</f>
        <v/>
      </c>
      <c r="BZ204" s="99">
        <f>BZ202</f>
        <v/>
      </c>
      <c r="CA204" s="99">
        <f>CA202</f>
        <v/>
      </c>
      <c r="CB204" s="95">
        <f>IFERROR(IF($C204="","",IF($P$15="Cascade",$R204*(1-CA204)*BZ204,IF($P$15="Additionnelle",($N204-($N204*($P204+CA204)))*BZ204))),"Non Trouvé")</f>
        <v/>
      </c>
      <c r="CE204" s="100" t="n"/>
      <c r="CF204" s="101" t="n"/>
      <c r="CG204" s="102" t="n"/>
      <c r="CH204" s="102" t="n"/>
      <c r="CI204" s="103" t="n"/>
      <c r="CK204" s="104">
        <f>IFERROR(IF(F204='[1]Paramètres Généraux'!$K$12,ROUNDUP((REGENERANTS!H204*REGENERANTS!$CF$166)*'[1]Paramètres Généraux'!$M$12,-1),REGENERANTS!H204*REGENERANTS!$CF$166),"nd")</f>
        <v/>
      </c>
      <c r="CN204" s="153" t="n"/>
      <c r="CO204" s="154" t="n"/>
      <c r="CP204" s="154" t="n"/>
      <c r="CQ204" s="154" t="n"/>
      <c r="CR204" s="154" t="n"/>
      <c r="CS204" s="180" t="n"/>
      <c r="CT204" s="181" t="n"/>
      <c r="CU204" s="154" t="n"/>
      <c r="CV204" s="180" t="n"/>
      <c r="CW204" s="157" t="n"/>
      <c r="CX204" s="156" t="n"/>
      <c r="CY204" s="157" t="n"/>
      <c r="CZ204" s="143" t="n"/>
      <c r="DA204" s="156" t="n"/>
      <c r="DB204" s="157" t="n"/>
      <c r="DC204" s="143" t="n"/>
      <c r="DD204" s="156" t="n"/>
      <c r="DE204" s="157" t="n"/>
      <c r="DF204" s="143" t="n"/>
      <c r="DG204" s="143" t="n"/>
      <c r="DH204" s="143" t="n"/>
      <c r="DI204" s="143" t="n"/>
      <c r="DJ204" s="143" t="n"/>
      <c r="DK204" s="143" t="n"/>
      <c r="DL204" s="143" t="n"/>
      <c r="DM204" s="143" t="n"/>
      <c r="DN204" s="143" t="n"/>
      <c r="DO204" s="156" t="n"/>
      <c r="DP204" s="157" t="n"/>
      <c r="DQ204" s="20">
        <f>SUM(CN204:DP204)</f>
        <v/>
      </c>
      <c r="DR204" s="20">
        <f>SUM(CV204:DP204)</f>
        <v/>
      </c>
      <c r="DS204" s="20">
        <f>IFERROR((IF(AND($F204="Produit Vente",CO204&gt;0),VLOOKUP($C204,'[1]Paramètres Articles'!$B:$H,7,FALSE)*$CO204)*(1-20%)),0)</f>
        <v/>
      </c>
      <c r="DT204" s="20">
        <f>IFERROR((IF(AND($F204="Produit Vente",DR204&gt;0),VLOOKUP($C204,'[1]Paramètres Articles'!$B:$H,6,FALSE)*$DR204)*(1-15%)),0)</f>
        <v/>
      </c>
    </row>
    <row r="205" hidden="1" outlineLevel="1" collapsed="1" ht="12.95" customHeight="1">
      <c r="B205" s="1">
        <f>IF(C205="",0,COUNTIFS($B$22:B204,"&gt;"&amp;0)+1)</f>
        <v/>
      </c>
      <c r="C205" s="90" t="n"/>
      <c r="D205" s="91">
        <f>IFERROR(IF($C205="","",VLOOKUP($C205,'[1]Paramètres Articles'!$B:$G,2,FALSE)),"Non Trouvé")</f>
        <v/>
      </c>
      <c r="E205" s="92">
        <f>IFERROR(IF($C205="","",_xlfn.XLOOKUP(REGENERANTS!$C205,'[1]New Base PA'!$F:$F,'[1]New Base PA'!$D:$D,"Not Found",0)),"Non Trouvé")</f>
        <v/>
      </c>
      <c r="F205" s="93" t="n"/>
      <c r="H205" s="106" t="n"/>
      <c r="J205" s="95">
        <f>IFERROR(IF($C205="","",VLOOKUP($C205,'[1]New Base PA'!$F:$J,5,FALSE)),"Non Trouvé")</f>
        <v/>
      </c>
      <c r="K205" s="136">
        <f>IFERROR(IF($C205="","",$J205*$H205),"Non Trouvé")</f>
        <v/>
      </c>
      <c r="L205" s="137" t="n"/>
      <c r="M205" s="95">
        <f>IFERROR(IF(AND($F205="Produit Vente",H205&gt;0),VLOOKUP($C205,'[1]Paramètres Articles'!$B:$G,6,FALSE),0),"Non Trouvé")</f>
        <v/>
      </c>
      <c r="N205" s="95">
        <f>IFERROR(IF($C205="","",$M205*$H205),"Non Trouvé")</f>
        <v/>
      </c>
      <c r="P205" s="97" t="n"/>
      <c r="R205" s="95">
        <f>IFERROR(IF($C205="","",$N205*(1-$P205)),"Non Trouvé")</f>
        <v/>
      </c>
      <c r="S205" s="96" t="n"/>
      <c r="T205" s="95">
        <f>IFERROR(IF($C205="","",VLOOKUP($C205,'[1]Paramètres Articles'!$B:$H,7,FALSE)),"Non Trouvé")</f>
        <v/>
      </c>
      <c r="U205" s="98" t="n"/>
      <c r="V205" s="95">
        <f>IFERROR(IF($C205="","",IF($P205="","",$T205*(1-$P205))),"Non Trouvé")</f>
        <v/>
      </c>
      <c r="W205" s="96" t="n"/>
      <c r="X205" s="95">
        <f>IFERROR(T205-V205,"")</f>
        <v/>
      </c>
      <c r="Y205" s="96" t="n"/>
      <c r="Z205" s="95">
        <f>IFERROR(IF(OR(T205=0,T205=""),0,T205*H205),"Non Trouvé")</f>
        <v/>
      </c>
      <c r="AB205" s="99">
        <f>AB204</f>
        <v/>
      </c>
      <c r="AC205" s="99">
        <f>AC204</f>
        <v/>
      </c>
      <c r="AD205" s="95">
        <f>IFERROR(IF($C205="","",IF($P$15="Cascade",$R205*(1-AC205)*AB205,IF($P$15="Additionnelle",($N205-($N205*($P205+AC205)))*AB205))),"Non Trouvé")</f>
        <v/>
      </c>
      <c r="AG205" s="99">
        <f>AG204</f>
        <v/>
      </c>
      <c r="AH205" s="99">
        <f>AH204</f>
        <v/>
      </c>
      <c r="AI205" s="95">
        <f>IFERROR(IF($C205="","",IF($P$15="Cascade",$R205*(1-AH205)*AG205,IF($P$15="Additionnelle",($N205-($N205*($P205+AH205)))*AG205))),"Non Trouvé")</f>
        <v/>
      </c>
      <c r="AL205" s="99">
        <f>AL204</f>
        <v/>
      </c>
      <c r="AM205" s="99">
        <f>AM204</f>
        <v/>
      </c>
      <c r="AN205" s="95">
        <f>IFERROR(IF($C205="","",IF($P$15="Cascade",$R205*(1-AM205)*AL205,IF($P$15="Additionnelle",($N205-($N205*($P205+AM205)))*AL205))),"Non Trouvé")</f>
        <v/>
      </c>
      <c r="AQ205" s="99">
        <f>AQ204</f>
        <v/>
      </c>
      <c r="AR205" s="99">
        <f>AR204</f>
        <v/>
      </c>
      <c r="AS205" s="95">
        <f>IFERROR(IF($C205="","",IF($P$15="Cascade",$R205*(1-AR205)*AQ205,IF($P$15="Additionnelle",($N205-($N205*($P205+AR205)))*AQ205))),"Non Trouvé")</f>
        <v/>
      </c>
      <c r="AV205" s="99">
        <f>AV204</f>
        <v/>
      </c>
      <c r="AW205" s="99">
        <f>AW204</f>
        <v/>
      </c>
      <c r="AX205" s="95">
        <f>IFERROR(IF($C205="","",IF($P$15="Cascade",$R205*(1-AW205)*AV205,IF($P$15="Additionnelle",($N205-($N205*($P205+AW205)))*AV205))),"Non Trouvé")</f>
        <v/>
      </c>
      <c r="BA205" s="99">
        <f>BA204</f>
        <v/>
      </c>
      <c r="BB205" s="99">
        <f>BB204</f>
        <v/>
      </c>
      <c r="BC205" s="95">
        <f>IFERROR(IF($C205="","",IF($P$15="Cascade",$R205*(1-BB205)*BA205,IF($P$15="Additionnelle",($N205-($N205*($P205+BB205)))*BA205))),"Non Trouvé")</f>
        <v/>
      </c>
      <c r="BF205" s="99">
        <f>BF204</f>
        <v/>
      </c>
      <c r="BG205" s="99">
        <f>BG204</f>
        <v/>
      </c>
      <c r="BH205" s="95">
        <f>IFERROR(IF($C205="","",IF($P$15="Cascade",$R205*(1-BG205)*BF205,IF($P$15="Additionnelle",($N205-($N205*($P205+BG205)))*BF205))),"Non Trouvé")</f>
        <v/>
      </c>
      <c r="BK205" s="99">
        <f>BK204</f>
        <v/>
      </c>
      <c r="BL205" s="99">
        <f>BL204</f>
        <v/>
      </c>
      <c r="BM205" s="95">
        <f>IFERROR(IF($C205="","",IF($P$15="Cascade",$R205*(1-BL205)*BK205,IF($P$15="Additionnelle",($N205-($N205*($P205+BL205)))*BK205))),"Non Trouvé")</f>
        <v/>
      </c>
      <c r="BP205" s="99">
        <f>BP204</f>
        <v/>
      </c>
      <c r="BQ205" s="99">
        <f>BQ204</f>
        <v/>
      </c>
      <c r="BR205" s="95">
        <f>IFERROR(IF($C205="","",IF($P$15="Cascade",$R205*(1-BQ205)*BP205,IF($P$15="Additionnelle",($N205-($N205*($P205+BQ205)))*BP205))),"Non Trouvé")</f>
        <v/>
      </c>
      <c r="BU205" s="99">
        <f>BU204</f>
        <v/>
      </c>
      <c r="BV205" s="99">
        <f>BV204</f>
        <v/>
      </c>
      <c r="BW205" s="95">
        <f>IFERROR(IF($C205="","",IF($P$15="Cascade",$R205*(1-BV205)*BU205,IF($P$15="Additionnelle",($N205-($N205*($P205+BV205)))*BU205))),"Non Trouvé")</f>
        <v/>
      </c>
      <c r="BZ205" s="99">
        <f>BZ204</f>
        <v/>
      </c>
      <c r="CA205" s="99">
        <f>CA204</f>
        <v/>
      </c>
      <c r="CB205" s="95">
        <f>IFERROR(IF($C205="","",IF($P$15="Cascade",$R205*(1-CA205)*BZ205,IF($P$15="Additionnelle",($N205-($N205*($P205+CA205)))*BZ205))),"Non Trouvé")</f>
        <v/>
      </c>
      <c r="CE205" s="100" t="n"/>
      <c r="CF205" s="101" t="n"/>
      <c r="CG205" s="102" t="n"/>
      <c r="CH205" s="102" t="n"/>
      <c r="CI205" s="103" t="n"/>
      <c r="CK205" s="104">
        <f>IFERROR(IF(F205='[1]Paramètres Généraux'!$K$12,ROUNDUP((REGENERANTS!H205*REGENERANTS!$CF$166)*'[1]Paramètres Généraux'!$M$12,-1),REGENERANTS!H205*REGENERANTS!$CF$166),"nd")</f>
        <v/>
      </c>
      <c r="CN205" s="153" t="n"/>
      <c r="CO205" s="154" t="n"/>
      <c r="CP205" s="154" t="n"/>
      <c r="CQ205" s="154" t="n"/>
      <c r="CR205" s="154" t="n"/>
      <c r="CS205" s="180" t="n"/>
      <c r="CT205" s="181" t="n"/>
      <c r="CU205" s="154" t="n"/>
      <c r="CV205" s="180" t="n"/>
      <c r="CW205" s="157" t="n"/>
      <c r="CX205" s="156" t="n"/>
      <c r="CY205" s="157" t="n"/>
      <c r="CZ205" s="143" t="n"/>
      <c r="DA205" s="156" t="n"/>
      <c r="DB205" s="157" t="n"/>
      <c r="DC205" s="143" t="n"/>
      <c r="DD205" s="156" t="n"/>
      <c r="DE205" s="157" t="n"/>
      <c r="DF205" s="143" t="n"/>
      <c r="DG205" s="143" t="n"/>
      <c r="DH205" s="143" t="n"/>
      <c r="DI205" s="143" t="n"/>
      <c r="DJ205" s="143" t="n"/>
      <c r="DK205" s="143" t="n"/>
      <c r="DL205" s="143" t="n"/>
      <c r="DM205" s="143" t="n"/>
      <c r="DN205" s="143" t="n"/>
      <c r="DO205" s="156" t="n"/>
      <c r="DP205" s="157" t="n"/>
      <c r="DQ205" s="20">
        <f>SUM(CN205:DP205)</f>
        <v/>
      </c>
      <c r="DR205" s="20">
        <f>SUM(CV205:DP205)</f>
        <v/>
      </c>
      <c r="DS205" s="20">
        <f>IFERROR((IF(AND($F205="Produit Vente",CO205&gt;0),VLOOKUP($C205,'[1]Paramètres Articles'!$B:$H,7,FALSE)*$CO205)*(1-20%)),0)</f>
        <v/>
      </c>
      <c r="DT205" s="20">
        <f>IFERROR((IF(AND($F205="Produit Vente",DR205&gt;0),VLOOKUP($C205,'[1]Paramètres Articles'!$B:$H,6,FALSE)*$DR205)*(1-15%)),0)</f>
        <v/>
      </c>
    </row>
    <row r="206" hidden="1" outlineLevel="1" collapsed="1" ht="12.95" customHeight="1">
      <c r="B206" s="1">
        <f>IF(C206="",0,COUNTIFS($B$22:B205,"&gt;"&amp;0)+1)</f>
        <v/>
      </c>
      <c r="C206" s="90" t="n"/>
      <c r="D206" s="91">
        <f>IFERROR(IF($C206="","",VLOOKUP($C206,'[1]Paramètres Articles'!$B:$G,2,FALSE)),"Non Trouvé")</f>
        <v/>
      </c>
      <c r="E206" s="92">
        <f>IFERROR(IF($C206="","",_xlfn.XLOOKUP(REGENERANTS!$C206,'[1]New Base PA'!$F:$F,'[1]New Base PA'!$D:$D,"Not Found",0)),"Non Trouvé")</f>
        <v/>
      </c>
      <c r="F206" s="93" t="n"/>
      <c r="H206" s="106" t="n"/>
      <c r="J206" s="95">
        <f>IFERROR(IF($C206="","",VLOOKUP($C206,'[1]New Base PA'!$F:$J,5,FALSE)),"Non Trouvé")</f>
        <v/>
      </c>
      <c r="K206" s="136">
        <f>IFERROR(IF($C206="","",$J206*$H206),"Non Trouvé")</f>
        <v/>
      </c>
      <c r="L206" s="137" t="n"/>
      <c r="M206" s="95">
        <f>IFERROR(IF(AND($F206="Produit Vente",H206&gt;0),VLOOKUP($C206,'[1]Paramètres Articles'!$B:$G,6,FALSE),0),"Non Trouvé")</f>
        <v/>
      </c>
      <c r="N206" s="95">
        <f>IFERROR(IF($C206="","",$M206*$H206),"Non Trouvé")</f>
        <v/>
      </c>
      <c r="P206" s="97" t="n"/>
      <c r="R206" s="95">
        <f>IFERROR(IF($C206="","",$N206*(1-$P206)),"Non Trouvé")</f>
        <v/>
      </c>
      <c r="S206" s="96" t="n"/>
      <c r="T206" s="95">
        <f>IFERROR(IF($C206="","",VLOOKUP($C206,'[1]Paramètres Articles'!$B:$H,7,FALSE)),"Non Trouvé")</f>
        <v/>
      </c>
      <c r="U206" s="98" t="n"/>
      <c r="V206" s="95">
        <f>IFERROR(IF($C206="","",IF($P206="","",$T206*(1-$P206))),"Non Trouvé")</f>
        <v/>
      </c>
      <c r="W206" s="96" t="n"/>
      <c r="X206" s="95">
        <f>IFERROR(T206-V206,"")</f>
        <v/>
      </c>
      <c r="Y206" s="96" t="n"/>
      <c r="Z206" s="95">
        <f>IFERROR(IF(OR(T206=0,T206=""),0,T206*H206),"Non Trouvé")</f>
        <v/>
      </c>
      <c r="AB206" s="99">
        <f>AB204</f>
        <v/>
      </c>
      <c r="AC206" s="99">
        <f>AC204</f>
        <v/>
      </c>
      <c r="AD206" s="95">
        <f>IFERROR(IF($C206="","",IF($P$15="Cascade",$R206*(1-AC206)*AB206,IF($P$15="Additionnelle",($N206-($N206*($P206+AC206)))*AB206))),"Non Trouvé")</f>
        <v/>
      </c>
      <c r="AG206" s="99">
        <f>AG204</f>
        <v/>
      </c>
      <c r="AH206" s="99">
        <f>AH204</f>
        <v/>
      </c>
      <c r="AI206" s="95">
        <f>IFERROR(IF($C206="","",IF($P$15="Cascade",$R206*(1-AH206)*AG206,IF($P$15="Additionnelle",($N206-($N206*($P206+AH206)))*AG206))),"Non Trouvé")</f>
        <v/>
      </c>
      <c r="AL206" s="99">
        <f>AL204</f>
        <v/>
      </c>
      <c r="AM206" s="99">
        <f>AM204</f>
        <v/>
      </c>
      <c r="AN206" s="95">
        <f>IFERROR(IF($C206="","",IF($P$15="Cascade",$R206*(1-AM206)*AL206,IF($P$15="Additionnelle",($N206-($N206*($P206+AM206)))*AL206))),"Non Trouvé")</f>
        <v/>
      </c>
      <c r="AQ206" s="99">
        <f>AQ204</f>
        <v/>
      </c>
      <c r="AR206" s="99">
        <f>AR204</f>
        <v/>
      </c>
      <c r="AS206" s="95">
        <f>IFERROR(IF($C206="","",IF($P$15="Cascade",$R206*(1-AR206)*AQ206,IF($P$15="Additionnelle",($N206-($N206*($P206+AR206)))*AQ206))),"Non Trouvé")</f>
        <v/>
      </c>
      <c r="AV206" s="99">
        <f>AV204</f>
        <v/>
      </c>
      <c r="AW206" s="99">
        <f>AW204</f>
        <v/>
      </c>
      <c r="AX206" s="95">
        <f>IFERROR(IF($C206="","",IF($P$15="Cascade",$R206*(1-AW206)*AV206,IF($P$15="Additionnelle",($N206-($N206*($P206+AW206)))*AV206))),"Non Trouvé")</f>
        <v/>
      </c>
      <c r="BA206" s="99">
        <f>BA204</f>
        <v/>
      </c>
      <c r="BB206" s="99">
        <f>BB204</f>
        <v/>
      </c>
      <c r="BC206" s="95">
        <f>IFERROR(IF($C206="","",IF($P$15="Cascade",$R206*(1-BB206)*BA206,IF($P$15="Additionnelle",($N206-($N206*($P206+BB206)))*BA206))),"Non Trouvé")</f>
        <v/>
      </c>
      <c r="BF206" s="99">
        <f>BF204</f>
        <v/>
      </c>
      <c r="BG206" s="99">
        <f>BG204</f>
        <v/>
      </c>
      <c r="BH206" s="95">
        <f>IFERROR(IF($C206="","",IF($P$15="Cascade",$R206*(1-BG206)*BF206,IF($P$15="Additionnelle",($N206-($N206*($P206+BG206)))*BF206))),"Non Trouvé")</f>
        <v/>
      </c>
      <c r="BK206" s="99">
        <f>BK204</f>
        <v/>
      </c>
      <c r="BL206" s="99">
        <f>BL204</f>
        <v/>
      </c>
      <c r="BM206" s="95">
        <f>IFERROR(IF($C206="","",IF($P$15="Cascade",$R206*(1-BL206)*BK206,IF($P$15="Additionnelle",($N206-($N206*($P206+BL206)))*BK206))),"Non Trouvé")</f>
        <v/>
      </c>
      <c r="BP206" s="99">
        <f>BP204</f>
        <v/>
      </c>
      <c r="BQ206" s="99">
        <f>BQ204</f>
        <v/>
      </c>
      <c r="BR206" s="95">
        <f>IFERROR(IF($C206="","",IF($P$15="Cascade",$R206*(1-BQ206)*BP206,IF($P$15="Additionnelle",($N206-($N206*($P206+BQ206)))*BP206))),"Non Trouvé")</f>
        <v/>
      </c>
      <c r="BU206" s="99">
        <f>BU204</f>
        <v/>
      </c>
      <c r="BV206" s="99">
        <f>BV204</f>
        <v/>
      </c>
      <c r="BW206" s="95">
        <f>IFERROR(IF($C206="","",IF($P$15="Cascade",$R206*(1-BV206)*BU206,IF($P$15="Additionnelle",($N206-($N206*($P206+BV206)))*BU206))),"Non Trouvé")</f>
        <v/>
      </c>
      <c r="BZ206" s="99">
        <f>BZ204</f>
        <v/>
      </c>
      <c r="CA206" s="99">
        <f>CA204</f>
        <v/>
      </c>
      <c r="CB206" s="95">
        <f>IFERROR(IF($C206="","",IF($P$15="Cascade",$R206*(1-CA206)*BZ206,IF($P$15="Additionnelle",($N206-($N206*($P206+CA206)))*BZ206))),"Non Trouvé")</f>
        <v/>
      </c>
      <c r="CE206" s="100" t="n"/>
      <c r="CF206" s="101" t="n"/>
      <c r="CG206" s="102" t="n"/>
      <c r="CH206" s="102" t="n"/>
      <c r="CI206" s="103" t="n"/>
      <c r="CK206" s="104">
        <f>IFERROR(IF(F206='[1]Paramètres Généraux'!$K$12,ROUNDUP((REGENERANTS!H206*REGENERANTS!$CF$166)*'[1]Paramètres Généraux'!$M$12,-1),REGENERANTS!H206*REGENERANTS!$CF$166),"nd")</f>
        <v/>
      </c>
      <c r="CN206" s="153" t="n"/>
      <c r="CO206" s="154" t="n"/>
      <c r="CP206" s="154" t="n"/>
      <c r="CQ206" s="154" t="n"/>
      <c r="CR206" s="154" t="n"/>
      <c r="CS206" s="180" t="n"/>
      <c r="CT206" s="181" t="n"/>
      <c r="CU206" s="154" t="n"/>
      <c r="CV206" s="180" t="n"/>
      <c r="CW206" s="157" t="n"/>
      <c r="CX206" s="156" t="n"/>
      <c r="CY206" s="157" t="n"/>
      <c r="CZ206" s="143" t="n"/>
      <c r="DA206" s="156" t="n"/>
      <c r="DB206" s="157" t="n"/>
      <c r="DC206" s="143" t="n"/>
      <c r="DD206" s="156" t="n"/>
      <c r="DE206" s="157" t="n"/>
      <c r="DF206" s="143" t="n"/>
      <c r="DG206" s="143" t="n"/>
      <c r="DH206" s="143" t="n"/>
      <c r="DI206" s="143" t="n"/>
      <c r="DJ206" s="143" t="n"/>
      <c r="DK206" s="143" t="n"/>
      <c r="DL206" s="143" t="n"/>
      <c r="DM206" s="143" t="n"/>
      <c r="DN206" s="143" t="n"/>
      <c r="DO206" s="156" t="n"/>
      <c r="DP206" s="157" t="n"/>
      <c r="DQ206" s="20">
        <f>SUM(CN206:DP206)</f>
        <v/>
      </c>
      <c r="DR206" s="20">
        <f>SUM(CV206:DP206)</f>
        <v/>
      </c>
      <c r="DS206" s="20">
        <f>IFERROR((IF(AND($F206="Produit Vente",CO206&gt;0),VLOOKUP($C206,'[1]Paramètres Articles'!$B:$H,7,FALSE)*$CO206)*(1-20%)),0)</f>
        <v/>
      </c>
      <c r="DT206" s="20">
        <f>IFERROR((IF(AND($F206="Produit Vente",DR206&gt;0),VLOOKUP($C206,'[1]Paramètres Articles'!$B:$H,6,FALSE)*$DR206)*(1-15%)),0)</f>
        <v/>
      </c>
    </row>
    <row r="207" hidden="1" outlineLevel="1" collapsed="1" ht="12.95" customHeight="1">
      <c r="B207" s="1">
        <f>IF(C207="",0,COUNTIFS($B$22:B206,"&gt;"&amp;0)+1)</f>
        <v/>
      </c>
      <c r="C207" s="90" t="n"/>
      <c r="D207" s="91">
        <f>IFERROR(IF($C207="","",VLOOKUP($C207,'[1]Paramètres Articles'!$B:$G,2,FALSE)),"Non Trouvé")</f>
        <v/>
      </c>
      <c r="E207" s="92">
        <f>IFERROR(IF($C207="","",_xlfn.XLOOKUP(REGENERANTS!$C207,'[1]New Base PA'!$F:$F,'[1]New Base PA'!$D:$D,"Not Found",0)),"Non Trouvé")</f>
        <v/>
      </c>
      <c r="F207" s="93" t="n"/>
      <c r="H207" s="106" t="n"/>
      <c r="J207" s="95">
        <f>IFERROR(IF($C207="","",VLOOKUP($C207,'[1]New Base PA'!$F:$J,5,FALSE)),"Non Trouvé")</f>
        <v/>
      </c>
      <c r="K207" s="136">
        <f>IFERROR(IF($C207="","",$J207*$H207),"Non Trouvé")</f>
        <v/>
      </c>
      <c r="L207" s="137" t="n"/>
      <c r="M207" s="95">
        <f>IFERROR(IF(AND($F207="Produit Vente",H207&gt;0),VLOOKUP($C207,'[1]Paramètres Articles'!$B:$G,6,FALSE),0),"Non Trouvé")</f>
        <v/>
      </c>
      <c r="N207" s="95">
        <f>IFERROR(IF($C207="","",$M207*$H207),"Non Trouvé")</f>
        <v/>
      </c>
      <c r="P207" s="97" t="n"/>
      <c r="R207" s="95">
        <f>IFERROR(IF($C207="","",$N207*(1-$P207)),"Non Trouvé")</f>
        <v/>
      </c>
      <c r="S207" s="96" t="n"/>
      <c r="T207" s="95">
        <f>IFERROR(IF($C207="","",VLOOKUP($C207,'[1]Paramètres Articles'!$B:$H,7,FALSE)),"Non Trouvé")</f>
        <v/>
      </c>
      <c r="U207" s="98" t="n"/>
      <c r="V207" s="95">
        <f>IFERROR(IF($C207="","",IF($P207="","",$T207*(1-$P207))),"Non Trouvé")</f>
        <v/>
      </c>
      <c r="W207" s="96" t="n"/>
      <c r="X207" s="95">
        <f>IFERROR(T207-V207,"")</f>
        <v/>
      </c>
      <c r="Y207" s="96" t="n"/>
      <c r="Z207" s="95">
        <f>IFERROR(IF(OR(T207=0,T207=""),0,T207*H207),"Non Trouvé")</f>
        <v/>
      </c>
      <c r="AB207" s="99">
        <f>AB206</f>
        <v/>
      </c>
      <c r="AC207" s="99">
        <f>AC206</f>
        <v/>
      </c>
      <c r="AD207" s="95">
        <f>IFERROR(IF($C207="","",IF($P$15="Cascade",$R207*(1-AC207)*AB207,IF($P$15="Additionnelle",($N207-($N207*($P207+AC207)))*AB207))),"Non Trouvé")</f>
        <v/>
      </c>
      <c r="AG207" s="99">
        <f>AG206</f>
        <v/>
      </c>
      <c r="AH207" s="99">
        <f>AH206</f>
        <v/>
      </c>
      <c r="AI207" s="95">
        <f>IFERROR(IF($C207="","",IF($P$15="Cascade",$R207*(1-AH207)*AG207,IF($P$15="Additionnelle",($N207-($N207*($P207+AH207)))*AG207))),"Non Trouvé")</f>
        <v/>
      </c>
      <c r="AL207" s="99">
        <f>AL206</f>
        <v/>
      </c>
      <c r="AM207" s="99">
        <f>AM206</f>
        <v/>
      </c>
      <c r="AN207" s="95">
        <f>IFERROR(IF($C207="","",IF($P$15="Cascade",$R207*(1-AM207)*AL207,IF($P$15="Additionnelle",($N207-($N207*($P207+AM207)))*AL207))),"Non Trouvé")</f>
        <v/>
      </c>
      <c r="AQ207" s="99">
        <f>AQ206</f>
        <v/>
      </c>
      <c r="AR207" s="99">
        <f>AR206</f>
        <v/>
      </c>
      <c r="AS207" s="95">
        <f>IFERROR(IF($C207="","",IF($P$15="Cascade",$R207*(1-AR207)*AQ207,IF($P$15="Additionnelle",($N207-($N207*($P207+AR207)))*AQ207))),"Non Trouvé")</f>
        <v/>
      </c>
      <c r="AV207" s="99">
        <f>AV206</f>
        <v/>
      </c>
      <c r="AW207" s="99">
        <f>AW206</f>
        <v/>
      </c>
      <c r="AX207" s="95">
        <f>IFERROR(IF($C207="","",IF($P$15="Cascade",$R207*(1-AW207)*AV207,IF($P$15="Additionnelle",($N207-($N207*($P207+AW207)))*AV207))),"Non Trouvé")</f>
        <v/>
      </c>
      <c r="BA207" s="99">
        <f>BA206</f>
        <v/>
      </c>
      <c r="BB207" s="99">
        <f>BB206</f>
        <v/>
      </c>
      <c r="BC207" s="95">
        <f>IFERROR(IF($C207="","",IF($P$15="Cascade",$R207*(1-BB207)*BA207,IF($P$15="Additionnelle",($N207-($N207*($P207+BB207)))*BA207))),"Non Trouvé")</f>
        <v/>
      </c>
      <c r="BF207" s="99">
        <f>BF206</f>
        <v/>
      </c>
      <c r="BG207" s="99">
        <f>BG206</f>
        <v/>
      </c>
      <c r="BH207" s="95">
        <f>IFERROR(IF($C207="","",IF($P$15="Cascade",$R207*(1-BG207)*BF207,IF($P$15="Additionnelle",($N207-($N207*($P207+BG207)))*BF207))),"Non Trouvé")</f>
        <v/>
      </c>
      <c r="BK207" s="99">
        <f>BK206</f>
        <v/>
      </c>
      <c r="BL207" s="99">
        <f>BL206</f>
        <v/>
      </c>
      <c r="BM207" s="95">
        <f>IFERROR(IF($C207="","",IF($P$15="Cascade",$R207*(1-BL207)*BK207,IF($P$15="Additionnelle",($N207-($N207*($P207+BL207)))*BK207))),"Non Trouvé")</f>
        <v/>
      </c>
      <c r="BP207" s="99">
        <f>BP206</f>
        <v/>
      </c>
      <c r="BQ207" s="99">
        <f>BQ206</f>
        <v/>
      </c>
      <c r="BR207" s="95">
        <f>IFERROR(IF($C207="","",IF($P$15="Cascade",$R207*(1-BQ207)*BP207,IF($P$15="Additionnelle",($N207-($N207*($P207+BQ207)))*BP207))),"Non Trouvé")</f>
        <v/>
      </c>
      <c r="BU207" s="99">
        <f>BU206</f>
        <v/>
      </c>
      <c r="BV207" s="99">
        <f>BV206</f>
        <v/>
      </c>
      <c r="BW207" s="95">
        <f>IFERROR(IF($C207="","",IF($P$15="Cascade",$R207*(1-BV207)*BU207,IF($P$15="Additionnelle",($N207-($N207*($P207+BV207)))*BU207))),"Non Trouvé")</f>
        <v/>
      </c>
      <c r="BZ207" s="99">
        <f>BZ206</f>
        <v/>
      </c>
      <c r="CA207" s="99">
        <f>CA206</f>
        <v/>
      </c>
      <c r="CB207" s="95">
        <f>IFERROR(IF($C207="","",IF($P$15="Cascade",$R207*(1-CA207)*BZ207,IF($P$15="Additionnelle",($N207-($N207*($P207+CA207)))*BZ207))),"Non Trouvé")</f>
        <v/>
      </c>
      <c r="CE207" s="100" t="n"/>
      <c r="CF207" s="101" t="n"/>
      <c r="CG207" s="102" t="n"/>
      <c r="CH207" s="102" t="n"/>
      <c r="CI207" s="103" t="n"/>
      <c r="CK207" s="104">
        <f>IFERROR(IF(F207='[1]Paramètres Généraux'!$K$12,ROUNDUP((REGENERANTS!H207*REGENERANTS!$CF$166)*'[1]Paramètres Généraux'!$M$12,-1),REGENERANTS!H207*REGENERANTS!$CF$166),"nd")</f>
        <v/>
      </c>
      <c r="CN207" s="153" t="n"/>
      <c r="CO207" s="154" t="n"/>
      <c r="CP207" s="154" t="n"/>
      <c r="CQ207" s="154" t="n"/>
      <c r="CR207" s="154" t="n"/>
      <c r="CS207" s="180" t="n"/>
      <c r="CT207" s="181" t="n"/>
      <c r="CU207" s="154" t="n"/>
      <c r="CV207" s="180" t="n"/>
      <c r="CW207" s="157" t="n"/>
      <c r="CX207" s="156" t="n"/>
      <c r="CY207" s="157" t="n"/>
      <c r="CZ207" s="143" t="n"/>
      <c r="DA207" s="156" t="n"/>
      <c r="DB207" s="157" t="n"/>
      <c r="DC207" s="143" t="n"/>
      <c r="DD207" s="156" t="n"/>
      <c r="DE207" s="157" t="n"/>
      <c r="DF207" s="143" t="n"/>
      <c r="DG207" s="143" t="n"/>
      <c r="DH207" s="143" t="n"/>
      <c r="DI207" s="143" t="n"/>
      <c r="DJ207" s="143" t="n"/>
      <c r="DK207" s="143" t="n"/>
      <c r="DL207" s="143" t="n"/>
      <c r="DM207" s="143" t="n"/>
      <c r="DN207" s="143" t="n"/>
      <c r="DO207" s="156" t="n"/>
      <c r="DP207" s="157" t="n"/>
      <c r="DQ207" s="20">
        <f>SUM(CN207:DP207)</f>
        <v/>
      </c>
      <c r="DR207" s="20">
        <f>SUM(CV207:DP207)</f>
        <v/>
      </c>
      <c r="DS207" s="20">
        <f>IFERROR((IF(AND($F207="Produit Vente",CO207&gt;0),VLOOKUP($C207,'[1]Paramètres Articles'!$B:$H,7,FALSE)*$CO207)*(1-20%)),0)</f>
        <v/>
      </c>
      <c r="DT207" s="20">
        <f>IFERROR((IF(AND($F207="Produit Vente",DR207&gt;0),VLOOKUP($C207,'[1]Paramètres Articles'!$B:$H,6,FALSE)*$DR207)*(1-15%)),0)</f>
        <v/>
      </c>
    </row>
    <row r="208" hidden="1">
      <c r="CE208" s="162" t="n"/>
      <c r="CF208" s="163" t="n"/>
      <c r="CG208" s="163" t="n"/>
      <c r="CH208" s="163" t="n"/>
      <c r="CI208" s="164" t="n"/>
      <c r="CK208" s="104">
        <f>IFERROR(IF(F208='[1]Paramètres Généraux'!$K$12,ROUNDUP((REGENERANTS!H208*REGENERANTS!$CF$166)*'[1]Paramètres Généraux'!$M$12,-1),REGENERANTS!H208*REGENERANTS!$CF$166),"nd")</f>
        <v/>
      </c>
      <c r="CN208" s="153" t="n"/>
      <c r="CO208" s="154" t="n"/>
      <c r="CP208" s="154" t="n"/>
      <c r="CQ208" s="154" t="n"/>
      <c r="CR208" s="154" t="n"/>
      <c r="CS208" s="180" t="n"/>
      <c r="CT208" s="181" t="n"/>
      <c r="CU208" s="154" t="n"/>
      <c r="CV208" s="180" t="n"/>
      <c r="CW208" s="157" t="n"/>
      <c r="CX208" s="156" t="n"/>
      <c r="CY208" s="157" t="n"/>
      <c r="CZ208" s="143" t="n"/>
      <c r="DA208" s="156" t="n"/>
      <c r="DB208" s="157" t="n"/>
      <c r="DC208" s="143" t="n"/>
      <c r="DD208" s="156" t="n"/>
      <c r="DE208" s="157" t="n"/>
      <c r="DF208" s="143" t="n"/>
      <c r="DG208" s="143" t="n"/>
      <c r="DH208" s="143" t="n"/>
      <c r="DI208" s="143" t="n"/>
      <c r="DJ208" s="143" t="n"/>
      <c r="DK208" s="143" t="n"/>
      <c r="DL208" s="143" t="n"/>
      <c r="DM208" s="143" t="n"/>
      <c r="DN208" s="143" t="n"/>
      <c r="DO208" s="156" t="n"/>
      <c r="DP208" s="157" t="n"/>
      <c r="DQ208" s="20">
        <f>SUM(CN208:DP208)</f>
        <v/>
      </c>
      <c r="DR208" s="20">
        <f>SUM(CV208:DP208)</f>
        <v/>
      </c>
      <c r="DS208" s="20">
        <f>IFERROR((IF(AND($F208="Produit Vente",CO208&gt;0),VLOOKUP($C208,'[1]Paramètres Articles'!$B:$H,7,FALSE)*$CO208)*(1-20%)),0)</f>
        <v/>
      </c>
      <c r="DT208" s="20">
        <f>IFERROR((IF(AND($F208="Produit Vente",DR208&gt;0),VLOOKUP($C208,'[1]Paramètres Articles'!$B:$H,6,FALSE)*$DR208)*(1-15%)),0)</f>
        <v/>
      </c>
    </row>
    <row r="209" hidden="1">
      <c r="CK209" s="104" t="n"/>
    </row>
    <row r="210" hidden="1" ht="15" customHeight="1">
      <c r="CK210" s="104" t="n"/>
    </row>
    <row r="211" hidden="1">
      <c r="C211" s="22" t="n"/>
      <c r="D211" s="23" t="n"/>
      <c r="E211" s="24" t="n"/>
      <c r="F211" s="25" t="inlineStr">
        <is>
          <t>Panachage 24 unités // Mécanique sell-out : pour 2 régé achetés = 1 baume lacté 75 ml offert</t>
        </is>
      </c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3" t="n"/>
      <c r="BH211" s="23" t="n"/>
      <c r="BI211" s="23" t="n"/>
      <c r="BJ211" s="23" t="n"/>
      <c r="BK211" s="23" t="n"/>
      <c r="BL211" s="23" t="n"/>
      <c r="BM211" s="23" t="n"/>
      <c r="BN211" s="23" t="n"/>
      <c r="BO211" s="23" t="n"/>
      <c r="BP211" s="23" t="n"/>
      <c r="BQ211" s="23" t="n"/>
      <c r="BR211" s="23" t="n"/>
      <c r="BS211" s="23" t="n"/>
      <c r="BT211" s="23" t="n"/>
      <c r="BU211" s="23" t="n"/>
      <c r="BV211" s="23" t="n"/>
      <c r="BW211" s="23" t="n"/>
      <c r="BX211" s="23" t="n"/>
      <c r="BY211" s="23" t="n"/>
      <c r="BZ211" s="23" t="n"/>
      <c r="CA211" s="23" t="n"/>
      <c r="CB211" s="23" t="n"/>
      <c r="CC211" s="23" t="n"/>
      <c r="CD211" s="23" t="n"/>
      <c r="CE211" s="23" t="n"/>
      <c r="CF211" s="23" t="n"/>
      <c r="CG211" s="23" t="n"/>
      <c r="CH211" s="23" t="n"/>
      <c r="CI211" s="23" t="n"/>
      <c r="CK211" s="104" t="n"/>
    </row>
    <row r="212" hidden="1" ht="5.25" customHeight="1">
      <c r="CK212" s="104" t="n"/>
    </row>
    <row r="213" hidden="1" ht="18" customHeight="1"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6" t="n"/>
      <c r="AP213" s="26" t="n"/>
      <c r="AQ213" s="26" t="n"/>
      <c r="AR213" s="26" t="n"/>
      <c r="AS213" s="26" t="n"/>
      <c r="AT213" s="26" t="n"/>
      <c r="AU213" s="26" t="n"/>
      <c r="AV213" s="26" t="n"/>
      <c r="AW213" s="26" t="n"/>
      <c r="AX213" s="26" t="n"/>
      <c r="AY213" s="26" t="n"/>
      <c r="AZ213" s="26" t="n"/>
      <c r="BA213" s="26" t="n"/>
      <c r="BB213" s="26" t="n"/>
      <c r="BC213" s="26" t="n"/>
      <c r="BD213" s="26" t="n"/>
      <c r="BE213" s="26" t="n"/>
      <c r="BF213" s="26" t="n"/>
      <c r="BG213" s="26" t="n"/>
      <c r="BH213" s="26" t="n"/>
      <c r="BI213" s="26" t="n"/>
      <c r="BJ213" s="26" t="n"/>
      <c r="BK213" s="26" t="n"/>
      <c r="BL213" s="26" t="n"/>
      <c r="BM213" s="26" t="n"/>
      <c r="BN213" s="26" t="n"/>
      <c r="BO213" s="26" t="n"/>
      <c r="BP213" s="26" t="n"/>
      <c r="BQ213" s="26" t="n"/>
      <c r="BR213" s="26" t="n"/>
      <c r="BS213" s="26" t="n"/>
      <c r="BT213" s="26" t="n"/>
      <c r="BU213" s="26" t="n"/>
      <c r="BV213" s="26" t="n"/>
      <c r="BW213" s="26" t="n"/>
      <c r="BX213" s="26" t="n"/>
      <c r="BY213" s="26" t="n"/>
      <c r="BZ213" s="26" t="n"/>
      <c r="CA213" s="26" t="n"/>
      <c r="CB213" s="26" t="n"/>
      <c r="CC213" s="26" t="n"/>
      <c r="CE213" s="27" t="n"/>
      <c r="CF213" s="28" t="n"/>
      <c r="CG213" s="28" t="n"/>
      <c r="CH213" s="28" t="n"/>
      <c r="CI213" s="29" t="n"/>
      <c r="CK213" s="104" t="n"/>
    </row>
    <row r="214" hidden="1">
      <c r="AB214" s="30" t="inlineStr">
        <is>
          <t>Tarif Retail</t>
        </is>
      </c>
      <c r="AC214" s="30" t="n"/>
      <c r="AD214" s="30" t="n"/>
      <c r="AE214" s="30" t="n"/>
      <c r="AF214" s="30" t="n"/>
      <c r="AG214" s="30" t="n"/>
      <c r="AH214" s="30" t="n"/>
      <c r="AI214" s="30" t="n"/>
      <c r="AJ214" s="30" t="n"/>
      <c r="AK214" s="30" t="n"/>
      <c r="AL214" s="30" t="n"/>
      <c r="AM214" s="30" t="n"/>
      <c r="AN214" s="30" t="n"/>
      <c r="AO214" s="30" t="n"/>
      <c r="AP214" s="30" t="n"/>
      <c r="AQ214" s="30" t="n"/>
      <c r="AR214" s="30" t="n"/>
      <c r="AS214" s="30" t="n"/>
      <c r="AT214" s="30" t="n"/>
      <c r="AV214" s="31" t="inlineStr">
        <is>
          <t>Tarif Institut</t>
        </is>
      </c>
      <c r="AW214" s="31" t="n"/>
      <c r="AX214" s="31" t="n"/>
      <c r="AY214" s="31" t="n"/>
      <c r="AZ214" s="31" t="n"/>
      <c r="BA214" s="31" t="n"/>
      <c r="BB214" s="31" t="n"/>
      <c r="BC214" s="31" t="n"/>
      <c r="BD214" s="31" t="n"/>
      <c r="BE214" s="31" t="n"/>
      <c r="BF214" s="31" t="n"/>
      <c r="BG214" s="31" t="n"/>
      <c r="BH214" s="31" t="n"/>
      <c r="BI214" s="31" t="n"/>
      <c r="BJ214" s="31" t="n"/>
      <c r="BK214" s="31" t="n"/>
      <c r="BL214" s="31" t="n"/>
      <c r="BM214" s="31" t="n"/>
      <c r="BN214" s="31" t="n"/>
      <c r="BO214" s="31" t="n"/>
      <c r="BP214" s="31" t="n"/>
      <c r="BQ214" s="31" t="n"/>
      <c r="BR214" s="31" t="n"/>
      <c r="BS214" s="31" t="n"/>
      <c r="BT214" s="31" t="n"/>
      <c r="BU214" s="31" t="n"/>
      <c r="BV214" s="31" t="n"/>
      <c r="BW214" s="31" t="n"/>
      <c r="BX214" s="31" t="n"/>
      <c r="BZ214" s="32" t="inlineStr">
        <is>
          <t>Autres</t>
        </is>
      </c>
      <c r="CA214" s="32" t="n"/>
      <c r="CB214" s="32" t="n"/>
      <c r="CC214" s="32" t="n"/>
      <c r="CE214" s="33" t="n"/>
      <c r="CF214" s="34" t="inlineStr">
        <is>
          <t>Tous réseaux</t>
        </is>
      </c>
      <c r="CG214" s="34" t="n"/>
      <c r="CH214" s="34" t="n"/>
      <c r="CI214" s="35" t="n"/>
      <c r="CK214" s="104" t="n"/>
    </row>
    <row r="215" hidden="1" ht="5.25" customHeight="1">
      <c r="CE215" s="33" t="n"/>
      <c r="CF215" s="39" t="n"/>
      <c r="CG215" s="39" t="n"/>
      <c r="CH215" s="39" t="n"/>
      <c r="CI215" s="35" t="n"/>
      <c r="CK215" s="104" t="n"/>
    </row>
    <row r="216" hidden="1">
      <c r="P216" s="1" t="inlineStr">
        <is>
          <t>Additionnelle</t>
        </is>
      </c>
      <c r="AB216" s="42" t="inlineStr">
        <is>
          <t>Ambassadeur</t>
        </is>
      </c>
      <c r="AC216" s="42" t="n"/>
      <c r="AD216" s="42" t="n"/>
      <c r="AE216" s="42" t="n"/>
      <c r="AG216" s="42" t="inlineStr">
        <is>
          <t>Compagnon</t>
        </is>
      </c>
      <c r="AH216" s="42" t="n"/>
      <c r="AI216" s="42" t="n"/>
      <c r="AJ216" s="42" t="n"/>
      <c r="AL216" s="42" t="inlineStr">
        <is>
          <t>Challenger</t>
        </is>
      </c>
      <c r="AM216" s="42" t="n"/>
      <c r="AN216" s="42" t="n"/>
      <c r="AO216" s="42" t="n"/>
      <c r="AQ216" s="42" t="inlineStr">
        <is>
          <t>Partenaire</t>
        </is>
      </c>
      <c r="AR216" s="42" t="n"/>
      <c r="AS216" s="42" t="n"/>
      <c r="AT216" s="42" t="n"/>
      <c r="AV216" s="43" t="inlineStr">
        <is>
          <t>Rose</t>
        </is>
      </c>
      <c r="AW216" s="43" t="n"/>
      <c r="AX216" s="43" t="n"/>
      <c r="AY216" s="43" t="n"/>
      <c r="BA216" s="43" t="inlineStr">
        <is>
          <t>Prunelier</t>
        </is>
      </c>
      <c r="BB216" s="43" t="n"/>
      <c r="BC216" s="43" t="n"/>
      <c r="BD216" s="43" t="n"/>
      <c r="BF216" s="43" t="inlineStr">
        <is>
          <t>Anthylide</t>
        </is>
      </c>
      <c r="BG216" s="43" t="n"/>
      <c r="BH216" s="43" t="n"/>
      <c r="BI216" s="43" t="n"/>
      <c r="BK216" s="43" t="inlineStr">
        <is>
          <t>Calendula</t>
        </is>
      </c>
      <c r="BL216" s="43" t="n"/>
      <c r="BM216" s="43" t="n"/>
      <c r="BN216" s="43" t="n"/>
      <c r="BP216" s="43" t="inlineStr">
        <is>
          <t>Bourrache</t>
        </is>
      </c>
      <c r="BQ216" s="43" t="n"/>
      <c r="BR216" s="43" t="n"/>
      <c r="BS216" s="43" t="n"/>
      <c r="BU216" s="43" t="inlineStr">
        <is>
          <t>Herbacée</t>
        </is>
      </c>
      <c r="BV216" s="43" t="n"/>
      <c r="BW216" s="43" t="n"/>
      <c r="BX216" s="43" t="n"/>
      <c r="BZ216" s="44" t="inlineStr">
        <is>
          <t>Autres</t>
        </is>
      </c>
      <c r="CA216" s="44" t="n"/>
      <c r="CB216" s="44" t="n"/>
      <c r="CC216" s="44" t="n"/>
      <c r="CE216" s="33" t="n"/>
      <c r="CF216" s="45" t="inlineStr">
        <is>
          <t>Total</t>
        </is>
      </c>
      <c r="CG216" s="45" t="n"/>
      <c r="CH216" s="45" t="n"/>
      <c r="CI216" s="35" t="n"/>
      <c r="CK216" s="104" t="n"/>
    </row>
    <row r="217" hidden="1" ht="5.25" customHeight="1">
      <c r="CE217" s="33" t="n"/>
      <c r="CF217" s="39" t="n"/>
      <c r="CG217" s="39" t="n"/>
      <c r="CH217" s="39" t="n"/>
      <c r="CI217" s="35" t="n"/>
      <c r="CK217" s="104" t="n"/>
    </row>
    <row r="218" hidden="1" ht="38.25" customFormat="1" customHeight="1" s="46">
      <c r="E218" s="47" t="n"/>
      <c r="H218" s="48" t="inlineStr">
        <is>
          <t>Pdt dans offre</t>
        </is>
      </c>
      <c r="J218" s="48" t="inlineStr">
        <is>
          <t>PA x Unit.</t>
        </is>
      </c>
      <c r="K218" s="48" t="inlineStr">
        <is>
          <t>Coûts Achats</t>
        </is>
      </c>
      <c r="M218" s="48" t="inlineStr">
        <is>
          <t>Tarif Rev.  x Unit.</t>
        </is>
      </c>
      <c r="N218" s="48" t="inlineStr">
        <is>
          <t>Tarif Rev.</t>
        </is>
      </c>
      <c r="P218" s="48" t="inlineStr">
        <is>
          <t>Remise Offres x Prod.</t>
        </is>
      </c>
      <c r="R218" s="48" t="inlineStr">
        <is>
          <t>Tarif Rev. Remisé</t>
        </is>
      </c>
      <c r="T218" s="48" t="inlineStr">
        <is>
          <t>PPC Unitaire Indicatif</t>
        </is>
      </c>
      <c r="U218" s="48" t="n"/>
      <c r="V218" s="48" t="inlineStr">
        <is>
          <t>PPC Unitaire Remisé</t>
        </is>
      </c>
      <c r="X218" s="48" t="inlineStr">
        <is>
          <t>Montant BRI</t>
        </is>
      </c>
      <c r="Z218" s="48" t="inlineStr">
        <is>
          <t>PPC global Indicatif</t>
        </is>
      </c>
      <c r="AB218" s="48" t="inlineStr">
        <is>
          <t>Nbrs Offres planifiées</t>
        </is>
      </c>
      <c r="AC218" s="48" t="inlineStr">
        <is>
          <t>Remise Statut</t>
        </is>
      </c>
      <c r="AD218" s="48" t="inlineStr">
        <is>
          <t>CA</t>
        </is>
      </c>
      <c r="AE218" s="48" t="inlineStr">
        <is>
          <t>Marges</t>
        </is>
      </c>
      <c r="AG218" s="48" t="inlineStr">
        <is>
          <t>Nbrs Offres planifiées</t>
        </is>
      </c>
      <c r="AH218" s="48" t="inlineStr">
        <is>
          <t>Remise Statut</t>
        </is>
      </c>
      <c r="AI218" s="48" t="inlineStr">
        <is>
          <t>CA</t>
        </is>
      </c>
      <c r="AJ218" s="48" t="inlineStr">
        <is>
          <t>Marges</t>
        </is>
      </c>
      <c r="AL218" s="48" t="inlineStr">
        <is>
          <t>Nbrs Offres planifiées</t>
        </is>
      </c>
      <c r="AM218" s="48" t="inlineStr">
        <is>
          <t>Remise Statut</t>
        </is>
      </c>
      <c r="AN218" s="48" t="inlineStr">
        <is>
          <t>CA</t>
        </is>
      </c>
      <c r="AO218" s="48" t="inlineStr">
        <is>
          <t>Marges</t>
        </is>
      </c>
      <c r="AQ218" s="48" t="inlineStr">
        <is>
          <t>Nbrs Offres planifiées</t>
        </is>
      </c>
      <c r="AR218" s="48" t="inlineStr">
        <is>
          <t>Remise Statut</t>
        </is>
      </c>
      <c r="AS218" s="48" t="inlineStr">
        <is>
          <t>CA</t>
        </is>
      </c>
      <c r="AT218" s="48" t="inlineStr">
        <is>
          <t>Marges</t>
        </is>
      </c>
      <c r="AV218" s="48" t="inlineStr">
        <is>
          <t>Nbrs Offres planifiées</t>
        </is>
      </c>
      <c r="AW218" s="48" t="inlineStr">
        <is>
          <t>Remise Statut</t>
        </is>
      </c>
      <c r="AX218" s="48" t="inlineStr">
        <is>
          <t>CA</t>
        </is>
      </c>
      <c r="AY218" s="48" t="inlineStr">
        <is>
          <t>Marges</t>
        </is>
      </c>
      <c r="BA218" s="48" t="inlineStr">
        <is>
          <t>Nbrs Offres planifiées</t>
        </is>
      </c>
      <c r="BB218" s="48" t="inlineStr">
        <is>
          <t>Remise Statut</t>
        </is>
      </c>
      <c r="BC218" s="48" t="inlineStr">
        <is>
          <t>CA</t>
        </is>
      </c>
      <c r="BD218" s="48" t="inlineStr">
        <is>
          <t>Marges</t>
        </is>
      </c>
      <c r="BF218" s="48" t="inlineStr">
        <is>
          <t>Nbrs Offres planifiées</t>
        </is>
      </c>
      <c r="BG218" s="48" t="inlineStr">
        <is>
          <t>Remise Statut</t>
        </is>
      </c>
      <c r="BH218" s="48" t="inlineStr">
        <is>
          <t>CA</t>
        </is>
      </c>
      <c r="BI218" s="48" t="inlineStr">
        <is>
          <t>Marges</t>
        </is>
      </c>
      <c r="BK218" s="48" t="inlineStr">
        <is>
          <t>Nbrs Offres planifiées</t>
        </is>
      </c>
      <c r="BL218" s="48" t="inlineStr">
        <is>
          <t>Remise Statut</t>
        </is>
      </c>
      <c r="BM218" s="48" t="inlineStr">
        <is>
          <t>CA</t>
        </is>
      </c>
      <c r="BN218" s="48" t="inlineStr">
        <is>
          <t>Marges</t>
        </is>
      </c>
      <c r="BP218" s="48" t="inlineStr">
        <is>
          <t>Nbrs Offres planifiées</t>
        </is>
      </c>
      <c r="BQ218" s="48" t="inlineStr">
        <is>
          <t>Remise Statut</t>
        </is>
      </c>
      <c r="BR218" s="48" t="inlineStr">
        <is>
          <t>CA</t>
        </is>
      </c>
      <c r="BS218" s="48" t="inlineStr">
        <is>
          <t>Marges</t>
        </is>
      </c>
      <c r="BU218" s="48" t="inlineStr">
        <is>
          <t>Nbrs Offres planifiées</t>
        </is>
      </c>
      <c r="BV218" s="48" t="inlineStr">
        <is>
          <t>Remise Statut</t>
        </is>
      </c>
      <c r="BW218" s="48" t="inlineStr">
        <is>
          <t>CA</t>
        </is>
      </c>
      <c r="BX218" s="48" t="inlineStr">
        <is>
          <t>Marges</t>
        </is>
      </c>
      <c r="BZ218" s="48" t="inlineStr">
        <is>
          <t>Nbrs Offres planifiées</t>
        </is>
      </c>
      <c r="CA218" s="48" t="inlineStr">
        <is>
          <t>Remise Statut</t>
        </is>
      </c>
      <c r="CB218" s="48" t="inlineStr">
        <is>
          <t>CA</t>
        </is>
      </c>
      <c r="CC218" s="48" t="inlineStr">
        <is>
          <t>Marges</t>
        </is>
      </c>
      <c r="CE218" s="49" t="n"/>
      <c r="CF218" s="50" t="inlineStr">
        <is>
          <t>Nbrs Offres planifiées</t>
        </is>
      </c>
      <c r="CG218" s="50" t="inlineStr">
        <is>
          <t>CA</t>
        </is>
      </c>
      <c r="CH218" s="50" t="inlineStr">
        <is>
          <t>Marges</t>
        </is>
      </c>
      <c r="CI218" s="51" t="n"/>
      <c r="CK218" s="167" t="n"/>
      <c r="CW218" s="183" t="n"/>
      <c r="CX218" s="183" t="n"/>
      <c r="CY218" s="183" t="n"/>
      <c r="CZ218" s="183" t="n"/>
      <c r="DA218" s="183" t="n"/>
      <c r="DB218" s="183" t="n"/>
      <c r="DC218" s="183" t="n"/>
      <c r="DD218" s="183" t="n"/>
      <c r="DE218" s="183" t="n"/>
      <c r="DF218" s="183" t="n"/>
      <c r="DG218" s="183" t="n"/>
      <c r="DH218" s="183" t="n"/>
      <c r="DI218" s="183" t="n"/>
      <c r="DJ218" s="183" t="n"/>
      <c r="DK218" s="183" t="n"/>
      <c r="DL218" s="183" t="n"/>
      <c r="DM218" s="183" t="n"/>
      <c r="DN218" s="183" t="n"/>
      <c r="DO218" s="183" t="n"/>
      <c r="DP218" s="183" t="n"/>
    </row>
    <row r="219" hidden="1" ht="26.25" customHeight="1">
      <c r="C219" s="66" t="inlineStr">
        <is>
          <t>Code article</t>
        </is>
      </c>
      <c r="D219" s="66" t="inlineStr">
        <is>
          <t>Libellé article</t>
        </is>
      </c>
      <c r="E219" s="168" t="inlineStr">
        <is>
          <t>Code à barres (EAN)</t>
        </is>
      </c>
      <c r="F219" s="66" t="inlineStr">
        <is>
          <t>Typ. Prod</t>
        </is>
      </c>
      <c r="H219" s="66" t="inlineStr">
        <is>
          <t>'#</t>
        </is>
      </c>
      <c r="J219" s="66" t="inlineStr">
        <is>
          <t>'€</t>
        </is>
      </c>
      <c r="K219" s="66" t="inlineStr">
        <is>
          <t>'€</t>
        </is>
      </c>
      <c r="M219" s="66" t="inlineStr">
        <is>
          <t>'€</t>
        </is>
      </c>
      <c r="N219" s="66" t="inlineStr">
        <is>
          <t>'€</t>
        </is>
      </c>
      <c r="P219" s="66" t="inlineStr">
        <is>
          <t>'€</t>
        </is>
      </c>
      <c r="R219" s="66" t="inlineStr">
        <is>
          <t>'€</t>
        </is>
      </c>
      <c r="T219" s="66" t="inlineStr">
        <is>
          <t>'€</t>
        </is>
      </c>
      <c r="U219" s="67" t="n"/>
      <c r="V219" s="66" t="inlineStr">
        <is>
          <t>'€</t>
        </is>
      </c>
      <c r="X219" s="66" t="inlineStr">
        <is>
          <t>'€</t>
        </is>
      </c>
      <c r="Z219" s="66" t="inlineStr">
        <is>
          <t>'€</t>
        </is>
      </c>
      <c r="AB219" s="66" t="inlineStr">
        <is>
          <t>'#</t>
        </is>
      </c>
      <c r="AC219" s="66" t="inlineStr">
        <is>
          <t>'€</t>
        </is>
      </c>
      <c r="AD219" s="66" t="inlineStr">
        <is>
          <t>'€</t>
        </is>
      </c>
      <c r="AE219" s="66" t="inlineStr">
        <is>
          <t>'€</t>
        </is>
      </c>
      <c r="AG219" s="66" t="inlineStr">
        <is>
          <t>'#</t>
        </is>
      </c>
      <c r="AH219" s="66" t="inlineStr">
        <is>
          <t>'€</t>
        </is>
      </c>
      <c r="AI219" s="66" t="inlineStr">
        <is>
          <t>'€</t>
        </is>
      </c>
      <c r="AJ219" s="66" t="inlineStr">
        <is>
          <t>'€</t>
        </is>
      </c>
      <c r="AL219" s="66" t="inlineStr">
        <is>
          <t>'#</t>
        </is>
      </c>
      <c r="AM219" s="66" t="inlineStr">
        <is>
          <t>'€</t>
        </is>
      </c>
      <c r="AN219" s="66" t="inlineStr">
        <is>
          <t>'€</t>
        </is>
      </c>
      <c r="AO219" s="66" t="inlineStr">
        <is>
          <t>'€</t>
        </is>
      </c>
      <c r="AQ219" s="66" t="inlineStr">
        <is>
          <t>'#</t>
        </is>
      </c>
      <c r="AR219" s="66" t="inlineStr">
        <is>
          <t>'€</t>
        </is>
      </c>
      <c r="AS219" s="66" t="inlineStr">
        <is>
          <t>'€</t>
        </is>
      </c>
      <c r="AT219" s="66" t="inlineStr">
        <is>
          <t>'€</t>
        </is>
      </c>
      <c r="AV219" s="66" t="inlineStr">
        <is>
          <t>'#</t>
        </is>
      </c>
      <c r="AW219" s="66" t="inlineStr">
        <is>
          <t>'€</t>
        </is>
      </c>
      <c r="AX219" s="66" t="inlineStr">
        <is>
          <t>'€</t>
        </is>
      </c>
      <c r="AY219" s="66" t="inlineStr">
        <is>
          <t>'€</t>
        </is>
      </c>
      <c r="BA219" s="66" t="inlineStr">
        <is>
          <t>'#</t>
        </is>
      </c>
      <c r="BB219" s="66" t="inlineStr">
        <is>
          <t>'€</t>
        </is>
      </c>
      <c r="BC219" s="66" t="inlineStr">
        <is>
          <t>'€</t>
        </is>
      </c>
      <c r="BD219" s="66" t="inlineStr">
        <is>
          <t>'€</t>
        </is>
      </c>
      <c r="BF219" s="66" t="inlineStr">
        <is>
          <t>'#</t>
        </is>
      </c>
      <c r="BG219" s="66" t="inlineStr">
        <is>
          <t>'€</t>
        </is>
      </c>
      <c r="BH219" s="66" t="inlineStr">
        <is>
          <t>'€</t>
        </is>
      </c>
      <c r="BI219" s="66" t="inlineStr">
        <is>
          <t>'€</t>
        </is>
      </c>
      <c r="BK219" s="66" t="inlineStr">
        <is>
          <t>'#</t>
        </is>
      </c>
      <c r="BL219" s="66" t="inlineStr">
        <is>
          <t>'€</t>
        </is>
      </c>
      <c r="BM219" s="66" t="inlineStr">
        <is>
          <t>'€</t>
        </is>
      </c>
      <c r="BN219" s="66" t="inlineStr">
        <is>
          <t>'€</t>
        </is>
      </c>
      <c r="BP219" s="66" t="inlineStr">
        <is>
          <t>'#</t>
        </is>
      </c>
      <c r="BQ219" s="66" t="inlineStr">
        <is>
          <t>'€</t>
        </is>
      </c>
      <c r="BR219" s="66" t="inlineStr">
        <is>
          <t>'€</t>
        </is>
      </c>
      <c r="BS219" s="66" t="inlineStr">
        <is>
          <t>'€</t>
        </is>
      </c>
      <c r="BU219" s="66" t="inlineStr">
        <is>
          <t>'#</t>
        </is>
      </c>
      <c r="BV219" s="66" t="inlineStr">
        <is>
          <t>'€</t>
        </is>
      </c>
      <c r="BW219" s="66" t="inlineStr">
        <is>
          <t>'€</t>
        </is>
      </c>
      <c r="BX219" s="66" t="inlineStr">
        <is>
          <t>'€</t>
        </is>
      </c>
      <c r="BZ219" s="66" t="inlineStr">
        <is>
          <t>'#</t>
        </is>
      </c>
      <c r="CA219" s="66" t="inlineStr">
        <is>
          <t>'€</t>
        </is>
      </c>
      <c r="CB219" s="66" t="inlineStr">
        <is>
          <t>'€</t>
        </is>
      </c>
      <c r="CC219" s="66" t="inlineStr">
        <is>
          <t>'€</t>
        </is>
      </c>
      <c r="CE219" s="33" t="n"/>
      <c r="CF219" s="68" t="inlineStr">
        <is>
          <t>'#</t>
        </is>
      </c>
      <c r="CG219" s="68" t="inlineStr">
        <is>
          <t>'€</t>
        </is>
      </c>
      <c r="CH219" s="68" t="inlineStr">
        <is>
          <t>'€</t>
        </is>
      </c>
      <c r="CI219" s="35" t="n"/>
      <c r="CJ219" s="69">
        <f>ROUNDUP(CF221*60%,-1)</f>
        <v/>
      </c>
      <c r="CK219" s="104" t="n"/>
    </row>
    <row r="220" hidden="1" ht="5.25" customHeight="1">
      <c r="CE220" s="33" t="n"/>
      <c r="CF220" s="39" t="n"/>
      <c r="CG220" s="39" t="n"/>
      <c r="CH220" s="39" t="n"/>
      <c r="CI220" s="35" t="n"/>
      <c r="CK220" s="104" t="n"/>
    </row>
    <row r="221" hidden="1" ht="12.95" customFormat="1" customHeight="1" s="69">
      <c r="B221" s="69">
        <f>C211</f>
        <v/>
      </c>
      <c r="C221" s="70" t="inlineStr">
        <is>
          <t>Synthèse</t>
        </is>
      </c>
      <c r="D221" s="70" t="n"/>
      <c r="E221" s="71" t="n"/>
      <c r="F221" s="70" t="n"/>
      <c r="H221" s="72">
        <f>IFERROR(SUMIFS(H223:H262,F223:F262,"Produit Vente"),"Non trouvé")</f>
        <v/>
      </c>
      <c r="J221" s="73">
        <f>IFERROR($K221/$H221,"Non Trouvé")</f>
        <v/>
      </c>
      <c r="K221" s="73">
        <f>IFERROR(SUM(K223:K262),"Non Trouvé")</f>
        <v/>
      </c>
      <c r="M221" s="73">
        <f>IFERROR($N221/$H221,"Non Trouvé")</f>
        <v/>
      </c>
      <c r="N221" s="73">
        <f>IFERROR(SUM(N223:N262),"Non Trouvé")</f>
        <v/>
      </c>
      <c r="P221" s="74">
        <f>IFERROR(-(R221-N221)/N221,"Non Trouvé")</f>
        <v/>
      </c>
      <c r="R221" s="73">
        <f>IFERROR(SUM(R223:R262),"Non Trouvé")</f>
        <v/>
      </c>
      <c r="T221" s="73">
        <f>IFERROR(SUM(T223:T262),"Non Trouvé")</f>
        <v/>
      </c>
      <c r="U221" s="75" t="n"/>
      <c r="V221" s="73">
        <f>IFERROR(SUM(V223:V263),"Non Trouvé")</f>
        <v/>
      </c>
      <c r="X221" s="73">
        <f>IFERROR(SUM(X223:X263),"Non Trouvé")</f>
        <v/>
      </c>
      <c r="Z221" s="73">
        <f>IFERROR(SUM(Z223:Z262),"Non Trouvé")</f>
        <v/>
      </c>
      <c r="AB221" s="76">
        <f>ROUND($AB$210*AB213,0)</f>
        <v/>
      </c>
      <c r="AC221" s="77">
        <f>IFERROR(VLOOKUP(AB216,'[1]Paramètres Généraux'!$O:$P,2,FALSE),"Non Trouvé")</f>
        <v/>
      </c>
      <c r="AD221" s="73">
        <f>IFERROR(SUM(AD223:AD263),"Non Trouvé")</f>
        <v/>
      </c>
      <c r="AE221" s="74">
        <f>IFERROR((AD221-$K221*AB221)/AD221,"Non Trouvé")</f>
        <v/>
      </c>
      <c r="AG221" s="76">
        <f>ROUND($AB$210*AG213,0)</f>
        <v/>
      </c>
      <c r="AH221" s="77">
        <f>IFERROR(VLOOKUP(AG216,'[1]Paramètres Généraux'!$O:$P,2,FALSE),"Non Trouvé")</f>
        <v/>
      </c>
      <c r="AI221" s="73">
        <f>IFERROR(SUM(AI223:AI263),"Non Trouvé")</f>
        <v/>
      </c>
      <c r="AJ221" s="74">
        <f>IFERROR((AI221-$K221*AG221)/AI221,"Non Trouvé")</f>
        <v/>
      </c>
      <c r="AL221" s="76">
        <f>ROUND($AB$210*AL213,0)</f>
        <v/>
      </c>
      <c r="AM221" s="77">
        <f>IFERROR(VLOOKUP(AL216,'[1]Paramètres Généraux'!$O:$P,2,FALSE),"Non Trouvé")</f>
        <v/>
      </c>
      <c r="AN221" s="73">
        <f>IFERROR(SUM(AN223:AN263),"Non Trouvé")</f>
        <v/>
      </c>
      <c r="AO221" s="74">
        <f>IFERROR((AN221-$K221*AL221)/AN221,"Non Trouvé")</f>
        <v/>
      </c>
      <c r="AQ221" s="76">
        <f>ROUND($AB$210*AQ213,0)</f>
        <v/>
      </c>
      <c r="AR221" s="77">
        <f>IFERROR(VLOOKUP(AQ216,'[1]Paramètres Généraux'!$O:$P,2,FALSE),"Non Trouvé")</f>
        <v/>
      </c>
      <c r="AS221" s="73">
        <f>IFERROR(SUM(AS223:AS263),"Non Trouvé")</f>
        <v/>
      </c>
      <c r="AT221" s="74">
        <f>IFERROR((AS221-$K221*AQ221)/AS221,"Non Trouvé")</f>
        <v/>
      </c>
      <c r="AV221" s="76">
        <f>ROUND($AB$210*AV213,0)</f>
        <v/>
      </c>
      <c r="AW221" s="77">
        <f>IFERROR(VLOOKUP(AV216,'[1]Paramètres Généraux'!$O:$P,2,FALSE),"Non Trouvé")</f>
        <v/>
      </c>
      <c r="AX221" s="73">
        <f>IFERROR(SUM(AX223:AX263),"Non Trouvé")</f>
        <v/>
      </c>
      <c r="AY221" s="74">
        <f>IFERROR((AX221-$K221*AV221)/AX221,"Non Trouvé")</f>
        <v/>
      </c>
      <c r="BA221" s="76">
        <f>ROUND($AB$210*BA213,0)</f>
        <v/>
      </c>
      <c r="BB221" s="77">
        <f>IFERROR(VLOOKUP(BA216,'[1]Paramètres Généraux'!$O:$P,2,FALSE),"Non Trouvé")</f>
        <v/>
      </c>
      <c r="BC221" s="73">
        <f>IFERROR(SUM(BC223:BC263),"Non Trouvé")</f>
        <v/>
      </c>
      <c r="BD221" s="74">
        <f>IFERROR((BC221-$K221*BA221)/BC221,"Non Trouvé")</f>
        <v/>
      </c>
      <c r="BF221" s="76">
        <f>ROUND($AB$210*BF213,0)</f>
        <v/>
      </c>
      <c r="BG221" s="77">
        <f>IFERROR(VLOOKUP(BF216,'[1]Paramètres Généraux'!$O:$P,2,FALSE),"Non Trouvé")</f>
        <v/>
      </c>
      <c r="BH221" s="73">
        <f>IFERROR(SUM(BH223:BH263),"Non Trouvé")</f>
        <v/>
      </c>
      <c r="BI221" s="74">
        <f>IFERROR((BH221-$K221*BF221)/BH221,"Non Trouvé")</f>
        <v/>
      </c>
      <c r="BK221" s="76">
        <f>ROUND($AB$210*BK213,0)</f>
        <v/>
      </c>
      <c r="BL221" s="77">
        <f>IFERROR(VLOOKUP(BK216,'[1]Paramètres Généraux'!$O:$P,2,FALSE),"Non Trouvé")</f>
        <v/>
      </c>
      <c r="BM221" s="73">
        <f>IFERROR(SUM(BM223:BM263),"Non Trouvé")</f>
        <v/>
      </c>
      <c r="BN221" s="74">
        <f>IFERROR((BM221-$K221*BK221)/BM221,"Non Trouvé")</f>
        <v/>
      </c>
      <c r="BP221" s="76">
        <f>ROUND($AB$210*BP213,0)</f>
        <v/>
      </c>
      <c r="BQ221" s="77">
        <f>IFERROR(VLOOKUP(BP216,'[1]Paramètres Généraux'!$O:$P,2,FALSE),"Non Trouvé")</f>
        <v/>
      </c>
      <c r="BR221" s="73">
        <f>IFERROR(SUM(BR223:BR263),"Non Trouvé")</f>
        <v/>
      </c>
      <c r="BS221" s="74">
        <f>IFERROR((BR221-$K221*BP221)/BR221,"Non Trouvé")</f>
        <v/>
      </c>
      <c r="BU221" s="76">
        <f>ROUND($AB$210*BU213,0)</f>
        <v/>
      </c>
      <c r="BV221" s="77">
        <f>IFERROR(VLOOKUP(BU216,'[1]Paramètres Généraux'!$O:$P,2,FALSE),"Non Trouvé")</f>
        <v/>
      </c>
      <c r="BW221" s="73">
        <f>IFERROR(SUM(BW223:BW263),"Non Trouvé")</f>
        <v/>
      </c>
      <c r="BX221" s="74">
        <f>IFERROR((BW221-$K221*BU221)/BW221,"Non Trouvé")</f>
        <v/>
      </c>
      <c r="BZ221" s="76">
        <f>ROUND($AB$210*BZ213,0)</f>
        <v/>
      </c>
      <c r="CA221" s="77">
        <f>IFERROR(VLOOKUP(BZ216,'[1]Paramètres Généraux'!$O:$P,2,FALSE),"Non Trouvé")</f>
        <v/>
      </c>
      <c r="CB221" s="73">
        <f>IFERROR(SUM(CB223:CB263),"Non Trouvé")</f>
        <v/>
      </c>
      <c r="CC221" s="74">
        <f>IFERROR((CB221-$K221*BZ221)/CB221,"Non Trouvé")</f>
        <v/>
      </c>
      <c r="CE221" s="78" t="n"/>
      <c r="CF221" s="72">
        <f>SUMIFS($AB221:$CC221,$AB218:$CC218,CF218)</f>
        <v/>
      </c>
      <c r="CG221" s="72">
        <f>SUMIFS($AB221:$CC221,$AB218:$CC218,CG218)</f>
        <v/>
      </c>
      <c r="CH221" s="79">
        <f>IFERROR((CG221-$K221*CF221)/CG221,"Non Trouvé")</f>
        <v/>
      </c>
      <c r="CI221" s="80" t="n"/>
      <c r="CJ221" s="69">
        <f>ROUNDUP(CF221*70%,-1)</f>
        <v/>
      </c>
      <c r="CK221" s="169" t="n"/>
      <c r="CW221" s="184" t="n"/>
      <c r="CX221" s="184" t="n"/>
      <c r="CY221" s="184" t="n"/>
      <c r="CZ221" s="184" t="n"/>
      <c r="DA221" s="184" t="n"/>
      <c r="DB221" s="184" t="n"/>
      <c r="DC221" s="184" t="n"/>
      <c r="DD221" s="184" t="n"/>
      <c r="DE221" s="184" t="n"/>
      <c r="DF221" s="184" t="n"/>
      <c r="DG221" s="184" t="n"/>
      <c r="DH221" s="184" t="n"/>
      <c r="DI221" s="184" t="n"/>
      <c r="DJ221" s="184" t="n"/>
      <c r="DK221" s="184" t="n"/>
      <c r="DL221" s="184" t="n"/>
      <c r="DM221" s="184" t="n"/>
      <c r="DN221" s="184" t="n"/>
      <c r="DO221" s="184" t="n"/>
      <c r="DP221" s="184" t="n"/>
    </row>
    <row r="222" hidden="1" ht="5.25" customHeight="1">
      <c r="CE222" s="33" t="n"/>
      <c r="CF222" s="39" t="n"/>
      <c r="CG222" s="39" t="n"/>
      <c r="CH222" s="39" t="n"/>
      <c r="CI222" s="35" t="n"/>
      <c r="CK222" s="104" t="n"/>
    </row>
    <row r="223" hidden="1" ht="12.95" customHeight="1">
      <c r="B223" s="1">
        <f>IF(C223="",0,COUNTIFS($B$22:B222,"&gt;"&amp;0)+1)</f>
        <v/>
      </c>
      <c r="C223" s="90" t="n">
        <v>1020202</v>
      </c>
      <c r="D223" s="91">
        <f>IFERROR(IF($C223="","",VLOOKUP($C223,'[1]Paramètres Articles'!$B:$G,2,FALSE)),"Non Trouvé")</f>
        <v/>
      </c>
      <c r="E223" s="92">
        <f>IFERROR(IF($C223="","",_xlfn.XLOOKUP(REGENERANTS!$C223,'[1]New Base PA'!$F:$F,'[1]New Base PA'!$D:$D,"Not Found",0)),"Non Trouvé")</f>
        <v/>
      </c>
      <c r="F223" s="93" t="inlineStr">
        <is>
          <t>Produit Vente</t>
        </is>
      </c>
      <c r="H223" s="106">
        <f>24*13%</f>
        <v/>
      </c>
      <c r="J223" s="95" t="n"/>
      <c r="K223" s="136" t="n"/>
      <c r="L223" s="137" t="n"/>
      <c r="M223" s="95">
        <f>IFERROR(IF(AND($F223="Produit Vente",H223&gt;0),VLOOKUP($C223,'[1]Paramètres Articles'!$B:$G,6,FALSE),0),"Non Trouvé")</f>
        <v/>
      </c>
      <c r="N223" s="95" t="n"/>
      <c r="P223" s="97" t="n"/>
      <c r="R223" s="95">
        <f>IFERROR(IF($C223="","",$N223*(1-$P223)),"Non Trouvé")</f>
        <v/>
      </c>
      <c r="S223" s="96" t="n"/>
      <c r="T223" s="95">
        <f>IFERROR(IF($C223="","",VLOOKUP($C223,'[1]Paramètres Articles'!$B:$H,7,FALSE)),"Non Trouvé")</f>
        <v/>
      </c>
      <c r="U223" s="98" t="n"/>
      <c r="V223" s="95">
        <f>IFERROR(IF($C223="","",IF($P223="","",$T223*(1-$P223))),"Non Trouvé")</f>
        <v/>
      </c>
      <c r="W223" s="96" t="n"/>
      <c r="X223" s="95">
        <f>IFERROR(T223-V223,"")</f>
        <v/>
      </c>
      <c r="Y223" s="96" t="n"/>
      <c r="Z223" s="95">
        <f>IFERROR(IF(OR(T223=0,T223=""),0,T223*H223),"Non Trouvé")</f>
        <v/>
      </c>
      <c r="AB223" s="99">
        <f>AB221</f>
        <v/>
      </c>
      <c r="AC223" s="99">
        <f>AC221</f>
        <v/>
      </c>
      <c r="AD223" s="95">
        <f>IFERROR(IF($C223="","",IF($P$15="Cascade",$R223*(1-AC223)*AB223,IF($P$15="Additionnelle",($N223-($N223*($P223+AC223)))*AB223))),"Non Trouvé")</f>
        <v/>
      </c>
      <c r="AG223" s="99">
        <f>AG221</f>
        <v/>
      </c>
      <c r="AH223" s="99">
        <f>AH221</f>
        <v/>
      </c>
      <c r="AI223" s="95">
        <f>IFERROR(IF($C223="","",IF($P$15="Cascade",$R223*(1-AH223)*AG223,IF($P$15="Additionnelle",($N223-($N223*($P223+AH223)))*AG223))),"Non Trouvé")</f>
        <v/>
      </c>
      <c r="AL223" s="99">
        <f>AL221</f>
        <v/>
      </c>
      <c r="AM223" s="99">
        <f>AM221</f>
        <v/>
      </c>
      <c r="AN223" s="95">
        <f>IFERROR(IF($C223="","",IF($P$15="Cascade",$R223*(1-AM223)*AL223,IF($P$15="Additionnelle",($N223-($N223*($P223+AM223)))*AL223))),"Non Trouvé")</f>
        <v/>
      </c>
      <c r="AQ223" s="99">
        <f>AQ221</f>
        <v/>
      </c>
      <c r="AR223" s="99">
        <f>AR221</f>
        <v/>
      </c>
      <c r="AS223" s="95">
        <f>IFERROR(IF($C223="","",IF($P$15="Cascade",$R223*(1-AR223)*AQ223,IF($P$15="Additionnelle",($N223-($N223*($P223+AR223)))*AQ223))),"Non Trouvé")</f>
        <v/>
      </c>
      <c r="AV223" s="99">
        <f>AV221</f>
        <v/>
      </c>
      <c r="AW223" s="99">
        <f>AW221</f>
        <v/>
      </c>
      <c r="AX223" s="95">
        <f>IFERROR(IF($C223="","",IF($P$15="Cascade",$R223*(1-AW223)*AV223,IF($P$15="Additionnelle",($N223-($N223*($P223+AW223)))*AV223))),"Non Trouvé")</f>
        <v/>
      </c>
      <c r="BA223" s="99">
        <f>BA221</f>
        <v/>
      </c>
      <c r="BB223" s="99">
        <f>BB221</f>
        <v/>
      </c>
      <c r="BC223" s="95">
        <f>IFERROR(IF($C223="","",IF($P$15="Cascade",$R223*(1-BB223)*BA223,IF($P$15="Additionnelle",($N223-($N223*($P223+BB223)))*BA223))),"Non Trouvé")</f>
        <v/>
      </c>
      <c r="BF223" s="99">
        <f>BF221</f>
        <v/>
      </c>
      <c r="BG223" s="99">
        <f>BG221</f>
        <v/>
      </c>
      <c r="BH223" s="95">
        <f>IFERROR(IF($C223="","",IF($P$15="Cascade",$R223*(1-BG223)*BF223,IF($P$15="Additionnelle",($N223-($N223*($P223+BG223)))*BF223))),"Non Trouvé")</f>
        <v/>
      </c>
      <c r="BK223" s="99">
        <f>BK221</f>
        <v/>
      </c>
      <c r="BL223" s="99">
        <f>BL221</f>
        <v/>
      </c>
      <c r="BM223" s="95">
        <f>IFERROR(IF($C223="","",IF($P$15="Cascade",$R223*(1-BL223)*BK223,IF($P$15="Additionnelle",($N223-($N223*($P223+BL223)))*BK223))),"Non Trouvé")</f>
        <v/>
      </c>
      <c r="BP223" s="99">
        <f>BP221</f>
        <v/>
      </c>
      <c r="BQ223" s="99">
        <f>BQ221</f>
        <v/>
      </c>
      <c r="BR223" s="95">
        <f>IFERROR(IF($C223="","",IF($P$15="Cascade",$R223*(1-BQ223)*BP223,IF($P$15="Additionnelle",($N223-($N223*($P223+BQ223)))*BP223))),"Non Trouvé")</f>
        <v/>
      </c>
      <c r="BU223" s="99">
        <f>BU221</f>
        <v/>
      </c>
      <c r="BV223" s="99">
        <f>BV221</f>
        <v/>
      </c>
      <c r="BW223" s="95">
        <f>IFERROR(IF($C223="","",IF($P$15="Cascade",$R223*(1-BV223)*BU223,IF($P$15="Additionnelle",($N223-($N223*($P223+BV223)))*BU223))),"Non Trouvé")</f>
        <v/>
      </c>
      <c r="BZ223" s="99">
        <f>BZ221</f>
        <v/>
      </c>
      <c r="CA223" s="99">
        <f>CA221</f>
        <v/>
      </c>
      <c r="CB223" s="95">
        <f>IFERROR(IF($C223="","",IF($P$15="Cascade",$R223*(1-CA223)*BZ223,IF($P$15="Additionnelle",($N223-($N223*($P223+CA223)))*BZ223))),"Non Trouvé")</f>
        <v/>
      </c>
      <c r="CE223" s="100" t="n"/>
      <c r="CF223" s="101" t="n"/>
      <c r="CG223" s="102" t="n"/>
      <c r="CH223" s="102" t="n"/>
      <c r="CI223" s="103" t="n"/>
      <c r="CK223" s="104">
        <f>IFERROR(IF(F223='[1]Paramètres Généraux'!$K$12,ROUNDUP((REGENERANTS!H223*REGENERANTS!$CF$221)*'[1]Paramètres Généraux'!$M$12,-1),REGENERANTS!H223*REGENERANTS!$CF$221),"nd")</f>
        <v/>
      </c>
      <c r="CN223" s="171" t="n"/>
      <c r="CO223" s="172" t="n"/>
      <c r="CP223" s="172" t="n"/>
      <c r="CQ223" s="172" t="n"/>
      <c r="CR223" s="172" t="n"/>
      <c r="CS223" s="173" t="n"/>
      <c r="CT223" s="174" t="n"/>
      <c r="CU223" s="172" t="n"/>
      <c r="CV223" s="173" t="n"/>
      <c r="CW223" s="175" t="n"/>
      <c r="CX223" s="176" t="n"/>
      <c r="CY223" s="175" t="n"/>
      <c r="CZ223" s="177" t="n"/>
      <c r="DA223" s="176" t="n"/>
      <c r="DB223" s="175" t="n"/>
      <c r="DC223" s="177" t="n"/>
      <c r="DD223" s="176" t="n"/>
      <c r="DE223" s="175" t="n"/>
      <c r="DF223" s="177" t="n"/>
      <c r="DG223" s="177" t="n"/>
      <c r="DH223" s="177" t="n"/>
      <c r="DI223" s="177" t="n"/>
      <c r="DJ223" s="177" t="n"/>
      <c r="DK223" s="177" t="n"/>
      <c r="DL223" s="177" t="n"/>
      <c r="DM223" s="177" t="n"/>
      <c r="DN223" s="177" t="n"/>
      <c r="DO223" s="176" t="n"/>
      <c r="DP223" s="175" t="n"/>
      <c r="DQ223" s="20">
        <f>SUM(CN223:DP223)</f>
        <v/>
      </c>
      <c r="DR223" s="20">
        <f>SUM(CV223:DP223)</f>
        <v/>
      </c>
      <c r="DS223" s="20">
        <f>IFERROR((IF(AND($F223="Produit Vente",CO223&gt;0),VLOOKUP($C223,'[1]Paramètres Articles'!$B:$H,7,FALSE)*$CO223)*(1-20%)),0)</f>
        <v/>
      </c>
      <c r="DT223" s="20">
        <f>IFERROR((IF(AND($F223="Produit Vente",DR223&gt;0),VLOOKUP($C223,'[1]Paramètres Articles'!$B:$H,6,FALSE)*$DR223)*(1-15%)),0)</f>
        <v/>
      </c>
    </row>
    <row r="224" hidden="1" ht="12.95" customHeight="1">
      <c r="B224" s="1">
        <f>IF(C224="",0,COUNTIFS($B$22:B223,"&gt;"&amp;0)+1)</f>
        <v/>
      </c>
      <c r="C224" s="90" t="n">
        <v>1020310</v>
      </c>
      <c r="D224" s="91">
        <f>IFERROR(IF($C224="","",VLOOKUP($C224,'[1]Paramètres Articles'!$B:$G,2,FALSE)),"Non Trouvé")</f>
        <v/>
      </c>
      <c r="E224" s="92">
        <f>IFERROR(IF($C224="","",_xlfn.XLOOKUP(REGENERANTS!$C224,'[1]New Base PA'!$F:$F,'[1]New Base PA'!$D:$D,"Not Found",0)),"Non Trouvé")</f>
        <v/>
      </c>
      <c r="F224" s="93" t="inlineStr">
        <is>
          <t>Produit Vente</t>
        </is>
      </c>
      <c r="H224" s="106">
        <f>24*7%</f>
        <v/>
      </c>
      <c r="J224" s="95" t="n"/>
      <c r="K224" s="136" t="n"/>
      <c r="L224" s="137" t="n"/>
      <c r="M224" s="95">
        <f>IFERROR(IF(AND($F224="Produit Vente",H224&gt;0),VLOOKUP($C224,'[1]Paramètres Articles'!$B:$G,6,FALSE),0),"Non Trouvé")</f>
        <v/>
      </c>
      <c r="N224" s="95" t="n"/>
      <c r="P224" s="97" t="n"/>
      <c r="R224" s="95">
        <f>IFERROR(IF($C224="","",$N224*(1-$P224)),"Non Trouvé")</f>
        <v/>
      </c>
      <c r="S224" s="96" t="n"/>
      <c r="T224" s="95">
        <f>IFERROR(IF($C224="","",VLOOKUP($C224,'[1]Paramètres Articles'!$B:$H,7,FALSE)),"Non Trouvé")</f>
        <v/>
      </c>
      <c r="U224" s="98" t="n"/>
      <c r="V224" s="95">
        <f>IFERROR(IF($C224="","",IF($P224="","",$T224*(1-$P224))),"Non Trouvé")</f>
        <v/>
      </c>
      <c r="W224" s="96" t="n"/>
      <c r="X224" s="95">
        <f>IFERROR(T224-V224,"")</f>
        <v/>
      </c>
      <c r="Y224" s="96" t="n"/>
      <c r="Z224" s="95">
        <f>IFERROR(IF(OR(T224=0,T224=""),0,T224*H224),"Non Trouvé")</f>
        <v/>
      </c>
      <c r="AB224" s="99">
        <f>AB223</f>
        <v/>
      </c>
      <c r="AC224" s="99">
        <f>AC223</f>
        <v/>
      </c>
      <c r="AD224" s="95">
        <f>IFERROR(IF($C224="","",IF($P$15="Cascade",$R224*(1-AC224)*AB224,IF($P$15="Additionnelle",($N224-($N224*($P224+AC224)))*AB224))),"Non Trouvé")</f>
        <v/>
      </c>
      <c r="AG224" s="99">
        <f>AG223</f>
        <v/>
      </c>
      <c r="AH224" s="99">
        <f>AH223</f>
        <v/>
      </c>
      <c r="AI224" s="95">
        <f>IFERROR(IF($C224="","",IF($P$15="Cascade",$R224*(1-AH224)*AG224,IF($P$15="Additionnelle",($N224-($N224*($P224+AH224)))*AG224))),"Non Trouvé")</f>
        <v/>
      </c>
      <c r="AL224" s="99">
        <f>AL223</f>
        <v/>
      </c>
      <c r="AM224" s="99">
        <f>AM223</f>
        <v/>
      </c>
      <c r="AN224" s="95">
        <f>IFERROR(IF($C224="","",IF($P$15="Cascade",$R224*(1-AM224)*AL224,IF($P$15="Additionnelle",($N224-($N224*($P224+AM224)))*AL224))),"Non Trouvé")</f>
        <v/>
      </c>
      <c r="AQ224" s="99">
        <f>AQ223</f>
        <v/>
      </c>
      <c r="AR224" s="99">
        <f>AR223</f>
        <v/>
      </c>
      <c r="AS224" s="95">
        <f>IFERROR(IF($C224="","",IF($P$15="Cascade",$R224*(1-AR224)*AQ224,IF($P$15="Additionnelle",($N224-($N224*($P224+AR224)))*AQ224))),"Non Trouvé")</f>
        <v/>
      </c>
      <c r="AV224" s="99">
        <f>AV223</f>
        <v/>
      </c>
      <c r="AW224" s="99">
        <f>AW223</f>
        <v/>
      </c>
      <c r="AX224" s="95">
        <f>IFERROR(IF($C224="","",IF($P$15="Cascade",$R224*(1-AW224)*AV224,IF($P$15="Additionnelle",($N224-($N224*($P224+AW224)))*AV224))),"Non Trouvé")</f>
        <v/>
      </c>
      <c r="BA224" s="99">
        <f>BA223</f>
        <v/>
      </c>
      <c r="BB224" s="99">
        <f>BB223</f>
        <v/>
      </c>
      <c r="BC224" s="95">
        <f>IFERROR(IF($C224="","",IF($P$15="Cascade",$R224*(1-BB224)*BA224,IF($P$15="Additionnelle",($N224-($N224*($P224+BB224)))*BA224))),"Non Trouvé")</f>
        <v/>
      </c>
      <c r="BF224" s="99">
        <f>BF223</f>
        <v/>
      </c>
      <c r="BG224" s="99">
        <f>BG223</f>
        <v/>
      </c>
      <c r="BH224" s="95">
        <f>IFERROR(IF($C224="","",IF($P$15="Cascade",$R224*(1-BG224)*BF224,IF($P$15="Additionnelle",($N224-($N224*($P224+BG224)))*BF224))),"Non Trouvé")</f>
        <v/>
      </c>
      <c r="BK224" s="99">
        <f>BK223</f>
        <v/>
      </c>
      <c r="BL224" s="99">
        <f>BL223</f>
        <v/>
      </c>
      <c r="BM224" s="95">
        <f>IFERROR(IF($C224="","",IF($P$15="Cascade",$R224*(1-BL224)*BK224,IF($P$15="Additionnelle",($N224-($N224*($P224+BL224)))*BK224))),"Non Trouvé")</f>
        <v/>
      </c>
      <c r="BP224" s="99">
        <f>BP223</f>
        <v/>
      </c>
      <c r="BQ224" s="99">
        <f>BQ223</f>
        <v/>
      </c>
      <c r="BR224" s="95">
        <f>IFERROR(IF($C224="","",IF($P$15="Cascade",$R224*(1-BQ224)*BP224,IF($P$15="Additionnelle",($N224-($N224*($P224+BQ224)))*BP224))),"Non Trouvé")</f>
        <v/>
      </c>
      <c r="BU224" s="99">
        <f>BU223</f>
        <v/>
      </c>
      <c r="BV224" s="99">
        <f>BV223</f>
        <v/>
      </c>
      <c r="BW224" s="95">
        <f>IFERROR(IF($C224="","",IF($P$15="Cascade",$R224*(1-BV224)*BU224,IF($P$15="Additionnelle",($N224-($N224*($P224+BV224)))*BU224))),"Non Trouvé")</f>
        <v/>
      </c>
      <c r="BZ224" s="99">
        <f>BZ223</f>
        <v/>
      </c>
      <c r="CA224" s="99">
        <f>CA223</f>
        <v/>
      </c>
      <c r="CB224" s="95">
        <f>IFERROR(IF($C224="","",IF($P$15="Cascade",$R224*(1-CA224)*BZ224,IF($P$15="Additionnelle",($N224-($N224*($P224+CA224)))*BZ224))),"Non Trouvé")</f>
        <v/>
      </c>
      <c r="CE224" s="100" t="n"/>
      <c r="CF224" s="119" t="n"/>
      <c r="CG224" s="120" t="inlineStr">
        <is>
          <t>Prix Offre Moy. Remisé :</t>
        </is>
      </c>
      <c r="CH224" s="121">
        <f>CG221/CF221</f>
        <v/>
      </c>
      <c r="CI224" s="103" t="n"/>
      <c r="CK224" s="104">
        <f>IFERROR(IF(F224='[1]Paramètres Généraux'!$K$12,ROUNDUP((REGENERANTS!H224*REGENERANTS!$CF$221)*'[1]Paramètres Généraux'!$M$12,-1),REGENERANTS!H224*REGENERANTS!$CF$221),"nd")</f>
        <v/>
      </c>
      <c r="CN224" s="105" t="n"/>
      <c r="CO224" s="106" t="n"/>
      <c r="CP224" s="106" t="n"/>
      <c r="CQ224" s="106" t="n"/>
      <c r="CR224" s="106" t="n"/>
      <c r="CS224" s="178" t="n"/>
      <c r="CT224" s="179" t="n"/>
      <c r="CU224" s="106" t="n"/>
      <c r="CV224" s="178" t="n"/>
      <c r="CW224" s="111" t="n"/>
      <c r="CX224" s="112" t="n"/>
      <c r="CY224" s="111" t="n"/>
      <c r="CZ224" s="109" t="n"/>
      <c r="DA224" s="112" t="n"/>
      <c r="DB224" s="111" t="n"/>
      <c r="DC224" s="109" t="n"/>
      <c r="DD224" s="112" t="n"/>
      <c r="DE224" s="111" t="n"/>
      <c r="DF224" s="109" t="n"/>
      <c r="DG224" s="109" t="n"/>
      <c r="DH224" s="109" t="n"/>
      <c r="DI224" s="109" t="n"/>
      <c r="DJ224" s="109" t="n"/>
      <c r="DK224" s="109" t="n"/>
      <c r="DL224" s="109" t="n"/>
      <c r="DM224" s="109" t="n"/>
      <c r="DN224" s="109" t="n"/>
      <c r="DO224" s="112" t="n"/>
      <c r="DP224" s="111" t="n"/>
      <c r="DQ224" s="20">
        <f>SUM(CN224:DP224)</f>
        <v/>
      </c>
      <c r="DR224" s="20">
        <f>SUM(CV224:DP224)</f>
        <v/>
      </c>
      <c r="DS224" s="20">
        <f>IFERROR((IF(AND($F224="Produit Vente",CO224&gt;0),VLOOKUP($C224,'[1]Paramètres Articles'!$B:$H,7,FALSE)*$CO224)*(1-20%)),0)</f>
        <v/>
      </c>
      <c r="DT224" s="20">
        <f>IFERROR((IF(AND($F224="Produit Vente",DR224&gt;0),VLOOKUP($C224,'[1]Paramètres Articles'!$B:$H,6,FALSE)*$DR224)*(1-15%)),0)</f>
        <v/>
      </c>
    </row>
    <row r="225" hidden="1" ht="12.95" customHeight="1">
      <c r="B225" s="1">
        <f>IF(C225="",0,COUNTIFS($B$22:B224,"&gt;"&amp;0)+1)</f>
        <v/>
      </c>
      <c r="C225" s="90" t="n">
        <v>1020401</v>
      </c>
      <c r="D225" s="91">
        <f>IFERROR(IF($C225="","",VLOOKUP($C225,'[1]Paramètres Articles'!$B:$G,2,FALSE)),"Non Trouvé")</f>
        <v/>
      </c>
      <c r="E225" s="92">
        <f>IFERROR(IF($C225="","",_xlfn.XLOOKUP(REGENERANTS!$C225,'[1]New Base PA'!$F:$F,'[1]New Base PA'!$D:$D,"Not Found",0)),"Non Trouvé")</f>
        <v/>
      </c>
      <c r="F225" s="93" t="inlineStr">
        <is>
          <t>Produit Vente</t>
        </is>
      </c>
      <c r="H225" s="106">
        <f>24*9%</f>
        <v/>
      </c>
      <c r="J225" s="95" t="n"/>
      <c r="K225" s="136" t="n"/>
      <c r="L225" s="137" t="n"/>
      <c r="M225" s="95">
        <f>IFERROR(IF(AND($F225="Produit Vente",H225&gt;0),VLOOKUP($C225,'[1]Paramètres Articles'!$B:$G,6,FALSE),0),"Non Trouvé")</f>
        <v/>
      </c>
      <c r="N225" s="95" t="n"/>
      <c r="P225" s="97" t="n"/>
      <c r="R225" s="95">
        <f>IFERROR(IF($C225="","",$N225*(1-$P225)),"Non Trouvé")</f>
        <v/>
      </c>
      <c r="S225" s="96" t="n"/>
      <c r="T225" s="95">
        <f>IFERROR(IF($C225="","",VLOOKUP($C225,'[1]Paramètres Articles'!$B:$H,7,FALSE)),"Non Trouvé")</f>
        <v/>
      </c>
      <c r="U225" s="98" t="n"/>
      <c r="V225" s="95">
        <f>IFERROR(IF($C225="","",IF($P225="","",$T225*(1-$P225))),"Non Trouvé")</f>
        <v/>
      </c>
      <c r="W225" s="96" t="n"/>
      <c r="X225" s="95">
        <f>IFERROR(T225-V225,"")</f>
        <v/>
      </c>
      <c r="Y225" s="96" t="n"/>
      <c r="Z225" s="95">
        <f>IFERROR(IF(OR(T225=0,T225=""),0,T225*H225),"Non Trouvé")</f>
        <v/>
      </c>
      <c r="AB225" s="99">
        <f>AB223</f>
        <v/>
      </c>
      <c r="AC225" s="99">
        <f>AC223</f>
        <v/>
      </c>
      <c r="AD225" s="95">
        <f>IFERROR(IF($C225="","",IF($P$15="Cascade",$R225*(1-AC225)*AB225,IF($P$15="Additionnelle",($N225-($N225*($P225+AC225)))*AB225))),"Non Trouvé")</f>
        <v/>
      </c>
      <c r="AG225" s="99">
        <f>AG223</f>
        <v/>
      </c>
      <c r="AH225" s="99">
        <f>AH223</f>
        <v/>
      </c>
      <c r="AI225" s="95">
        <f>IFERROR(IF($C225="","",IF($P$15="Cascade",$R225*(1-AH225)*AG225,IF($P$15="Additionnelle",($N225-($N225*($P225+AH225)))*AG225))),"Non Trouvé")</f>
        <v/>
      </c>
      <c r="AL225" s="99">
        <f>AL223</f>
        <v/>
      </c>
      <c r="AM225" s="99">
        <f>AM223</f>
        <v/>
      </c>
      <c r="AN225" s="95">
        <f>IFERROR(IF($C225="","",IF($P$15="Cascade",$R225*(1-AM225)*AL225,IF($P$15="Additionnelle",($N225-($N225*($P225+AM225)))*AL225))),"Non Trouvé")</f>
        <v/>
      </c>
      <c r="AQ225" s="99">
        <f>AQ223</f>
        <v/>
      </c>
      <c r="AR225" s="99">
        <f>AR223</f>
        <v/>
      </c>
      <c r="AS225" s="95">
        <f>IFERROR(IF($C225="","",IF($P$15="Cascade",$R225*(1-AR225)*AQ225,IF($P$15="Additionnelle",($N225-($N225*($P225+AR225)))*AQ225))),"Non Trouvé")</f>
        <v/>
      </c>
      <c r="AV225" s="99">
        <f>AV223</f>
        <v/>
      </c>
      <c r="AW225" s="99">
        <f>AW223</f>
        <v/>
      </c>
      <c r="AX225" s="95">
        <f>IFERROR(IF($C225="","",IF($P$15="Cascade",$R225*(1-AW225)*AV225,IF($P$15="Additionnelle",($N225-($N225*($P225+AW225)))*AV225))),"Non Trouvé")</f>
        <v/>
      </c>
      <c r="BA225" s="99">
        <f>BA223</f>
        <v/>
      </c>
      <c r="BB225" s="99">
        <f>BB223</f>
        <v/>
      </c>
      <c r="BC225" s="95">
        <f>IFERROR(IF($C225="","",IF($P$15="Cascade",$R225*(1-BB225)*BA225,IF($P$15="Additionnelle",($N225-($N225*($P225+BB225)))*BA225))),"Non Trouvé")</f>
        <v/>
      </c>
      <c r="BF225" s="99">
        <f>BF223</f>
        <v/>
      </c>
      <c r="BG225" s="99">
        <f>BG223</f>
        <v/>
      </c>
      <c r="BH225" s="95">
        <f>IFERROR(IF($C225="","",IF($P$15="Cascade",$R225*(1-BG225)*BF225,IF($P$15="Additionnelle",($N225-($N225*($P225+BG225)))*BF225))),"Non Trouvé")</f>
        <v/>
      </c>
      <c r="BK225" s="99">
        <f>BK223</f>
        <v/>
      </c>
      <c r="BL225" s="99">
        <f>BL223</f>
        <v/>
      </c>
      <c r="BM225" s="95">
        <f>IFERROR(IF($C225="","",IF($P$15="Cascade",$R225*(1-BL225)*BK225,IF($P$15="Additionnelle",($N225-($N225*($P225+BL225)))*BK225))),"Non Trouvé")</f>
        <v/>
      </c>
      <c r="BP225" s="99">
        <f>BP223</f>
        <v/>
      </c>
      <c r="BQ225" s="99">
        <f>BQ223</f>
        <v/>
      </c>
      <c r="BR225" s="95">
        <f>IFERROR(IF($C225="","",IF($P$15="Cascade",$R225*(1-BQ225)*BP225,IF($P$15="Additionnelle",($N225-($N225*($P225+BQ225)))*BP225))),"Non Trouvé")</f>
        <v/>
      </c>
      <c r="BU225" s="99">
        <f>BU223</f>
        <v/>
      </c>
      <c r="BV225" s="99">
        <f>BV223</f>
        <v/>
      </c>
      <c r="BW225" s="95">
        <f>IFERROR(IF($C225="","",IF($P$15="Cascade",$R225*(1-BV225)*BU225,IF($P$15="Additionnelle",($N225-($N225*($P225+BV225)))*BU225))),"Non Trouvé")</f>
        <v/>
      </c>
      <c r="BZ225" s="99">
        <f>BZ223</f>
        <v/>
      </c>
      <c r="CA225" s="99">
        <f>CA223</f>
        <v/>
      </c>
      <c r="CB225" s="95">
        <f>IFERROR(IF($C225="","",IF($P$15="Cascade",$R225*(1-CA225)*BZ225,IF($P$15="Additionnelle",($N225-($N225*($P225+CA225)))*BZ225))),"Non Trouvé")</f>
        <v/>
      </c>
      <c r="CE225" s="100" t="n"/>
      <c r="CF225" s="119" t="n"/>
      <c r="CG225" s="120" t="inlineStr">
        <is>
          <t>Poids Gratuités achats :</t>
        </is>
      </c>
      <c r="CH225" s="123">
        <f>SUM(CH227:CH230)</f>
        <v/>
      </c>
      <c r="CI225" s="103" t="n"/>
      <c r="CK225" s="104">
        <f>IFERROR(IF(F225='[1]Paramètres Généraux'!$K$12,ROUNDUP((REGENERANTS!H225*REGENERANTS!$CF$221)*'[1]Paramètres Généraux'!$M$12,-1),REGENERANTS!H225*REGENERANTS!$CF$221),"nd")</f>
        <v/>
      </c>
      <c r="CN225" s="105" t="n"/>
      <c r="CO225" s="106" t="n"/>
      <c r="CP225" s="106" t="n"/>
      <c r="CQ225" s="106" t="n"/>
      <c r="CR225" s="106" t="n"/>
      <c r="CS225" s="178" t="n"/>
      <c r="CT225" s="179" t="n"/>
      <c r="CU225" s="106" t="n"/>
      <c r="CV225" s="178" t="n"/>
      <c r="CW225" s="111" t="n"/>
      <c r="CX225" s="112" t="n"/>
      <c r="CY225" s="111" t="n"/>
      <c r="CZ225" s="109" t="n"/>
      <c r="DA225" s="112" t="n"/>
      <c r="DB225" s="111" t="n"/>
      <c r="DC225" s="109" t="n"/>
      <c r="DD225" s="112" t="n"/>
      <c r="DE225" s="111" t="n"/>
      <c r="DF225" s="109" t="n"/>
      <c r="DG225" s="109" t="n"/>
      <c r="DH225" s="109" t="n"/>
      <c r="DI225" s="109" t="n"/>
      <c r="DJ225" s="109" t="n"/>
      <c r="DK225" s="109" t="n"/>
      <c r="DL225" s="109" t="n"/>
      <c r="DM225" s="109" t="n"/>
      <c r="DN225" s="109" t="n"/>
      <c r="DO225" s="112" t="n"/>
      <c r="DP225" s="111" t="n"/>
      <c r="DQ225" s="20">
        <f>SUM(CN225:DP225)</f>
        <v/>
      </c>
      <c r="DR225" s="20">
        <f>SUM(CV225:DP225)</f>
        <v/>
      </c>
      <c r="DS225" s="20">
        <f>IFERROR((IF(AND($F225="Produit Vente",CO225&gt;0),VLOOKUP($C225,'[1]Paramètres Articles'!$B:$H,7,FALSE)*$CO225)*(1-20%)),0)</f>
        <v/>
      </c>
      <c r="DT225" s="20">
        <f>IFERROR((IF(AND($F225="Produit Vente",DR225&gt;0),VLOOKUP($C225,'[1]Paramètres Articles'!$B:$H,6,FALSE)*$DR225)*(1-15%)),0)</f>
        <v/>
      </c>
    </row>
    <row r="226" hidden="1" outlineLevel="1" collapsed="1" ht="12.95" customHeight="1">
      <c r="B226" s="1">
        <f>IF(C226="",0,COUNTIFS($B$22:B225,"&gt;"&amp;0)+1)</f>
        <v/>
      </c>
      <c r="C226" s="90" t="n">
        <v>1020302</v>
      </c>
      <c r="D226" s="91">
        <f>IFERROR(IF($C226="","",VLOOKUP($C226,'[1]Paramètres Articles'!$B:$G,2,FALSE)),"Non Trouvé")</f>
        <v/>
      </c>
      <c r="E226" s="92">
        <f>IFERROR(IF($C226="","",_xlfn.XLOOKUP(REGENERANTS!$C226,'[1]New Base PA'!$F:$F,'[1]New Base PA'!$D:$D,"Not Found",0)),"Non Trouvé")</f>
        <v/>
      </c>
      <c r="F226" s="93" t="inlineStr">
        <is>
          <t>Produit Vente</t>
        </is>
      </c>
      <c r="H226" s="106">
        <f>24*4%</f>
        <v/>
      </c>
      <c r="J226" s="95">
        <f>IFERROR(IF($C226="","",VLOOKUP($C226,'[1]New Base PA'!$F:$J,5,FALSE)),"Non Trouvé")</f>
        <v/>
      </c>
      <c r="K226" s="136">
        <f>IFERROR(IF($C226="","",$J226*$H226),"Non Trouvé")</f>
        <v/>
      </c>
      <c r="L226" s="137" t="n"/>
      <c r="M226" s="95">
        <f>IFERROR(IF(AND($F226="Produit Vente",H226&gt;0),VLOOKUP($C226,'[1]Paramètres Articles'!$B:$G,6,FALSE),0),"Non Trouvé")</f>
        <v/>
      </c>
      <c r="N226" s="95">
        <f>IFERROR(IF($C226="","",$M226*$H226),"Non Trouvé")</f>
        <v/>
      </c>
      <c r="P226" s="97" t="n"/>
      <c r="R226" s="95">
        <f>IFERROR(IF($C226="","",$N226*(1-$P226)),"Non Trouvé")</f>
        <v/>
      </c>
      <c r="S226" s="96" t="n"/>
      <c r="T226" s="95">
        <f>IFERROR(IF($C226="","",VLOOKUP($C226,'[1]Paramètres Articles'!$B:$H,7,FALSE)),"Non Trouvé")</f>
        <v/>
      </c>
      <c r="U226" s="98" t="n"/>
      <c r="V226" s="95">
        <f>IFERROR(IF($C226="","",IF($P226="","",$T226*(1-$P226))),"Non Trouvé")</f>
        <v/>
      </c>
      <c r="W226" s="96" t="n"/>
      <c r="X226" s="95">
        <f>IFERROR(T226-V226,"")</f>
        <v/>
      </c>
      <c r="Y226" s="96" t="n"/>
      <c r="Z226" s="95">
        <f>IFERROR(IF(OR(T226=0,T226=""),0,T226*H226),"Non Trouvé")</f>
        <v/>
      </c>
      <c r="AB226" s="99">
        <f>AB225</f>
        <v/>
      </c>
      <c r="AC226" s="99">
        <f>AC225</f>
        <v/>
      </c>
      <c r="AD226" s="95">
        <f>IFERROR(IF($C226="","",IF($P$15="Cascade",$R226*(1-AC226)*AB226,IF($P$15="Additionnelle",($N226-($N226*($P226+AC226)))*AB226))),"Non Trouvé")</f>
        <v/>
      </c>
      <c r="AG226" s="99">
        <f>AG225</f>
        <v/>
      </c>
      <c r="AH226" s="99">
        <f>AH225</f>
        <v/>
      </c>
      <c r="AI226" s="95">
        <f>IFERROR(IF($C226="","",IF($P$15="Cascade",$R226*(1-AH226)*AG226,IF($P$15="Additionnelle",($N226-($N226*($P226+AH226)))*AG226))),"Non Trouvé")</f>
        <v/>
      </c>
      <c r="AL226" s="99">
        <f>AL225</f>
        <v/>
      </c>
      <c r="AM226" s="99">
        <f>AM225</f>
        <v/>
      </c>
      <c r="AN226" s="95">
        <f>IFERROR(IF($C226="","",IF($P$15="Cascade",$R226*(1-AM226)*AL226,IF($P$15="Additionnelle",($N226-($N226*($P226+AM226)))*AL226))),"Non Trouvé")</f>
        <v/>
      </c>
      <c r="AQ226" s="99">
        <f>AQ225</f>
        <v/>
      </c>
      <c r="AR226" s="99">
        <f>AR225</f>
        <v/>
      </c>
      <c r="AS226" s="95">
        <f>IFERROR(IF($C226="","",IF($P$15="Cascade",$R226*(1-AR226)*AQ226,IF($P$15="Additionnelle",($N226-($N226*($P226+AR226)))*AQ226))),"Non Trouvé")</f>
        <v/>
      </c>
      <c r="AV226" s="99">
        <f>AV225</f>
        <v/>
      </c>
      <c r="AW226" s="99">
        <f>AW225</f>
        <v/>
      </c>
      <c r="AX226" s="95">
        <f>IFERROR(IF($C226="","",IF($P$15="Cascade",$R226*(1-AW226)*AV226,IF($P$15="Additionnelle",($N226-($N226*($P226+AW226)))*AV226))),"Non Trouvé")</f>
        <v/>
      </c>
      <c r="BA226" s="99">
        <f>BA225</f>
        <v/>
      </c>
      <c r="BB226" s="99">
        <f>BB225</f>
        <v/>
      </c>
      <c r="BC226" s="95">
        <f>IFERROR(IF($C226="","",IF($P$15="Cascade",$R226*(1-BB226)*BA226,IF($P$15="Additionnelle",($N226-($N226*($P226+BB226)))*BA226))),"Non Trouvé")</f>
        <v/>
      </c>
      <c r="BF226" s="99">
        <f>BF225</f>
        <v/>
      </c>
      <c r="BG226" s="99">
        <f>BG225</f>
        <v/>
      </c>
      <c r="BH226" s="95">
        <f>IFERROR(IF($C226="","",IF($P$15="Cascade",$R226*(1-BG226)*BF226,IF($P$15="Additionnelle",($N226-($N226*($P226+BG226)))*BF226))),"Non Trouvé")</f>
        <v/>
      </c>
      <c r="BK226" s="99">
        <f>BK225</f>
        <v/>
      </c>
      <c r="BL226" s="99">
        <f>BL225</f>
        <v/>
      </c>
      <c r="BM226" s="95">
        <f>IFERROR(IF($C226="","",IF($P$15="Cascade",$R226*(1-BL226)*BK226,IF($P$15="Additionnelle",($N226-($N226*($P226+BL226)))*BK226))),"Non Trouvé")</f>
        <v/>
      </c>
      <c r="BP226" s="99">
        <f>BP225</f>
        <v/>
      </c>
      <c r="BQ226" s="99">
        <f>BQ225</f>
        <v/>
      </c>
      <c r="BR226" s="95">
        <f>IFERROR(IF($C226="","",IF($P$15="Cascade",$R226*(1-BQ226)*BP226,IF($P$15="Additionnelle",($N226-($N226*($P226+BQ226)))*BP226))),"Non Trouvé")</f>
        <v/>
      </c>
      <c r="BU226" s="99">
        <f>BU225</f>
        <v/>
      </c>
      <c r="BV226" s="99">
        <f>BV225</f>
        <v/>
      </c>
      <c r="BW226" s="95">
        <f>IFERROR(IF($C226="","",IF($P$15="Cascade",$R226*(1-BV226)*BU226,IF($P$15="Additionnelle",($N226-($N226*($P226+BV226)))*BU226))),"Non Trouvé")</f>
        <v/>
      </c>
      <c r="BZ226" s="99">
        <f>BZ225</f>
        <v/>
      </c>
      <c r="CA226" s="99">
        <f>CA225</f>
        <v/>
      </c>
      <c r="CB226" s="95">
        <f>IFERROR(IF($C226="","",IF($P$15="Cascade",$R226*(1-CA226)*BZ226,IF($P$15="Additionnelle",($N226-($N226*($P226+CA226)))*BZ226))),"Non Trouvé")</f>
        <v/>
      </c>
      <c r="CE226" s="100" t="n"/>
      <c r="CF226" s="101" t="n"/>
      <c r="CG226" s="102" t="n"/>
      <c r="CH226" s="102" t="n"/>
      <c r="CI226" s="103" t="n"/>
      <c r="CK226" s="104">
        <f>IFERROR(IF(F226='[1]Paramètres Généraux'!$K$12,ROUNDUP((REGENERANTS!H226*REGENERANTS!$CF$221)*'[1]Paramètres Généraux'!$M$12,-1),REGENERANTS!H226*REGENERANTS!$CF$221),"nd")</f>
        <v/>
      </c>
      <c r="CN226" s="105" t="n"/>
      <c r="CO226" s="106" t="n"/>
      <c r="CP226" s="106" t="n"/>
      <c r="CQ226" s="106" t="n"/>
      <c r="CR226" s="106" t="n"/>
      <c r="CS226" s="178" t="n"/>
      <c r="CT226" s="179" t="n"/>
      <c r="CU226" s="106" t="n"/>
      <c r="CV226" s="178" t="n"/>
      <c r="CW226" s="111" t="n"/>
      <c r="CX226" s="112" t="n"/>
      <c r="CY226" s="111" t="n"/>
      <c r="CZ226" s="109" t="n"/>
      <c r="DA226" s="112" t="n"/>
      <c r="DB226" s="111" t="n"/>
      <c r="DC226" s="109" t="n"/>
      <c r="DD226" s="112" t="n"/>
      <c r="DE226" s="111" t="n"/>
      <c r="DF226" s="109" t="n"/>
      <c r="DG226" s="109" t="n"/>
      <c r="DH226" s="109" t="n"/>
      <c r="DI226" s="109" t="n"/>
      <c r="DJ226" s="109" t="n"/>
      <c r="DK226" s="109" t="n"/>
      <c r="DL226" s="109" t="n"/>
      <c r="DM226" s="109" t="n"/>
      <c r="DN226" s="109" t="n"/>
      <c r="DO226" s="112" t="n"/>
      <c r="DP226" s="111" t="n"/>
      <c r="DQ226" s="20">
        <f>SUM(CN226:DP226)</f>
        <v/>
      </c>
      <c r="DR226" s="20">
        <f>SUM(CV226:DP226)</f>
        <v/>
      </c>
      <c r="DS226" s="20">
        <f>IFERROR((IF(AND($F226="Produit Vente",CO226&gt;0),VLOOKUP($C226,'[1]Paramètres Articles'!$B:$H,7,FALSE)*$CO226)*(1-20%)),0)</f>
        <v/>
      </c>
      <c r="DT226" s="20">
        <f>IFERROR((IF(AND($F226="Produit Vente",DR226&gt;0),VLOOKUP($C226,'[1]Paramètres Articles'!$B:$H,6,FALSE)*$DR226)*(1-15%)),0)</f>
        <v/>
      </c>
    </row>
    <row r="227" hidden="1" outlineLevel="1" collapsed="1" ht="12.95" customHeight="1">
      <c r="B227" s="1">
        <f>IF(C227="",0,COUNTIFS($B$22:B226,"&gt;"&amp;0)+1)</f>
        <v/>
      </c>
      <c r="C227" s="90" t="n">
        <v>1020721</v>
      </c>
      <c r="D227" s="91">
        <f>IFERROR(IF($C227="","",VLOOKUP($C227,'[1]Paramètres Articles'!$B:$G,2,FALSE)),"Non Trouvé")</f>
        <v/>
      </c>
      <c r="E227" s="92">
        <f>IFERROR(IF($C227="","",_xlfn.XLOOKUP(REGENERANTS!$C227,'[1]New Base PA'!$F:$F,'[1]New Base PA'!$D:$D,"Not Found",0)),"Non Trouvé")</f>
        <v/>
      </c>
      <c r="F227" s="93" t="inlineStr">
        <is>
          <t>Produit Vente</t>
        </is>
      </c>
      <c r="H227" s="106" t="n">
        <v>0</v>
      </c>
      <c r="J227" s="95">
        <f>IFERROR(IF($C227="","",VLOOKUP($C227,'[1]New Base PA'!$F:$J,5,FALSE)),"Non Trouvé")</f>
        <v/>
      </c>
      <c r="K227" s="136">
        <f>IFERROR(IF($C227="","",$J227*$H227),"Non Trouvé")</f>
        <v/>
      </c>
      <c r="L227" s="137" t="n"/>
      <c r="M227" s="95">
        <f>IFERROR(IF(AND($F227="Produit Vente",H227&gt;0),VLOOKUP($C227,'[1]Paramètres Articles'!$B:$G,6,FALSE),0),"Non Trouvé")</f>
        <v/>
      </c>
      <c r="N227" s="95">
        <f>IFERROR(IF($C227="","",$M227*$H227),"Non Trouvé")</f>
        <v/>
      </c>
      <c r="P227" s="97" t="n"/>
      <c r="R227" s="95">
        <f>IFERROR(IF($C227="","",$N227*(1-$P227)),"Non Trouvé")</f>
        <v/>
      </c>
      <c r="S227" s="96" t="n"/>
      <c r="T227" s="95">
        <f>IFERROR(IF($C227="","",VLOOKUP($C227,'[1]Paramètres Articles'!$B:$H,7,FALSE)),"Non Trouvé")</f>
        <v/>
      </c>
      <c r="U227" s="98" t="n"/>
      <c r="V227" s="95">
        <f>IFERROR(IF($C227="","",IF($P227="","",$T227*(1-$P227))),"Non Trouvé")</f>
        <v/>
      </c>
      <c r="W227" s="96" t="n"/>
      <c r="X227" s="95">
        <f>IFERROR(T227-V227,"")</f>
        <v/>
      </c>
      <c r="Y227" s="96" t="n"/>
      <c r="Z227" s="95">
        <f>IFERROR(IF(OR(T227=0,T227=""),0,T227*H227),"Non Trouvé")</f>
        <v/>
      </c>
      <c r="AB227" s="99">
        <f>AB225</f>
        <v/>
      </c>
      <c r="AC227" s="99">
        <f>AC225</f>
        <v/>
      </c>
      <c r="AD227" s="95">
        <f>IFERROR(IF($C227="","",IF($P$15="Cascade",$R227*(1-AC227)*AB227,IF($P$15="Additionnelle",($N227-($N227*($P227+AC227)))*AB227))),"Non Trouvé")</f>
        <v/>
      </c>
      <c r="AG227" s="99">
        <f>AG225</f>
        <v/>
      </c>
      <c r="AH227" s="99">
        <f>AH225</f>
        <v/>
      </c>
      <c r="AI227" s="95">
        <f>IFERROR(IF($C227="","",IF($P$15="Cascade",$R227*(1-AH227)*AG227,IF($P$15="Additionnelle",($N227-($N227*($P227+AH227)))*AG227))),"Non Trouvé")</f>
        <v/>
      </c>
      <c r="AL227" s="99">
        <f>AL225</f>
        <v/>
      </c>
      <c r="AM227" s="99">
        <f>AM225</f>
        <v/>
      </c>
      <c r="AN227" s="95">
        <f>IFERROR(IF($C227="","",IF($P$15="Cascade",$R227*(1-AM227)*AL227,IF($P$15="Additionnelle",($N227-($N227*($P227+AM227)))*AL227))),"Non Trouvé")</f>
        <v/>
      </c>
      <c r="AQ227" s="99">
        <f>AQ225</f>
        <v/>
      </c>
      <c r="AR227" s="99">
        <f>AR225</f>
        <v/>
      </c>
      <c r="AS227" s="95">
        <f>IFERROR(IF($C227="","",IF($P$15="Cascade",$R227*(1-AR227)*AQ227,IF($P$15="Additionnelle",($N227-($N227*($P227+AR227)))*AQ227))),"Non Trouvé")</f>
        <v/>
      </c>
      <c r="AV227" s="99">
        <f>AV225</f>
        <v/>
      </c>
      <c r="AW227" s="99">
        <f>AW225</f>
        <v/>
      </c>
      <c r="AX227" s="95">
        <f>IFERROR(IF($C227="","",IF($P$15="Cascade",$R227*(1-AW227)*AV227,IF($P$15="Additionnelle",($N227-($N227*($P227+AW227)))*AV227))),"Non Trouvé")</f>
        <v/>
      </c>
      <c r="BA227" s="99">
        <f>BA225</f>
        <v/>
      </c>
      <c r="BB227" s="99">
        <f>BB225</f>
        <v/>
      </c>
      <c r="BC227" s="95">
        <f>IFERROR(IF($C227="","",IF($P$15="Cascade",$R227*(1-BB227)*BA227,IF($P$15="Additionnelle",($N227-($N227*($P227+BB227)))*BA227))),"Non Trouvé")</f>
        <v/>
      </c>
      <c r="BF227" s="99">
        <f>BF225</f>
        <v/>
      </c>
      <c r="BG227" s="99">
        <f>BG225</f>
        <v/>
      </c>
      <c r="BH227" s="95">
        <f>IFERROR(IF($C227="","",IF($P$15="Cascade",$R227*(1-BG227)*BF227,IF($P$15="Additionnelle",($N227-($N227*($P227+BG227)))*BF227))),"Non Trouvé")</f>
        <v/>
      </c>
      <c r="BK227" s="99">
        <f>BK225</f>
        <v/>
      </c>
      <c r="BL227" s="99">
        <f>BL225</f>
        <v/>
      </c>
      <c r="BM227" s="95">
        <f>IFERROR(IF($C227="","",IF($P$15="Cascade",$R227*(1-BL227)*BK227,IF($P$15="Additionnelle",($N227-($N227*($P227+BL227)))*BK227))),"Non Trouvé")</f>
        <v/>
      </c>
      <c r="BP227" s="99">
        <f>BP225</f>
        <v/>
      </c>
      <c r="BQ227" s="99">
        <f>BQ225</f>
        <v/>
      </c>
      <c r="BR227" s="95">
        <f>IFERROR(IF($C227="","",IF($P$15="Cascade",$R227*(1-BQ227)*BP227,IF($P$15="Additionnelle",($N227-($N227*($P227+BQ227)))*BP227))),"Non Trouvé")</f>
        <v/>
      </c>
      <c r="BU227" s="99">
        <f>BU225</f>
        <v/>
      </c>
      <c r="BV227" s="99">
        <f>BV225</f>
        <v/>
      </c>
      <c r="BW227" s="95">
        <f>IFERROR(IF($C227="","",IF($P$15="Cascade",$R227*(1-BV227)*BU227,IF($P$15="Additionnelle",($N227-($N227*($P227+BV227)))*BU227))),"Non Trouvé")</f>
        <v/>
      </c>
      <c r="BZ227" s="99">
        <f>BZ225</f>
        <v/>
      </c>
      <c r="CA227" s="99">
        <f>CA225</f>
        <v/>
      </c>
      <c r="CB227" s="95">
        <f>IFERROR(IF($C227="","",IF($P$15="Cascade",$R227*(1-CA227)*BZ227,IF($P$15="Additionnelle",($N227-($N227*($P227+CA227)))*BZ227))),"Non Trouvé")</f>
        <v/>
      </c>
      <c r="CE227" s="100" t="n"/>
      <c r="CF227" s="101" t="n"/>
      <c r="CG227" s="93" t="inlineStr">
        <is>
          <t>UG</t>
        </is>
      </c>
      <c r="CH227" s="125">
        <f>SUMIFS(K223:K262,F223:F262,CG227)/SUMIFS(K223:K262,F223:F262,"Produit Vente")</f>
        <v/>
      </c>
      <c r="CI227" s="103" t="n"/>
      <c r="CK227" s="104">
        <f>IFERROR(IF(F227='[1]Paramètres Généraux'!$K$12,ROUNDUP((REGENERANTS!H227*REGENERANTS!$CF$221)*'[1]Paramètres Généraux'!$M$12,-1),REGENERANTS!H227*REGENERANTS!$CF$221),"nd")</f>
        <v/>
      </c>
      <c r="CN227" s="105" t="n"/>
      <c r="CO227" s="106" t="n"/>
      <c r="CP227" s="106" t="n"/>
      <c r="CQ227" s="106" t="n"/>
      <c r="CR227" s="106" t="n"/>
      <c r="CS227" s="178" t="n"/>
      <c r="CT227" s="179" t="n"/>
      <c r="CU227" s="106" t="n"/>
      <c r="CV227" s="178" t="n"/>
      <c r="CW227" s="111" t="n"/>
      <c r="CX227" s="112" t="n"/>
      <c r="CY227" s="111" t="n"/>
      <c r="CZ227" s="109" t="n"/>
      <c r="DA227" s="112" t="n"/>
      <c r="DB227" s="111" t="n"/>
      <c r="DC227" s="109" t="n"/>
      <c r="DD227" s="112" t="n"/>
      <c r="DE227" s="111" t="n"/>
      <c r="DF227" s="109" t="n"/>
      <c r="DG227" s="109" t="n"/>
      <c r="DH227" s="109" t="n"/>
      <c r="DI227" s="109" t="n"/>
      <c r="DJ227" s="109" t="n"/>
      <c r="DK227" s="109" t="n"/>
      <c r="DL227" s="109" t="n"/>
      <c r="DM227" s="109" t="n"/>
      <c r="DN227" s="109" t="n"/>
      <c r="DO227" s="112" t="n"/>
      <c r="DP227" s="111" t="n"/>
      <c r="DQ227" s="20">
        <f>SUM(CN227:DP227)</f>
        <v/>
      </c>
      <c r="DR227" s="20">
        <f>SUM(CV227:DP227)</f>
        <v/>
      </c>
      <c r="DS227" s="20">
        <f>IFERROR((IF(AND($F227="Produit Vente",CO227&gt;0),VLOOKUP($C227,'[1]Paramètres Articles'!$B:$H,7,FALSE)*$CO227)*(1-20%)),0)</f>
        <v/>
      </c>
      <c r="DT227" s="20">
        <f>IFERROR((IF(AND($F227="Produit Vente",DR227&gt;0),VLOOKUP($C227,'[1]Paramètres Articles'!$B:$H,6,FALSE)*$DR227)*(1-15%)),0)</f>
        <v/>
      </c>
    </row>
    <row r="228" hidden="1" outlineLevel="1" collapsed="1" ht="12.95" customHeight="1">
      <c r="B228" s="1">
        <f>IF(C228="",0,COUNTIFS($B$22:B227,"&gt;"&amp;0)+1)</f>
        <v/>
      </c>
      <c r="C228" s="90" t="n">
        <v>1020107</v>
      </c>
      <c r="D228" s="91">
        <f>IFERROR(IF($C228="","",VLOOKUP($C228,'[1]Paramètres Articles'!$B:$G,2,FALSE)),"Non Trouvé")</f>
        <v/>
      </c>
      <c r="E228" s="92">
        <f>IFERROR(IF($C228="","",_xlfn.XLOOKUP(REGENERANTS!$C228,'[1]New Base PA'!$F:$F,'[1]New Base PA'!$D:$D,"Not Found",0)),"Non Trouvé")</f>
        <v/>
      </c>
      <c r="F228" s="93" t="inlineStr">
        <is>
          <t>Produit Vente</t>
        </is>
      </c>
      <c r="H228" s="106">
        <f>24*3%</f>
        <v/>
      </c>
      <c r="J228" s="95">
        <f>IFERROR(IF($C228="","",VLOOKUP($C228,'[1]New Base PA'!$F:$J,5,FALSE)),"Non Trouvé")</f>
        <v/>
      </c>
      <c r="K228" s="136">
        <f>IFERROR(IF($C228="","",$J228*$H228),"Non Trouvé")</f>
        <v/>
      </c>
      <c r="L228" s="137" t="n"/>
      <c r="M228" s="95">
        <f>IFERROR(IF(AND($F228="Produit Vente",H228&gt;0),VLOOKUP($C228,'[1]Paramètres Articles'!$B:$G,6,FALSE),0),"Non Trouvé")</f>
        <v/>
      </c>
      <c r="N228" s="95">
        <f>IFERROR(IF($C228="","",$M228*$H228),"Non Trouvé")</f>
        <v/>
      </c>
      <c r="P228" s="97" t="n"/>
      <c r="R228" s="95">
        <f>IFERROR(IF($C228="","",$N228*(1-$P228)),"Non Trouvé")</f>
        <v/>
      </c>
      <c r="S228" s="96" t="n"/>
      <c r="T228" s="95">
        <f>IFERROR(IF($C228="","",VLOOKUP($C228,'[1]Paramètres Articles'!$B:$H,7,FALSE)),"Non Trouvé")</f>
        <v/>
      </c>
      <c r="U228" s="98" t="n"/>
      <c r="V228" s="95">
        <f>IFERROR(IF($C228="","",IF($P228="","",$T228*(1-$P228))),"Non Trouvé")</f>
        <v/>
      </c>
      <c r="W228" s="96" t="n"/>
      <c r="X228" s="95">
        <f>IFERROR(T228-V228,"")</f>
        <v/>
      </c>
      <c r="Y228" s="96" t="n"/>
      <c r="Z228" s="95">
        <f>IFERROR(IF(OR(T228=0,T228=""),0,T228*H228),"Non Trouvé")</f>
        <v/>
      </c>
      <c r="AB228" s="99">
        <f>AB227</f>
        <v/>
      </c>
      <c r="AC228" s="99">
        <f>AC227</f>
        <v/>
      </c>
      <c r="AD228" s="95">
        <f>IFERROR(IF($C228="","",IF($P$15="Cascade",$R228*(1-AC228)*AB228,IF($P$15="Additionnelle",($N228-($N228*($P228+AC228)))*AB228))),"Non Trouvé")</f>
        <v/>
      </c>
      <c r="AG228" s="99">
        <f>AG227</f>
        <v/>
      </c>
      <c r="AH228" s="99">
        <f>AH227</f>
        <v/>
      </c>
      <c r="AI228" s="95">
        <f>IFERROR(IF($C228="","",IF($P$15="Cascade",$R228*(1-AH228)*AG228,IF($P$15="Additionnelle",($N228-($N228*($P228+AH228)))*AG228))),"Non Trouvé")</f>
        <v/>
      </c>
      <c r="AL228" s="99">
        <f>AL227</f>
        <v/>
      </c>
      <c r="AM228" s="99">
        <f>AM227</f>
        <v/>
      </c>
      <c r="AN228" s="95">
        <f>IFERROR(IF($C228="","",IF($P$15="Cascade",$R228*(1-AM228)*AL228,IF($P$15="Additionnelle",($N228-($N228*($P228+AM228)))*AL228))),"Non Trouvé")</f>
        <v/>
      </c>
      <c r="AQ228" s="99">
        <f>AQ227</f>
        <v/>
      </c>
      <c r="AR228" s="99">
        <f>AR227</f>
        <v/>
      </c>
      <c r="AS228" s="95">
        <f>IFERROR(IF($C228="","",IF($P$15="Cascade",$R228*(1-AR228)*AQ228,IF($P$15="Additionnelle",($N228-($N228*($P228+AR228)))*AQ228))),"Non Trouvé")</f>
        <v/>
      </c>
      <c r="AV228" s="99">
        <f>AV227</f>
        <v/>
      </c>
      <c r="AW228" s="99">
        <f>AW227</f>
        <v/>
      </c>
      <c r="AX228" s="95">
        <f>IFERROR(IF($C228="","",IF($P$15="Cascade",$R228*(1-AW228)*AV228,IF($P$15="Additionnelle",($N228-($N228*($P228+AW228)))*AV228))),"Non Trouvé")</f>
        <v/>
      </c>
      <c r="BA228" s="99">
        <f>BA227</f>
        <v/>
      </c>
      <c r="BB228" s="99">
        <f>BB227</f>
        <v/>
      </c>
      <c r="BC228" s="95">
        <f>IFERROR(IF($C228="","",IF($P$15="Cascade",$R228*(1-BB228)*BA228,IF($P$15="Additionnelle",($N228-($N228*($P228+BB228)))*BA228))),"Non Trouvé")</f>
        <v/>
      </c>
      <c r="BF228" s="99">
        <f>BF227</f>
        <v/>
      </c>
      <c r="BG228" s="99">
        <f>BG227</f>
        <v/>
      </c>
      <c r="BH228" s="95">
        <f>IFERROR(IF($C228="","",IF($P$15="Cascade",$R228*(1-BG228)*BF228,IF($P$15="Additionnelle",($N228-($N228*($P228+BG228)))*BF228))),"Non Trouvé")</f>
        <v/>
      </c>
      <c r="BK228" s="99">
        <f>BK227</f>
        <v/>
      </c>
      <c r="BL228" s="99">
        <f>BL227</f>
        <v/>
      </c>
      <c r="BM228" s="95">
        <f>IFERROR(IF($C228="","",IF($P$15="Cascade",$R228*(1-BL228)*BK228,IF($P$15="Additionnelle",($N228-($N228*($P228+BL228)))*BK228))),"Non Trouvé")</f>
        <v/>
      </c>
      <c r="BP228" s="99">
        <f>BP227</f>
        <v/>
      </c>
      <c r="BQ228" s="99">
        <f>BQ227</f>
        <v/>
      </c>
      <c r="BR228" s="95">
        <f>IFERROR(IF($C228="","",IF($P$15="Cascade",$R228*(1-BQ228)*BP228,IF($P$15="Additionnelle",($N228-($N228*($P228+BQ228)))*BP228))),"Non Trouvé")</f>
        <v/>
      </c>
      <c r="BU228" s="99">
        <f>BU227</f>
        <v/>
      </c>
      <c r="BV228" s="99">
        <f>BV227</f>
        <v/>
      </c>
      <c r="BW228" s="95">
        <f>IFERROR(IF($C228="","",IF($P$15="Cascade",$R228*(1-BV228)*BU228,IF($P$15="Additionnelle",($N228-($N228*($P228+BV228)))*BU228))),"Non Trouvé")</f>
        <v/>
      </c>
      <c r="BZ228" s="99">
        <f>BZ227</f>
        <v/>
      </c>
      <c r="CA228" s="99">
        <f>CA227</f>
        <v/>
      </c>
      <c r="CB228" s="95">
        <f>IFERROR(IF($C228="","",IF($P$15="Cascade",$R228*(1-CA228)*BZ228,IF($P$15="Additionnelle",($N228-($N228*($P228+CA228)))*BZ228))),"Non Trouvé")</f>
        <v/>
      </c>
      <c r="CE228" s="100" t="n"/>
      <c r="CF228" s="101" t="n"/>
      <c r="CG228" s="93" t="inlineStr">
        <is>
          <t>PLV</t>
        </is>
      </c>
      <c r="CH228" s="125">
        <f>SUMIFS(K223:K263,F223:F263,CG228)/K221</f>
        <v/>
      </c>
      <c r="CI228" s="103" t="n"/>
      <c r="CK228" s="104">
        <f>IFERROR(IF(F228='[1]Paramètres Généraux'!$K$12,ROUNDUP((REGENERANTS!H228*REGENERANTS!$CF$221)*'[1]Paramètres Généraux'!$M$12,-1),REGENERANTS!H228*REGENERANTS!$CF$221),"nd")</f>
        <v/>
      </c>
      <c r="CN228" s="105" t="n"/>
      <c r="CO228" s="106" t="n"/>
      <c r="CP228" s="106" t="n"/>
      <c r="CQ228" s="106" t="n"/>
      <c r="CR228" s="106" t="n"/>
      <c r="CS228" s="178" t="n"/>
      <c r="CT228" s="179" t="n"/>
      <c r="CU228" s="106" t="n"/>
      <c r="CV228" s="178" t="n"/>
      <c r="CW228" s="111" t="n"/>
      <c r="CX228" s="112" t="n"/>
      <c r="CY228" s="111" t="n"/>
      <c r="CZ228" s="109" t="n"/>
      <c r="DA228" s="112" t="n"/>
      <c r="DB228" s="111" t="n"/>
      <c r="DC228" s="109" t="n"/>
      <c r="DD228" s="112" t="n"/>
      <c r="DE228" s="111" t="n"/>
      <c r="DF228" s="109" t="n"/>
      <c r="DG228" s="109" t="n"/>
      <c r="DH228" s="109" t="n"/>
      <c r="DI228" s="109" t="n"/>
      <c r="DJ228" s="109" t="n"/>
      <c r="DK228" s="109" t="n"/>
      <c r="DL228" s="109" t="n"/>
      <c r="DM228" s="109" t="n"/>
      <c r="DN228" s="109" t="n"/>
      <c r="DO228" s="112" t="n"/>
      <c r="DP228" s="111" t="n"/>
      <c r="DQ228" s="20">
        <f>SUM(CN228:DP228)</f>
        <v/>
      </c>
      <c r="DR228" s="20">
        <f>SUM(CV228:DP228)</f>
        <v/>
      </c>
      <c r="DS228" s="20">
        <f>IFERROR((IF(AND($F228="Produit Vente",CO228&gt;0),VLOOKUP($C228,'[1]Paramètres Articles'!$B:$H,7,FALSE)*$CO228)*(1-20%)),0)</f>
        <v/>
      </c>
      <c r="DT228" s="20">
        <f>IFERROR((IF(AND($F228="Produit Vente",DR228&gt;0),VLOOKUP($C228,'[1]Paramètres Articles'!$B:$H,6,FALSE)*$DR228)*(1-15%)),0)</f>
        <v/>
      </c>
    </row>
    <row r="229" hidden="1" outlineLevel="1" collapsed="1" ht="12.95" customHeight="1">
      <c r="B229" s="1">
        <f>IF(C229="",0,COUNTIFS($B$22:B228,"&gt;"&amp;0)+1)</f>
        <v/>
      </c>
      <c r="C229" s="90" t="n">
        <v>1020102</v>
      </c>
      <c r="D229" s="91">
        <f>IFERROR(IF($C229="","",VLOOKUP($C229,'[1]Paramètres Articles'!$B:$G,2,FALSE)),"Non Trouvé")</f>
        <v/>
      </c>
      <c r="E229" s="92">
        <f>IFERROR(IF($C229="","",_xlfn.XLOOKUP(REGENERANTS!$C229,'[1]New Base PA'!$F:$F,'[1]New Base PA'!$D:$D,"Not Found",0)),"Non Trouvé")</f>
        <v/>
      </c>
      <c r="F229" s="93" t="inlineStr">
        <is>
          <t>Produit Vente</t>
        </is>
      </c>
      <c r="H229" s="106">
        <f>24*5%</f>
        <v/>
      </c>
      <c r="J229" s="95">
        <f>IFERROR(IF($C229="","",VLOOKUP($C229,'[1]New Base PA'!$F:$J,5,FALSE)),"Non Trouvé")</f>
        <v/>
      </c>
      <c r="K229" s="136">
        <f>IFERROR(IF($C229="","",$J229*$H229),"Non Trouvé")</f>
        <v/>
      </c>
      <c r="L229" s="137" t="n"/>
      <c r="M229" s="95">
        <f>IFERROR(IF(AND($F229="Produit Vente",H229&gt;0),VLOOKUP($C229,'[1]Paramètres Articles'!$B:$G,6,FALSE),0),"Non Trouvé")</f>
        <v/>
      </c>
      <c r="N229" s="95">
        <f>IFERROR(IF($C229="","",$M229*$H229),"Non Trouvé")</f>
        <v/>
      </c>
      <c r="P229" s="97" t="n"/>
      <c r="R229" s="95">
        <f>IFERROR(IF($C229="","",$N229*(1-$P229)),"Non Trouvé")</f>
        <v/>
      </c>
      <c r="S229" s="96" t="n"/>
      <c r="T229" s="95">
        <f>IFERROR(IF($C229="","",VLOOKUP($C229,'[1]Paramètres Articles'!$B:$H,7,FALSE)),"Non Trouvé")</f>
        <v/>
      </c>
      <c r="U229" s="98" t="n"/>
      <c r="V229" s="95">
        <f>IFERROR(IF($C229="","",IF($P229="","",$T229*(1-$P229))),"Non Trouvé")</f>
        <v/>
      </c>
      <c r="W229" s="96" t="n"/>
      <c r="X229" s="95">
        <f>IFERROR(T229-V229,"")</f>
        <v/>
      </c>
      <c r="Y229" s="96" t="n"/>
      <c r="Z229" s="95">
        <f>IFERROR(IF(OR(T229=0,T229=""),0,T229*H229),"Non Trouvé")</f>
        <v/>
      </c>
      <c r="AB229" s="99">
        <f>AB227</f>
        <v/>
      </c>
      <c r="AC229" s="99">
        <f>AC227</f>
        <v/>
      </c>
      <c r="AD229" s="95">
        <f>IFERROR(IF($C229="","",IF($P$15="Cascade",$R229*(1-AC229)*AB229,IF($P$15="Additionnelle",($N229-($N229*($P229+AC229)))*AB229))),"Non Trouvé")</f>
        <v/>
      </c>
      <c r="AG229" s="99">
        <f>AG227</f>
        <v/>
      </c>
      <c r="AH229" s="99">
        <f>AH227</f>
        <v/>
      </c>
      <c r="AI229" s="95">
        <f>IFERROR(IF($C229="","",IF($P$15="Cascade",$R229*(1-AH229)*AG229,IF($P$15="Additionnelle",($N229-($N229*($P229+AH229)))*AG229))),"Non Trouvé")</f>
        <v/>
      </c>
      <c r="AL229" s="99">
        <f>AL227</f>
        <v/>
      </c>
      <c r="AM229" s="99">
        <f>AM227</f>
        <v/>
      </c>
      <c r="AN229" s="95">
        <f>IFERROR(IF($C229="","",IF($P$15="Cascade",$R229*(1-AM229)*AL229,IF($P$15="Additionnelle",($N229-($N229*($P229+AM229)))*AL229))),"Non Trouvé")</f>
        <v/>
      </c>
      <c r="AQ229" s="99">
        <f>AQ227</f>
        <v/>
      </c>
      <c r="AR229" s="99">
        <f>AR227</f>
        <v/>
      </c>
      <c r="AS229" s="95">
        <f>IFERROR(IF($C229="","",IF($P$15="Cascade",$R229*(1-AR229)*AQ229,IF($P$15="Additionnelle",($N229-($N229*($P229+AR229)))*AQ229))),"Non Trouvé")</f>
        <v/>
      </c>
      <c r="AV229" s="99">
        <f>AV227</f>
        <v/>
      </c>
      <c r="AW229" s="99">
        <f>AW227</f>
        <v/>
      </c>
      <c r="AX229" s="95">
        <f>IFERROR(IF($C229="","",IF($P$15="Cascade",$R229*(1-AW229)*AV229,IF($P$15="Additionnelle",($N229-($N229*($P229+AW229)))*AV229))),"Non Trouvé")</f>
        <v/>
      </c>
      <c r="BA229" s="99">
        <f>BA227</f>
        <v/>
      </c>
      <c r="BB229" s="99">
        <f>BB227</f>
        <v/>
      </c>
      <c r="BC229" s="95">
        <f>IFERROR(IF($C229="","",IF($P$15="Cascade",$R229*(1-BB229)*BA229,IF($P$15="Additionnelle",($N229-($N229*($P229+BB229)))*BA229))),"Non Trouvé")</f>
        <v/>
      </c>
      <c r="BF229" s="99">
        <f>BF227</f>
        <v/>
      </c>
      <c r="BG229" s="99">
        <f>BG227</f>
        <v/>
      </c>
      <c r="BH229" s="95">
        <f>IFERROR(IF($C229="","",IF($P$15="Cascade",$R229*(1-BG229)*BF229,IF($P$15="Additionnelle",($N229-($N229*($P229+BG229)))*BF229))),"Non Trouvé")</f>
        <v/>
      </c>
      <c r="BK229" s="99">
        <f>BK227</f>
        <v/>
      </c>
      <c r="BL229" s="99">
        <f>BL227</f>
        <v/>
      </c>
      <c r="BM229" s="95">
        <f>IFERROR(IF($C229="","",IF($P$15="Cascade",$R229*(1-BL229)*BK229,IF($P$15="Additionnelle",($N229-($N229*($P229+BL229)))*BK229))),"Non Trouvé")</f>
        <v/>
      </c>
      <c r="BP229" s="99">
        <f>BP227</f>
        <v/>
      </c>
      <c r="BQ229" s="99">
        <f>BQ227</f>
        <v/>
      </c>
      <c r="BR229" s="95">
        <f>IFERROR(IF($C229="","",IF($P$15="Cascade",$R229*(1-BQ229)*BP229,IF($P$15="Additionnelle",($N229-($N229*($P229+BQ229)))*BP229))),"Non Trouvé")</f>
        <v/>
      </c>
      <c r="BU229" s="99">
        <f>BU227</f>
        <v/>
      </c>
      <c r="BV229" s="99">
        <f>BV227</f>
        <v/>
      </c>
      <c r="BW229" s="95">
        <f>IFERROR(IF($C229="","",IF($P$15="Cascade",$R229*(1-BV229)*BU229,IF($P$15="Additionnelle",($N229-($N229*($P229+BV229)))*BU229))),"Non Trouvé")</f>
        <v/>
      </c>
      <c r="BZ229" s="99">
        <f>BZ227</f>
        <v/>
      </c>
      <c r="CA229" s="99">
        <f>CA227</f>
        <v/>
      </c>
      <c r="CB229" s="95">
        <f>IFERROR(IF($C229="","",IF($P$15="Cascade",$R229*(1-CA229)*BZ229,IF($P$15="Additionnelle",($N229-($N229*($P229+CA229)))*BZ229))),"Non Trouvé")</f>
        <v/>
      </c>
      <c r="CE229" s="100" t="n"/>
      <c r="CF229" s="101" t="n"/>
      <c r="CG229" s="93" t="inlineStr">
        <is>
          <t>Echantillon</t>
        </is>
      </c>
      <c r="CH229" s="125">
        <f>SUMIFS(K223:K263,F223:F263,CG229)/K221</f>
        <v/>
      </c>
      <c r="CI229" s="103" t="n"/>
      <c r="CK229" s="104">
        <f>IFERROR(IF(F229='[1]Paramètres Généraux'!$K$12,ROUNDUP((REGENERANTS!H229*REGENERANTS!$CF$221)*'[1]Paramètres Généraux'!$M$12,-1),REGENERANTS!H229*REGENERANTS!$CF$221),"nd")</f>
        <v/>
      </c>
      <c r="CN229" s="105" t="n"/>
      <c r="CO229" s="106" t="n"/>
      <c r="CP229" s="106" t="n"/>
      <c r="CQ229" s="106" t="n"/>
      <c r="CR229" s="106" t="n"/>
      <c r="CS229" s="178" t="n"/>
      <c r="CT229" s="179" t="n"/>
      <c r="CU229" s="106" t="n"/>
      <c r="CV229" s="178" t="n"/>
      <c r="CW229" s="111" t="n"/>
      <c r="CX229" s="112" t="n"/>
      <c r="CY229" s="111" t="n"/>
      <c r="CZ229" s="109" t="n"/>
      <c r="DA229" s="112" t="n"/>
      <c r="DB229" s="111" t="n"/>
      <c r="DC229" s="109" t="n"/>
      <c r="DD229" s="112" t="n"/>
      <c r="DE229" s="111" t="n"/>
      <c r="DF229" s="109" t="n"/>
      <c r="DG229" s="109" t="n"/>
      <c r="DH229" s="109" t="n"/>
      <c r="DI229" s="109" t="n"/>
      <c r="DJ229" s="109" t="n"/>
      <c r="DK229" s="109" t="n"/>
      <c r="DL229" s="109" t="n"/>
      <c r="DM229" s="109" t="n"/>
      <c r="DN229" s="109" t="n"/>
      <c r="DO229" s="112" t="n"/>
      <c r="DP229" s="111" t="n"/>
      <c r="DQ229" s="20">
        <f>SUM(CN229:DP229)</f>
        <v/>
      </c>
      <c r="DR229" s="20">
        <f>SUM(CV229:DP229)</f>
        <v/>
      </c>
      <c r="DS229" s="20">
        <f>IFERROR((IF(AND($F229="Produit Vente",CO229&gt;0),VLOOKUP($C229,'[1]Paramètres Articles'!$B:$H,7,FALSE)*$CO229)*(1-20%)),0)</f>
        <v/>
      </c>
      <c r="DT229" s="20">
        <f>IFERROR((IF(AND($F229="Produit Vente",DR229&gt;0),VLOOKUP($C229,'[1]Paramètres Articles'!$B:$H,6,FALSE)*$DR229)*(1-15%)),0)</f>
        <v/>
      </c>
    </row>
    <row r="230" hidden="1" outlineLevel="1" collapsed="1" ht="12.95" customHeight="1">
      <c r="B230" s="1">
        <f>IF(C230="",0,COUNTIFS($B$22:B229,"&gt;"&amp;0)+1)</f>
        <v/>
      </c>
      <c r="C230" s="90" t="n">
        <v>1020722</v>
      </c>
      <c r="D230" s="91">
        <f>IFERROR(IF($C230="","",VLOOKUP($C230,'[1]Paramètres Articles'!$B:$G,2,FALSE)),"Non Trouvé")</f>
        <v/>
      </c>
      <c r="E230" s="92">
        <f>IFERROR(IF($C230="","",_xlfn.XLOOKUP(REGENERANTS!$C230,'[1]New Base PA'!$F:$F,'[1]New Base PA'!$D:$D,"Not Found",0)),"Non Trouvé")</f>
        <v/>
      </c>
      <c r="F230" s="93" t="inlineStr">
        <is>
          <t>Produit Vente</t>
        </is>
      </c>
      <c r="H230" s="106" t="n">
        <v>0</v>
      </c>
      <c r="J230" s="95">
        <f>IFERROR(IF($C230="","",VLOOKUP($C230,'[1]New Base PA'!$F:$J,5,FALSE)),"Non Trouvé")</f>
        <v/>
      </c>
      <c r="K230" s="136">
        <f>IFERROR(IF($C230="","",$J230*$H230),"Non Trouvé")</f>
        <v/>
      </c>
      <c r="L230" s="137" t="n"/>
      <c r="M230" s="95">
        <f>IFERROR(IF(AND($F230="Produit Vente",H230&gt;0),VLOOKUP($C230,'[1]Paramètres Articles'!$B:$G,6,FALSE),0),"Non Trouvé")</f>
        <v/>
      </c>
      <c r="N230" s="95">
        <f>IFERROR(IF($C230="","",$M230*$H230),"Non Trouvé")</f>
        <v/>
      </c>
      <c r="P230" s="97" t="n"/>
      <c r="R230" s="95">
        <f>IFERROR(IF($C230="","",$N230*(1-$P230)),"Non Trouvé")</f>
        <v/>
      </c>
      <c r="S230" s="96" t="n"/>
      <c r="T230" s="95">
        <f>IFERROR(IF($C230="","",VLOOKUP($C230,'[1]Paramètres Articles'!$B:$H,7,FALSE)),"Non Trouvé")</f>
        <v/>
      </c>
      <c r="U230" s="98" t="n"/>
      <c r="V230" s="95">
        <f>IFERROR(IF($C230="","",IF($P230="","",$T230*(1-$P230))),"Non Trouvé")</f>
        <v/>
      </c>
      <c r="W230" s="96" t="n"/>
      <c r="X230" s="95">
        <f>IFERROR(T230-V230,"")</f>
        <v/>
      </c>
      <c r="Y230" s="96" t="n"/>
      <c r="Z230" s="95">
        <f>IFERROR(IF(OR(T230=0,T230=""),0,T230*H230),"Non Trouvé")</f>
        <v/>
      </c>
      <c r="AB230" s="99">
        <f>AB229</f>
        <v/>
      </c>
      <c r="AC230" s="99">
        <f>AC229</f>
        <v/>
      </c>
      <c r="AD230" s="95">
        <f>IFERROR(IF($C230="","",IF($P$15="Cascade",$R230*(1-AC230)*AB230,IF($P$15="Additionnelle",($N230-($N230*($P230+AC230)))*AB230))),"Non Trouvé")</f>
        <v/>
      </c>
      <c r="AG230" s="99">
        <f>AG229</f>
        <v/>
      </c>
      <c r="AH230" s="99">
        <f>AH229</f>
        <v/>
      </c>
      <c r="AI230" s="95">
        <f>IFERROR(IF($C230="","",IF($P$15="Cascade",$R230*(1-AH230)*AG230,IF($P$15="Additionnelle",($N230-($N230*($P230+AH230)))*AG230))),"Non Trouvé")</f>
        <v/>
      </c>
      <c r="AL230" s="99">
        <f>AL229</f>
        <v/>
      </c>
      <c r="AM230" s="99">
        <f>AM229</f>
        <v/>
      </c>
      <c r="AN230" s="95">
        <f>IFERROR(IF($C230="","",IF($P$15="Cascade",$R230*(1-AM230)*AL230,IF($P$15="Additionnelle",($N230-($N230*($P230+AM230)))*AL230))),"Non Trouvé")</f>
        <v/>
      </c>
      <c r="AQ230" s="99">
        <f>AQ229</f>
        <v/>
      </c>
      <c r="AR230" s="99">
        <f>AR229</f>
        <v/>
      </c>
      <c r="AS230" s="95">
        <f>IFERROR(IF($C230="","",IF($P$15="Cascade",$R230*(1-AR230)*AQ230,IF($P$15="Additionnelle",($N230-($N230*($P230+AR230)))*AQ230))),"Non Trouvé")</f>
        <v/>
      </c>
      <c r="AV230" s="99">
        <f>AV229</f>
        <v/>
      </c>
      <c r="AW230" s="99">
        <f>AW229</f>
        <v/>
      </c>
      <c r="AX230" s="95">
        <f>IFERROR(IF($C230="","",IF($P$15="Cascade",$R230*(1-AW230)*AV230,IF($P$15="Additionnelle",($N230-($N230*($P230+AW230)))*AV230))),"Non Trouvé")</f>
        <v/>
      </c>
      <c r="BA230" s="99">
        <f>BA229</f>
        <v/>
      </c>
      <c r="BB230" s="99">
        <f>BB229</f>
        <v/>
      </c>
      <c r="BC230" s="95">
        <f>IFERROR(IF($C230="","",IF($P$15="Cascade",$R230*(1-BB230)*BA230,IF($P$15="Additionnelle",($N230-($N230*($P230+BB230)))*BA230))),"Non Trouvé")</f>
        <v/>
      </c>
      <c r="BF230" s="99">
        <f>BF229</f>
        <v/>
      </c>
      <c r="BG230" s="99">
        <f>BG229</f>
        <v/>
      </c>
      <c r="BH230" s="95">
        <f>IFERROR(IF($C230="","",IF($P$15="Cascade",$R230*(1-BG230)*BF230,IF($P$15="Additionnelle",($N230-($N230*($P230+BG230)))*BF230))),"Non Trouvé")</f>
        <v/>
      </c>
      <c r="BK230" s="99">
        <f>BK229</f>
        <v/>
      </c>
      <c r="BL230" s="99">
        <f>BL229</f>
        <v/>
      </c>
      <c r="BM230" s="95">
        <f>IFERROR(IF($C230="","",IF($P$15="Cascade",$R230*(1-BL230)*BK230,IF($P$15="Additionnelle",($N230-($N230*($P230+BL230)))*BK230))),"Non Trouvé")</f>
        <v/>
      </c>
      <c r="BP230" s="99">
        <f>BP229</f>
        <v/>
      </c>
      <c r="BQ230" s="99">
        <f>BQ229</f>
        <v/>
      </c>
      <c r="BR230" s="95">
        <f>IFERROR(IF($C230="","",IF($P$15="Cascade",$R230*(1-BQ230)*BP230,IF($P$15="Additionnelle",($N230-($N230*($P230+BQ230)))*BP230))),"Non Trouvé")</f>
        <v/>
      </c>
      <c r="BU230" s="99">
        <f>BU229</f>
        <v/>
      </c>
      <c r="BV230" s="99">
        <f>BV229</f>
        <v/>
      </c>
      <c r="BW230" s="95">
        <f>IFERROR(IF($C230="","",IF($P$15="Cascade",$R230*(1-BV230)*BU230,IF($P$15="Additionnelle",($N230-($N230*($P230+BV230)))*BU230))),"Non Trouvé")</f>
        <v/>
      </c>
      <c r="BZ230" s="99">
        <f>BZ229</f>
        <v/>
      </c>
      <c r="CA230" s="99">
        <f>CA229</f>
        <v/>
      </c>
      <c r="CB230" s="95">
        <f>IFERROR(IF($C230="","",IF($P$15="Cascade",$R230*(1-CA230)*BZ230,IF($P$15="Additionnelle",($N230-($N230*($P230+CA230)))*BZ230))),"Non Trouvé")</f>
        <v/>
      </c>
      <c r="CE230" s="100" t="n"/>
      <c r="CF230" s="101" t="n"/>
      <c r="CG230" s="93" t="inlineStr">
        <is>
          <t>Testeur</t>
        </is>
      </c>
      <c r="CH230" s="125">
        <f>SUMIFS(K223:K263,F223:F263,CG230)/K221</f>
        <v/>
      </c>
      <c r="CI230" s="103" t="n"/>
      <c r="CK230" s="104">
        <f>IFERROR(IF(F230='[1]Paramètres Généraux'!$K$12,ROUNDUP((REGENERANTS!H230*REGENERANTS!$CF$221)*'[1]Paramètres Généraux'!$M$12,-1),REGENERANTS!H230*REGENERANTS!$CF$221),"nd")</f>
        <v/>
      </c>
      <c r="CN230" s="105" t="n"/>
      <c r="CO230" s="106" t="n"/>
      <c r="CP230" s="106" t="n"/>
      <c r="CQ230" s="106" t="n"/>
      <c r="CR230" s="106" t="n"/>
      <c r="CS230" s="178" t="n"/>
      <c r="CT230" s="179" t="n"/>
      <c r="CU230" s="106" t="n"/>
      <c r="CV230" s="178" t="n"/>
      <c r="CW230" s="111" t="n"/>
      <c r="CX230" s="112" t="n"/>
      <c r="CY230" s="111" t="n"/>
      <c r="CZ230" s="109" t="n"/>
      <c r="DA230" s="112" t="n"/>
      <c r="DB230" s="111" t="n"/>
      <c r="DC230" s="109" t="n"/>
      <c r="DD230" s="112" t="n"/>
      <c r="DE230" s="111" t="n"/>
      <c r="DF230" s="109" t="n"/>
      <c r="DG230" s="109" t="n"/>
      <c r="DH230" s="109" t="n"/>
      <c r="DI230" s="109" t="n"/>
      <c r="DJ230" s="109" t="n"/>
      <c r="DK230" s="109" t="n"/>
      <c r="DL230" s="109" t="n"/>
      <c r="DM230" s="109" t="n"/>
      <c r="DN230" s="109" t="n"/>
      <c r="DO230" s="112" t="n"/>
      <c r="DP230" s="111" t="n"/>
      <c r="DQ230" s="20">
        <f>SUM(CN230:DP230)</f>
        <v/>
      </c>
      <c r="DR230" s="20">
        <f>SUM(CV230:DP230)</f>
        <v/>
      </c>
      <c r="DS230" s="20">
        <f>IFERROR((IF(AND($F230="Produit Vente",CO230&gt;0),VLOOKUP($C230,'[1]Paramètres Articles'!$B:$H,7,FALSE)*$CO230)*(1-20%)),0)</f>
        <v/>
      </c>
      <c r="DT230" s="20">
        <f>IFERROR((IF(AND($F230="Produit Vente",DR230&gt;0),VLOOKUP($C230,'[1]Paramètres Articles'!$B:$H,6,FALSE)*$DR230)*(1-15%)),0)</f>
        <v/>
      </c>
    </row>
    <row r="231" hidden="1" outlineLevel="1" collapsed="1" ht="12.95" customHeight="1">
      <c r="B231" s="1">
        <f>IF(C231="",0,COUNTIFS($B$22:B230,"&gt;"&amp;0)+1)</f>
        <v/>
      </c>
      <c r="C231" s="90" t="n">
        <v>1020719</v>
      </c>
      <c r="D231" s="91">
        <f>IFERROR(IF($C231="","",VLOOKUP($C231,'[1]Paramètres Articles'!$B:$G,2,FALSE)),"Non Trouvé")</f>
        <v/>
      </c>
      <c r="E231" s="92">
        <f>IFERROR(IF($C231="","",_xlfn.XLOOKUP(REGENERANTS!$C231,'[1]New Base PA'!$F:$F,'[1]New Base PA'!$D:$D,"Not Found",0)),"Non Trouvé")</f>
        <v/>
      </c>
      <c r="F231" s="93" t="inlineStr">
        <is>
          <t>Produit Vente</t>
        </is>
      </c>
      <c r="H231" s="106">
        <f>24*7%</f>
        <v/>
      </c>
      <c r="J231" s="95">
        <f>IFERROR(IF($C231="","",VLOOKUP($C231,'[1]New Base PA'!$F:$J,5,FALSE)),"Non Trouvé")</f>
        <v/>
      </c>
      <c r="K231" s="136">
        <f>IFERROR(IF($C231="","",$J231*$H231),"Non Trouvé")</f>
        <v/>
      </c>
      <c r="L231" s="137" t="n"/>
      <c r="M231" s="95">
        <f>IFERROR(IF(AND($F231="Produit Vente",H231&gt;0),VLOOKUP($C231,'[1]Paramètres Articles'!$B:$G,6,FALSE),0),"Non Trouvé")</f>
        <v/>
      </c>
      <c r="N231" s="95">
        <f>IFERROR(IF($C231="","",$M231*$H231),"Non Trouvé")</f>
        <v/>
      </c>
      <c r="P231" s="97" t="n"/>
      <c r="R231" s="95">
        <f>IFERROR(IF($C231="","",$N231*(1-$P231)),"Non Trouvé")</f>
        <v/>
      </c>
      <c r="S231" s="96" t="n"/>
      <c r="T231" s="95">
        <f>IFERROR(IF($C231="","",VLOOKUP($C231,'[1]Paramètres Articles'!$B:$H,7,FALSE)),"Non Trouvé")</f>
        <v/>
      </c>
      <c r="U231" s="98" t="n"/>
      <c r="V231" s="95">
        <f>IFERROR(IF($C231="","",IF($P231="","",$T231*(1-$P231))),"Non Trouvé")</f>
        <v/>
      </c>
      <c r="W231" s="96" t="n"/>
      <c r="X231" s="95">
        <f>IFERROR(T231-V231,"")</f>
        <v/>
      </c>
      <c r="Y231" s="96" t="n"/>
      <c r="Z231" s="95">
        <f>IFERROR(IF(OR(T231=0,T231=""),0,T231*H231),"Non Trouvé")</f>
        <v/>
      </c>
      <c r="AB231" s="99">
        <f>AB229</f>
        <v/>
      </c>
      <c r="AC231" s="99">
        <f>AC229</f>
        <v/>
      </c>
      <c r="AD231" s="95">
        <f>IFERROR(IF($C231="","",IF($P$15="Cascade",$R231*(1-AC231)*AB231,IF($P$15="Additionnelle",($N231-($N231*($P231+AC231)))*AB231))),"Non Trouvé")</f>
        <v/>
      </c>
      <c r="AG231" s="99">
        <f>AG229</f>
        <v/>
      </c>
      <c r="AH231" s="99">
        <f>AH229</f>
        <v/>
      </c>
      <c r="AI231" s="95">
        <f>IFERROR(IF($C231="","",IF($P$15="Cascade",$R231*(1-AH231)*AG231,IF($P$15="Additionnelle",($N231-($N231*($P231+AH231)))*AG231))),"Non Trouvé")</f>
        <v/>
      </c>
      <c r="AL231" s="99">
        <f>AL229</f>
        <v/>
      </c>
      <c r="AM231" s="99">
        <f>AM229</f>
        <v/>
      </c>
      <c r="AN231" s="95">
        <f>IFERROR(IF($C231="","",IF($P$15="Cascade",$R231*(1-AM231)*AL231,IF($P$15="Additionnelle",($N231-($N231*($P231+AM231)))*AL231))),"Non Trouvé")</f>
        <v/>
      </c>
      <c r="AQ231" s="99">
        <f>AQ229</f>
        <v/>
      </c>
      <c r="AR231" s="99">
        <f>AR229</f>
        <v/>
      </c>
      <c r="AS231" s="95">
        <f>IFERROR(IF($C231="","",IF($P$15="Cascade",$R231*(1-AR231)*AQ231,IF($P$15="Additionnelle",($N231-($N231*($P231+AR231)))*AQ231))),"Non Trouvé")</f>
        <v/>
      </c>
      <c r="AV231" s="99">
        <f>AV229</f>
        <v/>
      </c>
      <c r="AW231" s="99">
        <f>AW229</f>
        <v/>
      </c>
      <c r="AX231" s="95">
        <f>IFERROR(IF($C231="","",IF($P$15="Cascade",$R231*(1-AW231)*AV231,IF($P$15="Additionnelle",($N231-($N231*($P231+AW231)))*AV231))),"Non Trouvé")</f>
        <v/>
      </c>
      <c r="BA231" s="99">
        <f>BA229</f>
        <v/>
      </c>
      <c r="BB231" s="99">
        <f>BB229</f>
        <v/>
      </c>
      <c r="BC231" s="95">
        <f>IFERROR(IF($C231="","",IF($P$15="Cascade",$R231*(1-BB231)*BA231,IF($P$15="Additionnelle",($N231-($N231*($P231+BB231)))*BA231))),"Non Trouvé")</f>
        <v/>
      </c>
      <c r="BF231" s="99">
        <f>BF229</f>
        <v/>
      </c>
      <c r="BG231" s="99">
        <f>BG229</f>
        <v/>
      </c>
      <c r="BH231" s="95">
        <f>IFERROR(IF($C231="","",IF($P$15="Cascade",$R231*(1-BG231)*BF231,IF($P$15="Additionnelle",($N231-($N231*($P231+BG231)))*BF231))),"Non Trouvé")</f>
        <v/>
      </c>
      <c r="BK231" s="99">
        <f>BK229</f>
        <v/>
      </c>
      <c r="BL231" s="99">
        <f>BL229</f>
        <v/>
      </c>
      <c r="BM231" s="95">
        <f>IFERROR(IF($C231="","",IF($P$15="Cascade",$R231*(1-BL231)*BK231,IF($P$15="Additionnelle",($N231-($N231*($P231+BL231)))*BK231))),"Non Trouvé")</f>
        <v/>
      </c>
      <c r="BP231" s="99">
        <f>BP229</f>
        <v/>
      </c>
      <c r="BQ231" s="99">
        <f>BQ229</f>
        <v/>
      </c>
      <c r="BR231" s="95">
        <f>IFERROR(IF($C231="","",IF($P$15="Cascade",$R231*(1-BQ231)*BP231,IF($P$15="Additionnelle",($N231-($N231*($P231+BQ231)))*BP231))),"Non Trouvé")</f>
        <v/>
      </c>
      <c r="BU231" s="99">
        <f>BU229</f>
        <v/>
      </c>
      <c r="BV231" s="99">
        <f>BV229</f>
        <v/>
      </c>
      <c r="BW231" s="95">
        <f>IFERROR(IF($C231="","",IF($P$15="Cascade",$R231*(1-BV231)*BU231,IF($P$15="Additionnelle",($N231-($N231*($P231+BV231)))*BU231))),"Non Trouvé")</f>
        <v/>
      </c>
      <c r="BZ231" s="99">
        <f>BZ229</f>
        <v/>
      </c>
      <c r="CA231" s="99">
        <f>CA229</f>
        <v/>
      </c>
      <c r="CB231" s="95">
        <f>IFERROR(IF($C231="","",IF($P$15="Cascade",$R231*(1-CA231)*BZ231,IF($P$15="Additionnelle",($N231-($N231*($P231+CA231)))*BZ231))),"Non Trouvé")</f>
        <v/>
      </c>
      <c r="CE231" s="100" t="n"/>
      <c r="CF231" s="101" t="n"/>
      <c r="CG231" s="102" t="n"/>
      <c r="CH231" s="102" t="n"/>
      <c r="CI231" s="103" t="n"/>
      <c r="CK231" s="104">
        <f>IFERROR(IF(F231='[1]Paramètres Généraux'!$K$12,ROUNDUP((REGENERANTS!H231*REGENERANTS!$CF$221)*'[1]Paramètres Généraux'!$M$12,-1),REGENERANTS!H231*REGENERANTS!$CF$221),"nd")</f>
        <v/>
      </c>
      <c r="CN231" s="105" t="n"/>
      <c r="CO231" s="106" t="n"/>
      <c r="CP231" s="106" t="n"/>
      <c r="CQ231" s="106" t="n"/>
      <c r="CR231" s="106" t="n"/>
      <c r="CS231" s="178" t="n"/>
      <c r="CT231" s="179" t="n"/>
      <c r="CU231" s="106" t="n"/>
      <c r="CV231" s="178" t="n"/>
      <c r="CW231" s="111" t="n"/>
      <c r="CX231" s="112" t="n"/>
      <c r="CY231" s="111" t="n"/>
      <c r="CZ231" s="109" t="n"/>
      <c r="DA231" s="112" t="n"/>
      <c r="DB231" s="111" t="n"/>
      <c r="DC231" s="109" t="n"/>
      <c r="DD231" s="112" t="n"/>
      <c r="DE231" s="111" t="n"/>
      <c r="DF231" s="109" t="n"/>
      <c r="DG231" s="109" t="n"/>
      <c r="DH231" s="109" t="n"/>
      <c r="DI231" s="109" t="n"/>
      <c r="DJ231" s="109" t="n"/>
      <c r="DK231" s="109" t="n"/>
      <c r="DL231" s="109" t="n"/>
      <c r="DM231" s="109" t="n"/>
      <c r="DN231" s="109" t="n"/>
      <c r="DO231" s="112" t="n"/>
      <c r="DP231" s="111" t="n"/>
      <c r="DQ231" s="20">
        <f>SUM(CN231:DP231)</f>
        <v/>
      </c>
      <c r="DR231" s="20">
        <f>SUM(CV231:DP231)</f>
        <v/>
      </c>
      <c r="DS231" s="20">
        <f>IFERROR((IF(AND($F231="Produit Vente",CO231&gt;0),VLOOKUP($C231,'[1]Paramètres Articles'!$B:$H,7,FALSE)*$CO231)*(1-20%)),0)</f>
        <v/>
      </c>
      <c r="DT231" s="20">
        <f>IFERROR((IF(AND($F231="Produit Vente",DR231&gt;0),VLOOKUP($C231,'[1]Paramètres Articles'!$B:$H,6,FALSE)*$DR231)*(1-15%)),0)</f>
        <v/>
      </c>
    </row>
    <row r="232" hidden="1" outlineLevel="1" collapsed="1" ht="12.95" customHeight="1">
      <c r="B232" s="1">
        <f>IF(C232="",0,COUNTIFS($B$22:B231,"&gt;"&amp;0)+1)</f>
        <v/>
      </c>
      <c r="C232" s="90" t="n">
        <v>1020717</v>
      </c>
      <c r="D232" s="91">
        <f>IFERROR(IF($C232="","",VLOOKUP($C232,'[1]Paramètres Articles'!$B:$G,2,FALSE)),"Non Trouvé")</f>
        <v/>
      </c>
      <c r="E232" s="92">
        <f>IFERROR(IF($C232="","",_xlfn.XLOOKUP(REGENERANTS!$C232,'[1]New Base PA'!$F:$F,'[1]New Base PA'!$D:$D,"Not Found",0)),"Non Trouvé")</f>
        <v/>
      </c>
      <c r="F232" s="93" t="inlineStr">
        <is>
          <t>Produit Vente</t>
        </is>
      </c>
      <c r="H232" s="106">
        <f>24*6%</f>
        <v/>
      </c>
      <c r="J232" s="95">
        <f>IFERROR(IF($C232="","",VLOOKUP($C232,'[1]New Base PA'!$F:$J,5,FALSE)),"Non Trouvé")</f>
        <v/>
      </c>
      <c r="K232" s="136">
        <f>IFERROR(IF($C232="","",$J232*$H232),"Non Trouvé")</f>
        <v/>
      </c>
      <c r="L232" s="137" t="n"/>
      <c r="M232" s="95">
        <f>IFERROR(IF(AND($F232="Produit Vente",H232&gt;0),VLOOKUP($C232,'[1]Paramètres Articles'!$B:$G,6,FALSE),0),"Non Trouvé")</f>
        <v/>
      </c>
      <c r="N232" s="95">
        <f>IFERROR(IF($C232="","",$M232*$H232),"Non Trouvé")</f>
        <v/>
      </c>
      <c r="P232" s="97" t="n"/>
      <c r="R232" s="95">
        <f>IFERROR(IF($C232="","",$N232*(1-$P232)),"Non Trouvé")</f>
        <v/>
      </c>
      <c r="S232" s="96" t="n"/>
      <c r="T232" s="95">
        <f>IFERROR(IF($C232="","",VLOOKUP($C232,'[1]Paramètres Articles'!$B:$H,7,FALSE)),"Non Trouvé")</f>
        <v/>
      </c>
      <c r="U232" s="98" t="n"/>
      <c r="V232" s="95">
        <f>IFERROR(IF($C232="","",IF($P232="","",$T232*(1-$P232))),"Non Trouvé")</f>
        <v/>
      </c>
      <c r="W232" s="96" t="n"/>
      <c r="X232" s="95">
        <f>IFERROR(T232-V232,"")</f>
        <v/>
      </c>
      <c r="Y232" s="96" t="n"/>
      <c r="Z232" s="95">
        <f>IFERROR(IF(OR(T232=0,T232=""),0,T232*H232),"Non Trouvé")</f>
        <v/>
      </c>
      <c r="AB232" s="99">
        <f>AB231</f>
        <v/>
      </c>
      <c r="AC232" s="99">
        <f>AC231</f>
        <v/>
      </c>
      <c r="AD232" s="95">
        <f>IFERROR(IF($C232="","",IF($P$15="Cascade",$R232*(1-AC232)*AB232,IF($P$15="Additionnelle",($N232-($N232*($P232+AC232)))*AB232))),"Non Trouvé")</f>
        <v/>
      </c>
      <c r="AG232" s="99">
        <f>AG231</f>
        <v/>
      </c>
      <c r="AH232" s="99">
        <f>AH231</f>
        <v/>
      </c>
      <c r="AI232" s="95">
        <f>IFERROR(IF($C232="","",IF($P$15="Cascade",$R232*(1-AH232)*AG232,IF($P$15="Additionnelle",($N232-($N232*($P232+AH232)))*AG232))),"Non Trouvé")</f>
        <v/>
      </c>
      <c r="AL232" s="99">
        <f>AL231</f>
        <v/>
      </c>
      <c r="AM232" s="99">
        <f>AM231</f>
        <v/>
      </c>
      <c r="AN232" s="95">
        <f>IFERROR(IF($C232="","",IF($P$15="Cascade",$R232*(1-AM232)*AL232,IF($P$15="Additionnelle",($N232-($N232*($P232+AM232)))*AL232))),"Non Trouvé")</f>
        <v/>
      </c>
      <c r="AQ232" s="99">
        <f>AQ231</f>
        <v/>
      </c>
      <c r="AR232" s="99">
        <f>AR231</f>
        <v/>
      </c>
      <c r="AS232" s="95">
        <f>IFERROR(IF($C232="","",IF($P$15="Cascade",$R232*(1-AR232)*AQ232,IF($P$15="Additionnelle",($N232-($N232*($P232+AR232)))*AQ232))),"Non Trouvé")</f>
        <v/>
      </c>
      <c r="AV232" s="99">
        <f>AV231</f>
        <v/>
      </c>
      <c r="AW232" s="99">
        <f>AW231</f>
        <v/>
      </c>
      <c r="AX232" s="95">
        <f>IFERROR(IF($C232="","",IF($P$15="Cascade",$R232*(1-AW232)*AV232,IF($P$15="Additionnelle",($N232-($N232*($P232+AW232)))*AV232))),"Non Trouvé")</f>
        <v/>
      </c>
      <c r="BA232" s="99">
        <f>BA231</f>
        <v/>
      </c>
      <c r="BB232" s="99">
        <f>BB231</f>
        <v/>
      </c>
      <c r="BC232" s="95">
        <f>IFERROR(IF($C232="","",IF($P$15="Cascade",$R232*(1-BB232)*BA232,IF($P$15="Additionnelle",($N232-($N232*($P232+BB232)))*BA232))),"Non Trouvé")</f>
        <v/>
      </c>
      <c r="BF232" s="99">
        <f>BF231</f>
        <v/>
      </c>
      <c r="BG232" s="99">
        <f>BG231</f>
        <v/>
      </c>
      <c r="BH232" s="95">
        <f>IFERROR(IF($C232="","",IF($P$15="Cascade",$R232*(1-BG232)*BF232,IF($P$15="Additionnelle",($N232-($N232*($P232+BG232)))*BF232))),"Non Trouvé")</f>
        <v/>
      </c>
      <c r="BK232" s="99">
        <f>BK231</f>
        <v/>
      </c>
      <c r="BL232" s="99">
        <f>BL231</f>
        <v/>
      </c>
      <c r="BM232" s="95">
        <f>IFERROR(IF($C232="","",IF($P$15="Cascade",$R232*(1-BL232)*BK232,IF($P$15="Additionnelle",($N232-($N232*($P232+BL232)))*BK232))),"Non Trouvé")</f>
        <v/>
      </c>
      <c r="BP232" s="99">
        <f>BP231</f>
        <v/>
      </c>
      <c r="BQ232" s="99">
        <f>BQ231</f>
        <v/>
      </c>
      <c r="BR232" s="95">
        <f>IFERROR(IF($C232="","",IF($P$15="Cascade",$R232*(1-BQ232)*BP232,IF($P$15="Additionnelle",($N232-($N232*($P232+BQ232)))*BP232))),"Non Trouvé")</f>
        <v/>
      </c>
      <c r="BU232" s="99">
        <f>BU231</f>
        <v/>
      </c>
      <c r="BV232" s="99">
        <f>BV231</f>
        <v/>
      </c>
      <c r="BW232" s="95">
        <f>IFERROR(IF($C232="","",IF($P$15="Cascade",$R232*(1-BV232)*BU232,IF($P$15="Additionnelle",($N232-($N232*($P232+BV232)))*BU232))),"Non Trouvé")</f>
        <v/>
      </c>
      <c r="BZ232" s="99">
        <f>BZ231</f>
        <v/>
      </c>
      <c r="CA232" s="99">
        <f>CA231</f>
        <v/>
      </c>
      <c r="CB232" s="95">
        <f>IFERROR(IF($C232="","",IF($P$15="Cascade",$R232*(1-CA232)*BZ232,IF($P$15="Additionnelle",($N232-($N232*($P232+CA232)))*BZ232))),"Non Trouvé")</f>
        <v/>
      </c>
      <c r="CE232" s="100" t="n"/>
      <c r="CF232" s="101" t="n"/>
      <c r="CG232" s="102" t="n"/>
      <c r="CH232" s="102" t="n"/>
      <c r="CI232" s="103" t="n"/>
      <c r="CK232" s="104">
        <f>IFERROR(IF(F232='[1]Paramètres Généraux'!$K$12,ROUNDUP((REGENERANTS!H232*REGENERANTS!$CF$221)*'[1]Paramètres Généraux'!$M$12,-1),REGENERANTS!H232*REGENERANTS!$CF$221),"nd")</f>
        <v/>
      </c>
      <c r="CN232" s="105" t="n"/>
      <c r="CO232" s="106" t="n"/>
      <c r="CP232" s="106" t="n"/>
      <c r="CQ232" s="106" t="n"/>
      <c r="CR232" s="106" t="n"/>
      <c r="CS232" s="178" t="n"/>
      <c r="CT232" s="179" t="n"/>
      <c r="CU232" s="106" t="n"/>
      <c r="CV232" s="178" t="n"/>
      <c r="CW232" s="111" t="n"/>
      <c r="CX232" s="112" t="n"/>
      <c r="CY232" s="111" t="n"/>
      <c r="CZ232" s="109" t="n"/>
      <c r="DA232" s="112" t="n"/>
      <c r="DB232" s="111" t="n"/>
      <c r="DC232" s="109" t="n"/>
      <c r="DD232" s="112" t="n"/>
      <c r="DE232" s="111" t="n"/>
      <c r="DF232" s="109" t="n"/>
      <c r="DG232" s="109" t="n"/>
      <c r="DH232" s="109" t="n"/>
      <c r="DI232" s="109" t="n"/>
      <c r="DJ232" s="109" t="n"/>
      <c r="DK232" s="109" t="n"/>
      <c r="DL232" s="109" t="n"/>
      <c r="DM232" s="109" t="n"/>
      <c r="DN232" s="109" t="n"/>
      <c r="DO232" s="112" t="n"/>
      <c r="DP232" s="111" t="n"/>
      <c r="DQ232" s="20">
        <f>SUM(CN232:DP232)</f>
        <v/>
      </c>
      <c r="DR232" s="20">
        <f>SUM(CV232:DP232)</f>
        <v/>
      </c>
      <c r="DS232" s="20">
        <f>IFERROR((IF(AND($F232="Produit Vente",CO232&gt;0),VLOOKUP($C232,'[1]Paramètres Articles'!$B:$H,7,FALSE)*$CO232)*(1-20%)),0)</f>
        <v/>
      </c>
      <c r="DT232" s="20">
        <f>IFERROR((IF(AND($F232="Produit Vente",DR232&gt;0),VLOOKUP($C232,'[1]Paramètres Articles'!$B:$H,6,FALSE)*$DR232)*(1-15%)),0)</f>
        <v/>
      </c>
    </row>
    <row r="233" hidden="1" outlineLevel="1" collapsed="1" ht="12.95" customHeight="1">
      <c r="B233" s="1">
        <f>IF(C233="",0,COUNTIFS($B$22:B232,"&gt;"&amp;0)+1)</f>
        <v/>
      </c>
      <c r="C233" s="90" t="n">
        <v>1020718</v>
      </c>
      <c r="D233" s="91">
        <f>IFERROR(IF($C233="","",VLOOKUP($C233,'[1]Paramètres Articles'!$B:$G,2,FALSE)),"Non Trouvé")</f>
        <v/>
      </c>
      <c r="E233" s="92">
        <f>IFERROR(IF($C233="","",_xlfn.XLOOKUP(REGENERANTS!$C233,'[1]New Base PA'!$F:$F,'[1]New Base PA'!$D:$D,"Not Found",0)),"Non Trouvé")</f>
        <v/>
      </c>
      <c r="F233" s="93" t="inlineStr">
        <is>
          <t>Produit Vente</t>
        </is>
      </c>
      <c r="H233" s="106">
        <f>24*11%</f>
        <v/>
      </c>
      <c r="J233" s="95">
        <f>IFERROR(IF($C233="","",VLOOKUP($C233,'[1]New Base PA'!$F:$J,5,FALSE)),"Non Trouvé")</f>
        <v/>
      </c>
      <c r="K233" s="136">
        <f>IFERROR(IF($C233="","",$J233*$H233),"Non Trouvé")</f>
        <v/>
      </c>
      <c r="L233" s="137" t="n"/>
      <c r="M233" s="95">
        <f>IFERROR(IF(AND($F233="Produit Vente",H233&gt;0),VLOOKUP($C233,'[1]Paramètres Articles'!$B:$G,6,FALSE),0),"Non Trouvé")</f>
        <v/>
      </c>
      <c r="N233" s="95">
        <f>IFERROR(IF($C233="","",$M233*$H233),"Non Trouvé")</f>
        <v/>
      </c>
      <c r="P233" s="97" t="n"/>
      <c r="R233" s="95">
        <f>IFERROR(IF($C233="","",$N233*(1-$P233)),"Non Trouvé")</f>
        <v/>
      </c>
      <c r="S233" s="96" t="n"/>
      <c r="T233" s="95">
        <f>IFERROR(IF($C233="","",VLOOKUP($C233,'[1]Paramètres Articles'!$B:$H,7,FALSE)),"Non Trouvé")</f>
        <v/>
      </c>
      <c r="U233" s="98" t="n"/>
      <c r="V233" s="95">
        <f>IFERROR(IF($C233="","",IF($P233="","",$T233*(1-$P233))),"Non Trouvé")</f>
        <v/>
      </c>
      <c r="W233" s="96" t="n"/>
      <c r="X233" s="95">
        <f>IFERROR(T233-V233,"")</f>
        <v/>
      </c>
      <c r="Y233" s="96" t="n"/>
      <c r="Z233" s="95">
        <f>IFERROR(IF(OR(T233=0,T233=""),0,T233*H233),"Non Trouvé")</f>
        <v/>
      </c>
      <c r="AB233" s="99">
        <f>AB231</f>
        <v/>
      </c>
      <c r="AC233" s="99">
        <f>AC231</f>
        <v/>
      </c>
      <c r="AD233" s="95">
        <f>IFERROR(IF($C233="","",IF($P$15="Cascade",$R233*(1-AC233)*AB233,IF($P$15="Additionnelle",($N233-($N233*($P233+AC233)))*AB233))),"Non Trouvé")</f>
        <v/>
      </c>
      <c r="AG233" s="99">
        <f>AG231</f>
        <v/>
      </c>
      <c r="AH233" s="99">
        <f>AH231</f>
        <v/>
      </c>
      <c r="AI233" s="95">
        <f>IFERROR(IF($C233="","",IF($P$15="Cascade",$R233*(1-AH233)*AG233,IF($P$15="Additionnelle",($N233-($N233*($P233+AH233)))*AG233))),"Non Trouvé")</f>
        <v/>
      </c>
      <c r="AL233" s="99">
        <f>AL231</f>
        <v/>
      </c>
      <c r="AM233" s="99">
        <f>AM231</f>
        <v/>
      </c>
      <c r="AN233" s="95">
        <f>IFERROR(IF($C233="","",IF($P$15="Cascade",$R233*(1-AM233)*AL233,IF($P$15="Additionnelle",($N233-($N233*($P233+AM233)))*AL233))),"Non Trouvé")</f>
        <v/>
      </c>
      <c r="AQ233" s="99">
        <f>AQ231</f>
        <v/>
      </c>
      <c r="AR233" s="99">
        <f>AR231</f>
        <v/>
      </c>
      <c r="AS233" s="95">
        <f>IFERROR(IF($C233="","",IF($P$15="Cascade",$R233*(1-AR233)*AQ233,IF($P$15="Additionnelle",($N233-($N233*($P233+AR233)))*AQ233))),"Non Trouvé")</f>
        <v/>
      </c>
      <c r="AV233" s="99">
        <f>AV231</f>
        <v/>
      </c>
      <c r="AW233" s="99">
        <f>AW231</f>
        <v/>
      </c>
      <c r="AX233" s="95">
        <f>IFERROR(IF($C233="","",IF($P$15="Cascade",$R233*(1-AW233)*AV233,IF($P$15="Additionnelle",($N233-($N233*($P233+AW233)))*AV233))),"Non Trouvé")</f>
        <v/>
      </c>
      <c r="BA233" s="99">
        <f>BA231</f>
        <v/>
      </c>
      <c r="BB233" s="99">
        <f>BB231</f>
        <v/>
      </c>
      <c r="BC233" s="95">
        <f>IFERROR(IF($C233="","",IF($P$15="Cascade",$R233*(1-BB233)*BA233,IF($P$15="Additionnelle",($N233-($N233*($P233+BB233)))*BA233))),"Non Trouvé")</f>
        <v/>
      </c>
      <c r="BF233" s="99">
        <f>BF231</f>
        <v/>
      </c>
      <c r="BG233" s="99">
        <f>BG231</f>
        <v/>
      </c>
      <c r="BH233" s="95">
        <f>IFERROR(IF($C233="","",IF($P$15="Cascade",$R233*(1-BG233)*BF233,IF($P$15="Additionnelle",($N233-($N233*($P233+BG233)))*BF233))),"Non Trouvé")</f>
        <v/>
      </c>
      <c r="BK233" s="99">
        <f>BK231</f>
        <v/>
      </c>
      <c r="BL233" s="99">
        <f>BL231</f>
        <v/>
      </c>
      <c r="BM233" s="95">
        <f>IFERROR(IF($C233="","",IF($P$15="Cascade",$R233*(1-BL233)*BK233,IF($P$15="Additionnelle",($N233-($N233*($P233+BL233)))*BK233))),"Non Trouvé")</f>
        <v/>
      </c>
      <c r="BP233" s="99">
        <f>BP231</f>
        <v/>
      </c>
      <c r="BQ233" s="99">
        <f>BQ231</f>
        <v/>
      </c>
      <c r="BR233" s="95">
        <f>IFERROR(IF($C233="","",IF($P$15="Cascade",$R233*(1-BQ233)*BP233,IF($P$15="Additionnelle",($N233-($N233*($P233+BQ233)))*BP233))),"Non Trouvé")</f>
        <v/>
      </c>
      <c r="BU233" s="99">
        <f>BU231</f>
        <v/>
      </c>
      <c r="BV233" s="99">
        <f>BV231</f>
        <v/>
      </c>
      <c r="BW233" s="95">
        <f>IFERROR(IF($C233="","",IF($P$15="Cascade",$R233*(1-BV233)*BU233,IF($P$15="Additionnelle",($N233-($N233*($P233+BV233)))*BU233))),"Non Trouvé")</f>
        <v/>
      </c>
      <c r="BZ233" s="99">
        <f>BZ231</f>
        <v/>
      </c>
      <c r="CA233" s="99">
        <f>CA231</f>
        <v/>
      </c>
      <c r="CB233" s="95">
        <f>IFERROR(IF($C233="","",IF($P$15="Cascade",$R233*(1-CA233)*BZ233,IF($P$15="Additionnelle",($N233-($N233*($P233+CA233)))*BZ233))),"Non Trouvé")</f>
        <v/>
      </c>
      <c r="CE233" s="100" t="n"/>
      <c r="CF233" s="101" t="n"/>
      <c r="CG233" s="102" t="n"/>
      <c r="CH233" s="102" t="n"/>
      <c r="CI233" s="103" t="n"/>
      <c r="CK233" s="104">
        <f>IFERROR(IF(F233='[1]Paramètres Généraux'!$K$12,ROUNDUP((REGENERANTS!H233*REGENERANTS!$CF$221)*'[1]Paramètres Généraux'!$M$12,-1),REGENERANTS!H233*REGENERANTS!$CF$221),"nd")</f>
        <v/>
      </c>
      <c r="CN233" s="105" t="n"/>
      <c r="CO233" s="106" t="n"/>
      <c r="CP233" s="106" t="n"/>
      <c r="CQ233" s="106" t="n"/>
      <c r="CR233" s="106" t="n"/>
      <c r="CS233" s="178" t="n"/>
      <c r="CT233" s="179" t="n"/>
      <c r="CU233" s="106" t="n"/>
      <c r="CV233" s="178" t="n"/>
      <c r="CW233" s="111" t="n"/>
      <c r="CX233" s="112" t="n"/>
      <c r="CY233" s="111" t="n"/>
      <c r="CZ233" s="109" t="n"/>
      <c r="DA233" s="112" t="n"/>
      <c r="DB233" s="111" t="n"/>
      <c r="DC233" s="109" t="n"/>
      <c r="DD233" s="112" t="n"/>
      <c r="DE233" s="111" t="n"/>
      <c r="DF233" s="109" t="n"/>
      <c r="DG233" s="109" t="n"/>
      <c r="DH233" s="109" t="n"/>
      <c r="DI233" s="109" t="n"/>
      <c r="DJ233" s="109" t="n"/>
      <c r="DK233" s="109" t="n"/>
      <c r="DL233" s="109" t="n"/>
      <c r="DM233" s="109" t="n"/>
      <c r="DN233" s="109" t="n"/>
      <c r="DO233" s="112" t="n"/>
      <c r="DP233" s="111" t="n"/>
      <c r="DQ233" s="20">
        <f>SUM(CN233:DP233)</f>
        <v/>
      </c>
      <c r="DR233" s="20">
        <f>SUM(CV233:DP233)</f>
        <v/>
      </c>
      <c r="DS233" s="20">
        <f>IFERROR((IF(AND($F233="Produit Vente",CO233&gt;0),VLOOKUP($C233,'[1]Paramètres Articles'!$B:$H,7,FALSE)*$CO233)*(1-20%)),0)</f>
        <v/>
      </c>
      <c r="DT233" s="20">
        <f>IFERROR((IF(AND($F233="Produit Vente",DR233&gt;0),VLOOKUP($C233,'[1]Paramètres Articles'!$B:$H,6,FALSE)*$DR233)*(1-15%)),0)</f>
        <v/>
      </c>
    </row>
    <row r="234" hidden="1" outlineLevel="1" collapsed="1" ht="12.95" customHeight="1">
      <c r="B234" s="1">
        <f>IF(C234="",0,COUNTIFS($B$22:B233,"&gt;"&amp;0)+1)</f>
        <v/>
      </c>
      <c r="C234" s="90" t="n">
        <v>1020301</v>
      </c>
      <c r="D234" s="91">
        <f>IFERROR(IF($C234="","",VLOOKUP($C234,'[1]Paramètres Articles'!$B:$G,2,FALSE)),"Non Trouvé")</f>
        <v/>
      </c>
      <c r="E234" s="92">
        <f>IFERROR(IF($C234="","",_xlfn.XLOOKUP(REGENERANTS!$C234,'[1]New Base PA'!$F:$F,'[1]New Base PA'!$D:$D,"Not Found",0)),"Non Trouvé")</f>
        <v/>
      </c>
      <c r="F234" s="93" t="inlineStr">
        <is>
          <t>Produit Vente</t>
        </is>
      </c>
      <c r="H234" s="106">
        <f>24*17%</f>
        <v/>
      </c>
      <c r="J234" s="95">
        <f>IFERROR(IF($C234="","",VLOOKUP($C234,'[1]New Base PA'!$F:$J,5,FALSE)),"Non Trouvé")</f>
        <v/>
      </c>
      <c r="K234" s="136">
        <f>IFERROR(IF($C234="","",$J234*$H234),"Non Trouvé")</f>
        <v/>
      </c>
      <c r="L234" s="137" t="n"/>
      <c r="M234" s="95">
        <f>IFERROR(IF(AND($F234="Produit Vente",H234&gt;0),VLOOKUP($C234,'[1]Paramètres Articles'!$B:$G,6,FALSE),0),"Non Trouvé")</f>
        <v/>
      </c>
      <c r="N234" s="95">
        <f>IFERROR(IF($C234="","",$M234*$H234),"Non Trouvé")</f>
        <v/>
      </c>
      <c r="P234" s="97" t="n"/>
      <c r="R234" s="95">
        <f>IFERROR(IF($C234="","",$N234*(1-$P234)),"Non Trouvé")</f>
        <v/>
      </c>
      <c r="S234" s="96" t="n"/>
      <c r="T234" s="95">
        <f>IFERROR(IF($C234="","",VLOOKUP($C234,'[1]Paramètres Articles'!$B:$H,7,FALSE)),"Non Trouvé")</f>
        <v/>
      </c>
      <c r="U234" s="98" t="n"/>
      <c r="V234" s="95">
        <f>IFERROR(IF($C234="","",IF($P234="","",$T234*(1-$P234))),"Non Trouvé")</f>
        <v/>
      </c>
      <c r="W234" s="96" t="n"/>
      <c r="X234" s="95">
        <f>IFERROR(T234-V234,"")</f>
        <v/>
      </c>
      <c r="Y234" s="96" t="n"/>
      <c r="Z234" s="95">
        <f>IFERROR(IF(OR(T234=0,T234=""),0,T234*H234),"Non Trouvé")</f>
        <v/>
      </c>
      <c r="AB234" s="99">
        <f>AB233</f>
        <v/>
      </c>
      <c r="AC234" s="99">
        <f>AC233</f>
        <v/>
      </c>
      <c r="AD234" s="95">
        <f>IFERROR(IF($C234="","",IF($P$15="Cascade",$R234*(1-AC234)*AB234,IF($P$15="Additionnelle",($N234-($N234*($P234+AC234)))*AB234))),"Non Trouvé")</f>
        <v/>
      </c>
      <c r="AG234" s="99">
        <f>AG233</f>
        <v/>
      </c>
      <c r="AH234" s="99">
        <f>AH233</f>
        <v/>
      </c>
      <c r="AI234" s="95">
        <f>IFERROR(IF($C234="","",IF($P$15="Cascade",$R234*(1-AH234)*AG234,IF($P$15="Additionnelle",($N234-($N234*($P234+AH234)))*AG234))),"Non Trouvé")</f>
        <v/>
      </c>
      <c r="AL234" s="99">
        <f>AL233</f>
        <v/>
      </c>
      <c r="AM234" s="99">
        <f>AM233</f>
        <v/>
      </c>
      <c r="AN234" s="95">
        <f>IFERROR(IF($C234="","",IF($P$15="Cascade",$R234*(1-AM234)*AL234,IF($P$15="Additionnelle",($N234-($N234*($P234+AM234)))*AL234))),"Non Trouvé")</f>
        <v/>
      </c>
      <c r="AQ234" s="99">
        <f>AQ233</f>
        <v/>
      </c>
      <c r="AR234" s="99">
        <f>AR233</f>
        <v/>
      </c>
      <c r="AS234" s="95">
        <f>IFERROR(IF($C234="","",IF($P$15="Cascade",$R234*(1-AR234)*AQ234,IF($P$15="Additionnelle",($N234-($N234*($P234+AR234)))*AQ234))),"Non Trouvé")</f>
        <v/>
      </c>
      <c r="AV234" s="99">
        <f>AV233</f>
        <v/>
      </c>
      <c r="AW234" s="99">
        <f>AW233</f>
        <v/>
      </c>
      <c r="AX234" s="95">
        <f>IFERROR(IF($C234="","",IF($P$15="Cascade",$R234*(1-AW234)*AV234,IF($P$15="Additionnelle",($N234-($N234*($P234+AW234)))*AV234))),"Non Trouvé")</f>
        <v/>
      </c>
      <c r="BA234" s="99">
        <f>BA233</f>
        <v/>
      </c>
      <c r="BB234" s="99">
        <f>BB233</f>
        <v/>
      </c>
      <c r="BC234" s="95">
        <f>IFERROR(IF($C234="","",IF($P$15="Cascade",$R234*(1-BB234)*BA234,IF($P$15="Additionnelle",($N234-($N234*($P234+BB234)))*BA234))),"Non Trouvé")</f>
        <v/>
      </c>
      <c r="BF234" s="99">
        <f>BF233</f>
        <v/>
      </c>
      <c r="BG234" s="99">
        <f>BG233</f>
        <v/>
      </c>
      <c r="BH234" s="95">
        <f>IFERROR(IF($C234="","",IF($P$15="Cascade",$R234*(1-BG234)*BF234,IF($P$15="Additionnelle",($N234-($N234*($P234+BG234)))*BF234))),"Non Trouvé")</f>
        <v/>
      </c>
      <c r="BK234" s="99">
        <f>BK233</f>
        <v/>
      </c>
      <c r="BL234" s="99">
        <f>BL233</f>
        <v/>
      </c>
      <c r="BM234" s="95">
        <f>IFERROR(IF($C234="","",IF($P$15="Cascade",$R234*(1-BL234)*BK234,IF($P$15="Additionnelle",($N234-($N234*($P234+BL234)))*BK234))),"Non Trouvé")</f>
        <v/>
      </c>
      <c r="BP234" s="99">
        <f>BP233</f>
        <v/>
      </c>
      <c r="BQ234" s="99">
        <f>BQ233</f>
        <v/>
      </c>
      <c r="BR234" s="95">
        <f>IFERROR(IF($C234="","",IF($P$15="Cascade",$R234*(1-BQ234)*BP234,IF($P$15="Additionnelle",($N234-($N234*($P234+BQ234)))*BP234))),"Non Trouvé")</f>
        <v/>
      </c>
      <c r="BU234" s="99">
        <f>BU233</f>
        <v/>
      </c>
      <c r="BV234" s="99">
        <f>BV233</f>
        <v/>
      </c>
      <c r="BW234" s="95">
        <f>IFERROR(IF($C234="","",IF($P$15="Cascade",$R234*(1-BV234)*BU234,IF($P$15="Additionnelle",($N234-($N234*($P234+BV234)))*BU234))),"Non Trouvé")</f>
        <v/>
      </c>
      <c r="BZ234" s="99">
        <f>BZ233</f>
        <v/>
      </c>
      <c r="CA234" s="99">
        <f>CA233</f>
        <v/>
      </c>
      <c r="CB234" s="95">
        <f>IFERROR(IF($C234="","",IF($P$15="Cascade",$R234*(1-CA234)*BZ234,IF($P$15="Additionnelle",($N234-($N234*($P234+CA234)))*BZ234))),"Non Trouvé")</f>
        <v/>
      </c>
      <c r="CE234" s="100" t="n"/>
      <c r="CF234" s="133" t="n"/>
      <c r="CG234" s="102" t="n"/>
      <c r="CH234" s="102" t="n"/>
      <c r="CI234" s="103" t="n"/>
      <c r="CK234" s="104">
        <f>IFERROR(IF(F234='[1]Paramètres Généraux'!$K$12,ROUNDUP((REGENERANTS!H234*REGENERANTS!$CF$221)*'[1]Paramètres Généraux'!$M$12,-1),REGENERANTS!H234*REGENERANTS!$CF$221),"nd")</f>
        <v/>
      </c>
      <c r="CN234" s="105" t="n"/>
      <c r="CO234" s="106" t="n"/>
      <c r="CP234" s="106" t="n"/>
      <c r="CQ234" s="106" t="n"/>
      <c r="CR234" s="106" t="n"/>
      <c r="CS234" s="178" t="n"/>
      <c r="CT234" s="179" t="n"/>
      <c r="CU234" s="106" t="n"/>
      <c r="CV234" s="178" t="n"/>
      <c r="CW234" s="111" t="n"/>
      <c r="CX234" s="112" t="n"/>
      <c r="CY234" s="111" t="n"/>
      <c r="CZ234" s="109" t="n"/>
      <c r="DA234" s="112" t="n"/>
      <c r="DB234" s="111" t="n"/>
      <c r="DC234" s="109" t="n"/>
      <c r="DD234" s="112" t="n"/>
      <c r="DE234" s="111" t="n"/>
      <c r="DF234" s="109" t="n"/>
      <c r="DG234" s="109" t="n"/>
      <c r="DH234" s="109" t="n"/>
      <c r="DI234" s="109" t="n"/>
      <c r="DJ234" s="109" t="n"/>
      <c r="DK234" s="109" t="n"/>
      <c r="DL234" s="109" t="n"/>
      <c r="DM234" s="109" t="n"/>
      <c r="DN234" s="109" t="n"/>
      <c r="DO234" s="112" t="n"/>
      <c r="DP234" s="111" t="n"/>
      <c r="DQ234" s="20">
        <f>SUM(CN234:DP234)</f>
        <v/>
      </c>
      <c r="DR234" s="20">
        <f>SUM(CV234:DP234)</f>
        <v/>
      </c>
      <c r="DS234" s="20">
        <f>IFERROR((IF(AND($F234="Produit Vente",CO234&gt;0),VLOOKUP($C234,'[1]Paramètres Articles'!$B:$H,7,FALSE)*$CO234)*(1-20%)),0)</f>
        <v/>
      </c>
      <c r="DT234" s="20">
        <f>IFERROR((IF(AND($F234="Produit Vente",DR234&gt;0),VLOOKUP($C234,'[1]Paramètres Articles'!$B:$H,6,FALSE)*$DR234)*(1-15%)),0)</f>
        <v/>
      </c>
    </row>
    <row r="235" hidden="1" outlineLevel="1" collapsed="1" ht="12.95" customHeight="1">
      <c r="B235" s="1">
        <f>IF(C235="",0,COUNTIFS($B$22:B234,"&gt;"&amp;0)+1)</f>
        <v/>
      </c>
      <c r="C235" s="90" t="n">
        <v>1020720</v>
      </c>
      <c r="D235" s="91">
        <f>IFERROR(IF($C235="","",VLOOKUP($C235,'[1]Paramètres Articles'!$B:$G,2,FALSE)),"Non Trouvé")</f>
        <v/>
      </c>
      <c r="E235" s="92">
        <f>IFERROR(IF($C235="","",_xlfn.XLOOKUP(REGENERANTS!$C235,'[1]New Base PA'!$F:$F,'[1]New Base PA'!$D:$D,"Not Found",0)),"Non Trouvé")</f>
        <v/>
      </c>
      <c r="F235" s="93" t="inlineStr">
        <is>
          <t>Produit Vente</t>
        </is>
      </c>
      <c r="H235" s="106">
        <f>24*17%</f>
        <v/>
      </c>
      <c r="J235" s="95">
        <f>IFERROR(IF($C235="","",VLOOKUP($C235,'[1]New Base PA'!$F:$J,5,FALSE)),"Non Trouvé")</f>
        <v/>
      </c>
      <c r="K235" s="136">
        <f>IFERROR(IF($C235="","",$J235*$H235),"Non Trouvé")</f>
        <v/>
      </c>
      <c r="L235" s="137" t="n"/>
      <c r="M235" s="95">
        <f>IFERROR(IF(AND($F235="Produit Vente",H235&gt;0),VLOOKUP($C235,'[1]Paramètres Articles'!$B:$G,6,FALSE),0),"Non Trouvé")</f>
        <v/>
      </c>
      <c r="N235" s="95">
        <f>IFERROR(IF($C235="","",$M235*$H235),"Non Trouvé")</f>
        <v/>
      </c>
      <c r="P235" s="97" t="n"/>
      <c r="R235" s="95">
        <f>IFERROR(IF($C235="","",$N235*(1-$P235)),"Non Trouvé")</f>
        <v/>
      </c>
      <c r="S235" s="96" t="n"/>
      <c r="T235" s="95">
        <f>IFERROR(IF($C235="","",VLOOKUP($C235,'[1]Paramètres Articles'!$B:$H,7,FALSE)),"Non Trouvé")</f>
        <v/>
      </c>
      <c r="U235" s="98" t="n"/>
      <c r="V235" s="95">
        <f>IFERROR(IF($C235="","",IF($P235="","",$T235*(1-$P235))),"Non Trouvé")</f>
        <v/>
      </c>
      <c r="W235" s="96" t="n"/>
      <c r="X235" s="95">
        <f>IFERROR(T235-V235,"")</f>
        <v/>
      </c>
      <c r="Y235" s="96" t="n"/>
      <c r="Z235" s="95">
        <f>IFERROR(IF(OR(T235=0,T235=""),0,T235*H235),"Non Trouvé")</f>
        <v/>
      </c>
      <c r="AB235" s="99">
        <f>AB233</f>
        <v/>
      </c>
      <c r="AC235" s="99">
        <f>AC233</f>
        <v/>
      </c>
      <c r="AD235" s="95">
        <f>IFERROR(IF($C235="","",IF($P$15="Cascade",$R235*(1-AC235)*AB235,IF($P$15="Additionnelle",($N235-($N235*($P235+AC235)))*AB235))),"Non Trouvé")</f>
        <v/>
      </c>
      <c r="AG235" s="99">
        <f>AG233</f>
        <v/>
      </c>
      <c r="AH235" s="99">
        <f>AH233</f>
        <v/>
      </c>
      <c r="AI235" s="95">
        <f>IFERROR(IF($C235="","",IF($P$15="Cascade",$R235*(1-AH235)*AG235,IF($P$15="Additionnelle",($N235-($N235*($P235+AH235)))*AG235))),"Non Trouvé")</f>
        <v/>
      </c>
      <c r="AL235" s="99">
        <f>AL233</f>
        <v/>
      </c>
      <c r="AM235" s="99">
        <f>AM233</f>
        <v/>
      </c>
      <c r="AN235" s="95">
        <f>IFERROR(IF($C235="","",IF($P$15="Cascade",$R235*(1-AM235)*AL235,IF($P$15="Additionnelle",($N235-($N235*($P235+AM235)))*AL235))),"Non Trouvé")</f>
        <v/>
      </c>
      <c r="AQ235" s="99">
        <f>AQ233</f>
        <v/>
      </c>
      <c r="AR235" s="99">
        <f>AR233</f>
        <v/>
      </c>
      <c r="AS235" s="95">
        <f>IFERROR(IF($C235="","",IF($P$15="Cascade",$R235*(1-AR235)*AQ235,IF($P$15="Additionnelle",($N235-($N235*($P235+AR235)))*AQ235))),"Non Trouvé")</f>
        <v/>
      </c>
      <c r="AV235" s="99">
        <f>AV233</f>
        <v/>
      </c>
      <c r="AW235" s="99">
        <f>AW233</f>
        <v/>
      </c>
      <c r="AX235" s="95">
        <f>IFERROR(IF($C235="","",IF($P$15="Cascade",$R235*(1-AW235)*AV235,IF($P$15="Additionnelle",($N235-($N235*($P235+AW235)))*AV235))),"Non Trouvé")</f>
        <v/>
      </c>
      <c r="BA235" s="99">
        <f>BA233</f>
        <v/>
      </c>
      <c r="BB235" s="99">
        <f>BB233</f>
        <v/>
      </c>
      <c r="BC235" s="95">
        <f>IFERROR(IF($C235="","",IF($P$15="Cascade",$R235*(1-BB235)*BA235,IF($P$15="Additionnelle",($N235-($N235*($P235+BB235)))*BA235))),"Non Trouvé")</f>
        <v/>
      </c>
      <c r="BF235" s="99">
        <f>BF233</f>
        <v/>
      </c>
      <c r="BG235" s="99">
        <f>BG233</f>
        <v/>
      </c>
      <c r="BH235" s="95">
        <f>IFERROR(IF($C235="","",IF($P$15="Cascade",$R235*(1-BG235)*BF235,IF($P$15="Additionnelle",($N235-($N235*($P235+BG235)))*BF235))),"Non Trouvé")</f>
        <v/>
      </c>
      <c r="BK235" s="99">
        <f>BK233</f>
        <v/>
      </c>
      <c r="BL235" s="99">
        <f>BL233</f>
        <v/>
      </c>
      <c r="BM235" s="95">
        <f>IFERROR(IF($C235="","",IF($P$15="Cascade",$R235*(1-BL235)*BK235,IF($P$15="Additionnelle",($N235-($N235*($P235+BL235)))*BK235))),"Non Trouvé")</f>
        <v/>
      </c>
      <c r="BP235" s="99">
        <f>BP233</f>
        <v/>
      </c>
      <c r="BQ235" s="99">
        <f>BQ233</f>
        <v/>
      </c>
      <c r="BR235" s="95">
        <f>IFERROR(IF($C235="","",IF($P$15="Cascade",$R235*(1-BQ235)*BP235,IF($P$15="Additionnelle",($N235-($N235*($P235+BQ235)))*BP235))),"Non Trouvé")</f>
        <v/>
      </c>
      <c r="BU235" s="99">
        <f>BU233</f>
        <v/>
      </c>
      <c r="BV235" s="99">
        <f>BV233</f>
        <v/>
      </c>
      <c r="BW235" s="95">
        <f>IFERROR(IF($C235="","",IF($P$15="Cascade",$R235*(1-BV235)*BU235,IF($P$15="Additionnelle",($N235-($N235*($P235+BV235)))*BU235))),"Non Trouvé")</f>
        <v/>
      </c>
      <c r="BZ235" s="99">
        <f>BZ233</f>
        <v/>
      </c>
      <c r="CA235" s="99">
        <f>CA233</f>
        <v/>
      </c>
      <c r="CB235" s="95">
        <f>IFERROR(IF($C235="","",IF($P$15="Cascade",$R235*(1-CA235)*BZ235,IF($P$15="Additionnelle",($N235-($N235*($P235+CA235)))*BZ235))),"Non Trouvé")</f>
        <v/>
      </c>
      <c r="CE235" s="100" t="n"/>
      <c r="CF235" s="102" t="n"/>
      <c r="CG235" s="133" t="inlineStr">
        <is>
          <t>Retail</t>
        </is>
      </c>
      <c r="CH235" s="102" t="n"/>
      <c r="CI235" s="103" t="n"/>
      <c r="CK235" s="104">
        <f>IFERROR(IF(F235='[1]Paramètres Généraux'!$K$12,ROUNDUP((REGENERANTS!H235*REGENERANTS!$CF$221)*'[1]Paramètres Généraux'!$M$12,-1),REGENERANTS!H235*REGENERANTS!$CF$221),"nd")</f>
        <v/>
      </c>
      <c r="CN235" s="105" t="n"/>
      <c r="CO235" s="106" t="n"/>
      <c r="CP235" s="106" t="n"/>
      <c r="CQ235" s="106" t="n"/>
      <c r="CR235" s="106" t="n"/>
      <c r="CS235" s="178" t="n"/>
      <c r="CT235" s="179" t="n"/>
      <c r="CU235" s="106" t="n"/>
      <c r="CV235" s="178" t="n"/>
      <c r="CW235" s="111" t="n"/>
      <c r="CX235" s="112" t="n"/>
      <c r="CY235" s="111" t="n"/>
      <c r="CZ235" s="109" t="n"/>
      <c r="DA235" s="112" t="n"/>
      <c r="DB235" s="111" t="n"/>
      <c r="DC235" s="109" t="n"/>
      <c r="DD235" s="112" t="n"/>
      <c r="DE235" s="111" t="n"/>
      <c r="DF235" s="109" t="n"/>
      <c r="DG235" s="109" t="n"/>
      <c r="DH235" s="109" t="n"/>
      <c r="DI235" s="109" t="n"/>
      <c r="DJ235" s="109" t="n"/>
      <c r="DK235" s="109" t="n"/>
      <c r="DL235" s="109" t="n"/>
      <c r="DM235" s="109" t="n"/>
      <c r="DN235" s="109" t="n"/>
      <c r="DO235" s="112" t="n"/>
      <c r="DP235" s="111" t="n"/>
      <c r="DQ235" s="20">
        <f>SUM(CN235:DP235)</f>
        <v/>
      </c>
      <c r="DR235" s="20">
        <f>SUM(CV235:DP235)</f>
        <v/>
      </c>
      <c r="DS235" s="20">
        <f>IFERROR((IF(AND($F235="Produit Vente",CO235&gt;0),VLOOKUP($C235,'[1]Paramètres Articles'!$B:$H,7,FALSE)*$CO235)*(1-20%)),0)</f>
        <v/>
      </c>
      <c r="DT235" s="20">
        <f>IFERROR((IF(AND($F235="Produit Vente",DR235&gt;0),VLOOKUP($C235,'[1]Paramètres Articles'!$B:$H,6,FALSE)*$DR235)*(1-15%)),0)</f>
        <v/>
      </c>
    </row>
    <row r="236" hidden="1" outlineLevel="1" collapsed="1" ht="12.95" customHeight="1">
      <c r="B236" s="1">
        <f>IF(C236="",0,COUNTIFS($B$22:B235,"&gt;"&amp;0)+1)</f>
        <v/>
      </c>
      <c r="C236" s="90" t="inlineStr">
        <is>
          <t>PANNEAU REGE</t>
        </is>
      </c>
      <c r="D236" s="91">
        <f>IFERROR(IF($C236="","",VLOOKUP($C236,'[1]Paramètres Articles'!$B:$G,2,FALSE)),"Non Trouvé")</f>
        <v/>
      </c>
      <c r="E236" s="92">
        <f>IFERROR(IF($C236="","",_xlfn.XLOOKUP(REGENERANTS!$C236,'[1]New Base PA'!$F:$F,'[1]New Base PA'!$D:$D,"Not Found",0)),"Non Trouvé")</f>
        <v/>
      </c>
      <c r="F236" s="93" t="inlineStr">
        <is>
          <t>PLV (vitrine)</t>
        </is>
      </c>
      <c r="H236" s="106" t="n">
        <v>1</v>
      </c>
      <c r="J236" s="95">
        <f>IFERROR(IF($C236="","",VLOOKUP($C236,'[1]New Base PA'!$F:$J,5,FALSE)),"Non Trouvé")</f>
        <v/>
      </c>
      <c r="K236" s="136">
        <f>IFERROR(IF($C236="","",$J236*$H236),"Non Trouvé")</f>
        <v/>
      </c>
      <c r="L236" s="137" t="n"/>
      <c r="M236" s="95">
        <f>IFERROR(IF(AND($F236="Produit Vente",H236&gt;0),VLOOKUP($C236,'[1]Paramètres Articles'!$B:$G,6,FALSE),0),"Non Trouvé")</f>
        <v/>
      </c>
      <c r="N236" s="95">
        <f>IFERROR(IF($C236="","",$M236*$H236),"Non Trouvé")</f>
        <v/>
      </c>
      <c r="P236" s="97" t="n"/>
      <c r="R236" s="95">
        <f>IFERROR(IF($C236="","",$N236*(1-$P236)),"Non Trouvé")</f>
        <v/>
      </c>
      <c r="S236" s="96" t="n"/>
      <c r="T236" s="95">
        <f>IFERROR(IF($C236="","",VLOOKUP($C236,'[1]Paramètres Articles'!$B:$H,7,FALSE)),"Non Trouvé")</f>
        <v/>
      </c>
      <c r="U236" s="98" t="n"/>
      <c r="V236" s="95">
        <f>IFERROR(IF($C236="","",IF($P236="","",$T236*(1-$P236))),"Non Trouvé")</f>
        <v/>
      </c>
      <c r="W236" s="96" t="n"/>
      <c r="X236" s="95">
        <f>IFERROR(T236-V236,"")</f>
        <v/>
      </c>
      <c r="Y236" s="96" t="n"/>
      <c r="Z236" s="95">
        <f>IFERROR(IF(OR(T236=0,T236=""),0,T236*H236),"Non Trouvé")</f>
        <v/>
      </c>
      <c r="AB236" s="99">
        <f>AB235</f>
        <v/>
      </c>
      <c r="AC236" s="99">
        <f>AC235</f>
        <v/>
      </c>
      <c r="AD236" s="95">
        <f>IFERROR(IF($C236="","",IF($P$15="Cascade",$R236*(1-AC236)*AB236,IF($P$15="Additionnelle",($N236-($N236*($P236+AC236)))*AB236))),"Non Trouvé")</f>
        <v/>
      </c>
      <c r="AG236" s="99">
        <f>AG235</f>
        <v/>
      </c>
      <c r="AH236" s="99">
        <f>AH235</f>
        <v/>
      </c>
      <c r="AI236" s="95">
        <f>IFERROR(IF($C236="","",IF($P$15="Cascade",$R236*(1-AH236)*AG236,IF($P$15="Additionnelle",($N236-($N236*($P236+AH236)))*AG236))),"Non Trouvé")</f>
        <v/>
      </c>
      <c r="AL236" s="99">
        <f>AL235</f>
        <v/>
      </c>
      <c r="AM236" s="99">
        <f>AM235</f>
        <v/>
      </c>
      <c r="AN236" s="95">
        <f>IFERROR(IF($C236="","",IF($P$15="Cascade",$R236*(1-AM236)*AL236,IF($P$15="Additionnelle",($N236-($N236*($P236+AM236)))*AL236))),"Non Trouvé")</f>
        <v/>
      </c>
      <c r="AQ236" s="99">
        <f>AQ235</f>
        <v/>
      </c>
      <c r="AR236" s="99">
        <f>AR235</f>
        <v/>
      </c>
      <c r="AS236" s="95">
        <f>IFERROR(IF($C236="","",IF($P$15="Cascade",$R236*(1-AR236)*AQ236,IF($P$15="Additionnelle",($N236-($N236*($P236+AR236)))*AQ236))),"Non Trouvé")</f>
        <v/>
      </c>
      <c r="AV236" s="99">
        <f>AV235</f>
        <v/>
      </c>
      <c r="AW236" s="99">
        <f>AW235</f>
        <v/>
      </c>
      <c r="AX236" s="95">
        <f>IFERROR(IF($C236="","",IF($P$15="Cascade",$R236*(1-AW236)*AV236,IF($P$15="Additionnelle",($N236-($N236*($P236+AW236)))*AV236))),"Non Trouvé")</f>
        <v/>
      </c>
      <c r="BA236" s="99">
        <f>BA235</f>
        <v/>
      </c>
      <c r="BB236" s="99">
        <f>BB235</f>
        <v/>
      </c>
      <c r="BC236" s="95">
        <f>IFERROR(IF($C236="","",IF($P$15="Cascade",$R236*(1-BB236)*BA236,IF($P$15="Additionnelle",($N236-($N236*($P236+BB236)))*BA236))),"Non Trouvé")</f>
        <v/>
      </c>
      <c r="BF236" s="99">
        <f>BF235</f>
        <v/>
      </c>
      <c r="BG236" s="99">
        <f>BG235</f>
        <v/>
      </c>
      <c r="BH236" s="95">
        <f>IFERROR(IF($C236="","",IF($P$15="Cascade",$R236*(1-BG236)*BF236,IF($P$15="Additionnelle",($N236-($N236*($P236+BG236)))*BF236))),"Non Trouvé")</f>
        <v/>
      </c>
      <c r="BK236" s="99">
        <f>BK235</f>
        <v/>
      </c>
      <c r="BL236" s="99">
        <f>BL235</f>
        <v/>
      </c>
      <c r="BM236" s="95">
        <f>IFERROR(IF($C236="","",IF($P$15="Cascade",$R236*(1-BL236)*BK236,IF($P$15="Additionnelle",($N236-($N236*($P236+BL236)))*BK236))),"Non Trouvé")</f>
        <v/>
      </c>
      <c r="BP236" s="99">
        <f>BP235</f>
        <v/>
      </c>
      <c r="BQ236" s="99">
        <f>BQ235</f>
        <v/>
      </c>
      <c r="BR236" s="95">
        <f>IFERROR(IF($C236="","",IF($P$15="Cascade",$R236*(1-BQ236)*BP236,IF($P$15="Additionnelle",($N236-($N236*($P236+BQ236)))*BP236))),"Non Trouvé")</f>
        <v/>
      </c>
      <c r="BU236" s="99">
        <f>BU235</f>
        <v/>
      </c>
      <c r="BV236" s="99">
        <f>BV235</f>
        <v/>
      </c>
      <c r="BW236" s="95">
        <f>IFERROR(IF($C236="","",IF($P$15="Cascade",$R236*(1-BV236)*BU236,IF($P$15="Additionnelle",($N236-($N236*($P236+BV236)))*BU236))),"Non Trouvé")</f>
        <v/>
      </c>
      <c r="BZ236" s="99">
        <f>BZ235</f>
        <v/>
      </c>
      <c r="CA236" s="99">
        <f>CA235</f>
        <v/>
      </c>
      <c r="CB236" s="95">
        <f>IFERROR(IF($C236="","",IF($P$15="Cascade",$R236*(1-CA236)*BZ236,IF($P$15="Additionnelle",($N236-($N236*($P236+CA236)))*BZ236))),"Non Trouvé")</f>
        <v/>
      </c>
      <c r="CE236" s="100" t="n"/>
      <c r="CF236" s="138" t="n"/>
      <c r="CG236" s="102" t="inlineStr">
        <is>
          <t>Nbrs Offres planifiées</t>
        </is>
      </c>
      <c r="CH236" s="138">
        <f>SUMIFS($AB221:$AT221,$AB218:$AT218,CG236)+SUMIFS($BZ221:$CC221,$BZ218:$CC218,CG236)</f>
        <v/>
      </c>
      <c r="CI236" s="103" t="n"/>
      <c r="CK236" s="104">
        <f>IFERROR(IF(F236='[1]Paramètres Généraux'!$K$12,ROUNDUP((REGENERANTS!H236*REGENERANTS!$CF$221)*'[1]Paramètres Généraux'!$M$12,-1),REGENERANTS!H236*REGENERANTS!$CF$221),"nd")</f>
        <v/>
      </c>
      <c r="CN236" s="105" t="n"/>
      <c r="CO236" s="106" t="n"/>
      <c r="CP236" s="106" t="n"/>
      <c r="CQ236" s="106" t="n"/>
      <c r="CR236" s="106" t="n"/>
      <c r="CS236" s="178" t="n"/>
      <c r="CT236" s="179" t="n"/>
      <c r="CU236" s="106" t="n"/>
      <c r="CV236" s="178" t="n"/>
      <c r="CW236" s="111" t="n"/>
      <c r="CX236" s="112" t="n"/>
      <c r="CY236" s="111" t="n"/>
      <c r="CZ236" s="109" t="n"/>
      <c r="DA236" s="112" t="n"/>
      <c r="DB236" s="111" t="n"/>
      <c r="DC236" s="109" t="n"/>
      <c r="DD236" s="112" t="n"/>
      <c r="DE236" s="111" t="n"/>
      <c r="DF236" s="109" t="n"/>
      <c r="DG236" s="109" t="n"/>
      <c r="DH236" s="109" t="n"/>
      <c r="DI236" s="109" t="n"/>
      <c r="DJ236" s="109" t="n"/>
      <c r="DK236" s="109" t="n"/>
      <c r="DL236" s="109" t="n"/>
      <c r="DM236" s="109" t="n"/>
      <c r="DN236" s="109" t="n"/>
      <c r="DO236" s="112" t="n"/>
      <c r="DP236" s="111" t="n"/>
      <c r="DQ236" s="20">
        <f>SUM(CN236:DP236)</f>
        <v/>
      </c>
      <c r="DR236" s="20">
        <f>SUM(CV236:DP236)</f>
        <v/>
      </c>
      <c r="DS236" s="20">
        <f>IFERROR((IF(AND($F236="Produit Vente",CO236&gt;0),VLOOKUP($C236,'[1]Paramètres Articles'!$B:$H,7,FALSE)*$CO236)*(1-20%)),0)</f>
        <v/>
      </c>
      <c r="DT236" s="20">
        <f>IFERROR((IF(AND($F236="Produit Vente",DR236&gt;0),VLOOKUP($C236,'[1]Paramètres Articles'!$B:$H,6,FALSE)*$DR236)*(1-15%)),0)</f>
        <v/>
      </c>
    </row>
    <row r="237" hidden="1" outlineLevel="1" collapsed="1" ht="12.95" customHeight="1">
      <c r="B237" s="1">
        <f>IF(C237="",0,COUNTIFS($B$22:B236,"&gt;"&amp;0)+1)</f>
        <v/>
      </c>
      <c r="C237" s="90" t="inlineStr">
        <is>
          <t>PRESENTOIR REGE</t>
        </is>
      </c>
      <c r="D237" s="91">
        <f>IFERROR(IF($C237="","",VLOOKUP($C237,'[1]Paramètres Articles'!$B:$G,2,FALSE)),"Non Trouvé")</f>
        <v/>
      </c>
      <c r="E237" s="92">
        <f>IFERROR(IF($C237="","",_xlfn.XLOOKUP(REGENERANTS!$C237,'[1]New Base PA'!$F:$F,'[1]New Base PA'!$D:$D,"Not Found",0)),"Non Trouvé")</f>
        <v/>
      </c>
      <c r="F237" s="93" t="inlineStr">
        <is>
          <t>PLV (PDC ou autre)</t>
        </is>
      </c>
      <c r="H237" s="106" t="n">
        <v>1</v>
      </c>
      <c r="J237" s="95">
        <f>IFERROR(IF($C237="","",VLOOKUP($C237,'[1]New Base PA'!$F:$J,5,FALSE)),"Non Trouvé")</f>
        <v/>
      </c>
      <c r="K237" s="136">
        <f>IFERROR(IF($C237="","",$J237*$H237),"Non Trouvé")</f>
        <v/>
      </c>
      <c r="L237" s="137" t="n"/>
      <c r="M237" s="95">
        <f>IFERROR(IF(AND($F237="Produit Vente",H237&gt;0),VLOOKUP($C237,'[1]Paramètres Articles'!$B:$G,6,FALSE),0),"Non Trouvé")</f>
        <v/>
      </c>
      <c r="N237" s="95">
        <f>IFERROR(IF($C237="","",$M237*$H237),"Non Trouvé")</f>
        <v/>
      </c>
      <c r="P237" s="97" t="n"/>
      <c r="R237" s="95">
        <f>IFERROR(IF($C237="","",$N237*(1-$P237)),"Non Trouvé")</f>
        <v/>
      </c>
      <c r="S237" s="96" t="n"/>
      <c r="T237" s="95">
        <f>IFERROR(IF($C237="","",VLOOKUP($C237,'[1]Paramètres Articles'!$B:$H,7,FALSE)),"Non Trouvé")</f>
        <v/>
      </c>
      <c r="U237" s="98" t="n"/>
      <c r="V237" s="95">
        <f>IFERROR(IF($C237="","",IF($P237="","",$T237*(1-$P237))),"Non Trouvé")</f>
        <v/>
      </c>
      <c r="W237" s="96" t="n"/>
      <c r="X237" s="95">
        <f>IFERROR(T237-V237,"")</f>
        <v/>
      </c>
      <c r="Y237" s="96" t="n"/>
      <c r="Z237" s="95">
        <f>IFERROR(IF(OR(T237=0,T237=""),0,T237*H237),"Non Trouvé")</f>
        <v/>
      </c>
      <c r="AB237" s="99">
        <f>AB235</f>
        <v/>
      </c>
      <c r="AC237" s="99">
        <f>AC235</f>
        <v/>
      </c>
      <c r="AD237" s="95">
        <f>IFERROR(IF($C237="","",IF($P$15="Cascade",$R237*(1-AC237)*AB237,IF($P$15="Additionnelle",($N237-($N237*($P237+AC237)))*AB237))),"Non Trouvé")</f>
        <v/>
      </c>
      <c r="AG237" s="99">
        <f>AG235</f>
        <v/>
      </c>
      <c r="AH237" s="99">
        <f>AH235</f>
        <v/>
      </c>
      <c r="AI237" s="95">
        <f>IFERROR(IF($C237="","",IF($P$15="Cascade",$R237*(1-AH237)*AG237,IF($P$15="Additionnelle",($N237-($N237*($P237+AH237)))*AG237))),"Non Trouvé")</f>
        <v/>
      </c>
      <c r="AL237" s="99">
        <f>AL235</f>
        <v/>
      </c>
      <c r="AM237" s="99">
        <f>AM235</f>
        <v/>
      </c>
      <c r="AN237" s="95">
        <f>IFERROR(IF($C237="","",IF($P$15="Cascade",$R237*(1-AM237)*AL237,IF($P$15="Additionnelle",($N237-($N237*($P237+AM237)))*AL237))),"Non Trouvé")</f>
        <v/>
      </c>
      <c r="AQ237" s="99">
        <f>AQ235</f>
        <v/>
      </c>
      <c r="AR237" s="99">
        <f>AR235</f>
        <v/>
      </c>
      <c r="AS237" s="95">
        <f>IFERROR(IF($C237="","",IF($P$15="Cascade",$R237*(1-AR237)*AQ237,IF($P$15="Additionnelle",($N237-($N237*($P237+AR237)))*AQ237))),"Non Trouvé")</f>
        <v/>
      </c>
      <c r="AV237" s="99">
        <f>AV235</f>
        <v/>
      </c>
      <c r="AW237" s="99">
        <f>AW235</f>
        <v/>
      </c>
      <c r="AX237" s="95">
        <f>IFERROR(IF($C237="","",IF($P$15="Cascade",$R237*(1-AW237)*AV237,IF($P$15="Additionnelle",($N237-($N237*($P237+AW237)))*AV237))),"Non Trouvé")</f>
        <v/>
      </c>
      <c r="BA237" s="99">
        <f>BA235</f>
        <v/>
      </c>
      <c r="BB237" s="99">
        <f>BB235</f>
        <v/>
      </c>
      <c r="BC237" s="95">
        <f>IFERROR(IF($C237="","",IF($P$15="Cascade",$R237*(1-BB237)*BA237,IF($P$15="Additionnelle",($N237-($N237*($P237+BB237)))*BA237))),"Non Trouvé")</f>
        <v/>
      </c>
      <c r="BF237" s="99">
        <f>BF235</f>
        <v/>
      </c>
      <c r="BG237" s="99">
        <f>BG235</f>
        <v/>
      </c>
      <c r="BH237" s="95">
        <f>IFERROR(IF($C237="","",IF($P$15="Cascade",$R237*(1-BG237)*BF237,IF($P$15="Additionnelle",($N237-($N237*($P237+BG237)))*BF237))),"Non Trouvé")</f>
        <v/>
      </c>
      <c r="BK237" s="99">
        <f>BK235</f>
        <v/>
      </c>
      <c r="BL237" s="99">
        <f>BL235</f>
        <v/>
      </c>
      <c r="BM237" s="95">
        <f>IFERROR(IF($C237="","",IF($P$15="Cascade",$R237*(1-BL237)*BK237,IF($P$15="Additionnelle",($N237-($N237*($P237+BL237)))*BK237))),"Non Trouvé")</f>
        <v/>
      </c>
      <c r="BP237" s="99">
        <f>BP235</f>
        <v/>
      </c>
      <c r="BQ237" s="99">
        <f>BQ235</f>
        <v/>
      </c>
      <c r="BR237" s="95">
        <f>IFERROR(IF($C237="","",IF($P$15="Cascade",$R237*(1-BQ237)*BP237,IF($P$15="Additionnelle",($N237-($N237*($P237+BQ237)))*BP237))),"Non Trouvé")</f>
        <v/>
      </c>
      <c r="BU237" s="99">
        <f>BU235</f>
        <v/>
      </c>
      <c r="BV237" s="99">
        <f>BV235</f>
        <v/>
      </c>
      <c r="BW237" s="95">
        <f>IFERROR(IF($C237="","",IF($P$15="Cascade",$R237*(1-BV237)*BU237,IF($P$15="Additionnelle",($N237-($N237*($P237+BV237)))*BU237))),"Non Trouvé")</f>
        <v/>
      </c>
      <c r="BZ237" s="99">
        <f>BZ235</f>
        <v/>
      </c>
      <c r="CA237" s="99">
        <f>CA235</f>
        <v/>
      </c>
      <c r="CB237" s="95">
        <f>IFERROR(IF($C237="","",IF($P$15="Cascade",$R237*(1-CA237)*BZ237,IF($P$15="Additionnelle",($N237-($N237*($P237+CA237)))*BZ237))),"Non Trouvé")</f>
        <v/>
      </c>
      <c r="CE237" s="100" t="n"/>
      <c r="CF237" s="101" t="n"/>
      <c r="CG237" s="102" t="inlineStr">
        <is>
          <t>CA</t>
        </is>
      </c>
      <c r="CH237" s="139">
        <f>SUMIFS($AB221:$AT221,$AB218:$AT218,CG237)+SUMIFS($BZ221:$CC221,$BZ218:$CC218,CG237)</f>
        <v/>
      </c>
      <c r="CI237" s="103" t="n"/>
      <c r="CK237" s="104">
        <f>IFERROR(IF(F237='[1]Paramètres Généraux'!$K$12,ROUNDUP((REGENERANTS!H237*REGENERANTS!$CF$221)*'[1]Paramètres Généraux'!$M$12,-1),REGENERANTS!H237*REGENERANTS!$CF$221),"nd")</f>
        <v/>
      </c>
      <c r="CN237" s="105" t="n"/>
      <c r="CO237" s="106" t="n"/>
      <c r="CP237" s="106" t="n"/>
      <c r="CQ237" s="106" t="n"/>
      <c r="CR237" s="106" t="n"/>
      <c r="CS237" s="178" t="n"/>
      <c r="CT237" s="179" t="n"/>
      <c r="CU237" s="106" t="n"/>
      <c r="CV237" s="178" t="n"/>
      <c r="CW237" s="111" t="n"/>
      <c r="CX237" s="112" t="n"/>
      <c r="CY237" s="111" t="n"/>
      <c r="CZ237" s="109" t="n"/>
      <c r="DA237" s="112" t="n"/>
      <c r="DB237" s="111" t="n"/>
      <c r="DC237" s="109" t="n"/>
      <c r="DD237" s="112" t="n"/>
      <c r="DE237" s="111" t="n"/>
      <c r="DF237" s="109" t="n"/>
      <c r="DG237" s="109" t="n"/>
      <c r="DH237" s="109" t="n"/>
      <c r="DI237" s="109" t="n"/>
      <c r="DJ237" s="109" t="n"/>
      <c r="DK237" s="109" t="n"/>
      <c r="DL237" s="109" t="n"/>
      <c r="DM237" s="109" t="n"/>
      <c r="DN237" s="109" t="n"/>
      <c r="DO237" s="112" t="n"/>
      <c r="DP237" s="111" t="n"/>
      <c r="DQ237" s="20">
        <f>SUM(CN237:DP237)</f>
        <v/>
      </c>
      <c r="DR237" s="20">
        <f>SUM(CV237:DP237)</f>
        <v/>
      </c>
      <c r="DS237" s="20">
        <f>IFERROR((IF(AND($F237="Produit Vente",CO237&gt;0),VLOOKUP($C237,'[1]Paramètres Articles'!$B:$H,7,FALSE)*$CO237)*(1-20%)),0)</f>
        <v/>
      </c>
      <c r="DT237" s="20">
        <f>IFERROR((IF(AND($F237="Produit Vente",DR237&gt;0),VLOOKUP($C237,'[1]Paramètres Articles'!$B:$H,6,FALSE)*$DR237)*(1-15%)),0)</f>
        <v/>
      </c>
    </row>
    <row r="238" hidden="1" outlineLevel="1" collapsed="1" ht="12.95" customHeight="1">
      <c r="B238" s="1">
        <f>IF(C238="",0,COUNTIFS($B$22:B237,"&gt;"&amp;0)+1)</f>
        <v/>
      </c>
      <c r="C238" s="90" t="n">
        <v>3020202</v>
      </c>
      <c r="D238" s="91">
        <f>IFERROR(IF($C238="","",VLOOKUP($C238,'[1]Paramètres Articles'!$B:$G,2,FALSE)),"Non Trouvé")</f>
        <v/>
      </c>
      <c r="E238" s="92">
        <f>IFERROR(IF($C238="","",_xlfn.XLOOKUP(REGENERANTS!$C238,'[1]New Base PA'!$F:$F,'[1]New Base PA'!$D:$D,"Not Found",0)),"Non Trouvé")</f>
        <v/>
      </c>
      <c r="F238" s="93" t="inlineStr">
        <is>
          <t>Testeur</t>
        </is>
      </c>
      <c r="H238" s="106" t="n">
        <v>1</v>
      </c>
      <c r="J238" s="95">
        <f>IFERROR(IF($C238="","",VLOOKUP($C238,'[1]New Base PA'!$F:$J,5,FALSE)),"Non Trouvé")</f>
        <v/>
      </c>
      <c r="K238" s="136">
        <f>IFERROR(IF($C238="","",$J238*$H238),"Non Trouvé")</f>
        <v/>
      </c>
      <c r="L238" s="137" t="n"/>
      <c r="M238" s="95">
        <f>IFERROR(IF(AND($F238="Produit Vente",H238&gt;0),VLOOKUP($C238,'[1]Paramètres Articles'!$B:$G,6,FALSE),0),"Non Trouvé")</f>
        <v/>
      </c>
      <c r="N238" s="95">
        <f>IFERROR(IF($C238="","",$M238*$H238),"Non Trouvé")</f>
        <v/>
      </c>
      <c r="P238" s="97" t="n"/>
      <c r="R238" s="95">
        <f>IFERROR(IF($C238="","",$N238*(1-$P238)),"Non Trouvé")</f>
        <v/>
      </c>
      <c r="S238" s="96" t="n"/>
      <c r="T238" s="95">
        <f>IFERROR(IF($C238="","",VLOOKUP($C238,'[1]Paramètres Articles'!$B:$H,7,FALSE)),"Non Trouvé")</f>
        <v/>
      </c>
      <c r="U238" s="98" t="n"/>
      <c r="V238" s="95">
        <f>IFERROR(IF($C238="","",IF($P238="","",$T238*(1-$P238))),"Non Trouvé")</f>
        <v/>
      </c>
      <c r="W238" s="96" t="n"/>
      <c r="X238" s="95">
        <f>IFERROR(T238-V238,"")</f>
        <v/>
      </c>
      <c r="Y238" s="96" t="n"/>
      <c r="Z238" s="95">
        <f>IFERROR(IF(OR(T238=0,T238=""),0,T238*H238),"Non Trouvé")</f>
        <v/>
      </c>
      <c r="AB238" s="99">
        <f>AB237</f>
        <v/>
      </c>
      <c r="AC238" s="99">
        <f>AC237</f>
        <v/>
      </c>
      <c r="AD238" s="95">
        <f>IFERROR(IF($C238="","",IF($P$15="Cascade",$R238*(1-AC238)*AB238,IF($P$15="Additionnelle",($N238-($N238*($P238+AC238)))*AB238))),"Non Trouvé")</f>
        <v/>
      </c>
      <c r="AG238" s="99">
        <f>AG237</f>
        <v/>
      </c>
      <c r="AH238" s="99">
        <f>AH237</f>
        <v/>
      </c>
      <c r="AI238" s="95">
        <f>IFERROR(IF($C238="","",IF($P$15="Cascade",$R238*(1-AH238)*AG238,IF($P$15="Additionnelle",($N238-($N238*($P238+AH238)))*AG238))),"Non Trouvé")</f>
        <v/>
      </c>
      <c r="AL238" s="99">
        <f>AL237</f>
        <v/>
      </c>
      <c r="AM238" s="99">
        <f>AM237</f>
        <v/>
      </c>
      <c r="AN238" s="95">
        <f>IFERROR(IF($C238="","",IF($P$15="Cascade",$R238*(1-AM238)*AL238,IF($P$15="Additionnelle",($N238-($N238*($P238+AM238)))*AL238))),"Non Trouvé")</f>
        <v/>
      </c>
      <c r="AQ238" s="99">
        <f>AQ237</f>
        <v/>
      </c>
      <c r="AR238" s="99">
        <f>AR237</f>
        <v/>
      </c>
      <c r="AS238" s="95">
        <f>IFERROR(IF($C238="","",IF($P$15="Cascade",$R238*(1-AR238)*AQ238,IF($P$15="Additionnelle",($N238-($N238*($P238+AR238)))*AQ238))),"Non Trouvé")</f>
        <v/>
      </c>
      <c r="AV238" s="99">
        <f>AV237</f>
        <v/>
      </c>
      <c r="AW238" s="99">
        <f>AW237</f>
        <v/>
      </c>
      <c r="AX238" s="95">
        <f>IFERROR(IF($C238="","",IF($P$15="Cascade",$R238*(1-AW238)*AV238,IF($P$15="Additionnelle",($N238-($N238*($P238+AW238)))*AV238))),"Non Trouvé")</f>
        <v/>
      </c>
      <c r="BA238" s="99">
        <f>BA237</f>
        <v/>
      </c>
      <c r="BB238" s="99">
        <f>BB237</f>
        <v/>
      </c>
      <c r="BC238" s="95">
        <f>IFERROR(IF($C238="","",IF($P$15="Cascade",$R238*(1-BB238)*BA238,IF($P$15="Additionnelle",($N238-($N238*($P238+BB238)))*BA238))),"Non Trouvé")</f>
        <v/>
      </c>
      <c r="BF238" s="99">
        <f>BF237</f>
        <v/>
      </c>
      <c r="BG238" s="99">
        <f>BG237</f>
        <v/>
      </c>
      <c r="BH238" s="95">
        <f>IFERROR(IF($C238="","",IF($P$15="Cascade",$R238*(1-BG238)*BF238,IF($P$15="Additionnelle",($N238-($N238*($P238+BG238)))*BF238))),"Non Trouvé")</f>
        <v/>
      </c>
      <c r="BK238" s="99">
        <f>BK237</f>
        <v/>
      </c>
      <c r="BL238" s="99">
        <f>BL237</f>
        <v/>
      </c>
      <c r="BM238" s="95">
        <f>IFERROR(IF($C238="","",IF($P$15="Cascade",$R238*(1-BL238)*BK238,IF($P$15="Additionnelle",($N238-($N238*($P238+BL238)))*BK238))),"Non Trouvé")</f>
        <v/>
      </c>
      <c r="BP238" s="99">
        <f>BP237</f>
        <v/>
      </c>
      <c r="BQ238" s="99">
        <f>BQ237</f>
        <v/>
      </c>
      <c r="BR238" s="95">
        <f>IFERROR(IF($C238="","",IF($P$15="Cascade",$R238*(1-BQ238)*BP238,IF($P$15="Additionnelle",($N238-($N238*($P238+BQ238)))*BP238))),"Non Trouvé")</f>
        <v/>
      </c>
      <c r="BU238" s="99">
        <f>BU237</f>
        <v/>
      </c>
      <c r="BV238" s="99">
        <f>BV237</f>
        <v/>
      </c>
      <c r="BW238" s="95">
        <f>IFERROR(IF($C238="","",IF($P$15="Cascade",$R238*(1-BV238)*BU238,IF($P$15="Additionnelle",($N238-($N238*($P238+BV238)))*BU238))),"Non Trouvé")</f>
        <v/>
      </c>
      <c r="BZ238" s="99">
        <f>BZ237</f>
        <v/>
      </c>
      <c r="CA238" s="99">
        <f>CA237</f>
        <v/>
      </c>
      <c r="CB238" s="95">
        <f>IFERROR(IF($C238="","",IF($P$15="Cascade",$R238*(1-CA238)*BZ238,IF($P$15="Additionnelle",($N238-($N238*($P238+CA238)))*BZ238))),"Non Trouvé")</f>
        <v/>
      </c>
      <c r="CE238" s="100" t="n"/>
      <c r="CF238" s="133" t="n"/>
      <c r="CG238" s="102" t="inlineStr">
        <is>
          <t>Marges</t>
        </is>
      </c>
      <c r="CH238" s="142">
        <f>IFERROR((CH237-$K221*CH236)/CH237,"Non Trouvé")</f>
        <v/>
      </c>
      <c r="CI238" s="103" t="n"/>
      <c r="CK238" s="104">
        <f>IFERROR(IF(F238='[1]Paramètres Généraux'!$K$12,ROUNDUP((REGENERANTS!H238*REGENERANTS!$CF$221)*'[1]Paramètres Généraux'!$M$12,-1),REGENERANTS!H238*REGENERANTS!$CF$221),"nd")</f>
        <v/>
      </c>
      <c r="CN238" s="105" t="n"/>
      <c r="CO238" s="106" t="n"/>
      <c r="CP238" s="106" t="n"/>
      <c r="CQ238" s="106" t="n"/>
      <c r="CR238" s="106" t="n"/>
      <c r="CS238" s="178" t="n"/>
      <c r="CT238" s="179" t="n"/>
      <c r="CU238" s="106" t="n"/>
      <c r="CV238" s="178" t="n"/>
      <c r="CW238" s="111" t="n"/>
      <c r="CX238" s="112" t="n"/>
      <c r="CY238" s="111" t="n"/>
      <c r="CZ238" s="109" t="n"/>
      <c r="DA238" s="112" t="n"/>
      <c r="DB238" s="111" t="n"/>
      <c r="DC238" s="109" t="n"/>
      <c r="DD238" s="112" t="n"/>
      <c r="DE238" s="111" t="n"/>
      <c r="DF238" s="109" t="n"/>
      <c r="DG238" s="109" t="n"/>
      <c r="DH238" s="109" t="n"/>
      <c r="DI238" s="109" t="n"/>
      <c r="DJ238" s="109" t="n"/>
      <c r="DK238" s="109" t="n"/>
      <c r="DL238" s="109" t="n"/>
      <c r="DM238" s="109" t="n"/>
      <c r="DN238" s="109" t="n"/>
      <c r="DO238" s="112" t="n"/>
      <c r="DP238" s="111" t="n"/>
      <c r="DQ238" s="20">
        <f>SUM(CN238:DP238)</f>
        <v/>
      </c>
      <c r="DR238" s="20">
        <f>SUM(CV238:DP238)</f>
        <v/>
      </c>
      <c r="DS238" s="20">
        <f>IFERROR((IF(AND($F238="Produit Vente",CO238&gt;0),VLOOKUP($C238,'[1]Paramètres Articles'!$B:$H,7,FALSE)*$CO238)*(1-20%)),0)</f>
        <v/>
      </c>
      <c r="DT238" s="20">
        <f>IFERROR((IF(AND($F238="Produit Vente",DR238&gt;0),VLOOKUP($C238,'[1]Paramètres Articles'!$B:$H,6,FALSE)*$DR238)*(1-15%)),0)</f>
        <v/>
      </c>
    </row>
    <row r="239" hidden="1" outlineLevel="1" collapsed="1" ht="12.95" customHeight="1">
      <c r="B239" s="1">
        <f>IF(C239="",0,COUNTIFS($B$22:B238,"&gt;"&amp;0)+1)</f>
        <v/>
      </c>
      <c r="C239" s="90" t="n">
        <v>3020301</v>
      </c>
      <c r="D239" s="91">
        <f>IFERROR(IF($C239="","",VLOOKUP($C239,'[1]Paramètres Articles'!$B:$G,2,FALSE)),"Non Trouvé")</f>
        <v/>
      </c>
      <c r="E239" s="92">
        <f>IFERROR(IF($C239="","",_xlfn.XLOOKUP(REGENERANTS!$C239,'[1]New Base PA'!$F:$F,'[1]New Base PA'!$D:$D,"Not Found",0)),"Non Trouvé")</f>
        <v/>
      </c>
      <c r="F239" s="93" t="inlineStr">
        <is>
          <t>Testeur</t>
        </is>
      </c>
      <c r="H239" s="106" t="n">
        <v>1</v>
      </c>
      <c r="J239" s="95">
        <f>IFERROR(IF($C239="","",VLOOKUP($C239,'[1]New Base PA'!$F:$J,5,FALSE)),"Non Trouvé")</f>
        <v/>
      </c>
      <c r="K239" s="136">
        <f>IFERROR(IF($C239="","",$J239*$H239),"Non Trouvé")</f>
        <v/>
      </c>
      <c r="L239" s="137" t="n"/>
      <c r="M239" s="95">
        <f>IFERROR(IF(AND($F239="Produit Vente",H239&gt;0),VLOOKUP($C239,'[1]Paramètres Articles'!$B:$G,6,FALSE),0),"Non Trouvé")</f>
        <v/>
      </c>
      <c r="N239" s="95">
        <f>IFERROR(IF($C239="","",$M239*$H239),"Non Trouvé")</f>
        <v/>
      </c>
      <c r="P239" s="97" t="n"/>
      <c r="R239" s="95">
        <f>IFERROR(IF($C239="","",$N239*(1-$P239)),"Non Trouvé")</f>
        <v/>
      </c>
      <c r="S239" s="96" t="n"/>
      <c r="T239" s="95">
        <f>IFERROR(IF($C239="","",VLOOKUP($C239,'[1]Paramètres Articles'!$B:$H,7,FALSE)),"Non Trouvé")</f>
        <v/>
      </c>
      <c r="U239" s="98" t="n"/>
      <c r="V239" s="95">
        <f>IFERROR(IF($C239="","",IF($P239="","",$T239*(1-$P239))),"Non Trouvé")</f>
        <v/>
      </c>
      <c r="W239" s="96" t="n"/>
      <c r="X239" s="95">
        <f>IFERROR(T239-V239,"")</f>
        <v/>
      </c>
      <c r="Y239" s="96" t="n"/>
      <c r="Z239" s="95">
        <f>IFERROR(IF(OR(T239=0,T239=""),0,T239*H239),"Non Trouvé")</f>
        <v/>
      </c>
      <c r="AB239" s="99">
        <f>AB237</f>
        <v/>
      </c>
      <c r="AC239" s="99">
        <f>AC237</f>
        <v/>
      </c>
      <c r="AD239" s="95">
        <f>IFERROR(IF($C239="","",IF($P$15="Cascade",$R239*(1-AC239)*AB239,IF($P$15="Additionnelle",($N239-($N239*($P239+AC239)))*AB239))),"Non Trouvé")</f>
        <v/>
      </c>
      <c r="AG239" s="99">
        <f>AG237</f>
        <v/>
      </c>
      <c r="AH239" s="99">
        <f>AH237</f>
        <v/>
      </c>
      <c r="AI239" s="95">
        <f>IFERROR(IF($C239="","",IF($P$15="Cascade",$R239*(1-AH239)*AG239,IF($P$15="Additionnelle",($N239-($N239*($P239+AH239)))*AG239))),"Non Trouvé")</f>
        <v/>
      </c>
      <c r="AL239" s="99">
        <f>AL237</f>
        <v/>
      </c>
      <c r="AM239" s="99">
        <f>AM237</f>
        <v/>
      </c>
      <c r="AN239" s="95">
        <f>IFERROR(IF($C239="","",IF($P$15="Cascade",$R239*(1-AM239)*AL239,IF($P$15="Additionnelle",($N239-($N239*($P239+AM239)))*AL239))),"Non Trouvé")</f>
        <v/>
      </c>
      <c r="AQ239" s="99">
        <f>AQ237</f>
        <v/>
      </c>
      <c r="AR239" s="99">
        <f>AR237</f>
        <v/>
      </c>
      <c r="AS239" s="95">
        <f>IFERROR(IF($C239="","",IF($P$15="Cascade",$R239*(1-AR239)*AQ239,IF($P$15="Additionnelle",($N239-($N239*($P239+AR239)))*AQ239))),"Non Trouvé")</f>
        <v/>
      </c>
      <c r="AV239" s="99">
        <f>AV237</f>
        <v/>
      </c>
      <c r="AW239" s="99">
        <f>AW237</f>
        <v/>
      </c>
      <c r="AX239" s="95">
        <f>IFERROR(IF($C239="","",IF($P$15="Cascade",$R239*(1-AW239)*AV239,IF($P$15="Additionnelle",($N239-($N239*($P239+AW239)))*AV239))),"Non Trouvé")</f>
        <v/>
      </c>
      <c r="BA239" s="99">
        <f>BA237</f>
        <v/>
      </c>
      <c r="BB239" s="99">
        <f>BB237</f>
        <v/>
      </c>
      <c r="BC239" s="95">
        <f>IFERROR(IF($C239="","",IF($P$15="Cascade",$R239*(1-BB239)*BA239,IF($P$15="Additionnelle",($N239-($N239*($P239+BB239)))*BA239))),"Non Trouvé")</f>
        <v/>
      </c>
      <c r="BF239" s="99">
        <f>BF237</f>
        <v/>
      </c>
      <c r="BG239" s="99">
        <f>BG237</f>
        <v/>
      </c>
      <c r="BH239" s="95">
        <f>IFERROR(IF($C239="","",IF($P$15="Cascade",$R239*(1-BG239)*BF239,IF($P$15="Additionnelle",($N239-($N239*($P239+BG239)))*BF239))),"Non Trouvé")</f>
        <v/>
      </c>
      <c r="BK239" s="99">
        <f>BK237</f>
        <v/>
      </c>
      <c r="BL239" s="99">
        <f>BL237</f>
        <v/>
      </c>
      <c r="BM239" s="95">
        <f>IFERROR(IF($C239="","",IF($P$15="Cascade",$R239*(1-BL239)*BK239,IF($P$15="Additionnelle",($N239-($N239*($P239+BL239)))*BK239))),"Non Trouvé")</f>
        <v/>
      </c>
      <c r="BP239" s="99">
        <f>BP237</f>
        <v/>
      </c>
      <c r="BQ239" s="99">
        <f>BQ237</f>
        <v/>
      </c>
      <c r="BR239" s="95">
        <f>IFERROR(IF($C239="","",IF($P$15="Cascade",$R239*(1-BQ239)*BP239,IF($P$15="Additionnelle",($N239-($N239*($P239+BQ239)))*BP239))),"Non Trouvé")</f>
        <v/>
      </c>
      <c r="BU239" s="99">
        <f>BU237</f>
        <v/>
      </c>
      <c r="BV239" s="99">
        <f>BV237</f>
        <v/>
      </c>
      <c r="BW239" s="95">
        <f>IFERROR(IF($C239="","",IF($P$15="Cascade",$R239*(1-BV239)*BU239,IF($P$15="Additionnelle",($N239-($N239*($P239+BV239)))*BU239))),"Non Trouvé")</f>
        <v/>
      </c>
      <c r="BZ239" s="99">
        <f>BZ237</f>
        <v/>
      </c>
      <c r="CA239" s="99">
        <f>CA237</f>
        <v/>
      </c>
      <c r="CB239" s="95">
        <f>IFERROR(IF($C239="","",IF($P$15="Cascade",$R239*(1-CA239)*BZ239,IF($P$15="Additionnelle",($N239-($N239*($P239+CA239)))*BZ239))),"Non Trouvé")</f>
        <v/>
      </c>
      <c r="CE239" s="100" t="n"/>
      <c r="CF239" s="102" t="n"/>
      <c r="CG239" s="102" t="inlineStr">
        <is>
          <t>Marges €</t>
        </is>
      </c>
      <c r="CH239" s="139">
        <f>IFERROR(CH237*CH238,0)</f>
        <v/>
      </c>
      <c r="CI239" s="103" t="n"/>
      <c r="CK239" s="104">
        <f>IFERROR(IF(F239='[1]Paramètres Généraux'!$K$12,ROUNDUP((REGENERANTS!H239*REGENERANTS!$CF$221)*'[1]Paramètres Généraux'!$M$12,-1),REGENERANTS!H239*REGENERANTS!$CF$221),"nd")</f>
        <v/>
      </c>
      <c r="CN239" s="105" t="n"/>
      <c r="CO239" s="106" t="n"/>
      <c r="CP239" s="106" t="n"/>
      <c r="CQ239" s="106" t="n"/>
      <c r="CR239" s="106" t="n"/>
      <c r="CS239" s="178" t="n"/>
      <c r="CT239" s="179" t="n"/>
      <c r="CU239" s="106" t="n"/>
      <c r="CV239" s="178" t="n"/>
      <c r="CW239" s="111" t="n"/>
      <c r="CX239" s="112" t="n"/>
      <c r="CY239" s="111" t="n"/>
      <c r="CZ239" s="109" t="n"/>
      <c r="DA239" s="112" t="n"/>
      <c r="DB239" s="111" t="n"/>
      <c r="DC239" s="109" t="n"/>
      <c r="DD239" s="112" t="n"/>
      <c r="DE239" s="111" t="n"/>
      <c r="DF239" s="109" t="n"/>
      <c r="DG239" s="109" t="n"/>
      <c r="DH239" s="109" t="n"/>
      <c r="DI239" s="109" t="n"/>
      <c r="DJ239" s="109" t="n"/>
      <c r="DK239" s="109" t="n"/>
      <c r="DL239" s="109" t="n"/>
      <c r="DM239" s="109" t="n"/>
      <c r="DN239" s="109" t="n"/>
      <c r="DO239" s="112" t="n"/>
      <c r="DP239" s="111" t="n"/>
      <c r="DQ239" s="20">
        <f>SUM(CN239:DP239)</f>
        <v/>
      </c>
      <c r="DR239" s="20">
        <f>SUM(CV239:DP239)</f>
        <v/>
      </c>
      <c r="DS239" s="20">
        <f>IFERROR((IF(AND($F239="Produit Vente",CO239&gt;0),VLOOKUP($C239,'[1]Paramètres Articles'!$B:$H,7,FALSE)*$CO239)*(1-20%)),0)</f>
        <v/>
      </c>
      <c r="DT239" s="20">
        <f>IFERROR((IF(AND($F239="Produit Vente",DR239&gt;0),VLOOKUP($C239,'[1]Paramètres Articles'!$B:$H,6,FALSE)*$DR239)*(1-15%)),0)</f>
        <v/>
      </c>
    </row>
    <row r="240" hidden="1" outlineLevel="1" collapsed="1" ht="12.95" customHeight="1">
      <c r="B240" s="1">
        <f>IF(C240="",0,COUNTIFS($B$22:B239,"&gt;"&amp;0)+1)</f>
        <v/>
      </c>
      <c r="C240" s="90" t="n">
        <v>3020720</v>
      </c>
      <c r="D240" s="91">
        <f>IFERROR(IF($C240="","",VLOOKUP($C240,'[1]Paramètres Articles'!$B:$G,2,FALSE)),"Non Trouvé")</f>
        <v/>
      </c>
      <c r="E240" s="92">
        <f>IFERROR(IF($C240="","",_xlfn.XLOOKUP(REGENERANTS!$C240,'[1]New Base PA'!$F:$F,'[1]New Base PA'!$D:$D,"Not Found",0)),"Non Trouvé")</f>
        <v/>
      </c>
      <c r="F240" s="93" t="inlineStr">
        <is>
          <t>Testeur</t>
        </is>
      </c>
      <c r="H240" s="106" t="n">
        <v>1</v>
      </c>
      <c r="J240" s="95">
        <f>IFERROR(IF($C240="","",VLOOKUP($C240,'[1]New Base PA'!$F:$J,5,FALSE)),"Non Trouvé")</f>
        <v/>
      </c>
      <c r="K240" s="136">
        <f>IFERROR(IF($C240="","",$J240*$H240),"Non Trouvé")</f>
        <v/>
      </c>
      <c r="L240" s="137" t="n"/>
      <c r="M240" s="95">
        <f>IFERROR(IF(AND($F240="Produit Vente",H240&gt;0),VLOOKUP($C240,'[1]Paramètres Articles'!$B:$G,6,FALSE),0),"Non Trouvé")</f>
        <v/>
      </c>
      <c r="N240" s="95">
        <f>IFERROR(IF($C240="","",$M240*$H240),"Non Trouvé")</f>
        <v/>
      </c>
      <c r="P240" s="97" t="n"/>
      <c r="R240" s="95">
        <f>IFERROR(IF($C240="","",$N240*(1-$P240)),"Non Trouvé")</f>
        <v/>
      </c>
      <c r="S240" s="96" t="n"/>
      <c r="T240" s="95">
        <f>IFERROR(IF($C240="","",VLOOKUP($C240,'[1]Paramètres Articles'!$B:$H,7,FALSE)),"Non Trouvé")</f>
        <v/>
      </c>
      <c r="U240" s="98" t="n"/>
      <c r="V240" s="95">
        <f>IFERROR(IF($C240="","",IF($P240="","",$T240*(1-$P240))),"Non Trouvé")</f>
        <v/>
      </c>
      <c r="W240" s="96" t="n"/>
      <c r="X240" s="95">
        <f>IFERROR(T240-V240,"")</f>
        <v/>
      </c>
      <c r="Y240" s="96" t="n"/>
      <c r="Z240" s="95">
        <f>IFERROR(IF(OR(T240=0,T240=""),0,T240*H240),"Non Trouvé")</f>
        <v/>
      </c>
      <c r="AB240" s="99">
        <f>AB239</f>
        <v/>
      </c>
      <c r="AC240" s="99">
        <f>AC239</f>
        <v/>
      </c>
      <c r="AD240" s="95">
        <f>IFERROR(IF($C240="","",IF($P$15="Cascade",$R240*(1-AC240)*AB240,IF($P$15="Additionnelle",($N240-($N240*($P240+AC240)))*AB240))),"Non Trouvé")</f>
        <v/>
      </c>
      <c r="AG240" s="99">
        <f>AG239</f>
        <v/>
      </c>
      <c r="AH240" s="99">
        <f>AH239</f>
        <v/>
      </c>
      <c r="AI240" s="95">
        <f>IFERROR(IF($C240="","",IF($P$15="Cascade",$R240*(1-AH240)*AG240,IF($P$15="Additionnelle",($N240-($N240*($P240+AH240)))*AG240))),"Non Trouvé")</f>
        <v/>
      </c>
      <c r="AL240" s="99">
        <f>AL239</f>
        <v/>
      </c>
      <c r="AM240" s="99">
        <f>AM239</f>
        <v/>
      </c>
      <c r="AN240" s="95">
        <f>IFERROR(IF($C240="","",IF($P$15="Cascade",$R240*(1-AM240)*AL240,IF($P$15="Additionnelle",($N240-($N240*($P240+AM240)))*AL240))),"Non Trouvé")</f>
        <v/>
      </c>
      <c r="AQ240" s="99">
        <f>AQ239</f>
        <v/>
      </c>
      <c r="AR240" s="99">
        <f>AR239</f>
        <v/>
      </c>
      <c r="AS240" s="95">
        <f>IFERROR(IF($C240="","",IF($P$15="Cascade",$R240*(1-AR240)*AQ240,IF($P$15="Additionnelle",($N240-($N240*($P240+AR240)))*AQ240))),"Non Trouvé")</f>
        <v/>
      </c>
      <c r="AV240" s="99">
        <f>AV239</f>
        <v/>
      </c>
      <c r="AW240" s="99">
        <f>AW239</f>
        <v/>
      </c>
      <c r="AX240" s="95">
        <f>IFERROR(IF($C240="","",IF($P$15="Cascade",$R240*(1-AW240)*AV240,IF($P$15="Additionnelle",($N240-($N240*($P240+AW240)))*AV240))),"Non Trouvé")</f>
        <v/>
      </c>
      <c r="BA240" s="99">
        <f>BA239</f>
        <v/>
      </c>
      <c r="BB240" s="99">
        <f>BB239</f>
        <v/>
      </c>
      <c r="BC240" s="95">
        <f>IFERROR(IF($C240="","",IF($P$15="Cascade",$R240*(1-BB240)*BA240,IF($P$15="Additionnelle",($N240-($N240*($P240+BB240)))*BA240))),"Non Trouvé")</f>
        <v/>
      </c>
      <c r="BF240" s="99">
        <f>BF239</f>
        <v/>
      </c>
      <c r="BG240" s="99">
        <f>BG239</f>
        <v/>
      </c>
      <c r="BH240" s="95">
        <f>IFERROR(IF($C240="","",IF($P$15="Cascade",$R240*(1-BG240)*BF240,IF($P$15="Additionnelle",($N240-($N240*($P240+BG240)))*BF240))),"Non Trouvé")</f>
        <v/>
      </c>
      <c r="BK240" s="99">
        <f>BK239</f>
        <v/>
      </c>
      <c r="BL240" s="99">
        <f>BL239</f>
        <v/>
      </c>
      <c r="BM240" s="95">
        <f>IFERROR(IF($C240="","",IF($P$15="Cascade",$R240*(1-BL240)*BK240,IF($P$15="Additionnelle",($N240-($N240*($P240+BL240)))*BK240))),"Non Trouvé")</f>
        <v/>
      </c>
      <c r="BP240" s="99">
        <f>BP239</f>
        <v/>
      </c>
      <c r="BQ240" s="99">
        <f>BQ239</f>
        <v/>
      </c>
      <c r="BR240" s="95">
        <f>IFERROR(IF($C240="","",IF($P$15="Cascade",$R240*(1-BQ240)*BP240,IF($P$15="Additionnelle",($N240-($N240*($P240+BQ240)))*BP240))),"Non Trouvé")</f>
        <v/>
      </c>
      <c r="BU240" s="99">
        <f>BU239</f>
        <v/>
      </c>
      <c r="BV240" s="99">
        <f>BV239</f>
        <v/>
      </c>
      <c r="BW240" s="95">
        <f>IFERROR(IF($C240="","",IF($P$15="Cascade",$R240*(1-BV240)*BU240,IF($P$15="Additionnelle",($N240-($N240*($P240+BV240)))*BU240))),"Non Trouvé")</f>
        <v/>
      </c>
      <c r="BZ240" s="99">
        <f>BZ239</f>
        <v/>
      </c>
      <c r="CA240" s="99">
        <f>CA239</f>
        <v/>
      </c>
      <c r="CB240" s="95">
        <f>IFERROR(IF($C240="","",IF($P$15="Cascade",$R240*(1-CA240)*BZ240,IF($P$15="Additionnelle",($N240-($N240*($P240+CA240)))*BZ240))),"Non Trouvé")</f>
        <v/>
      </c>
      <c r="CE240" s="100" t="n"/>
      <c r="CF240" s="138" t="n"/>
      <c r="CG240" s="101" t="n"/>
      <c r="CH240" s="101" t="n"/>
      <c r="CI240" s="103" t="n"/>
      <c r="CK240" s="104">
        <f>IFERROR(IF(F240='[1]Paramètres Généraux'!$K$12,ROUNDUP((REGENERANTS!H240*REGENERANTS!$CF$221)*'[1]Paramètres Généraux'!$M$12,-1),REGENERANTS!H240*REGENERANTS!$CF$221),"nd")</f>
        <v/>
      </c>
      <c r="CN240" s="105" t="n"/>
      <c r="CO240" s="106" t="n"/>
      <c r="CP240" s="106" t="n"/>
      <c r="CQ240" s="106" t="n"/>
      <c r="CR240" s="106" t="n"/>
      <c r="CS240" s="178" t="n"/>
      <c r="CT240" s="179" t="n"/>
      <c r="CU240" s="106" t="n"/>
      <c r="CV240" s="178" t="n"/>
      <c r="CW240" s="111" t="n"/>
      <c r="CX240" s="112" t="n"/>
      <c r="CY240" s="111" t="n"/>
      <c r="CZ240" s="109" t="n"/>
      <c r="DA240" s="112" t="n"/>
      <c r="DB240" s="111" t="n"/>
      <c r="DC240" s="109" t="n"/>
      <c r="DD240" s="112" t="n"/>
      <c r="DE240" s="111" t="n"/>
      <c r="DF240" s="109" t="n"/>
      <c r="DG240" s="109" t="n"/>
      <c r="DH240" s="109" t="n"/>
      <c r="DI240" s="109" t="n"/>
      <c r="DJ240" s="109" t="n"/>
      <c r="DK240" s="109" t="n"/>
      <c r="DL240" s="109" t="n"/>
      <c r="DM240" s="109" t="n"/>
      <c r="DN240" s="109" t="n"/>
      <c r="DO240" s="112" t="n"/>
      <c r="DP240" s="111" t="n"/>
      <c r="DQ240" s="20">
        <f>SUM(CN240:DP240)</f>
        <v/>
      </c>
      <c r="DR240" s="20">
        <f>SUM(CV240:DP240)</f>
        <v/>
      </c>
      <c r="DS240" s="20">
        <f>IFERROR((IF(AND($F240="Produit Vente",CO240&gt;0),VLOOKUP($C240,'[1]Paramètres Articles'!$B:$H,7,FALSE)*$CO240)*(1-20%)),0)</f>
        <v/>
      </c>
      <c r="DT240" s="20">
        <f>IFERROR((IF(AND($F240="Produit Vente",DR240&gt;0),VLOOKUP($C240,'[1]Paramètres Articles'!$B:$H,6,FALSE)*$DR240)*(1-15%)),0)</f>
        <v/>
      </c>
    </row>
    <row r="241" hidden="1" outlineLevel="1" collapsed="1" ht="12.95" customHeight="1">
      <c r="B241" s="1">
        <f>IF(C241="",0,COUNTIFS($B$22:B240,"&gt;"&amp;0)+1)</f>
        <v/>
      </c>
      <c r="C241" s="90" t="n">
        <v>3020718</v>
      </c>
      <c r="D241" s="91">
        <f>IFERROR(IF($C241="","",VLOOKUP($C241,'[1]Paramètres Articles'!$B:$G,2,FALSE)),"Non Trouvé")</f>
        <v/>
      </c>
      <c r="E241" s="92">
        <f>IFERROR(IF($C241="","",_xlfn.XLOOKUP(REGENERANTS!$C241,'[1]New Base PA'!$F:$F,'[1]New Base PA'!$D:$D,"Not Found",0)),"Non Trouvé")</f>
        <v/>
      </c>
      <c r="F241" s="93" t="inlineStr">
        <is>
          <t>Testeur</t>
        </is>
      </c>
      <c r="H241" s="106" t="n">
        <v>1</v>
      </c>
      <c r="J241" s="95">
        <f>IFERROR(IF($C241="","",VLOOKUP($C241,'[1]New Base PA'!$F:$J,5,FALSE)),"Non Trouvé")</f>
        <v/>
      </c>
      <c r="K241" s="136">
        <f>IFERROR(IF($C241="","",$J241*$H241),"Non Trouvé")</f>
        <v/>
      </c>
      <c r="L241" s="137" t="n"/>
      <c r="M241" s="95">
        <f>IFERROR(IF(AND($F241="Produit Vente",H241&gt;0),VLOOKUP($C241,'[1]Paramètres Articles'!$B:$G,6,FALSE),0),"Non Trouvé")</f>
        <v/>
      </c>
      <c r="N241" s="95">
        <f>IFERROR(IF($C241="","",$M241*$H241),"Non Trouvé")</f>
        <v/>
      </c>
      <c r="P241" s="97" t="n"/>
      <c r="R241" s="95">
        <f>IFERROR(IF($C241="","",$N241*(1-$P241)),"Non Trouvé")</f>
        <v/>
      </c>
      <c r="S241" s="96" t="n"/>
      <c r="T241" s="95">
        <f>IFERROR(IF($C241="","",VLOOKUP($C241,'[1]Paramètres Articles'!$B:$H,7,FALSE)),"Non Trouvé")</f>
        <v/>
      </c>
      <c r="U241" s="98" t="n"/>
      <c r="V241" s="95">
        <f>IFERROR(IF($C241="","",IF($P241="","",$T241*(1-$P241))),"Non Trouvé")</f>
        <v/>
      </c>
      <c r="W241" s="96" t="n"/>
      <c r="X241" s="95">
        <f>IFERROR(T241-V241,"")</f>
        <v/>
      </c>
      <c r="Y241" s="96" t="n"/>
      <c r="Z241" s="95">
        <f>IFERROR(IF(OR(T241=0,T241=""),0,T241*H241),"Non Trouvé")</f>
        <v/>
      </c>
      <c r="AB241" s="99">
        <f>AB239</f>
        <v/>
      </c>
      <c r="AC241" s="99">
        <f>AC239</f>
        <v/>
      </c>
      <c r="AD241" s="95">
        <f>IFERROR(IF($C241="","",IF($P$15="Cascade",$R241*(1-AC241)*AB241,IF($P$15="Additionnelle",($N241-($N241*($P241+AC241)))*AB241))),"Non Trouvé")</f>
        <v/>
      </c>
      <c r="AG241" s="99">
        <f>AG239</f>
        <v/>
      </c>
      <c r="AH241" s="99">
        <f>AH239</f>
        <v/>
      </c>
      <c r="AI241" s="95">
        <f>IFERROR(IF($C241="","",IF($P$15="Cascade",$R241*(1-AH241)*AG241,IF($P$15="Additionnelle",($N241-($N241*($P241+AH241)))*AG241))),"Non Trouvé")</f>
        <v/>
      </c>
      <c r="AL241" s="99">
        <f>AL239</f>
        <v/>
      </c>
      <c r="AM241" s="99">
        <f>AM239</f>
        <v/>
      </c>
      <c r="AN241" s="95">
        <f>IFERROR(IF($C241="","",IF($P$15="Cascade",$R241*(1-AM241)*AL241,IF($P$15="Additionnelle",($N241-($N241*($P241+AM241)))*AL241))),"Non Trouvé")</f>
        <v/>
      </c>
      <c r="AQ241" s="99">
        <f>AQ239</f>
        <v/>
      </c>
      <c r="AR241" s="99">
        <f>AR239</f>
        <v/>
      </c>
      <c r="AS241" s="95">
        <f>IFERROR(IF($C241="","",IF($P$15="Cascade",$R241*(1-AR241)*AQ241,IF($P$15="Additionnelle",($N241-($N241*($P241+AR241)))*AQ241))),"Non Trouvé")</f>
        <v/>
      </c>
      <c r="AV241" s="99">
        <f>AV239</f>
        <v/>
      </c>
      <c r="AW241" s="99">
        <f>AW239</f>
        <v/>
      </c>
      <c r="AX241" s="95">
        <f>IFERROR(IF($C241="","",IF($P$15="Cascade",$R241*(1-AW241)*AV241,IF($P$15="Additionnelle",($N241-($N241*($P241+AW241)))*AV241))),"Non Trouvé")</f>
        <v/>
      </c>
      <c r="BA241" s="99">
        <f>BA239</f>
        <v/>
      </c>
      <c r="BB241" s="99">
        <f>BB239</f>
        <v/>
      </c>
      <c r="BC241" s="95">
        <f>IFERROR(IF($C241="","",IF($P$15="Cascade",$R241*(1-BB241)*BA241,IF($P$15="Additionnelle",($N241-($N241*($P241+BB241)))*BA241))),"Non Trouvé")</f>
        <v/>
      </c>
      <c r="BF241" s="99">
        <f>BF239</f>
        <v/>
      </c>
      <c r="BG241" s="99">
        <f>BG239</f>
        <v/>
      </c>
      <c r="BH241" s="95">
        <f>IFERROR(IF($C241="","",IF($P$15="Cascade",$R241*(1-BG241)*BF241,IF($P$15="Additionnelle",($N241-($N241*($P241+BG241)))*BF241))),"Non Trouvé")</f>
        <v/>
      </c>
      <c r="BK241" s="99">
        <f>BK239</f>
        <v/>
      </c>
      <c r="BL241" s="99">
        <f>BL239</f>
        <v/>
      </c>
      <c r="BM241" s="95">
        <f>IFERROR(IF($C241="","",IF($P$15="Cascade",$R241*(1-BL241)*BK241,IF($P$15="Additionnelle",($N241-($N241*($P241+BL241)))*BK241))),"Non Trouvé")</f>
        <v/>
      </c>
      <c r="BP241" s="99">
        <f>BP239</f>
        <v/>
      </c>
      <c r="BQ241" s="99">
        <f>BQ239</f>
        <v/>
      </c>
      <c r="BR241" s="95">
        <f>IFERROR(IF($C241="","",IF($P$15="Cascade",$R241*(1-BQ241)*BP241,IF($P$15="Additionnelle",($N241-($N241*($P241+BQ241)))*BP241))),"Non Trouvé")</f>
        <v/>
      </c>
      <c r="BU241" s="99">
        <f>BU239</f>
        <v/>
      </c>
      <c r="BV241" s="99">
        <f>BV239</f>
        <v/>
      </c>
      <c r="BW241" s="95">
        <f>IFERROR(IF($C241="","",IF($P$15="Cascade",$R241*(1-BV241)*BU241,IF($P$15="Additionnelle",($N241-($N241*($P241+BV241)))*BU241))),"Non Trouvé")</f>
        <v/>
      </c>
      <c r="BZ241" s="99">
        <f>BZ239</f>
        <v/>
      </c>
      <c r="CA241" s="99">
        <f>CA239</f>
        <v/>
      </c>
      <c r="CB241" s="95">
        <f>IFERROR(IF($C241="","",IF($P$15="Cascade",$R241*(1-CA241)*BZ241,IF($P$15="Additionnelle",($N241-($N241*($P241+CA241)))*BZ241))),"Non Trouvé")</f>
        <v/>
      </c>
      <c r="CE241" s="100" t="n"/>
      <c r="CF241" s="101" t="n"/>
      <c r="CG241" s="133" t="inlineStr">
        <is>
          <t>Institut</t>
        </is>
      </c>
      <c r="CH241" s="101" t="n"/>
      <c r="CI241" s="103" t="n"/>
      <c r="CK241" s="104">
        <f>IFERROR(IF(F241='[1]Paramètres Généraux'!$K$12,ROUNDUP((REGENERANTS!H241*REGENERANTS!$CF$221)*'[1]Paramètres Généraux'!$M$12,-1),REGENERANTS!H241*REGENERANTS!$CF$221),"nd")</f>
        <v/>
      </c>
      <c r="CN241" s="105" t="n"/>
      <c r="CO241" s="106" t="n"/>
      <c r="CP241" s="106" t="n"/>
      <c r="CQ241" s="106" t="n"/>
      <c r="CR241" s="106" t="n"/>
      <c r="CS241" s="178" t="n"/>
      <c r="CT241" s="179" t="n"/>
      <c r="CU241" s="106" t="n"/>
      <c r="CV241" s="178" t="n"/>
      <c r="CW241" s="111" t="n"/>
      <c r="CX241" s="112" t="n"/>
      <c r="CY241" s="111" t="n"/>
      <c r="CZ241" s="109" t="n"/>
      <c r="DA241" s="112" t="n"/>
      <c r="DB241" s="111" t="n"/>
      <c r="DC241" s="109" t="n"/>
      <c r="DD241" s="112" t="n"/>
      <c r="DE241" s="111" t="n"/>
      <c r="DF241" s="109" t="n"/>
      <c r="DG241" s="109" t="n"/>
      <c r="DH241" s="109" t="n"/>
      <c r="DI241" s="109" t="n"/>
      <c r="DJ241" s="109" t="n"/>
      <c r="DK241" s="109" t="n"/>
      <c r="DL241" s="109" t="n"/>
      <c r="DM241" s="109" t="n"/>
      <c r="DN241" s="109" t="n"/>
      <c r="DO241" s="112" t="n"/>
      <c r="DP241" s="111" t="n"/>
      <c r="DQ241" s="20">
        <f>SUM(CN241:DP241)</f>
        <v/>
      </c>
      <c r="DR241" s="20">
        <f>SUM(CV241:DP241)</f>
        <v/>
      </c>
      <c r="DS241" s="20">
        <f>IFERROR((IF(AND($F241="Produit Vente",CO241&gt;0),VLOOKUP($C241,'[1]Paramètres Articles'!$B:$H,7,FALSE)*$CO241)*(1-20%)),0)</f>
        <v/>
      </c>
      <c r="DT241" s="20">
        <f>IFERROR((IF(AND($F241="Produit Vente",DR241&gt;0),VLOOKUP($C241,'[1]Paramètres Articles'!$B:$H,6,FALSE)*$DR241)*(1-15%)),0)</f>
        <v/>
      </c>
    </row>
    <row r="242" hidden="1" outlineLevel="1" collapsed="1" ht="12.95" customHeight="1">
      <c r="B242" s="1">
        <f>IF(C242="",0,COUNTIFS($B$22:B241,"&gt;"&amp;0)+1)</f>
        <v/>
      </c>
      <c r="C242" s="90" t="inlineStr">
        <is>
          <t>SR REGE INSTITUT</t>
        </is>
      </c>
      <c r="D242" s="91">
        <f>IFERROR(IF($C242="","",VLOOKUP($C242,'[1]Paramètres Articles'!$B:$G,2,FALSE)),"Non Trouvé")</f>
        <v/>
      </c>
      <c r="E242" s="92">
        <f>IFERROR(IF($C242="","",_xlfn.XLOOKUP(REGENERANTS!$C242,'[1]New Base PA'!$F:$F,'[1]New Base PA'!$D:$D,"Not Found",0)),"Non Trouvé")</f>
        <v/>
      </c>
      <c r="F242" s="93" t="inlineStr">
        <is>
          <t>PLV (PDC ou autre)</t>
        </is>
      </c>
      <c r="H242" s="106" t="n">
        <v>0</v>
      </c>
      <c r="J242" s="95">
        <f>IFERROR(IF($C242="","",VLOOKUP($C242,'[1]New Base PA'!$F:$J,5,FALSE)),"Non Trouvé")</f>
        <v/>
      </c>
      <c r="K242" s="136">
        <f>IFERROR(IF($C242="","",$J242*$H242),"Non Trouvé")</f>
        <v/>
      </c>
      <c r="L242" s="137" t="n"/>
      <c r="M242" s="95">
        <f>IFERROR(IF(AND($F242="Produit Vente",H242&gt;0),VLOOKUP($C242,'[1]Paramètres Articles'!$B:$G,6,FALSE),0),"Non Trouvé")</f>
        <v/>
      </c>
      <c r="N242" s="95">
        <f>IFERROR(IF($C242="","",$M242*$H242),"Non Trouvé")</f>
        <v/>
      </c>
      <c r="P242" s="97" t="n"/>
      <c r="R242" s="95">
        <f>IFERROR(IF($C242="","",$N242*(1-$P242)),"Non Trouvé")</f>
        <v/>
      </c>
      <c r="S242" s="96" t="n"/>
      <c r="T242" s="95">
        <f>IFERROR(IF($C242="","",VLOOKUP($C242,'[1]Paramètres Articles'!$B:$H,7,FALSE)),"Non Trouvé")</f>
        <v/>
      </c>
      <c r="U242" s="98" t="n"/>
      <c r="V242" s="95">
        <f>IFERROR(IF($C242="","",IF($P242="","",$T242*(1-$P242))),"Non Trouvé")</f>
        <v/>
      </c>
      <c r="W242" s="96" t="n"/>
      <c r="X242" s="95">
        <f>IFERROR(T242-V242,"")</f>
        <v/>
      </c>
      <c r="Y242" s="96" t="n"/>
      <c r="Z242" s="95">
        <f>IFERROR(IF(OR(T242=0,T242=""),0,T242*H242),"Non Trouvé")</f>
        <v/>
      </c>
      <c r="AB242" s="99">
        <f>AB241</f>
        <v/>
      </c>
      <c r="AC242" s="99">
        <f>AC241</f>
        <v/>
      </c>
      <c r="AD242" s="95">
        <f>IFERROR(IF($C242="","",IF($P$15="Cascade",$R242*(1-AC242)*AB242,IF($P$15="Additionnelle",($N242-($N242*($P242+AC242)))*AB242))),"Non Trouvé")</f>
        <v/>
      </c>
      <c r="AG242" s="99">
        <f>AG241</f>
        <v/>
      </c>
      <c r="AH242" s="99">
        <f>AH241</f>
        <v/>
      </c>
      <c r="AI242" s="95">
        <f>IFERROR(IF($C242="","",IF($P$15="Cascade",$R242*(1-AH242)*AG242,IF($P$15="Additionnelle",($N242-($N242*($P242+AH242)))*AG242))),"Non Trouvé")</f>
        <v/>
      </c>
      <c r="AL242" s="99">
        <f>AL241</f>
        <v/>
      </c>
      <c r="AM242" s="99">
        <f>AM241</f>
        <v/>
      </c>
      <c r="AN242" s="95">
        <f>IFERROR(IF($C242="","",IF($P$15="Cascade",$R242*(1-AM242)*AL242,IF($P$15="Additionnelle",($N242-($N242*($P242+AM242)))*AL242))),"Non Trouvé")</f>
        <v/>
      </c>
      <c r="AQ242" s="99">
        <f>AQ241</f>
        <v/>
      </c>
      <c r="AR242" s="99">
        <f>AR241</f>
        <v/>
      </c>
      <c r="AS242" s="95">
        <f>IFERROR(IF($C242="","",IF($P$15="Cascade",$R242*(1-AR242)*AQ242,IF($P$15="Additionnelle",($N242-($N242*($P242+AR242)))*AQ242))),"Non Trouvé")</f>
        <v/>
      </c>
      <c r="AV242" s="99">
        <f>AV241</f>
        <v/>
      </c>
      <c r="AW242" s="99">
        <f>AW241</f>
        <v/>
      </c>
      <c r="AX242" s="95">
        <f>IFERROR(IF($C242="","",IF($P$15="Cascade",$R242*(1-AW242)*AV242,IF($P$15="Additionnelle",($N242-($N242*($P242+AW242)))*AV242))),"Non Trouvé")</f>
        <v/>
      </c>
      <c r="BA242" s="99">
        <f>BA241</f>
        <v/>
      </c>
      <c r="BB242" s="99">
        <f>BB241</f>
        <v/>
      </c>
      <c r="BC242" s="95">
        <f>IFERROR(IF($C242="","",IF($P$15="Cascade",$R242*(1-BB242)*BA242,IF($P$15="Additionnelle",($N242-($N242*($P242+BB242)))*BA242))),"Non Trouvé")</f>
        <v/>
      </c>
      <c r="BF242" s="99">
        <f>BF241</f>
        <v/>
      </c>
      <c r="BG242" s="99">
        <f>BG241</f>
        <v/>
      </c>
      <c r="BH242" s="95">
        <f>IFERROR(IF($C242="","",IF($P$15="Cascade",$R242*(1-BG242)*BF242,IF($P$15="Additionnelle",($N242-($N242*($P242+BG242)))*BF242))),"Non Trouvé")</f>
        <v/>
      </c>
      <c r="BK242" s="99">
        <f>BK241</f>
        <v/>
      </c>
      <c r="BL242" s="99">
        <f>BL241</f>
        <v/>
      </c>
      <c r="BM242" s="95">
        <f>IFERROR(IF($C242="","",IF($P$15="Cascade",$R242*(1-BL242)*BK242,IF($P$15="Additionnelle",($N242-($N242*($P242+BL242)))*BK242))),"Non Trouvé")</f>
        <v/>
      </c>
      <c r="BP242" s="99">
        <f>BP241</f>
        <v/>
      </c>
      <c r="BQ242" s="99">
        <f>BQ241</f>
        <v/>
      </c>
      <c r="BR242" s="95">
        <f>IFERROR(IF($C242="","",IF($P$15="Cascade",$R242*(1-BQ242)*BP242,IF($P$15="Additionnelle",($N242-($N242*($P242+BQ242)))*BP242))),"Non Trouvé")</f>
        <v/>
      </c>
      <c r="BU242" s="99">
        <f>BU241</f>
        <v/>
      </c>
      <c r="BV242" s="99">
        <f>BV241</f>
        <v/>
      </c>
      <c r="BW242" s="95">
        <f>IFERROR(IF($C242="","",IF($P$15="Cascade",$R242*(1-BV242)*BU242,IF($P$15="Additionnelle",($N242-($N242*($P242+BV242)))*BU242))),"Non Trouvé")</f>
        <v/>
      </c>
      <c r="BZ242" s="99">
        <f>BZ241</f>
        <v/>
      </c>
      <c r="CA242" s="99">
        <f>CA241</f>
        <v/>
      </c>
      <c r="CB242" s="95">
        <f>IFERROR(IF($C242="","",IF($P$15="Cascade",$R242*(1-CA242)*BZ242,IF($P$15="Additionnelle",($N242-($N242*($P242+CA242)))*BZ242))),"Non Trouvé")</f>
        <v/>
      </c>
      <c r="CE242" s="100" t="n"/>
      <c r="CF242" s="101" t="n"/>
      <c r="CG242" s="102" t="inlineStr">
        <is>
          <t>Nbrs Offres planifiées</t>
        </is>
      </c>
      <c r="CH242" s="138">
        <f>SUMIFS($AV221:$BX221,$AV218:$BX218,CG242)</f>
        <v/>
      </c>
      <c r="CI242" s="103" t="n"/>
      <c r="CK242" s="104">
        <f>IFERROR(IF(F242='[1]Paramètres Généraux'!$K$12,ROUNDUP((REGENERANTS!H242*REGENERANTS!$CF$221)*'[1]Paramètres Généraux'!$M$12,-1),REGENERANTS!H242*REGENERANTS!$CF$221),"nd")</f>
        <v/>
      </c>
      <c r="CN242" s="153" t="n"/>
      <c r="CO242" s="154" t="n"/>
      <c r="CP242" s="154" t="n"/>
      <c r="CQ242" s="154" t="n"/>
      <c r="CR242" s="154" t="n"/>
      <c r="CS242" s="180" t="n"/>
      <c r="CT242" s="181" t="n"/>
      <c r="CU242" s="154" t="n"/>
      <c r="CV242" s="180" t="n"/>
      <c r="CW242" s="157" t="n"/>
      <c r="CX242" s="156" t="n"/>
      <c r="CY242" s="157" t="n"/>
      <c r="CZ242" s="143" t="n"/>
      <c r="DA242" s="156" t="n"/>
      <c r="DB242" s="157" t="n"/>
      <c r="DC242" s="143" t="n"/>
      <c r="DD242" s="156" t="n"/>
      <c r="DE242" s="157" t="n"/>
      <c r="DF242" s="143" t="n"/>
      <c r="DG242" s="143" t="n"/>
      <c r="DH242" s="143" t="n"/>
      <c r="DI242" s="143" t="n"/>
      <c r="DJ242" s="143" t="n"/>
      <c r="DK242" s="143" t="n"/>
      <c r="DL242" s="143" t="n"/>
      <c r="DM242" s="143" t="n"/>
      <c r="DN242" s="143" t="n"/>
      <c r="DO242" s="156" t="n"/>
      <c r="DP242" s="157" t="n"/>
      <c r="DQ242" s="20">
        <f>SUM(CN242:DP242)</f>
        <v/>
      </c>
      <c r="DR242" s="20">
        <f>SUM(CV242:DP242)</f>
        <v/>
      </c>
      <c r="DS242" s="20">
        <f>IFERROR((IF(AND($F242="Produit Vente",CO242&gt;0),VLOOKUP($C242,'[1]Paramètres Articles'!$B:$H,7,FALSE)*$CO242)*(1-20%)),0)</f>
        <v/>
      </c>
      <c r="DT242" s="20">
        <f>IFERROR((IF(AND($F242="Produit Vente",DR242&gt;0),VLOOKUP($C242,'[1]Paramètres Articles'!$B:$H,6,FALSE)*$DR242)*(1-15%)),0)</f>
        <v/>
      </c>
    </row>
    <row r="243" hidden="1" outlineLevel="1" collapsed="1" ht="12.95" customHeight="1">
      <c r="B243" s="1">
        <f>IF(C243="",0,COUNTIFS($B$22:B242,"&gt;"&amp;0)+1)</f>
        <v/>
      </c>
      <c r="C243" s="90" t="n">
        <v>1010116</v>
      </c>
      <c r="D243" s="91">
        <f>IFERROR(IF($C243="","",VLOOKUP($C243,'[1]Paramètres Articles'!$B:$G,2,FALSE)),"Non Trouvé")</f>
        <v/>
      </c>
      <c r="E243" s="92">
        <f>IFERROR(IF($C243="","",_xlfn.XLOOKUP(REGENERANTS!$C243,'[1]New Base PA'!$F:$F,'[1]New Base PA'!$D:$D,"Not Found",0)),"Non Trouvé")</f>
        <v/>
      </c>
      <c r="F243" s="93" t="inlineStr">
        <is>
          <t>UG</t>
        </is>
      </c>
      <c r="H243" s="106" t="n">
        <v>12</v>
      </c>
      <c r="J243" s="95">
        <f>IFERROR(IF($C243="","",VLOOKUP($C243,'[1]New Base PA'!$F:$J,5,FALSE)),"Non Trouvé")</f>
        <v/>
      </c>
      <c r="K243" s="136">
        <f>IFERROR(IF($C243="","",$J243*$H243),"Non Trouvé")</f>
        <v/>
      </c>
      <c r="L243" s="137" t="n"/>
      <c r="M243" s="95">
        <f>IFERROR(IF(AND($F243="Produit Vente",H243&gt;0),VLOOKUP($C243,'[1]Paramètres Articles'!$B:$G,6,FALSE),0),"Non Trouvé")</f>
        <v/>
      </c>
      <c r="N243" s="95">
        <f>IFERROR(IF($C243="","",$M243*$H243),"Non Trouvé")</f>
        <v/>
      </c>
      <c r="P243" s="97" t="n"/>
      <c r="R243" s="95">
        <f>IFERROR(IF($C243="","",$N243*(1-$P243)),"Non Trouvé")</f>
        <v/>
      </c>
      <c r="S243" s="96" t="n"/>
      <c r="T243" s="95">
        <f>IFERROR(IF($C243="","",VLOOKUP($C243,'[1]Paramètres Articles'!$B:$H,7,FALSE)),"Non Trouvé")</f>
        <v/>
      </c>
      <c r="U243" s="98" t="n"/>
      <c r="V243" s="95">
        <f>IFERROR(IF($C243="","",IF($P243="","",$T243*(1-$P243))),"Non Trouvé")</f>
        <v/>
      </c>
      <c r="W243" s="96" t="n"/>
      <c r="X243" s="95">
        <f>IFERROR(T243-V243,"")</f>
        <v/>
      </c>
      <c r="Y243" s="96" t="n"/>
      <c r="Z243" s="95">
        <f>IFERROR(IF(OR(T243=0,T243=""),0,T243*H243),"Non Trouvé")</f>
        <v/>
      </c>
      <c r="AB243" s="99">
        <f>AB241</f>
        <v/>
      </c>
      <c r="AC243" s="99">
        <f>AC241</f>
        <v/>
      </c>
      <c r="AD243" s="95">
        <f>IFERROR(IF($C243="","",IF($P$15="Cascade",$R243*(1-AC243)*AB243,IF($P$15="Additionnelle",($N243-($N243*($P243+AC243)))*AB243))),"Non Trouvé")</f>
        <v/>
      </c>
      <c r="AG243" s="99">
        <f>AG241</f>
        <v/>
      </c>
      <c r="AH243" s="99">
        <f>AH241</f>
        <v/>
      </c>
      <c r="AI243" s="95">
        <f>IFERROR(IF($C243="","",IF($P$15="Cascade",$R243*(1-AH243)*AG243,IF($P$15="Additionnelle",($N243-($N243*($P243+AH243)))*AG243))),"Non Trouvé")</f>
        <v/>
      </c>
      <c r="AL243" s="99">
        <f>AL241</f>
        <v/>
      </c>
      <c r="AM243" s="99">
        <f>AM241</f>
        <v/>
      </c>
      <c r="AN243" s="95">
        <f>IFERROR(IF($C243="","",IF($P$15="Cascade",$R243*(1-AM243)*AL243,IF($P$15="Additionnelle",($N243-($N243*($P243+AM243)))*AL243))),"Non Trouvé")</f>
        <v/>
      </c>
      <c r="AQ243" s="99">
        <f>AQ241</f>
        <v/>
      </c>
      <c r="AR243" s="99">
        <f>AR241</f>
        <v/>
      </c>
      <c r="AS243" s="95">
        <f>IFERROR(IF($C243="","",IF($P$15="Cascade",$R243*(1-AR243)*AQ243,IF($P$15="Additionnelle",($N243-($N243*($P243+AR243)))*AQ243))),"Non Trouvé")</f>
        <v/>
      </c>
      <c r="AV243" s="99">
        <f>AV241</f>
        <v/>
      </c>
      <c r="AW243" s="99">
        <f>AW241</f>
        <v/>
      </c>
      <c r="AX243" s="95">
        <f>IFERROR(IF($C243="","",IF($P$15="Cascade",$R243*(1-AW243)*AV243,IF($P$15="Additionnelle",($N243-($N243*($P243+AW243)))*AV243))),"Non Trouvé")</f>
        <v/>
      </c>
      <c r="BA243" s="99">
        <f>BA241</f>
        <v/>
      </c>
      <c r="BB243" s="99">
        <f>BB241</f>
        <v/>
      </c>
      <c r="BC243" s="95">
        <f>IFERROR(IF($C243="","",IF($P$15="Cascade",$R243*(1-BB243)*BA243,IF($P$15="Additionnelle",($N243-($N243*($P243+BB243)))*BA243))),"Non Trouvé")</f>
        <v/>
      </c>
      <c r="BF243" s="99">
        <f>BF241</f>
        <v/>
      </c>
      <c r="BG243" s="99">
        <f>BG241</f>
        <v/>
      </c>
      <c r="BH243" s="95">
        <f>IFERROR(IF($C243="","",IF($P$15="Cascade",$R243*(1-BG243)*BF243,IF($P$15="Additionnelle",($N243-($N243*($P243+BG243)))*BF243))),"Non Trouvé")</f>
        <v/>
      </c>
      <c r="BK243" s="99">
        <f>BK241</f>
        <v/>
      </c>
      <c r="BL243" s="99">
        <f>BL241</f>
        <v/>
      </c>
      <c r="BM243" s="95">
        <f>IFERROR(IF($C243="","",IF($P$15="Cascade",$R243*(1-BL243)*BK243,IF($P$15="Additionnelle",($N243-($N243*($P243+BL243)))*BK243))),"Non Trouvé")</f>
        <v/>
      </c>
      <c r="BP243" s="99">
        <f>BP241</f>
        <v/>
      </c>
      <c r="BQ243" s="99">
        <f>BQ241</f>
        <v/>
      </c>
      <c r="BR243" s="95">
        <f>IFERROR(IF($C243="","",IF($P$15="Cascade",$R243*(1-BQ243)*BP243,IF($P$15="Additionnelle",($N243-($N243*($P243+BQ243)))*BP243))),"Non Trouvé")</f>
        <v/>
      </c>
      <c r="BU243" s="99">
        <f>BU241</f>
        <v/>
      </c>
      <c r="BV243" s="99">
        <f>BV241</f>
        <v/>
      </c>
      <c r="BW243" s="95">
        <f>IFERROR(IF($C243="","",IF($P$15="Cascade",$R243*(1-BV243)*BU243,IF($P$15="Additionnelle",($N243-($N243*($P243+BV243)))*BU243))),"Non Trouvé")</f>
        <v/>
      </c>
      <c r="BZ243" s="99">
        <f>BZ241</f>
        <v/>
      </c>
      <c r="CA243" s="99">
        <f>CA241</f>
        <v/>
      </c>
      <c r="CB243" s="95">
        <f>IFERROR(IF($C243="","",IF($P$15="Cascade",$R243*(1-CA243)*BZ243,IF($P$15="Additionnelle",($N243-($N243*($P243+CA243)))*BZ243))),"Non Trouvé")</f>
        <v/>
      </c>
      <c r="CE243" s="100" t="n"/>
      <c r="CF243" s="101" t="n"/>
      <c r="CG243" s="102" t="inlineStr">
        <is>
          <t>CA</t>
        </is>
      </c>
      <c r="CH243" s="139">
        <f>SUMIFS($AV221:$BX221,$AV218:$BX218,CG243)</f>
        <v/>
      </c>
      <c r="CI243" s="103" t="n"/>
      <c r="CK243" s="104">
        <f>IFERROR(IF(F243='[1]Paramètres Généraux'!$K$12,ROUNDUP((REGENERANTS!H243*REGENERANTS!$CF$221)*'[1]Paramètres Généraux'!$M$12,-1),REGENERANTS!H243*REGENERANTS!$CF$221),"nd")</f>
        <v/>
      </c>
      <c r="CN243" s="153" t="n"/>
      <c r="CO243" s="154" t="n"/>
      <c r="CP243" s="154" t="n"/>
      <c r="CQ243" s="154" t="n"/>
      <c r="CR243" s="154" t="n"/>
      <c r="CS243" s="180" t="n"/>
      <c r="CT243" s="181" t="n"/>
      <c r="CU243" s="154" t="n"/>
      <c r="CV243" s="180" t="n"/>
      <c r="CW243" s="157" t="n"/>
      <c r="CX243" s="156" t="n"/>
      <c r="CY243" s="157" t="n"/>
      <c r="CZ243" s="143" t="n"/>
      <c r="DA243" s="156" t="n"/>
      <c r="DB243" s="157" t="n"/>
      <c r="DC243" s="143" t="n"/>
      <c r="DD243" s="156" t="n"/>
      <c r="DE243" s="157" t="n"/>
      <c r="DF243" s="143" t="n"/>
      <c r="DG243" s="143" t="n"/>
      <c r="DH243" s="143" t="n"/>
      <c r="DI243" s="143" t="n"/>
      <c r="DJ243" s="143" t="n"/>
      <c r="DK243" s="143" t="n"/>
      <c r="DL243" s="143" t="n"/>
      <c r="DM243" s="143" t="n"/>
      <c r="DN243" s="143" t="n"/>
      <c r="DO243" s="156" t="n"/>
      <c r="DP243" s="157" t="n"/>
      <c r="DQ243" s="20">
        <f>SUM(CN243:DP243)</f>
        <v/>
      </c>
      <c r="DR243" s="20">
        <f>SUM(CV243:DP243)</f>
        <v/>
      </c>
      <c r="DS243" s="20">
        <f>IFERROR((IF(AND($F243="Produit Vente",CO243&gt;0),VLOOKUP($C243,'[1]Paramètres Articles'!$B:$H,7,FALSE)*$CO243)*(1-20%)),0)</f>
        <v/>
      </c>
      <c r="DT243" s="20">
        <f>IFERROR((IF(AND($F243="Produit Vente",DR243&gt;0),VLOOKUP($C243,'[1]Paramètres Articles'!$B:$H,6,FALSE)*$DR243)*(1-15%)),0)</f>
        <v/>
      </c>
    </row>
    <row r="244" hidden="1" outlineLevel="1" collapsed="1" ht="12.95" customHeight="1">
      <c r="B244" s="1">
        <f>IF(C244="",0,COUNTIFS($B$22:B243,"&gt;"&amp;0)+1)</f>
        <v/>
      </c>
      <c r="C244" s="90" t="n"/>
      <c r="D244" s="91">
        <f>IFERROR(IF($C244="","",VLOOKUP($C244,'[1]Paramètres Articles'!$B:$G,2,FALSE)),"Non Trouvé")</f>
        <v/>
      </c>
      <c r="E244" s="92">
        <f>IFERROR(IF($C244="","",_xlfn.XLOOKUP(REGENERANTS!$C244,'[1]New Base PA'!$F:$F,'[1]New Base PA'!$D:$D,"Not Found",0)),"Non Trouvé")</f>
        <v/>
      </c>
      <c r="F244" s="93" t="n"/>
      <c r="H244" s="106" t="n"/>
      <c r="J244" s="95">
        <f>IFERROR(IF($C244="","",VLOOKUP($C244,'[1]New Base PA'!$F:$J,5,FALSE)),"Non Trouvé")</f>
        <v/>
      </c>
      <c r="K244" s="136">
        <f>IFERROR(IF($C244="","",$J244*$H244),"Non Trouvé")</f>
        <v/>
      </c>
      <c r="L244" s="137" t="n"/>
      <c r="M244" s="95">
        <f>IFERROR(IF(AND($F244="Produit Vente",H244&gt;0),VLOOKUP($C244,'[1]Paramètres Articles'!$B:$G,6,FALSE),0),"Non Trouvé")</f>
        <v/>
      </c>
      <c r="N244" s="95">
        <f>IFERROR(IF($C244="","",$M244*$H244),"Non Trouvé")</f>
        <v/>
      </c>
      <c r="P244" s="97" t="n"/>
      <c r="R244" s="95">
        <f>IFERROR(IF($C244="","",$N244*(1-$P244)),"Non Trouvé")</f>
        <v/>
      </c>
      <c r="S244" s="96" t="n"/>
      <c r="T244" s="95">
        <f>IFERROR(IF($C244="","",VLOOKUP($C244,'[1]Paramètres Articles'!$B:$H,7,FALSE)),"Non Trouvé")</f>
        <v/>
      </c>
      <c r="U244" s="98" t="n"/>
      <c r="V244" s="95">
        <f>IFERROR(IF($C244="","",IF($P244="","",$T244*(1-$P244))),"Non Trouvé")</f>
        <v/>
      </c>
      <c r="W244" s="96" t="n"/>
      <c r="X244" s="95">
        <f>IFERROR(T244-V244,"")</f>
        <v/>
      </c>
      <c r="Y244" s="96" t="n"/>
      <c r="Z244" s="95">
        <f>IFERROR(IF(OR(T244=0,T244=""),0,T244*H244),"Non Trouvé")</f>
        <v/>
      </c>
      <c r="AB244" s="99">
        <f>AB243</f>
        <v/>
      </c>
      <c r="AC244" s="99">
        <f>AC243</f>
        <v/>
      </c>
      <c r="AD244" s="95">
        <f>IFERROR(IF($C244="","",IF($P$15="Cascade",$R244*(1-AC244)*AB244,IF($P$15="Additionnelle",($N244-($N244*($P244+AC244)))*AB244))),"Non Trouvé")</f>
        <v/>
      </c>
      <c r="AG244" s="99">
        <f>AG243</f>
        <v/>
      </c>
      <c r="AH244" s="99">
        <f>AH243</f>
        <v/>
      </c>
      <c r="AI244" s="95">
        <f>IFERROR(IF($C244="","",IF($P$15="Cascade",$R244*(1-AH244)*AG244,IF($P$15="Additionnelle",($N244-($N244*($P244+AH244)))*AG244))),"Non Trouvé")</f>
        <v/>
      </c>
      <c r="AL244" s="99">
        <f>AL243</f>
        <v/>
      </c>
      <c r="AM244" s="99">
        <f>AM243</f>
        <v/>
      </c>
      <c r="AN244" s="95">
        <f>IFERROR(IF($C244="","",IF($P$15="Cascade",$R244*(1-AM244)*AL244,IF($P$15="Additionnelle",($N244-($N244*($P244+AM244)))*AL244))),"Non Trouvé")</f>
        <v/>
      </c>
      <c r="AQ244" s="99">
        <f>AQ243</f>
        <v/>
      </c>
      <c r="AR244" s="99">
        <f>AR243</f>
        <v/>
      </c>
      <c r="AS244" s="95">
        <f>IFERROR(IF($C244="","",IF($P$15="Cascade",$R244*(1-AR244)*AQ244,IF($P$15="Additionnelle",($N244-($N244*($P244+AR244)))*AQ244))),"Non Trouvé")</f>
        <v/>
      </c>
      <c r="AV244" s="99">
        <f>AV243</f>
        <v/>
      </c>
      <c r="AW244" s="99">
        <f>AW243</f>
        <v/>
      </c>
      <c r="AX244" s="95">
        <f>IFERROR(IF($C244="","",IF($P$15="Cascade",$R244*(1-AW244)*AV244,IF($P$15="Additionnelle",($N244-($N244*($P244+AW244)))*AV244))),"Non Trouvé")</f>
        <v/>
      </c>
      <c r="BA244" s="99">
        <f>BA243</f>
        <v/>
      </c>
      <c r="BB244" s="99">
        <f>BB243</f>
        <v/>
      </c>
      <c r="BC244" s="95">
        <f>IFERROR(IF($C244="","",IF($P$15="Cascade",$R244*(1-BB244)*BA244,IF($P$15="Additionnelle",($N244-($N244*($P244+BB244)))*BA244))),"Non Trouvé")</f>
        <v/>
      </c>
      <c r="BF244" s="99">
        <f>BF243</f>
        <v/>
      </c>
      <c r="BG244" s="99">
        <f>BG243</f>
        <v/>
      </c>
      <c r="BH244" s="95">
        <f>IFERROR(IF($C244="","",IF($P$15="Cascade",$R244*(1-BG244)*BF244,IF($P$15="Additionnelle",($N244-($N244*($P244+BG244)))*BF244))),"Non Trouvé")</f>
        <v/>
      </c>
      <c r="BK244" s="99">
        <f>BK243</f>
        <v/>
      </c>
      <c r="BL244" s="99">
        <f>BL243</f>
        <v/>
      </c>
      <c r="BM244" s="95">
        <f>IFERROR(IF($C244="","",IF($P$15="Cascade",$R244*(1-BL244)*BK244,IF($P$15="Additionnelle",($N244-($N244*($P244+BL244)))*BK244))),"Non Trouvé")</f>
        <v/>
      </c>
      <c r="BP244" s="99">
        <f>BP243</f>
        <v/>
      </c>
      <c r="BQ244" s="99">
        <f>BQ243</f>
        <v/>
      </c>
      <c r="BR244" s="95">
        <f>IFERROR(IF($C244="","",IF($P$15="Cascade",$R244*(1-BQ244)*BP244,IF($P$15="Additionnelle",($N244-($N244*($P244+BQ244)))*BP244))),"Non Trouvé")</f>
        <v/>
      </c>
      <c r="BU244" s="99">
        <f>BU243</f>
        <v/>
      </c>
      <c r="BV244" s="99">
        <f>BV243</f>
        <v/>
      </c>
      <c r="BW244" s="95">
        <f>IFERROR(IF($C244="","",IF($P$15="Cascade",$R244*(1-BV244)*BU244,IF($P$15="Additionnelle",($N244-($N244*($P244+BV244)))*BU244))),"Non Trouvé")</f>
        <v/>
      </c>
      <c r="BZ244" s="99">
        <f>BZ243</f>
        <v/>
      </c>
      <c r="CA244" s="99">
        <f>CA243</f>
        <v/>
      </c>
      <c r="CB244" s="95">
        <f>IFERROR(IF($C244="","",IF($P$15="Cascade",$R244*(1-CA244)*BZ244,IF($P$15="Additionnelle",($N244-($N244*($P244+CA244)))*BZ244))),"Non Trouvé")</f>
        <v/>
      </c>
      <c r="CE244" s="100" t="n"/>
      <c r="CF244" s="101" t="n"/>
      <c r="CG244" s="102" t="inlineStr">
        <is>
          <t>Marges</t>
        </is>
      </c>
      <c r="CH244" s="142">
        <f>IFERROR((CH243-$K221*CH242)/CH243,"Non Trouvé")</f>
        <v/>
      </c>
      <c r="CI244" s="103" t="n"/>
      <c r="CK244" s="104">
        <f>IFERROR(IF(F244='[1]Paramètres Généraux'!$K$12,ROUNDUP((REGENERANTS!H244*REGENERANTS!$CF$221)*'[1]Paramètres Généraux'!$M$12,-1),REGENERANTS!H244*REGENERANTS!$CF$221),"nd")</f>
        <v/>
      </c>
      <c r="CN244" s="153" t="n"/>
      <c r="CO244" s="154" t="n"/>
      <c r="CP244" s="154" t="n"/>
      <c r="CQ244" s="154" t="n"/>
      <c r="CR244" s="154" t="n"/>
      <c r="CS244" s="180" t="n"/>
      <c r="CT244" s="181" t="n"/>
      <c r="CU244" s="154" t="n"/>
      <c r="CV244" s="180" t="n"/>
      <c r="CW244" s="157" t="n"/>
      <c r="CX244" s="156" t="n"/>
      <c r="CY244" s="157" t="n"/>
      <c r="CZ244" s="143" t="n"/>
      <c r="DA244" s="156" t="n"/>
      <c r="DB244" s="157" t="n"/>
      <c r="DC244" s="143" t="n"/>
      <c r="DD244" s="156" t="n"/>
      <c r="DE244" s="157" t="n"/>
      <c r="DF244" s="143" t="n"/>
      <c r="DG244" s="143" t="n"/>
      <c r="DH244" s="143" t="n"/>
      <c r="DI244" s="143" t="n"/>
      <c r="DJ244" s="143" t="n"/>
      <c r="DK244" s="143" t="n"/>
      <c r="DL244" s="143" t="n"/>
      <c r="DM244" s="143" t="n"/>
      <c r="DN244" s="143" t="n"/>
      <c r="DO244" s="156" t="n"/>
      <c r="DP244" s="157" t="n"/>
      <c r="DQ244" s="20">
        <f>SUM(CN244:DP244)</f>
        <v/>
      </c>
      <c r="DR244" s="20">
        <f>SUM(CV244:DP244)</f>
        <v/>
      </c>
      <c r="DS244" s="20">
        <f>IFERROR((IF(AND($F244="Produit Vente",CO244&gt;0),VLOOKUP($C244,'[1]Paramètres Articles'!$B:$H,7,FALSE)*$CO244)*(1-20%)),0)</f>
        <v/>
      </c>
      <c r="DT244" s="20">
        <f>IFERROR((IF(AND($F244="Produit Vente",DR244&gt;0),VLOOKUP($C244,'[1]Paramètres Articles'!$B:$H,6,FALSE)*$DR244)*(1-15%)),0)</f>
        <v/>
      </c>
    </row>
    <row r="245" hidden="1" outlineLevel="1" collapsed="1" ht="12.95" customHeight="1">
      <c r="B245" s="1">
        <f>IF(C245="",0,COUNTIFS($B$22:B244,"&gt;"&amp;0)+1)</f>
        <v/>
      </c>
      <c r="C245" s="90" t="n"/>
      <c r="D245" s="91">
        <f>IFERROR(IF($C245="","",VLOOKUP($C245,'[1]Paramètres Articles'!$B:$G,2,FALSE)),"Non Trouvé")</f>
        <v/>
      </c>
      <c r="E245" s="92">
        <f>IFERROR(IF($C245="","",_xlfn.XLOOKUP(REGENERANTS!$C245,'[1]New Base PA'!$F:$F,'[1]New Base PA'!$D:$D,"Not Found",0)),"Non Trouvé")</f>
        <v/>
      </c>
      <c r="F245" s="93" t="n"/>
      <c r="H245" s="106" t="n"/>
      <c r="J245" s="95">
        <f>IFERROR(IF($C245="","",VLOOKUP($C245,'[1]New Base PA'!$F:$J,5,FALSE)),"Non Trouvé")</f>
        <v/>
      </c>
      <c r="K245" s="136">
        <f>IFERROR(IF($C245="","",$J245*$H245),"Non Trouvé")</f>
        <v/>
      </c>
      <c r="L245" s="137" t="n"/>
      <c r="M245" s="95">
        <f>IFERROR(IF(AND($F245="Produit Vente",H245&gt;0),VLOOKUP($C245,'[1]Paramètres Articles'!$B:$G,6,FALSE),0),"Non Trouvé")</f>
        <v/>
      </c>
      <c r="N245" s="95">
        <f>IFERROR(IF($C245="","",$M245*$H245),"Non Trouvé")</f>
        <v/>
      </c>
      <c r="P245" s="97" t="n"/>
      <c r="R245" s="95">
        <f>IFERROR(IF($C245="","",$N245*(1-$P245)),"Non Trouvé")</f>
        <v/>
      </c>
      <c r="S245" s="96" t="n"/>
      <c r="T245" s="95">
        <f>IFERROR(IF($C245="","",VLOOKUP($C245,'[1]Paramètres Articles'!$B:$H,7,FALSE)),"Non Trouvé")</f>
        <v/>
      </c>
      <c r="U245" s="98" t="n"/>
      <c r="V245" s="95">
        <f>IFERROR(IF($C245="","",IF($P245="","",$T245*(1-$P245))),"Non Trouvé")</f>
        <v/>
      </c>
      <c r="W245" s="96" t="n"/>
      <c r="X245" s="95">
        <f>IFERROR(T245-V245,"")</f>
        <v/>
      </c>
      <c r="Y245" s="96" t="n"/>
      <c r="Z245" s="95">
        <f>IFERROR(IF(OR(T245=0,T245=""),0,T245*H245),"Non Trouvé")</f>
        <v/>
      </c>
      <c r="AB245" s="99">
        <f>AB243</f>
        <v/>
      </c>
      <c r="AC245" s="99">
        <f>AC243</f>
        <v/>
      </c>
      <c r="AD245" s="95">
        <f>IFERROR(IF($C245="","",IF($P$15="Cascade",$R245*(1-AC245)*AB245,IF($P$15="Additionnelle",($N245-($N245*($P245+AC245)))*AB245))),"Non Trouvé")</f>
        <v/>
      </c>
      <c r="AG245" s="99">
        <f>AG243</f>
        <v/>
      </c>
      <c r="AH245" s="99">
        <f>AH243</f>
        <v/>
      </c>
      <c r="AI245" s="95">
        <f>IFERROR(IF($C245="","",IF($P$15="Cascade",$R245*(1-AH245)*AG245,IF($P$15="Additionnelle",($N245-($N245*($P245+AH245)))*AG245))),"Non Trouvé")</f>
        <v/>
      </c>
      <c r="AL245" s="99">
        <f>AL243</f>
        <v/>
      </c>
      <c r="AM245" s="99">
        <f>AM243</f>
        <v/>
      </c>
      <c r="AN245" s="95">
        <f>IFERROR(IF($C245="","",IF($P$15="Cascade",$R245*(1-AM245)*AL245,IF($P$15="Additionnelle",($N245-($N245*($P245+AM245)))*AL245))),"Non Trouvé")</f>
        <v/>
      </c>
      <c r="AQ245" s="99">
        <f>AQ243</f>
        <v/>
      </c>
      <c r="AR245" s="99">
        <f>AR243</f>
        <v/>
      </c>
      <c r="AS245" s="95">
        <f>IFERROR(IF($C245="","",IF($P$15="Cascade",$R245*(1-AR245)*AQ245,IF($P$15="Additionnelle",($N245-($N245*($P245+AR245)))*AQ245))),"Non Trouvé")</f>
        <v/>
      </c>
      <c r="AV245" s="99">
        <f>AV243</f>
        <v/>
      </c>
      <c r="AW245" s="99">
        <f>AW243</f>
        <v/>
      </c>
      <c r="AX245" s="95">
        <f>IFERROR(IF($C245="","",IF($P$15="Cascade",$R245*(1-AW245)*AV245,IF($P$15="Additionnelle",($N245-($N245*($P245+AW245)))*AV245))),"Non Trouvé")</f>
        <v/>
      </c>
      <c r="BA245" s="99">
        <f>BA243</f>
        <v/>
      </c>
      <c r="BB245" s="99">
        <f>BB243</f>
        <v/>
      </c>
      <c r="BC245" s="95">
        <f>IFERROR(IF($C245="","",IF($P$15="Cascade",$R245*(1-BB245)*BA245,IF($P$15="Additionnelle",($N245-($N245*($P245+BB245)))*BA245))),"Non Trouvé")</f>
        <v/>
      </c>
      <c r="BF245" s="99">
        <f>BF243</f>
        <v/>
      </c>
      <c r="BG245" s="99">
        <f>BG243</f>
        <v/>
      </c>
      <c r="BH245" s="95">
        <f>IFERROR(IF($C245="","",IF($P$15="Cascade",$R245*(1-BG245)*BF245,IF($P$15="Additionnelle",($N245-($N245*($P245+BG245)))*BF245))),"Non Trouvé")</f>
        <v/>
      </c>
      <c r="BK245" s="99">
        <f>BK243</f>
        <v/>
      </c>
      <c r="BL245" s="99">
        <f>BL243</f>
        <v/>
      </c>
      <c r="BM245" s="95">
        <f>IFERROR(IF($C245="","",IF($P$15="Cascade",$R245*(1-BL245)*BK245,IF($P$15="Additionnelle",($N245-($N245*($P245+BL245)))*BK245))),"Non Trouvé")</f>
        <v/>
      </c>
      <c r="BP245" s="99">
        <f>BP243</f>
        <v/>
      </c>
      <c r="BQ245" s="99">
        <f>BQ243</f>
        <v/>
      </c>
      <c r="BR245" s="95">
        <f>IFERROR(IF($C245="","",IF($P$15="Cascade",$R245*(1-BQ245)*BP245,IF($P$15="Additionnelle",($N245-($N245*($P245+BQ245)))*BP245))),"Non Trouvé")</f>
        <v/>
      </c>
      <c r="BU245" s="99">
        <f>BU243</f>
        <v/>
      </c>
      <c r="BV245" s="99">
        <f>BV243</f>
        <v/>
      </c>
      <c r="BW245" s="95">
        <f>IFERROR(IF($C245="","",IF($P$15="Cascade",$R245*(1-BV245)*BU245,IF($P$15="Additionnelle",($N245-($N245*($P245+BV245)))*BU245))),"Non Trouvé")</f>
        <v/>
      </c>
      <c r="BZ245" s="99">
        <f>BZ243</f>
        <v/>
      </c>
      <c r="CA245" s="99">
        <f>CA243</f>
        <v/>
      </c>
      <c r="CB245" s="95">
        <f>IFERROR(IF($C245="","",IF($P$15="Cascade",$R245*(1-CA245)*BZ245,IF($P$15="Additionnelle",($N245-($N245*($P245+CA245)))*BZ245))),"Non Trouvé")</f>
        <v/>
      </c>
      <c r="CE245" s="100" t="n"/>
      <c r="CF245" s="101" t="n"/>
      <c r="CG245" s="102" t="inlineStr">
        <is>
          <t>Marges €</t>
        </is>
      </c>
      <c r="CH245" s="139">
        <f>IFERROR(CH243*CH244,0)</f>
        <v/>
      </c>
      <c r="CI245" s="103" t="n"/>
      <c r="CK245" s="104">
        <f>IFERROR(IF(F245='[1]Paramètres Généraux'!$K$12,ROUNDUP((REGENERANTS!H245*REGENERANTS!$CF$221)*'[1]Paramètres Généraux'!$M$12,-1),REGENERANTS!H245*REGENERANTS!$CF$221),"nd")</f>
        <v/>
      </c>
      <c r="CN245" s="153" t="n"/>
      <c r="CO245" s="154" t="n"/>
      <c r="CP245" s="154" t="n"/>
      <c r="CQ245" s="154" t="n"/>
      <c r="CR245" s="154" t="n"/>
      <c r="CS245" s="180" t="n"/>
      <c r="CT245" s="181" t="n"/>
      <c r="CU245" s="154" t="n"/>
      <c r="CV245" s="180" t="n"/>
      <c r="CW245" s="157" t="n"/>
      <c r="CX245" s="156" t="n"/>
      <c r="CY245" s="157" t="n"/>
      <c r="CZ245" s="143" t="n"/>
      <c r="DA245" s="156" t="n"/>
      <c r="DB245" s="157" t="n"/>
      <c r="DC245" s="143" t="n"/>
      <c r="DD245" s="156" t="n"/>
      <c r="DE245" s="157" t="n"/>
      <c r="DF245" s="143" t="n"/>
      <c r="DG245" s="143" t="n"/>
      <c r="DH245" s="143" t="n"/>
      <c r="DI245" s="143" t="n"/>
      <c r="DJ245" s="143" t="n"/>
      <c r="DK245" s="143" t="n"/>
      <c r="DL245" s="143" t="n"/>
      <c r="DM245" s="143" t="n"/>
      <c r="DN245" s="143" t="n"/>
      <c r="DO245" s="156" t="n"/>
      <c r="DP245" s="157" t="n"/>
      <c r="DQ245" s="20">
        <f>SUM(CN245:DP245)</f>
        <v/>
      </c>
      <c r="DR245" s="20">
        <f>SUM(CV245:DP245)</f>
        <v/>
      </c>
      <c r="DS245" s="20">
        <f>IFERROR((IF(AND($F245="Produit Vente",CO245&gt;0),VLOOKUP($C245,'[1]Paramètres Articles'!$B:$H,7,FALSE)*$CO245)*(1-20%)),0)</f>
        <v/>
      </c>
      <c r="DT245" s="20">
        <f>IFERROR((IF(AND($F245="Produit Vente",DR245&gt;0),VLOOKUP($C245,'[1]Paramètres Articles'!$B:$H,6,FALSE)*$DR245)*(1-15%)),0)</f>
        <v/>
      </c>
    </row>
    <row r="246" hidden="1" outlineLevel="1" collapsed="1" ht="12.95" customHeight="1">
      <c r="B246" s="1">
        <f>IF(C246="",0,COUNTIFS($B$22:B245,"&gt;"&amp;0)+1)</f>
        <v/>
      </c>
      <c r="C246" s="90" t="n"/>
      <c r="D246" s="91">
        <f>IFERROR(IF($C246="","",VLOOKUP($C246,'[1]Paramètres Articles'!$B:$G,2,FALSE)),"Non Trouvé")</f>
        <v/>
      </c>
      <c r="E246" s="92">
        <f>IFERROR(IF($C246="","",_xlfn.XLOOKUP(REGENERANTS!$C246,'[1]New Base PA'!$F:$F,'[1]New Base PA'!$D:$D,"Not Found",0)),"Non Trouvé")</f>
        <v/>
      </c>
      <c r="F246" s="93" t="n"/>
      <c r="H246" s="106" t="n"/>
      <c r="J246" s="95">
        <f>IFERROR(IF($C246="","",VLOOKUP($C246,'[1]New Base PA'!$F:$J,5,FALSE)),"Non Trouvé")</f>
        <v/>
      </c>
      <c r="K246" s="136">
        <f>IFERROR(IF($C246="","",$J246*$H246),"Non Trouvé")</f>
        <v/>
      </c>
      <c r="L246" s="137" t="n"/>
      <c r="M246" s="95">
        <f>IFERROR(IF(AND($F246="Produit Vente",H246&gt;0),VLOOKUP($C246,'[1]Paramètres Articles'!$B:$G,6,FALSE),0),"Non Trouvé")</f>
        <v/>
      </c>
      <c r="N246" s="95">
        <f>IFERROR(IF($C246="","",$M246*$H246),"Non Trouvé")</f>
        <v/>
      </c>
      <c r="P246" s="97" t="n"/>
      <c r="R246" s="95">
        <f>IFERROR(IF($C246="","",$N246*(1-$P246)),"Non Trouvé")</f>
        <v/>
      </c>
      <c r="S246" s="96" t="n"/>
      <c r="T246" s="95">
        <f>IFERROR(IF($C246="","",VLOOKUP($C246,'[1]Paramètres Articles'!$B:$H,7,FALSE)),"Non Trouvé")</f>
        <v/>
      </c>
      <c r="U246" s="98" t="n"/>
      <c r="V246" s="95">
        <f>IFERROR(IF($C246="","",IF($P246="","",$T246*(1-$P246))),"Non Trouvé")</f>
        <v/>
      </c>
      <c r="W246" s="96" t="n"/>
      <c r="X246" s="95">
        <f>IFERROR(T246-V246,"")</f>
        <v/>
      </c>
      <c r="Y246" s="96" t="n"/>
      <c r="Z246" s="95">
        <f>IFERROR(IF(OR(T246=0,T246=""),0,T246*H246),"Non Trouvé")</f>
        <v/>
      </c>
      <c r="AB246" s="99">
        <f>AB245</f>
        <v/>
      </c>
      <c r="AC246" s="99">
        <f>AC245</f>
        <v/>
      </c>
      <c r="AD246" s="95">
        <f>IFERROR(IF($C246="","",IF($P$15="Cascade",$R246*(1-AC246)*AB246,IF($P$15="Additionnelle",($N246-($N246*($P246+AC246)))*AB246))),"Non Trouvé")</f>
        <v/>
      </c>
      <c r="AG246" s="99">
        <f>AG245</f>
        <v/>
      </c>
      <c r="AH246" s="99">
        <f>AH245</f>
        <v/>
      </c>
      <c r="AI246" s="95">
        <f>IFERROR(IF($C246="","",IF($P$15="Cascade",$R246*(1-AH246)*AG246,IF($P$15="Additionnelle",($N246-($N246*($P246+AH246)))*AG246))),"Non Trouvé")</f>
        <v/>
      </c>
      <c r="AL246" s="99">
        <f>AL245</f>
        <v/>
      </c>
      <c r="AM246" s="99">
        <f>AM245</f>
        <v/>
      </c>
      <c r="AN246" s="95">
        <f>IFERROR(IF($C246="","",IF($P$15="Cascade",$R246*(1-AM246)*AL246,IF($P$15="Additionnelle",($N246-($N246*($P246+AM246)))*AL246))),"Non Trouvé")</f>
        <v/>
      </c>
      <c r="AQ246" s="99">
        <f>AQ245</f>
        <v/>
      </c>
      <c r="AR246" s="99">
        <f>AR245</f>
        <v/>
      </c>
      <c r="AS246" s="95">
        <f>IFERROR(IF($C246="","",IF($P$15="Cascade",$R246*(1-AR246)*AQ246,IF($P$15="Additionnelle",($N246-($N246*($P246+AR246)))*AQ246))),"Non Trouvé")</f>
        <v/>
      </c>
      <c r="AV246" s="99">
        <f>AV245</f>
        <v/>
      </c>
      <c r="AW246" s="99">
        <f>AW245</f>
        <v/>
      </c>
      <c r="AX246" s="95">
        <f>IFERROR(IF($C246="","",IF($P$15="Cascade",$R246*(1-AW246)*AV246,IF($P$15="Additionnelle",($N246-($N246*($P246+AW246)))*AV246))),"Non Trouvé")</f>
        <v/>
      </c>
      <c r="BA246" s="99">
        <f>BA245</f>
        <v/>
      </c>
      <c r="BB246" s="99">
        <f>BB245</f>
        <v/>
      </c>
      <c r="BC246" s="95">
        <f>IFERROR(IF($C246="","",IF($P$15="Cascade",$R246*(1-BB246)*BA246,IF($P$15="Additionnelle",($N246-($N246*($P246+BB246)))*BA246))),"Non Trouvé")</f>
        <v/>
      </c>
      <c r="BF246" s="99">
        <f>BF245</f>
        <v/>
      </c>
      <c r="BG246" s="99">
        <f>BG245</f>
        <v/>
      </c>
      <c r="BH246" s="95">
        <f>IFERROR(IF($C246="","",IF($P$15="Cascade",$R246*(1-BG246)*BF246,IF($P$15="Additionnelle",($N246-($N246*($P246+BG246)))*BF246))),"Non Trouvé")</f>
        <v/>
      </c>
      <c r="BK246" s="99">
        <f>BK245</f>
        <v/>
      </c>
      <c r="BL246" s="99">
        <f>BL245</f>
        <v/>
      </c>
      <c r="BM246" s="95">
        <f>IFERROR(IF($C246="","",IF($P$15="Cascade",$R246*(1-BL246)*BK246,IF($P$15="Additionnelle",($N246-($N246*($P246+BL246)))*BK246))),"Non Trouvé")</f>
        <v/>
      </c>
      <c r="BP246" s="99">
        <f>BP245</f>
        <v/>
      </c>
      <c r="BQ246" s="99">
        <f>BQ245</f>
        <v/>
      </c>
      <c r="BR246" s="95">
        <f>IFERROR(IF($C246="","",IF($P$15="Cascade",$R246*(1-BQ246)*BP246,IF($P$15="Additionnelle",($N246-($N246*($P246+BQ246)))*BP246))),"Non Trouvé")</f>
        <v/>
      </c>
      <c r="BU246" s="99">
        <f>BU245</f>
        <v/>
      </c>
      <c r="BV246" s="99">
        <f>BV245</f>
        <v/>
      </c>
      <c r="BW246" s="95">
        <f>IFERROR(IF($C246="","",IF($P$15="Cascade",$R246*(1-BV246)*BU246,IF($P$15="Additionnelle",($N246-($N246*($P246+BV246)))*BU246))),"Non Trouvé")</f>
        <v/>
      </c>
      <c r="BZ246" s="99">
        <f>BZ245</f>
        <v/>
      </c>
      <c r="CA246" s="99">
        <f>CA245</f>
        <v/>
      </c>
      <c r="CB246" s="95">
        <f>IFERROR(IF($C246="","",IF($P$15="Cascade",$R246*(1-CA246)*BZ246,IF($P$15="Additionnelle",($N246-($N246*($P246+CA246)))*BZ246))),"Non Trouvé")</f>
        <v/>
      </c>
      <c r="CE246" s="100" t="n"/>
      <c r="CF246" s="101" t="n"/>
      <c r="CG246" s="102" t="n"/>
      <c r="CH246" s="102" t="n"/>
      <c r="CI246" s="103" t="n"/>
      <c r="CK246" s="104">
        <f>IFERROR(IF(F246='[1]Paramètres Généraux'!$K$12,ROUNDUP((REGENERANTS!H246*REGENERANTS!$CF$221)*'[1]Paramètres Généraux'!$M$12,-1),REGENERANTS!H246*REGENERANTS!$CF$221),"nd")</f>
        <v/>
      </c>
      <c r="CN246" s="153" t="n"/>
      <c r="CO246" s="154" t="n"/>
      <c r="CP246" s="154" t="n"/>
      <c r="CQ246" s="154" t="n"/>
      <c r="CR246" s="154" t="n"/>
      <c r="CS246" s="180" t="n"/>
      <c r="CT246" s="181" t="n"/>
      <c r="CU246" s="154" t="n"/>
      <c r="CV246" s="180" t="n"/>
      <c r="CW246" s="157" t="n"/>
      <c r="CX246" s="156" t="n"/>
      <c r="CY246" s="157" t="n"/>
      <c r="CZ246" s="143" t="n"/>
      <c r="DA246" s="156" t="n"/>
      <c r="DB246" s="157" t="n"/>
      <c r="DC246" s="143" t="n"/>
      <c r="DD246" s="156" t="n"/>
      <c r="DE246" s="157" t="n"/>
      <c r="DF246" s="143" t="n"/>
      <c r="DG246" s="143" t="n"/>
      <c r="DH246" s="143" t="n"/>
      <c r="DI246" s="143" t="n"/>
      <c r="DJ246" s="143" t="n"/>
      <c r="DK246" s="143" t="n"/>
      <c r="DL246" s="143" t="n"/>
      <c r="DM246" s="143" t="n"/>
      <c r="DN246" s="143" t="n"/>
      <c r="DO246" s="156" t="n"/>
      <c r="DP246" s="157" t="n"/>
      <c r="DQ246" s="20">
        <f>SUM(CN246:DP246)</f>
        <v/>
      </c>
      <c r="DR246" s="20">
        <f>SUM(CV246:DP246)</f>
        <v/>
      </c>
      <c r="DS246" s="20">
        <f>IFERROR((IF(AND($F246="Produit Vente",CO246&gt;0),VLOOKUP($C246,'[1]Paramètres Articles'!$B:$H,7,FALSE)*$CO246)*(1-20%)),0)</f>
        <v/>
      </c>
      <c r="DT246" s="20">
        <f>IFERROR((IF(AND($F246="Produit Vente",DR246&gt;0),VLOOKUP($C246,'[1]Paramètres Articles'!$B:$H,6,FALSE)*$DR246)*(1-15%)),0)</f>
        <v/>
      </c>
    </row>
    <row r="247" hidden="1" outlineLevel="1" collapsed="1" ht="12.95" customHeight="1">
      <c r="B247" s="1">
        <f>IF(C247="",0,COUNTIFS($B$22:B246,"&gt;"&amp;0)+1)</f>
        <v/>
      </c>
      <c r="C247" s="90" t="n"/>
      <c r="D247" s="91">
        <f>IFERROR(IF($C247="","",VLOOKUP($C247,'[1]Paramètres Articles'!$B:$G,2,FALSE)),"Non Trouvé")</f>
        <v/>
      </c>
      <c r="E247" s="92">
        <f>IFERROR(IF($C247="","",_xlfn.XLOOKUP(REGENERANTS!$C247,'[1]New Base PA'!$F:$F,'[1]New Base PA'!$D:$D,"Not Found",0)),"Non Trouvé")</f>
        <v/>
      </c>
      <c r="F247" s="93" t="n"/>
      <c r="H247" s="106" t="n"/>
      <c r="J247" s="95">
        <f>IFERROR(IF($C247="","",VLOOKUP($C247,'[1]New Base PA'!$F:$J,5,FALSE)),"Non Trouvé")</f>
        <v/>
      </c>
      <c r="K247" s="136">
        <f>IFERROR(IF($C247="","",$J247*$H247),"Non Trouvé")</f>
        <v/>
      </c>
      <c r="L247" s="137" t="n"/>
      <c r="M247" s="95">
        <f>IFERROR(IF(AND($F247="Produit Vente",H247&gt;0),VLOOKUP($C247,'[1]Paramètres Articles'!$B:$G,6,FALSE),0),"Non Trouvé")</f>
        <v/>
      </c>
      <c r="N247" s="95">
        <f>IFERROR(IF($C247="","",$M247*$H247),"Non Trouvé")</f>
        <v/>
      </c>
      <c r="P247" s="97" t="n"/>
      <c r="R247" s="95">
        <f>IFERROR(IF($C247="","",$N247*(1-$P247)),"Non Trouvé")</f>
        <v/>
      </c>
      <c r="S247" s="96" t="n"/>
      <c r="T247" s="95">
        <f>IFERROR(IF($C247="","",VLOOKUP($C247,'[1]Paramètres Articles'!$B:$H,7,FALSE)),"Non Trouvé")</f>
        <v/>
      </c>
      <c r="U247" s="98" t="n"/>
      <c r="V247" s="95">
        <f>IFERROR(IF($C247="","",IF($P247="","",$T247*(1-$P247))),"Non Trouvé")</f>
        <v/>
      </c>
      <c r="W247" s="96" t="n"/>
      <c r="X247" s="95">
        <f>IFERROR(T247-V247,"")</f>
        <v/>
      </c>
      <c r="Y247" s="96" t="n"/>
      <c r="Z247" s="95">
        <f>IFERROR(IF(OR(T247=0,T247=""),0,T247*H247),"Non Trouvé")</f>
        <v/>
      </c>
      <c r="AB247" s="99">
        <f>AB245</f>
        <v/>
      </c>
      <c r="AC247" s="99">
        <f>AC245</f>
        <v/>
      </c>
      <c r="AD247" s="95">
        <f>IFERROR(IF($C247="","",IF($P$15="Cascade",$R247*(1-AC247)*AB247,IF($P$15="Additionnelle",($N247-($N247*($P247+AC247)))*AB247))),"Non Trouvé")</f>
        <v/>
      </c>
      <c r="AG247" s="99">
        <f>AG245</f>
        <v/>
      </c>
      <c r="AH247" s="99">
        <f>AH245</f>
        <v/>
      </c>
      <c r="AI247" s="95">
        <f>IFERROR(IF($C247="","",IF($P$15="Cascade",$R247*(1-AH247)*AG247,IF($P$15="Additionnelle",($N247-($N247*($P247+AH247)))*AG247))),"Non Trouvé")</f>
        <v/>
      </c>
      <c r="AL247" s="99">
        <f>AL245</f>
        <v/>
      </c>
      <c r="AM247" s="99">
        <f>AM245</f>
        <v/>
      </c>
      <c r="AN247" s="95">
        <f>IFERROR(IF($C247="","",IF($P$15="Cascade",$R247*(1-AM247)*AL247,IF($P$15="Additionnelle",($N247-($N247*($P247+AM247)))*AL247))),"Non Trouvé")</f>
        <v/>
      </c>
      <c r="AQ247" s="99">
        <f>AQ245</f>
        <v/>
      </c>
      <c r="AR247" s="99">
        <f>AR245</f>
        <v/>
      </c>
      <c r="AS247" s="95">
        <f>IFERROR(IF($C247="","",IF($P$15="Cascade",$R247*(1-AR247)*AQ247,IF($P$15="Additionnelle",($N247-($N247*($P247+AR247)))*AQ247))),"Non Trouvé")</f>
        <v/>
      </c>
      <c r="AV247" s="99">
        <f>AV245</f>
        <v/>
      </c>
      <c r="AW247" s="99">
        <f>AW245</f>
        <v/>
      </c>
      <c r="AX247" s="95">
        <f>IFERROR(IF($C247="","",IF($P$15="Cascade",$R247*(1-AW247)*AV247,IF($P$15="Additionnelle",($N247-($N247*($P247+AW247)))*AV247))),"Non Trouvé")</f>
        <v/>
      </c>
      <c r="BA247" s="99">
        <f>BA245</f>
        <v/>
      </c>
      <c r="BB247" s="99">
        <f>BB245</f>
        <v/>
      </c>
      <c r="BC247" s="95">
        <f>IFERROR(IF($C247="","",IF($P$15="Cascade",$R247*(1-BB247)*BA247,IF($P$15="Additionnelle",($N247-($N247*($P247+BB247)))*BA247))),"Non Trouvé")</f>
        <v/>
      </c>
      <c r="BF247" s="99">
        <f>BF245</f>
        <v/>
      </c>
      <c r="BG247" s="99">
        <f>BG245</f>
        <v/>
      </c>
      <c r="BH247" s="95">
        <f>IFERROR(IF($C247="","",IF($P$15="Cascade",$R247*(1-BG247)*BF247,IF($P$15="Additionnelle",($N247-($N247*($P247+BG247)))*BF247))),"Non Trouvé")</f>
        <v/>
      </c>
      <c r="BK247" s="99">
        <f>BK245</f>
        <v/>
      </c>
      <c r="BL247" s="99">
        <f>BL245</f>
        <v/>
      </c>
      <c r="BM247" s="95">
        <f>IFERROR(IF($C247="","",IF($P$15="Cascade",$R247*(1-BL247)*BK247,IF($P$15="Additionnelle",($N247-($N247*($P247+BL247)))*BK247))),"Non Trouvé")</f>
        <v/>
      </c>
      <c r="BP247" s="99">
        <f>BP245</f>
        <v/>
      </c>
      <c r="BQ247" s="99">
        <f>BQ245</f>
        <v/>
      </c>
      <c r="BR247" s="95">
        <f>IFERROR(IF($C247="","",IF($P$15="Cascade",$R247*(1-BQ247)*BP247,IF($P$15="Additionnelle",($N247-($N247*($P247+BQ247)))*BP247))),"Non Trouvé")</f>
        <v/>
      </c>
      <c r="BU247" s="99">
        <f>BU245</f>
        <v/>
      </c>
      <c r="BV247" s="99">
        <f>BV245</f>
        <v/>
      </c>
      <c r="BW247" s="95">
        <f>IFERROR(IF($C247="","",IF($P$15="Cascade",$R247*(1-BV247)*BU247,IF($P$15="Additionnelle",($N247-($N247*($P247+BV247)))*BU247))),"Non Trouvé")</f>
        <v/>
      </c>
      <c r="BZ247" s="99">
        <f>BZ245</f>
        <v/>
      </c>
      <c r="CA247" s="99">
        <f>CA245</f>
        <v/>
      </c>
      <c r="CB247" s="95">
        <f>IFERROR(IF($C247="","",IF($P$15="Cascade",$R247*(1-CA247)*BZ247,IF($P$15="Additionnelle",($N247-($N247*($P247+CA247)))*BZ247))),"Non Trouvé")</f>
        <v/>
      </c>
      <c r="CE247" s="100" t="n"/>
      <c r="CF247" s="101" t="n"/>
      <c r="CG247" s="102" t="n"/>
      <c r="CH247" s="102" t="n"/>
      <c r="CI247" s="103" t="n"/>
      <c r="CK247" s="104">
        <f>IFERROR(IF(F247='[1]Paramètres Généraux'!$K$12,ROUNDUP((REGENERANTS!H247*REGENERANTS!$CF$221)*'[1]Paramètres Généraux'!$M$12,-1),REGENERANTS!H247*REGENERANTS!$CF$221),"nd")</f>
        <v/>
      </c>
      <c r="CN247" s="153" t="n"/>
      <c r="CO247" s="154" t="n"/>
      <c r="CP247" s="154" t="n"/>
      <c r="CQ247" s="154" t="n"/>
      <c r="CR247" s="154" t="n"/>
      <c r="CS247" s="180" t="n"/>
      <c r="CT247" s="181" t="n"/>
      <c r="CU247" s="154" t="n"/>
      <c r="CV247" s="180" t="n"/>
      <c r="CW247" s="157" t="n"/>
      <c r="CX247" s="156" t="n"/>
      <c r="CY247" s="157" t="n"/>
      <c r="CZ247" s="143" t="n"/>
      <c r="DA247" s="156" t="n"/>
      <c r="DB247" s="157" t="n"/>
      <c r="DC247" s="143" t="n"/>
      <c r="DD247" s="156" t="n"/>
      <c r="DE247" s="157" t="n"/>
      <c r="DF247" s="143" t="n"/>
      <c r="DG247" s="143" t="n"/>
      <c r="DH247" s="143" t="n"/>
      <c r="DI247" s="143" t="n"/>
      <c r="DJ247" s="143" t="n"/>
      <c r="DK247" s="143" t="n"/>
      <c r="DL247" s="143" t="n"/>
      <c r="DM247" s="143" t="n"/>
      <c r="DN247" s="143" t="n"/>
      <c r="DO247" s="156" t="n"/>
      <c r="DP247" s="157" t="n"/>
      <c r="DQ247" s="20">
        <f>SUM(CN247:DP247)</f>
        <v/>
      </c>
      <c r="DR247" s="20">
        <f>SUM(CV247:DP247)</f>
        <v/>
      </c>
      <c r="DS247" s="20">
        <f>IFERROR((IF(AND($F247="Produit Vente",CO247&gt;0),VLOOKUP($C247,'[1]Paramètres Articles'!$B:$H,7,FALSE)*$CO247)*(1-20%)),0)</f>
        <v/>
      </c>
      <c r="DT247" s="20">
        <f>IFERROR((IF(AND($F247="Produit Vente",DR247&gt;0),VLOOKUP($C247,'[1]Paramètres Articles'!$B:$H,6,FALSE)*$DR247)*(1-15%)),0)</f>
        <v/>
      </c>
    </row>
    <row r="248" hidden="1" outlineLevel="1" collapsed="1" ht="12.95" customHeight="1">
      <c r="B248" s="1">
        <f>IF(C248="",0,COUNTIFS($B$22:B247,"&gt;"&amp;0)+1)</f>
        <v/>
      </c>
      <c r="C248" s="90" t="n"/>
      <c r="D248" s="91">
        <f>IFERROR(IF($C248="","",VLOOKUP($C248,'[1]Paramètres Articles'!$B:$G,2,FALSE)),"Non Trouvé")</f>
        <v/>
      </c>
      <c r="E248" s="92">
        <f>IFERROR(IF($C248="","",_xlfn.XLOOKUP(REGENERANTS!$C248,'[1]New Base PA'!$F:$F,'[1]New Base PA'!$D:$D,"Not Found",0)),"Non Trouvé")</f>
        <v/>
      </c>
      <c r="F248" s="93" t="n"/>
      <c r="H248" s="106" t="n"/>
      <c r="J248" s="95">
        <f>IFERROR(IF($C248="","",VLOOKUP($C248,'[1]New Base PA'!$F:$J,5,FALSE)),"Non Trouvé")</f>
        <v/>
      </c>
      <c r="K248" s="136">
        <f>IFERROR(IF($C248="","",$J248*$H248),"Non Trouvé")</f>
        <v/>
      </c>
      <c r="L248" s="137" t="n"/>
      <c r="M248" s="95">
        <f>IFERROR(IF(AND($F248="Produit Vente",H248&gt;0),VLOOKUP($C248,'[1]Paramètres Articles'!$B:$G,6,FALSE),0),"Non Trouvé")</f>
        <v/>
      </c>
      <c r="N248" s="95">
        <f>IFERROR(IF($C248="","",$M248*$H248),"Non Trouvé")</f>
        <v/>
      </c>
      <c r="P248" s="97" t="n"/>
      <c r="R248" s="95">
        <f>IFERROR(IF($C248="","",$N248*(1-$P248)),"Non Trouvé")</f>
        <v/>
      </c>
      <c r="S248" s="96" t="n"/>
      <c r="T248" s="95">
        <f>IFERROR(IF($C248="","",VLOOKUP($C248,'[1]Paramètres Articles'!$B:$H,7,FALSE)),"Non Trouvé")</f>
        <v/>
      </c>
      <c r="U248" s="98" t="n"/>
      <c r="V248" s="95">
        <f>IFERROR(IF($C248="","",IF($P248="","",$T248*(1-$P248))),"Non Trouvé")</f>
        <v/>
      </c>
      <c r="W248" s="96" t="n"/>
      <c r="X248" s="95">
        <f>IFERROR(T248-V248,"")</f>
        <v/>
      </c>
      <c r="Y248" s="96" t="n"/>
      <c r="Z248" s="95">
        <f>IFERROR(IF(OR(T248=0,T248=""),0,T248*H248),"Non Trouvé")</f>
        <v/>
      </c>
      <c r="AB248" s="99">
        <f>AB247</f>
        <v/>
      </c>
      <c r="AC248" s="99">
        <f>AC247</f>
        <v/>
      </c>
      <c r="AD248" s="95">
        <f>IFERROR(IF($C248="","",IF($P$15="Cascade",$R248*(1-AC248)*AB248,IF($P$15="Additionnelle",($N248-($N248*($P248+AC248)))*AB248))),"Non Trouvé")</f>
        <v/>
      </c>
      <c r="AG248" s="99">
        <f>AG247</f>
        <v/>
      </c>
      <c r="AH248" s="99">
        <f>AH247</f>
        <v/>
      </c>
      <c r="AI248" s="95">
        <f>IFERROR(IF($C248="","",IF($P$15="Cascade",$R248*(1-AH248)*AG248,IF($P$15="Additionnelle",($N248-($N248*($P248+AH248)))*AG248))),"Non Trouvé")</f>
        <v/>
      </c>
      <c r="AL248" s="99">
        <f>AL247</f>
        <v/>
      </c>
      <c r="AM248" s="99">
        <f>AM247</f>
        <v/>
      </c>
      <c r="AN248" s="95">
        <f>IFERROR(IF($C248="","",IF($P$15="Cascade",$R248*(1-AM248)*AL248,IF($P$15="Additionnelle",($N248-($N248*($P248+AM248)))*AL248))),"Non Trouvé")</f>
        <v/>
      </c>
      <c r="AQ248" s="99">
        <f>AQ247</f>
        <v/>
      </c>
      <c r="AR248" s="99">
        <f>AR247</f>
        <v/>
      </c>
      <c r="AS248" s="95">
        <f>IFERROR(IF($C248="","",IF($P$15="Cascade",$R248*(1-AR248)*AQ248,IF($P$15="Additionnelle",($N248-($N248*($P248+AR248)))*AQ248))),"Non Trouvé")</f>
        <v/>
      </c>
      <c r="AV248" s="99">
        <f>AV247</f>
        <v/>
      </c>
      <c r="AW248" s="99">
        <f>AW247</f>
        <v/>
      </c>
      <c r="AX248" s="95">
        <f>IFERROR(IF($C248="","",IF($P$15="Cascade",$R248*(1-AW248)*AV248,IF($P$15="Additionnelle",($N248-($N248*($P248+AW248)))*AV248))),"Non Trouvé")</f>
        <v/>
      </c>
      <c r="BA248" s="99">
        <f>BA247</f>
        <v/>
      </c>
      <c r="BB248" s="99">
        <f>BB247</f>
        <v/>
      </c>
      <c r="BC248" s="95">
        <f>IFERROR(IF($C248="","",IF($P$15="Cascade",$R248*(1-BB248)*BA248,IF($P$15="Additionnelle",($N248-($N248*($P248+BB248)))*BA248))),"Non Trouvé")</f>
        <v/>
      </c>
      <c r="BF248" s="99">
        <f>BF247</f>
        <v/>
      </c>
      <c r="BG248" s="99">
        <f>BG247</f>
        <v/>
      </c>
      <c r="BH248" s="95">
        <f>IFERROR(IF($C248="","",IF($P$15="Cascade",$R248*(1-BG248)*BF248,IF($P$15="Additionnelle",($N248-($N248*($P248+BG248)))*BF248))),"Non Trouvé")</f>
        <v/>
      </c>
      <c r="BK248" s="99">
        <f>BK247</f>
        <v/>
      </c>
      <c r="BL248" s="99">
        <f>BL247</f>
        <v/>
      </c>
      <c r="BM248" s="95">
        <f>IFERROR(IF($C248="","",IF($P$15="Cascade",$R248*(1-BL248)*BK248,IF($P$15="Additionnelle",($N248-($N248*($P248+BL248)))*BK248))),"Non Trouvé")</f>
        <v/>
      </c>
      <c r="BP248" s="99">
        <f>BP247</f>
        <v/>
      </c>
      <c r="BQ248" s="99">
        <f>BQ247</f>
        <v/>
      </c>
      <c r="BR248" s="95">
        <f>IFERROR(IF($C248="","",IF($P$15="Cascade",$R248*(1-BQ248)*BP248,IF($P$15="Additionnelle",($N248-($N248*($P248+BQ248)))*BP248))),"Non Trouvé")</f>
        <v/>
      </c>
      <c r="BU248" s="99">
        <f>BU247</f>
        <v/>
      </c>
      <c r="BV248" s="99">
        <f>BV247</f>
        <v/>
      </c>
      <c r="BW248" s="95">
        <f>IFERROR(IF($C248="","",IF($P$15="Cascade",$R248*(1-BV248)*BU248,IF($P$15="Additionnelle",($N248-($N248*($P248+BV248)))*BU248))),"Non Trouvé")</f>
        <v/>
      </c>
      <c r="BZ248" s="99">
        <f>BZ247</f>
        <v/>
      </c>
      <c r="CA248" s="99">
        <f>CA247</f>
        <v/>
      </c>
      <c r="CB248" s="95">
        <f>IFERROR(IF($C248="","",IF($P$15="Cascade",$R248*(1-CA248)*BZ248,IF($P$15="Additionnelle",($N248-($N248*($P248+CA248)))*BZ248))),"Non Trouvé")</f>
        <v/>
      </c>
      <c r="CE248" s="100" t="n"/>
      <c r="CF248" s="101" t="n"/>
      <c r="CG248" s="102" t="n"/>
      <c r="CH248" s="102" t="n"/>
      <c r="CI248" s="103" t="n"/>
      <c r="CK248" s="104">
        <f>IFERROR(IF(F248='[1]Paramètres Généraux'!$K$12,ROUNDUP((REGENERANTS!H248*REGENERANTS!$CF$221)*'[1]Paramètres Généraux'!$M$12,-1),REGENERANTS!H248*REGENERANTS!$CF$221),"nd")</f>
        <v/>
      </c>
      <c r="CN248" s="153" t="n"/>
      <c r="CO248" s="154" t="n"/>
      <c r="CP248" s="154" t="n"/>
      <c r="CQ248" s="154" t="n"/>
      <c r="CR248" s="154" t="n"/>
      <c r="CS248" s="180" t="n"/>
      <c r="CT248" s="181" t="n"/>
      <c r="CU248" s="154" t="n"/>
      <c r="CV248" s="180" t="n"/>
      <c r="CW248" s="157" t="n"/>
      <c r="CX248" s="156" t="n"/>
      <c r="CY248" s="157" t="n"/>
      <c r="CZ248" s="143" t="n"/>
      <c r="DA248" s="156" t="n"/>
      <c r="DB248" s="157" t="n"/>
      <c r="DC248" s="143" t="n"/>
      <c r="DD248" s="156" t="n"/>
      <c r="DE248" s="157" t="n"/>
      <c r="DF248" s="143" t="n"/>
      <c r="DG248" s="143" t="n"/>
      <c r="DH248" s="143" t="n"/>
      <c r="DI248" s="143" t="n"/>
      <c r="DJ248" s="143" t="n"/>
      <c r="DK248" s="143" t="n"/>
      <c r="DL248" s="143" t="n"/>
      <c r="DM248" s="143" t="n"/>
      <c r="DN248" s="143" t="n"/>
      <c r="DO248" s="156" t="n"/>
      <c r="DP248" s="157" t="n"/>
      <c r="DQ248" s="20">
        <f>SUM(CN248:DP248)</f>
        <v/>
      </c>
      <c r="DR248" s="20">
        <f>SUM(CV248:DP248)</f>
        <v/>
      </c>
      <c r="DS248" s="20">
        <f>IFERROR((IF(AND($F248="Produit Vente",CO248&gt;0),VLOOKUP($C248,'[1]Paramètres Articles'!$B:$H,7,FALSE)*$CO248)*(1-20%)),0)</f>
        <v/>
      </c>
      <c r="DT248" s="20">
        <f>IFERROR((IF(AND($F248="Produit Vente",DR248&gt;0),VLOOKUP($C248,'[1]Paramètres Articles'!$B:$H,6,FALSE)*$DR248)*(1-15%)),0)</f>
        <v/>
      </c>
    </row>
    <row r="249" hidden="1" outlineLevel="1" collapsed="1" ht="12.95" customHeight="1">
      <c r="B249" s="1">
        <f>IF(C249="",0,COUNTIFS($B$22:B248,"&gt;"&amp;0)+1)</f>
        <v/>
      </c>
      <c r="C249" s="90" t="n"/>
      <c r="D249" s="91">
        <f>IFERROR(IF($C249="","",VLOOKUP($C249,'[1]Paramètres Articles'!$B:$G,2,FALSE)),"Non Trouvé")</f>
        <v/>
      </c>
      <c r="E249" s="92">
        <f>IFERROR(IF($C249="","",_xlfn.XLOOKUP(REGENERANTS!$C249,'[1]New Base PA'!$F:$F,'[1]New Base PA'!$D:$D,"Not Found",0)),"Non Trouvé")</f>
        <v/>
      </c>
      <c r="F249" s="93" t="n"/>
      <c r="H249" s="106" t="n"/>
      <c r="J249" s="95">
        <f>IFERROR(IF($C249="","",VLOOKUP($C249,'[1]New Base PA'!$F:$J,5,FALSE)),"Non Trouvé")</f>
        <v/>
      </c>
      <c r="K249" s="136">
        <f>IFERROR(IF($C249="","",$J249*$H249),"Non Trouvé")</f>
        <v/>
      </c>
      <c r="L249" s="137" t="n"/>
      <c r="M249" s="95">
        <f>IFERROR(IF(AND($F249="Produit Vente",H249&gt;0),VLOOKUP($C249,'[1]Paramètres Articles'!$B:$G,6,FALSE),0),"Non Trouvé")</f>
        <v/>
      </c>
      <c r="N249" s="95">
        <f>IFERROR(IF($C249="","",$M249*$H249),"Non Trouvé")</f>
        <v/>
      </c>
      <c r="P249" s="97" t="n"/>
      <c r="R249" s="95">
        <f>IFERROR(IF($C249="","",$N249*(1-$P249)),"Non Trouvé")</f>
        <v/>
      </c>
      <c r="S249" s="96" t="n"/>
      <c r="T249" s="95">
        <f>IFERROR(IF($C249="","",VLOOKUP($C249,'[1]Paramètres Articles'!$B:$H,7,FALSE)),"Non Trouvé")</f>
        <v/>
      </c>
      <c r="U249" s="98" t="n"/>
      <c r="V249" s="95">
        <f>IFERROR(IF($C249="","",IF($P249="","",$T249*(1-$P249))),"Non Trouvé")</f>
        <v/>
      </c>
      <c r="W249" s="96" t="n"/>
      <c r="X249" s="95">
        <f>IFERROR(T249-V249,"")</f>
        <v/>
      </c>
      <c r="Y249" s="96" t="n"/>
      <c r="Z249" s="95">
        <f>IFERROR(IF(OR(T249=0,T249=""),0,T249*H249),"Non Trouvé")</f>
        <v/>
      </c>
      <c r="AB249" s="99">
        <f>AB247</f>
        <v/>
      </c>
      <c r="AC249" s="99">
        <f>AC247</f>
        <v/>
      </c>
      <c r="AD249" s="95">
        <f>IFERROR(IF($C249="","",IF($P$15="Cascade",$R249*(1-AC249)*AB249,IF($P$15="Additionnelle",($N249-($N249*($P249+AC249)))*AB249))),"Non Trouvé")</f>
        <v/>
      </c>
      <c r="AG249" s="99">
        <f>AG247</f>
        <v/>
      </c>
      <c r="AH249" s="99">
        <f>AH247</f>
        <v/>
      </c>
      <c r="AI249" s="95">
        <f>IFERROR(IF($C249="","",IF($P$15="Cascade",$R249*(1-AH249)*AG249,IF($P$15="Additionnelle",($N249-($N249*($P249+AH249)))*AG249))),"Non Trouvé")</f>
        <v/>
      </c>
      <c r="AL249" s="99">
        <f>AL247</f>
        <v/>
      </c>
      <c r="AM249" s="99">
        <f>AM247</f>
        <v/>
      </c>
      <c r="AN249" s="95">
        <f>IFERROR(IF($C249="","",IF($P$15="Cascade",$R249*(1-AM249)*AL249,IF($P$15="Additionnelle",($N249-($N249*($P249+AM249)))*AL249))),"Non Trouvé")</f>
        <v/>
      </c>
      <c r="AQ249" s="99">
        <f>AQ247</f>
        <v/>
      </c>
      <c r="AR249" s="99">
        <f>AR247</f>
        <v/>
      </c>
      <c r="AS249" s="95">
        <f>IFERROR(IF($C249="","",IF($P$15="Cascade",$R249*(1-AR249)*AQ249,IF($P$15="Additionnelle",($N249-($N249*($P249+AR249)))*AQ249))),"Non Trouvé")</f>
        <v/>
      </c>
      <c r="AV249" s="99">
        <f>AV247</f>
        <v/>
      </c>
      <c r="AW249" s="99">
        <f>AW247</f>
        <v/>
      </c>
      <c r="AX249" s="95">
        <f>IFERROR(IF($C249="","",IF($P$15="Cascade",$R249*(1-AW249)*AV249,IF($P$15="Additionnelle",($N249-($N249*($P249+AW249)))*AV249))),"Non Trouvé")</f>
        <v/>
      </c>
      <c r="BA249" s="99">
        <f>BA247</f>
        <v/>
      </c>
      <c r="BB249" s="99">
        <f>BB247</f>
        <v/>
      </c>
      <c r="BC249" s="95">
        <f>IFERROR(IF($C249="","",IF($P$15="Cascade",$R249*(1-BB249)*BA249,IF($P$15="Additionnelle",($N249-($N249*($P249+BB249)))*BA249))),"Non Trouvé")</f>
        <v/>
      </c>
      <c r="BF249" s="99">
        <f>BF247</f>
        <v/>
      </c>
      <c r="BG249" s="99">
        <f>BG247</f>
        <v/>
      </c>
      <c r="BH249" s="95">
        <f>IFERROR(IF($C249="","",IF($P$15="Cascade",$R249*(1-BG249)*BF249,IF($P$15="Additionnelle",($N249-($N249*($P249+BG249)))*BF249))),"Non Trouvé")</f>
        <v/>
      </c>
      <c r="BK249" s="99">
        <f>BK247</f>
        <v/>
      </c>
      <c r="BL249" s="99">
        <f>BL247</f>
        <v/>
      </c>
      <c r="BM249" s="95">
        <f>IFERROR(IF($C249="","",IF($P$15="Cascade",$R249*(1-BL249)*BK249,IF($P$15="Additionnelle",($N249-($N249*($P249+BL249)))*BK249))),"Non Trouvé")</f>
        <v/>
      </c>
      <c r="BP249" s="99">
        <f>BP247</f>
        <v/>
      </c>
      <c r="BQ249" s="99">
        <f>BQ247</f>
        <v/>
      </c>
      <c r="BR249" s="95">
        <f>IFERROR(IF($C249="","",IF($P$15="Cascade",$R249*(1-BQ249)*BP249,IF($P$15="Additionnelle",($N249-($N249*($P249+BQ249)))*BP249))),"Non Trouvé")</f>
        <v/>
      </c>
      <c r="BU249" s="99">
        <f>BU247</f>
        <v/>
      </c>
      <c r="BV249" s="99">
        <f>BV247</f>
        <v/>
      </c>
      <c r="BW249" s="95">
        <f>IFERROR(IF($C249="","",IF($P$15="Cascade",$R249*(1-BV249)*BU249,IF($P$15="Additionnelle",($N249-($N249*($P249+BV249)))*BU249))),"Non Trouvé")</f>
        <v/>
      </c>
      <c r="BZ249" s="99">
        <f>BZ247</f>
        <v/>
      </c>
      <c r="CA249" s="99">
        <f>CA247</f>
        <v/>
      </c>
      <c r="CB249" s="95">
        <f>IFERROR(IF($C249="","",IF($P$15="Cascade",$R249*(1-CA249)*BZ249,IF($P$15="Additionnelle",($N249-($N249*($P249+CA249)))*BZ249))),"Non Trouvé")</f>
        <v/>
      </c>
      <c r="CE249" s="100" t="n"/>
      <c r="CF249" s="101" t="n"/>
      <c r="CG249" s="102" t="n"/>
      <c r="CH249" s="102" t="n"/>
      <c r="CI249" s="103" t="n"/>
      <c r="CK249" s="104">
        <f>IFERROR(IF(F249='[1]Paramètres Généraux'!$K$12,ROUNDUP((REGENERANTS!H249*REGENERANTS!$CF$221)*'[1]Paramètres Généraux'!$M$12,-1),REGENERANTS!H249*REGENERANTS!$CF$221),"nd")</f>
        <v/>
      </c>
      <c r="CN249" s="153" t="n"/>
      <c r="CO249" s="154" t="n"/>
      <c r="CP249" s="154" t="n"/>
      <c r="CQ249" s="154" t="n"/>
      <c r="CR249" s="154" t="n"/>
      <c r="CS249" s="180" t="n"/>
      <c r="CT249" s="181" t="n"/>
      <c r="CU249" s="154" t="n"/>
      <c r="CV249" s="180" t="n"/>
      <c r="CW249" s="157" t="n"/>
      <c r="CX249" s="156" t="n"/>
      <c r="CY249" s="157" t="n"/>
      <c r="CZ249" s="143" t="n"/>
      <c r="DA249" s="156" t="n"/>
      <c r="DB249" s="157" t="n"/>
      <c r="DC249" s="143" t="n"/>
      <c r="DD249" s="156" t="n"/>
      <c r="DE249" s="157" t="n"/>
      <c r="DF249" s="143" t="n"/>
      <c r="DG249" s="143" t="n"/>
      <c r="DH249" s="143" t="n"/>
      <c r="DI249" s="143" t="n"/>
      <c r="DJ249" s="143" t="n"/>
      <c r="DK249" s="143" t="n"/>
      <c r="DL249" s="143" t="n"/>
      <c r="DM249" s="143" t="n"/>
      <c r="DN249" s="143" t="n"/>
      <c r="DO249" s="156" t="n"/>
      <c r="DP249" s="157" t="n"/>
      <c r="DQ249" s="20">
        <f>SUM(CN249:DP249)</f>
        <v/>
      </c>
      <c r="DR249" s="20">
        <f>SUM(CV249:DP249)</f>
        <v/>
      </c>
      <c r="DS249" s="20">
        <f>IFERROR((IF(AND($F249="Produit Vente",CO249&gt;0),VLOOKUP($C249,'[1]Paramètres Articles'!$B:$H,7,FALSE)*$CO249)*(1-20%)),0)</f>
        <v/>
      </c>
      <c r="DT249" s="20">
        <f>IFERROR((IF(AND($F249="Produit Vente",DR249&gt;0),VLOOKUP($C249,'[1]Paramètres Articles'!$B:$H,6,FALSE)*$DR249)*(1-15%)),0)</f>
        <v/>
      </c>
    </row>
    <row r="250" hidden="1" outlineLevel="1" collapsed="1" ht="12.95" customHeight="1">
      <c r="B250" s="1">
        <f>IF(C250="",0,COUNTIFS($B$22:B249,"&gt;"&amp;0)+1)</f>
        <v/>
      </c>
      <c r="C250" s="90" t="n"/>
      <c r="D250" s="91">
        <f>IFERROR(IF($C250="","",VLOOKUP($C250,'[1]Paramètres Articles'!$B:$G,2,FALSE)),"Non Trouvé")</f>
        <v/>
      </c>
      <c r="E250" s="92">
        <f>IFERROR(IF($C250="","",_xlfn.XLOOKUP(REGENERANTS!$C250,'[1]New Base PA'!$F:$F,'[1]New Base PA'!$D:$D,"Not Found",0)),"Non Trouvé")</f>
        <v/>
      </c>
      <c r="F250" s="93" t="n"/>
      <c r="H250" s="106" t="n"/>
      <c r="J250" s="95">
        <f>IFERROR(IF($C250="","",VLOOKUP($C250,'[1]New Base PA'!$F:$J,5,FALSE)),"Non Trouvé")</f>
        <v/>
      </c>
      <c r="K250" s="136">
        <f>IFERROR(IF($C250="","",$J250*$H250),"Non Trouvé")</f>
        <v/>
      </c>
      <c r="L250" s="137" t="n"/>
      <c r="M250" s="95">
        <f>IFERROR(IF(AND($F250="Produit Vente",H250&gt;0),VLOOKUP($C250,'[1]Paramètres Articles'!$B:$G,6,FALSE),0),"Non Trouvé")</f>
        <v/>
      </c>
      <c r="N250" s="95">
        <f>IFERROR(IF($C250="","",$M250*$H250),"Non Trouvé")</f>
        <v/>
      </c>
      <c r="P250" s="97" t="n"/>
      <c r="R250" s="95">
        <f>IFERROR(IF($C250="","",$N250*(1-$P250)),"Non Trouvé")</f>
        <v/>
      </c>
      <c r="S250" s="96" t="n"/>
      <c r="T250" s="95">
        <f>IFERROR(IF($C250="","",VLOOKUP($C250,'[1]Paramètres Articles'!$B:$H,7,FALSE)),"Non Trouvé")</f>
        <v/>
      </c>
      <c r="U250" s="98" t="n"/>
      <c r="V250" s="95">
        <f>IFERROR(IF($C250="","",IF($P250="","",$T250*(1-$P250))),"Non Trouvé")</f>
        <v/>
      </c>
      <c r="W250" s="96" t="n"/>
      <c r="X250" s="95">
        <f>IFERROR(T250-V250,"")</f>
        <v/>
      </c>
      <c r="Y250" s="96" t="n"/>
      <c r="Z250" s="95">
        <f>IFERROR(IF(OR(T250=0,T250=""),0,T250*H250),"Non Trouvé")</f>
        <v/>
      </c>
      <c r="AB250" s="99">
        <f>AB249</f>
        <v/>
      </c>
      <c r="AC250" s="99">
        <f>AC249</f>
        <v/>
      </c>
      <c r="AD250" s="95">
        <f>IFERROR(IF($C250="","",IF($P$15="Cascade",$R250*(1-AC250)*AB250,IF($P$15="Additionnelle",($N250-($N250*($P250+AC250)))*AB250))),"Non Trouvé")</f>
        <v/>
      </c>
      <c r="AG250" s="99">
        <f>AG249</f>
        <v/>
      </c>
      <c r="AH250" s="99">
        <f>AH249</f>
        <v/>
      </c>
      <c r="AI250" s="95">
        <f>IFERROR(IF($C250="","",IF($P$15="Cascade",$R250*(1-AH250)*AG250,IF($P$15="Additionnelle",($N250-($N250*($P250+AH250)))*AG250))),"Non Trouvé")</f>
        <v/>
      </c>
      <c r="AL250" s="99">
        <f>AL249</f>
        <v/>
      </c>
      <c r="AM250" s="99">
        <f>AM249</f>
        <v/>
      </c>
      <c r="AN250" s="95">
        <f>IFERROR(IF($C250="","",IF($P$15="Cascade",$R250*(1-AM250)*AL250,IF($P$15="Additionnelle",($N250-($N250*($P250+AM250)))*AL250))),"Non Trouvé")</f>
        <v/>
      </c>
      <c r="AQ250" s="99">
        <f>AQ249</f>
        <v/>
      </c>
      <c r="AR250" s="99">
        <f>AR249</f>
        <v/>
      </c>
      <c r="AS250" s="95">
        <f>IFERROR(IF($C250="","",IF($P$15="Cascade",$R250*(1-AR250)*AQ250,IF($P$15="Additionnelle",($N250-($N250*($P250+AR250)))*AQ250))),"Non Trouvé")</f>
        <v/>
      </c>
      <c r="AV250" s="99">
        <f>AV249</f>
        <v/>
      </c>
      <c r="AW250" s="99">
        <f>AW249</f>
        <v/>
      </c>
      <c r="AX250" s="95">
        <f>IFERROR(IF($C250="","",IF($P$15="Cascade",$R250*(1-AW250)*AV250,IF($P$15="Additionnelle",($N250-($N250*($P250+AW250)))*AV250))),"Non Trouvé")</f>
        <v/>
      </c>
      <c r="BA250" s="99">
        <f>BA249</f>
        <v/>
      </c>
      <c r="BB250" s="99">
        <f>BB249</f>
        <v/>
      </c>
      <c r="BC250" s="95">
        <f>IFERROR(IF($C250="","",IF($P$15="Cascade",$R250*(1-BB250)*BA250,IF($P$15="Additionnelle",($N250-($N250*($P250+BB250)))*BA250))),"Non Trouvé")</f>
        <v/>
      </c>
      <c r="BF250" s="99">
        <f>BF249</f>
        <v/>
      </c>
      <c r="BG250" s="99">
        <f>BG249</f>
        <v/>
      </c>
      <c r="BH250" s="95">
        <f>IFERROR(IF($C250="","",IF($P$15="Cascade",$R250*(1-BG250)*BF250,IF($P$15="Additionnelle",($N250-($N250*($P250+BG250)))*BF250))),"Non Trouvé")</f>
        <v/>
      </c>
      <c r="BK250" s="99">
        <f>BK249</f>
        <v/>
      </c>
      <c r="BL250" s="99">
        <f>BL249</f>
        <v/>
      </c>
      <c r="BM250" s="95">
        <f>IFERROR(IF($C250="","",IF($P$15="Cascade",$R250*(1-BL250)*BK250,IF($P$15="Additionnelle",($N250-($N250*($P250+BL250)))*BK250))),"Non Trouvé")</f>
        <v/>
      </c>
      <c r="BP250" s="99">
        <f>BP249</f>
        <v/>
      </c>
      <c r="BQ250" s="99">
        <f>BQ249</f>
        <v/>
      </c>
      <c r="BR250" s="95">
        <f>IFERROR(IF($C250="","",IF($P$15="Cascade",$R250*(1-BQ250)*BP250,IF($P$15="Additionnelle",($N250-($N250*($P250+BQ250)))*BP250))),"Non Trouvé")</f>
        <v/>
      </c>
      <c r="BU250" s="99">
        <f>BU249</f>
        <v/>
      </c>
      <c r="BV250" s="99">
        <f>BV249</f>
        <v/>
      </c>
      <c r="BW250" s="95">
        <f>IFERROR(IF($C250="","",IF($P$15="Cascade",$R250*(1-BV250)*BU250,IF($P$15="Additionnelle",($N250-($N250*($P250+BV250)))*BU250))),"Non Trouvé")</f>
        <v/>
      </c>
      <c r="BZ250" s="99">
        <f>BZ249</f>
        <v/>
      </c>
      <c r="CA250" s="99">
        <f>CA249</f>
        <v/>
      </c>
      <c r="CB250" s="95">
        <f>IFERROR(IF($C250="","",IF($P$15="Cascade",$R250*(1-CA250)*BZ250,IF($P$15="Additionnelle",($N250-($N250*($P250+CA250)))*BZ250))),"Non Trouvé")</f>
        <v/>
      </c>
      <c r="CE250" s="100" t="n"/>
      <c r="CF250" s="101" t="n"/>
      <c r="CG250" s="102" t="n"/>
      <c r="CH250" s="102" t="n"/>
      <c r="CI250" s="103" t="n"/>
      <c r="CK250" s="104">
        <f>IFERROR(IF(F250='[1]Paramètres Généraux'!$K$12,ROUNDUP((REGENERANTS!H250*REGENERANTS!$CF$221)*'[1]Paramètres Généraux'!$M$12,-1),REGENERANTS!H250*REGENERANTS!$CF$221),"nd")</f>
        <v/>
      </c>
      <c r="CN250" s="153" t="n"/>
      <c r="CO250" s="154" t="n"/>
      <c r="CP250" s="154" t="n"/>
      <c r="CQ250" s="154" t="n"/>
      <c r="CR250" s="154" t="n"/>
      <c r="CS250" s="180" t="n"/>
      <c r="CT250" s="181" t="n"/>
      <c r="CU250" s="154" t="n"/>
      <c r="CV250" s="180" t="n"/>
      <c r="CW250" s="157" t="n"/>
      <c r="CX250" s="156" t="n"/>
      <c r="CY250" s="157" t="n"/>
      <c r="CZ250" s="143" t="n"/>
      <c r="DA250" s="156" t="n"/>
      <c r="DB250" s="157" t="n"/>
      <c r="DC250" s="143" t="n"/>
      <c r="DD250" s="156" t="n"/>
      <c r="DE250" s="157" t="n"/>
      <c r="DF250" s="143" t="n"/>
      <c r="DG250" s="143" t="n"/>
      <c r="DH250" s="143" t="n"/>
      <c r="DI250" s="143" t="n"/>
      <c r="DJ250" s="143" t="n"/>
      <c r="DK250" s="143" t="n"/>
      <c r="DL250" s="143" t="n"/>
      <c r="DM250" s="143" t="n"/>
      <c r="DN250" s="143" t="n"/>
      <c r="DO250" s="156" t="n"/>
      <c r="DP250" s="157" t="n"/>
      <c r="DQ250" s="20">
        <f>SUM(CN250:DP250)</f>
        <v/>
      </c>
      <c r="DR250" s="20">
        <f>SUM(CV250:DP250)</f>
        <v/>
      </c>
      <c r="DS250" s="20">
        <f>IFERROR((IF(AND($F250="Produit Vente",CO250&gt;0),VLOOKUP($C250,'[1]Paramètres Articles'!$B:$H,7,FALSE)*$CO250)*(1-20%)),0)</f>
        <v/>
      </c>
      <c r="DT250" s="20">
        <f>IFERROR((IF(AND($F250="Produit Vente",DR250&gt;0),VLOOKUP($C250,'[1]Paramètres Articles'!$B:$H,6,FALSE)*$DR250)*(1-15%)),0)</f>
        <v/>
      </c>
    </row>
    <row r="251" hidden="1" outlineLevel="1" collapsed="1" ht="12.95" customHeight="1">
      <c r="B251" s="1">
        <f>IF(C251="",0,COUNTIFS($B$22:B250,"&gt;"&amp;0)+1)</f>
        <v/>
      </c>
      <c r="C251" s="90" t="n"/>
      <c r="D251" s="91">
        <f>IFERROR(IF($C251="","",VLOOKUP($C251,'[1]Paramètres Articles'!$B:$G,2,FALSE)),"Non Trouvé")</f>
        <v/>
      </c>
      <c r="E251" s="92">
        <f>IFERROR(IF($C251="","",_xlfn.XLOOKUP(REGENERANTS!$C251,'[1]New Base PA'!$F:$F,'[1]New Base PA'!$D:$D,"Not Found",0)),"Non Trouvé")</f>
        <v/>
      </c>
      <c r="F251" s="93" t="n"/>
      <c r="H251" s="106" t="n"/>
      <c r="J251" s="95">
        <f>IFERROR(IF($C251="","",VLOOKUP($C251,'[1]New Base PA'!$F:$J,5,FALSE)),"Non Trouvé")</f>
        <v/>
      </c>
      <c r="K251" s="136">
        <f>IFERROR(IF($C251="","",$J251*$H251),"Non Trouvé")</f>
        <v/>
      </c>
      <c r="L251" s="137" t="n"/>
      <c r="M251" s="95">
        <f>IFERROR(IF(AND($F251="Produit Vente",H251&gt;0),VLOOKUP($C251,'[1]Paramètres Articles'!$B:$G,6,FALSE),0),"Non Trouvé")</f>
        <v/>
      </c>
      <c r="N251" s="95">
        <f>IFERROR(IF($C251="","",$M251*$H251),"Non Trouvé")</f>
        <v/>
      </c>
      <c r="P251" s="97" t="n"/>
      <c r="R251" s="95">
        <f>IFERROR(IF($C251="","",$N251*(1-$P251)),"Non Trouvé")</f>
        <v/>
      </c>
      <c r="S251" s="96" t="n"/>
      <c r="T251" s="95">
        <f>IFERROR(IF($C251="","",VLOOKUP($C251,'[1]Paramètres Articles'!$B:$H,7,FALSE)),"Non Trouvé")</f>
        <v/>
      </c>
      <c r="U251" s="98" t="n"/>
      <c r="V251" s="95">
        <f>IFERROR(IF($C251="","",IF($P251="","",$T251*(1-$P251))),"Non Trouvé")</f>
        <v/>
      </c>
      <c r="W251" s="96" t="n"/>
      <c r="X251" s="95">
        <f>IFERROR(T251-V251,"")</f>
        <v/>
      </c>
      <c r="Y251" s="96" t="n"/>
      <c r="Z251" s="95">
        <f>IFERROR(IF(OR(T251=0,T251=""),0,T251*H251),"Non Trouvé")</f>
        <v/>
      </c>
      <c r="AB251" s="99">
        <f>AB249</f>
        <v/>
      </c>
      <c r="AC251" s="99">
        <f>AC249</f>
        <v/>
      </c>
      <c r="AD251" s="95">
        <f>IFERROR(IF($C251="","",IF($P$15="Cascade",$R251*(1-AC251)*AB251,IF($P$15="Additionnelle",($N251-($N251*($P251+AC251)))*AB251))),"Non Trouvé")</f>
        <v/>
      </c>
      <c r="AG251" s="99">
        <f>AG249</f>
        <v/>
      </c>
      <c r="AH251" s="99">
        <f>AH249</f>
        <v/>
      </c>
      <c r="AI251" s="95">
        <f>IFERROR(IF($C251="","",IF($P$15="Cascade",$R251*(1-AH251)*AG251,IF($P$15="Additionnelle",($N251-($N251*($P251+AH251)))*AG251))),"Non Trouvé")</f>
        <v/>
      </c>
      <c r="AL251" s="99">
        <f>AL249</f>
        <v/>
      </c>
      <c r="AM251" s="99">
        <f>AM249</f>
        <v/>
      </c>
      <c r="AN251" s="95">
        <f>IFERROR(IF($C251="","",IF($P$15="Cascade",$R251*(1-AM251)*AL251,IF($P$15="Additionnelle",($N251-($N251*($P251+AM251)))*AL251))),"Non Trouvé")</f>
        <v/>
      </c>
      <c r="AQ251" s="99">
        <f>AQ249</f>
        <v/>
      </c>
      <c r="AR251" s="99">
        <f>AR249</f>
        <v/>
      </c>
      <c r="AS251" s="95">
        <f>IFERROR(IF($C251="","",IF($P$15="Cascade",$R251*(1-AR251)*AQ251,IF($P$15="Additionnelle",($N251-($N251*($P251+AR251)))*AQ251))),"Non Trouvé")</f>
        <v/>
      </c>
      <c r="AV251" s="99">
        <f>AV249</f>
        <v/>
      </c>
      <c r="AW251" s="99">
        <f>AW249</f>
        <v/>
      </c>
      <c r="AX251" s="95">
        <f>IFERROR(IF($C251="","",IF($P$15="Cascade",$R251*(1-AW251)*AV251,IF($P$15="Additionnelle",($N251-($N251*($P251+AW251)))*AV251))),"Non Trouvé")</f>
        <v/>
      </c>
      <c r="BA251" s="99">
        <f>BA249</f>
        <v/>
      </c>
      <c r="BB251" s="99">
        <f>BB249</f>
        <v/>
      </c>
      <c r="BC251" s="95">
        <f>IFERROR(IF($C251="","",IF($P$15="Cascade",$R251*(1-BB251)*BA251,IF($P$15="Additionnelle",($N251-($N251*($P251+BB251)))*BA251))),"Non Trouvé")</f>
        <v/>
      </c>
      <c r="BF251" s="99">
        <f>BF249</f>
        <v/>
      </c>
      <c r="BG251" s="99">
        <f>BG249</f>
        <v/>
      </c>
      <c r="BH251" s="95">
        <f>IFERROR(IF($C251="","",IF($P$15="Cascade",$R251*(1-BG251)*BF251,IF($P$15="Additionnelle",($N251-($N251*($P251+BG251)))*BF251))),"Non Trouvé")</f>
        <v/>
      </c>
      <c r="BK251" s="99">
        <f>BK249</f>
        <v/>
      </c>
      <c r="BL251" s="99">
        <f>BL249</f>
        <v/>
      </c>
      <c r="BM251" s="95">
        <f>IFERROR(IF($C251="","",IF($P$15="Cascade",$R251*(1-BL251)*BK251,IF($P$15="Additionnelle",($N251-($N251*($P251+BL251)))*BK251))),"Non Trouvé")</f>
        <v/>
      </c>
      <c r="BP251" s="99">
        <f>BP249</f>
        <v/>
      </c>
      <c r="BQ251" s="99">
        <f>BQ249</f>
        <v/>
      </c>
      <c r="BR251" s="95">
        <f>IFERROR(IF($C251="","",IF($P$15="Cascade",$R251*(1-BQ251)*BP251,IF($P$15="Additionnelle",($N251-($N251*($P251+BQ251)))*BP251))),"Non Trouvé")</f>
        <v/>
      </c>
      <c r="BU251" s="99">
        <f>BU249</f>
        <v/>
      </c>
      <c r="BV251" s="99">
        <f>BV249</f>
        <v/>
      </c>
      <c r="BW251" s="95">
        <f>IFERROR(IF($C251="","",IF($P$15="Cascade",$R251*(1-BV251)*BU251,IF($P$15="Additionnelle",($N251-($N251*($P251+BV251)))*BU251))),"Non Trouvé")</f>
        <v/>
      </c>
      <c r="BZ251" s="99">
        <f>BZ249</f>
        <v/>
      </c>
      <c r="CA251" s="99">
        <f>CA249</f>
        <v/>
      </c>
      <c r="CB251" s="95">
        <f>IFERROR(IF($C251="","",IF($P$15="Cascade",$R251*(1-CA251)*BZ251,IF($P$15="Additionnelle",($N251-($N251*($P251+CA251)))*BZ251))),"Non Trouvé")</f>
        <v/>
      </c>
      <c r="CE251" s="100" t="n"/>
      <c r="CF251" s="101" t="n"/>
      <c r="CG251" s="102" t="n"/>
      <c r="CH251" s="102" t="n"/>
      <c r="CI251" s="103" t="n"/>
      <c r="CK251" s="104">
        <f>IFERROR(IF(F251='[1]Paramètres Généraux'!$K$12,ROUNDUP((REGENERANTS!H251*REGENERANTS!$CF$221)*'[1]Paramètres Généraux'!$M$12,-1),REGENERANTS!H251*REGENERANTS!$CF$221),"nd")</f>
        <v/>
      </c>
      <c r="CN251" s="153" t="n"/>
      <c r="CO251" s="154" t="n"/>
      <c r="CP251" s="154" t="n"/>
      <c r="CQ251" s="154" t="n"/>
      <c r="CR251" s="154" t="n"/>
      <c r="CS251" s="180" t="n"/>
      <c r="CT251" s="181" t="n"/>
      <c r="CU251" s="154" t="n"/>
      <c r="CV251" s="180" t="n"/>
      <c r="CW251" s="157" t="n"/>
      <c r="CX251" s="156" t="n"/>
      <c r="CY251" s="157" t="n"/>
      <c r="CZ251" s="143" t="n"/>
      <c r="DA251" s="156" t="n"/>
      <c r="DB251" s="157" t="n"/>
      <c r="DC251" s="143" t="n"/>
      <c r="DD251" s="156" t="n"/>
      <c r="DE251" s="157" t="n"/>
      <c r="DF251" s="143" t="n"/>
      <c r="DG251" s="143" t="n"/>
      <c r="DH251" s="143" t="n"/>
      <c r="DI251" s="143" t="n"/>
      <c r="DJ251" s="143" t="n"/>
      <c r="DK251" s="143" t="n"/>
      <c r="DL251" s="143" t="n"/>
      <c r="DM251" s="143" t="n"/>
      <c r="DN251" s="143" t="n"/>
      <c r="DO251" s="156" t="n"/>
      <c r="DP251" s="157" t="n"/>
      <c r="DQ251" s="20">
        <f>SUM(CN251:DP251)</f>
        <v/>
      </c>
      <c r="DR251" s="20">
        <f>SUM(CV251:DP251)</f>
        <v/>
      </c>
      <c r="DS251" s="20">
        <f>IFERROR((IF(AND($F251="Produit Vente",CO251&gt;0),VLOOKUP($C251,'[1]Paramètres Articles'!$B:$H,7,FALSE)*$CO251)*(1-20%)),0)</f>
        <v/>
      </c>
      <c r="DT251" s="20">
        <f>IFERROR((IF(AND($F251="Produit Vente",DR251&gt;0),VLOOKUP($C251,'[1]Paramètres Articles'!$B:$H,6,FALSE)*$DR251)*(1-15%)),0)</f>
        <v/>
      </c>
    </row>
    <row r="252" hidden="1" outlineLevel="1" collapsed="1" ht="12.95" customHeight="1">
      <c r="B252" s="1">
        <f>IF(C252="",0,COUNTIFS($B$22:B251,"&gt;"&amp;0)+1)</f>
        <v/>
      </c>
      <c r="C252" s="90" t="n"/>
      <c r="D252" s="91">
        <f>IFERROR(IF($C252="","",VLOOKUP($C252,'[1]Paramètres Articles'!$B:$G,2,FALSE)),"Non Trouvé")</f>
        <v/>
      </c>
      <c r="E252" s="92">
        <f>IFERROR(IF($C252="","",_xlfn.XLOOKUP(REGENERANTS!$C252,'[1]New Base PA'!$F:$F,'[1]New Base PA'!$D:$D,"Not Found",0)),"Non Trouvé")</f>
        <v/>
      </c>
      <c r="F252" s="93" t="n"/>
      <c r="H252" s="106" t="n"/>
      <c r="J252" s="95">
        <f>IFERROR(IF($C252="","",VLOOKUP($C252,'[1]New Base PA'!$F:$J,5,FALSE)),"Non Trouvé")</f>
        <v/>
      </c>
      <c r="K252" s="136">
        <f>IFERROR(IF($C252="","",$J252*$H252),"Non Trouvé")</f>
        <v/>
      </c>
      <c r="L252" s="137" t="n"/>
      <c r="M252" s="95">
        <f>IFERROR(IF(AND($F252="Produit Vente",H252&gt;0),VLOOKUP($C252,'[1]Paramètres Articles'!$B:$G,6,FALSE),0),"Non Trouvé")</f>
        <v/>
      </c>
      <c r="N252" s="95">
        <f>IFERROR(IF($C252="","",$M252*$H252),"Non Trouvé")</f>
        <v/>
      </c>
      <c r="P252" s="97" t="n"/>
      <c r="R252" s="95">
        <f>IFERROR(IF($C252="","",$N252*(1-$P252)),"Non Trouvé")</f>
        <v/>
      </c>
      <c r="S252" s="96" t="n"/>
      <c r="T252" s="95">
        <f>IFERROR(IF($C252="","",VLOOKUP($C252,'[1]Paramètres Articles'!$B:$H,7,FALSE)),"Non Trouvé")</f>
        <v/>
      </c>
      <c r="U252" s="98" t="n"/>
      <c r="V252" s="95">
        <f>IFERROR(IF($C252="","",IF($P252="","",$T252*(1-$P252))),"Non Trouvé")</f>
        <v/>
      </c>
      <c r="W252" s="96" t="n"/>
      <c r="X252" s="95">
        <f>IFERROR(T252-V252,"")</f>
        <v/>
      </c>
      <c r="Y252" s="96" t="n"/>
      <c r="Z252" s="95">
        <f>IFERROR(IF(OR(T252=0,T252=""),0,T252*H252),"Non Trouvé")</f>
        <v/>
      </c>
      <c r="AB252" s="99">
        <f>AB251</f>
        <v/>
      </c>
      <c r="AC252" s="99">
        <f>AC251</f>
        <v/>
      </c>
      <c r="AD252" s="95">
        <f>IFERROR(IF($C252="","",IF($P$15="Cascade",$R252*(1-AC252)*AB252,IF($P$15="Additionnelle",($N252-($N252*($P252+AC252)))*AB252))),"Non Trouvé")</f>
        <v/>
      </c>
      <c r="AG252" s="99">
        <f>AG251</f>
        <v/>
      </c>
      <c r="AH252" s="99">
        <f>AH251</f>
        <v/>
      </c>
      <c r="AI252" s="95">
        <f>IFERROR(IF($C252="","",IF($P$15="Cascade",$R252*(1-AH252)*AG252,IF($P$15="Additionnelle",($N252-($N252*($P252+AH252)))*AG252))),"Non Trouvé")</f>
        <v/>
      </c>
      <c r="AL252" s="99">
        <f>AL251</f>
        <v/>
      </c>
      <c r="AM252" s="99">
        <f>AM251</f>
        <v/>
      </c>
      <c r="AN252" s="95">
        <f>IFERROR(IF($C252="","",IF($P$15="Cascade",$R252*(1-AM252)*AL252,IF($P$15="Additionnelle",($N252-($N252*($P252+AM252)))*AL252))),"Non Trouvé")</f>
        <v/>
      </c>
      <c r="AQ252" s="99">
        <f>AQ251</f>
        <v/>
      </c>
      <c r="AR252" s="99">
        <f>AR251</f>
        <v/>
      </c>
      <c r="AS252" s="95">
        <f>IFERROR(IF($C252="","",IF($P$15="Cascade",$R252*(1-AR252)*AQ252,IF($P$15="Additionnelle",($N252-($N252*($P252+AR252)))*AQ252))),"Non Trouvé")</f>
        <v/>
      </c>
      <c r="AV252" s="99">
        <f>AV251</f>
        <v/>
      </c>
      <c r="AW252" s="99">
        <f>AW251</f>
        <v/>
      </c>
      <c r="AX252" s="95">
        <f>IFERROR(IF($C252="","",IF($P$15="Cascade",$R252*(1-AW252)*AV252,IF($P$15="Additionnelle",($N252-($N252*($P252+AW252)))*AV252))),"Non Trouvé")</f>
        <v/>
      </c>
      <c r="BA252" s="99">
        <f>BA251</f>
        <v/>
      </c>
      <c r="BB252" s="99">
        <f>BB251</f>
        <v/>
      </c>
      <c r="BC252" s="95">
        <f>IFERROR(IF($C252="","",IF($P$15="Cascade",$R252*(1-BB252)*BA252,IF($P$15="Additionnelle",($N252-($N252*($P252+BB252)))*BA252))),"Non Trouvé")</f>
        <v/>
      </c>
      <c r="BF252" s="99">
        <f>BF251</f>
        <v/>
      </c>
      <c r="BG252" s="99">
        <f>BG251</f>
        <v/>
      </c>
      <c r="BH252" s="95">
        <f>IFERROR(IF($C252="","",IF($P$15="Cascade",$R252*(1-BG252)*BF252,IF($P$15="Additionnelle",($N252-($N252*($P252+BG252)))*BF252))),"Non Trouvé")</f>
        <v/>
      </c>
      <c r="BK252" s="99">
        <f>BK251</f>
        <v/>
      </c>
      <c r="BL252" s="99">
        <f>BL251</f>
        <v/>
      </c>
      <c r="BM252" s="95">
        <f>IFERROR(IF($C252="","",IF($P$15="Cascade",$R252*(1-BL252)*BK252,IF($P$15="Additionnelle",($N252-($N252*($P252+BL252)))*BK252))),"Non Trouvé")</f>
        <v/>
      </c>
      <c r="BP252" s="99">
        <f>BP251</f>
        <v/>
      </c>
      <c r="BQ252" s="99">
        <f>BQ251</f>
        <v/>
      </c>
      <c r="BR252" s="95">
        <f>IFERROR(IF($C252="","",IF($P$15="Cascade",$R252*(1-BQ252)*BP252,IF($P$15="Additionnelle",($N252-($N252*($P252+BQ252)))*BP252))),"Non Trouvé")</f>
        <v/>
      </c>
      <c r="BU252" s="99">
        <f>BU251</f>
        <v/>
      </c>
      <c r="BV252" s="99">
        <f>BV251</f>
        <v/>
      </c>
      <c r="BW252" s="95">
        <f>IFERROR(IF($C252="","",IF($P$15="Cascade",$R252*(1-BV252)*BU252,IF($P$15="Additionnelle",($N252-($N252*($P252+BV252)))*BU252))),"Non Trouvé")</f>
        <v/>
      </c>
      <c r="BZ252" s="99">
        <f>BZ251</f>
        <v/>
      </c>
      <c r="CA252" s="99">
        <f>CA251</f>
        <v/>
      </c>
      <c r="CB252" s="95">
        <f>IFERROR(IF($C252="","",IF($P$15="Cascade",$R252*(1-CA252)*BZ252,IF($P$15="Additionnelle",($N252-($N252*($P252+CA252)))*BZ252))),"Non Trouvé")</f>
        <v/>
      </c>
      <c r="CE252" s="100" t="n"/>
      <c r="CF252" s="101" t="n"/>
      <c r="CG252" s="102" t="n"/>
      <c r="CH252" s="102" t="n"/>
      <c r="CI252" s="103" t="n"/>
      <c r="CK252" s="104">
        <f>IFERROR(IF(F252='[1]Paramètres Généraux'!$K$12,ROUNDUP((REGENERANTS!H252*REGENERANTS!$CF$221)*'[1]Paramètres Généraux'!$M$12,-1),REGENERANTS!H252*REGENERANTS!$CF$221),"nd")</f>
        <v/>
      </c>
      <c r="CN252" s="153" t="n"/>
      <c r="CO252" s="154" t="n"/>
      <c r="CP252" s="154" t="n"/>
      <c r="CQ252" s="154" t="n"/>
      <c r="CR252" s="154" t="n"/>
      <c r="CS252" s="180" t="n"/>
      <c r="CT252" s="181" t="n"/>
      <c r="CU252" s="154" t="n"/>
      <c r="CV252" s="180" t="n"/>
      <c r="CW252" s="157" t="n"/>
      <c r="CX252" s="156" t="n"/>
      <c r="CY252" s="157" t="n"/>
      <c r="CZ252" s="143" t="n"/>
      <c r="DA252" s="156" t="n"/>
      <c r="DB252" s="157" t="n"/>
      <c r="DC252" s="143" t="n"/>
      <c r="DD252" s="156" t="n"/>
      <c r="DE252" s="157" t="n"/>
      <c r="DF252" s="143" t="n"/>
      <c r="DG252" s="143" t="n"/>
      <c r="DH252" s="143" t="n"/>
      <c r="DI252" s="143" t="n"/>
      <c r="DJ252" s="143" t="n"/>
      <c r="DK252" s="143" t="n"/>
      <c r="DL252" s="143" t="n"/>
      <c r="DM252" s="143" t="n"/>
      <c r="DN252" s="143" t="n"/>
      <c r="DO252" s="156" t="n"/>
      <c r="DP252" s="157" t="n"/>
      <c r="DQ252" s="20">
        <f>SUM(CN252:DP252)</f>
        <v/>
      </c>
      <c r="DR252" s="20">
        <f>SUM(CV252:DP252)</f>
        <v/>
      </c>
      <c r="DS252" s="20">
        <f>IFERROR((IF(AND($F252="Produit Vente",CO252&gt;0),VLOOKUP($C252,'[1]Paramètres Articles'!$B:$H,7,FALSE)*$CO252)*(1-20%)),0)</f>
        <v/>
      </c>
      <c r="DT252" s="20">
        <f>IFERROR((IF(AND($F252="Produit Vente",DR252&gt;0),VLOOKUP($C252,'[1]Paramètres Articles'!$B:$H,6,FALSE)*$DR252)*(1-15%)),0)</f>
        <v/>
      </c>
    </row>
    <row r="253" hidden="1" outlineLevel="1" collapsed="1" ht="12.95" customHeight="1">
      <c r="B253" s="1">
        <f>IF(C253="",0,COUNTIFS($B$22:B252,"&gt;"&amp;0)+1)</f>
        <v/>
      </c>
      <c r="C253" s="90" t="n"/>
      <c r="D253" s="91">
        <f>IFERROR(IF($C253="","",VLOOKUP($C253,'[1]Paramètres Articles'!$B:$G,2,FALSE)),"Non Trouvé")</f>
        <v/>
      </c>
      <c r="E253" s="92">
        <f>IFERROR(IF($C253="","",_xlfn.XLOOKUP(REGENERANTS!$C253,'[1]New Base PA'!$F:$F,'[1]New Base PA'!$D:$D,"Not Found",0)),"Non Trouvé")</f>
        <v/>
      </c>
      <c r="F253" s="93" t="n"/>
      <c r="H253" s="106" t="n"/>
      <c r="J253" s="95">
        <f>IFERROR(IF($C253="","",VLOOKUP($C253,'[1]New Base PA'!$F:$J,5,FALSE)),"Non Trouvé")</f>
        <v/>
      </c>
      <c r="K253" s="136">
        <f>IFERROR(IF($C253="","",$J253*$H253),"Non Trouvé")</f>
        <v/>
      </c>
      <c r="L253" s="137" t="n"/>
      <c r="M253" s="95">
        <f>IFERROR(IF(AND($F253="Produit Vente",H253&gt;0),VLOOKUP($C253,'[1]Paramètres Articles'!$B:$G,6,FALSE),0),"Non Trouvé")</f>
        <v/>
      </c>
      <c r="N253" s="95">
        <f>IFERROR(IF($C253="","",$M253*$H253),"Non Trouvé")</f>
        <v/>
      </c>
      <c r="P253" s="97" t="n"/>
      <c r="R253" s="95">
        <f>IFERROR(IF($C253="","",$N253*(1-$P253)),"Non Trouvé")</f>
        <v/>
      </c>
      <c r="S253" s="96" t="n"/>
      <c r="T253" s="95">
        <f>IFERROR(IF($C253="","",VLOOKUP($C253,'[1]Paramètres Articles'!$B:$H,7,FALSE)),"Non Trouvé")</f>
        <v/>
      </c>
      <c r="U253" s="98" t="n"/>
      <c r="V253" s="95">
        <f>IFERROR(IF($C253="","",IF($P253="","",$T253*(1-$P253))),"Non Trouvé")</f>
        <v/>
      </c>
      <c r="W253" s="96" t="n"/>
      <c r="X253" s="95">
        <f>IFERROR(T253-V253,"")</f>
        <v/>
      </c>
      <c r="Y253" s="96" t="n"/>
      <c r="Z253" s="95">
        <f>IFERROR(IF(OR(T253=0,T253=""),0,T253*H253),"Non Trouvé")</f>
        <v/>
      </c>
      <c r="AB253" s="99">
        <f>AB251</f>
        <v/>
      </c>
      <c r="AC253" s="99">
        <f>AC251</f>
        <v/>
      </c>
      <c r="AD253" s="95">
        <f>IFERROR(IF($C253="","",IF($P$15="Cascade",$R253*(1-AC253)*AB253,IF($P$15="Additionnelle",($N253-($N253*($P253+AC253)))*AB253))),"Non Trouvé")</f>
        <v/>
      </c>
      <c r="AG253" s="99">
        <f>AG251</f>
        <v/>
      </c>
      <c r="AH253" s="99">
        <f>AH251</f>
        <v/>
      </c>
      <c r="AI253" s="95">
        <f>IFERROR(IF($C253="","",IF($P$15="Cascade",$R253*(1-AH253)*AG253,IF($P$15="Additionnelle",($N253-($N253*($P253+AH253)))*AG253))),"Non Trouvé")</f>
        <v/>
      </c>
      <c r="AL253" s="99">
        <f>AL251</f>
        <v/>
      </c>
      <c r="AM253" s="99">
        <f>AM251</f>
        <v/>
      </c>
      <c r="AN253" s="95">
        <f>IFERROR(IF($C253="","",IF($P$15="Cascade",$R253*(1-AM253)*AL253,IF($P$15="Additionnelle",($N253-($N253*($P253+AM253)))*AL253))),"Non Trouvé")</f>
        <v/>
      </c>
      <c r="AQ253" s="99">
        <f>AQ251</f>
        <v/>
      </c>
      <c r="AR253" s="99">
        <f>AR251</f>
        <v/>
      </c>
      <c r="AS253" s="95">
        <f>IFERROR(IF($C253="","",IF($P$15="Cascade",$R253*(1-AR253)*AQ253,IF($P$15="Additionnelle",($N253-($N253*($P253+AR253)))*AQ253))),"Non Trouvé")</f>
        <v/>
      </c>
      <c r="AV253" s="99">
        <f>AV251</f>
        <v/>
      </c>
      <c r="AW253" s="99">
        <f>AW251</f>
        <v/>
      </c>
      <c r="AX253" s="95">
        <f>IFERROR(IF($C253="","",IF($P$15="Cascade",$R253*(1-AW253)*AV253,IF($P$15="Additionnelle",($N253-($N253*($P253+AW253)))*AV253))),"Non Trouvé")</f>
        <v/>
      </c>
      <c r="BA253" s="99">
        <f>BA251</f>
        <v/>
      </c>
      <c r="BB253" s="99">
        <f>BB251</f>
        <v/>
      </c>
      <c r="BC253" s="95">
        <f>IFERROR(IF($C253="","",IF($P$15="Cascade",$R253*(1-BB253)*BA253,IF($P$15="Additionnelle",($N253-($N253*($P253+BB253)))*BA253))),"Non Trouvé")</f>
        <v/>
      </c>
      <c r="BF253" s="99">
        <f>BF251</f>
        <v/>
      </c>
      <c r="BG253" s="99">
        <f>BG251</f>
        <v/>
      </c>
      <c r="BH253" s="95">
        <f>IFERROR(IF($C253="","",IF($P$15="Cascade",$R253*(1-BG253)*BF253,IF($P$15="Additionnelle",($N253-($N253*($P253+BG253)))*BF253))),"Non Trouvé")</f>
        <v/>
      </c>
      <c r="BK253" s="99">
        <f>BK251</f>
        <v/>
      </c>
      <c r="BL253" s="99">
        <f>BL251</f>
        <v/>
      </c>
      <c r="BM253" s="95">
        <f>IFERROR(IF($C253="","",IF($P$15="Cascade",$R253*(1-BL253)*BK253,IF($P$15="Additionnelle",($N253-($N253*($P253+BL253)))*BK253))),"Non Trouvé")</f>
        <v/>
      </c>
      <c r="BP253" s="99">
        <f>BP251</f>
        <v/>
      </c>
      <c r="BQ253" s="99">
        <f>BQ251</f>
        <v/>
      </c>
      <c r="BR253" s="95">
        <f>IFERROR(IF($C253="","",IF($P$15="Cascade",$R253*(1-BQ253)*BP253,IF($P$15="Additionnelle",($N253-($N253*($P253+BQ253)))*BP253))),"Non Trouvé")</f>
        <v/>
      </c>
      <c r="BU253" s="99">
        <f>BU251</f>
        <v/>
      </c>
      <c r="BV253" s="99">
        <f>BV251</f>
        <v/>
      </c>
      <c r="BW253" s="95">
        <f>IFERROR(IF($C253="","",IF($P$15="Cascade",$R253*(1-BV253)*BU253,IF($P$15="Additionnelle",($N253-($N253*($P253+BV253)))*BU253))),"Non Trouvé")</f>
        <v/>
      </c>
      <c r="BZ253" s="99">
        <f>BZ251</f>
        <v/>
      </c>
      <c r="CA253" s="99">
        <f>CA251</f>
        <v/>
      </c>
      <c r="CB253" s="95">
        <f>IFERROR(IF($C253="","",IF($P$15="Cascade",$R253*(1-CA253)*BZ253,IF($P$15="Additionnelle",($N253-($N253*($P253+CA253)))*BZ253))),"Non Trouvé")</f>
        <v/>
      </c>
      <c r="CE253" s="100" t="n"/>
      <c r="CF253" s="101" t="n"/>
      <c r="CG253" s="102" t="n"/>
      <c r="CH253" s="102" t="n"/>
      <c r="CI253" s="103" t="n"/>
      <c r="CK253" s="104">
        <f>IFERROR(IF(F253='[1]Paramètres Généraux'!$K$12,ROUNDUP((REGENERANTS!H253*REGENERANTS!$CF$221)*'[1]Paramètres Généraux'!$M$12,-1),REGENERANTS!H253*REGENERANTS!$CF$221),"nd")</f>
        <v/>
      </c>
      <c r="CN253" s="153" t="n"/>
      <c r="CO253" s="154" t="n"/>
      <c r="CP253" s="154" t="n"/>
      <c r="CQ253" s="154" t="n"/>
      <c r="CR253" s="154" t="n"/>
      <c r="CS253" s="180" t="n"/>
      <c r="CT253" s="181" t="n"/>
      <c r="CU253" s="154" t="n"/>
      <c r="CV253" s="180" t="n"/>
      <c r="CW253" s="157" t="n"/>
      <c r="CX253" s="156" t="n"/>
      <c r="CY253" s="157" t="n"/>
      <c r="CZ253" s="143" t="n"/>
      <c r="DA253" s="156" t="n"/>
      <c r="DB253" s="157" t="n"/>
      <c r="DC253" s="143" t="n"/>
      <c r="DD253" s="156" t="n"/>
      <c r="DE253" s="157" t="n"/>
      <c r="DF253" s="143" t="n"/>
      <c r="DG253" s="143" t="n"/>
      <c r="DH253" s="143" t="n"/>
      <c r="DI253" s="143" t="n"/>
      <c r="DJ253" s="143" t="n"/>
      <c r="DK253" s="143" t="n"/>
      <c r="DL253" s="143" t="n"/>
      <c r="DM253" s="143" t="n"/>
      <c r="DN253" s="143" t="n"/>
      <c r="DO253" s="156" t="n"/>
      <c r="DP253" s="157" t="n"/>
      <c r="DQ253" s="20">
        <f>SUM(CN253:DP253)</f>
        <v/>
      </c>
      <c r="DR253" s="20">
        <f>SUM(CV253:DP253)</f>
        <v/>
      </c>
      <c r="DS253" s="20">
        <f>IFERROR((IF(AND($F253="Produit Vente",CO253&gt;0),VLOOKUP($C253,'[1]Paramètres Articles'!$B:$H,7,FALSE)*$CO253)*(1-20%)),0)</f>
        <v/>
      </c>
      <c r="DT253" s="20">
        <f>IFERROR((IF(AND($F253="Produit Vente",DR253&gt;0),VLOOKUP($C253,'[1]Paramètres Articles'!$B:$H,6,FALSE)*$DR253)*(1-15%)),0)</f>
        <v/>
      </c>
    </row>
    <row r="254" hidden="1" outlineLevel="1" collapsed="1" ht="12.95" customHeight="1">
      <c r="B254" s="1">
        <f>IF(C254="",0,COUNTIFS($B$22:B253,"&gt;"&amp;0)+1)</f>
        <v/>
      </c>
      <c r="C254" s="90" t="n"/>
      <c r="D254" s="91">
        <f>IFERROR(IF($C254="","",VLOOKUP($C254,'[1]Paramètres Articles'!$B:$G,2,FALSE)),"Non Trouvé")</f>
        <v/>
      </c>
      <c r="E254" s="92">
        <f>IFERROR(IF($C254="","",_xlfn.XLOOKUP(REGENERANTS!$C254,'[1]New Base PA'!$F:$F,'[1]New Base PA'!$D:$D,"Not Found",0)),"Non Trouvé")</f>
        <v/>
      </c>
      <c r="F254" s="93" t="n"/>
      <c r="H254" s="106" t="n"/>
      <c r="J254" s="95">
        <f>IFERROR(IF($C254="","",VLOOKUP($C254,'[1]New Base PA'!$F:$J,5,FALSE)),"Non Trouvé")</f>
        <v/>
      </c>
      <c r="K254" s="136">
        <f>IFERROR(IF($C254="","",$J254*$H254),"Non Trouvé")</f>
        <v/>
      </c>
      <c r="L254" s="137" t="n"/>
      <c r="M254" s="95">
        <f>IFERROR(IF(AND($F254="Produit Vente",H254&gt;0),VLOOKUP($C254,'[1]Paramètres Articles'!$B:$G,6,FALSE),0),"Non Trouvé")</f>
        <v/>
      </c>
      <c r="N254" s="95">
        <f>IFERROR(IF($C254="","",$M254*$H254),"Non Trouvé")</f>
        <v/>
      </c>
      <c r="P254" s="97" t="n"/>
      <c r="R254" s="95">
        <f>IFERROR(IF($C254="","",$N254*(1-$P254)),"Non Trouvé")</f>
        <v/>
      </c>
      <c r="S254" s="96" t="n"/>
      <c r="T254" s="95">
        <f>IFERROR(IF($C254="","",VLOOKUP($C254,'[1]Paramètres Articles'!$B:$H,7,FALSE)),"Non Trouvé")</f>
        <v/>
      </c>
      <c r="U254" s="98" t="n"/>
      <c r="V254" s="95">
        <f>IFERROR(IF($C254="","",IF($P254="","",$T254*(1-$P254))),"Non Trouvé")</f>
        <v/>
      </c>
      <c r="W254" s="96" t="n"/>
      <c r="X254" s="95">
        <f>IFERROR(T254-V254,"")</f>
        <v/>
      </c>
      <c r="Y254" s="96" t="n"/>
      <c r="Z254" s="95">
        <f>IFERROR(IF(OR(T254=0,T254=""),0,T254*H254),"Non Trouvé")</f>
        <v/>
      </c>
      <c r="AB254" s="99">
        <f>AB253</f>
        <v/>
      </c>
      <c r="AC254" s="99">
        <f>AC253</f>
        <v/>
      </c>
      <c r="AD254" s="95">
        <f>IFERROR(IF($C254="","",IF($P$15="Cascade",$R254*(1-AC254)*AB254,IF($P$15="Additionnelle",($N254-($N254*($P254+AC254)))*AB254))),"Non Trouvé")</f>
        <v/>
      </c>
      <c r="AG254" s="99">
        <f>AG253</f>
        <v/>
      </c>
      <c r="AH254" s="99">
        <f>AH253</f>
        <v/>
      </c>
      <c r="AI254" s="95">
        <f>IFERROR(IF($C254="","",IF($P$15="Cascade",$R254*(1-AH254)*AG254,IF($P$15="Additionnelle",($N254-($N254*($P254+AH254)))*AG254))),"Non Trouvé")</f>
        <v/>
      </c>
      <c r="AL254" s="99">
        <f>AL253</f>
        <v/>
      </c>
      <c r="AM254" s="99">
        <f>AM253</f>
        <v/>
      </c>
      <c r="AN254" s="95">
        <f>IFERROR(IF($C254="","",IF($P$15="Cascade",$R254*(1-AM254)*AL254,IF($P$15="Additionnelle",($N254-($N254*($P254+AM254)))*AL254))),"Non Trouvé")</f>
        <v/>
      </c>
      <c r="AQ254" s="99">
        <f>AQ253</f>
        <v/>
      </c>
      <c r="AR254" s="99">
        <f>AR253</f>
        <v/>
      </c>
      <c r="AS254" s="95">
        <f>IFERROR(IF($C254="","",IF($P$15="Cascade",$R254*(1-AR254)*AQ254,IF($P$15="Additionnelle",($N254-($N254*($P254+AR254)))*AQ254))),"Non Trouvé")</f>
        <v/>
      </c>
      <c r="AV254" s="99">
        <f>AV253</f>
        <v/>
      </c>
      <c r="AW254" s="99">
        <f>AW253</f>
        <v/>
      </c>
      <c r="AX254" s="95">
        <f>IFERROR(IF($C254="","",IF($P$15="Cascade",$R254*(1-AW254)*AV254,IF($P$15="Additionnelle",($N254-($N254*($P254+AW254)))*AV254))),"Non Trouvé")</f>
        <v/>
      </c>
      <c r="BA254" s="99">
        <f>BA253</f>
        <v/>
      </c>
      <c r="BB254" s="99">
        <f>BB253</f>
        <v/>
      </c>
      <c r="BC254" s="95">
        <f>IFERROR(IF($C254="","",IF($P$15="Cascade",$R254*(1-BB254)*BA254,IF($P$15="Additionnelle",($N254-($N254*($P254+BB254)))*BA254))),"Non Trouvé")</f>
        <v/>
      </c>
      <c r="BF254" s="99">
        <f>BF253</f>
        <v/>
      </c>
      <c r="BG254" s="99">
        <f>BG253</f>
        <v/>
      </c>
      <c r="BH254" s="95">
        <f>IFERROR(IF($C254="","",IF($P$15="Cascade",$R254*(1-BG254)*BF254,IF($P$15="Additionnelle",($N254-($N254*($P254+BG254)))*BF254))),"Non Trouvé")</f>
        <v/>
      </c>
      <c r="BK254" s="99">
        <f>BK253</f>
        <v/>
      </c>
      <c r="BL254" s="99">
        <f>BL253</f>
        <v/>
      </c>
      <c r="BM254" s="95">
        <f>IFERROR(IF($C254="","",IF($P$15="Cascade",$R254*(1-BL254)*BK254,IF($P$15="Additionnelle",($N254-($N254*($P254+BL254)))*BK254))),"Non Trouvé")</f>
        <v/>
      </c>
      <c r="BP254" s="99">
        <f>BP253</f>
        <v/>
      </c>
      <c r="BQ254" s="99">
        <f>BQ253</f>
        <v/>
      </c>
      <c r="BR254" s="95">
        <f>IFERROR(IF($C254="","",IF($P$15="Cascade",$R254*(1-BQ254)*BP254,IF($P$15="Additionnelle",($N254-($N254*($P254+BQ254)))*BP254))),"Non Trouvé")</f>
        <v/>
      </c>
      <c r="BU254" s="99">
        <f>BU253</f>
        <v/>
      </c>
      <c r="BV254" s="99">
        <f>BV253</f>
        <v/>
      </c>
      <c r="BW254" s="95">
        <f>IFERROR(IF($C254="","",IF($P$15="Cascade",$R254*(1-BV254)*BU254,IF($P$15="Additionnelle",($N254-($N254*($P254+BV254)))*BU254))),"Non Trouvé")</f>
        <v/>
      </c>
      <c r="BZ254" s="99">
        <f>BZ253</f>
        <v/>
      </c>
      <c r="CA254" s="99">
        <f>CA253</f>
        <v/>
      </c>
      <c r="CB254" s="95">
        <f>IFERROR(IF($C254="","",IF($P$15="Cascade",$R254*(1-CA254)*BZ254,IF($P$15="Additionnelle",($N254-($N254*($P254+CA254)))*BZ254))),"Non Trouvé")</f>
        <v/>
      </c>
      <c r="CE254" s="100" t="n"/>
      <c r="CF254" s="101" t="n"/>
      <c r="CG254" s="102" t="n"/>
      <c r="CH254" s="102" t="n"/>
      <c r="CI254" s="103" t="n"/>
      <c r="CK254" s="104">
        <f>IFERROR(IF(F254='[1]Paramètres Généraux'!$K$12,ROUNDUP((REGENERANTS!H254*REGENERANTS!$CF$221)*'[1]Paramètres Généraux'!$M$12,-1),REGENERANTS!H254*REGENERANTS!$CF$221),"nd")</f>
        <v/>
      </c>
      <c r="CN254" s="153" t="n"/>
      <c r="CO254" s="154" t="n"/>
      <c r="CP254" s="154" t="n"/>
      <c r="CQ254" s="154" t="n"/>
      <c r="CR254" s="154" t="n"/>
      <c r="CS254" s="180" t="n"/>
      <c r="CT254" s="181" t="n"/>
      <c r="CU254" s="154" t="n"/>
      <c r="CV254" s="180" t="n"/>
      <c r="CW254" s="157" t="n"/>
      <c r="CX254" s="156" t="n"/>
      <c r="CY254" s="157" t="n"/>
      <c r="CZ254" s="143" t="n"/>
      <c r="DA254" s="156" t="n"/>
      <c r="DB254" s="157" t="n"/>
      <c r="DC254" s="143" t="n"/>
      <c r="DD254" s="156" t="n"/>
      <c r="DE254" s="157" t="n"/>
      <c r="DF254" s="143" t="n"/>
      <c r="DG254" s="143" t="n"/>
      <c r="DH254" s="143" t="n"/>
      <c r="DI254" s="143" t="n"/>
      <c r="DJ254" s="143" t="n"/>
      <c r="DK254" s="143" t="n"/>
      <c r="DL254" s="143" t="n"/>
      <c r="DM254" s="143" t="n"/>
      <c r="DN254" s="143" t="n"/>
      <c r="DO254" s="156" t="n"/>
      <c r="DP254" s="157" t="n"/>
      <c r="DQ254" s="20">
        <f>SUM(CN254:DP254)</f>
        <v/>
      </c>
      <c r="DR254" s="20">
        <f>SUM(CV254:DP254)</f>
        <v/>
      </c>
      <c r="DS254" s="20">
        <f>IFERROR((IF(AND($F254="Produit Vente",CO254&gt;0),VLOOKUP($C254,'[1]Paramètres Articles'!$B:$H,7,FALSE)*$CO254)*(1-20%)),0)</f>
        <v/>
      </c>
      <c r="DT254" s="20">
        <f>IFERROR((IF(AND($F254="Produit Vente",DR254&gt;0),VLOOKUP($C254,'[1]Paramètres Articles'!$B:$H,6,FALSE)*$DR254)*(1-15%)),0)</f>
        <v/>
      </c>
    </row>
    <row r="255" hidden="1" outlineLevel="1" collapsed="1" ht="12.95" customHeight="1">
      <c r="B255" s="1">
        <f>IF(C255="",0,COUNTIFS($B$22:B254,"&gt;"&amp;0)+1)</f>
        <v/>
      </c>
      <c r="C255" s="90" t="n"/>
      <c r="D255" s="91">
        <f>IFERROR(IF($C255="","",VLOOKUP($C255,'[1]Paramètres Articles'!$B:$G,2,FALSE)),"Non Trouvé")</f>
        <v/>
      </c>
      <c r="E255" s="92">
        <f>IFERROR(IF($C255="","",_xlfn.XLOOKUP(REGENERANTS!$C255,'[1]New Base PA'!$F:$F,'[1]New Base PA'!$D:$D,"Not Found",0)),"Non Trouvé")</f>
        <v/>
      </c>
      <c r="F255" s="93" t="n"/>
      <c r="H255" s="106" t="n"/>
      <c r="J255" s="95">
        <f>IFERROR(IF($C255="","",VLOOKUP($C255,'[1]New Base PA'!$F:$J,5,FALSE)),"Non Trouvé")</f>
        <v/>
      </c>
      <c r="K255" s="136">
        <f>IFERROR(IF($C255="","",$J255*$H255),"Non Trouvé")</f>
        <v/>
      </c>
      <c r="L255" s="137" t="n"/>
      <c r="M255" s="95">
        <f>IFERROR(IF(AND($F255="Produit Vente",H255&gt;0),VLOOKUP($C255,'[1]Paramètres Articles'!$B:$G,6,FALSE),0),"Non Trouvé")</f>
        <v/>
      </c>
      <c r="N255" s="95">
        <f>IFERROR(IF($C255="","",$M255*$H255),"Non Trouvé")</f>
        <v/>
      </c>
      <c r="P255" s="97" t="n"/>
      <c r="R255" s="95">
        <f>IFERROR(IF($C255="","",$N255*(1-$P255)),"Non Trouvé")</f>
        <v/>
      </c>
      <c r="S255" s="96" t="n"/>
      <c r="T255" s="95">
        <f>IFERROR(IF($C255="","",VLOOKUP($C255,'[1]Paramètres Articles'!$B:$H,7,FALSE)),"Non Trouvé")</f>
        <v/>
      </c>
      <c r="U255" s="98" t="n"/>
      <c r="V255" s="95">
        <f>IFERROR(IF($C255="","",IF($P255="","",$T255*(1-$P255))),"Non Trouvé")</f>
        <v/>
      </c>
      <c r="W255" s="96" t="n"/>
      <c r="X255" s="95">
        <f>IFERROR(T255-V255,"")</f>
        <v/>
      </c>
      <c r="Y255" s="96" t="n"/>
      <c r="Z255" s="95">
        <f>IFERROR(IF(OR(T255=0,T255=""),0,T255*H255),"Non Trouvé")</f>
        <v/>
      </c>
      <c r="AB255" s="99">
        <f>AB253</f>
        <v/>
      </c>
      <c r="AC255" s="99">
        <f>AC253</f>
        <v/>
      </c>
      <c r="AD255" s="95">
        <f>IFERROR(IF($C255="","",IF($P$15="Cascade",$R255*(1-AC255)*AB255,IF($P$15="Additionnelle",($N255-($N255*($P255+AC255)))*AB255))),"Non Trouvé")</f>
        <v/>
      </c>
      <c r="AG255" s="99">
        <f>AG253</f>
        <v/>
      </c>
      <c r="AH255" s="99">
        <f>AH253</f>
        <v/>
      </c>
      <c r="AI255" s="95">
        <f>IFERROR(IF($C255="","",IF($P$15="Cascade",$R255*(1-AH255)*AG255,IF($P$15="Additionnelle",($N255-($N255*($P255+AH255)))*AG255))),"Non Trouvé")</f>
        <v/>
      </c>
      <c r="AL255" s="99">
        <f>AL253</f>
        <v/>
      </c>
      <c r="AM255" s="99">
        <f>AM253</f>
        <v/>
      </c>
      <c r="AN255" s="95">
        <f>IFERROR(IF($C255="","",IF($P$15="Cascade",$R255*(1-AM255)*AL255,IF($P$15="Additionnelle",($N255-($N255*($P255+AM255)))*AL255))),"Non Trouvé")</f>
        <v/>
      </c>
      <c r="AQ255" s="99">
        <f>AQ253</f>
        <v/>
      </c>
      <c r="AR255" s="99">
        <f>AR253</f>
        <v/>
      </c>
      <c r="AS255" s="95">
        <f>IFERROR(IF($C255="","",IF($P$15="Cascade",$R255*(1-AR255)*AQ255,IF($P$15="Additionnelle",($N255-($N255*($P255+AR255)))*AQ255))),"Non Trouvé")</f>
        <v/>
      </c>
      <c r="AV255" s="99">
        <f>AV253</f>
        <v/>
      </c>
      <c r="AW255" s="99">
        <f>AW253</f>
        <v/>
      </c>
      <c r="AX255" s="95">
        <f>IFERROR(IF($C255="","",IF($P$15="Cascade",$R255*(1-AW255)*AV255,IF($P$15="Additionnelle",($N255-($N255*($P255+AW255)))*AV255))),"Non Trouvé")</f>
        <v/>
      </c>
      <c r="BA255" s="99">
        <f>BA253</f>
        <v/>
      </c>
      <c r="BB255" s="99">
        <f>BB253</f>
        <v/>
      </c>
      <c r="BC255" s="95">
        <f>IFERROR(IF($C255="","",IF($P$15="Cascade",$R255*(1-BB255)*BA255,IF($P$15="Additionnelle",($N255-($N255*($P255+BB255)))*BA255))),"Non Trouvé")</f>
        <v/>
      </c>
      <c r="BF255" s="99">
        <f>BF253</f>
        <v/>
      </c>
      <c r="BG255" s="99">
        <f>BG253</f>
        <v/>
      </c>
      <c r="BH255" s="95">
        <f>IFERROR(IF($C255="","",IF($P$15="Cascade",$R255*(1-BG255)*BF255,IF($P$15="Additionnelle",($N255-($N255*($P255+BG255)))*BF255))),"Non Trouvé")</f>
        <v/>
      </c>
      <c r="BK255" s="99">
        <f>BK253</f>
        <v/>
      </c>
      <c r="BL255" s="99">
        <f>BL253</f>
        <v/>
      </c>
      <c r="BM255" s="95">
        <f>IFERROR(IF($C255="","",IF($P$15="Cascade",$R255*(1-BL255)*BK255,IF($P$15="Additionnelle",($N255-($N255*($P255+BL255)))*BK255))),"Non Trouvé")</f>
        <v/>
      </c>
      <c r="BP255" s="99">
        <f>BP253</f>
        <v/>
      </c>
      <c r="BQ255" s="99">
        <f>BQ253</f>
        <v/>
      </c>
      <c r="BR255" s="95">
        <f>IFERROR(IF($C255="","",IF($P$15="Cascade",$R255*(1-BQ255)*BP255,IF($P$15="Additionnelle",($N255-($N255*($P255+BQ255)))*BP255))),"Non Trouvé")</f>
        <v/>
      </c>
      <c r="BU255" s="99">
        <f>BU253</f>
        <v/>
      </c>
      <c r="BV255" s="99">
        <f>BV253</f>
        <v/>
      </c>
      <c r="BW255" s="95">
        <f>IFERROR(IF($C255="","",IF($P$15="Cascade",$R255*(1-BV255)*BU255,IF($P$15="Additionnelle",($N255-($N255*($P255+BV255)))*BU255))),"Non Trouvé")</f>
        <v/>
      </c>
      <c r="BZ255" s="99">
        <f>BZ253</f>
        <v/>
      </c>
      <c r="CA255" s="99">
        <f>CA253</f>
        <v/>
      </c>
      <c r="CB255" s="95">
        <f>IFERROR(IF($C255="","",IF($P$15="Cascade",$R255*(1-CA255)*BZ255,IF($P$15="Additionnelle",($N255-($N255*($P255+CA255)))*BZ255))),"Non Trouvé")</f>
        <v/>
      </c>
      <c r="CE255" s="100" t="n"/>
      <c r="CF255" s="101" t="n"/>
      <c r="CG255" s="102" t="n"/>
      <c r="CH255" s="102" t="n"/>
      <c r="CI255" s="103" t="n"/>
      <c r="CK255" s="104">
        <f>IFERROR(IF(F255='[1]Paramètres Généraux'!$K$12,ROUNDUP((REGENERANTS!H255*REGENERANTS!$CF$221)*'[1]Paramètres Généraux'!$M$12,-1),REGENERANTS!H255*REGENERANTS!$CF$221),"nd")</f>
        <v/>
      </c>
      <c r="CN255" s="153" t="n"/>
      <c r="CO255" s="154" t="n"/>
      <c r="CP255" s="154" t="n"/>
      <c r="CQ255" s="154" t="n"/>
      <c r="CR255" s="154" t="n"/>
      <c r="CS255" s="180" t="n"/>
      <c r="CT255" s="181" t="n"/>
      <c r="CU255" s="154" t="n"/>
      <c r="CV255" s="180" t="n"/>
      <c r="CW255" s="157" t="n"/>
      <c r="CX255" s="156" t="n"/>
      <c r="CY255" s="157" t="n"/>
      <c r="CZ255" s="143" t="n"/>
      <c r="DA255" s="156" t="n"/>
      <c r="DB255" s="157" t="n"/>
      <c r="DC255" s="143" t="n"/>
      <c r="DD255" s="156" t="n"/>
      <c r="DE255" s="157" t="n"/>
      <c r="DF255" s="143" t="n"/>
      <c r="DG255" s="143" t="n"/>
      <c r="DH255" s="143" t="n"/>
      <c r="DI255" s="143" t="n"/>
      <c r="DJ255" s="143" t="n"/>
      <c r="DK255" s="143" t="n"/>
      <c r="DL255" s="143" t="n"/>
      <c r="DM255" s="143" t="n"/>
      <c r="DN255" s="143" t="n"/>
      <c r="DO255" s="156" t="n"/>
      <c r="DP255" s="157" t="n"/>
      <c r="DQ255" s="20">
        <f>SUM(CN255:DP255)</f>
        <v/>
      </c>
      <c r="DR255" s="20">
        <f>SUM(CV255:DP255)</f>
        <v/>
      </c>
      <c r="DS255" s="20">
        <f>IFERROR((IF(AND($F255="Produit Vente",CO255&gt;0),VLOOKUP($C255,'[1]Paramètres Articles'!$B:$H,7,FALSE)*$CO255)*(1-20%)),0)</f>
        <v/>
      </c>
      <c r="DT255" s="20">
        <f>IFERROR((IF(AND($F255="Produit Vente",DR255&gt;0),VLOOKUP($C255,'[1]Paramètres Articles'!$B:$H,6,FALSE)*$DR255)*(1-15%)),0)</f>
        <v/>
      </c>
    </row>
    <row r="256" hidden="1" outlineLevel="1" collapsed="1" ht="12.95" customHeight="1">
      <c r="B256" s="1">
        <f>IF(C256="",0,COUNTIFS($B$22:B255,"&gt;"&amp;0)+1)</f>
        <v/>
      </c>
      <c r="C256" s="90" t="n"/>
      <c r="D256" s="91">
        <f>IFERROR(IF($C256="","",VLOOKUP($C256,'[1]Paramètres Articles'!$B:$G,2,FALSE)),"Non Trouvé")</f>
        <v/>
      </c>
      <c r="E256" s="92">
        <f>IFERROR(IF($C256="","",_xlfn.XLOOKUP(REGENERANTS!$C256,'[1]New Base PA'!$F:$F,'[1]New Base PA'!$D:$D,"Not Found",0)),"Non Trouvé")</f>
        <v/>
      </c>
      <c r="F256" s="93" t="n"/>
      <c r="H256" s="106" t="n"/>
      <c r="J256" s="95">
        <f>IFERROR(IF($C256="","",VLOOKUP($C256,'[1]New Base PA'!$F:$J,5,FALSE)),"Non Trouvé")</f>
        <v/>
      </c>
      <c r="K256" s="136">
        <f>IFERROR(IF($C256="","",$J256*$H256),"Non Trouvé")</f>
        <v/>
      </c>
      <c r="L256" s="137" t="n"/>
      <c r="M256" s="95">
        <f>IFERROR(IF(AND($F256="Produit Vente",H256&gt;0),VLOOKUP($C256,'[1]Paramètres Articles'!$B:$G,6,FALSE),0),"Non Trouvé")</f>
        <v/>
      </c>
      <c r="N256" s="95">
        <f>IFERROR(IF($C256="","",$M256*$H256),"Non Trouvé")</f>
        <v/>
      </c>
      <c r="P256" s="97" t="n"/>
      <c r="R256" s="95">
        <f>IFERROR(IF($C256="","",$N256*(1-$P256)),"Non Trouvé")</f>
        <v/>
      </c>
      <c r="S256" s="96" t="n"/>
      <c r="T256" s="95">
        <f>IFERROR(IF($C256="","",VLOOKUP($C256,'[1]Paramètres Articles'!$B:$H,7,FALSE)),"Non Trouvé")</f>
        <v/>
      </c>
      <c r="U256" s="98" t="n"/>
      <c r="V256" s="95">
        <f>IFERROR(IF($C256="","",IF($P256="","",$T256*(1-$P256))),"Non Trouvé")</f>
        <v/>
      </c>
      <c r="W256" s="96" t="n"/>
      <c r="X256" s="95">
        <f>IFERROR(T256-V256,"")</f>
        <v/>
      </c>
      <c r="Y256" s="96" t="n"/>
      <c r="Z256" s="95">
        <f>IFERROR(IF(OR(T256=0,T256=""),0,T256*H256),"Non Trouvé")</f>
        <v/>
      </c>
      <c r="AB256" s="99">
        <f>AB255</f>
        <v/>
      </c>
      <c r="AC256" s="99">
        <f>AC255</f>
        <v/>
      </c>
      <c r="AD256" s="95">
        <f>IFERROR(IF($C256="","",IF($P$15="Cascade",$R256*(1-AC256)*AB256,IF($P$15="Additionnelle",($N256-($N256*($P256+AC256)))*AB256))),"Non Trouvé")</f>
        <v/>
      </c>
      <c r="AG256" s="99">
        <f>AG255</f>
        <v/>
      </c>
      <c r="AH256" s="99">
        <f>AH255</f>
        <v/>
      </c>
      <c r="AI256" s="95">
        <f>IFERROR(IF($C256="","",IF($P$15="Cascade",$R256*(1-AH256)*AG256,IF($P$15="Additionnelle",($N256-($N256*($P256+AH256)))*AG256))),"Non Trouvé")</f>
        <v/>
      </c>
      <c r="AL256" s="99">
        <f>AL255</f>
        <v/>
      </c>
      <c r="AM256" s="99">
        <f>AM255</f>
        <v/>
      </c>
      <c r="AN256" s="95">
        <f>IFERROR(IF($C256="","",IF($P$15="Cascade",$R256*(1-AM256)*AL256,IF($P$15="Additionnelle",($N256-($N256*($P256+AM256)))*AL256))),"Non Trouvé")</f>
        <v/>
      </c>
      <c r="AQ256" s="99">
        <f>AQ255</f>
        <v/>
      </c>
      <c r="AR256" s="99">
        <f>AR255</f>
        <v/>
      </c>
      <c r="AS256" s="95">
        <f>IFERROR(IF($C256="","",IF($P$15="Cascade",$R256*(1-AR256)*AQ256,IF($P$15="Additionnelle",($N256-($N256*($P256+AR256)))*AQ256))),"Non Trouvé")</f>
        <v/>
      </c>
      <c r="AV256" s="99">
        <f>AV255</f>
        <v/>
      </c>
      <c r="AW256" s="99">
        <f>AW255</f>
        <v/>
      </c>
      <c r="AX256" s="95">
        <f>IFERROR(IF($C256="","",IF($P$15="Cascade",$R256*(1-AW256)*AV256,IF($P$15="Additionnelle",($N256-($N256*($P256+AW256)))*AV256))),"Non Trouvé")</f>
        <v/>
      </c>
      <c r="BA256" s="99">
        <f>BA255</f>
        <v/>
      </c>
      <c r="BB256" s="99">
        <f>BB255</f>
        <v/>
      </c>
      <c r="BC256" s="95">
        <f>IFERROR(IF($C256="","",IF($P$15="Cascade",$R256*(1-BB256)*BA256,IF($P$15="Additionnelle",($N256-($N256*($P256+BB256)))*BA256))),"Non Trouvé")</f>
        <v/>
      </c>
      <c r="BF256" s="99">
        <f>BF255</f>
        <v/>
      </c>
      <c r="BG256" s="99">
        <f>BG255</f>
        <v/>
      </c>
      <c r="BH256" s="95">
        <f>IFERROR(IF($C256="","",IF($P$15="Cascade",$R256*(1-BG256)*BF256,IF($P$15="Additionnelle",($N256-($N256*($P256+BG256)))*BF256))),"Non Trouvé")</f>
        <v/>
      </c>
      <c r="BK256" s="99">
        <f>BK255</f>
        <v/>
      </c>
      <c r="BL256" s="99">
        <f>BL255</f>
        <v/>
      </c>
      <c r="BM256" s="95">
        <f>IFERROR(IF($C256="","",IF($P$15="Cascade",$R256*(1-BL256)*BK256,IF($P$15="Additionnelle",($N256-($N256*($P256+BL256)))*BK256))),"Non Trouvé")</f>
        <v/>
      </c>
      <c r="BP256" s="99">
        <f>BP255</f>
        <v/>
      </c>
      <c r="BQ256" s="99">
        <f>BQ255</f>
        <v/>
      </c>
      <c r="BR256" s="95">
        <f>IFERROR(IF($C256="","",IF($P$15="Cascade",$R256*(1-BQ256)*BP256,IF($P$15="Additionnelle",($N256-($N256*($P256+BQ256)))*BP256))),"Non Trouvé")</f>
        <v/>
      </c>
      <c r="BU256" s="99">
        <f>BU255</f>
        <v/>
      </c>
      <c r="BV256" s="99">
        <f>BV255</f>
        <v/>
      </c>
      <c r="BW256" s="95">
        <f>IFERROR(IF($C256="","",IF($P$15="Cascade",$R256*(1-BV256)*BU256,IF($P$15="Additionnelle",($N256-($N256*($P256+BV256)))*BU256))),"Non Trouvé")</f>
        <v/>
      </c>
      <c r="BZ256" s="99">
        <f>BZ255</f>
        <v/>
      </c>
      <c r="CA256" s="99">
        <f>CA255</f>
        <v/>
      </c>
      <c r="CB256" s="95">
        <f>IFERROR(IF($C256="","",IF($P$15="Cascade",$R256*(1-CA256)*BZ256,IF($P$15="Additionnelle",($N256-($N256*($P256+CA256)))*BZ256))),"Non Trouvé")</f>
        <v/>
      </c>
      <c r="CE256" s="100" t="n"/>
      <c r="CF256" s="101" t="n"/>
      <c r="CG256" s="102" t="n"/>
      <c r="CH256" s="102" t="n"/>
      <c r="CI256" s="103" t="n"/>
      <c r="CK256" s="104">
        <f>IFERROR(IF(F256='[1]Paramètres Généraux'!$K$12,ROUNDUP((REGENERANTS!H256*REGENERANTS!$CF$221)*'[1]Paramètres Généraux'!$M$12,-1),REGENERANTS!H256*REGENERANTS!$CF$221),"nd")</f>
        <v/>
      </c>
      <c r="CN256" s="153" t="n"/>
      <c r="CO256" s="154" t="n"/>
      <c r="CP256" s="154" t="n"/>
      <c r="CQ256" s="154" t="n"/>
      <c r="CR256" s="154" t="n"/>
      <c r="CS256" s="180" t="n"/>
      <c r="CT256" s="181" t="n"/>
      <c r="CU256" s="154" t="n"/>
      <c r="CV256" s="180" t="n"/>
      <c r="CW256" s="157" t="n"/>
      <c r="CX256" s="156" t="n"/>
      <c r="CY256" s="157" t="n"/>
      <c r="CZ256" s="143" t="n"/>
      <c r="DA256" s="156" t="n"/>
      <c r="DB256" s="157" t="n"/>
      <c r="DC256" s="143" t="n"/>
      <c r="DD256" s="156" t="n"/>
      <c r="DE256" s="157" t="n"/>
      <c r="DF256" s="143" t="n"/>
      <c r="DG256" s="143" t="n"/>
      <c r="DH256" s="143" t="n"/>
      <c r="DI256" s="143" t="n"/>
      <c r="DJ256" s="143" t="n"/>
      <c r="DK256" s="143" t="n"/>
      <c r="DL256" s="143" t="n"/>
      <c r="DM256" s="143" t="n"/>
      <c r="DN256" s="143" t="n"/>
      <c r="DO256" s="156" t="n"/>
      <c r="DP256" s="157" t="n"/>
      <c r="DQ256" s="20">
        <f>SUM(CN256:DP256)</f>
        <v/>
      </c>
      <c r="DR256" s="20">
        <f>SUM(CV256:DP256)</f>
        <v/>
      </c>
      <c r="DS256" s="20">
        <f>IFERROR((IF(AND($F256="Produit Vente",CO256&gt;0),VLOOKUP($C256,'[1]Paramètres Articles'!$B:$H,7,FALSE)*$CO256)*(1-20%)),0)</f>
        <v/>
      </c>
      <c r="DT256" s="20">
        <f>IFERROR((IF(AND($F256="Produit Vente",DR256&gt;0),VLOOKUP($C256,'[1]Paramètres Articles'!$B:$H,6,FALSE)*$DR256)*(1-15%)),0)</f>
        <v/>
      </c>
    </row>
    <row r="257" hidden="1" outlineLevel="1" collapsed="1" ht="12.95" customHeight="1">
      <c r="B257" s="1">
        <f>IF(C257="",0,COUNTIFS($B$22:B256,"&gt;"&amp;0)+1)</f>
        <v/>
      </c>
      <c r="C257" s="90" t="n"/>
      <c r="D257" s="91">
        <f>IFERROR(IF($C257="","",VLOOKUP($C257,'[1]Paramètres Articles'!$B:$G,2,FALSE)),"Non Trouvé")</f>
        <v/>
      </c>
      <c r="E257" s="92">
        <f>IFERROR(IF($C257="","",_xlfn.XLOOKUP(REGENERANTS!$C257,'[1]New Base PA'!$F:$F,'[1]New Base PA'!$D:$D,"Not Found",0)),"Non Trouvé")</f>
        <v/>
      </c>
      <c r="F257" s="93" t="n"/>
      <c r="H257" s="106" t="n"/>
      <c r="J257" s="95">
        <f>IFERROR(IF($C257="","",VLOOKUP($C257,'[1]New Base PA'!$F:$J,5,FALSE)),"Non Trouvé")</f>
        <v/>
      </c>
      <c r="K257" s="136">
        <f>IFERROR(IF($C257="","",$J257*$H257),"Non Trouvé")</f>
        <v/>
      </c>
      <c r="L257" s="137" t="n"/>
      <c r="M257" s="95">
        <f>IFERROR(IF(AND($F257="Produit Vente",H257&gt;0),VLOOKUP($C257,'[1]Paramètres Articles'!$B:$G,6,FALSE),0),"Non Trouvé")</f>
        <v/>
      </c>
      <c r="N257" s="95">
        <f>IFERROR(IF($C257="","",$M257*$H257),"Non Trouvé")</f>
        <v/>
      </c>
      <c r="P257" s="97" t="n"/>
      <c r="R257" s="95">
        <f>IFERROR(IF($C257="","",$N257*(1-$P257)),"Non Trouvé")</f>
        <v/>
      </c>
      <c r="S257" s="96" t="n"/>
      <c r="T257" s="95">
        <f>IFERROR(IF($C257="","",VLOOKUP($C257,'[1]Paramètres Articles'!$B:$H,7,FALSE)),"Non Trouvé")</f>
        <v/>
      </c>
      <c r="U257" s="98" t="n"/>
      <c r="V257" s="95">
        <f>IFERROR(IF($C257="","",IF($P257="","",$T257*(1-$P257))),"Non Trouvé")</f>
        <v/>
      </c>
      <c r="W257" s="96" t="n"/>
      <c r="X257" s="95">
        <f>IFERROR(T257-V257,"")</f>
        <v/>
      </c>
      <c r="Y257" s="96" t="n"/>
      <c r="Z257" s="95">
        <f>IFERROR(IF(OR(T257=0,T257=""),0,T257*H257),"Non Trouvé")</f>
        <v/>
      </c>
      <c r="AB257" s="99">
        <f>AB255</f>
        <v/>
      </c>
      <c r="AC257" s="99">
        <f>AC255</f>
        <v/>
      </c>
      <c r="AD257" s="95">
        <f>IFERROR(IF($C257="","",IF($P$15="Cascade",$R257*(1-AC257)*AB257,IF($P$15="Additionnelle",($N257-($N257*($P257+AC257)))*AB257))),"Non Trouvé")</f>
        <v/>
      </c>
      <c r="AG257" s="99">
        <f>AG255</f>
        <v/>
      </c>
      <c r="AH257" s="99">
        <f>AH255</f>
        <v/>
      </c>
      <c r="AI257" s="95">
        <f>IFERROR(IF($C257="","",IF($P$15="Cascade",$R257*(1-AH257)*AG257,IF($P$15="Additionnelle",($N257-($N257*($P257+AH257)))*AG257))),"Non Trouvé")</f>
        <v/>
      </c>
      <c r="AL257" s="99">
        <f>AL255</f>
        <v/>
      </c>
      <c r="AM257" s="99">
        <f>AM255</f>
        <v/>
      </c>
      <c r="AN257" s="95">
        <f>IFERROR(IF($C257="","",IF($P$15="Cascade",$R257*(1-AM257)*AL257,IF($P$15="Additionnelle",($N257-($N257*($P257+AM257)))*AL257))),"Non Trouvé")</f>
        <v/>
      </c>
      <c r="AQ257" s="99">
        <f>AQ255</f>
        <v/>
      </c>
      <c r="AR257" s="99">
        <f>AR255</f>
        <v/>
      </c>
      <c r="AS257" s="95">
        <f>IFERROR(IF($C257="","",IF($P$15="Cascade",$R257*(1-AR257)*AQ257,IF($P$15="Additionnelle",($N257-($N257*($P257+AR257)))*AQ257))),"Non Trouvé")</f>
        <v/>
      </c>
      <c r="AV257" s="99">
        <f>AV255</f>
        <v/>
      </c>
      <c r="AW257" s="99">
        <f>AW255</f>
        <v/>
      </c>
      <c r="AX257" s="95">
        <f>IFERROR(IF($C257="","",IF($P$15="Cascade",$R257*(1-AW257)*AV257,IF($P$15="Additionnelle",($N257-($N257*($P257+AW257)))*AV257))),"Non Trouvé")</f>
        <v/>
      </c>
      <c r="BA257" s="99">
        <f>BA255</f>
        <v/>
      </c>
      <c r="BB257" s="99">
        <f>BB255</f>
        <v/>
      </c>
      <c r="BC257" s="95">
        <f>IFERROR(IF($C257="","",IF($P$15="Cascade",$R257*(1-BB257)*BA257,IF($P$15="Additionnelle",($N257-($N257*($P257+BB257)))*BA257))),"Non Trouvé")</f>
        <v/>
      </c>
      <c r="BF257" s="99">
        <f>BF255</f>
        <v/>
      </c>
      <c r="BG257" s="99">
        <f>BG255</f>
        <v/>
      </c>
      <c r="BH257" s="95">
        <f>IFERROR(IF($C257="","",IF($P$15="Cascade",$R257*(1-BG257)*BF257,IF($P$15="Additionnelle",($N257-($N257*($P257+BG257)))*BF257))),"Non Trouvé")</f>
        <v/>
      </c>
      <c r="BK257" s="99">
        <f>BK255</f>
        <v/>
      </c>
      <c r="BL257" s="99">
        <f>BL255</f>
        <v/>
      </c>
      <c r="BM257" s="95">
        <f>IFERROR(IF($C257="","",IF($P$15="Cascade",$R257*(1-BL257)*BK257,IF($P$15="Additionnelle",($N257-($N257*($P257+BL257)))*BK257))),"Non Trouvé")</f>
        <v/>
      </c>
      <c r="BP257" s="99">
        <f>BP255</f>
        <v/>
      </c>
      <c r="BQ257" s="99">
        <f>BQ255</f>
        <v/>
      </c>
      <c r="BR257" s="95">
        <f>IFERROR(IF($C257="","",IF($P$15="Cascade",$R257*(1-BQ257)*BP257,IF($P$15="Additionnelle",($N257-($N257*($P257+BQ257)))*BP257))),"Non Trouvé")</f>
        <v/>
      </c>
      <c r="BU257" s="99">
        <f>BU255</f>
        <v/>
      </c>
      <c r="BV257" s="99">
        <f>BV255</f>
        <v/>
      </c>
      <c r="BW257" s="95">
        <f>IFERROR(IF($C257="","",IF($P$15="Cascade",$R257*(1-BV257)*BU257,IF($P$15="Additionnelle",($N257-($N257*($P257+BV257)))*BU257))),"Non Trouvé")</f>
        <v/>
      </c>
      <c r="BZ257" s="99">
        <f>BZ255</f>
        <v/>
      </c>
      <c r="CA257" s="99">
        <f>CA255</f>
        <v/>
      </c>
      <c r="CB257" s="95">
        <f>IFERROR(IF($C257="","",IF($P$15="Cascade",$R257*(1-CA257)*BZ257,IF($P$15="Additionnelle",($N257-($N257*($P257+CA257)))*BZ257))),"Non Trouvé")</f>
        <v/>
      </c>
      <c r="CE257" s="100" t="n"/>
      <c r="CF257" s="101" t="n"/>
      <c r="CG257" s="102" t="n"/>
      <c r="CH257" s="102" t="n"/>
      <c r="CI257" s="103" t="n"/>
      <c r="CK257" s="104">
        <f>IFERROR(IF(F257='[1]Paramètres Généraux'!$K$12,ROUNDUP((REGENERANTS!H257*REGENERANTS!$CF$221)*'[1]Paramètres Généraux'!$M$12,-1),REGENERANTS!H257*REGENERANTS!$CF$221),"nd")</f>
        <v/>
      </c>
      <c r="CN257" s="153" t="n"/>
      <c r="CO257" s="154" t="n"/>
      <c r="CP257" s="154" t="n"/>
      <c r="CQ257" s="154" t="n"/>
      <c r="CR257" s="154" t="n"/>
      <c r="CS257" s="180" t="n"/>
      <c r="CT257" s="181" t="n"/>
      <c r="CU257" s="154" t="n"/>
      <c r="CV257" s="180" t="n"/>
      <c r="CW257" s="157" t="n"/>
      <c r="CX257" s="156" t="n"/>
      <c r="CY257" s="157" t="n"/>
      <c r="CZ257" s="143" t="n"/>
      <c r="DA257" s="156" t="n"/>
      <c r="DB257" s="157" t="n"/>
      <c r="DC257" s="143" t="n"/>
      <c r="DD257" s="156" t="n"/>
      <c r="DE257" s="157" t="n"/>
      <c r="DF257" s="143" t="n"/>
      <c r="DG257" s="143" t="n"/>
      <c r="DH257" s="143" t="n"/>
      <c r="DI257" s="143" t="n"/>
      <c r="DJ257" s="143" t="n"/>
      <c r="DK257" s="143" t="n"/>
      <c r="DL257" s="143" t="n"/>
      <c r="DM257" s="143" t="n"/>
      <c r="DN257" s="143" t="n"/>
      <c r="DO257" s="156" t="n"/>
      <c r="DP257" s="157" t="n"/>
      <c r="DQ257" s="20">
        <f>SUM(CN257:DP257)</f>
        <v/>
      </c>
      <c r="DR257" s="20">
        <f>SUM(CV257:DP257)</f>
        <v/>
      </c>
      <c r="DS257" s="20">
        <f>IFERROR((IF(AND($F257="Produit Vente",CO257&gt;0),VLOOKUP($C257,'[1]Paramètres Articles'!$B:$H,7,FALSE)*$CO257)*(1-20%)),0)</f>
        <v/>
      </c>
      <c r="DT257" s="20">
        <f>IFERROR((IF(AND($F257="Produit Vente",DR257&gt;0),VLOOKUP($C257,'[1]Paramètres Articles'!$B:$H,6,FALSE)*$DR257)*(1-15%)),0)</f>
        <v/>
      </c>
    </row>
    <row r="258" hidden="1" outlineLevel="1" collapsed="1" ht="12.95" customHeight="1">
      <c r="B258" s="1">
        <f>IF(C258="",0,COUNTIFS($B$22:B257,"&gt;"&amp;0)+1)</f>
        <v/>
      </c>
      <c r="C258" s="90" t="n"/>
      <c r="D258" s="91">
        <f>IFERROR(IF($C258="","",VLOOKUP($C258,'[1]Paramètres Articles'!$B:$G,2,FALSE)),"Non Trouvé")</f>
        <v/>
      </c>
      <c r="E258" s="92">
        <f>IFERROR(IF($C258="","",_xlfn.XLOOKUP(REGENERANTS!$C258,'[1]New Base PA'!$F:$F,'[1]New Base PA'!$D:$D,"Not Found",0)),"Non Trouvé")</f>
        <v/>
      </c>
      <c r="F258" s="93" t="n"/>
      <c r="H258" s="106" t="n"/>
      <c r="J258" s="95">
        <f>IFERROR(IF($C258="","",VLOOKUP($C258,'[1]New Base PA'!$F:$J,5,FALSE)),"Non Trouvé")</f>
        <v/>
      </c>
      <c r="K258" s="136">
        <f>IFERROR(IF($C258="","",$J258*$H258),"Non Trouvé")</f>
        <v/>
      </c>
      <c r="L258" s="137" t="n"/>
      <c r="M258" s="95">
        <f>IFERROR(IF(AND($F258="Produit Vente",H258&gt;0),VLOOKUP($C258,'[1]Paramètres Articles'!$B:$G,6,FALSE),0),"Non Trouvé")</f>
        <v/>
      </c>
      <c r="N258" s="95">
        <f>IFERROR(IF($C258="","",$M258*$H258),"Non Trouvé")</f>
        <v/>
      </c>
      <c r="P258" s="97" t="n"/>
      <c r="R258" s="95">
        <f>IFERROR(IF($C258="","",$N258*(1-$P258)),"Non Trouvé")</f>
        <v/>
      </c>
      <c r="S258" s="96" t="n"/>
      <c r="T258" s="95">
        <f>IFERROR(IF($C258="","",VLOOKUP($C258,'[1]Paramètres Articles'!$B:$H,7,FALSE)),"Non Trouvé")</f>
        <v/>
      </c>
      <c r="U258" s="98" t="n"/>
      <c r="V258" s="95">
        <f>IFERROR(IF($C258="","",IF($P258="","",$T258*(1-$P258))),"Non Trouvé")</f>
        <v/>
      </c>
      <c r="W258" s="96" t="n"/>
      <c r="X258" s="95">
        <f>IFERROR(T258-V258,"")</f>
        <v/>
      </c>
      <c r="Y258" s="96" t="n"/>
      <c r="Z258" s="95">
        <f>IFERROR(IF(OR(T258=0,T258=""),0,T258*H258),"Non Trouvé")</f>
        <v/>
      </c>
      <c r="AB258" s="99">
        <f>AB257</f>
        <v/>
      </c>
      <c r="AC258" s="99">
        <f>AC257</f>
        <v/>
      </c>
      <c r="AD258" s="95">
        <f>IFERROR(IF($C258="","",IF($P$15="Cascade",$R258*(1-AC258)*AB258,IF($P$15="Additionnelle",($N258-($N258*($P258+AC258)))*AB258))),"Non Trouvé")</f>
        <v/>
      </c>
      <c r="AG258" s="99">
        <f>AG257</f>
        <v/>
      </c>
      <c r="AH258" s="99">
        <f>AH257</f>
        <v/>
      </c>
      <c r="AI258" s="95">
        <f>IFERROR(IF($C258="","",IF($P$15="Cascade",$R258*(1-AH258)*AG258,IF($P$15="Additionnelle",($N258-($N258*($P258+AH258)))*AG258))),"Non Trouvé")</f>
        <v/>
      </c>
      <c r="AL258" s="99">
        <f>AL257</f>
        <v/>
      </c>
      <c r="AM258" s="99">
        <f>AM257</f>
        <v/>
      </c>
      <c r="AN258" s="95">
        <f>IFERROR(IF($C258="","",IF($P$15="Cascade",$R258*(1-AM258)*AL258,IF($P$15="Additionnelle",($N258-($N258*($P258+AM258)))*AL258))),"Non Trouvé")</f>
        <v/>
      </c>
      <c r="AQ258" s="99">
        <f>AQ257</f>
        <v/>
      </c>
      <c r="AR258" s="99">
        <f>AR257</f>
        <v/>
      </c>
      <c r="AS258" s="95">
        <f>IFERROR(IF($C258="","",IF($P$15="Cascade",$R258*(1-AR258)*AQ258,IF($P$15="Additionnelle",($N258-($N258*($P258+AR258)))*AQ258))),"Non Trouvé")</f>
        <v/>
      </c>
      <c r="AV258" s="99">
        <f>AV257</f>
        <v/>
      </c>
      <c r="AW258" s="99">
        <f>AW257</f>
        <v/>
      </c>
      <c r="AX258" s="95">
        <f>IFERROR(IF($C258="","",IF($P$15="Cascade",$R258*(1-AW258)*AV258,IF($P$15="Additionnelle",($N258-($N258*($P258+AW258)))*AV258))),"Non Trouvé")</f>
        <v/>
      </c>
      <c r="BA258" s="99">
        <f>BA257</f>
        <v/>
      </c>
      <c r="BB258" s="99">
        <f>BB257</f>
        <v/>
      </c>
      <c r="BC258" s="95">
        <f>IFERROR(IF($C258="","",IF($P$15="Cascade",$R258*(1-BB258)*BA258,IF($P$15="Additionnelle",($N258-($N258*($P258+BB258)))*BA258))),"Non Trouvé")</f>
        <v/>
      </c>
      <c r="BF258" s="99">
        <f>BF257</f>
        <v/>
      </c>
      <c r="BG258" s="99">
        <f>BG257</f>
        <v/>
      </c>
      <c r="BH258" s="95">
        <f>IFERROR(IF($C258="","",IF($P$15="Cascade",$R258*(1-BG258)*BF258,IF($P$15="Additionnelle",($N258-($N258*($P258+BG258)))*BF258))),"Non Trouvé")</f>
        <v/>
      </c>
      <c r="BK258" s="99">
        <f>BK257</f>
        <v/>
      </c>
      <c r="BL258" s="99">
        <f>BL257</f>
        <v/>
      </c>
      <c r="BM258" s="95">
        <f>IFERROR(IF($C258="","",IF($P$15="Cascade",$R258*(1-BL258)*BK258,IF($P$15="Additionnelle",($N258-($N258*($P258+BL258)))*BK258))),"Non Trouvé")</f>
        <v/>
      </c>
      <c r="BP258" s="99">
        <f>BP257</f>
        <v/>
      </c>
      <c r="BQ258" s="99">
        <f>BQ257</f>
        <v/>
      </c>
      <c r="BR258" s="95">
        <f>IFERROR(IF($C258="","",IF($P$15="Cascade",$R258*(1-BQ258)*BP258,IF($P$15="Additionnelle",($N258-($N258*($P258+BQ258)))*BP258))),"Non Trouvé")</f>
        <v/>
      </c>
      <c r="BU258" s="99">
        <f>BU257</f>
        <v/>
      </c>
      <c r="BV258" s="99">
        <f>BV257</f>
        <v/>
      </c>
      <c r="BW258" s="95">
        <f>IFERROR(IF($C258="","",IF($P$15="Cascade",$R258*(1-BV258)*BU258,IF($P$15="Additionnelle",($N258-($N258*($P258+BV258)))*BU258))),"Non Trouvé")</f>
        <v/>
      </c>
      <c r="BZ258" s="99">
        <f>BZ257</f>
        <v/>
      </c>
      <c r="CA258" s="99">
        <f>CA257</f>
        <v/>
      </c>
      <c r="CB258" s="95">
        <f>IFERROR(IF($C258="","",IF($P$15="Cascade",$R258*(1-CA258)*BZ258,IF($P$15="Additionnelle",($N258-($N258*($P258+CA258)))*BZ258))),"Non Trouvé")</f>
        <v/>
      </c>
      <c r="CE258" s="100" t="n"/>
      <c r="CF258" s="101" t="n"/>
      <c r="CG258" s="102" t="n"/>
      <c r="CH258" s="102" t="n"/>
      <c r="CI258" s="103" t="n"/>
      <c r="CK258" s="104">
        <f>IFERROR(IF(F258='[1]Paramètres Généraux'!$K$12,ROUNDUP((REGENERANTS!H258*REGENERANTS!$CF$221)*'[1]Paramètres Généraux'!$M$12,-1),REGENERANTS!H258*REGENERANTS!$CF$221),"nd")</f>
        <v/>
      </c>
      <c r="CN258" s="153" t="n"/>
      <c r="CO258" s="154" t="n"/>
      <c r="CP258" s="154" t="n"/>
      <c r="CQ258" s="154" t="n"/>
      <c r="CR258" s="154" t="n"/>
      <c r="CS258" s="180" t="n"/>
      <c r="CT258" s="181" t="n"/>
      <c r="CU258" s="154" t="n"/>
      <c r="CV258" s="180" t="n"/>
      <c r="CW258" s="157" t="n"/>
      <c r="CX258" s="156" t="n"/>
      <c r="CY258" s="157" t="n"/>
      <c r="CZ258" s="143" t="n"/>
      <c r="DA258" s="156" t="n"/>
      <c r="DB258" s="157" t="n"/>
      <c r="DC258" s="143" t="n"/>
      <c r="DD258" s="156" t="n"/>
      <c r="DE258" s="157" t="n"/>
      <c r="DF258" s="143" t="n"/>
      <c r="DG258" s="143" t="n"/>
      <c r="DH258" s="143" t="n"/>
      <c r="DI258" s="143" t="n"/>
      <c r="DJ258" s="143" t="n"/>
      <c r="DK258" s="143" t="n"/>
      <c r="DL258" s="143" t="n"/>
      <c r="DM258" s="143" t="n"/>
      <c r="DN258" s="143" t="n"/>
      <c r="DO258" s="156" t="n"/>
      <c r="DP258" s="157" t="n"/>
      <c r="DQ258" s="20">
        <f>SUM(CN258:DP258)</f>
        <v/>
      </c>
      <c r="DR258" s="20">
        <f>SUM(CV258:DP258)</f>
        <v/>
      </c>
      <c r="DS258" s="20">
        <f>IFERROR((IF(AND($F258="Produit Vente",CO258&gt;0),VLOOKUP($C258,'[1]Paramètres Articles'!$B:$H,7,FALSE)*$CO258)*(1-20%)),0)</f>
        <v/>
      </c>
      <c r="DT258" s="20">
        <f>IFERROR((IF(AND($F258="Produit Vente",DR258&gt;0),VLOOKUP($C258,'[1]Paramètres Articles'!$B:$H,6,FALSE)*$DR258)*(1-15%)),0)</f>
        <v/>
      </c>
    </row>
    <row r="259" hidden="1" outlineLevel="1" collapsed="1" ht="12.95" customHeight="1">
      <c r="B259" s="1">
        <f>IF(C259="",0,COUNTIFS($B$22:B258,"&gt;"&amp;0)+1)</f>
        <v/>
      </c>
      <c r="C259" s="90" t="n"/>
      <c r="D259" s="91">
        <f>IFERROR(IF($C259="","",VLOOKUP($C259,'[1]Paramètres Articles'!$B:$G,2,FALSE)),"Non Trouvé")</f>
        <v/>
      </c>
      <c r="E259" s="92">
        <f>IFERROR(IF($C259="","",_xlfn.XLOOKUP(REGENERANTS!$C259,'[1]New Base PA'!$F:$F,'[1]New Base PA'!$D:$D,"Not Found",0)),"Non Trouvé")</f>
        <v/>
      </c>
      <c r="F259" s="93" t="n"/>
      <c r="H259" s="106" t="n"/>
      <c r="J259" s="95">
        <f>IFERROR(IF($C259="","",VLOOKUP($C259,'[1]New Base PA'!$F:$J,5,FALSE)),"Non Trouvé")</f>
        <v/>
      </c>
      <c r="K259" s="136">
        <f>IFERROR(IF($C259="","",$J259*$H259),"Non Trouvé")</f>
        <v/>
      </c>
      <c r="L259" s="137" t="n"/>
      <c r="M259" s="95">
        <f>IFERROR(IF(AND($F259="Produit Vente",H259&gt;0),VLOOKUP($C259,'[1]Paramètres Articles'!$B:$G,6,FALSE),0),"Non Trouvé")</f>
        <v/>
      </c>
      <c r="N259" s="95">
        <f>IFERROR(IF($C259="","",$M259*$H259),"Non Trouvé")</f>
        <v/>
      </c>
      <c r="P259" s="97" t="n"/>
      <c r="R259" s="95">
        <f>IFERROR(IF($C259="","",$N259*(1-$P259)),"Non Trouvé")</f>
        <v/>
      </c>
      <c r="S259" s="96" t="n"/>
      <c r="T259" s="95">
        <f>IFERROR(IF($C259="","",VLOOKUP($C259,'[1]Paramètres Articles'!$B:$H,7,FALSE)),"Non Trouvé")</f>
        <v/>
      </c>
      <c r="U259" s="98" t="n"/>
      <c r="V259" s="95">
        <f>IFERROR(IF($C259="","",IF($P259="","",$T259*(1-$P259))),"Non Trouvé")</f>
        <v/>
      </c>
      <c r="W259" s="96" t="n"/>
      <c r="X259" s="95">
        <f>IFERROR(T259-V259,"")</f>
        <v/>
      </c>
      <c r="Y259" s="96" t="n"/>
      <c r="Z259" s="95">
        <f>IFERROR(IF(OR(T259=0,T259=""),0,T259*H259),"Non Trouvé")</f>
        <v/>
      </c>
      <c r="AB259" s="99">
        <f>AB257</f>
        <v/>
      </c>
      <c r="AC259" s="99">
        <f>AC257</f>
        <v/>
      </c>
      <c r="AD259" s="95">
        <f>IFERROR(IF($C259="","",IF($P$15="Cascade",$R259*(1-AC259)*AB259,IF($P$15="Additionnelle",($N259-($N259*($P259+AC259)))*AB259))),"Non Trouvé")</f>
        <v/>
      </c>
      <c r="AG259" s="99">
        <f>AG257</f>
        <v/>
      </c>
      <c r="AH259" s="99">
        <f>AH257</f>
        <v/>
      </c>
      <c r="AI259" s="95">
        <f>IFERROR(IF($C259="","",IF($P$15="Cascade",$R259*(1-AH259)*AG259,IF($P$15="Additionnelle",($N259-($N259*($P259+AH259)))*AG259))),"Non Trouvé")</f>
        <v/>
      </c>
      <c r="AL259" s="99">
        <f>AL257</f>
        <v/>
      </c>
      <c r="AM259" s="99">
        <f>AM257</f>
        <v/>
      </c>
      <c r="AN259" s="95">
        <f>IFERROR(IF($C259="","",IF($P$15="Cascade",$R259*(1-AM259)*AL259,IF($P$15="Additionnelle",($N259-($N259*($P259+AM259)))*AL259))),"Non Trouvé")</f>
        <v/>
      </c>
      <c r="AQ259" s="99">
        <f>AQ257</f>
        <v/>
      </c>
      <c r="AR259" s="99">
        <f>AR257</f>
        <v/>
      </c>
      <c r="AS259" s="95">
        <f>IFERROR(IF($C259="","",IF($P$15="Cascade",$R259*(1-AR259)*AQ259,IF($P$15="Additionnelle",($N259-($N259*($P259+AR259)))*AQ259))),"Non Trouvé")</f>
        <v/>
      </c>
      <c r="AV259" s="99">
        <f>AV257</f>
        <v/>
      </c>
      <c r="AW259" s="99">
        <f>AW257</f>
        <v/>
      </c>
      <c r="AX259" s="95">
        <f>IFERROR(IF($C259="","",IF($P$15="Cascade",$R259*(1-AW259)*AV259,IF($P$15="Additionnelle",($N259-($N259*($P259+AW259)))*AV259))),"Non Trouvé")</f>
        <v/>
      </c>
      <c r="BA259" s="99">
        <f>BA257</f>
        <v/>
      </c>
      <c r="BB259" s="99">
        <f>BB257</f>
        <v/>
      </c>
      <c r="BC259" s="95">
        <f>IFERROR(IF($C259="","",IF($P$15="Cascade",$R259*(1-BB259)*BA259,IF($P$15="Additionnelle",($N259-($N259*($P259+BB259)))*BA259))),"Non Trouvé")</f>
        <v/>
      </c>
      <c r="BF259" s="99">
        <f>BF257</f>
        <v/>
      </c>
      <c r="BG259" s="99">
        <f>BG257</f>
        <v/>
      </c>
      <c r="BH259" s="95">
        <f>IFERROR(IF($C259="","",IF($P$15="Cascade",$R259*(1-BG259)*BF259,IF($P$15="Additionnelle",($N259-($N259*($P259+BG259)))*BF259))),"Non Trouvé")</f>
        <v/>
      </c>
      <c r="BK259" s="99">
        <f>BK257</f>
        <v/>
      </c>
      <c r="BL259" s="99">
        <f>BL257</f>
        <v/>
      </c>
      <c r="BM259" s="95">
        <f>IFERROR(IF($C259="","",IF($P$15="Cascade",$R259*(1-BL259)*BK259,IF($P$15="Additionnelle",($N259-($N259*($P259+BL259)))*BK259))),"Non Trouvé")</f>
        <v/>
      </c>
      <c r="BP259" s="99">
        <f>BP257</f>
        <v/>
      </c>
      <c r="BQ259" s="99">
        <f>BQ257</f>
        <v/>
      </c>
      <c r="BR259" s="95">
        <f>IFERROR(IF($C259="","",IF($P$15="Cascade",$R259*(1-BQ259)*BP259,IF($P$15="Additionnelle",($N259-($N259*($P259+BQ259)))*BP259))),"Non Trouvé")</f>
        <v/>
      </c>
      <c r="BU259" s="99">
        <f>BU257</f>
        <v/>
      </c>
      <c r="BV259" s="99">
        <f>BV257</f>
        <v/>
      </c>
      <c r="BW259" s="95">
        <f>IFERROR(IF($C259="","",IF($P$15="Cascade",$R259*(1-BV259)*BU259,IF($P$15="Additionnelle",($N259-($N259*($P259+BV259)))*BU259))),"Non Trouvé")</f>
        <v/>
      </c>
      <c r="BZ259" s="99">
        <f>BZ257</f>
        <v/>
      </c>
      <c r="CA259" s="99">
        <f>CA257</f>
        <v/>
      </c>
      <c r="CB259" s="95">
        <f>IFERROR(IF($C259="","",IF($P$15="Cascade",$R259*(1-CA259)*BZ259,IF($P$15="Additionnelle",($N259-($N259*($P259+CA259)))*BZ259))),"Non Trouvé")</f>
        <v/>
      </c>
      <c r="CE259" s="100" t="n"/>
      <c r="CF259" s="101" t="n"/>
      <c r="CG259" s="102" t="n"/>
      <c r="CH259" s="102" t="n"/>
      <c r="CI259" s="103" t="n"/>
      <c r="CK259" s="104">
        <f>IFERROR(IF(F259='[1]Paramètres Généraux'!$K$12,ROUNDUP((REGENERANTS!H259*REGENERANTS!$CF$221)*'[1]Paramètres Généraux'!$M$12,-1),REGENERANTS!H259*REGENERANTS!$CF$221),"nd")</f>
        <v/>
      </c>
      <c r="CN259" s="153" t="n"/>
      <c r="CO259" s="154" t="n"/>
      <c r="CP259" s="154" t="n"/>
      <c r="CQ259" s="154" t="n"/>
      <c r="CR259" s="154" t="n"/>
      <c r="CS259" s="180" t="n"/>
      <c r="CT259" s="181" t="n"/>
      <c r="CU259" s="154" t="n"/>
      <c r="CV259" s="180" t="n"/>
      <c r="CW259" s="157" t="n"/>
      <c r="CX259" s="156" t="n"/>
      <c r="CY259" s="157" t="n"/>
      <c r="CZ259" s="143" t="n"/>
      <c r="DA259" s="156" t="n"/>
      <c r="DB259" s="157" t="n"/>
      <c r="DC259" s="143" t="n"/>
      <c r="DD259" s="156" t="n"/>
      <c r="DE259" s="157" t="n"/>
      <c r="DF259" s="143" t="n"/>
      <c r="DG259" s="143" t="n"/>
      <c r="DH259" s="143" t="n"/>
      <c r="DI259" s="143" t="n"/>
      <c r="DJ259" s="143" t="n"/>
      <c r="DK259" s="143" t="n"/>
      <c r="DL259" s="143" t="n"/>
      <c r="DM259" s="143" t="n"/>
      <c r="DN259" s="143" t="n"/>
      <c r="DO259" s="156" t="n"/>
      <c r="DP259" s="157" t="n"/>
      <c r="DQ259" s="20">
        <f>SUM(CN259:DP259)</f>
        <v/>
      </c>
      <c r="DR259" s="20">
        <f>SUM(CV259:DP259)</f>
        <v/>
      </c>
      <c r="DS259" s="20">
        <f>IFERROR((IF(AND($F259="Produit Vente",CO259&gt;0),VLOOKUP($C259,'[1]Paramètres Articles'!$B:$H,7,FALSE)*$CO259)*(1-20%)),0)</f>
        <v/>
      </c>
      <c r="DT259" s="20">
        <f>IFERROR((IF(AND($F259="Produit Vente",DR259&gt;0),VLOOKUP($C259,'[1]Paramètres Articles'!$B:$H,6,FALSE)*$DR259)*(1-15%)),0)</f>
        <v/>
      </c>
    </row>
    <row r="260" hidden="1" outlineLevel="1" collapsed="1" ht="12.95" customHeight="1">
      <c r="B260" s="1">
        <f>IF(C260="",0,COUNTIFS($B$22:B259,"&gt;"&amp;0)+1)</f>
        <v/>
      </c>
      <c r="C260" s="90" t="n"/>
      <c r="D260" s="91">
        <f>IFERROR(IF($C260="","",VLOOKUP($C260,'[1]Paramètres Articles'!$B:$G,2,FALSE)),"Non Trouvé")</f>
        <v/>
      </c>
      <c r="E260" s="92">
        <f>IFERROR(IF($C260="","",_xlfn.XLOOKUP(REGENERANTS!$C260,'[1]New Base PA'!$F:$F,'[1]New Base PA'!$D:$D,"Not Found",0)),"Non Trouvé")</f>
        <v/>
      </c>
      <c r="F260" s="93" t="n"/>
      <c r="H260" s="106" t="n"/>
      <c r="J260" s="95">
        <f>IFERROR(IF($C260="","",VLOOKUP($C260,'[1]New Base PA'!$F:$J,5,FALSE)),"Non Trouvé")</f>
        <v/>
      </c>
      <c r="K260" s="136">
        <f>IFERROR(IF($C260="","",$J260*$H260),"Non Trouvé")</f>
        <v/>
      </c>
      <c r="L260" s="137" t="n"/>
      <c r="M260" s="95">
        <f>IFERROR(IF(AND($F260="Produit Vente",H260&gt;0),VLOOKUP($C260,'[1]Paramètres Articles'!$B:$G,6,FALSE),0),"Non Trouvé")</f>
        <v/>
      </c>
      <c r="N260" s="95">
        <f>IFERROR(IF($C260="","",$M260*$H260),"Non Trouvé")</f>
        <v/>
      </c>
      <c r="P260" s="97" t="n"/>
      <c r="R260" s="95">
        <f>IFERROR(IF($C260="","",$N260*(1-$P260)),"Non Trouvé")</f>
        <v/>
      </c>
      <c r="S260" s="96" t="n"/>
      <c r="T260" s="95">
        <f>IFERROR(IF($C260="","",VLOOKUP($C260,'[1]Paramètres Articles'!$B:$H,7,FALSE)),"Non Trouvé")</f>
        <v/>
      </c>
      <c r="U260" s="98" t="n"/>
      <c r="V260" s="95">
        <f>IFERROR(IF($C260="","",IF($P260="","",$T260*(1-$P260))),"Non Trouvé")</f>
        <v/>
      </c>
      <c r="W260" s="96" t="n"/>
      <c r="X260" s="95">
        <f>IFERROR(T260-V260,"")</f>
        <v/>
      </c>
      <c r="Y260" s="96" t="n"/>
      <c r="Z260" s="95">
        <f>IFERROR(IF(OR(T260=0,T260=""),0,T260*H260),"Non Trouvé")</f>
        <v/>
      </c>
      <c r="AB260" s="99">
        <f>AB259</f>
        <v/>
      </c>
      <c r="AC260" s="99">
        <f>AC259</f>
        <v/>
      </c>
      <c r="AD260" s="95">
        <f>IFERROR(IF($C260="","",IF($P$15="Cascade",$R260*(1-AC260)*AB260,IF($P$15="Additionnelle",($N260-($N260*($P260+AC260)))*AB260))),"Non Trouvé")</f>
        <v/>
      </c>
      <c r="AG260" s="99">
        <f>AG259</f>
        <v/>
      </c>
      <c r="AH260" s="99">
        <f>AH259</f>
        <v/>
      </c>
      <c r="AI260" s="95">
        <f>IFERROR(IF($C260="","",IF($P$15="Cascade",$R260*(1-AH260)*AG260,IF($P$15="Additionnelle",($N260-($N260*($P260+AH260)))*AG260))),"Non Trouvé")</f>
        <v/>
      </c>
      <c r="AL260" s="99">
        <f>AL259</f>
        <v/>
      </c>
      <c r="AM260" s="99">
        <f>AM259</f>
        <v/>
      </c>
      <c r="AN260" s="95">
        <f>IFERROR(IF($C260="","",IF($P$15="Cascade",$R260*(1-AM260)*AL260,IF($P$15="Additionnelle",($N260-($N260*($P260+AM260)))*AL260))),"Non Trouvé")</f>
        <v/>
      </c>
      <c r="AQ260" s="99">
        <f>AQ259</f>
        <v/>
      </c>
      <c r="AR260" s="99">
        <f>AR259</f>
        <v/>
      </c>
      <c r="AS260" s="95">
        <f>IFERROR(IF($C260="","",IF($P$15="Cascade",$R260*(1-AR260)*AQ260,IF($P$15="Additionnelle",($N260-($N260*($P260+AR260)))*AQ260))),"Non Trouvé")</f>
        <v/>
      </c>
      <c r="AV260" s="99">
        <f>AV259</f>
        <v/>
      </c>
      <c r="AW260" s="99">
        <f>AW259</f>
        <v/>
      </c>
      <c r="AX260" s="95">
        <f>IFERROR(IF($C260="","",IF($P$15="Cascade",$R260*(1-AW260)*AV260,IF($P$15="Additionnelle",($N260-($N260*($P260+AW260)))*AV260))),"Non Trouvé")</f>
        <v/>
      </c>
      <c r="BA260" s="99">
        <f>BA259</f>
        <v/>
      </c>
      <c r="BB260" s="99">
        <f>BB259</f>
        <v/>
      </c>
      <c r="BC260" s="95">
        <f>IFERROR(IF($C260="","",IF($P$15="Cascade",$R260*(1-BB260)*BA260,IF($P$15="Additionnelle",($N260-($N260*($P260+BB260)))*BA260))),"Non Trouvé")</f>
        <v/>
      </c>
      <c r="BF260" s="99">
        <f>BF259</f>
        <v/>
      </c>
      <c r="BG260" s="99">
        <f>BG259</f>
        <v/>
      </c>
      <c r="BH260" s="95">
        <f>IFERROR(IF($C260="","",IF($P$15="Cascade",$R260*(1-BG260)*BF260,IF($P$15="Additionnelle",($N260-($N260*($P260+BG260)))*BF260))),"Non Trouvé")</f>
        <v/>
      </c>
      <c r="BK260" s="99">
        <f>BK259</f>
        <v/>
      </c>
      <c r="BL260" s="99">
        <f>BL259</f>
        <v/>
      </c>
      <c r="BM260" s="95">
        <f>IFERROR(IF($C260="","",IF($P$15="Cascade",$R260*(1-BL260)*BK260,IF($P$15="Additionnelle",($N260-($N260*($P260+BL260)))*BK260))),"Non Trouvé")</f>
        <v/>
      </c>
      <c r="BP260" s="99">
        <f>BP259</f>
        <v/>
      </c>
      <c r="BQ260" s="99">
        <f>BQ259</f>
        <v/>
      </c>
      <c r="BR260" s="95">
        <f>IFERROR(IF($C260="","",IF($P$15="Cascade",$R260*(1-BQ260)*BP260,IF($P$15="Additionnelle",($N260-($N260*($P260+BQ260)))*BP260))),"Non Trouvé")</f>
        <v/>
      </c>
      <c r="BU260" s="99">
        <f>BU259</f>
        <v/>
      </c>
      <c r="BV260" s="99">
        <f>BV259</f>
        <v/>
      </c>
      <c r="BW260" s="95">
        <f>IFERROR(IF($C260="","",IF($P$15="Cascade",$R260*(1-BV260)*BU260,IF($P$15="Additionnelle",($N260-($N260*($P260+BV260)))*BU260))),"Non Trouvé")</f>
        <v/>
      </c>
      <c r="BZ260" s="99">
        <f>BZ259</f>
        <v/>
      </c>
      <c r="CA260" s="99">
        <f>CA259</f>
        <v/>
      </c>
      <c r="CB260" s="95">
        <f>IFERROR(IF($C260="","",IF($P$15="Cascade",$R260*(1-CA260)*BZ260,IF($P$15="Additionnelle",($N260-($N260*($P260+CA260)))*BZ260))),"Non Trouvé")</f>
        <v/>
      </c>
      <c r="CE260" s="100" t="n"/>
      <c r="CF260" s="101" t="n"/>
      <c r="CG260" s="102" t="n"/>
      <c r="CH260" s="102" t="n"/>
      <c r="CI260" s="103" t="n"/>
      <c r="CK260" s="104">
        <f>IFERROR(IF(F260='[1]Paramètres Généraux'!$K$12,ROUNDUP((REGENERANTS!H260*REGENERANTS!$CF$221)*'[1]Paramètres Généraux'!$M$12,-1),REGENERANTS!H260*REGENERANTS!$CF$221),"nd")</f>
        <v/>
      </c>
      <c r="CN260" s="153" t="n"/>
      <c r="CO260" s="154" t="n"/>
      <c r="CP260" s="154" t="n"/>
      <c r="CQ260" s="154" t="n"/>
      <c r="CR260" s="154" t="n"/>
      <c r="CS260" s="180" t="n"/>
      <c r="CT260" s="181" t="n"/>
      <c r="CU260" s="154" t="n"/>
      <c r="CV260" s="180" t="n"/>
      <c r="CW260" s="157" t="n"/>
      <c r="CX260" s="156" t="n"/>
      <c r="CY260" s="157" t="n"/>
      <c r="CZ260" s="143" t="n"/>
      <c r="DA260" s="156" t="n"/>
      <c r="DB260" s="157" t="n"/>
      <c r="DC260" s="143" t="n"/>
      <c r="DD260" s="156" t="n"/>
      <c r="DE260" s="157" t="n"/>
      <c r="DF260" s="143" t="n"/>
      <c r="DG260" s="143" t="n"/>
      <c r="DH260" s="143" t="n"/>
      <c r="DI260" s="143" t="n"/>
      <c r="DJ260" s="143" t="n"/>
      <c r="DK260" s="143" t="n"/>
      <c r="DL260" s="143" t="n"/>
      <c r="DM260" s="143" t="n"/>
      <c r="DN260" s="143" t="n"/>
      <c r="DO260" s="156" t="n"/>
      <c r="DP260" s="157" t="n"/>
      <c r="DQ260" s="20">
        <f>SUM(CN260:DP260)</f>
        <v/>
      </c>
      <c r="DR260" s="20">
        <f>SUM(CV260:DP260)</f>
        <v/>
      </c>
      <c r="DS260" s="20">
        <f>IFERROR((IF(AND($F260="Produit Vente",CO260&gt;0),VLOOKUP($C260,'[1]Paramètres Articles'!$B:$H,7,FALSE)*$CO260)*(1-20%)),0)</f>
        <v/>
      </c>
      <c r="DT260" s="20">
        <f>IFERROR((IF(AND($F260="Produit Vente",DR260&gt;0),VLOOKUP($C260,'[1]Paramètres Articles'!$B:$H,6,FALSE)*$DR260)*(1-15%)),0)</f>
        <v/>
      </c>
    </row>
    <row r="261" hidden="1" outlineLevel="1" collapsed="1" ht="12.95" customHeight="1">
      <c r="B261" s="1">
        <f>IF(C261="",0,COUNTIFS($B$22:B260,"&gt;"&amp;0)+1)</f>
        <v/>
      </c>
      <c r="C261" s="90" t="n"/>
      <c r="D261" s="91">
        <f>IFERROR(IF($C261="","",VLOOKUP($C261,'[1]Paramètres Articles'!$B:$G,2,FALSE)),"Non Trouvé")</f>
        <v/>
      </c>
      <c r="E261" s="92">
        <f>IFERROR(IF($C261="","",_xlfn.XLOOKUP(REGENERANTS!$C261,'[1]New Base PA'!$F:$F,'[1]New Base PA'!$D:$D,"Not Found",0)),"Non Trouvé")</f>
        <v/>
      </c>
      <c r="F261" s="93" t="n"/>
      <c r="H261" s="106" t="n"/>
      <c r="J261" s="95">
        <f>IFERROR(IF($C261="","",VLOOKUP($C261,'[1]New Base PA'!$F:$J,5,FALSE)),"Non Trouvé")</f>
        <v/>
      </c>
      <c r="K261" s="136">
        <f>IFERROR(IF($C261="","",$J261*$H261),"Non Trouvé")</f>
        <v/>
      </c>
      <c r="L261" s="137" t="n"/>
      <c r="M261" s="95">
        <f>IFERROR(IF(AND($F261="Produit Vente",H261&gt;0),VLOOKUP($C261,'[1]Paramètres Articles'!$B:$G,6,FALSE),0),"Non Trouvé")</f>
        <v/>
      </c>
      <c r="N261" s="95">
        <f>IFERROR(IF($C261="","",$M261*$H261),"Non Trouvé")</f>
        <v/>
      </c>
      <c r="P261" s="97" t="n"/>
      <c r="R261" s="95">
        <f>IFERROR(IF($C261="","",$N261*(1-$P261)),"Non Trouvé")</f>
        <v/>
      </c>
      <c r="S261" s="96" t="n"/>
      <c r="T261" s="95">
        <f>IFERROR(IF($C261="","",VLOOKUP($C261,'[1]Paramètres Articles'!$B:$H,7,FALSE)),"Non Trouvé")</f>
        <v/>
      </c>
      <c r="U261" s="98" t="n"/>
      <c r="V261" s="95">
        <f>IFERROR(IF($C261="","",IF($P261="","",$T261*(1-$P261))),"Non Trouvé")</f>
        <v/>
      </c>
      <c r="W261" s="96" t="n"/>
      <c r="X261" s="95">
        <f>IFERROR(T261-V261,"")</f>
        <v/>
      </c>
      <c r="Y261" s="96" t="n"/>
      <c r="Z261" s="95">
        <f>IFERROR(IF(OR(T261=0,T261=""),0,T261*H261),"Non Trouvé")</f>
        <v/>
      </c>
      <c r="AB261" s="99">
        <f>AB259</f>
        <v/>
      </c>
      <c r="AC261" s="99">
        <f>AC259</f>
        <v/>
      </c>
      <c r="AD261" s="95">
        <f>IFERROR(IF($C261="","",IF($P$15="Cascade",$R261*(1-AC261)*AB261,IF($P$15="Additionnelle",($N261-($N261*($P261+AC261)))*AB261))),"Non Trouvé")</f>
        <v/>
      </c>
      <c r="AG261" s="99">
        <f>AG259</f>
        <v/>
      </c>
      <c r="AH261" s="99">
        <f>AH259</f>
        <v/>
      </c>
      <c r="AI261" s="95">
        <f>IFERROR(IF($C261="","",IF($P$15="Cascade",$R261*(1-AH261)*AG261,IF($P$15="Additionnelle",($N261-($N261*($P261+AH261)))*AG261))),"Non Trouvé")</f>
        <v/>
      </c>
      <c r="AL261" s="99">
        <f>AL259</f>
        <v/>
      </c>
      <c r="AM261" s="99">
        <f>AM259</f>
        <v/>
      </c>
      <c r="AN261" s="95">
        <f>IFERROR(IF($C261="","",IF($P$15="Cascade",$R261*(1-AM261)*AL261,IF($P$15="Additionnelle",($N261-($N261*($P261+AM261)))*AL261))),"Non Trouvé")</f>
        <v/>
      </c>
      <c r="AQ261" s="99">
        <f>AQ259</f>
        <v/>
      </c>
      <c r="AR261" s="99">
        <f>AR259</f>
        <v/>
      </c>
      <c r="AS261" s="95">
        <f>IFERROR(IF($C261="","",IF($P$15="Cascade",$R261*(1-AR261)*AQ261,IF($P$15="Additionnelle",($N261-($N261*($P261+AR261)))*AQ261))),"Non Trouvé")</f>
        <v/>
      </c>
      <c r="AV261" s="99">
        <f>AV259</f>
        <v/>
      </c>
      <c r="AW261" s="99">
        <f>AW259</f>
        <v/>
      </c>
      <c r="AX261" s="95">
        <f>IFERROR(IF($C261="","",IF($P$15="Cascade",$R261*(1-AW261)*AV261,IF($P$15="Additionnelle",($N261-($N261*($P261+AW261)))*AV261))),"Non Trouvé")</f>
        <v/>
      </c>
      <c r="BA261" s="99">
        <f>BA259</f>
        <v/>
      </c>
      <c r="BB261" s="99">
        <f>BB259</f>
        <v/>
      </c>
      <c r="BC261" s="95">
        <f>IFERROR(IF($C261="","",IF($P$15="Cascade",$R261*(1-BB261)*BA261,IF($P$15="Additionnelle",($N261-($N261*($P261+BB261)))*BA261))),"Non Trouvé")</f>
        <v/>
      </c>
      <c r="BF261" s="99">
        <f>BF259</f>
        <v/>
      </c>
      <c r="BG261" s="99">
        <f>BG259</f>
        <v/>
      </c>
      <c r="BH261" s="95">
        <f>IFERROR(IF($C261="","",IF($P$15="Cascade",$R261*(1-BG261)*BF261,IF($P$15="Additionnelle",($N261-($N261*($P261+BG261)))*BF261))),"Non Trouvé")</f>
        <v/>
      </c>
      <c r="BK261" s="99">
        <f>BK259</f>
        <v/>
      </c>
      <c r="BL261" s="99">
        <f>BL259</f>
        <v/>
      </c>
      <c r="BM261" s="95">
        <f>IFERROR(IF($C261="","",IF($P$15="Cascade",$R261*(1-BL261)*BK261,IF($P$15="Additionnelle",($N261-($N261*($P261+BL261)))*BK261))),"Non Trouvé")</f>
        <v/>
      </c>
      <c r="BP261" s="99">
        <f>BP259</f>
        <v/>
      </c>
      <c r="BQ261" s="99">
        <f>BQ259</f>
        <v/>
      </c>
      <c r="BR261" s="95">
        <f>IFERROR(IF($C261="","",IF($P$15="Cascade",$R261*(1-BQ261)*BP261,IF($P$15="Additionnelle",($N261-($N261*($P261+BQ261)))*BP261))),"Non Trouvé")</f>
        <v/>
      </c>
      <c r="BU261" s="99">
        <f>BU259</f>
        <v/>
      </c>
      <c r="BV261" s="99">
        <f>BV259</f>
        <v/>
      </c>
      <c r="BW261" s="95">
        <f>IFERROR(IF($C261="","",IF($P$15="Cascade",$R261*(1-BV261)*BU261,IF($P$15="Additionnelle",($N261-($N261*($P261+BV261)))*BU261))),"Non Trouvé")</f>
        <v/>
      </c>
      <c r="BZ261" s="99">
        <f>BZ259</f>
        <v/>
      </c>
      <c r="CA261" s="99">
        <f>CA259</f>
        <v/>
      </c>
      <c r="CB261" s="95">
        <f>IFERROR(IF($C261="","",IF($P$15="Cascade",$R261*(1-CA261)*BZ261,IF($P$15="Additionnelle",($N261-($N261*($P261+CA261)))*BZ261))),"Non Trouvé")</f>
        <v/>
      </c>
      <c r="CE261" s="100" t="n"/>
      <c r="CF261" s="101" t="n"/>
      <c r="CG261" s="102" t="n"/>
      <c r="CH261" s="102" t="n"/>
      <c r="CI261" s="103" t="n"/>
      <c r="CK261" s="104">
        <f>IFERROR(IF(F261='[1]Paramètres Généraux'!$K$12,ROUNDUP((REGENERANTS!H261*REGENERANTS!$CF$221)*'[1]Paramètres Généraux'!$M$12,-1),REGENERANTS!H261*REGENERANTS!$CF$221),"nd")</f>
        <v/>
      </c>
      <c r="CN261" s="153" t="n"/>
      <c r="CO261" s="154" t="n"/>
      <c r="CP261" s="154" t="n"/>
      <c r="CQ261" s="154" t="n"/>
      <c r="CR261" s="154" t="n"/>
      <c r="CS261" s="180" t="n"/>
      <c r="CT261" s="181" t="n"/>
      <c r="CU261" s="154" t="n"/>
      <c r="CV261" s="180" t="n"/>
      <c r="CW261" s="157" t="n"/>
      <c r="CX261" s="156" t="n"/>
      <c r="CY261" s="157" t="n"/>
      <c r="CZ261" s="143" t="n"/>
      <c r="DA261" s="156" t="n"/>
      <c r="DB261" s="157" t="n"/>
      <c r="DC261" s="143" t="n"/>
      <c r="DD261" s="156" t="n"/>
      <c r="DE261" s="157" t="n"/>
      <c r="DF261" s="143" t="n"/>
      <c r="DG261" s="143" t="n"/>
      <c r="DH261" s="143" t="n"/>
      <c r="DI261" s="143" t="n"/>
      <c r="DJ261" s="143" t="n"/>
      <c r="DK261" s="143" t="n"/>
      <c r="DL261" s="143" t="n"/>
      <c r="DM261" s="143" t="n"/>
      <c r="DN261" s="143" t="n"/>
      <c r="DO261" s="156" t="n"/>
      <c r="DP261" s="157" t="n"/>
      <c r="DQ261" s="20">
        <f>SUM(CN261:DP261)</f>
        <v/>
      </c>
      <c r="DR261" s="20">
        <f>SUM(CV261:DP261)</f>
        <v/>
      </c>
      <c r="DS261" s="20">
        <f>IFERROR((IF(AND($F261="Produit Vente",CO261&gt;0),VLOOKUP($C261,'[1]Paramètres Articles'!$B:$H,7,FALSE)*$CO261)*(1-20%)),0)</f>
        <v/>
      </c>
      <c r="DT261" s="20">
        <f>IFERROR((IF(AND($F261="Produit Vente",DR261&gt;0),VLOOKUP($C261,'[1]Paramètres Articles'!$B:$H,6,FALSE)*$DR261)*(1-15%)),0)</f>
        <v/>
      </c>
    </row>
    <row r="262" hidden="1" outlineLevel="1" collapsed="1" ht="12.95" customHeight="1">
      <c r="B262" s="1">
        <f>IF(C262="",0,COUNTIFS($B$22:B261,"&gt;"&amp;0)+1)</f>
        <v/>
      </c>
      <c r="C262" s="90" t="n"/>
      <c r="D262" s="91">
        <f>IFERROR(IF($C262="","",VLOOKUP($C262,'[1]Paramètres Articles'!$B:$G,2,FALSE)),"Non Trouvé")</f>
        <v/>
      </c>
      <c r="E262" s="92">
        <f>IFERROR(IF($C262="","",_xlfn.XLOOKUP(REGENERANTS!$C262,'[1]New Base PA'!$F:$F,'[1]New Base PA'!$D:$D,"Not Found",0)),"Non Trouvé")</f>
        <v/>
      </c>
      <c r="F262" s="93" t="n"/>
      <c r="H262" s="106" t="n"/>
      <c r="J262" s="95">
        <f>IFERROR(IF($C262="","",VLOOKUP($C262,'[1]New Base PA'!$F:$J,5,FALSE)),"Non Trouvé")</f>
        <v/>
      </c>
      <c r="K262" s="136">
        <f>IFERROR(IF($C262="","",$J262*$H262),"Non Trouvé")</f>
        <v/>
      </c>
      <c r="L262" s="137" t="n"/>
      <c r="M262" s="95">
        <f>IFERROR(IF(AND($F262="Produit Vente",H262&gt;0),VLOOKUP($C262,'[1]Paramètres Articles'!$B:$G,6,FALSE),0),"Non Trouvé")</f>
        <v/>
      </c>
      <c r="N262" s="95">
        <f>IFERROR(IF($C262="","",$M262*$H262),"Non Trouvé")</f>
        <v/>
      </c>
      <c r="P262" s="97" t="n"/>
      <c r="R262" s="95">
        <f>IFERROR(IF($C262="","",$N262*(1-$P262)),"Non Trouvé")</f>
        <v/>
      </c>
      <c r="S262" s="96" t="n"/>
      <c r="T262" s="95">
        <f>IFERROR(IF($C262="","",VLOOKUP($C262,'[1]Paramètres Articles'!$B:$H,7,FALSE)),"Non Trouvé")</f>
        <v/>
      </c>
      <c r="U262" s="98" t="n"/>
      <c r="V262" s="95">
        <f>IFERROR(IF($C262="","",IF($P262="","",$T262*(1-$P262))),"Non Trouvé")</f>
        <v/>
      </c>
      <c r="W262" s="96" t="n"/>
      <c r="X262" s="95">
        <f>IFERROR(T262-V262,"")</f>
        <v/>
      </c>
      <c r="Y262" s="96" t="n"/>
      <c r="Z262" s="95">
        <f>IFERROR(IF(OR(T262=0,T262=""),0,T262*H262),"Non Trouvé")</f>
        <v/>
      </c>
      <c r="AB262" s="99">
        <f>AB261</f>
        <v/>
      </c>
      <c r="AC262" s="99">
        <f>AC261</f>
        <v/>
      </c>
      <c r="AD262" s="95">
        <f>IFERROR(IF($C262="","",IF($P$15="Cascade",$R262*(1-AC262)*AB262,IF($P$15="Additionnelle",($N262-($N262*($P262+AC262)))*AB262))),"Non Trouvé")</f>
        <v/>
      </c>
      <c r="AG262" s="99">
        <f>AG261</f>
        <v/>
      </c>
      <c r="AH262" s="99">
        <f>AH261</f>
        <v/>
      </c>
      <c r="AI262" s="95">
        <f>IFERROR(IF($C262="","",IF($P$15="Cascade",$R262*(1-AH262)*AG262,IF($P$15="Additionnelle",($N262-($N262*($P262+AH262)))*AG262))),"Non Trouvé")</f>
        <v/>
      </c>
      <c r="AL262" s="99">
        <f>AL261</f>
        <v/>
      </c>
      <c r="AM262" s="99">
        <f>AM261</f>
        <v/>
      </c>
      <c r="AN262" s="95">
        <f>IFERROR(IF($C262="","",IF($P$15="Cascade",$R262*(1-AM262)*AL262,IF($P$15="Additionnelle",($N262-($N262*($P262+AM262)))*AL262))),"Non Trouvé")</f>
        <v/>
      </c>
      <c r="AQ262" s="99">
        <f>AQ261</f>
        <v/>
      </c>
      <c r="AR262" s="99">
        <f>AR261</f>
        <v/>
      </c>
      <c r="AS262" s="95">
        <f>IFERROR(IF($C262="","",IF($P$15="Cascade",$R262*(1-AR262)*AQ262,IF($P$15="Additionnelle",($N262-($N262*($P262+AR262)))*AQ262))),"Non Trouvé")</f>
        <v/>
      </c>
      <c r="AV262" s="99">
        <f>AV261</f>
        <v/>
      </c>
      <c r="AW262" s="99">
        <f>AW261</f>
        <v/>
      </c>
      <c r="AX262" s="95">
        <f>IFERROR(IF($C262="","",IF($P$15="Cascade",$R262*(1-AW262)*AV262,IF($P$15="Additionnelle",($N262-($N262*($P262+AW262)))*AV262))),"Non Trouvé")</f>
        <v/>
      </c>
      <c r="BA262" s="99">
        <f>BA261</f>
        <v/>
      </c>
      <c r="BB262" s="99">
        <f>BB261</f>
        <v/>
      </c>
      <c r="BC262" s="95">
        <f>IFERROR(IF($C262="","",IF($P$15="Cascade",$R262*(1-BB262)*BA262,IF($P$15="Additionnelle",($N262-($N262*($P262+BB262)))*BA262))),"Non Trouvé")</f>
        <v/>
      </c>
      <c r="BF262" s="99">
        <f>BF261</f>
        <v/>
      </c>
      <c r="BG262" s="99">
        <f>BG261</f>
        <v/>
      </c>
      <c r="BH262" s="95">
        <f>IFERROR(IF($C262="","",IF($P$15="Cascade",$R262*(1-BG262)*BF262,IF($P$15="Additionnelle",($N262-($N262*($P262+BG262)))*BF262))),"Non Trouvé")</f>
        <v/>
      </c>
      <c r="BK262" s="99">
        <f>BK261</f>
        <v/>
      </c>
      <c r="BL262" s="99">
        <f>BL261</f>
        <v/>
      </c>
      <c r="BM262" s="95">
        <f>IFERROR(IF($C262="","",IF($P$15="Cascade",$R262*(1-BL262)*BK262,IF($P$15="Additionnelle",($N262-($N262*($P262+BL262)))*BK262))),"Non Trouvé")</f>
        <v/>
      </c>
      <c r="BP262" s="99">
        <f>BP261</f>
        <v/>
      </c>
      <c r="BQ262" s="99">
        <f>BQ261</f>
        <v/>
      </c>
      <c r="BR262" s="95">
        <f>IFERROR(IF($C262="","",IF($P$15="Cascade",$R262*(1-BQ262)*BP262,IF($P$15="Additionnelle",($N262-($N262*($P262+BQ262)))*BP262))),"Non Trouvé")</f>
        <v/>
      </c>
      <c r="BU262" s="99">
        <f>BU261</f>
        <v/>
      </c>
      <c r="BV262" s="99">
        <f>BV261</f>
        <v/>
      </c>
      <c r="BW262" s="95">
        <f>IFERROR(IF($C262="","",IF($P$15="Cascade",$R262*(1-BV262)*BU262,IF($P$15="Additionnelle",($N262-($N262*($P262+BV262)))*BU262))),"Non Trouvé")</f>
        <v/>
      </c>
      <c r="BZ262" s="99">
        <f>BZ261</f>
        <v/>
      </c>
      <c r="CA262" s="99">
        <f>CA261</f>
        <v/>
      </c>
      <c r="CB262" s="95">
        <f>IFERROR(IF($C262="","",IF($P$15="Cascade",$R262*(1-CA262)*BZ262,IF($P$15="Additionnelle",($N262-($N262*($P262+CA262)))*BZ262))),"Non Trouvé")</f>
        <v/>
      </c>
      <c r="CE262" s="100" t="n"/>
      <c r="CF262" s="101" t="n"/>
      <c r="CG262" s="102" t="n"/>
      <c r="CH262" s="102" t="n"/>
      <c r="CI262" s="103" t="n"/>
      <c r="CK262" s="104">
        <f>IFERROR(IF(F262='[1]Paramètres Généraux'!$K$12,ROUNDUP((REGENERANTS!H262*REGENERANTS!$CF$221)*'[1]Paramètres Généraux'!$M$12,-1),REGENERANTS!H262*REGENERANTS!$CF$221),"nd")</f>
        <v/>
      </c>
      <c r="CN262" s="153" t="n"/>
      <c r="CO262" s="154" t="n"/>
      <c r="CP262" s="154" t="n"/>
      <c r="CQ262" s="154" t="n"/>
      <c r="CR262" s="154" t="n"/>
      <c r="CS262" s="180" t="n"/>
      <c r="CT262" s="181" t="n"/>
      <c r="CU262" s="154" t="n"/>
      <c r="CV262" s="180" t="n"/>
      <c r="CW262" s="157" t="n"/>
      <c r="CX262" s="156" t="n"/>
      <c r="CY262" s="157" t="n"/>
      <c r="CZ262" s="143" t="n"/>
      <c r="DA262" s="156" t="n"/>
      <c r="DB262" s="157" t="n"/>
      <c r="DC262" s="143" t="n"/>
      <c r="DD262" s="156" t="n"/>
      <c r="DE262" s="157" t="n"/>
      <c r="DF262" s="143" t="n"/>
      <c r="DG262" s="143" t="n"/>
      <c r="DH262" s="143" t="n"/>
      <c r="DI262" s="143" t="n"/>
      <c r="DJ262" s="143" t="n"/>
      <c r="DK262" s="143" t="n"/>
      <c r="DL262" s="143" t="n"/>
      <c r="DM262" s="143" t="n"/>
      <c r="DN262" s="143" t="n"/>
      <c r="DO262" s="156" t="n"/>
      <c r="DP262" s="157" t="n"/>
      <c r="DQ262" s="20">
        <f>SUM(CN262:DP262)</f>
        <v/>
      </c>
      <c r="DR262" s="20">
        <f>SUM(CV262:DP262)</f>
        <v/>
      </c>
      <c r="DS262" s="20">
        <f>IFERROR((IF(AND($F262="Produit Vente",CO262&gt;0),VLOOKUP($C262,'[1]Paramètres Articles'!$B:$H,7,FALSE)*$CO262)*(1-20%)),0)</f>
        <v/>
      </c>
      <c r="DT262" s="20">
        <f>IFERROR((IF(AND($F262="Produit Vente",DR262&gt;0),VLOOKUP($C262,'[1]Paramètres Articles'!$B:$H,6,FALSE)*$DR262)*(1-15%)),0)</f>
        <v/>
      </c>
    </row>
    <row r="263" hidden="1">
      <c r="B263" s="1">
        <f>IF(C263="",0,COUNTIFS($B$22:B262,"&gt;"&amp;0)+1)</f>
        <v/>
      </c>
      <c r="CE263" s="162" t="n"/>
      <c r="CF263" s="163" t="n"/>
      <c r="CG263" s="163" t="n"/>
      <c r="CH263" s="163" t="n"/>
      <c r="CI263" s="164" t="n"/>
      <c r="CK263" s="104">
        <f>IFERROR(IF(F263='[1]Paramètres Généraux'!$K$12,ROUNDUP((REGENERANTS!H263*REGENERANTS!$CF$221)*'[1]Paramètres Généraux'!$M$12,-1),REGENERANTS!H263*REGENERANTS!$CF$221),"nd")</f>
        <v/>
      </c>
      <c r="CN263" s="153" t="n"/>
      <c r="CO263" s="154" t="n"/>
      <c r="CP263" s="154" t="n"/>
      <c r="CQ263" s="154" t="n"/>
      <c r="CR263" s="154" t="n"/>
      <c r="CS263" s="180" t="n"/>
      <c r="CT263" s="181" t="n"/>
      <c r="CU263" s="154" t="n"/>
      <c r="CV263" s="180" t="n"/>
      <c r="CW263" s="157" t="n"/>
      <c r="CX263" s="156" t="n"/>
      <c r="CY263" s="157" t="n"/>
      <c r="CZ263" s="143" t="n"/>
      <c r="DA263" s="156" t="n"/>
      <c r="DB263" s="157" t="n"/>
      <c r="DC263" s="143" t="n"/>
      <c r="DD263" s="156" t="n"/>
      <c r="DE263" s="157" t="n"/>
      <c r="DF263" s="143" t="n"/>
      <c r="DG263" s="143" t="n"/>
      <c r="DH263" s="143" t="n"/>
      <c r="DI263" s="143" t="n"/>
      <c r="DJ263" s="143" t="n"/>
      <c r="DK263" s="143" t="n"/>
      <c r="DL263" s="143" t="n"/>
      <c r="DM263" s="143" t="n"/>
      <c r="DN263" s="143" t="n"/>
      <c r="DO263" s="156" t="n"/>
      <c r="DP263" s="157" t="n"/>
      <c r="DQ263" s="20">
        <f>SUM(CN263:DP263)</f>
        <v/>
      </c>
      <c r="DR263" s="20">
        <f>SUM(CV263:DP263)</f>
        <v/>
      </c>
      <c r="DS263" s="20">
        <f>IFERROR((IF(AND($F263="Produit Vente",CO263&gt;0),VLOOKUP($C263,'[1]Paramètres Articles'!$B:$H,7,FALSE)*$CO263)*(1-20%)),0)</f>
        <v/>
      </c>
      <c r="DT263" s="20">
        <f>IFERROR((IF(AND($F263="Produit Vente",DR263&gt;0),VLOOKUP($C263,'[1]Paramètres Articles'!$B:$H,6,FALSE)*$DR263)*(1-15%)),0)</f>
        <v/>
      </c>
    </row>
    <row r="264" hidden="1" ht="18" customHeight="1">
      <c r="CK264" s="104" t="n"/>
    </row>
    <row r="265" hidden="1">
      <c r="C265" s="22" t="n"/>
      <c r="D265" s="23" t="n"/>
      <c r="E265" s="24" t="n"/>
      <c r="F265" s="25" t="inlineStr">
        <is>
          <t>Panachage 12 unités // Mécanique sell-out : pour 2 régé achetés = 1 baume lacté 75 ml offert</t>
        </is>
      </c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/>
      <c r="BJ265" s="23" t="n"/>
      <c r="BK265" s="23" t="n"/>
      <c r="BL265" s="23" t="n"/>
      <c r="BM265" s="23" t="n"/>
      <c r="BN265" s="23" t="n"/>
      <c r="BO265" s="23" t="n"/>
      <c r="BP265" s="23" t="n"/>
      <c r="BQ265" s="23" t="n"/>
      <c r="BR265" s="23" t="n"/>
      <c r="BS265" s="23" t="n"/>
      <c r="BT265" s="23" t="n"/>
      <c r="BU265" s="23" t="n"/>
      <c r="BV265" s="23" t="n"/>
      <c r="BW265" s="23" t="n"/>
      <c r="BX265" s="23" t="n"/>
      <c r="BY265" s="23" t="n"/>
      <c r="BZ265" s="23" t="n"/>
      <c r="CA265" s="23" t="n"/>
      <c r="CB265" s="23" t="n"/>
      <c r="CC265" s="23" t="n"/>
      <c r="CD265" s="23" t="n"/>
      <c r="CE265" s="23" t="n"/>
      <c r="CF265" s="23" t="n"/>
      <c r="CG265" s="23" t="n"/>
      <c r="CH265" s="23" t="n"/>
      <c r="CI265" s="23" t="n"/>
      <c r="CK265" s="104" t="n"/>
    </row>
    <row r="266" hidden="1" ht="8.25" customHeight="1">
      <c r="CK266" s="104" t="n"/>
    </row>
    <row r="267" hidden="1" ht="12.95" customHeight="1"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  <c r="AP267" s="26" t="n"/>
      <c r="AQ267" s="26" t="n"/>
      <c r="AR267" s="26" t="n"/>
      <c r="AS267" s="26" t="n"/>
      <c r="AT267" s="26" t="n"/>
      <c r="AU267" s="26" t="n"/>
      <c r="AV267" s="26" t="n">
        <v>0.13</v>
      </c>
      <c r="AW267" s="26" t="n"/>
      <c r="AX267" s="26" t="n"/>
      <c r="AY267" s="26" t="n"/>
      <c r="AZ267" s="26" t="n"/>
      <c r="BA267" s="26" t="n">
        <v>0.1</v>
      </c>
      <c r="BB267" s="26" t="n"/>
      <c r="BC267" s="26" t="n"/>
      <c r="BD267" s="26" t="n"/>
      <c r="BE267" s="26" t="n"/>
      <c r="BF267" s="26" t="n">
        <v>0.21</v>
      </c>
      <c r="BG267" s="26" t="n"/>
      <c r="BH267" s="26" t="n"/>
      <c r="BI267" s="26" t="n"/>
      <c r="BJ267" s="26" t="n"/>
      <c r="BK267" s="26" t="n">
        <v>0.34</v>
      </c>
      <c r="BL267" s="26" t="n"/>
      <c r="BM267" s="26" t="n"/>
      <c r="BN267" s="26" t="n"/>
      <c r="BO267" s="26" t="n"/>
      <c r="BP267" s="26" t="n">
        <v>0.22</v>
      </c>
      <c r="BQ267" s="26" t="n"/>
      <c r="BR267" s="26" t="n"/>
      <c r="BS267" s="26" t="n"/>
      <c r="BT267" s="26" t="n"/>
      <c r="BU267" s="26" t="n"/>
      <c r="BV267" s="26" t="n"/>
      <c r="BW267" s="26" t="n"/>
      <c r="BX267" s="26" t="n"/>
      <c r="BY267" s="26" t="n"/>
      <c r="BZ267" s="26" t="n"/>
      <c r="CA267" s="26" t="n"/>
      <c r="CB267" s="26" t="n"/>
      <c r="CC267" s="26" t="n"/>
      <c r="CE267" s="27" t="n"/>
      <c r="CF267" s="28" t="n"/>
      <c r="CG267" s="28" t="n"/>
      <c r="CH267" s="28" t="n"/>
      <c r="CI267" s="29" t="n"/>
      <c r="CK267" s="104" t="n"/>
    </row>
    <row r="268" hidden="1">
      <c r="AB268" s="30" t="inlineStr">
        <is>
          <t>Tarif Retail</t>
        </is>
      </c>
      <c r="AC268" s="30" t="n"/>
      <c r="AD268" s="30" t="n"/>
      <c r="AE268" s="30" t="n"/>
      <c r="AF268" s="30" t="n"/>
      <c r="AG268" s="30" t="n"/>
      <c r="AH268" s="30" t="n"/>
      <c r="AI268" s="30" t="n"/>
      <c r="AJ268" s="30" t="n"/>
      <c r="AK268" s="30" t="n"/>
      <c r="AL268" s="30" t="n"/>
      <c r="AM268" s="30" t="n"/>
      <c r="AN268" s="30" t="n"/>
      <c r="AO268" s="30" t="n"/>
      <c r="AP268" s="30" t="n"/>
      <c r="AQ268" s="30" t="n"/>
      <c r="AR268" s="30" t="n"/>
      <c r="AS268" s="30" t="n"/>
      <c r="AT268" s="30" t="n"/>
      <c r="AV268" s="31" t="inlineStr">
        <is>
          <t>Tarif Institut</t>
        </is>
      </c>
      <c r="AW268" s="31" t="n"/>
      <c r="AX268" s="31" t="n"/>
      <c r="AY268" s="31" t="n"/>
      <c r="AZ268" s="31" t="n"/>
      <c r="BA268" s="31" t="n"/>
      <c r="BB268" s="31" t="n"/>
      <c r="BC268" s="31" t="n"/>
      <c r="BD268" s="31" t="n"/>
      <c r="BE268" s="31" t="n"/>
      <c r="BF268" s="31" t="n"/>
      <c r="BG268" s="31" t="n"/>
      <c r="BH268" s="31" t="n"/>
      <c r="BI268" s="31" t="n"/>
      <c r="BJ268" s="31" t="n"/>
      <c r="BK268" s="31" t="n"/>
      <c r="BL268" s="31" t="n"/>
      <c r="BM268" s="31" t="n"/>
      <c r="BN268" s="31" t="n"/>
      <c r="BO268" s="31" t="n"/>
      <c r="BP268" s="31" t="n"/>
      <c r="BQ268" s="31" t="n"/>
      <c r="BR268" s="31" t="n"/>
      <c r="BS268" s="31" t="n"/>
      <c r="BT268" s="31" t="n"/>
      <c r="BU268" s="31" t="n"/>
      <c r="BV268" s="31" t="n"/>
      <c r="BW268" s="31" t="n"/>
      <c r="BX268" s="31" t="n"/>
      <c r="BZ268" s="32" t="inlineStr">
        <is>
          <t>Autres</t>
        </is>
      </c>
      <c r="CA268" s="32" t="n"/>
      <c r="CB268" s="32" t="n"/>
      <c r="CC268" s="32" t="n"/>
      <c r="CE268" s="33" t="n"/>
      <c r="CF268" s="34" t="inlineStr">
        <is>
          <t>Tous réseaux</t>
        </is>
      </c>
      <c r="CG268" s="34" t="n"/>
      <c r="CH268" s="34" t="n"/>
      <c r="CI268" s="35" t="n"/>
      <c r="CK268" s="104" t="n"/>
    </row>
    <row r="269" hidden="1" ht="5.25" customHeight="1">
      <c r="CE269" s="33" t="n"/>
      <c r="CF269" s="39" t="n"/>
      <c r="CG269" s="39" t="n"/>
      <c r="CH269" s="39" t="n"/>
      <c r="CI269" s="35" t="n"/>
      <c r="CK269" s="104" t="n"/>
    </row>
    <row r="270" hidden="1">
      <c r="P270" s="1" t="inlineStr">
        <is>
          <t>Additionnelle</t>
        </is>
      </c>
      <c r="AB270" s="42" t="inlineStr">
        <is>
          <t>Ambassadeur</t>
        </is>
      </c>
      <c r="AC270" s="42" t="n"/>
      <c r="AD270" s="42" t="n"/>
      <c r="AE270" s="42" t="n"/>
      <c r="AG270" s="42" t="inlineStr">
        <is>
          <t>Compagnon</t>
        </is>
      </c>
      <c r="AH270" s="42" t="n"/>
      <c r="AI270" s="42" t="n"/>
      <c r="AJ270" s="42" t="n"/>
      <c r="AL270" s="42" t="inlineStr">
        <is>
          <t>Challenger</t>
        </is>
      </c>
      <c r="AM270" s="42" t="n"/>
      <c r="AN270" s="42" t="n"/>
      <c r="AO270" s="42" t="n"/>
      <c r="AQ270" s="42" t="inlineStr">
        <is>
          <t>Partenaire</t>
        </is>
      </c>
      <c r="AR270" s="42" t="n"/>
      <c r="AS270" s="42" t="n"/>
      <c r="AT270" s="42" t="n"/>
      <c r="AV270" s="43" t="inlineStr">
        <is>
          <t>Rose</t>
        </is>
      </c>
      <c r="AW270" s="43" t="n"/>
      <c r="AX270" s="43" t="n"/>
      <c r="AY270" s="43" t="n"/>
      <c r="BA270" s="43" t="inlineStr">
        <is>
          <t>Prunelier</t>
        </is>
      </c>
      <c r="BB270" s="43" t="n"/>
      <c r="BC270" s="43" t="n"/>
      <c r="BD270" s="43" t="n"/>
      <c r="BF270" s="43" t="inlineStr">
        <is>
          <t>Anthylide</t>
        </is>
      </c>
      <c r="BG270" s="43" t="n"/>
      <c r="BH270" s="43" t="n"/>
      <c r="BI270" s="43" t="n"/>
      <c r="BK270" s="43" t="inlineStr">
        <is>
          <t>Calendula</t>
        </is>
      </c>
      <c r="BL270" s="43" t="n"/>
      <c r="BM270" s="43" t="n"/>
      <c r="BN270" s="43" t="n"/>
      <c r="BP270" s="43" t="inlineStr">
        <is>
          <t>Bourrache</t>
        </is>
      </c>
      <c r="BQ270" s="43" t="n"/>
      <c r="BR270" s="43" t="n"/>
      <c r="BS270" s="43" t="n"/>
      <c r="BU270" s="43" t="inlineStr">
        <is>
          <t>Herbacée</t>
        </is>
      </c>
      <c r="BV270" s="43" t="n"/>
      <c r="BW270" s="43" t="n"/>
      <c r="BX270" s="43" t="n"/>
      <c r="BZ270" s="44" t="inlineStr">
        <is>
          <t>Autres</t>
        </is>
      </c>
      <c r="CA270" s="44" t="n"/>
      <c r="CB270" s="44" t="n"/>
      <c r="CC270" s="44" t="n"/>
      <c r="CE270" s="33" t="n"/>
      <c r="CF270" s="45" t="inlineStr">
        <is>
          <t>Total</t>
        </is>
      </c>
      <c r="CG270" s="45" t="n"/>
      <c r="CH270" s="45" t="n"/>
      <c r="CI270" s="35" t="n"/>
      <c r="CK270" s="104" t="n"/>
    </row>
    <row r="271" hidden="1" ht="5.25" customHeight="1">
      <c r="CE271" s="33" t="n"/>
      <c r="CF271" s="39" t="n"/>
      <c r="CG271" s="39" t="n"/>
      <c r="CH271" s="39" t="n"/>
      <c r="CI271" s="35" t="n"/>
      <c r="CK271" s="104" t="n"/>
    </row>
    <row r="272" hidden="1" ht="38.25" customFormat="1" customHeight="1" s="46">
      <c r="E272" s="47" t="n"/>
      <c r="H272" s="48" t="inlineStr">
        <is>
          <t>Pdt dans offre</t>
        </is>
      </c>
      <c r="J272" s="48" t="inlineStr">
        <is>
          <t>PA x Unit.</t>
        </is>
      </c>
      <c r="K272" s="48" t="inlineStr">
        <is>
          <t>Coûts Achats</t>
        </is>
      </c>
      <c r="M272" s="48" t="inlineStr">
        <is>
          <t>Tarif Rev.  x Unit.</t>
        </is>
      </c>
      <c r="N272" s="48" t="inlineStr">
        <is>
          <t>Tarif Rev.</t>
        </is>
      </c>
      <c r="P272" s="48" t="inlineStr">
        <is>
          <t>Remise Offres x Prod.</t>
        </is>
      </c>
      <c r="R272" s="48" t="inlineStr">
        <is>
          <t>Tarif Rev. Remisé</t>
        </is>
      </c>
      <c r="T272" s="48" t="inlineStr">
        <is>
          <t>PPC Unitaire Indicatif</t>
        </is>
      </c>
      <c r="U272" s="48" t="n"/>
      <c r="V272" s="48" t="inlineStr">
        <is>
          <t>PPC Unitaire Remisé</t>
        </is>
      </c>
      <c r="X272" s="48" t="inlineStr">
        <is>
          <t>Montant BRI</t>
        </is>
      </c>
      <c r="Z272" s="48" t="inlineStr">
        <is>
          <t>PPC global Indicatif</t>
        </is>
      </c>
      <c r="AB272" s="48" t="inlineStr">
        <is>
          <t>Nbrs Offres planifiées</t>
        </is>
      </c>
      <c r="AC272" s="48" t="inlineStr">
        <is>
          <t>Remise Statut</t>
        </is>
      </c>
      <c r="AD272" s="48" t="inlineStr">
        <is>
          <t>CA</t>
        </is>
      </c>
      <c r="AE272" s="48" t="inlineStr">
        <is>
          <t>Marges</t>
        </is>
      </c>
      <c r="AG272" s="48" t="inlineStr">
        <is>
          <t>Nbrs Offres planifiées</t>
        </is>
      </c>
      <c r="AH272" s="48" t="inlineStr">
        <is>
          <t>Remise Statut</t>
        </is>
      </c>
      <c r="AI272" s="48" t="inlineStr">
        <is>
          <t>CA</t>
        </is>
      </c>
      <c r="AJ272" s="48" t="inlineStr">
        <is>
          <t>Marges</t>
        </is>
      </c>
      <c r="AL272" s="48" t="inlineStr">
        <is>
          <t>Nbrs Offres planifiées</t>
        </is>
      </c>
      <c r="AM272" s="48" t="inlineStr">
        <is>
          <t>Remise Statut</t>
        </is>
      </c>
      <c r="AN272" s="48" t="inlineStr">
        <is>
          <t>CA</t>
        </is>
      </c>
      <c r="AO272" s="48" t="inlineStr">
        <is>
          <t>Marges</t>
        </is>
      </c>
      <c r="AQ272" s="48" t="inlineStr">
        <is>
          <t>Nbrs Offres planifiées</t>
        </is>
      </c>
      <c r="AR272" s="48" t="inlineStr">
        <is>
          <t>Remise Statut</t>
        </is>
      </c>
      <c r="AS272" s="48" t="inlineStr">
        <is>
          <t>CA</t>
        </is>
      </c>
      <c r="AT272" s="48" t="inlineStr">
        <is>
          <t>Marges</t>
        </is>
      </c>
      <c r="AV272" s="48" t="inlineStr">
        <is>
          <t>Nbrs Offres planifiées</t>
        </is>
      </c>
      <c r="AW272" s="48" t="inlineStr">
        <is>
          <t>Remise Statut</t>
        </is>
      </c>
      <c r="AX272" s="48" t="inlineStr">
        <is>
          <t>CA</t>
        </is>
      </c>
      <c r="AY272" s="48" t="inlineStr">
        <is>
          <t>Marges</t>
        </is>
      </c>
      <c r="BA272" s="48" t="inlineStr">
        <is>
          <t>Nbrs Offres planifiées</t>
        </is>
      </c>
      <c r="BB272" s="48" t="inlineStr">
        <is>
          <t>Remise Statut</t>
        </is>
      </c>
      <c r="BC272" s="48" t="inlineStr">
        <is>
          <t>CA</t>
        </is>
      </c>
      <c r="BD272" s="48" t="inlineStr">
        <is>
          <t>Marges</t>
        </is>
      </c>
      <c r="BF272" s="48" t="inlineStr">
        <is>
          <t>Nbrs Offres planifiées</t>
        </is>
      </c>
      <c r="BG272" s="48" t="inlineStr">
        <is>
          <t>Remise Statut</t>
        </is>
      </c>
      <c r="BH272" s="48" t="inlineStr">
        <is>
          <t>CA</t>
        </is>
      </c>
      <c r="BI272" s="48" t="inlineStr">
        <is>
          <t>Marges</t>
        </is>
      </c>
      <c r="BK272" s="48" t="inlineStr">
        <is>
          <t>Nbrs Offres planifiées</t>
        </is>
      </c>
      <c r="BL272" s="48" t="inlineStr">
        <is>
          <t>Remise Statut</t>
        </is>
      </c>
      <c r="BM272" s="48" t="inlineStr">
        <is>
          <t>CA</t>
        </is>
      </c>
      <c r="BN272" s="48" t="inlineStr">
        <is>
          <t>Marges</t>
        </is>
      </c>
      <c r="BP272" s="48" t="inlineStr">
        <is>
          <t>Nbrs Offres planifiées</t>
        </is>
      </c>
      <c r="BQ272" s="48" t="inlineStr">
        <is>
          <t>Remise Statut</t>
        </is>
      </c>
      <c r="BR272" s="48" t="inlineStr">
        <is>
          <t>CA</t>
        </is>
      </c>
      <c r="BS272" s="48" t="inlineStr">
        <is>
          <t>Marges</t>
        </is>
      </c>
      <c r="BU272" s="48" t="inlineStr">
        <is>
          <t>Nbrs Offres planifiées</t>
        </is>
      </c>
      <c r="BV272" s="48" t="inlineStr">
        <is>
          <t>Remise Statut</t>
        </is>
      </c>
      <c r="BW272" s="48" t="inlineStr">
        <is>
          <t>CA</t>
        </is>
      </c>
      <c r="BX272" s="48" t="inlineStr">
        <is>
          <t>Marges</t>
        </is>
      </c>
      <c r="BZ272" s="48" t="inlineStr">
        <is>
          <t>Nbrs Offres planifiées</t>
        </is>
      </c>
      <c r="CA272" s="48" t="inlineStr">
        <is>
          <t>Remise Statut</t>
        </is>
      </c>
      <c r="CB272" s="48" t="inlineStr">
        <is>
          <t>CA</t>
        </is>
      </c>
      <c r="CC272" s="48" t="inlineStr">
        <is>
          <t>Marges</t>
        </is>
      </c>
      <c r="CE272" s="49" t="n"/>
      <c r="CF272" s="50" t="inlineStr">
        <is>
          <t>Nbrs Offres planifiées</t>
        </is>
      </c>
      <c r="CG272" s="50" t="inlineStr">
        <is>
          <t>CA</t>
        </is>
      </c>
      <c r="CH272" s="50" t="inlineStr">
        <is>
          <t>Marges</t>
        </is>
      </c>
      <c r="CI272" s="51" t="n"/>
      <c r="CK272" s="167" t="n"/>
      <c r="CW272" s="183" t="n"/>
      <c r="CX272" s="183" t="n"/>
      <c r="CY272" s="183" t="n"/>
      <c r="CZ272" s="183" t="n"/>
      <c r="DA272" s="183" t="n"/>
      <c r="DB272" s="183" t="n"/>
      <c r="DC272" s="183" t="n"/>
      <c r="DD272" s="183" t="n"/>
      <c r="DE272" s="183" t="n"/>
      <c r="DF272" s="183" t="n"/>
      <c r="DG272" s="183" t="n"/>
      <c r="DH272" s="183" t="n"/>
      <c r="DI272" s="183" t="n"/>
      <c r="DJ272" s="183" t="n"/>
      <c r="DK272" s="183" t="n"/>
      <c r="DL272" s="183" t="n"/>
      <c r="DM272" s="183" t="n"/>
      <c r="DN272" s="183" t="n"/>
      <c r="DO272" s="183" t="n"/>
      <c r="DP272" s="183" t="n"/>
    </row>
    <row r="273" hidden="1" ht="26.25" customHeight="1">
      <c r="C273" s="66" t="inlineStr">
        <is>
          <t>Code article</t>
        </is>
      </c>
      <c r="D273" s="66" t="inlineStr">
        <is>
          <t>Libellé article</t>
        </is>
      </c>
      <c r="E273" s="168" t="inlineStr">
        <is>
          <t>Code à barres (EAN)</t>
        </is>
      </c>
      <c r="F273" s="66" t="inlineStr">
        <is>
          <t>Typ. Prod</t>
        </is>
      </c>
      <c r="H273" s="66" t="inlineStr">
        <is>
          <t>'#</t>
        </is>
      </c>
      <c r="J273" s="66" t="inlineStr">
        <is>
          <t>'€</t>
        </is>
      </c>
      <c r="K273" s="66" t="inlineStr">
        <is>
          <t>'€</t>
        </is>
      </c>
      <c r="M273" s="66" t="inlineStr">
        <is>
          <t>'€</t>
        </is>
      </c>
      <c r="N273" s="66" t="inlineStr">
        <is>
          <t>'€</t>
        </is>
      </c>
      <c r="P273" s="66" t="inlineStr">
        <is>
          <t>'€</t>
        </is>
      </c>
      <c r="R273" s="66" t="inlineStr">
        <is>
          <t>'€</t>
        </is>
      </c>
      <c r="T273" s="66" t="inlineStr">
        <is>
          <t>'€</t>
        </is>
      </c>
      <c r="U273" s="67" t="n"/>
      <c r="V273" s="66" t="inlineStr">
        <is>
          <t>'€</t>
        </is>
      </c>
      <c r="X273" s="66" t="inlineStr">
        <is>
          <t>'€</t>
        </is>
      </c>
      <c r="Z273" s="66" t="inlineStr">
        <is>
          <t>'€</t>
        </is>
      </c>
      <c r="AB273" s="66" t="inlineStr">
        <is>
          <t>'#</t>
        </is>
      </c>
      <c r="AC273" s="66" t="inlineStr">
        <is>
          <t>'€</t>
        </is>
      </c>
      <c r="AD273" s="66" t="inlineStr">
        <is>
          <t>'€</t>
        </is>
      </c>
      <c r="AE273" s="66" t="inlineStr">
        <is>
          <t>'€</t>
        </is>
      </c>
      <c r="AG273" s="66" t="inlineStr">
        <is>
          <t>'#</t>
        </is>
      </c>
      <c r="AH273" s="66" t="inlineStr">
        <is>
          <t>'€</t>
        </is>
      </c>
      <c r="AI273" s="66" t="inlineStr">
        <is>
          <t>'€</t>
        </is>
      </c>
      <c r="AJ273" s="66" t="inlineStr">
        <is>
          <t>'€</t>
        </is>
      </c>
      <c r="AL273" s="66" t="inlineStr">
        <is>
          <t>'#</t>
        </is>
      </c>
      <c r="AM273" s="66" t="inlineStr">
        <is>
          <t>'€</t>
        </is>
      </c>
      <c r="AN273" s="66" t="inlineStr">
        <is>
          <t>'€</t>
        </is>
      </c>
      <c r="AO273" s="66" t="inlineStr">
        <is>
          <t>'€</t>
        </is>
      </c>
      <c r="AQ273" s="66" t="inlineStr">
        <is>
          <t>'#</t>
        </is>
      </c>
      <c r="AR273" s="66" t="inlineStr">
        <is>
          <t>'€</t>
        </is>
      </c>
      <c r="AS273" s="66" t="inlineStr">
        <is>
          <t>'€</t>
        </is>
      </c>
      <c r="AT273" s="66" t="inlineStr">
        <is>
          <t>'€</t>
        </is>
      </c>
      <c r="AV273" s="66" t="inlineStr">
        <is>
          <t>'#</t>
        </is>
      </c>
      <c r="AW273" s="66" t="inlineStr">
        <is>
          <t>'€</t>
        </is>
      </c>
      <c r="AX273" s="66" t="inlineStr">
        <is>
          <t>'€</t>
        </is>
      </c>
      <c r="AY273" s="66" t="inlineStr">
        <is>
          <t>'€</t>
        </is>
      </c>
      <c r="BA273" s="66" t="inlineStr">
        <is>
          <t>'#</t>
        </is>
      </c>
      <c r="BB273" s="66" t="inlineStr">
        <is>
          <t>'€</t>
        </is>
      </c>
      <c r="BC273" s="66" t="inlineStr">
        <is>
          <t>'€</t>
        </is>
      </c>
      <c r="BD273" s="66" t="inlineStr">
        <is>
          <t>'€</t>
        </is>
      </c>
      <c r="BF273" s="66" t="inlineStr">
        <is>
          <t>'#</t>
        </is>
      </c>
      <c r="BG273" s="66" t="inlineStr">
        <is>
          <t>'€</t>
        </is>
      </c>
      <c r="BH273" s="66" t="inlineStr">
        <is>
          <t>'€</t>
        </is>
      </c>
      <c r="BI273" s="66" t="inlineStr">
        <is>
          <t>'€</t>
        </is>
      </c>
      <c r="BK273" s="66" t="inlineStr">
        <is>
          <t>'#</t>
        </is>
      </c>
      <c r="BL273" s="66" t="inlineStr">
        <is>
          <t>'€</t>
        </is>
      </c>
      <c r="BM273" s="66" t="inlineStr">
        <is>
          <t>'€</t>
        </is>
      </c>
      <c r="BN273" s="66" t="inlineStr">
        <is>
          <t>'€</t>
        </is>
      </c>
      <c r="BP273" s="66" t="inlineStr">
        <is>
          <t>'#</t>
        </is>
      </c>
      <c r="BQ273" s="66" t="inlineStr">
        <is>
          <t>'€</t>
        </is>
      </c>
      <c r="BR273" s="66" t="inlineStr">
        <is>
          <t>'€</t>
        </is>
      </c>
      <c r="BS273" s="66" t="inlineStr">
        <is>
          <t>'€</t>
        </is>
      </c>
      <c r="BU273" s="66" t="inlineStr">
        <is>
          <t>'#</t>
        </is>
      </c>
      <c r="BV273" s="66" t="inlineStr">
        <is>
          <t>'€</t>
        </is>
      </c>
      <c r="BW273" s="66" t="inlineStr">
        <is>
          <t>'€</t>
        </is>
      </c>
      <c r="BX273" s="66" t="inlineStr">
        <is>
          <t>'€</t>
        </is>
      </c>
      <c r="BZ273" s="66" t="inlineStr">
        <is>
          <t>'#</t>
        </is>
      </c>
      <c r="CA273" s="66" t="inlineStr">
        <is>
          <t>'€</t>
        </is>
      </c>
      <c r="CB273" s="66" t="inlineStr">
        <is>
          <t>'€</t>
        </is>
      </c>
      <c r="CC273" s="66" t="inlineStr">
        <is>
          <t>'€</t>
        </is>
      </c>
      <c r="CE273" s="33" t="n"/>
      <c r="CF273" s="68" t="inlineStr">
        <is>
          <t>'#</t>
        </is>
      </c>
      <c r="CG273" s="68" t="inlineStr">
        <is>
          <t>'€</t>
        </is>
      </c>
      <c r="CH273" s="68" t="inlineStr">
        <is>
          <t>'€</t>
        </is>
      </c>
      <c r="CI273" s="35" t="n"/>
      <c r="CJ273" s="69">
        <f>ROUNDUP(CF275*60%,-1)</f>
        <v/>
      </c>
      <c r="CK273" s="104" t="n"/>
    </row>
    <row r="274" hidden="1" ht="5.25" customHeight="1">
      <c r="CE274" s="33" t="n"/>
      <c r="CF274" s="39" t="n"/>
      <c r="CG274" s="39" t="n"/>
      <c r="CH274" s="39" t="n"/>
      <c r="CI274" s="35" t="n"/>
      <c r="CK274" s="104" t="n"/>
    </row>
    <row r="275" hidden="1" ht="12.95" customFormat="1" customHeight="1" s="69">
      <c r="B275" s="69">
        <f>C265</f>
        <v/>
      </c>
      <c r="C275" s="70" t="inlineStr">
        <is>
          <t>Synthèse</t>
        </is>
      </c>
      <c r="D275" s="70" t="n"/>
      <c r="E275" s="71" t="n"/>
      <c r="F275" s="70" t="n"/>
      <c r="H275" s="72">
        <f>IFERROR(SUMIFS(H277:H316,F277:F316,"Produit Vente"),"Non trouvé")</f>
        <v/>
      </c>
      <c r="J275" s="73">
        <f>IFERROR($K275/$H275,"Non Trouvé")</f>
        <v/>
      </c>
      <c r="K275" s="73">
        <f>IFERROR(SUM(K277:K316),"Non Trouvé")</f>
        <v/>
      </c>
      <c r="M275" s="73">
        <f>IFERROR($N275/$H275,"Non Trouvé")</f>
        <v/>
      </c>
      <c r="N275" s="73">
        <f>IFERROR(SUM(N277:N316),"Non Trouvé")</f>
        <v/>
      </c>
      <c r="P275" s="74">
        <f>IFERROR(-(R275-N275)/N275,"Non Trouvé")</f>
        <v/>
      </c>
      <c r="R275" s="73">
        <f>IFERROR(SUM(R277:R316),"Non Trouvé")</f>
        <v/>
      </c>
      <c r="T275" s="73">
        <f>IFERROR(SUM(T277:T316),"Non Trouvé")</f>
        <v/>
      </c>
      <c r="U275" s="75" t="n"/>
      <c r="V275" s="73">
        <f>IFERROR(SUM(V277:V317),"Non Trouvé")</f>
        <v/>
      </c>
      <c r="X275" s="73">
        <f>IFERROR(SUM(X277:X317),"Non Trouvé")</f>
        <v/>
      </c>
      <c r="Z275" s="73">
        <f>IFERROR(SUM(Z277:Z316),"Non Trouvé")</f>
        <v/>
      </c>
      <c r="AB275" s="76">
        <f>ROUND($AB$264*AB267,0)</f>
        <v/>
      </c>
      <c r="AC275" s="77">
        <f>IFERROR(VLOOKUP(AB270,'[1]Paramètres Généraux'!$O:$P,2,FALSE),"Non Trouvé")</f>
        <v/>
      </c>
      <c r="AD275" s="73">
        <f>IFERROR(SUM(AD277:AD317),"Non Trouvé")</f>
        <v/>
      </c>
      <c r="AE275" s="74">
        <f>IFERROR((AD275-$K275*AB275)/AD275,"Non Trouvé")</f>
        <v/>
      </c>
      <c r="AG275" s="76">
        <f>ROUND($AB$264*AG267,0)</f>
        <v/>
      </c>
      <c r="AH275" s="77">
        <f>IFERROR(VLOOKUP(AG270,'[1]Paramètres Généraux'!$O:$P,2,FALSE),"Non Trouvé")</f>
        <v/>
      </c>
      <c r="AI275" s="73">
        <f>IFERROR(SUM(AI277:AI317),"Non Trouvé")</f>
        <v/>
      </c>
      <c r="AJ275" s="74">
        <f>IFERROR((AI275-$K275*AG275)/AI275,"Non Trouvé")</f>
        <v/>
      </c>
      <c r="AL275" s="76">
        <f>ROUND($AB$264*AL267,0)</f>
        <v/>
      </c>
      <c r="AM275" s="77">
        <f>IFERROR(VLOOKUP(AL270,'[1]Paramètres Généraux'!$O:$P,2,FALSE),"Non Trouvé")</f>
        <v/>
      </c>
      <c r="AN275" s="73">
        <f>IFERROR(SUM(AN277:AN317),"Non Trouvé")</f>
        <v/>
      </c>
      <c r="AO275" s="74">
        <f>IFERROR((AN275-$K275*AL275)/AN275,"Non Trouvé")</f>
        <v/>
      </c>
      <c r="AQ275" s="76">
        <f>ROUND($AB$264*AQ267,0)</f>
        <v/>
      </c>
      <c r="AR275" s="77">
        <f>IFERROR(VLOOKUP(AQ270,'[1]Paramètres Généraux'!$O:$P,2,FALSE),"Non Trouvé")</f>
        <v/>
      </c>
      <c r="AS275" s="73">
        <f>IFERROR(SUM(AS277:AS317),"Non Trouvé")</f>
        <v/>
      </c>
      <c r="AT275" s="74">
        <f>IFERROR((AS275-$K275*AQ275)/AS275,"Non Trouvé")</f>
        <v/>
      </c>
      <c r="AV275" s="76">
        <f>ROUND($AB$264*AV267,0)</f>
        <v/>
      </c>
      <c r="AW275" s="77">
        <f>IFERROR(VLOOKUP(AV270,'[1]Paramètres Généraux'!$O:$P,2,FALSE),"Non Trouvé")</f>
        <v/>
      </c>
      <c r="AX275" s="73">
        <f>IFERROR(SUM(AX277:AX317),"Non Trouvé")</f>
        <v/>
      </c>
      <c r="AY275" s="74">
        <f>IFERROR((AX275-$K275*AV275)/AX275,"Non Trouvé")</f>
        <v/>
      </c>
      <c r="BA275" s="76">
        <f>ROUND($AB$264*BA267,0)</f>
        <v/>
      </c>
      <c r="BB275" s="77">
        <f>IFERROR(VLOOKUP(BA270,'[1]Paramètres Généraux'!$O:$P,2,FALSE),"Non Trouvé")</f>
        <v/>
      </c>
      <c r="BC275" s="73">
        <f>IFERROR(SUM(BC277:BC317),"Non Trouvé")</f>
        <v/>
      </c>
      <c r="BD275" s="74">
        <f>IFERROR((BC275-$K275*BA275)/BC275,"Non Trouvé")</f>
        <v/>
      </c>
      <c r="BF275" s="76">
        <f>ROUND($AB$264*BF267,0)</f>
        <v/>
      </c>
      <c r="BG275" s="77">
        <f>IFERROR(VLOOKUP(BF270,'[1]Paramètres Généraux'!$O:$P,2,FALSE),"Non Trouvé")</f>
        <v/>
      </c>
      <c r="BH275" s="73">
        <f>IFERROR(SUM(BH277:BH317),"Non Trouvé")</f>
        <v/>
      </c>
      <c r="BI275" s="74">
        <f>IFERROR((BH275-$K275*BF275)/BH275,"Non Trouvé")</f>
        <v/>
      </c>
      <c r="BK275" s="76">
        <f>ROUND($AB$264*BK267,0)</f>
        <v/>
      </c>
      <c r="BL275" s="77">
        <f>IFERROR(VLOOKUP(BK270,'[1]Paramètres Généraux'!$O:$P,2,FALSE),"Non Trouvé")</f>
        <v/>
      </c>
      <c r="BM275" s="73">
        <f>IFERROR(SUM(BM277:BM317),"Non Trouvé")</f>
        <v/>
      </c>
      <c r="BN275" s="74">
        <f>IFERROR((BM275-$K275*BK275)/BM275,"Non Trouvé")</f>
        <v/>
      </c>
      <c r="BP275" s="76">
        <f>ROUND($AB$264*BP267,0)</f>
        <v/>
      </c>
      <c r="BQ275" s="77">
        <f>IFERROR(VLOOKUP(BP270,'[1]Paramètres Généraux'!$O:$P,2,FALSE),"Non Trouvé")</f>
        <v/>
      </c>
      <c r="BR275" s="73">
        <f>IFERROR(SUM(BR277:BR317),"Non Trouvé")</f>
        <v/>
      </c>
      <c r="BS275" s="74">
        <f>IFERROR((BR275-$K275*BP275)/BR275,"Non Trouvé")</f>
        <v/>
      </c>
      <c r="BU275" s="76">
        <f>ROUND($AB$264*BU267,0)</f>
        <v/>
      </c>
      <c r="BV275" s="77">
        <f>IFERROR(VLOOKUP(BU270,'[1]Paramètres Généraux'!$O:$P,2,FALSE),"Non Trouvé")</f>
        <v/>
      </c>
      <c r="BW275" s="73">
        <f>IFERROR(SUM(BW277:BW317),"Non Trouvé")</f>
        <v/>
      </c>
      <c r="BX275" s="74">
        <f>IFERROR((BW275-$K275*BU275)/BW275,"Non Trouvé")</f>
        <v/>
      </c>
      <c r="BZ275" s="76">
        <f>ROUND($AB$264*BZ267,0)</f>
        <v/>
      </c>
      <c r="CA275" s="77">
        <f>IFERROR(VLOOKUP(BZ270,'[1]Paramètres Généraux'!$O:$P,2,FALSE),"Non Trouvé")</f>
        <v/>
      </c>
      <c r="CB275" s="73">
        <f>IFERROR(SUM(CB277:CB317),"Non Trouvé")</f>
        <v/>
      </c>
      <c r="CC275" s="74">
        <f>IFERROR((CB275-$K275*BZ275)/CB275,"Non Trouvé")</f>
        <v/>
      </c>
      <c r="CE275" s="78" t="n"/>
      <c r="CF275" s="72">
        <f>SUMIFS($AB275:$CC275,$AB272:$CC272,CF272)</f>
        <v/>
      </c>
      <c r="CG275" s="72">
        <f>SUMIFS($AB275:$CC275,$AB272:$CC272,CG272)</f>
        <v/>
      </c>
      <c r="CH275" s="79">
        <f>IFERROR((CG275-$K275*CF275)/CG275,"Non Trouvé")</f>
        <v/>
      </c>
      <c r="CI275" s="80" t="n"/>
      <c r="CJ275" s="69">
        <f>ROUNDUP(CF275*70%,-1)</f>
        <v/>
      </c>
      <c r="CK275" s="169" t="n"/>
      <c r="CW275" s="184" t="n"/>
      <c r="CX275" s="184" t="n"/>
      <c r="CY275" s="184" t="n"/>
      <c r="CZ275" s="184" t="n"/>
      <c r="DA275" s="184" t="n"/>
      <c r="DB275" s="184" t="n"/>
      <c r="DC275" s="184" t="n"/>
      <c r="DD275" s="184" t="n"/>
      <c r="DE275" s="184" t="n"/>
      <c r="DF275" s="184" t="n"/>
      <c r="DG275" s="184" t="n"/>
      <c r="DH275" s="184" t="n"/>
      <c r="DI275" s="184" t="n"/>
      <c r="DJ275" s="184" t="n"/>
      <c r="DK275" s="184" t="n"/>
      <c r="DL275" s="184" t="n"/>
      <c r="DM275" s="184" t="n"/>
      <c r="DN275" s="184" t="n"/>
      <c r="DO275" s="184" t="n"/>
      <c r="DP275" s="184" t="n"/>
    </row>
    <row r="276" hidden="1" ht="5.25" customHeight="1">
      <c r="CE276" s="33" t="n"/>
      <c r="CF276" s="39" t="n"/>
      <c r="CG276" s="39" t="n"/>
      <c r="CH276" s="39" t="n"/>
      <c r="CI276" s="35" t="n"/>
      <c r="CK276" s="104" t="n"/>
    </row>
    <row r="277" hidden="1" ht="12.95" customHeight="1">
      <c r="B277" s="1">
        <f>IF(C277="",0,COUNTIFS($B$22:B276,"&gt;"&amp;0)+1)</f>
        <v/>
      </c>
      <c r="C277" s="90" t="n">
        <v>1020202</v>
      </c>
      <c r="D277" s="91">
        <f>IFERROR(IF($C277="","",VLOOKUP($C277,'[1]Paramètres Articles'!$B:$G,2,FALSE)),"Non Trouvé")</f>
        <v/>
      </c>
      <c r="E277" s="92">
        <f>IFERROR(IF($C277="","",_xlfn.XLOOKUP(REGENERANTS!$C277,'[1]New Base PA'!$F:$F,'[1]New Base PA'!$D:$D,"Not Found",0)),"Non Trouvé")</f>
        <v/>
      </c>
      <c r="F277" s="93" t="inlineStr">
        <is>
          <t>Produit Vente</t>
        </is>
      </c>
      <c r="H277" s="106">
        <f>12*13%</f>
        <v/>
      </c>
      <c r="J277" s="95" t="n"/>
      <c r="K277" s="136" t="n"/>
      <c r="L277" s="137" t="n"/>
      <c r="M277" s="136">
        <f>IFERROR(IF(AND($F277="Produit Vente",H277&gt;0),VLOOKUP($C277,'[1]Paramètres Articles'!$B:$G,6,FALSE),0),"Non Trouvé")</f>
        <v/>
      </c>
      <c r="N277" s="136" t="n"/>
      <c r="P277" s="97" t="n"/>
      <c r="R277" s="95">
        <f>IFERROR(IF($C277="","",$N277*(1-$P277)),"Non Trouvé")</f>
        <v/>
      </c>
      <c r="S277" s="96" t="n"/>
      <c r="T277" s="95">
        <f>IFERROR(IF($C277="","",VLOOKUP($C277,'[1]Paramètres Articles'!$B:$H,7,FALSE)),"Non Trouvé")</f>
        <v/>
      </c>
      <c r="U277" s="98" t="n"/>
      <c r="V277" s="95">
        <f>IFERROR(IF($C277="","",IF($P277="","",$T277*(1-$P277))),"Non Trouvé")</f>
        <v/>
      </c>
      <c r="W277" s="96" t="n"/>
      <c r="X277" s="95">
        <f>IFERROR(T277-V277,"")</f>
        <v/>
      </c>
      <c r="Y277" s="96" t="n"/>
      <c r="Z277" s="95">
        <f>IFERROR(IF(OR(T277=0,T277=""),0,T277*H277),"Non Trouvé")</f>
        <v/>
      </c>
      <c r="AB277" s="99">
        <f>AB275</f>
        <v/>
      </c>
      <c r="AC277" s="99">
        <f>AC275</f>
        <v/>
      </c>
      <c r="AD277" s="95">
        <f>IFERROR(IF($C277="","",IF($P$15="Cascade",$R277*(1-AC277)*AB277,IF($P$15="Additionnelle",($N277-($N277*($P277+AC277)))*AB277))),"Non Trouvé")</f>
        <v/>
      </c>
      <c r="AG277" s="99">
        <f>AG275</f>
        <v/>
      </c>
      <c r="AH277" s="99">
        <f>AH275</f>
        <v/>
      </c>
      <c r="AI277" s="95">
        <f>IFERROR(IF($C277="","",IF($P$15="Cascade",$R277*(1-AH277)*AG277,IF($P$15="Additionnelle",($N277-($N277*($P277+AH277)))*AG277))),"Non Trouvé")</f>
        <v/>
      </c>
      <c r="AL277" s="99">
        <f>AL275</f>
        <v/>
      </c>
      <c r="AM277" s="99">
        <f>AM275</f>
        <v/>
      </c>
      <c r="AN277" s="95">
        <f>IFERROR(IF($C277="","",IF($P$15="Cascade",$R277*(1-AM277)*AL277,IF($P$15="Additionnelle",($N277-($N277*($P277+AM277)))*AL277))),"Non Trouvé")</f>
        <v/>
      </c>
      <c r="AQ277" s="99">
        <f>AQ275</f>
        <v/>
      </c>
      <c r="AR277" s="99">
        <f>AR275</f>
        <v/>
      </c>
      <c r="AS277" s="95">
        <f>IFERROR(IF($C277="","",IF($P$15="Cascade",$R277*(1-AR277)*AQ277,IF($P$15="Additionnelle",($N277-($N277*($P277+AR277)))*AQ277))),"Non Trouvé")</f>
        <v/>
      </c>
      <c r="AV277" s="99">
        <f>AV275</f>
        <v/>
      </c>
      <c r="AW277" s="99">
        <f>AW275</f>
        <v/>
      </c>
      <c r="AX277" s="95">
        <f>IFERROR(IF($C277="","",IF($P$15="Cascade",$R277*(1-AW277)*AV277,IF($P$15="Additionnelle",($N277-($N277*($P277+AW277)))*AV277))),"Non Trouvé")</f>
        <v/>
      </c>
      <c r="BA277" s="99">
        <f>BA275</f>
        <v/>
      </c>
      <c r="BB277" s="99">
        <f>BB275</f>
        <v/>
      </c>
      <c r="BC277" s="95">
        <f>IFERROR(IF($C277="","",IF($P$15="Cascade",$R277*(1-BB277)*BA277,IF($P$15="Additionnelle",($N277-($N277*($P277+BB277)))*BA277))),"Non Trouvé")</f>
        <v/>
      </c>
      <c r="BF277" s="99">
        <f>BF275</f>
        <v/>
      </c>
      <c r="BG277" s="99">
        <f>BG275</f>
        <v/>
      </c>
      <c r="BH277" s="95">
        <f>IFERROR(IF($C277="","",IF($P$15="Cascade",$R277*(1-BG277)*BF277,IF($P$15="Additionnelle",($N277-($N277*($P277+BG277)))*BF277))),"Non Trouvé")</f>
        <v/>
      </c>
      <c r="BK277" s="99">
        <f>BK275</f>
        <v/>
      </c>
      <c r="BL277" s="99">
        <f>BL275</f>
        <v/>
      </c>
      <c r="BM277" s="95">
        <f>IFERROR(IF($C277="","",IF($P$15="Cascade",$R277*(1-BL277)*BK277,IF($P$15="Additionnelle",($N277-($N277*($P277+BL277)))*BK277))),"Non Trouvé")</f>
        <v/>
      </c>
      <c r="BP277" s="99">
        <f>BP275</f>
        <v/>
      </c>
      <c r="BQ277" s="99">
        <f>BQ275</f>
        <v/>
      </c>
      <c r="BR277" s="95">
        <f>IFERROR(IF($C277="","",IF($P$15="Cascade",$R277*(1-BQ277)*BP277,IF($P$15="Additionnelle",($N277-($N277*($P277+BQ277)))*BP277))),"Non Trouvé")</f>
        <v/>
      </c>
      <c r="BU277" s="99">
        <f>BU275</f>
        <v/>
      </c>
      <c r="BV277" s="99">
        <f>BV275</f>
        <v/>
      </c>
      <c r="BW277" s="95">
        <f>IFERROR(IF($C277="","",IF($P$15="Cascade",$R277*(1-BV277)*BU277,IF($P$15="Additionnelle",($N277-($N277*($P277+BV277)))*BU277))),"Non Trouvé")</f>
        <v/>
      </c>
      <c r="BZ277" s="99">
        <f>BZ275</f>
        <v/>
      </c>
      <c r="CA277" s="99">
        <f>CA275</f>
        <v/>
      </c>
      <c r="CB277" s="95">
        <f>IFERROR(IF($C277="","",IF($P$15="Cascade",$R277*(1-CA277)*BZ277,IF($P$15="Additionnelle",($N277-($N277*($P277+CA277)))*BZ277))),"Non Trouvé")</f>
        <v/>
      </c>
      <c r="CE277" s="100" t="n"/>
      <c r="CF277" s="101" t="n"/>
      <c r="CG277" s="102" t="n"/>
      <c r="CH277" s="102" t="n"/>
      <c r="CI277" s="103" t="n"/>
      <c r="CK277" s="104">
        <f>IFERROR(IF(F277='[1]Paramètres Généraux'!$K$12,ROUNDUP((REGENERANTS!H277*REGENERANTS!$CF$275)*'[1]Paramètres Généraux'!$M$12,-1),REGENERANTS!H277*REGENERANTS!$CF$275),"nd")</f>
        <v/>
      </c>
      <c r="CN277" s="171" t="n"/>
      <c r="CO277" s="172" t="n"/>
      <c r="CP277" s="172" t="n"/>
      <c r="CQ277" s="172" t="n"/>
      <c r="CR277" s="172" t="n"/>
      <c r="CS277" s="173" t="n"/>
      <c r="CT277" s="174" t="n"/>
      <c r="CU277" s="172" t="n"/>
      <c r="CV277" s="173" t="n"/>
      <c r="CW277" s="175" t="n"/>
      <c r="CX277" s="176" t="n"/>
      <c r="CY277" s="175" t="n"/>
      <c r="CZ277" s="177" t="n"/>
      <c r="DA277" s="176" t="n"/>
      <c r="DB277" s="175" t="n"/>
      <c r="DC277" s="177" t="n"/>
      <c r="DD277" s="176" t="n"/>
      <c r="DE277" s="175" t="n"/>
      <c r="DF277" s="177" t="n"/>
      <c r="DG277" s="177" t="n"/>
      <c r="DH277" s="177" t="n"/>
      <c r="DI277" s="177" t="n"/>
      <c r="DJ277" s="177" t="n"/>
      <c r="DK277" s="177" t="n"/>
      <c r="DL277" s="177" t="n"/>
      <c r="DM277" s="177" t="n"/>
      <c r="DN277" s="177" t="n"/>
      <c r="DO277" s="176" t="n"/>
      <c r="DP277" s="175" t="n"/>
      <c r="DQ277" s="20">
        <f>SUM(CN277:DP277)</f>
        <v/>
      </c>
      <c r="DR277" s="20">
        <f>SUM(CV277:DP277)</f>
        <v/>
      </c>
      <c r="DS277" s="20">
        <f>IFERROR((IF(AND($F277="Produit Vente",CO277&gt;0),VLOOKUP($C277,'[1]Paramètres Articles'!$B:$H,7,FALSE)*$CO277)*(1-20%)),0)</f>
        <v/>
      </c>
      <c r="DT277" s="20">
        <f>IFERROR((IF(AND($F277="Produit Vente",DR277&gt;0),VLOOKUP($C277,'[1]Paramètres Articles'!$B:$H,6,FALSE)*$DR277)*(1-15%)),0)</f>
        <v/>
      </c>
    </row>
    <row r="278" hidden="1" ht="12.95" customHeight="1">
      <c r="B278" s="1">
        <f>IF(C278="",0,COUNTIFS($B$22:B277,"&gt;"&amp;0)+1)</f>
        <v/>
      </c>
      <c r="C278" s="90" t="n">
        <v>1020310</v>
      </c>
      <c r="D278" s="91">
        <f>IFERROR(IF($C278="","",VLOOKUP($C278,'[1]Paramètres Articles'!$B:$G,2,FALSE)),"Non Trouvé")</f>
        <v/>
      </c>
      <c r="E278" s="92">
        <f>IFERROR(IF($C278="","",_xlfn.XLOOKUP(REGENERANTS!$C278,'[1]New Base PA'!$F:$F,'[1]New Base PA'!$D:$D,"Not Found",0)),"Non Trouvé")</f>
        <v/>
      </c>
      <c r="F278" s="93" t="inlineStr">
        <is>
          <t>Produit Vente</t>
        </is>
      </c>
      <c r="H278" s="106">
        <f>12*7%</f>
        <v/>
      </c>
      <c r="J278" s="95" t="n"/>
      <c r="K278" s="136" t="n"/>
      <c r="L278" s="137" t="n"/>
      <c r="M278" s="136">
        <f>IFERROR(IF(AND($F278="Produit Vente",H278&gt;0),VLOOKUP($C278,'[1]Paramètres Articles'!$B:$G,6,FALSE),0),"Non Trouvé")</f>
        <v/>
      </c>
      <c r="N278" s="136" t="n"/>
      <c r="P278" s="97" t="n"/>
      <c r="R278" s="95">
        <f>IFERROR(IF($C278="","",$N278*(1-$P278)),"Non Trouvé")</f>
        <v/>
      </c>
      <c r="S278" s="96" t="n"/>
      <c r="T278" s="95">
        <f>IFERROR(IF($C278="","",VLOOKUP($C278,'[1]Paramètres Articles'!$B:$H,7,FALSE)),"Non Trouvé")</f>
        <v/>
      </c>
      <c r="U278" s="98" t="n"/>
      <c r="V278" s="95">
        <f>IFERROR(IF($C278="","",IF($P278="","",$T278*(1-$P278))),"Non Trouvé")</f>
        <v/>
      </c>
      <c r="W278" s="96" t="n"/>
      <c r="X278" s="95">
        <f>IFERROR(T278-V278,"")</f>
        <v/>
      </c>
      <c r="Y278" s="96" t="n"/>
      <c r="Z278" s="95">
        <f>IFERROR(IF(OR(T278=0,T278=""),0,T278*H278),"Non Trouvé")</f>
        <v/>
      </c>
      <c r="AB278" s="99">
        <f>AB277</f>
        <v/>
      </c>
      <c r="AC278" s="99">
        <f>AC277</f>
        <v/>
      </c>
      <c r="AD278" s="95">
        <f>IFERROR(IF($C278="","",IF($P$15="Cascade",$R278*(1-AC278)*AB278,IF($P$15="Additionnelle",($N278-($N278*($P278+AC278)))*AB278))),"Non Trouvé")</f>
        <v/>
      </c>
      <c r="AG278" s="99">
        <f>AG277</f>
        <v/>
      </c>
      <c r="AH278" s="99">
        <f>AH277</f>
        <v/>
      </c>
      <c r="AI278" s="95">
        <f>IFERROR(IF($C278="","",IF($P$15="Cascade",$R278*(1-AH278)*AG278,IF($P$15="Additionnelle",($N278-($N278*($P278+AH278)))*AG278))),"Non Trouvé")</f>
        <v/>
      </c>
      <c r="AL278" s="99">
        <f>AL277</f>
        <v/>
      </c>
      <c r="AM278" s="99">
        <f>AM277</f>
        <v/>
      </c>
      <c r="AN278" s="95">
        <f>IFERROR(IF($C278="","",IF($P$15="Cascade",$R278*(1-AM278)*AL278,IF($P$15="Additionnelle",($N278-($N278*($P278+AM278)))*AL278))),"Non Trouvé")</f>
        <v/>
      </c>
      <c r="AQ278" s="99">
        <f>AQ277</f>
        <v/>
      </c>
      <c r="AR278" s="99">
        <f>AR277</f>
        <v/>
      </c>
      <c r="AS278" s="95">
        <f>IFERROR(IF($C278="","",IF($P$15="Cascade",$R278*(1-AR278)*AQ278,IF($P$15="Additionnelle",($N278-($N278*($P278+AR278)))*AQ278))),"Non Trouvé")</f>
        <v/>
      </c>
      <c r="AV278" s="99">
        <f>AV277</f>
        <v/>
      </c>
      <c r="AW278" s="99">
        <f>AW277</f>
        <v/>
      </c>
      <c r="AX278" s="95">
        <f>IFERROR(IF($C278="","",IF($P$15="Cascade",$R278*(1-AW278)*AV278,IF($P$15="Additionnelle",($N278-($N278*($P278+AW278)))*AV278))),"Non Trouvé")</f>
        <v/>
      </c>
      <c r="BA278" s="99">
        <f>BA277</f>
        <v/>
      </c>
      <c r="BB278" s="99">
        <f>BB277</f>
        <v/>
      </c>
      <c r="BC278" s="95">
        <f>IFERROR(IF($C278="","",IF($P$15="Cascade",$R278*(1-BB278)*BA278,IF($P$15="Additionnelle",($N278-($N278*($P278+BB278)))*BA278))),"Non Trouvé")</f>
        <v/>
      </c>
      <c r="BF278" s="99">
        <f>BF277</f>
        <v/>
      </c>
      <c r="BG278" s="99">
        <f>BG277</f>
        <v/>
      </c>
      <c r="BH278" s="95">
        <f>IFERROR(IF($C278="","",IF($P$15="Cascade",$R278*(1-BG278)*BF278,IF($P$15="Additionnelle",($N278-($N278*($P278+BG278)))*BF278))),"Non Trouvé")</f>
        <v/>
      </c>
      <c r="BK278" s="99">
        <f>BK277</f>
        <v/>
      </c>
      <c r="BL278" s="99">
        <f>BL277</f>
        <v/>
      </c>
      <c r="BM278" s="95">
        <f>IFERROR(IF($C278="","",IF($P$15="Cascade",$R278*(1-BL278)*BK278,IF($P$15="Additionnelle",($N278-($N278*($P278+BL278)))*BK278))),"Non Trouvé")</f>
        <v/>
      </c>
      <c r="BP278" s="99">
        <f>BP277</f>
        <v/>
      </c>
      <c r="BQ278" s="99">
        <f>BQ277</f>
        <v/>
      </c>
      <c r="BR278" s="95">
        <f>IFERROR(IF($C278="","",IF($P$15="Cascade",$R278*(1-BQ278)*BP278,IF($P$15="Additionnelle",($N278-($N278*($P278+BQ278)))*BP278))),"Non Trouvé")</f>
        <v/>
      </c>
      <c r="BU278" s="99">
        <f>BU277</f>
        <v/>
      </c>
      <c r="BV278" s="99">
        <f>BV277</f>
        <v/>
      </c>
      <c r="BW278" s="95">
        <f>IFERROR(IF($C278="","",IF($P$15="Cascade",$R278*(1-BV278)*BU278,IF($P$15="Additionnelle",($N278-($N278*($P278+BV278)))*BU278))),"Non Trouvé")</f>
        <v/>
      </c>
      <c r="BZ278" s="99">
        <f>BZ277</f>
        <v/>
      </c>
      <c r="CA278" s="99">
        <f>CA277</f>
        <v/>
      </c>
      <c r="CB278" s="95">
        <f>IFERROR(IF($C278="","",IF($P$15="Cascade",$R278*(1-CA278)*BZ278,IF($P$15="Additionnelle",($N278-($N278*($P278+CA278)))*BZ278))),"Non Trouvé")</f>
        <v/>
      </c>
      <c r="CE278" s="100" t="n"/>
      <c r="CF278" s="119" t="n"/>
      <c r="CG278" s="120" t="inlineStr">
        <is>
          <t>Prix Offre Moy. Remisé :</t>
        </is>
      </c>
      <c r="CH278" s="121">
        <f>CG275/CF275</f>
        <v/>
      </c>
      <c r="CI278" s="103" t="n"/>
      <c r="CK278" s="104">
        <f>IFERROR(IF(F278='[1]Paramètres Généraux'!$K$12,ROUNDUP((REGENERANTS!H278*REGENERANTS!$CF$275)*'[1]Paramètres Généraux'!$M$12,-1),REGENERANTS!H278*REGENERANTS!$CF$275),"nd")</f>
        <v/>
      </c>
      <c r="CN278" s="105" t="n"/>
      <c r="CO278" s="106" t="n"/>
      <c r="CP278" s="106" t="n"/>
      <c r="CQ278" s="106" t="n"/>
      <c r="CR278" s="106" t="n"/>
      <c r="CS278" s="178" t="n"/>
      <c r="CT278" s="179" t="n"/>
      <c r="CU278" s="106" t="n"/>
      <c r="CV278" s="178" t="n"/>
      <c r="CW278" s="111" t="n"/>
      <c r="CX278" s="112" t="n"/>
      <c r="CY278" s="111" t="n"/>
      <c r="CZ278" s="109" t="n"/>
      <c r="DA278" s="112" t="n"/>
      <c r="DB278" s="111" t="n"/>
      <c r="DC278" s="109" t="n"/>
      <c r="DD278" s="112" t="n"/>
      <c r="DE278" s="111" t="n"/>
      <c r="DF278" s="109" t="n"/>
      <c r="DG278" s="109" t="n"/>
      <c r="DH278" s="109" t="n"/>
      <c r="DI278" s="109" t="n"/>
      <c r="DJ278" s="109" t="n"/>
      <c r="DK278" s="109" t="n"/>
      <c r="DL278" s="109" t="n"/>
      <c r="DM278" s="109" t="n"/>
      <c r="DN278" s="109" t="n"/>
      <c r="DO278" s="112" t="n"/>
      <c r="DP278" s="111" t="n"/>
      <c r="DQ278" s="20">
        <f>SUM(CN278:DP278)</f>
        <v/>
      </c>
      <c r="DR278" s="20">
        <f>SUM(CV278:DP278)</f>
        <v/>
      </c>
      <c r="DS278" s="20">
        <f>IFERROR((IF(AND($F278="Produit Vente",CO278&gt;0),VLOOKUP($C278,'[1]Paramètres Articles'!$B:$H,7,FALSE)*$CO278)*(1-20%)),0)</f>
        <v/>
      </c>
      <c r="DT278" s="20">
        <f>IFERROR((IF(AND($F278="Produit Vente",DR278&gt;0),VLOOKUP($C278,'[1]Paramètres Articles'!$B:$H,6,FALSE)*$DR278)*(1-15%)),0)</f>
        <v/>
      </c>
    </row>
    <row r="279" hidden="1" ht="12.95" customHeight="1">
      <c r="B279" s="1">
        <f>IF(C279="",0,COUNTIFS($B$22:B278,"&gt;"&amp;0)+1)</f>
        <v/>
      </c>
      <c r="C279" s="90" t="n">
        <v>1020401</v>
      </c>
      <c r="D279" s="91">
        <f>IFERROR(IF($C279="","",VLOOKUP($C279,'[1]Paramètres Articles'!$B:$G,2,FALSE)),"Non Trouvé")</f>
        <v/>
      </c>
      <c r="E279" s="92">
        <f>IFERROR(IF($C279="","",_xlfn.XLOOKUP(REGENERANTS!$C279,'[1]New Base PA'!$F:$F,'[1]New Base PA'!$D:$D,"Not Found",0)),"Non Trouvé")</f>
        <v/>
      </c>
      <c r="F279" s="93" t="inlineStr">
        <is>
          <t>Produit Vente</t>
        </is>
      </c>
      <c r="H279" s="106">
        <f>12*9%</f>
        <v/>
      </c>
      <c r="J279" s="95" t="n"/>
      <c r="K279" s="136" t="n"/>
      <c r="L279" s="137" t="n"/>
      <c r="M279" s="136">
        <f>IFERROR(IF(AND($F279="Produit Vente",H279&gt;0),VLOOKUP($C279,'[1]Paramètres Articles'!$B:$G,6,FALSE),0),"Non Trouvé")</f>
        <v/>
      </c>
      <c r="N279" s="136" t="n"/>
      <c r="P279" s="97" t="n"/>
      <c r="R279" s="95">
        <f>IFERROR(IF($C279="","",$N279*(1-$P279)),"Non Trouvé")</f>
        <v/>
      </c>
      <c r="S279" s="96" t="n"/>
      <c r="T279" s="95">
        <f>IFERROR(IF($C279="","",VLOOKUP($C279,'[1]Paramètres Articles'!$B:$H,7,FALSE)),"Non Trouvé")</f>
        <v/>
      </c>
      <c r="U279" s="98" t="n"/>
      <c r="V279" s="95">
        <f>IFERROR(IF($C279="","",IF($P279="","",$T279*(1-$P279))),"Non Trouvé")</f>
        <v/>
      </c>
      <c r="W279" s="96" t="n"/>
      <c r="X279" s="95">
        <f>IFERROR(T279-V279,"")</f>
        <v/>
      </c>
      <c r="Y279" s="96" t="n"/>
      <c r="Z279" s="95">
        <f>IFERROR(IF(OR(T279=0,T279=""),0,T279*H279),"Non Trouvé")</f>
        <v/>
      </c>
      <c r="AB279" s="99">
        <f>AB277</f>
        <v/>
      </c>
      <c r="AC279" s="99">
        <f>AC277</f>
        <v/>
      </c>
      <c r="AD279" s="95">
        <f>IFERROR(IF($C279="","",IF($P$15="Cascade",$R279*(1-AC279)*AB279,IF($P$15="Additionnelle",($N279-($N279*($P279+AC279)))*AB279))),"Non Trouvé")</f>
        <v/>
      </c>
      <c r="AG279" s="99">
        <f>AG277</f>
        <v/>
      </c>
      <c r="AH279" s="99">
        <f>AH277</f>
        <v/>
      </c>
      <c r="AI279" s="95">
        <f>IFERROR(IF($C279="","",IF($P$15="Cascade",$R279*(1-AH279)*AG279,IF($P$15="Additionnelle",($N279-($N279*($P279+AH279)))*AG279))),"Non Trouvé")</f>
        <v/>
      </c>
      <c r="AL279" s="99">
        <f>AL277</f>
        <v/>
      </c>
      <c r="AM279" s="99">
        <f>AM277</f>
        <v/>
      </c>
      <c r="AN279" s="95">
        <f>IFERROR(IF($C279="","",IF($P$15="Cascade",$R279*(1-AM279)*AL279,IF($P$15="Additionnelle",($N279-($N279*($P279+AM279)))*AL279))),"Non Trouvé")</f>
        <v/>
      </c>
      <c r="AQ279" s="99">
        <f>AQ277</f>
        <v/>
      </c>
      <c r="AR279" s="99">
        <f>AR277</f>
        <v/>
      </c>
      <c r="AS279" s="95">
        <f>IFERROR(IF($C279="","",IF($P$15="Cascade",$R279*(1-AR279)*AQ279,IF($P$15="Additionnelle",($N279-($N279*($P279+AR279)))*AQ279))),"Non Trouvé")</f>
        <v/>
      </c>
      <c r="AV279" s="99">
        <f>AV277</f>
        <v/>
      </c>
      <c r="AW279" s="99">
        <f>AW277</f>
        <v/>
      </c>
      <c r="AX279" s="95">
        <f>IFERROR(IF($C279="","",IF($P$15="Cascade",$R279*(1-AW279)*AV279,IF($P$15="Additionnelle",($N279-($N279*($P279+AW279)))*AV279))),"Non Trouvé")</f>
        <v/>
      </c>
      <c r="BA279" s="99">
        <f>BA277</f>
        <v/>
      </c>
      <c r="BB279" s="99">
        <f>BB277</f>
        <v/>
      </c>
      <c r="BC279" s="95">
        <f>IFERROR(IF($C279="","",IF($P$15="Cascade",$R279*(1-BB279)*BA279,IF($P$15="Additionnelle",($N279-($N279*($P279+BB279)))*BA279))),"Non Trouvé")</f>
        <v/>
      </c>
      <c r="BF279" s="99">
        <f>BF277</f>
        <v/>
      </c>
      <c r="BG279" s="99">
        <f>BG277</f>
        <v/>
      </c>
      <c r="BH279" s="95">
        <f>IFERROR(IF($C279="","",IF($P$15="Cascade",$R279*(1-BG279)*BF279,IF($P$15="Additionnelle",($N279-($N279*($P279+BG279)))*BF279))),"Non Trouvé")</f>
        <v/>
      </c>
      <c r="BK279" s="99">
        <f>BK277</f>
        <v/>
      </c>
      <c r="BL279" s="99">
        <f>BL277</f>
        <v/>
      </c>
      <c r="BM279" s="95">
        <f>IFERROR(IF($C279="","",IF($P$15="Cascade",$R279*(1-BL279)*BK279,IF($P$15="Additionnelle",($N279-($N279*($P279+BL279)))*BK279))),"Non Trouvé")</f>
        <v/>
      </c>
      <c r="BP279" s="99">
        <f>BP277</f>
        <v/>
      </c>
      <c r="BQ279" s="99">
        <f>BQ277</f>
        <v/>
      </c>
      <c r="BR279" s="95">
        <f>IFERROR(IF($C279="","",IF($P$15="Cascade",$R279*(1-BQ279)*BP279,IF($P$15="Additionnelle",($N279-($N279*($P279+BQ279)))*BP279))),"Non Trouvé")</f>
        <v/>
      </c>
      <c r="BU279" s="99">
        <f>BU277</f>
        <v/>
      </c>
      <c r="BV279" s="99">
        <f>BV277</f>
        <v/>
      </c>
      <c r="BW279" s="95">
        <f>IFERROR(IF($C279="","",IF($P$15="Cascade",$R279*(1-BV279)*BU279,IF($P$15="Additionnelle",($N279-($N279*($P279+BV279)))*BU279))),"Non Trouvé")</f>
        <v/>
      </c>
      <c r="BZ279" s="99">
        <f>BZ277</f>
        <v/>
      </c>
      <c r="CA279" s="99">
        <f>CA277</f>
        <v/>
      </c>
      <c r="CB279" s="95">
        <f>IFERROR(IF($C279="","",IF($P$15="Cascade",$R279*(1-CA279)*BZ279,IF($P$15="Additionnelle",($N279-($N279*($P279+CA279)))*BZ279))),"Non Trouvé")</f>
        <v/>
      </c>
      <c r="CE279" s="100" t="n"/>
      <c r="CF279" s="119" t="n"/>
      <c r="CG279" s="120" t="inlineStr">
        <is>
          <t>Poids Gratuités achats :</t>
        </is>
      </c>
      <c r="CH279" s="123">
        <f>SUM(CH281:CH284)</f>
        <v/>
      </c>
      <c r="CI279" s="103" t="n"/>
      <c r="CK279" s="104">
        <f>IFERROR(IF(F279='[1]Paramètres Généraux'!$K$12,ROUNDUP((REGENERANTS!H279*REGENERANTS!$CF$275)*'[1]Paramètres Généraux'!$M$12,-1),REGENERANTS!H279*REGENERANTS!$CF$275),"nd")</f>
        <v/>
      </c>
      <c r="CN279" s="105" t="n"/>
      <c r="CO279" s="106" t="n"/>
      <c r="CP279" s="106" t="n"/>
      <c r="CQ279" s="106" t="n"/>
      <c r="CR279" s="106" t="n"/>
      <c r="CS279" s="178" t="n"/>
      <c r="CT279" s="179" t="n"/>
      <c r="CU279" s="106" t="n"/>
      <c r="CV279" s="178" t="n"/>
      <c r="CW279" s="111" t="n"/>
      <c r="CX279" s="112" t="n"/>
      <c r="CY279" s="111" t="n"/>
      <c r="CZ279" s="109" t="n"/>
      <c r="DA279" s="112" t="n"/>
      <c r="DB279" s="111" t="n"/>
      <c r="DC279" s="109" t="n"/>
      <c r="DD279" s="112" t="n"/>
      <c r="DE279" s="111" t="n"/>
      <c r="DF279" s="109" t="n"/>
      <c r="DG279" s="109" t="n"/>
      <c r="DH279" s="109" t="n"/>
      <c r="DI279" s="109" t="n"/>
      <c r="DJ279" s="109" t="n"/>
      <c r="DK279" s="109" t="n"/>
      <c r="DL279" s="109" t="n"/>
      <c r="DM279" s="109" t="n"/>
      <c r="DN279" s="109" t="n"/>
      <c r="DO279" s="112" t="n"/>
      <c r="DP279" s="111" t="n"/>
      <c r="DQ279" s="20">
        <f>SUM(CN279:DP279)</f>
        <v/>
      </c>
      <c r="DR279" s="20">
        <f>SUM(CV279:DP279)</f>
        <v/>
      </c>
      <c r="DS279" s="20">
        <f>IFERROR((IF(AND($F279="Produit Vente",CO279&gt;0),VLOOKUP($C279,'[1]Paramètres Articles'!$B:$H,7,FALSE)*$CO279)*(1-20%)),0)</f>
        <v/>
      </c>
      <c r="DT279" s="20">
        <f>IFERROR((IF(AND($F279="Produit Vente",DR279&gt;0),VLOOKUP($C279,'[1]Paramètres Articles'!$B:$H,6,FALSE)*$DR279)*(1-15%)),0)</f>
        <v/>
      </c>
    </row>
    <row r="280" hidden="1" outlineLevel="1" collapsed="1" ht="12.95" customHeight="1">
      <c r="B280" s="1">
        <f>IF(C280="",0,COUNTIFS($B$22:B279,"&gt;"&amp;0)+1)</f>
        <v/>
      </c>
      <c r="C280" s="90" t="n">
        <v>1020302</v>
      </c>
      <c r="D280" s="91">
        <f>IFERROR(IF($C280="","",VLOOKUP($C280,'[1]Paramètres Articles'!$B:$G,2,FALSE)),"Non Trouvé")</f>
        <v/>
      </c>
      <c r="E280" s="92">
        <f>IFERROR(IF($C280="","",_xlfn.XLOOKUP(REGENERANTS!$C280,'[1]New Base PA'!$F:$F,'[1]New Base PA'!$D:$D,"Not Found",0)),"Non Trouvé")</f>
        <v/>
      </c>
      <c r="F280" s="93" t="inlineStr">
        <is>
          <t>Produit Vente</t>
        </is>
      </c>
      <c r="H280" s="106">
        <f>12*4%</f>
        <v/>
      </c>
      <c r="J280" s="95" t="n"/>
      <c r="K280" s="136" t="n"/>
      <c r="L280" s="137" t="n"/>
      <c r="M280" s="136">
        <f>IFERROR(IF(AND($F280="Produit Vente",H280&gt;0),VLOOKUP($C280,'[1]Paramètres Articles'!$B:$G,6,FALSE),0),"Non Trouvé")</f>
        <v/>
      </c>
      <c r="N280" s="136" t="n"/>
      <c r="P280" s="97" t="n"/>
      <c r="R280" s="95">
        <f>IFERROR(IF($C280="","",$N280*(1-$P280)),"Non Trouvé")</f>
        <v/>
      </c>
      <c r="S280" s="96" t="n"/>
      <c r="T280" s="95">
        <f>IFERROR(IF($C280="","",VLOOKUP($C280,'[1]Paramètres Articles'!$B:$H,7,FALSE)),"Non Trouvé")</f>
        <v/>
      </c>
      <c r="U280" s="98" t="n"/>
      <c r="V280" s="95">
        <f>IFERROR(IF($C280="","",IF($P280="","",$T280*(1-$P280))),"Non Trouvé")</f>
        <v/>
      </c>
      <c r="W280" s="96" t="n"/>
      <c r="X280" s="95">
        <f>IFERROR(T280-V280,"")</f>
        <v/>
      </c>
      <c r="Y280" s="96" t="n"/>
      <c r="Z280" s="95">
        <f>IFERROR(IF(OR(T280=0,T280=""),0,T280*H280),"Non Trouvé")</f>
        <v/>
      </c>
      <c r="AB280" s="99">
        <f>AB279</f>
        <v/>
      </c>
      <c r="AC280" s="99">
        <f>AC279</f>
        <v/>
      </c>
      <c r="AD280" s="95">
        <f>IFERROR(IF($C280="","",IF($P$15="Cascade",$R280*(1-AC280)*AB280,IF($P$15="Additionnelle",($N280-($N280*($P280+AC280)))*AB280))),"Non Trouvé")</f>
        <v/>
      </c>
      <c r="AG280" s="99">
        <f>AG279</f>
        <v/>
      </c>
      <c r="AH280" s="99">
        <f>AH279</f>
        <v/>
      </c>
      <c r="AI280" s="95">
        <f>IFERROR(IF($C280="","",IF($P$15="Cascade",$R280*(1-AH280)*AG280,IF($P$15="Additionnelle",($N280-($N280*($P280+AH280)))*AG280))),"Non Trouvé")</f>
        <v/>
      </c>
      <c r="AL280" s="99">
        <f>AL279</f>
        <v/>
      </c>
      <c r="AM280" s="99">
        <f>AM279</f>
        <v/>
      </c>
      <c r="AN280" s="95">
        <f>IFERROR(IF($C280="","",IF($P$15="Cascade",$R280*(1-AM280)*AL280,IF($P$15="Additionnelle",($N280-($N280*($P280+AM280)))*AL280))),"Non Trouvé")</f>
        <v/>
      </c>
      <c r="AQ280" s="99">
        <f>AQ279</f>
        <v/>
      </c>
      <c r="AR280" s="99">
        <f>AR279</f>
        <v/>
      </c>
      <c r="AS280" s="95">
        <f>IFERROR(IF($C280="","",IF($P$15="Cascade",$R280*(1-AR280)*AQ280,IF($P$15="Additionnelle",($N280-($N280*($P280+AR280)))*AQ280))),"Non Trouvé")</f>
        <v/>
      </c>
      <c r="AV280" s="99">
        <f>AV279</f>
        <v/>
      </c>
      <c r="AW280" s="99">
        <f>AW279</f>
        <v/>
      </c>
      <c r="AX280" s="95">
        <f>IFERROR(IF($C280="","",IF($P$15="Cascade",$R280*(1-AW280)*AV280,IF($P$15="Additionnelle",($N280-($N280*($P280+AW280)))*AV280))),"Non Trouvé")</f>
        <v/>
      </c>
      <c r="BA280" s="99">
        <f>BA279</f>
        <v/>
      </c>
      <c r="BB280" s="99">
        <f>BB279</f>
        <v/>
      </c>
      <c r="BC280" s="95">
        <f>IFERROR(IF($C280="","",IF($P$15="Cascade",$R280*(1-BB280)*BA280,IF($P$15="Additionnelle",($N280-($N280*($P280+BB280)))*BA280))),"Non Trouvé")</f>
        <v/>
      </c>
      <c r="BF280" s="99">
        <f>BF279</f>
        <v/>
      </c>
      <c r="BG280" s="99">
        <f>BG279</f>
        <v/>
      </c>
      <c r="BH280" s="95">
        <f>IFERROR(IF($C280="","",IF($P$15="Cascade",$R280*(1-BG280)*BF280,IF($P$15="Additionnelle",($N280-($N280*($P280+BG280)))*BF280))),"Non Trouvé")</f>
        <v/>
      </c>
      <c r="BK280" s="99">
        <f>BK279</f>
        <v/>
      </c>
      <c r="BL280" s="99">
        <f>BL279</f>
        <v/>
      </c>
      <c r="BM280" s="95">
        <f>IFERROR(IF($C280="","",IF($P$15="Cascade",$R280*(1-BL280)*BK280,IF($P$15="Additionnelle",($N280-($N280*($P280+BL280)))*BK280))),"Non Trouvé")</f>
        <v/>
      </c>
      <c r="BP280" s="99">
        <f>BP279</f>
        <v/>
      </c>
      <c r="BQ280" s="99">
        <f>BQ279</f>
        <v/>
      </c>
      <c r="BR280" s="95">
        <f>IFERROR(IF($C280="","",IF($P$15="Cascade",$R280*(1-BQ280)*BP280,IF($P$15="Additionnelle",($N280-($N280*($P280+BQ280)))*BP280))),"Non Trouvé")</f>
        <v/>
      </c>
      <c r="BU280" s="99">
        <f>BU279</f>
        <v/>
      </c>
      <c r="BV280" s="99">
        <f>BV279</f>
        <v/>
      </c>
      <c r="BW280" s="95">
        <f>IFERROR(IF($C280="","",IF($P$15="Cascade",$R280*(1-BV280)*BU280,IF($P$15="Additionnelle",($N280-($N280*($P280+BV280)))*BU280))),"Non Trouvé")</f>
        <v/>
      </c>
      <c r="BZ280" s="99">
        <f>BZ279</f>
        <v/>
      </c>
      <c r="CA280" s="99">
        <f>CA279</f>
        <v/>
      </c>
      <c r="CB280" s="95">
        <f>IFERROR(IF($C280="","",IF($P$15="Cascade",$R280*(1-CA280)*BZ280,IF($P$15="Additionnelle",($N280-($N280*($P280+CA280)))*BZ280))),"Non Trouvé")</f>
        <v/>
      </c>
      <c r="CE280" s="100" t="n"/>
      <c r="CF280" s="101" t="n"/>
      <c r="CG280" s="102" t="n"/>
      <c r="CH280" s="102" t="n"/>
      <c r="CI280" s="103" t="n"/>
      <c r="CK280" s="104">
        <f>IFERROR(IF(F280='[1]Paramètres Généraux'!$K$12,ROUNDUP((REGENERANTS!H280*REGENERANTS!$CF$275)*'[1]Paramètres Généraux'!$M$12,-1),REGENERANTS!H280*REGENERANTS!$CF$275),"nd")</f>
        <v/>
      </c>
      <c r="CN280" s="105" t="n"/>
      <c r="CO280" s="106" t="n"/>
      <c r="CP280" s="106" t="n"/>
      <c r="CQ280" s="106" t="n"/>
      <c r="CR280" s="106" t="n"/>
      <c r="CS280" s="178" t="n"/>
      <c r="CT280" s="179" t="n"/>
      <c r="CU280" s="106" t="n"/>
      <c r="CV280" s="178" t="n"/>
      <c r="CW280" s="111" t="n"/>
      <c r="CX280" s="112" t="n"/>
      <c r="CY280" s="111" t="n"/>
      <c r="CZ280" s="109" t="n"/>
      <c r="DA280" s="112" t="n"/>
      <c r="DB280" s="111" t="n"/>
      <c r="DC280" s="109" t="n"/>
      <c r="DD280" s="112" t="n"/>
      <c r="DE280" s="111" t="n"/>
      <c r="DF280" s="109" t="n"/>
      <c r="DG280" s="109" t="n"/>
      <c r="DH280" s="109" t="n"/>
      <c r="DI280" s="109" t="n"/>
      <c r="DJ280" s="109" t="n"/>
      <c r="DK280" s="109" t="n"/>
      <c r="DL280" s="109" t="n"/>
      <c r="DM280" s="109" t="n"/>
      <c r="DN280" s="109" t="n"/>
      <c r="DO280" s="112" t="n"/>
      <c r="DP280" s="111" t="n"/>
      <c r="DQ280" s="20">
        <f>SUM(CN280:DP280)</f>
        <v/>
      </c>
      <c r="DR280" s="20">
        <f>SUM(CV280:DP280)</f>
        <v/>
      </c>
      <c r="DS280" s="20">
        <f>IFERROR((IF(AND($F280="Produit Vente",CO280&gt;0),VLOOKUP($C280,'[1]Paramètres Articles'!$B:$H,7,FALSE)*$CO280)*(1-20%)),0)</f>
        <v/>
      </c>
      <c r="DT280" s="20">
        <f>IFERROR((IF(AND($F280="Produit Vente",DR280&gt;0),VLOOKUP($C280,'[1]Paramètres Articles'!$B:$H,6,FALSE)*$DR280)*(1-15%)),0)</f>
        <v/>
      </c>
    </row>
    <row r="281" hidden="1" outlineLevel="1" collapsed="1" ht="12.95" customHeight="1">
      <c r="B281" s="1">
        <f>IF(C281="",0,COUNTIFS($B$22:B280,"&gt;"&amp;0)+1)</f>
        <v/>
      </c>
      <c r="C281" s="90" t="n">
        <v>1020721</v>
      </c>
      <c r="D281" s="91">
        <f>IFERROR(IF($C281="","",VLOOKUP($C281,'[1]Paramètres Articles'!$B:$G,2,FALSE)),"Non Trouvé")</f>
        <v/>
      </c>
      <c r="E281" s="92">
        <f>IFERROR(IF($C281="","",_xlfn.XLOOKUP(REGENERANTS!$C281,'[1]New Base PA'!$F:$F,'[1]New Base PA'!$D:$D,"Not Found",0)),"Non Trouvé")</f>
        <v/>
      </c>
      <c r="F281" s="93" t="inlineStr">
        <is>
          <t>Produit Vente</t>
        </is>
      </c>
      <c r="H281" s="106" t="n">
        <v>0</v>
      </c>
      <c r="J281" s="95">
        <f>IFERROR(IF($C281="","",VLOOKUP($C281,'[1]New Base PA'!$F:$J,5,FALSE)),"Non Trouvé")</f>
        <v/>
      </c>
      <c r="K281" s="136">
        <f>IFERROR(IF($C281="","",$J281*$H281),"Non Trouvé")</f>
        <v/>
      </c>
      <c r="L281" s="137" t="n"/>
      <c r="M281" s="136">
        <f>IFERROR(IF(AND($F281="Produit Vente",H281&gt;0),VLOOKUP($C281,'[1]Paramètres Articles'!$B:$G,6,FALSE),0),"Non Trouvé")</f>
        <v/>
      </c>
      <c r="N281" s="136">
        <f>IFERROR(IF($C281="","",$M281*$H281),"Non Trouvé")</f>
        <v/>
      </c>
      <c r="P281" s="97" t="n"/>
      <c r="R281" s="95">
        <f>IFERROR(IF($C281="","",$N281*(1-$P281)),"Non Trouvé")</f>
        <v/>
      </c>
      <c r="S281" s="96" t="n"/>
      <c r="T281" s="95">
        <f>IFERROR(IF($C281="","",VLOOKUP($C281,'[1]Paramètres Articles'!$B:$H,7,FALSE)),"Non Trouvé")</f>
        <v/>
      </c>
      <c r="U281" s="98" t="n"/>
      <c r="V281" s="95">
        <f>IFERROR(IF($C281="","",IF($P281="","",$T281*(1-$P281))),"Non Trouvé")</f>
        <v/>
      </c>
      <c r="W281" s="96" t="n"/>
      <c r="X281" s="95">
        <f>IFERROR(T281-V281,"")</f>
        <v/>
      </c>
      <c r="Y281" s="96" t="n"/>
      <c r="Z281" s="95">
        <f>IFERROR(IF(OR(T281=0,T281=""),0,T281*H281),"Non Trouvé")</f>
        <v/>
      </c>
      <c r="AB281" s="99">
        <f>AB279</f>
        <v/>
      </c>
      <c r="AC281" s="99">
        <f>AC279</f>
        <v/>
      </c>
      <c r="AD281" s="95">
        <f>IFERROR(IF($C281="","",IF($P$15="Cascade",$R281*(1-AC281)*AB281,IF($P$15="Additionnelle",($N281-($N281*($P281+AC281)))*AB281))),"Non Trouvé")</f>
        <v/>
      </c>
      <c r="AG281" s="99">
        <f>AG279</f>
        <v/>
      </c>
      <c r="AH281" s="99">
        <f>AH279</f>
        <v/>
      </c>
      <c r="AI281" s="95">
        <f>IFERROR(IF($C281="","",IF($P$15="Cascade",$R281*(1-AH281)*AG281,IF($P$15="Additionnelle",($N281-($N281*($P281+AH281)))*AG281))),"Non Trouvé")</f>
        <v/>
      </c>
      <c r="AL281" s="99">
        <f>AL279</f>
        <v/>
      </c>
      <c r="AM281" s="99">
        <f>AM279</f>
        <v/>
      </c>
      <c r="AN281" s="95">
        <f>IFERROR(IF($C281="","",IF($P$15="Cascade",$R281*(1-AM281)*AL281,IF($P$15="Additionnelle",($N281-($N281*($P281+AM281)))*AL281))),"Non Trouvé")</f>
        <v/>
      </c>
      <c r="AQ281" s="99">
        <f>AQ279</f>
        <v/>
      </c>
      <c r="AR281" s="99">
        <f>AR279</f>
        <v/>
      </c>
      <c r="AS281" s="95">
        <f>IFERROR(IF($C281="","",IF($P$15="Cascade",$R281*(1-AR281)*AQ281,IF($P$15="Additionnelle",($N281-($N281*($P281+AR281)))*AQ281))),"Non Trouvé")</f>
        <v/>
      </c>
      <c r="AV281" s="99">
        <f>AV279</f>
        <v/>
      </c>
      <c r="AW281" s="99">
        <f>AW279</f>
        <v/>
      </c>
      <c r="AX281" s="95">
        <f>IFERROR(IF($C281="","",IF($P$15="Cascade",$R281*(1-AW281)*AV281,IF($P$15="Additionnelle",($N281-($N281*($P281+AW281)))*AV281))),"Non Trouvé")</f>
        <v/>
      </c>
      <c r="BA281" s="99">
        <f>BA279</f>
        <v/>
      </c>
      <c r="BB281" s="99">
        <f>BB279</f>
        <v/>
      </c>
      <c r="BC281" s="95">
        <f>IFERROR(IF($C281="","",IF($P$15="Cascade",$R281*(1-BB281)*BA281,IF($P$15="Additionnelle",($N281-($N281*($P281+BB281)))*BA281))),"Non Trouvé")</f>
        <v/>
      </c>
      <c r="BF281" s="99">
        <f>BF279</f>
        <v/>
      </c>
      <c r="BG281" s="99">
        <f>BG279</f>
        <v/>
      </c>
      <c r="BH281" s="95">
        <f>IFERROR(IF($C281="","",IF($P$15="Cascade",$R281*(1-BG281)*BF281,IF($P$15="Additionnelle",($N281-($N281*($P281+BG281)))*BF281))),"Non Trouvé")</f>
        <v/>
      </c>
      <c r="BK281" s="99">
        <f>BK279</f>
        <v/>
      </c>
      <c r="BL281" s="99">
        <f>BL279</f>
        <v/>
      </c>
      <c r="BM281" s="95">
        <f>IFERROR(IF($C281="","",IF($P$15="Cascade",$R281*(1-BL281)*BK281,IF($P$15="Additionnelle",($N281-($N281*($P281+BL281)))*BK281))),"Non Trouvé")</f>
        <v/>
      </c>
      <c r="BP281" s="99">
        <f>BP279</f>
        <v/>
      </c>
      <c r="BQ281" s="99">
        <f>BQ279</f>
        <v/>
      </c>
      <c r="BR281" s="95">
        <f>IFERROR(IF($C281="","",IF($P$15="Cascade",$R281*(1-BQ281)*BP281,IF($P$15="Additionnelle",($N281-($N281*($P281+BQ281)))*BP281))),"Non Trouvé")</f>
        <v/>
      </c>
      <c r="BU281" s="99">
        <f>BU279</f>
        <v/>
      </c>
      <c r="BV281" s="99">
        <f>BV279</f>
        <v/>
      </c>
      <c r="BW281" s="95">
        <f>IFERROR(IF($C281="","",IF($P$15="Cascade",$R281*(1-BV281)*BU281,IF($P$15="Additionnelle",($N281-($N281*($P281+BV281)))*BU281))),"Non Trouvé")</f>
        <v/>
      </c>
      <c r="BZ281" s="99">
        <f>BZ279</f>
        <v/>
      </c>
      <c r="CA281" s="99">
        <f>CA279</f>
        <v/>
      </c>
      <c r="CB281" s="95">
        <f>IFERROR(IF($C281="","",IF($P$15="Cascade",$R281*(1-CA281)*BZ281,IF($P$15="Additionnelle",($N281-($N281*($P281+CA281)))*BZ281))),"Non Trouvé")</f>
        <v/>
      </c>
      <c r="CE281" s="100" t="n"/>
      <c r="CF281" s="101" t="n"/>
      <c r="CG281" s="93" t="inlineStr">
        <is>
          <t>UG</t>
        </is>
      </c>
      <c r="CH281" s="125">
        <f>SUMIFS(K277:K316,F277:F316,CG281)/SUMIFS(K277:K316,F277:F316,"Produit Vente")</f>
        <v/>
      </c>
      <c r="CI281" s="103" t="n"/>
      <c r="CK281" s="104">
        <f>IFERROR(IF(F281='[1]Paramètres Généraux'!$K$12,ROUNDUP((REGENERANTS!H281*REGENERANTS!$CF$275)*'[1]Paramètres Généraux'!$M$12,-1),REGENERANTS!H281*REGENERANTS!$CF$275),"nd")</f>
        <v/>
      </c>
      <c r="CN281" s="105" t="n"/>
      <c r="CO281" s="106" t="n"/>
      <c r="CP281" s="106" t="n"/>
      <c r="CQ281" s="106" t="n"/>
      <c r="CR281" s="106" t="n"/>
      <c r="CS281" s="178" t="n"/>
      <c r="CT281" s="179" t="n"/>
      <c r="CU281" s="106" t="n"/>
      <c r="CV281" s="178" t="n"/>
      <c r="CW281" s="111" t="n"/>
      <c r="CX281" s="112" t="n"/>
      <c r="CY281" s="111" t="n"/>
      <c r="CZ281" s="109" t="n"/>
      <c r="DA281" s="112" t="n"/>
      <c r="DB281" s="111" t="n"/>
      <c r="DC281" s="109" t="n"/>
      <c r="DD281" s="112" t="n"/>
      <c r="DE281" s="111" t="n"/>
      <c r="DF281" s="109" t="n"/>
      <c r="DG281" s="109" t="n"/>
      <c r="DH281" s="109" t="n"/>
      <c r="DI281" s="109" t="n"/>
      <c r="DJ281" s="109" t="n"/>
      <c r="DK281" s="109" t="n"/>
      <c r="DL281" s="109" t="n"/>
      <c r="DM281" s="109" t="n"/>
      <c r="DN281" s="109" t="n"/>
      <c r="DO281" s="112" t="n"/>
      <c r="DP281" s="111" t="n"/>
      <c r="DQ281" s="20">
        <f>SUM(CN281:DP281)</f>
        <v/>
      </c>
      <c r="DR281" s="20">
        <f>SUM(CV281:DP281)</f>
        <v/>
      </c>
      <c r="DS281" s="20">
        <f>IFERROR((IF(AND($F281="Produit Vente",CO281&gt;0),VLOOKUP($C281,'[1]Paramètres Articles'!$B:$H,7,FALSE)*$CO281)*(1-20%)),0)</f>
        <v/>
      </c>
      <c r="DT281" s="20">
        <f>IFERROR((IF(AND($F281="Produit Vente",DR281&gt;0),VLOOKUP($C281,'[1]Paramètres Articles'!$B:$H,6,FALSE)*$DR281)*(1-15%)),0)</f>
        <v/>
      </c>
    </row>
    <row r="282" hidden="1" outlineLevel="1" collapsed="1" ht="12.95" customHeight="1">
      <c r="B282" s="1">
        <f>IF(C282="",0,COUNTIFS($B$22:B281,"&gt;"&amp;0)+1)</f>
        <v/>
      </c>
      <c r="C282" s="90" t="n">
        <v>1020107</v>
      </c>
      <c r="D282" s="91">
        <f>IFERROR(IF($C282="","",VLOOKUP($C282,'[1]Paramètres Articles'!$B:$G,2,FALSE)),"Non Trouvé")</f>
        <v/>
      </c>
      <c r="E282" s="92">
        <f>IFERROR(IF($C282="","",_xlfn.XLOOKUP(REGENERANTS!$C282,'[1]New Base PA'!$F:$F,'[1]New Base PA'!$D:$D,"Not Found",0)),"Non Trouvé")</f>
        <v/>
      </c>
      <c r="F282" s="93" t="inlineStr">
        <is>
          <t>Produit Vente</t>
        </is>
      </c>
      <c r="H282" s="106">
        <f>12*3%</f>
        <v/>
      </c>
      <c r="J282" s="95">
        <f>IFERROR(IF($C282="","",VLOOKUP($C282,'[1]New Base PA'!$F:$J,5,FALSE)),"Non Trouvé")</f>
        <v/>
      </c>
      <c r="K282" s="136">
        <f>IFERROR(IF($C282="","",$J282*$H282),"Non Trouvé")</f>
        <v/>
      </c>
      <c r="L282" s="137" t="n"/>
      <c r="M282" s="136">
        <f>IFERROR(IF(AND($F282="Produit Vente",H282&gt;0),VLOOKUP($C282,'[1]Paramètres Articles'!$B:$G,6,FALSE),0),"Non Trouvé")</f>
        <v/>
      </c>
      <c r="N282" s="136">
        <f>IFERROR(IF($C282="","",$M282*$H282),"Non Trouvé")</f>
        <v/>
      </c>
      <c r="P282" s="97" t="n"/>
      <c r="R282" s="95">
        <f>IFERROR(IF($C282="","",$N282*(1-$P282)),"Non Trouvé")</f>
        <v/>
      </c>
      <c r="S282" s="96" t="n"/>
      <c r="T282" s="95">
        <f>IFERROR(IF($C282="","",VLOOKUP($C282,'[1]Paramètres Articles'!$B:$H,7,FALSE)),"Non Trouvé")</f>
        <v/>
      </c>
      <c r="U282" s="98" t="n"/>
      <c r="V282" s="95">
        <f>IFERROR(IF($C282="","",IF($P282="","",$T282*(1-$P282))),"Non Trouvé")</f>
        <v/>
      </c>
      <c r="W282" s="96" t="n"/>
      <c r="X282" s="95">
        <f>IFERROR(T282-V282,"")</f>
        <v/>
      </c>
      <c r="Y282" s="96" t="n"/>
      <c r="Z282" s="95">
        <f>IFERROR(IF(OR(T282=0,T282=""),0,T282*H282),"Non Trouvé")</f>
        <v/>
      </c>
      <c r="AB282" s="99">
        <f>AB281</f>
        <v/>
      </c>
      <c r="AC282" s="99">
        <f>AC281</f>
        <v/>
      </c>
      <c r="AD282" s="95">
        <f>IFERROR(IF($C282="","",IF($P$15="Cascade",$R282*(1-AC282)*AB282,IF($P$15="Additionnelle",($N282-($N282*($P282+AC282)))*AB282))),"Non Trouvé")</f>
        <v/>
      </c>
      <c r="AG282" s="99">
        <f>AG281</f>
        <v/>
      </c>
      <c r="AH282" s="99">
        <f>AH281</f>
        <v/>
      </c>
      <c r="AI282" s="95">
        <f>IFERROR(IF($C282="","",IF($P$15="Cascade",$R282*(1-AH282)*AG282,IF($P$15="Additionnelle",($N282-($N282*($P282+AH282)))*AG282))),"Non Trouvé")</f>
        <v/>
      </c>
      <c r="AL282" s="99">
        <f>AL281</f>
        <v/>
      </c>
      <c r="AM282" s="99">
        <f>AM281</f>
        <v/>
      </c>
      <c r="AN282" s="95">
        <f>IFERROR(IF($C282="","",IF($P$15="Cascade",$R282*(1-AM282)*AL282,IF($P$15="Additionnelle",($N282-($N282*($P282+AM282)))*AL282))),"Non Trouvé")</f>
        <v/>
      </c>
      <c r="AQ282" s="99">
        <f>AQ281</f>
        <v/>
      </c>
      <c r="AR282" s="99">
        <f>AR281</f>
        <v/>
      </c>
      <c r="AS282" s="95">
        <f>IFERROR(IF($C282="","",IF($P$15="Cascade",$R282*(1-AR282)*AQ282,IF($P$15="Additionnelle",($N282-($N282*($P282+AR282)))*AQ282))),"Non Trouvé")</f>
        <v/>
      </c>
      <c r="AV282" s="99">
        <f>AV281</f>
        <v/>
      </c>
      <c r="AW282" s="99">
        <f>AW281</f>
        <v/>
      </c>
      <c r="AX282" s="95">
        <f>IFERROR(IF($C282="","",IF($P$15="Cascade",$R282*(1-AW282)*AV282,IF($P$15="Additionnelle",($N282-($N282*($P282+AW282)))*AV282))),"Non Trouvé")</f>
        <v/>
      </c>
      <c r="BA282" s="99">
        <f>BA281</f>
        <v/>
      </c>
      <c r="BB282" s="99">
        <f>BB281</f>
        <v/>
      </c>
      <c r="BC282" s="95">
        <f>IFERROR(IF($C282="","",IF($P$15="Cascade",$R282*(1-BB282)*BA282,IF($P$15="Additionnelle",($N282-($N282*($P282+BB282)))*BA282))),"Non Trouvé")</f>
        <v/>
      </c>
      <c r="BF282" s="99">
        <f>BF281</f>
        <v/>
      </c>
      <c r="BG282" s="99">
        <f>BG281</f>
        <v/>
      </c>
      <c r="BH282" s="95">
        <f>IFERROR(IF($C282="","",IF($P$15="Cascade",$R282*(1-BG282)*BF282,IF($P$15="Additionnelle",($N282-($N282*($P282+BG282)))*BF282))),"Non Trouvé")</f>
        <v/>
      </c>
      <c r="BK282" s="99">
        <f>BK281</f>
        <v/>
      </c>
      <c r="BL282" s="99">
        <f>BL281</f>
        <v/>
      </c>
      <c r="BM282" s="95">
        <f>IFERROR(IF($C282="","",IF($P$15="Cascade",$R282*(1-BL282)*BK282,IF($P$15="Additionnelle",($N282-($N282*($P282+BL282)))*BK282))),"Non Trouvé")</f>
        <v/>
      </c>
      <c r="BP282" s="99">
        <f>BP281</f>
        <v/>
      </c>
      <c r="BQ282" s="99">
        <f>BQ281</f>
        <v/>
      </c>
      <c r="BR282" s="95">
        <f>IFERROR(IF($C282="","",IF($P$15="Cascade",$R282*(1-BQ282)*BP282,IF($P$15="Additionnelle",($N282-($N282*($P282+BQ282)))*BP282))),"Non Trouvé")</f>
        <v/>
      </c>
      <c r="BU282" s="99">
        <f>BU281</f>
        <v/>
      </c>
      <c r="BV282" s="99">
        <f>BV281</f>
        <v/>
      </c>
      <c r="BW282" s="95">
        <f>IFERROR(IF($C282="","",IF($P$15="Cascade",$R282*(1-BV282)*BU282,IF($P$15="Additionnelle",($N282-($N282*($P282+BV282)))*BU282))),"Non Trouvé")</f>
        <v/>
      </c>
      <c r="BZ282" s="99">
        <f>BZ281</f>
        <v/>
      </c>
      <c r="CA282" s="99">
        <f>CA281</f>
        <v/>
      </c>
      <c r="CB282" s="95">
        <f>IFERROR(IF($C282="","",IF($P$15="Cascade",$R282*(1-CA282)*BZ282,IF($P$15="Additionnelle",($N282-($N282*($P282+CA282)))*BZ282))),"Non Trouvé")</f>
        <v/>
      </c>
      <c r="CE282" s="100" t="n"/>
      <c r="CF282" s="101" t="n"/>
      <c r="CG282" s="93" t="inlineStr">
        <is>
          <t>PLV</t>
        </is>
      </c>
      <c r="CH282" s="125">
        <f>SUMIFS(K277:K317,F277:F317,CG282)/K275</f>
        <v/>
      </c>
      <c r="CI282" s="103" t="n"/>
      <c r="CK282" s="104">
        <f>IFERROR(IF(F282='[1]Paramètres Généraux'!$K$12,ROUNDUP((REGENERANTS!H282*REGENERANTS!$CF$275)*'[1]Paramètres Généraux'!$M$12,-1),REGENERANTS!H282*REGENERANTS!$CF$275),"nd")</f>
        <v/>
      </c>
      <c r="CN282" s="105" t="n"/>
      <c r="CO282" s="106" t="n"/>
      <c r="CP282" s="106" t="n"/>
      <c r="CQ282" s="106" t="n"/>
      <c r="CR282" s="106" t="n"/>
      <c r="CS282" s="178" t="n"/>
      <c r="CT282" s="179" t="n"/>
      <c r="CU282" s="106" t="n"/>
      <c r="CV282" s="178" t="n"/>
      <c r="CW282" s="111" t="n"/>
      <c r="CX282" s="112" t="n"/>
      <c r="CY282" s="111" t="n"/>
      <c r="CZ282" s="109" t="n"/>
      <c r="DA282" s="112" t="n"/>
      <c r="DB282" s="111" t="n"/>
      <c r="DC282" s="109" t="n"/>
      <c r="DD282" s="112" t="n"/>
      <c r="DE282" s="111" t="n"/>
      <c r="DF282" s="109" t="n"/>
      <c r="DG282" s="109" t="n"/>
      <c r="DH282" s="109" t="n"/>
      <c r="DI282" s="109" t="n"/>
      <c r="DJ282" s="109" t="n"/>
      <c r="DK282" s="109" t="n"/>
      <c r="DL282" s="109" t="n"/>
      <c r="DM282" s="109" t="n"/>
      <c r="DN282" s="109" t="n"/>
      <c r="DO282" s="112" t="n"/>
      <c r="DP282" s="111" t="n"/>
      <c r="DQ282" s="20">
        <f>SUM(CN282:DP282)</f>
        <v/>
      </c>
      <c r="DR282" s="20">
        <f>SUM(CV282:DP282)</f>
        <v/>
      </c>
      <c r="DS282" s="20">
        <f>IFERROR((IF(AND($F282="Produit Vente",CO282&gt;0),VLOOKUP($C282,'[1]Paramètres Articles'!$B:$H,7,FALSE)*$CO282)*(1-20%)),0)</f>
        <v/>
      </c>
      <c r="DT282" s="20">
        <f>IFERROR((IF(AND($F282="Produit Vente",DR282&gt;0),VLOOKUP($C282,'[1]Paramètres Articles'!$B:$H,6,FALSE)*$DR282)*(1-15%)),0)</f>
        <v/>
      </c>
    </row>
    <row r="283" hidden="1" outlineLevel="1" collapsed="1" ht="12.95" customHeight="1">
      <c r="B283" s="1">
        <f>IF(C283="",0,COUNTIFS($B$22:B282,"&gt;"&amp;0)+1)</f>
        <v/>
      </c>
      <c r="C283" s="90" t="n">
        <v>1020102</v>
      </c>
      <c r="D283" s="91">
        <f>IFERROR(IF($C283="","",VLOOKUP($C283,'[1]Paramètres Articles'!$B:$G,2,FALSE)),"Non Trouvé")</f>
        <v/>
      </c>
      <c r="E283" s="92">
        <f>IFERROR(IF($C283="","",_xlfn.XLOOKUP(REGENERANTS!$C283,'[1]New Base PA'!$F:$F,'[1]New Base PA'!$D:$D,"Not Found",0)),"Non Trouvé")</f>
        <v/>
      </c>
      <c r="F283" s="93" t="inlineStr">
        <is>
          <t>Produit Vente</t>
        </is>
      </c>
      <c r="H283" s="106">
        <f>12*5%</f>
        <v/>
      </c>
      <c r="J283" s="95">
        <f>IFERROR(IF($C283="","",VLOOKUP($C283,'[1]New Base PA'!$F:$J,5,FALSE)),"Non Trouvé")</f>
        <v/>
      </c>
      <c r="K283" s="136">
        <f>IFERROR(IF($C283="","",$J283*$H283),"Non Trouvé")</f>
        <v/>
      </c>
      <c r="L283" s="137" t="n"/>
      <c r="M283" s="136">
        <f>IFERROR(IF(AND($F283="Produit Vente",H283&gt;0),VLOOKUP($C283,'[1]Paramètres Articles'!$B:$G,6,FALSE),0),"Non Trouvé")</f>
        <v/>
      </c>
      <c r="N283" s="136">
        <f>IFERROR(IF($C283="","",$M283*$H283),"Non Trouvé")</f>
        <v/>
      </c>
      <c r="P283" s="97" t="n"/>
      <c r="R283" s="95">
        <f>IFERROR(IF($C283="","",$N283*(1-$P283)),"Non Trouvé")</f>
        <v/>
      </c>
      <c r="S283" s="96" t="n"/>
      <c r="T283" s="95">
        <f>IFERROR(IF($C283="","",VLOOKUP($C283,'[1]Paramètres Articles'!$B:$H,7,FALSE)),"Non Trouvé")</f>
        <v/>
      </c>
      <c r="U283" s="98" t="n"/>
      <c r="V283" s="95">
        <f>IFERROR(IF($C283="","",IF($P283="","",$T283*(1-$P283))),"Non Trouvé")</f>
        <v/>
      </c>
      <c r="W283" s="96" t="n"/>
      <c r="X283" s="95">
        <f>IFERROR(T283-V283,"")</f>
        <v/>
      </c>
      <c r="Y283" s="96" t="n"/>
      <c r="Z283" s="95">
        <f>IFERROR(IF(OR(T283=0,T283=""),0,T283*H283),"Non Trouvé")</f>
        <v/>
      </c>
      <c r="AB283" s="99">
        <f>AB281</f>
        <v/>
      </c>
      <c r="AC283" s="99">
        <f>AC281</f>
        <v/>
      </c>
      <c r="AD283" s="95">
        <f>IFERROR(IF($C283="","",IF($P$15="Cascade",$R283*(1-AC283)*AB283,IF($P$15="Additionnelle",($N283-($N283*($P283+AC283)))*AB283))),"Non Trouvé")</f>
        <v/>
      </c>
      <c r="AG283" s="99">
        <f>AG281</f>
        <v/>
      </c>
      <c r="AH283" s="99">
        <f>AH281</f>
        <v/>
      </c>
      <c r="AI283" s="95">
        <f>IFERROR(IF($C283="","",IF($P$15="Cascade",$R283*(1-AH283)*AG283,IF($P$15="Additionnelle",($N283-($N283*($P283+AH283)))*AG283))),"Non Trouvé")</f>
        <v/>
      </c>
      <c r="AL283" s="99">
        <f>AL281</f>
        <v/>
      </c>
      <c r="AM283" s="99">
        <f>AM281</f>
        <v/>
      </c>
      <c r="AN283" s="95">
        <f>IFERROR(IF($C283="","",IF($P$15="Cascade",$R283*(1-AM283)*AL283,IF($P$15="Additionnelle",($N283-($N283*($P283+AM283)))*AL283))),"Non Trouvé")</f>
        <v/>
      </c>
      <c r="AQ283" s="99">
        <f>AQ281</f>
        <v/>
      </c>
      <c r="AR283" s="99">
        <f>AR281</f>
        <v/>
      </c>
      <c r="AS283" s="95">
        <f>IFERROR(IF($C283="","",IF($P$15="Cascade",$R283*(1-AR283)*AQ283,IF($P$15="Additionnelle",($N283-($N283*($P283+AR283)))*AQ283))),"Non Trouvé")</f>
        <v/>
      </c>
      <c r="AV283" s="99">
        <f>AV281</f>
        <v/>
      </c>
      <c r="AW283" s="99">
        <f>AW281</f>
        <v/>
      </c>
      <c r="AX283" s="95">
        <f>IFERROR(IF($C283="","",IF($P$15="Cascade",$R283*(1-AW283)*AV283,IF($P$15="Additionnelle",($N283-($N283*($P283+AW283)))*AV283))),"Non Trouvé")</f>
        <v/>
      </c>
      <c r="BA283" s="99">
        <f>BA281</f>
        <v/>
      </c>
      <c r="BB283" s="99">
        <f>BB281</f>
        <v/>
      </c>
      <c r="BC283" s="95">
        <f>IFERROR(IF($C283="","",IF($P$15="Cascade",$R283*(1-BB283)*BA283,IF($P$15="Additionnelle",($N283-($N283*($P283+BB283)))*BA283))),"Non Trouvé")</f>
        <v/>
      </c>
      <c r="BF283" s="99">
        <f>BF281</f>
        <v/>
      </c>
      <c r="BG283" s="99">
        <f>BG281</f>
        <v/>
      </c>
      <c r="BH283" s="95">
        <f>IFERROR(IF($C283="","",IF($P$15="Cascade",$R283*(1-BG283)*BF283,IF($P$15="Additionnelle",($N283-($N283*($P283+BG283)))*BF283))),"Non Trouvé")</f>
        <v/>
      </c>
      <c r="BK283" s="99">
        <f>BK281</f>
        <v/>
      </c>
      <c r="BL283" s="99">
        <f>BL281</f>
        <v/>
      </c>
      <c r="BM283" s="95">
        <f>IFERROR(IF($C283="","",IF($P$15="Cascade",$R283*(1-BL283)*BK283,IF($P$15="Additionnelle",($N283-($N283*($P283+BL283)))*BK283))),"Non Trouvé")</f>
        <v/>
      </c>
      <c r="BP283" s="99">
        <f>BP281</f>
        <v/>
      </c>
      <c r="BQ283" s="99">
        <f>BQ281</f>
        <v/>
      </c>
      <c r="BR283" s="95">
        <f>IFERROR(IF($C283="","",IF($P$15="Cascade",$R283*(1-BQ283)*BP283,IF($P$15="Additionnelle",($N283-($N283*($P283+BQ283)))*BP283))),"Non Trouvé")</f>
        <v/>
      </c>
      <c r="BU283" s="99">
        <f>BU281</f>
        <v/>
      </c>
      <c r="BV283" s="99">
        <f>BV281</f>
        <v/>
      </c>
      <c r="BW283" s="95">
        <f>IFERROR(IF($C283="","",IF($P$15="Cascade",$R283*(1-BV283)*BU283,IF($P$15="Additionnelle",($N283-($N283*($P283+BV283)))*BU283))),"Non Trouvé")</f>
        <v/>
      </c>
      <c r="BZ283" s="99">
        <f>BZ281</f>
        <v/>
      </c>
      <c r="CA283" s="99">
        <f>CA281</f>
        <v/>
      </c>
      <c r="CB283" s="95">
        <f>IFERROR(IF($C283="","",IF($P$15="Cascade",$R283*(1-CA283)*BZ283,IF($P$15="Additionnelle",($N283-($N283*($P283+CA283)))*BZ283))),"Non Trouvé")</f>
        <v/>
      </c>
      <c r="CE283" s="100" t="n"/>
      <c r="CF283" s="101" t="n"/>
      <c r="CG283" s="93" t="inlineStr">
        <is>
          <t>Echantillon</t>
        </is>
      </c>
      <c r="CH283" s="125">
        <f>SUMIFS(K277:K317,F277:F317,CG283)/K275</f>
        <v/>
      </c>
      <c r="CI283" s="103" t="n"/>
      <c r="CK283" s="104">
        <f>IFERROR(IF(F283='[1]Paramètres Généraux'!$K$12,ROUNDUP((REGENERANTS!H283*REGENERANTS!$CF$275)*'[1]Paramètres Généraux'!$M$12,-1),REGENERANTS!H283*REGENERANTS!$CF$275),"nd")</f>
        <v/>
      </c>
      <c r="CN283" s="105" t="n"/>
      <c r="CO283" s="106" t="n"/>
      <c r="CP283" s="106" t="n"/>
      <c r="CQ283" s="106" t="n"/>
      <c r="CR283" s="106" t="n"/>
      <c r="CS283" s="178" t="n"/>
      <c r="CT283" s="179" t="n"/>
      <c r="CU283" s="106" t="n"/>
      <c r="CV283" s="178" t="n"/>
      <c r="CW283" s="111" t="n"/>
      <c r="CX283" s="112" t="n"/>
      <c r="CY283" s="111" t="n"/>
      <c r="CZ283" s="109" t="n"/>
      <c r="DA283" s="112" t="n"/>
      <c r="DB283" s="111" t="n"/>
      <c r="DC283" s="109" t="n"/>
      <c r="DD283" s="112" t="n"/>
      <c r="DE283" s="111" t="n"/>
      <c r="DF283" s="109" t="n"/>
      <c r="DG283" s="109" t="n"/>
      <c r="DH283" s="109" t="n"/>
      <c r="DI283" s="109" t="n"/>
      <c r="DJ283" s="109" t="n"/>
      <c r="DK283" s="109" t="n"/>
      <c r="DL283" s="109" t="n"/>
      <c r="DM283" s="109" t="n"/>
      <c r="DN283" s="109" t="n"/>
      <c r="DO283" s="112" t="n"/>
      <c r="DP283" s="111" t="n"/>
      <c r="DQ283" s="20">
        <f>SUM(CN283:DP283)</f>
        <v/>
      </c>
      <c r="DR283" s="20">
        <f>SUM(CV283:DP283)</f>
        <v/>
      </c>
      <c r="DS283" s="20">
        <f>IFERROR((IF(AND($F283="Produit Vente",CO283&gt;0),VLOOKUP($C283,'[1]Paramètres Articles'!$B:$H,7,FALSE)*$CO283)*(1-20%)),0)</f>
        <v/>
      </c>
      <c r="DT283" s="20">
        <f>IFERROR((IF(AND($F283="Produit Vente",DR283&gt;0),VLOOKUP($C283,'[1]Paramètres Articles'!$B:$H,6,FALSE)*$DR283)*(1-15%)),0)</f>
        <v/>
      </c>
    </row>
    <row r="284" hidden="1" outlineLevel="1" collapsed="1" ht="12.95" customHeight="1">
      <c r="B284" s="1">
        <f>IF(C284="",0,COUNTIFS($B$22:B283,"&gt;"&amp;0)+1)</f>
        <v/>
      </c>
      <c r="C284" s="90" t="n">
        <v>1020722</v>
      </c>
      <c r="D284" s="91">
        <f>IFERROR(IF($C284="","",VLOOKUP($C284,'[1]Paramètres Articles'!$B:$G,2,FALSE)),"Non Trouvé")</f>
        <v/>
      </c>
      <c r="E284" s="92">
        <f>IFERROR(IF($C284="","",_xlfn.XLOOKUP(REGENERANTS!$C284,'[1]New Base PA'!$F:$F,'[1]New Base PA'!$D:$D,"Not Found",0)),"Non Trouvé")</f>
        <v/>
      </c>
      <c r="F284" s="93" t="inlineStr">
        <is>
          <t>Produit Vente</t>
        </is>
      </c>
      <c r="H284" s="106" t="n">
        <v>0</v>
      </c>
      <c r="J284" s="95">
        <f>IFERROR(IF($C284="","",VLOOKUP($C284,'[1]New Base PA'!$F:$J,5,FALSE)),"Non Trouvé")</f>
        <v/>
      </c>
      <c r="K284" s="136">
        <f>IFERROR(IF($C284="","",$J284*$H284),"Non Trouvé")</f>
        <v/>
      </c>
      <c r="L284" s="137" t="n"/>
      <c r="M284" s="136">
        <f>IFERROR(IF(AND($F284="Produit Vente",H284&gt;0),VLOOKUP($C284,'[1]Paramètres Articles'!$B:$G,6,FALSE),0),"Non Trouvé")</f>
        <v/>
      </c>
      <c r="N284" s="136">
        <f>IFERROR(IF($C284="","",$M284*$H284),"Non Trouvé")</f>
        <v/>
      </c>
      <c r="P284" s="97" t="n"/>
      <c r="R284" s="95">
        <f>IFERROR(IF($C284="","",$N284*(1-$P284)),"Non Trouvé")</f>
        <v/>
      </c>
      <c r="S284" s="96" t="n"/>
      <c r="T284" s="95">
        <f>IFERROR(IF($C284="","",VLOOKUP($C284,'[1]Paramètres Articles'!$B:$H,7,FALSE)),"Non Trouvé")</f>
        <v/>
      </c>
      <c r="U284" s="98" t="n"/>
      <c r="V284" s="95">
        <f>IFERROR(IF($C284="","",IF($P284="","",$T284*(1-$P284))),"Non Trouvé")</f>
        <v/>
      </c>
      <c r="W284" s="96" t="n"/>
      <c r="X284" s="95">
        <f>IFERROR(T284-V284,"")</f>
        <v/>
      </c>
      <c r="Y284" s="96" t="n"/>
      <c r="Z284" s="95">
        <f>IFERROR(IF(OR(T284=0,T284=""),0,T284*H284),"Non Trouvé")</f>
        <v/>
      </c>
      <c r="AB284" s="99">
        <f>AB283</f>
        <v/>
      </c>
      <c r="AC284" s="99">
        <f>AC283</f>
        <v/>
      </c>
      <c r="AD284" s="95">
        <f>IFERROR(IF($C284="","",IF($P$15="Cascade",$R284*(1-AC284)*AB284,IF($P$15="Additionnelle",($N284-($N284*($P284+AC284)))*AB284))),"Non Trouvé")</f>
        <v/>
      </c>
      <c r="AG284" s="99">
        <f>AG283</f>
        <v/>
      </c>
      <c r="AH284" s="99">
        <f>AH283</f>
        <v/>
      </c>
      <c r="AI284" s="95">
        <f>IFERROR(IF($C284="","",IF($P$15="Cascade",$R284*(1-AH284)*AG284,IF($P$15="Additionnelle",($N284-($N284*($P284+AH284)))*AG284))),"Non Trouvé")</f>
        <v/>
      </c>
      <c r="AL284" s="99">
        <f>AL283</f>
        <v/>
      </c>
      <c r="AM284" s="99">
        <f>AM283</f>
        <v/>
      </c>
      <c r="AN284" s="95">
        <f>IFERROR(IF($C284="","",IF($P$15="Cascade",$R284*(1-AM284)*AL284,IF($P$15="Additionnelle",($N284-($N284*($P284+AM284)))*AL284))),"Non Trouvé")</f>
        <v/>
      </c>
      <c r="AQ284" s="99">
        <f>AQ283</f>
        <v/>
      </c>
      <c r="AR284" s="99">
        <f>AR283</f>
        <v/>
      </c>
      <c r="AS284" s="95">
        <f>IFERROR(IF($C284="","",IF($P$15="Cascade",$R284*(1-AR284)*AQ284,IF($P$15="Additionnelle",($N284-($N284*($P284+AR284)))*AQ284))),"Non Trouvé")</f>
        <v/>
      </c>
      <c r="AV284" s="99">
        <f>AV283</f>
        <v/>
      </c>
      <c r="AW284" s="99">
        <f>AW283</f>
        <v/>
      </c>
      <c r="AX284" s="95">
        <f>IFERROR(IF($C284="","",IF($P$15="Cascade",$R284*(1-AW284)*AV284,IF($P$15="Additionnelle",($N284-($N284*($P284+AW284)))*AV284))),"Non Trouvé")</f>
        <v/>
      </c>
      <c r="BA284" s="99">
        <f>BA283</f>
        <v/>
      </c>
      <c r="BB284" s="99">
        <f>BB283</f>
        <v/>
      </c>
      <c r="BC284" s="95">
        <f>IFERROR(IF($C284="","",IF($P$15="Cascade",$R284*(1-BB284)*BA284,IF($P$15="Additionnelle",($N284-($N284*($P284+BB284)))*BA284))),"Non Trouvé")</f>
        <v/>
      </c>
      <c r="BF284" s="99">
        <f>BF283</f>
        <v/>
      </c>
      <c r="BG284" s="99">
        <f>BG283</f>
        <v/>
      </c>
      <c r="BH284" s="95">
        <f>IFERROR(IF($C284="","",IF($P$15="Cascade",$R284*(1-BG284)*BF284,IF($P$15="Additionnelle",($N284-($N284*($P284+BG284)))*BF284))),"Non Trouvé")</f>
        <v/>
      </c>
      <c r="BK284" s="99">
        <f>BK283</f>
        <v/>
      </c>
      <c r="BL284" s="99">
        <f>BL283</f>
        <v/>
      </c>
      <c r="BM284" s="95">
        <f>IFERROR(IF($C284="","",IF($P$15="Cascade",$R284*(1-BL284)*BK284,IF($P$15="Additionnelle",($N284-($N284*($P284+BL284)))*BK284))),"Non Trouvé")</f>
        <v/>
      </c>
      <c r="BP284" s="99">
        <f>BP283</f>
        <v/>
      </c>
      <c r="BQ284" s="99">
        <f>BQ283</f>
        <v/>
      </c>
      <c r="BR284" s="95">
        <f>IFERROR(IF($C284="","",IF($P$15="Cascade",$R284*(1-BQ284)*BP284,IF($P$15="Additionnelle",($N284-($N284*($P284+BQ284)))*BP284))),"Non Trouvé")</f>
        <v/>
      </c>
      <c r="BU284" s="99">
        <f>BU283</f>
        <v/>
      </c>
      <c r="BV284" s="99">
        <f>BV283</f>
        <v/>
      </c>
      <c r="BW284" s="95">
        <f>IFERROR(IF($C284="","",IF($P$15="Cascade",$R284*(1-BV284)*BU284,IF($P$15="Additionnelle",($N284-($N284*($P284+BV284)))*BU284))),"Non Trouvé")</f>
        <v/>
      </c>
      <c r="BZ284" s="99">
        <f>BZ283</f>
        <v/>
      </c>
      <c r="CA284" s="99">
        <f>CA283</f>
        <v/>
      </c>
      <c r="CB284" s="95">
        <f>IFERROR(IF($C284="","",IF($P$15="Cascade",$R284*(1-CA284)*BZ284,IF($P$15="Additionnelle",($N284-($N284*($P284+CA284)))*BZ284))),"Non Trouvé")</f>
        <v/>
      </c>
      <c r="CE284" s="100" t="n"/>
      <c r="CF284" s="101" t="n"/>
      <c r="CG284" s="93" t="inlineStr">
        <is>
          <t>Testeur</t>
        </is>
      </c>
      <c r="CH284" s="125">
        <f>SUMIFS(K277:K317,F277:F317,CG284)/K275</f>
        <v/>
      </c>
      <c r="CI284" s="103" t="n"/>
      <c r="CK284" s="104">
        <f>IFERROR(IF(F284='[1]Paramètres Généraux'!$K$12,ROUNDUP((REGENERANTS!H284*REGENERANTS!$CF$275)*'[1]Paramètres Généraux'!$M$12,-1),REGENERANTS!H284*REGENERANTS!$CF$275),"nd")</f>
        <v/>
      </c>
      <c r="CN284" s="105" t="n"/>
      <c r="CO284" s="106" t="n"/>
      <c r="CP284" s="106" t="n"/>
      <c r="CQ284" s="106" t="n"/>
      <c r="CR284" s="106" t="n"/>
      <c r="CS284" s="178" t="n"/>
      <c r="CT284" s="179" t="n"/>
      <c r="CU284" s="106" t="n"/>
      <c r="CV284" s="178" t="n"/>
      <c r="CW284" s="111" t="n"/>
      <c r="CX284" s="112" t="n"/>
      <c r="CY284" s="111" t="n"/>
      <c r="CZ284" s="109" t="n"/>
      <c r="DA284" s="112" t="n"/>
      <c r="DB284" s="111" t="n"/>
      <c r="DC284" s="109" t="n"/>
      <c r="DD284" s="112" t="n"/>
      <c r="DE284" s="111" t="n"/>
      <c r="DF284" s="109" t="n"/>
      <c r="DG284" s="109" t="n"/>
      <c r="DH284" s="109" t="n"/>
      <c r="DI284" s="109" t="n"/>
      <c r="DJ284" s="109" t="n"/>
      <c r="DK284" s="109" t="n"/>
      <c r="DL284" s="109" t="n"/>
      <c r="DM284" s="109" t="n"/>
      <c r="DN284" s="109" t="n"/>
      <c r="DO284" s="112" t="n"/>
      <c r="DP284" s="111" t="n"/>
      <c r="DQ284" s="20">
        <f>SUM(CN284:DP284)</f>
        <v/>
      </c>
      <c r="DR284" s="20">
        <f>SUM(CV284:DP284)</f>
        <v/>
      </c>
      <c r="DS284" s="20">
        <f>IFERROR((IF(AND($F284="Produit Vente",CO284&gt;0),VLOOKUP($C284,'[1]Paramètres Articles'!$B:$H,7,FALSE)*$CO284)*(1-20%)),0)</f>
        <v/>
      </c>
      <c r="DT284" s="20">
        <f>IFERROR((IF(AND($F284="Produit Vente",DR284&gt;0),VLOOKUP($C284,'[1]Paramètres Articles'!$B:$H,6,FALSE)*$DR284)*(1-15%)),0)</f>
        <v/>
      </c>
    </row>
    <row r="285" hidden="1" outlineLevel="1" collapsed="1" ht="12.95" customHeight="1">
      <c r="B285" s="1">
        <f>IF(C285="",0,COUNTIFS($B$22:B284,"&gt;"&amp;0)+1)</f>
        <v/>
      </c>
      <c r="C285" s="90" t="n">
        <v>1020719</v>
      </c>
      <c r="D285" s="91">
        <f>IFERROR(IF($C285="","",VLOOKUP($C285,'[1]Paramètres Articles'!$B:$G,2,FALSE)),"Non Trouvé")</f>
        <v/>
      </c>
      <c r="E285" s="92">
        <f>IFERROR(IF($C285="","",_xlfn.XLOOKUP(REGENERANTS!$C285,'[1]New Base PA'!$F:$F,'[1]New Base PA'!$D:$D,"Not Found",0)),"Non Trouvé")</f>
        <v/>
      </c>
      <c r="F285" s="93" t="inlineStr">
        <is>
          <t>Produit Vente</t>
        </is>
      </c>
      <c r="H285" s="106">
        <f>12*7%</f>
        <v/>
      </c>
      <c r="J285" s="95">
        <f>IFERROR(IF($C285="","",VLOOKUP($C285,'[1]New Base PA'!$F:$J,5,FALSE)),"Non Trouvé")</f>
        <v/>
      </c>
      <c r="K285" s="136">
        <f>IFERROR(IF($C285="","",$J285*$H285),"Non Trouvé")</f>
        <v/>
      </c>
      <c r="L285" s="137" t="n"/>
      <c r="M285" s="136">
        <f>IFERROR(IF(AND($F285="Produit Vente",H285&gt;0),VLOOKUP($C285,'[1]Paramètres Articles'!$B:$G,6,FALSE),0),"Non Trouvé")</f>
        <v/>
      </c>
      <c r="N285" s="136">
        <f>IFERROR(IF($C285="","",$M285*$H285),"Non Trouvé")</f>
        <v/>
      </c>
      <c r="P285" s="97" t="n"/>
      <c r="R285" s="95">
        <f>IFERROR(IF($C285="","",$N285*(1-$P285)),"Non Trouvé")</f>
        <v/>
      </c>
      <c r="S285" s="96" t="n"/>
      <c r="T285" s="95">
        <f>IFERROR(IF($C285="","",VLOOKUP($C285,'[1]Paramètres Articles'!$B:$H,7,FALSE)),"Non Trouvé")</f>
        <v/>
      </c>
      <c r="U285" s="98" t="n"/>
      <c r="V285" s="95">
        <f>IFERROR(IF($C285="","",IF($P285="","",$T285*(1-$P285))),"Non Trouvé")</f>
        <v/>
      </c>
      <c r="W285" s="96" t="n"/>
      <c r="X285" s="95">
        <f>IFERROR(T285-V285,"")</f>
        <v/>
      </c>
      <c r="Y285" s="96" t="n"/>
      <c r="Z285" s="95">
        <f>IFERROR(IF(OR(T285=0,T285=""),0,T285*H285),"Non Trouvé")</f>
        <v/>
      </c>
      <c r="AB285" s="99">
        <f>AB283</f>
        <v/>
      </c>
      <c r="AC285" s="99">
        <f>AC283</f>
        <v/>
      </c>
      <c r="AD285" s="95">
        <f>IFERROR(IF($C285="","",IF($P$15="Cascade",$R285*(1-AC285)*AB285,IF($P$15="Additionnelle",($N285-($N285*($P285+AC285)))*AB285))),"Non Trouvé")</f>
        <v/>
      </c>
      <c r="AG285" s="99">
        <f>AG283</f>
        <v/>
      </c>
      <c r="AH285" s="99">
        <f>AH283</f>
        <v/>
      </c>
      <c r="AI285" s="95">
        <f>IFERROR(IF($C285="","",IF($P$15="Cascade",$R285*(1-AH285)*AG285,IF($P$15="Additionnelle",($N285-($N285*($P285+AH285)))*AG285))),"Non Trouvé")</f>
        <v/>
      </c>
      <c r="AL285" s="99">
        <f>AL283</f>
        <v/>
      </c>
      <c r="AM285" s="99">
        <f>AM283</f>
        <v/>
      </c>
      <c r="AN285" s="95">
        <f>IFERROR(IF($C285="","",IF($P$15="Cascade",$R285*(1-AM285)*AL285,IF($P$15="Additionnelle",($N285-($N285*($P285+AM285)))*AL285))),"Non Trouvé")</f>
        <v/>
      </c>
      <c r="AQ285" s="99">
        <f>AQ283</f>
        <v/>
      </c>
      <c r="AR285" s="99">
        <f>AR283</f>
        <v/>
      </c>
      <c r="AS285" s="95">
        <f>IFERROR(IF($C285="","",IF($P$15="Cascade",$R285*(1-AR285)*AQ285,IF($P$15="Additionnelle",($N285-($N285*($P285+AR285)))*AQ285))),"Non Trouvé")</f>
        <v/>
      </c>
      <c r="AV285" s="99">
        <f>AV283</f>
        <v/>
      </c>
      <c r="AW285" s="99">
        <f>AW283</f>
        <v/>
      </c>
      <c r="AX285" s="95">
        <f>IFERROR(IF($C285="","",IF($P$15="Cascade",$R285*(1-AW285)*AV285,IF($P$15="Additionnelle",($N285-($N285*($P285+AW285)))*AV285))),"Non Trouvé")</f>
        <v/>
      </c>
      <c r="BA285" s="99">
        <f>BA283</f>
        <v/>
      </c>
      <c r="BB285" s="99">
        <f>BB283</f>
        <v/>
      </c>
      <c r="BC285" s="95">
        <f>IFERROR(IF($C285="","",IF($P$15="Cascade",$R285*(1-BB285)*BA285,IF($P$15="Additionnelle",($N285-($N285*($P285+BB285)))*BA285))),"Non Trouvé")</f>
        <v/>
      </c>
      <c r="BF285" s="99">
        <f>BF283</f>
        <v/>
      </c>
      <c r="BG285" s="99">
        <f>BG283</f>
        <v/>
      </c>
      <c r="BH285" s="95">
        <f>IFERROR(IF($C285="","",IF($P$15="Cascade",$R285*(1-BG285)*BF285,IF($P$15="Additionnelle",($N285-($N285*($P285+BG285)))*BF285))),"Non Trouvé")</f>
        <v/>
      </c>
      <c r="BK285" s="99">
        <f>BK283</f>
        <v/>
      </c>
      <c r="BL285" s="99">
        <f>BL283</f>
        <v/>
      </c>
      <c r="BM285" s="95">
        <f>IFERROR(IF($C285="","",IF($P$15="Cascade",$R285*(1-BL285)*BK285,IF($P$15="Additionnelle",($N285-($N285*($P285+BL285)))*BK285))),"Non Trouvé")</f>
        <v/>
      </c>
      <c r="BP285" s="99">
        <f>BP283</f>
        <v/>
      </c>
      <c r="BQ285" s="99">
        <f>BQ283</f>
        <v/>
      </c>
      <c r="BR285" s="95">
        <f>IFERROR(IF($C285="","",IF($P$15="Cascade",$R285*(1-BQ285)*BP285,IF($P$15="Additionnelle",($N285-($N285*($P285+BQ285)))*BP285))),"Non Trouvé")</f>
        <v/>
      </c>
      <c r="BU285" s="99">
        <f>BU283</f>
        <v/>
      </c>
      <c r="BV285" s="99">
        <f>BV283</f>
        <v/>
      </c>
      <c r="BW285" s="95">
        <f>IFERROR(IF($C285="","",IF($P$15="Cascade",$R285*(1-BV285)*BU285,IF($P$15="Additionnelle",($N285-($N285*($P285+BV285)))*BU285))),"Non Trouvé")</f>
        <v/>
      </c>
      <c r="BZ285" s="99">
        <f>BZ283</f>
        <v/>
      </c>
      <c r="CA285" s="99">
        <f>CA283</f>
        <v/>
      </c>
      <c r="CB285" s="95">
        <f>IFERROR(IF($C285="","",IF($P$15="Cascade",$R285*(1-CA285)*BZ285,IF($P$15="Additionnelle",($N285-($N285*($P285+CA285)))*BZ285))),"Non Trouvé")</f>
        <v/>
      </c>
      <c r="CE285" s="100" t="n"/>
      <c r="CF285" s="101" t="n"/>
      <c r="CG285" s="102" t="n"/>
      <c r="CH285" s="102" t="n"/>
      <c r="CI285" s="103" t="n"/>
      <c r="CK285" s="104">
        <f>IFERROR(IF(F285='[1]Paramètres Généraux'!$K$12,ROUNDUP((REGENERANTS!H285*REGENERANTS!$CF$275)*'[1]Paramètres Généraux'!$M$12,-1),REGENERANTS!H285*REGENERANTS!$CF$275),"nd")</f>
        <v/>
      </c>
      <c r="CN285" s="105" t="n"/>
      <c r="CO285" s="106" t="n"/>
      <c r="CP285" s="106" t="n"/>
      <c r="CQ285" s="106" t="n"/>
      <c r="CR285" s="106" t="n"/>
      <c r="CS285" s="178" t="n"/>
      <c r="CT285" s="179" t="n"/>
      <c r="CU285" s="106" t="n"/>
      <c r="CV285" s="178" t="n"/>
      <c r="CW285" s="111" t="n"/>
      <c r="CX285" s="112" t="n"/>
      <c r="CY285" s="111" t="n"/>
      <c r="CZ285" s="109" t="n"/>
      <c r="DA285" s="112" t="n"/>
      <c r="DB285" s="111" t="n"/>
      <c r="DC285" s="109" t="n"/>
      <c r="DD285" s="112" t="n"/>
      <c r="DE285" s="111" t="n"/>
      <c r="DF285" s="109" t="n"/>
      <c r="DG285" s="109" t="n"/>
      <c r="DH285" s="109" t="n"/>
      <c r="DI285" s="109" t="n"/>
      <c r="DJ285" s="109" t="n"/>
      <c r="DK285" s="109" t="n"/>
      <c r="DL285" s="109" t="n"/>
      <c r="DM285" s="109" t="n"/>
      <c r="DN285" s="109" t="n"/>
      <c r="DO285" s="112" t="n"/>
      <c r="DP285" s="111" t="n"/>
      <c r="DQ285" s="20">
        <f>SUM(CN285:DP285)</f>
        <v/>
      </c>
      <c r="DR285" s="20">
        <f>SUM(CV285:DP285)</f>
        <v/>
      </c>
      <c r="DS285" s="20">
        <f>IFERROR((IF(AND($F285="Produit Vente",CO285&gt;0),VLOOKUP($C285,'[1]Paramètres Articles'!$B:$H,7,FALSE)*$CO285)*(1-20%)),0)</f>
        <v/>
      </c>
      <c r="DT285" s="20">
        <f>IFERROR((IF(AND($F285="Produit Vente",DR285&gt;0),VLOOKUP($C285,'[1]Paramètres Articles'!$B:$H,6,FALSE)*$DR285)*(1-15%)),0)</f>
        <v/>
      </c>
    </row>
    <row r="286" hidden="1" outlineLevel="1" collapsed="1" ht="12.95" customHeight="1">
      <c r="B286" s="1">
        <f>IF(C286="",0,COUNTIFS($B$22:B285,"&gt;"&amp;0)+1)</f>
        <v/>
      </c>
      <c r="C286" s="90" t="n">
        <v>1020717</v>
      </c>
      <c r="D286" s="91">
        <f>IFERROR(IF($C286="","",VLOOKUP($C286,'[1]Paramètres Articles'!$B:$G,2,FALSE)),"Non Trouvé")</f>
        <v/>
      </c>
      <c r="E286" s="92">
        <f>IFERROR(IF($C286="","",_xlfn.XLOOKUP(REGENERANTS!$C286,'[1]New Base PA'!$F:$F,'[1]New Base PA'!$D:$D,"Not Found",0)),"Non Trouvé")</f>
        <v/>
      </c>
      <c r="F286" s="93" t="inlineStr">
        <is>
          <t>Produit Vente</t>
        </is>
      </c>
      <c r="H286" s="106">
        <f>12*6%</f>
        <v/>
      </c>
      <c r="J286" s="95">
        <f>IFERROR(IF($C286="","",VLOOKUP($C286,'[1]New Base PA'!$F:$J,5,FALSE)),"Non Trouvé")</f>
        <v/>
      </c>
      <c r="K286" s="136">
        <f>IFERROR(IF($C286="","",$J286*$H286),"Non Trouvé")</f>
        <v/>
      </c>
      <c r="L286" s="137" t="n"/>
      <c r="M286" s="136">
        <f>IFERROR(IF(AND($F286="Produit Vente",H286&gt;0),VLOOKUP($C286,'[1]Paramètres Articles'!$B:$G,6,FALSE),0),"Non Trouvé")</f>
        <v/>
      </c>
      <c r="N286" s="136">
        <f>IFERROR(IF($C286="","",$M286*$H286),"Non Trouvé")</f>
        <v/>
      </c>
      <c r="P286" s="97" t="n"/>
      <c r="R286" s="95">
        <f>IFERROR(IF($C286="","",$N286*(1-$P286)),"Non Trouvé")</f>
        <v/>
      </c>
      <c r="S286" s="96" t="n"/>
      <c r="T286" s="95">
        <f>IFERROR(IF($C286="","",VLOOKUP($C286,'[1]Paramètres Articles'!$B:$H,7,FALSE)),"Non Trouvé")</f>
        <v/>
      </c>
      <c r="U286" s="98" t="n"/>
      <c r="V286" s="95">
        <f>IFERROR(IF($C286="","",IF($P286="","",$T286*(1-$P286))),"Non Trouvé")</f>
        <v/>
      </c>
      <c r="W286" s="96" t="n"/>
      <c r="X286" s="95">
        <f>IFERROR(T286-V286,"")</f>
        <v/>
      </c>
      <c r="Y286" s="96" t="n"/>
      <c r="Z286" s="95">
        <f>IFERROR(IF(OR(T286=0,T286=""),0,T286*H286),"Non Trouvé")</f>
        <v/>
      </c>
      <c r="AB286" s="99">
        <f>AB285</f>
        <v/>
      </c>
      <c r="AC286" s="99">
        <f>AC285</f>
        <v/>
      </c>
      <c r="AD286" s="95">
        <f>IFERROR(IF($C286="","",IF($P$15="Cascade",$R286*(1-AC286)*AB286,IF($P$15="Additionnelle",($N286-($N286*($P286+AC286)))*AB286))),"Non Trouvé")</f>
        <v/>
      </c>
      <c r="AG286" s="99">
        <f>AG285</f>
        <v/>
      </c>
      <c r="AH286" s="99">
        <f>AH285</f>
        <v/>
      </c>
      <c r="AI286" s="95">
        <f>IFERROR(IF($C286="","",IF($P$15="Cascade",$R286*(1-AH286)*AG286,IF($P$15="Additionnelle",($N286-($N286*($P286+AH286)))*AG286))),"Non Trouvé")</f>
        <v/>
      </c>
      <c r="AL286" s="99">
        <f>AL285</f>
        <v/>
      </c>
      <c r="AM286" s="99">
        <f>AM285</f>
        <v/>
      </c>
      <c r="AN286" s="95">
        <f>IFERROR(IF($C286="","",IF($P$15="Cascade",$R286*(1-AM286)*AL286,IF($P$15="Additionnelle",($N286-($N286*($P286+AM286)))*AL286))),"Non Trouvé")</f>
        <v/>
      </c>
      <c r="AQ286" s="99">
        <f>AQ285</f>
        <v/>
      </c>
      <c r="AR286" s="99">
        <f>AR285</f>
        <v/>
      </c>
      <c r="AS286" s="95">
        <f>IFERROR(IF($C286="","",IF($P$15="Cascade",$R286*(1-AR286)*AQ286,IF($P$15="Additionnelle",($N286-($N286*($P286+AR286)))*AQ286))),"Non Trouvé")</f>
        <v/>
      </c>
      <c r="AV286" s="99">
        <f>AV285</f>
        <v/>
      </c>
      <c r="AW286" s="99">
        <f>AW285</f>
        <v/>
      </c>
      <c r="AX286" s="95">
        <f>IFERROR(IF($C286="","",IF($P$15="Cascade",$R286*(1-AW286)*AV286,IF($P$15="Additionnelle",($N286-($N286*($P286+AW286)))*AV286))),"Non Trouvé")</f>
        <v/>
      </c>
      <c r="BA286" s="99">
        <f>BA285</f>
        <v/>
      </c>
      <c r="BB286" s="99">
        <f>BB285</f>
        <v/>
      </c>
      <c r="BC286" s="95">
        <f>IFERROR(IF($C286="","",IF($P$15="Cascade",$R286*(1-BB286)*BA286,IF($P$15="Additionnelle",($N286-($N286*($P286+BB286)))*BA286))),"Non Trouvé")</f>
        <v/>
      </c>
      <c r="BF286" s="99">
        <f>BF285</f>
        <v/>
      </c>
      <c r="BG286" s="99">
        <f>BG285</f>
        <v/>
      </c>
      <c r="BH286" s="95">
        <f>IFERROR(IF($C286="","",IF($P$15="Cascade",$R286*(1-BG286)*BF286,IF($P$15="Additionnelle",($N286-($N286*($P286+BG286)))*BF286))),"Non Trouvé")</f>
        <v/>
      </c>
      <c r="BK286" s="99">
        <f>BK285</f>
        <v/>
      </c>
      <c r="BL286" s="99">
        <f>BL285</f>
        <v/>
      </c>
      <c r="BM286" s="95">
        <f>IFERROR(IF($C286="","",IF($P$15="Cascade",$R286*(1-BL286)*BK286,IF($P$15="Additionnelle",($N286-($N286*($P286+BL286)))*BK286))),"Non Trouvé")</f>
        <v/>
      </c>
      <c r="BP286" s="99">
        <f>BP285</f>
        <v/>
      </c>
      <c r="BQ286" s="99">
        <f>BQ285</f>
        <v/>
      </c>
      <c r="BR286" s="95">
        <f>IFERROR(IF($C286="","",IF($P$15="Cascade",$R286*(1-BQ286)*BP286,IF($P$15="Additionnelle",($N286-($N286*($P286+BQ286)))*BP286))),"Non Trouvé")</f>
        <v/>
      </c>
      <c r="BU286" s="99">
        <f>BU285</f>
        <v/>
      </c>
      <c r="BV286" s="99">
        <f>BV285</f>
        <v/>
      </c>
      <c r="BW286" s="95">
        <f>IFERROR(IF($C286="","",IF($P$15="Cascade",$R286*(1-BV286)*BU286,IF($P$15="Additionnelle",($N286-($N286*($P286+BV286)))*BU286))),"Non Trouvé")</f>
        <v/>
      </c>
      <c r="BZ286" s="99">
        <f>BZ285</f>
        <v/>
      </c>
      <c r="CA286" s="99">
        <f>CA285</f>
        <v/>
      </c>
      <c r="CB286" s="95">
        <f>IFERROR(IF($C286="","",IF($P$15="Cascade",$R286*(1-CA286)*BZ286,IF($P$15="Additionnelle",($N286-($N286*($P286+CA286)))*BZ286))),"Non Trouvé")</f>
        <v/>
      </c>
      <c r="CE286" s="100" t="n"/>
      <c r="CF286" s="101" t="n"/>
      <c r="CG286" s="102" t="n"/>
      <c r="CH286" s="102" t="n"/>
      <c r="CI286" s="103" t="n"/>
      <c r="CK286" s="104">
        <f>IFERROR(IF(F286='[1]Paramètres Généraux'!$K$12,ROUNDUP((REGENERANTS!H286*REGENERANTS!$CF$275)*'[1]Paramètres Généraux'!$M$12,-1),REGENERANTS!H286*REGENERANTS!$CF$275),"nd")</f>
        <v/>
      </c>
      <c r="CN286" s="105" t="n"/>
      <c r="CO286" s="106" t="n"/>
      <c r="CP286" s="106" t="n"/>
      <c r="CQ286" s="106" t="n"/>
      <c r="CR286" s="106" t="n"/>
      <c r="CS286" s="178" t="n"/>
      <c r="CT286" s="179" t="n"/>
      <c r="CU286" s="106" t="n"/>
      <c r="CV286" s="178" t="n"/>
      <c r="CW286" s="111" t="n"/>
      <c r="CX286" s="112" t="n"/>
      <c r="CY286" s="111" t="n"/>
      <c r="CZ286" s="109" t="n"/>
      <c r="DA286" s="112" t="n"/>
      <c r="DB286" s="111" t="n"/>
      <c r="DC286" s="109" t="n"/>
      <c r="DD286" s="112" t="n"/>
      <c r="DE286" s="111" t="n"/>
      <c r="DF286" s="109" t="n"/>
      <c r="DG286" s="109" t="n"/>
      <c r="DH286" s="109" t="n"/>
      <c r="DI286" s="109" t="n"/>
      <c r="DJ286" s="109" t="n"/>
      <c r="DK286" s="109" t="n"/>
      <c r="DL286" s="109" t="n"/>
      <c r="DM286" s="109" t="n"/>
      <c r="DN286" s="109" t="n"/>
      <c r="DO286" s="112" t="n"/>
      <c r="DP286" s="111" t="n"/>
      <c r="DQ286" s="20">
        <f>SUM(CN286:DP286)</f>
        <v/>
      </c>
      <c r="DR286" s="20">
        <f>SUM(CV286:DP286)</f>
        <v/>
      </c>
      <c r="DS286" s="20">
        <f>IFERROR((IF(AND($F286="Produit Vente",CO286&gt;0),VLOOKUP($C286,'[1]Paramètres Articles'!$B:$H,7,FALSE)*$CO286)*(1-20%)),0)</f>
        <v/>
      </c>
      <c r="DT286" s="20">
        <f>IFERROR((IF(AND($F286="Produit Vente",DR286&gt;0),VLOOKUP($C286,'[1]Paramètres Articles'!$B:$H,6,FALSE)*$DR286)*(1-15%)),0)</f>
        <v/>
      </c>
    </row>
    <row r="287" hidden="1" outlineLevel="1" collapsed="1" ht="12.95" customHeight="1">
      <c r="B287" s="1">
        <f>IF(C287="",0,COUNTIFS($B$22:B286,"&gt;"&amp;0)+1)</f>
        <v/>
      </c>
      <c r="C287" s="90" t="n">
        <v>1020718</v>
      </c>
      <c r="D287" s="91">
        <f>IFERROR(IF($C287="","",VLOOKUP($C287,'[1]Paramètres Articles'!$B:$G,2,FALSE)),"Non Trouvé")</f>
        <v/>
      </c>
      <c r="E287" s="92">
        <f>IFERROR(IF($C287="","",_xlfn.XLOOKUP(REGENERANTS!$C287,'[1]New Base PA'!$F:$F,'[1]New Base PA'!$D:$D,"Not Found",0)),"Non Trouvé")</f>
        <v/>
      </c>
      <c r="F287" s="93" t="inlineStr">
        <is>
          <t>Produit Vente</t>
        </is>
      </c>
      <c r="H287" s="106">
        <f>12*11%</f>
        <v/>
      </c>
      <c r="J287" s="95">
        <f>IFERROR(IF($C287="","",VLOOKUP($C287,'[1]New Base PA'!$F:$J,5,FALSE)),"Non Trouvé")</f>
        <v/>
      </c>
      <c r="K287" s="136">
        <f>IFERROR(IF($C287="","",$J287*$H287),"Non Trouvé")</f>
        <v/>
      </c>
      <c r="L287" s="137" t="n"/>
      <c r="M287" s="136">
        <f>IFERROR(IF(AND($F287="Produit Vente",H287&gt;0),VLOOKUP($C287,'[1]Paramètres Articles'!$B:$G,6,FALSE),0),"Non Trouvé")</f>
        <v/>
      </c>
      <c r="N287" s="136">
        <f>IFERROR(IF($C287="","",$M287*$H287),"Non Trouvé")</f>
        <v/>
      </c>
      <c r="P287" s="97" t="n"/>
      <c r="R287" s="95">
        <f>IFERROR(IF($C287="","",$N287*(1-$P287)),"Non Trouvé")</f>
        <v/>
      </c>
      <c r="S287" s="96" t="n"/>
      <c r="T287" s="95">
        <f>IFERROR(IF($C287="","",VLOOKUP($C287,'[1]Paramètres Articles'!$B:$H,7,FALSE)),"Non Trouvé")</f>
        <v/>
      </c>
      <c r="U287" s="98" t="n"/>
      <c r="V287" s="95">
        <f>IFERROR(IF($C287="","",IF($P287="","",$T287*(1-$P287))),"Non Trouvé")</f>
        <v/>
      </c>
      <c r="W287" s="96" t="n"/>
      <c r="X287" s="95">
        <f>IFERROR(T287-V287,"")</f>
        <v/>
      </c>
      <c r="Y287" s="96" t="n"/>
      <c r="Z287" s="95">
        <f>IFERROR(IF(OR(T287=0,T287=""),0,T287*H287),"Non Trouvé")</f>
        <v/>
      </c>
      <c r="AB287" s="99">
        <f>AB285</f>
        <v/>
      </c>
      <c r="AC287" s="99">
        <f>AC285</f>
        <v/>
      </c>
      <c r="AD287" s="95">
        <f>IFERROR(IF($C287="","",IF($P$15="Cascade",$R287*(1-AC287)*AB287,IF($P$15="Additionnelle",($N287-($N287*($P287+AC287)))*AB287))),"Non Trouvé")</f>
        <v/>
      </c>
      <c r="AG287" s="99">
        <f>AG285</f>
        <v/>
      </c>
      <c r="AH287" s="99">
        <f>AH285</f>
        <v/>
      </c>
      <c r="AI287" s="95">
        <f>IFERROR(IF($C287="","",IF($P$15="Cascade",$R287*(1-AH287)*AG287,IF($P$15="Additionnelle",($N287-($N287*($P287+AH287)))*AG287))),"Non Trouvé")</f>
        <v/>
      </c>
      <c r="AL287" s="99">
        <f>AL285</f>
        <v/>
      </c>
      <c r="AM287" s="99">
        <f>AM285</f>
        <v/>
      </c>
      <c r="AN287" s="95">
        <f>IFERROR(IF($C287="","",IF($P$15="Cascade",$R287*(1-AM287)*AL287,IF($P$15="Additionnelle",($N287-($N287*($P287+AM287)))*AL287))),"Non Trouvé")</f>
        <v/>
      </c>
      <c r="AQ287" s="99">
        <f>AQ285</f>
        <v/>
      </c>
      <c r="AR287" s="99">
        <f>AR285</f>
        <v/>
      </c>
      <c r="AS287" s="95">
        <f>IFERROR(IF($C287="","",IF($P$15="Cascade",$R287*(1-AR287)*AQ287,IF($P$15="Additionnelle",($N287-($N287*($P287+AR287)))*AQ287))),"Non Trouvé")</f>
        <v/>
      </c>
      <c r="AV287" s="99">
        <f>AV285</f>
        <v/>
      </c>
      <c r="AW287" s="99">
        <f>AW285</f>
        <v/>
      </c>
      <c r="AX287" s="95">
        <f>IFERROR(IF($C287="","",IF($P$15="Cascade",$R287*(1-AW287)*AV287,IF($P$15="Additionnelle",($N287-($N287*($P287+AW287)))*AV287))),"Non Trouvé")</f>
        <v/>
      </c>
      <c r="BA287" s="99">
        <f>BA285</f>
        <v/>
      </c>
      <c r="BB287" s="99">
        <f>BB285</f>
        <v/>
      </c>
      <c r="BC287" s="95">
        <f>IFERROR(IF($C287="","",IF($P$15="Cascade",$R287*(1-BB287)*BA287,IF($P$15="Additionnelle",($N287-($N287*($P287+BB287)))*BA287))),"Non Trouvé")</f>
        <v/>
      </c>
      <c r="BF287" s="99">
        <f>BF285</f>
        <v/>
      </c>
      <c r="BG287" s="99">
        <f>BG285</f>
        <v/>
      </c>
      <c r="BH287" s="95">
        <f>IFERROR(IF($C287="","",IF($P$15="Cascade",$R287*(1-BG287)*BF287,IF($P$15="Additionnelle",($N287-($N287*($P287+BG287)))*BF287))),"Non Trouvé")</f>
        <v/>
      </c>
      <c r="BK287" s="99">
        <f>BK285</f>
        <v/>
      </c>
      <c r="BL287" s="99">
        <f>BL285</f>
        <v/>
      </c>
      <c r="BM287" s="95">
        <f>IFERROR(IF($C287="","",IF($P$15="Cascade",$R287*(1-BL287)*BK287,IF($P$15="Additionnelle",($N287-($N287*($P287+BL287)))*BK287))),"Non Trouvé")</f>
        <v/>
      </c>
      <c r="BP287" s="99">
        <f>BP285</f>
        <v/>
      </c>
      <c r="BQ287" s="99">
        <f>BQ285</f>
        <v/>
      </c>
      <c r="BR287" s="95">
        <f>IFERROR(IF($C287="","",IF($P$15="Cascade",$R287*(1-BQ287)*BP287,IF($P$15="Additionnelle",($N287-($N287*($P287+BQ287)))*BP287))),"Non Trouvé")</f>
        <v/>
      </c>
      <c r="BU287" s="99">
        <f>BU285</f>
        <v/>
      </c>
      <c r="BV287" s="99">
        <f>BV285</f>
        <v/>
      </c>
      <c r="BW287" s="95">
        <f>IFERROR(IF($C287="","",IF($P$15="Cascade",$R287*(1-BV287)*BU287,IF($P$15="Additionnelle",($N287-($N287*($P287+BV287)))*BU287))),"Non Trouvé")</f>
        <v/>
      </c>
      <c r="BZ287" s="99">
        <f>BZ285</f>
        <v/>
      </c>
      <c r="CA287" s="99">
        <f>CA285</f>
        <v/>
      </c>
      <c r="CB287" s="95">
        <f>IFERROR(IF($C287="","",IF($P$15="Cascade",$R287*(1-CA287)*BZ287,IF($P$15="Additionnelle",($N287-($N287*($P287+CA287)))*BZ287))),"Non Trouvé")</f>
        <v/>
      </c>
      <c r="CE287" s="100" t="n"/>
      <c r="CF287" s="101" t="n"/>
      <c r="CG287" s="102" t="n"/>
      <c r="CH287" s="102" t="n"/>
      <c r="CI287" s="103" t="n"/>
      <c r="CK287" s="104">
        <f>IFERROR(IF(F287='[1]Paramètres Généraux'!$K$12,ROUNDUP((REGENERANTS!H287*REGENERANTS!$CF$275)*'[1]Paramètres Généraux'!$M$12,-1),REGENERANTS!H287*REGENERANTS!$CF$275),"nd")</f>
        <v/>
      </c>
      <c r="CN287" s="105" t="n"/>
      <c r="CO287" s="106" t="n"/>
      <c r="CP287" s="106" t="n"/>
      <c r="CQ287" s="106" t="n"/>
      <c r="CR287" s="106" t="n"/>
      <c r="CS287" s="178" t="n"/>
      <c r="CT287" s="179" t="n"/>
      <c r="CU287" s="106" t="n"/>
      <c r="CV287" s="178" t="n"/>
      <c r="CW287" s="111" t="n"/>
      <c r="CX287" s="112" t="n"/>
      <c r="CY287" s="111" t="n"/>
      <c r="CZ287" s="109" t="n"/>
      <c r="DA287" s="112" t="n"/>
      <c r="DB287" s="111" t="n"/>
      <c r="DC287" s="109" t="n"/>
      <c r="DD287" s="112" t="n"/>
      <c r="DE287" s="111" t="n"/>
      <c r="DF287" s="109" t="n"/>
      <c r="DG287" s="109" t="n"/>
      <c r="DH287" s="109" t="n"/>
      <c r="DI287" s="109" t="n"/>
      <c r="DJ287" s="109" t="n"/>
      <c r="DK287" s="109" t="n"/>
      <c r="DL287" s="109" t="n"/>
      <c r="DM287" s="109" t="n"/>
      <c r="DN287" s="109" t="n"/>
      <c r="DO287" s="112" t="n"/>
      <c r="DP287" s="111" t="n"/>
      <c r="DQ287" s="20">
        <f>SUM(CN287:DP287)</f>
        <v/>
      </c>
      <c r="DR287" s="20">
        <f>SUM(CV287:DP287)</f>
        <v/>
      </c>
      <c r="DS287" s="20">
        <f>IFERROR((IF(AND($F287="Produit Vente",CO287&gt;0),VLOOKUP($C287,'[1]Paramètres Articles'!$B:$H,7,FALSE)*$CO287)*(1-20%)),0)</f>
        <v/>
      </c>
      <c r="DT287" s="20">
        <f>IFERROR((IF(AND($F287="Produit Vente",DR287&gt;0),VLOOKUP($C287,'[1]Paramètres Articles'!$B:$H,6,FALSE)*$DR287)*(1-15%)),0)</f>
        <v/>
      </c>
    </row>
    <row r="288" hidden="1" outlineLevel="1" collapsed="1" ht="12.95" customHeight="1">
      <c r="B288" s="1">
        <f>IF(C288="",0,COUNTIFS($B$22:B287,"&gt;"&amp;0)+1)</f>
        <v/>
      </c>
      <c r="C288" s="90" t="n">
        <v>1020301</v>
      </c>
      <c r="D288" s="91">
        <f>IFERROR(IF($C288="","",VLOOKUP($C288,'[1]Paramètres Articles'!$B:$G,2,FALSE)),"Non Trouvé")</f>
        <v/>
      </c>
      <c r="E288" s="92">
        <f>IFERROR(IF($C288="","",_xlfn.XLOOKUP(REGENERANTS!$C288,'[1]New Base PA'!$F:$F,'[1]New Base PA'!$D:$D,"Not Found",0)),"Non Trouvé")</f>
        <v/>
      </c>
      <c r="F288" s="93" t="inlineStr">
        <is>
          <t>Produit Vente</t>
        </is>
      </c>
      <c r="H288" s="106">
        <f>12*17%</f>
        <v/>
      </c>
      <c r="J288" s="95">
        <f>IFERROR(IF($C288="","",VLOOKUP($C288,'[1]New Base PA'!$F:$J,5,FALSE)),"Non Trouvé")</f>
        <v/>
      </c>
      <c r="K288" s="136">
        <f>IFERROR(IF($C288="","",$J288*$H288),"Non Trouvé")</f>
        <v/>
      </c>
      <c r="L288" s="137" t="n"/>
      <c r="M288" s="136">
        <f>IFERROR(IF(AND($F288="Produit Vente",H288&gt;0),VLOOKUP($C288,'[1]Paramètres Articles'!$B:$G,6,FALSE),0),"Non Trouvé")</f>
        <v/>
      </c>
      <c r="N288" s="136">
        <f>IFERROR(IF($C288="","",$M288*$H288),"Non Trouvé")</f>
        <v/>
      </c>
      <c r="P288" s="97" t="n"/>
      <c r="R288" s="95">
        <f>IFERROR(IF($C288="","",$N288*(1-$P288)),"Non Trouvé")</f>
        <v/>
      </c>
      <c r="S288" s="96" t="n"/>
      <c r="T288" s="95">
        <f>IFERROR(IF($C288="","",VLOOKUP($C288,'[1]Paramètres Articles'!$B:$H,7,FALSE)),"Non Trouvé")</f>
        <v/>
      </c>
      <c r="U288" s="98" t="n"/>
      <c r="V288" s="95">
        <f>IFERROR(IF($C288="","",IF($P288="","",$T288*(1-$P288))),"Non Trouvé")</f>
        <v/>
      </c>
      <c r="W288" s="96" t="n"/>
      <c r="X288" s="95">
        <f>IFERROR(T288-V288,"")</f>
        <v/>
      </c>
      <c r="Y288" s="96" t="n"/>
      <c r="Z288" s="95">
        <f>IFERROR(IF(OR(T288=0,T288=""),0,T288*H288),"Non Trouvé")</f>
        <v/>
      </c>
      <c r="AB288" s="99">
        <f>AB287</f>
        <v/>
      </c>
      <c r="AC288" s="99">
        <f>AC287</f>
        <v/>
      </c>
      <c r="AD288" s="95">
        <f>IFERROR(IF($C288="","",IF($P$15="Cascade",$R288*(1-AC288)*AB288,IF($P$15="Additionnelle",($N288-($N288*($P288+AC288)))*AB288))),"Non Trouvé")</f>
        <v/>
      </c>
      <c r="AG288" s="99">
        <f>AG287</f>
        <v/>
      </c>
      <c r="AH288" s="99">
        <f>AH287</f>
        <v/>
      </c>
      <c r="AI288" s="95">
        <f>IFERROR(IF($C288="","",IF($P$15="Cascade",$R288*(1-AH288)*AG288,IF($P$15="Additionnelle",($N288-($N288*($P288+AH288)))*AG288))),"Non Trouvé")</f>
        <v/>
      </c>
      <c r="AL288" s="99">
        <f>AL287</f>
        <v/>
      </c>
      <c r="AM288" s="99">
        <f>AM287</f>
        <v/>
      </c>
      <c r="AN288" s="95">
        <f>IFERROR(IF($C288="","",IF($P$15="Cascade",$R288*(1-AM288)*AL288,IF($P$15="Additionnelle",($N288-($N288*($P288+AM288)))*AL288))),"Non Trouvé")</f>
        <v/>
      </c>
      <c r="AQ288" s="99">
        <f>AQ287</f>
        <v/>
      </c>
      <c r="AR288" s="99">
        <f>AR287</f>
        <v/>
      </c>
      <c r="AS288" s="95">
        <f>IFERROR(IF($C288="","",IF($P$15="Cascade",$R288*(1-AR288)*AQ288,IF($P$15="Additionnelle",($N288-($N288*($P288+AR288)))*AQ288))),"Non Trouvé")</f>
        <v/>
      </c>
      <c r="AV288" s="99">
        <f>AV287</f>
        <v/>
      </c>
      <c r="AW288" s="99">
        <f>AW287</f>
        <v/>
      </c>
      <c r="AX288" s="95">
        <f>IFERROR(IF($C288="","",IF($P$15="Cascade",$R288*(1-AW288)*AV288,IF($P$15="Additionnelle",($N288-($N288*($P288+AW288)))*AV288))),"Non Trouvé")</f>
        <v/>
      </c>
      <c r="BA288" s="99">
        <f>BA287</f>
        <v/>
      </c>
      <c r="BB288" s="99">
        <f>BB287</f>
        <v/>
      </c>
      <c r="BC288" s="95">
        <f>IFERROR(IF($C288="","",IF($P$15="Cascade",$R288*(1-BB288)*BA288,IF($P$15="Additionnelle",($N288-($N288*($P288+BB288)))*BA288))),"Non Trouvé")</f>
        <v/>
      </c>
      <c r="BF288" s="99">
        <f>BF287</f>
        <v/>
      </c>
      <c r="BG288" s="99">
        <f>BG287</f>
        <v/>
      </c>
      <c r="BH288" s="95">
        <f>IFERROR(IF($C288="","",IF($P$15="Cascade",$R288*(1-BG288)*BF288,IF($P$15="Additionnelle",($N288-($N288*($P288+BG288)))*BF288))),"Non Trouvé")</f>
        <v/>
      </c>
      <c r="BK288" s="99">
        <f>BK287</f>
        <v/>
      </c>
      <c r="BL288" s="99">
        <f>BL287</f>
        <v/>
      </c>
      <c r="BM288" s="95">
        <f>IFERROR(IF($C288="","",IF($P$15="Cascade",$R288*(1-BL288)*BK288,IF($P$15="Additionnelle",($N288-($N288*($P288+BL288)))*BK288))),"Non Trouvé")</f>
        <v/>
      </c>
      <c r="BP288" s="99">
        <f>BP287</f>
        <v/>
      </c>
      <c r="BQ288" s="99">
        <f>BQ287</f>
        <v/>
      </c>
      <c r="BR288" s="95">
        <f>IFERROR(IF($C288="","",IF($P$15="Cascade",$R288*(1-BQ288)*BP288,IF($P$15="Additionnelle",($N288-($N288*($P288+BQ288)))*BP288))),"Non Trouvé")</f>
        <v/>
      </c>
      <c r="BU288" s="99">
        <f>BU287</f>
        <v/>
      </c>
      <c r="BV288" s="99">
        <f>BV287</f>
        <v/>
      </c>
      <c r="BW288" s="95">
        <f>IFERROR(IF($C288="","",IF($P$15="Cascade",$R288*(1-BV288)*BU288,IF($P$15="Additionnelle",($N288-($N288*($P288+BV288)))*BU288))),"Non Trouvé")</f>
        <v/>
      </c>
      <c r="BZ288" s="99">
        <f>BZ287</f>
        <v/>
      </c>
      <c r="CA288" s="99">
        <f>CA287</f>
        <v/>
      </c>
      <c r="CB288" s="95">
        <f>IFERROR(IF($C288="","",IF($P$15="Cascade",$R288*(1-CA288)*BZ288,IF($P$15="Additionnelle",($N288-($N288*($P288+CA288)))*BZ288))),"Non Trouvé")</f>
        <v/>
      </c>
      <c r="CE288" s="100" t="n"/>
      <c r="CF288" s="133" t="n"/>
      <c r="CG288" s="102" t="n"/>
      <c r="CH288" s="102" t="n"/>
      <c r="CI288" s="103" t="n"/>
      <c r="CK288" s="104">
        <f>IFERROR(IF(F288='[1]Paramètres Généraux'!$K$12,ROUNDUP((REGENERANTS!H288*REGENERANTS!$CF$275)*'[1]Paramètres Généraux'!$M$12,-1),REGENERANTS!H288*REGENERANTS!$CF$275),"nd")</f>
        <v/>
      </c>
      <c r="CN288" s="105" t="n"/>
      <c r="CO288" s="106" t="n"/>
      <c r="CP288" s="106" t="n"/>
      <c r="CQ288" s="106" t="n"/>
      <c r="CR288" s="106" t="n"/>
      <c r="CS288" s="178" t="n"/>
      <c r="CT288" s="179" t="n"/>
      <c r="CU288" s="106" t="n"/>
      <c r="CV288" s="178" t="n"/>
      <c r="CW288" s="111" t="n"/>
      <c r="CX288" s="112" t="n"/>
      <c r="CY288" s="111" t="n"/>
      <c r="CZ288" s="109" t="n"/>
      <c r="DA288" s="112" t="n"/>
      <c r="DB288" s="111" t="n"/>
      <c r="DC288" s="109" t="n"/>
      <c r="DD288" s="112" t="n"/>
      <c r="DE288" s="111" t="n"/>
      <c r="DF288" s="109" t="n"/>
      <c r="DG288" s="109" t="n"/>
      <c r="DH288" s="109" t="n"/>
      <c r="DI288" s="109" t="n"/>
      <c r="DJ288" s="109" t="n"/>
      <c r="DK288" s="109" t="n"/>
      <c r="DL288" s="109" t="n"/>
      <c r="DM288" s="109" t="n"/>
      <c r="DN288" s="109" t="n"/>
      <c r="DO288" s="112" t="n"/>
      <c r="DP288" s="111" t="n"/>
      <c r="DQ288" s="20">
        <f>SUM(CN288:DP288)</f>
        <v/>
      </c>
      <c r="DR288" s="20">
        <f>SUM(CV288:DP288)</f>
        <v/>
      </c>
      <c r="DS288" s="20">
        <f>IFERROR((IF(AND($F288="Produit Vente",CO288&gt;0),VLOOKUP($C288,'[1]Paramètres Articles'!$B:$H,7,FALSE)*$CO288)*(1-20%)),0)</f>
        <v/>
      </c>
      <c r="DT288" s="20">
        <f>IFERROR((IF(AND($F288="Produit Vente",DR288&gt;0),VLOOKUP($C288,'[1]Paramètres Articles'!$B:$H,6,FALSE)*$DR288)*(1-15%)),0)</f>
        <v/>
      </c>
    </row>
    <row r="289" hidden="1" outlineLevel="1" collapsed="1" ht="12.95" customHeight="1">
      <c r="B289" s="1">
        <f>IF(C289="",0,COUNTIFS($B$22:B288,"&gt;"&amp;0)+1)</f>
        <v/>
      </c>
      <c r="C289" s="90" t="n">
        <v>1020720</v>
      </c>
      <c r="D289" s="91">
        <f>IFERROR(IF($C289="","",VLOOKUP($C289,'[1]Paramètres Articles'!$B:$G,2,FALSE)),"Non Trouvé")</f>
        <v/>
      </c>
      <c r="E289" s="92">
        <f>IFERROR(IF($C289="","",_xlfn.XLOOKUP(REGENERANTS!$C289,'[1]New Base PA'!$F:$F,'[1]New Base PA'!$D:$D,"Not Found",0)),"Non Trouvé")</f>
        <v/>
      </c>
      <c r="F289" s="93" t="inlineStr">
        <is>
          <t>Produit Vente</t>
        </is>
      </c>
      <c r="H289" s="106">
        <f>12*17%</f>
        <v/>
      </c>
      <c r="J289" s="95">
        <f>IFERROR(IF($C289="","",VLOOKUP($C289,'[1]New Base PA'!$F:$J,5,FALSE)),"Non Trouvé")</f>
        <v/>
      </c>
      <c r="K289" s="136">
        <f>IFERROR(IF($C289="","",$J289*$H289),"Non Trouvé")</f>
        <v/>
      </c>
      <c r="L289" s="137" t="n"/>
      <c r="M289" s="136">
        <f>IFERROR(IF(AND($F289="Produit Vente",H289&gt;0),VLOOKUP($C289,'[1]Paramètres Articles'!$B:$G,6,FALSE),0),"Non Trouvé")</f>
        <v/>
      </c>
      <c r="N289" s="136">
        <f>IFERROR(IF($C289="","",$M289*$H289),"Non Trouvé")</f>
        <v/>
      </c>
      <c r="P289" s="97" t="n"/>
      <c r="R289" s="95">
        <f>IFERROR(IF($C289="","",$N289*(1-$P289)),"Non Trouvé")</f>
        <v/>
      </c>
      <c r="S289" s="96" t="n"/>
      <c r="T289" s="95">
        <f>IFERROR(IF($C289="","",VLOOKUP($C289,'[1]Paramètres Articles'!$B:$H,7,FALSE)),"Non Trouvé")</f>
        <v/>
      </c>
      <c r="U289" s="98" t="n"/>
      <c r="V289" s="95">
        <f>IFERROR(IF($C289="","",IF($P289="","",$T289*(1-$P289))),"Non Trouvé")</f>
        <v/>
      </c>
      <c r="W289" s="96" t="n"/>
      <c r="X289" s="95">
        <f>IFERROR(T289-V289,"")</f>
        <v/>
      </c>
      <c r="Y289" s="96" t="n"/>
      <c r="Z289" s="95">
        <f>IFERROR(IF(OR(T289=0,T289=""),0,T289*H289),"Non Trouvé")</f>
        <v/>
      </c>
      <c r="AB289" s="99">
        <f>AB287</f>
        <v/>
      </c>
      <c r="AC289" s="99">
        <f>AC287</f>
        <v/>
      </c>
      <c r="AD289" s="95">
        <f>IFERROR(IF($C289="","",IF($P$15="Cascade",$R289*(1-AC289)*AB289,IF($P$15="Additionnelle",($N289-($N289*($P289+AC289)))*AB289))),"Non Trouvé")</f>
        <v/>
      </c>
      <c r="AG289" s="99">
        <f>AG287</f>
        <v/>
      </c>
      <c r="AH289" s="99">
        <f>AH287</f>
        <v/>
      </c>
      <c r="AI289" s="95">
        <f>IFERROR(IF($C289="","",IF($P$15="Cascade",$R289*(1-AH289)*AG289,IF($P$15="Additionnelle",($N289-($N289*($P289+AH289)))*AG289))),"Non Trouvé")</f>
        <v/>
      </c>
      <c r="AL289" s="99">
        <f>AL287</f>
        <v/>
      </c>
      <c r="AM289" s="99">
        <f>AM287</f>
        <v/>
      </c>
      <c r="AN289" s="95">
        <f>IFERROR(IF($C289="","",IF($P$15="Cascade",$R289*(1-AM289)*AL289,IF($P$15="Additionnelle",($N289-($N289*($P289+AM289)))*AL289))),"Non Trouvé")</f>
        <v/>
      </c>
      <c r="AQ289" s="99">
        <f>AQ287</f>
        <v/>
      </c>
      <c r="AR289" s="99">
        <f>AR287</f>
        <v/>
      </c>
      <c r="AS289" s="95">
        <f>IFERROR(IF($C289="","",IF($P$15="Cascade",$R289*(1-AR289)*AQ289,IF($P$15="Additionnelle",($N289-($N289*($P289+AR289)))*AQ289))),"Non Trouvé")</f>
        <v/>
      </c>
      <c r="AV289" s="99">
        <f>AV287</f>
        <v/>
      </c>
      <c r="AW289" s="99">
        <f>AW287</f>
        <v/>
      </c>
      <c r="AX289" s="95">
        <f>IFERROR(IF($C289="","",IF($P$15="Cascade",$R289*(1-AW289)*AV289,IF($P$15="Additionnelle",($N289-($N289*($P289+AW289)))*AV289))),"Non Trouvé")</f>
        <v/>
      </c>
      <c r="BA289" s="99">
        <f>BA287</f>
        <v/>
      </c>
      <c r="BB289" s="99">
        <f>BB287</f>
        <v/>
      </c>
      <c r="BC289" s="95">
        <f>IFERROR(IF($C289="","",IF($P$15="Cascade",$R289*(1-BB289)*BA289,IF($P$15="Additionnelle",($N289-($N289*($P289+BB289)))*BA289))),"Non Trouvé")</f>
        <v/>
      </c>
      <c r="BF289" s="99">
        <f>BF287</f>
        <v/>
      </c>
      <c r="BG289" s="99">
        <f>BG287</f>
        <v/>
      </c>
      <c r="BH289" s="95">
        <f>IFERROR(IF($C289="","",IF($P$15="Cascade",$R289*(1-BG289)*BF289,IF($P$15="Additionnelle",($N289-($N289*($P289+BG289)))*BF289))),"Non Trouvé")</f>
        <v/>
      </c>
      <c r="BK289" s="99">
        <f>BK287</f>
        <v/>
      </c>
      <c r="BL289" s="99">
        <f>BL287</f>
        <v/>
      </c>
      <c r="BM289" s="95">
        <f>IFERROR(IF($C289="","",IF($P$15="Cascade",$R289*(1-BL289)*BK289,IF($P$15="Additionnelle",($N289-($N289*($P289+BL289)))*BK289))),"Non Trouvé")</f>
        <v/>
      </c>
      <c r="BP289" s="99">
        <f>BP287</f>
        <v/>
      </c>
      <c r="BQ289" s="99">
        <f>BQ287</f>
        <v/>
      </c>
      <c r="BR289" s="95">
        <f>IFERROR(IF($C289="","",IF($P$15="Cascade",$R289*(1-BQ289)*BP289,IF($P$15="Additionnelle",($N289-($N289*($P289+BQ289)))*BP289))),"Non Trouvé")</f>
        <v/>
      </c>
      <c r="BU289" s="99">
        <f>BU287</f>
        <v/>
      </c>
      <c r="BV289" s="99">
        <f>BV287</f>
        <v/>
      </c>
      <c r="BW289" s="95">
        <f>IFERROR(IF($C289="","",IF($P$15="Cascade",$R289*(1-BV289)*BU289,IF($P$15="Additionnelle",($N289-($N289*($P289+BV289)))*BU289))),"Non Trouvé")</f>
        <v/>
      </c>
      <c r="BZ289" s="99">
        <f>BZ287</f>
        <v/>
      </c>
      <c r="CA289" s="99">
        <f>CA287</f>
        <v/>
      </c>
      <c r="CB289" s="95">
        <f>IFERROR(IF($C289="","",IF($P$15="Cascade",$R289*(1-CA289)*BZ289,IF($P$15="Additionnelle",($N289-($N289*($P289+CA289)))*BZ289))),"Non Trouvé")</f>
        <v/>
      </c>
      <c r="CE289" s="100" t="n"/>
      <c r="CF289" s="102" t="n"/>
      <c r="CG289" s="133" t="inlineStr">
        <is>
          <t>Retail</t>
        </is>
      </c>
      <c r="CH289" s="102" t="n"/>
      <c r="CI289" s="103" t="n"/>
      <c r="CK289" s="104">
        <f>IFERROR(IF(F289='[1]Paramètres Généraux'!$K$12,ROUNDUP((REGENERANTS!H289*REGENERANTS!$CF$275)*'[1]Paramètres Généraux'!$M$12,-1),REGENERANTS!H289*REGENERANTS!$CF$275),"nd")</f>
        <v/>
      </c>
      <c r="CN289" s="105" t="n"/>
      <c r="CO289" s="106" t="n"/>
      <c r="CP289" s="106" t="n"/>
      <c r="CQ289" s="106" t="n"/>
      <c r="CR289" s="106" t="n"/>
      <c r="CS289" s="178" t="n"/>
      <c r="CT289" s="179" t="n"/>
      <c r="CU289" s="106" t="n"/>
      <c r="CV289" s="178" t="n"/>
      <c r="CW289" s="111" t="n"/>
      <c r="CX289" s="112" t="n"/>
      <c r="CY289" s="111" t="n"/>
      <c r="CZ289" s="109" t="n"/>
      <c r="DA289" s="112" t="n"/>
      <c r="DB289" s="111" t="n"/>
      <c r="DC289" s="109" t="n"/>
      <c r="DD289" s="112" t="n"/>
      <c r="DE289" s="111" t="n"/>
      <c r="DF289" s="109" t="n"/>
      <c r="DG289" s="109" t="n"/>
      <c r="DH289" s="109" t="n"/>
      <c r="DI289" s="109" t="n"/>
      <c r="DJ289" s="109" t="n"/>
      <c r="DK289" s="109" t="n"/>
      <c r="DL289" s="109" t="n"/>
      <c r="DM289" s="109" t="n"/>
      <c r="DN289" s="109" t="n"/>
      <c r="DO289" s="112" t="n"/>
      <c r="DP289" s="111" t="n"/>
      <c r="DQ289" s="20">
        <f>SUM(CN289:DP289)</f>
        <v/>
      </c>
      <c r="DR289" s="20">
        <f>SUM(CV289:DP289)</f>
        <v/>
      </c>
      <c r="DS289" s="20">
        <f>IFERROR((IF(AND($F289="Produit Vente",CO289&gt;0),VLOOKUP($C289,'[1]Paramètres Articles'!$B:$H,7,FALSE)*$CO289)*(1-20%)),0)</f>
        <v/>
      </c>
      <c r="DT289" s="20">
        <f>IFERROR((IF(AND($F289="Produit Vente",DR289&gt;0),VLOOKUP($C289,'[1]Paramètres Articles'!$B:$H,6,FALSE)*$DR289)*(1-15%)),0)</f>
        <v/>
      </c>
    </row>
    <row r="290" hidden="1" outlineLevel="1" collapsed="1" ht="12.95" customHeight="1">
      <c r="B290" s="1">
        <f>IF(C290="",0,COUNTIFS($B$22:B289,"&gt;"&amp;0)+1)</f>
        <v/>
      </c>
      <c r="C290" s="90" t="inlineStr">
        <is>
          <t>PANNEAU REGE</t>
        </is>
      </c>
      <c r="D290" s="91">
        <f>IFERROR(IF($C290="","",VLOOKUP($C290,'[1]Paramètres Articles'!$B:$G,2,FALSE)),"Non Trouvé")</f>
        <v/>
      </c>
      <c r="E290" s="92">
        <f>IFERROR(IF($C290="","",_xlfn.XLOOKUP(REGENERANTS!$C290,'[1]New Base PA'!$F:$F,'[1]New Base PA'!$D:$D,"Not Found",0)),"Non Trouvé")</f>
        <v/>
      </c>
      <c r="F290" s="93" t="inlineStr">
        <is>
          <t>PLV (vitrine)</t>
        </is>
      </c>
      <c r="H290" s="106" t="n">
        <v>0</v>
      </c>
      <c r="J290" s="95">
        <f>IFERROR(IF($C290="","",VLOOKUP($C290,'[1]New Base PA'!$F:$J,5,FALSE)),"Non Trouvé")</f>
        <v/>
      </c>
      <c r="K290" s="136">
        <f>IFERROR(IF($C290="","",$J290*$H290),"Non Trouvé")</f>
        <v/>
      </c>
      <c r="L290" s="137" t="n"/>
      <c r="M290" s="136">
        <f>IFERROR(IF(AND($F290="Produit Vente",H290&gt;0),VLOOKUP($C290,'[1]Paramètres Articles'!$B:$G,6,FALSE),0),"Non Trouvé")</f>
        <v/>
      </c>
      <c r="N290" s="136">
        <f>IFERROR(IF($C290="","",$M290*$H290),"Non Trouvé")</f>
        <v/>
      </c>
      <c r="P290" s="97" t="n"/>
      <c r="R290" s="95">
        <f>IFERROR(IF($C290="","",$N290*(1-$P290)),"Non Trouvé")</f>
        <v/>
      </c>
      <c r="S290" s="96" t="n"/>
      <c r="T290" s="95">
        <f>IFERROR(IF($C290="","",VLOOKUP($C290,'[1]Paramètres Articles'!$B:$H,7,FALSE)),"Non Trouvé")</f>
        <v/>
      </c>
      <c r="U290" s="98" t="n"/>
      <c r="V290" s="95">
        <f>IFERROR(IF($C290="","",IF($P290="","",$T290*(1-$P290))),"Non Trouvé")</f>
        <v/>
      </c>
      <c r="W290" s="96" t="n"/>
      <c r="X290" s="95">
        <f>IFERROR(T290-V290,"")</f>
        <v/>
      </c>
      <c r="Y290" s="96" t="n"/>
      <c r="Z290" s="95">
        <f>IFERROR(IF(OR(T290=0,T290=""),0,T290*H290),"Non Trouvé")</f>
        <v/>
      </c>
      <c r="AB290" s="99">
        <f>AB289</f>
        <v/>
      </c>
      <c r="AC290" s="99">
        <f>AC289</f>
        <v/>
      </c>
      <c r="AD290" s="95">
        <f>IFERROR(IF($C290="","",IF($P$15="Cascade",$R290*(1-AC290)*AB290,IF($P$15="Additionnelle",($N290-($N290*($P290+AC290)))*AB290))),"Non Trouvé")</f>
        <v/>
      </c>
      <c r="AG290" s="99">
        <f>AG289</f>
        <v/>
      </c>
      <c r="AH290" s="99">
        <f>AH289</f>
        <v/>
      </c>
      <c r="AI290" s="95">
        <f>IFERROR(IF($C290="","",IF($P$15="Cascade",$R290*(1-AH290)*AG290,IF($P$15="Additionnelle",($N290-($N290*($P290+AH290)))*AG290))),"Non Trouvé")</f>
        <v/>
      </c>
      <c r="AL290" s="99">
        <f>AL289</f>
        <v/>
      </c>
      <c r="AM290" s="99">
        <f>AM289</f>
        <v/>
      </c>
      <c r="AN290" s="95">
        <f>IFERROR(IF($C290="","",IF($P$15="Cascade",$R290*(1-AM290)*AL290,IF($P$15="Additionnelle",($N290-($N290*($P290+AM290)))*AL290))),"Non Trouvé")</f>
        <v/>
      </c>
      <c r="AQ290" s="99">
        <f>AQ289</f>
        <v/>
      </c>
      <c r="AR290" s="99">
        <f>AR289</f>
        <v/>
      </c>
      <c r="AS290" s="95">
        <f>IFERROR(IF($C290="","",IF($P$15="Cascade",$R290*(1-AR290)*AQ290,IF($P$15="Additionnelle",($N290-($N290*($P290+AR290)))*AQ290))),"Non Trouvé")</f>
        <v/>
      </c>
      <c r="AV290" s="99">
        <f>AV289</f>
        <v/>
      </c>
      <c r="AW290" s="99">
        <f>AW289</f>
        <v/>
      </c>
      <c r="AX290" s="95">
        <f>IFERROR(IF($C290="","",IF($P$15="Cascade",$R290*(1-AW290)*AV290,IF($P$15="Additionnelle",($N290-($N290*($P290+AW290)))*AV290))),"Non Trouvé")</f>
        <v/>
      </c>
      <c r="BA290" s="99">
        <f>BA289</f>
        <v/>
      </c>
      <c r="BB290" s="99">
        <f>BB289</f>
        <v/>
      </c>
      <c r="BC290" s="95">
        <f>IFERROR(IF($C290="","",IF($P$15="Cascade",$R290*(1-BB290)*BA290,IF($P$15="Additionnelle",($N290-($N290*($P290+BB290)))*BA290))),"Non Trouvé")</f>
        <v/>
      </c>
      <c r="BF290" s="99">
        <f>BF289</f>
        <v/>
      </c>
      <c r="BG290" s="99">
        <f>BG289</f>
        <v/>
      </c>
      <c r="BH290" s="95">
        <f>IFERROR(IF($C290="","",IF($P$15="Cascade",$R290*(1-BG290)*BF290,IF($P$15="Additionnelle",($N290-($N290*($P290+BG290)))*BF290))),"Non Trouvé")</f>
        <v/>
      </c>
      <c r="BK290" s="99">
        <f>BK289</f>
        <v/>
      </c>
      <c r="BL290" s="99">
        <f>BL289</f>
        <v/>
      </c>
      <c r="BM290" s="95">
        <f>IFERROR(IF($C290="","",IF($P$15="Cascade",$R290*(1-BL290)*BK290,IF($P$15="Additionnelle",($N290-($N290*($P290+BL290)))*BK290))),"Non Trouvé")</f>
        <v/>
      </c>
      <c r="BP290" s="99">
        <f>BP289</f>
        <v/>
      </c>
      <c r="BQ290" s="99">
        <f>BQ289</f>
        <v/>
      </c>
      <c r="BR290" s="95">
        <f>IFERROR(IF($C290="","",IF($P$15="Cascade",$R290*(1-BQ290)*BP290,IF($P$15="Additionnelle",($N290-($N290*($P290+BQ290)))*BP290))),"Non Trouvé")</f>
        <v/>
      </c>
      <c r="BU290" s="99">
        <f>BU289</f>
        <v/>
      </c>
      <c r="BV290" s="99">
        <f>BV289</f>
        <v/>
      </c>
      <c r="BW290" s="95">
        <f>IFERROR(IF($C290="","",IF($P$15="Cascade",$R290*(1-BV290)*BU290,IF($P$15="Additionnelle",($N290-($N290*($P290+BV290)))*BU290))),"Non Trouvé")</f>
        <v/>
      </c>
      <c r="BZ290" s="99">
        <f>BZ289</f>
        <v/>
      </c>
      <c r="CA290" s="99">
        <f>CA289</f>
        <v/>
      </c>
      <c r="CB290" s="95">
        <f>IFERROR(IF($C290="","",IF($P$15="Cascade",$R290*(1-CA290)*BZ290,IF($P$15="Additionnelle",($N290-($N290*($P290+CA290)))*BZ290))),"Non Trouvé")</f>
        <v/>
      </c>
      <c r="CE290" s="100" t="n"/>
      <c r="CF290" s="138" t="n"/>
      <c r="CG290" s="102" t="inlineStr">
        <is>
          <t>Nbrs Offres planifiées</t>
        </is>
      </c>
      <c r="CH290" s="138">
        <f>SUMIFS($AB275:$AT275,$AB272:$AT272,CG290)+SUMIFS($BZ275:$CC275,$BZ272:$CC272,CG290)</f>
        <v/>
      </c>
      <c r="CI290" s="103" t="n"/>
      <c r="CK290" s="104">
        <f>IFERROR(IF(F290='[1]Paramètres Généraux'!$K$12,ROUNDUP((REGENERANTS!H290*REGENERANTS!$CF$275)*'[1]Paramètres Généraux'!$M$12,-1),REGENERANTS!H290*REGENERANTS!$CF$275),"nd")</f>
        <v/>
      </c>
      <c r="CN290" s="105" t="n"/>
      <c r="CO290" s="106" t="n"/>
      <c r="CP290" s="106" t="n"/>
      <c r="CQ290" s="106" t="n"/>
      <c r="CR290" s="106" t="n"/>
      <c r="CS290" s="178" t="n"/>
      <c r="CT290" s="179" t="n"/>
      <c r="CU290" s="106" t="n"/>
      <c r="CV290" s="178" t="n"/>
      <c r="CW290" s="111" t="n"/>
      <c r="CX290" s="112" t="n"/>
      <c r="CY290" s="111" t="n"/>
      <c r="CZ290" s="109" t="n"/>
      <c r="DA290" s="112" t="n"/>
      <c r="DB290" s="111" t="n"/>
      <c r="DC290" s="109" t="n"/>
      <c r="DD290" s="112" t="n"/>
      <c r="DE290" s="111" t="n"/>
      <c r="DF290" s="109" t="n"/>
      <c r="DG290" s="109" t="n"/>
      <c r="DH290" s="109" t="n"/>
      <c r="DI290" s="109" t="n"/>
      <c r="DJ290" s="109" t="n"/>
      <c r="DK290" s="109" t="n"/>
      <c r="DL290" s="109" t="n"/>
      <c r="DM290" s="109" t="n"/>
      <c r="DN290" s="109" t="n"/>
      <c r="DO290" s="112" t="n"/>
      <c r="DP290" s="111" t="n"/>
      <c r="DQ290" s="20">
        <f>SUM(CN290:DP290)</f>
        <v/>
      </c>
      <c r="DR290" s="20">
        <f>SUM(CV290:DP290)</f>
        <v/>
      </c>
      <c r="DS290" s="20">
        <f>IFERROR((IF(AND($F290="Produit Vente",CO290&gt;0),VLOOKUP($C290,'[1]Paramètres Articles'!$B:$H,7,FALSE)*$CO290)*(1-20%)),0)</f>
        <v/>
      </c>
      <c r="DT290" s="20">
        <f>IFERROR((IF(AND($F290="Produit Vente",DR290&gt;0),VLOOKUP($C290,'[1]Paramètres Articles'!$B:$H,6,FALSE)*$DR290)*(1-15%)),0)</f>
        <v/>
      </c>
    </row>
    <row r="291" hidden="1" outlineLevel="1" collapsed="1" ht="12.95" customHeight="1">
      <c r="B291" s="1">
        <f>IF(C291="",0,COUNTIFS($B$22:B290,"&gt;"&amp;0)+1)</f>
        <v/>
      </c>
      <c r="C291" s="90" t="inlineStr">
        <is>
          <t>PRESENTOIR REGE</t>
        </is>
      </c>
      <c r="D291" s="91">
        <f>IFERROR(IF($C291="","",VLOOKUP($C291,'[1]Paramètres Articles'!$B:$G,2,FALSE)),"Non Trouvé")</f>
        <v/>
      </c>
      <c r="E291" s="92">
        <f>IFERROR(IF($C291="","",_xlfn.XLOOKUP(REGENERANTS!$C291,'[1]New Base PA'!$F:$F,'[1]New Base PA'!$D:$D,"Not Found",0)),"Non Trouvé")</f>
        <v/>
      </c>
      <c r="F291" s="93" t="inlineStr">
        <is>
          <t>PLV (PDC ou autre)</t>
        </is>
      </c>
      <c r="H291" s="106" t="n">
        <v>0</v>
      </c>
      <c r="J291" s="95">
        <f>IFERROR(IF($C291="","",VLOOKUP($C291,'[1]New Base PA'!$F:$J,5,FALSE)),"Non Trouvé")</f>
        <v/>
      </c>
      <c r="K291" s="136">
        <f>IFERROR(IF($C291="","",$J291*$H291),"Non Trouvé")</f>
        <v/>
      </c>
      <c r="L291" s="137" t="n"/>
      <c r="M291" s="136">
        <f>IFERROR(IF(AND($F291="Produit Vente",H291&gt;0),VLOOKUP($C291,'[1]Paramètres Articles'!$B:$G,6,FALSE),0),"Non Trouvé")</f>
        <v/>
      </c>
      <c r="N291" s="136">
        <f>IFERROR(IF($C291="","",$M291*$H291),"Non Trouvé")</f>
        <v/>
      </c>
      <c r="P291" s="97" t="n"/>
      <c r="R291" s="95">
        <f>IFERROR(IF($C291="","",$N291*(1-$P291)),"Non Trouvé")</f>
        <v/>
      </c>
      <c r="S291" s="96" t="n"/>
      <c r="T291" s="95">
        <f>IFERROR(IF($C291="","",VLOOKUP($C291,'[1]Paramètres Articles'!$B:$H,7,FALSE)),"Non Trouvé")</f>
        <v/>
      </c>
      <c r="U291" s="98" t="n"/>
      <c r="V291" s="95">
        <f>IFERROR(IF($C291="","",IF($P291="","",$T291*(1-$P291))),"Non Trouvé")</f>
        <v/>
      </c>
      <c r="W291" s="96" t="n"/>
      <c r="X291" s="95">
        <f>IFERROR(T291-V291,"")</f>
        <v/>
      </c>
      <c r="Y291" s="96" t="n"/>
      <c r="Z291" s="95">
        <f>IFERROR(IF(OR(T291=0,T291=""),0,T291*H291),"Non Trouvé")</f>
        <v/>
      </c>
      <c r="AB291" s="99">
        <f>AB289</f>
        <v/>
      </c>
      <c r="AC291" s="99">
        <f>AC289</f>
        <v/>
      </c>
      <c r="AD291" s="95">
        <f>IFERROR(IF($C291="","",IF($P$15="Cascade",$R291*(1-AC291)*AB291,IF($P$15="Additionnelle",($N291-($N291*($P291+AC291)))*AB291))),"Non Trouvé")</f>
        <v/>
      </c>
      <c r="AG291" s="99">
        <f>AG289</f>
        <v/>
      </c>
      <c r="AH291" s="99">
        <f>AH289</f>
        <v/>
      </c>
      <c r="AI291" s="95">
        <f>IFERROR(IF($C291="","",IF($P$15="Cascade",$R291*(1-AH291)*AG291,IF($P$15="Additionnelle",($N291-($N291*($P291+AH291)))*AG291))),"Non Trouvé")</f>
        <v/>
      </c>
      <c r="AL291" s="99">
        <f>AL289</f>
        <v/>
      </c>
      <c r="AM291" s="99">
        <f>AM289</f>
        <v/>
      </c>
      <c r="AN291" s="95">
        <f>IFERROR(IF($C291="","",IF($P$15="Cascade",$R291*(1-AM291)*AL291,IF($P$15="Additionnelle",($N291-($N291*($P291+AM291)))*AL291))),"Non Trouvé")</f>
        <v/>
      </c>
      <c r="AQ291" s="99">
        <f>AQ289</f>
        <v/>
      </c>
      <c r="AR291" s="99">
        <f>AR289</f>
        <v/>
      </c>
      <c r="AS291" s="95">
        <f>IFERROR(IF($C291="","",IF($P$15="Cascade",$R291*(1-AR291)*AQ291,IF($P$15="Additionnelle",($N291-($N291*($P291+AR291)))*AQ291))),"Non Trouvé")</f>
        <v/>
      </c>
      <c r="AV291" s="99">
        <f>AV289</f>
        <v/>
      </c>
      <c r="AW291" s="99">
        <f>AW289</f>
        <v/>
      </c>
      <c r="AX291" s="95">
        <f>IFERROR(IF($C291="","",IF($P$15="Cascade",$R291*(1-AW291)*AV291,IF($P$15="Additionnelle",($N291-($N291*($P291+AW291)))*AV291))),"Non Trouvé")</f>
        <v/>
      </c>
      <c r="BA291" s="99">
        <f>BA289</f>
        <v/>
      </c>
      <c r="BB291" s="99">
        <f>BB289</f>
        <v/>
      </c>
      <c r="BC291" s="95">
        <f>IFERROR(IF($C291="","",IF($P$15="Cascade",$R291*(1-BB291)*BA291,IF($P$15="Additionnelle",($N291-($N291*($P291+BB291)))*BA291))),"Non Trouvé")</f>
        <v/>
      </c>
      <c r="BF291" s="99">
        <f>BF289</f>
        <v/>
      </c>
      <c r="BG291" s="99">
        <f>BG289</f>
        <v/>
      </c>
      <c r="BH291" s="95">
        <f>IFERROR(IF($C291="","",IF($P$15="Cascade",$R291*(1-BG291)*BF291,IF($P$15="Additionnelle",($N291-($N291*($P291+BG291)))*BF291))),"Non Trouvé")</f>
        <v/>
      </c>
      <c r="BK291" s="99">
        <f>BK289</f>
        <v/>
      </c>
      <c r="BL291" s="99">
        <f>BL289</f>
        <v/>
      </c>
      <c r="BM291" s="95">
        <f>IFERROR(IF($C291="","",IF($P$15="Cascade",$R291*(1-BL291)*BK291,IF($P$15="Additionnelle",($N291-($N291*($P291+BL291)))*BK291))),"Non Trouvé")</f>
        <v/>
      </c>
      <c r="BP291" s="99">
        <f>BP289</f>
        <v/>
      </c>
      <c r="BQ291" s="99">
        <f>BQ289</f>
        <v/>
      </c>
      <c r="BR291" s="95">
        <f>IFERROR(IF($C291="","",IF($P$15="Cascade",$R291*(1-BQ291)*BP291,IF($P$15="Additionnelle",($N291-($N291*($P291+BQ291)))*BP291))),"Non Trouvé")</f>
        <v/>
      </c>
      <c r="BU291" s="99">
        <f>BU289</f>
        <v/>
      </c>
      <c r="BV291" s="99">
        <f>BV289</f>
        <v/>
      </c>
      <c r="BW291" s="95">
        <f>IFERROR(IF($C291="","",IF($P$15="Cascade",$R291*(1-BV291)*BU291,IF($P$15="Additionnelle",($N291-($N291*($P291+BV291)))*BU291))),"Non Trouvé")</f>
        <v/>
      </c>
      <c r="BZ291" s="99">
        <f>BZ289</f>
        <v/>
      </c>
      <c r="CA291" s="99">
        <f>CA289</f>
        <v/>
      </c>
      <c r="CB291" s="95">
        <f>IFERROR(IF($C291="","",IF($P$15="Cascade",$R291*(1-CA291)*BZ291,IF($P$15="Additionnelle",($N291-($N291*($P291+CA291)))*BZ291))),"Non Trouvé")</f>
        <v/>
      </c>
      <c r="CE291" s="100" t="n"/>
      <c r="CF291" s="101" t="n"/>
      <c r="CG291" s="102" t="inlineStr">
        <is>
          <t>CA</t>
        </is>
      </c>
      <c r="CH291" s="139">
        <f>SUMIFS($AB275:$AT275,$AB272:$AT272,CG291)+SUMIFS($BZ275:$CC275,$BZ272:$CC272,CG291)</f>
        <v/>
      </c>
      <c r="CI291" s="103" t="n"/>
      <c r="CK291" s="104">
        <f>IFERROR(IF(F291='[1]Paramètres Généraux'!$K$12,ROUNDUP((REGENERANTS!H291*REGENERANTS!$CF$275)*'[1]Paramètres Généraux'!$M$12,-1),REGENERANTS!H291*REGENERANTS!$CF$275),"nd")</f>
        <v/>
      </c>
      <c r="CN291" s="105" t="n"/>
      <c r="CO291" s="106" t="n"/>
      <c r="CP291" s="106" t="n"/>
      <c r="CQ291" s="106" t="n"/>
      <c r="CR291" s="106" t="n"/>
      <c r="CS291" s="178" t="n"/>
      <c r="CT291" s="179" t="n"/>
      <c r="CU291" s="106" t="n"/>
      <c r="CV291" s="178" t="n"/>
      <c r="CW291" s="111" t="n"/>
      <c r="CX291" s="112" t="n"/>
      <c r="CY291" s="111" t="n"/>
      <c r="CZ291" s="109" t="n"/>
      <c r="DA291" s="112" t="n"/>
      <c r="DB291" s="111" t="n"/>
      <c r="DC291" s="109" t="n"/>
      <c r="DD291" s="112" t="n"/>
      <c r="DE291" s="111" t="n"/>
      <c r="DF291" s="109" t="n"/>
      <c r="DG291" s="109" t="n"/>
      <c r="DH291" s="109" t="n"/>
      <c r="DI291" s="109" t="n"/>
      <c r="DJ291" s="109" t="n"/>
      <c r="DK291" s="109" t="n"/>
      <c r="DL291" s="109" t="n"/>
      <c r="DM291" s="109" t="n"/>
      <c r="DN291" s="109" t="n"/>
      <c r="DO291" s="112" t="n"/>
      <c r="DP291" s="111" t="n"/>
      <c r="DQ291" s="20">
        <f>SUM(CN291:DP291)</f>
        <v/>
      </c>
      <c r="DR291" s="20">
        <f>SUM(CV291:DP291)</f>
        <v/>
      </c>
      <c r="DS291" s="20">
        <f>IFERROR((IF(AND($F291="Produit Vente",CO291&gt;0),VLOOKUP($C291,'[1]Paramètres Articles'!$B:$H,7,FALSE)*$CO291)*(1-20%)),0)</f>
        <v/>
      </c>
      <c r="DT291" s="20">
        <f>IFERROR((IF(AND($F291="Produit Vente",DR291&gt;0),VLOOKUP($C291,'[1]Paramètres Articles'!$B:$H,6,FALSE)*$DR291)*(1-15%)),0)</f>
        <v/>
      </c>
    </row>
    <row r="292" hidden="1" outlineLevel="1" collapsed="1" ht="12.95" customHeight="1">
      <c r="B292" s="1">
        <f>IF(C292="",0,COUNTIFS($B$22:B291,"&gt;"&amp;0)+1)</f>
        <v/>
      </c>
      <c r="C292" s="90" t="n">
        <v>3020202</v>
      </c>
      <c r="D292" s="91">
        <f>IFERROR(IF($C292="","",VLOOKUP($C292,'[1]Paramètres Articles'!$B:$G,2,FALSE)),"Non Trouvé")</f>
        <v/>
      </c>
      <c r="E292" s="92">
        <f>IFERROR(IF($C292="","",_xlfn.XLOOKUP(REGENERANTS!$C292,'[1]New Base PA'!$F:$F,'[1]New Base PA'!$D:$D,"Not Found",0)),"Non Trouvé")</f>
        <v/>
      </c>
      <c r="F292" s="93" t="inlineStr">
        <is>
          <t>Testeur</t>
        </is>
      </c>
      <c r="H292" s="106" t="n">
        <v>0</v>
      </c>
      <c r="J292" s="95">
        <f>IFERROR(IF($C292="","",VLOOKUP($C292,'[1]New Base PA'!$F:$J,5,FALSE)),"Non Trouvé")</f>
        <v/>
      </c>
      <c r="K292" s="136">
        <f>IFERROR(IF($C292="","",$J292*$H292),"Non Trouvé")</f>
        <v/>
      </c>
      <c r="L292" s="137" t="n"/>
      <c r="M292" s="136">
        <f>IFERROR(IF(AND($F292="Produit Vente",H292&gt;0),VLOOKUP($C292,'[1]Paramètres Articles'!$B:$G,6,FALSE),0),"Non Trouvé")</f>
        <v/>
      </c>
      <c r="N292" s="136">
        <f>IFERROR(IF($C292="","",$M292*$H292),"Non Trouvé")</f>
        <v/>
      </c>
      <c r="P292" s="97" t="n"/>
      <c r="R292" s="95">
        <f>IFERROR(IF($C292="","",$N292*(1-$P292)),"Non Trouvé")</f>
        <v/>
      </c>
      <c r="S292" s="96" t="n"/>
      <c r="T292" s="95">
        <f>IFERROR(IF($C292="","",VLOOKUP($C292,'[1]Paramètres Articles'!$B:$H,7,FALSE)),"Non Trouvé")</f>
        <v/>
      </c>
      <c r="U292" s="98" t="n"/>
      <c r="V292" s="95">
        <f>IFERROR(IF($C292="","",IF($P292="","",$T292*(1-$P292))),"Non Trouvé")</f>
        <v/>
      </c>
      <c r="W292" s="96" t="n"/>
      <c r="X292" s="95">
        <f>IFERROR(T292-V292,"")</f>
        <v/>
      </c>
      <c r="Y292" s="96" t="n"/>
      <c r="Z292" s="95">
        <f>IFERROR(IF(OR(T292=0,T292=""),0,T292*H292),"Non Trouvé")</f>
        <v/>
      </c>
      <c r="AB292" s="99">
        <f>AB291</f>
        <v/>
      </c>
      <c r="AC292" s="99">
        <f>AC291</f>
        <v/>
      </c>
      <c r="AD292" s="95">
        <f>IFERROR(IF($C292="","",IF($P$15="Cascade",$R292*(1-AC292)*AB292,IF($P$15="Additionnelle",($N292-($N292*($P292+AC292)))*AB292))),"Non Trouvé")</f>
        <v/>
      </c>
      <c r="AG292" s="99">
        <f>AG291</f>
        <v/>
      </c>
      <c r="AH292" s="99">
        <f>AH291</f>
        <v/>
      </c>
      <c r="AI292" s="95">
        <f>IFERROR(IF($C292="","",IF($P$15="Cascade",$R292*(1-AH292)*AG292,IF($P$15="Additionnelle",($N292-($N292*($P292+AH292)))*AG292))),"Non Trouvé")</f>
        <v/>
      </c>
      <c r="AL292" s="99">
        <f>AL291</f>
        <v/>
      </c>
      <c r="AM292" s="99">
        <f>AM291</f>
        <v/>
      </c>
      <c r="AN292" s="95">
        <f>IFERROR(IF($C292="","",IF($P$15="Cascade",$R292*(1-AM292)*AL292,IF($P$15="Additionnelle",($N292-($N292*($P292+AM292)))*AL292))),"Non Trouvé")</f>
        <v/>
      </c>
      <c r="AQ292" s="99">
        <f>AQ291</f>
        <v/>
      </c>
      <c r="AR292" s="99">
        <f>AR291</f>
        <v/>
      </c>
      <c r="AS292" s="95">
        <f>IFERROR(IF($C292="","",IF($P$15="Cascade",$R292*(1-AR292)*AQ292,IF($P$15="Additionnelle",($N292-($N292*($P292+AR292)))*AQ292))),"Non Trouvé")</f>
        <v/>
      </c>
      <c r="AV292" s="99">
        <f>AV291</f>
        <v/>
      </c>
      <c r="AW292" s="99">
        <f>AW291</f>
        <v/>
      </c>
      <c r="AX292" s="95">
        <f>IFERROR(IF($C292="","",IF($P$15="Cascade",$R292*(1-AW292)*AV292,IF($P$15="Additionnelle",($N292-($N292*($P292+AW292)))*AV292))),"Non Trouvé")</f>
        <v/>
      </c>
      <c r="BA292" s="99">
        <f>BA291</f>
        <v/>
      </c>
      <c r="BB292" s="99">
        <f>BB291</f>
        <v/>
      </c>
      <c r="BC292" s="95">
        <f>IFERROR(IF($C292="","",IF($P$15="Cascade",$R292*(1-BB292)*BA292,IF($P$15="Additionnelle",($N292-($N292*($P292+BB292)))*BA292))),"Non Trouvé")</f>
        <v/>
      </c>
      <c r="BF292" s="99">
        <f>BF291</f>
        <v/>
      </c>
      <c r="BG292" s="99">
        <f>BG291</f>
        <v/>
      </c>
      <c r="BH292" s="95">
        <f>IFERROR(IF($C292="","",IF($P$15="Cascade",$R292*(1-BG292)*BF292,IF($P$15="Additionnelle",($N292-($N292*($P292+BG292)))*BF292))),"Non Trouvé")</f>
        <v/>
      </c>
      <c r="BK292" s="99">
        <f>BK291</f>
        <v/>
      </c>
      <c r="BL292" s="99">
        <f>BL291</f>
        <v/>
      </c>
      <c r="BM292" s="95">
        <f>IFERROR(IF($C292="","",IF($P$15="Cascade",$R292*(1-BL292)*BK292,IF($P$15="Additionnelle",($N292-($N292*($P292+BL292)))*BK292))),"Non Trouvé")</f>
        <v/>
      </c>
      <c r="BP292" s="99">
        <f>BP291</f>
        <v/>
      </c>
      <c r="BQ292" s="99">
        <f>BQ291</f>
        <v/>
      </c>
      <c r="BR292" s="95">
        <f>IFERROR(IF($C292="","",IF($P$15="Cascade",$R292*(1-BQ292)*BP292,IF($P$15="Additionnelle",($N292-($N292*($P292+BQ292)))*BP292))),"Non Trouvé")</f>
        <v/>
      </c>
      <c r="BU292" s="99">
        <f>BU291</f>
        <v/>
      </c>
      <c r="BV292" s="99">
        <f>BV291</f>
        <v/>
      </c>
      <c r="BW292" s="95">
        <f>IFERROR(IF($C292="","",IF($P$15="Cascade",$R292*(1-BV292)*BU292,IF($P$15="Additionnelle",($N292-($N292*($P292+BV292)))*BU292))),"Non Trouvé")</f>
        <v/>
      </c>
      <c r="BZ292" s="99">
        <f>BZ291</f>
        <v/>
      </c>
      <c r="CA292" s="99">
        <f>CA291</f>
        <v/>
      </c>
      <c r="CB292" s="95">
        <f>IFERROR(IF($C292="","",IF($P$15="Cascade",$R292*(1-CA292)*BZ292,IF($P$15="Additionnelle",($N292-($N292*($P292+CA292)))*BZ292))),"Non Trouvé")</f>
        <v/>
      </c>
      <c r="CE292" s="100" t="n"/>
      <c r="CF292" s="133" t="n"/>
      <c r="CG292" s="102" t="inlineStr">
        <is>
          <t>Marges</t>
        </is>
      </c>
      <c r="CH292" s="142">
        <f>IFERROR((CH291-$K275*CH290)/CH291,"Non Trouvé")</f>
        <v/>
      </c>
      <c r="CI292" s="103" t="n"/>
      <c r="CK292" s="104">
        <f>IFERROR(IF(F292='[1]Paramètres Généraux'!$K$12,ROUNDUP((REGENERANTS!H292*REGENERANTS!$CF$275)*'[1]Paramètres Généraux'!$M$12,-1),REGENERANTS!H292*REGENERANTS!$CF$275),"nd")</f>
        <v/>
      </c>
      <c r="CN292" s="105" t="n"/>
      <c r="CO292" s="106" t="n"/>
      <c r="CP292" s="106" t="n"/>
      <c r="CQ292" s="106" t="n"/>
      <c r="CR292" s="106" t="n"/>
      <c r="CS292" s="178" t="n"/>
      <c r="CT292" s="179" t="n"/>
      <c r="CU292" s="106" t="n"/>
      <c r="CV292" s="178" t="n"/>
      <c r="CW292" s="111" t="n"/>
      <c r="CX292" s="112" t="n"/>
      <c r="CY292" s="111" t="n"/>
      <c r="CZ292" s="109" t="n"/>
      <c r="DA292" s="112" t="n"/>
      <c r="DB292" s="111" t="n"/>
      <c r="DC292" s="109" t="n"/>
      <c r="DD292" s="112" t="n"/>
      <c r="DE292" s="111" t="n"/>
      <c r="DF292" s="109" t="n"/>
      <c r="DG292" s="109" t="n"/>
      <c r="DH292" s="109" t="n"/>
      <c r="DI292" s="109" t="n"/>
      <c r="DJ292" s="109" t="n"/>
      <c r="DK292" s="109" t="n"/>
      <c r="DL292" s="109" t="n"/>
      <c r="DM292" s="109" t="n"/>
      <c r="DN292" s="109" t="n"/>
      <c r="DO292" s="112" t="n"/>
      <c r="DP292" s="111" t="n"/>
      <c r="DQ292" s="20">
        <f>SUM(CN292:DP292)</f>
        <v/>
      </c>
      <c r="DR292" s="20">
        <f>SUM(CV292:DP292)</f>
        <v/>
      </c>
      <c r="DS292" s="20">
        <f>IFERROR((IF(AND($F292="Produit Vente",CO292&gt;0),VLOOKUP($C292,'[1]Paramètres Articles'!$B:$H,7,FALSE)*$CO292)*(1-20%)),0)</f>
        <v/>
      </c>
      <c r="DT292" s="20">
        <f>IFERROR((IF(AND($F292="Produit Vente",DR292&gt;0),VLOOKUP($C292,'[1]Paramètres Articles'!$B:$H,6,FALSE)*$DR292)*(1-15%)),0)</f>
        <v/>
      </c>
    </row>
    <row r="293" hidden="1" outlineLevel="1" collapsed="1" ht="12.95" customHeight="1">
      <c r="B293" s="1">
        <f>IF(C293="",0,COUNTIFS($B$22:B292,"&gt;"&amp;0)+1)</f>
        <v/>
      </c>
      <c r="C293" s="90" t="n">
        <v>3020301</v>
      </c>
      <c r="D293" s="91">
        <f>IFERROR(IF($C293="","",VLOOKUP($C293,'[1]Paramètres Articles'!$B:$G,2,FALSE)),"Non Trouvé")</f>
        <v/>
      </c>
      <c r="E293" s="92">
        <f>IFERROR(IF($C293="","",_xlfn.XLOOKUP(REGENERANTS!$C293,'[1]New Base PA'!$F:$F,'[1]New Base PA'!$D:$D,"Not Found",0)),"Non Trouvé")</f>
        <v/>
      </c>
      <c r="F293" s="93" t="inlineStr">
        <is>
          <t>Testeur</t>
        </is>
      </c>
      <c r="H293" s="106" t="n">
        <v>0</v>
      </c>
      <c r="J293" s="95">
        <f>IFERROR(IF($C293="","",VLOOKUP($C293,'[1]New Base PA'!$F:$J,5,FALSE)),"Non Trouvé")</f>
        <v/>
      </c>
      <c r="K293" s="136">
        <f>IFERROR(IF($C293="","",$J293*$H293),"Non Trouvé")</f>
        <v/>
      </c>
      <c r="L293" s="137" t="n"/>
      <c r="M293" s="136">
        <f>IFERROR(IF(AND($F293="Produit Vente",H293&gt;0),VLOOKUP($C293,'[1]Paramètres Articles'!$B:$G,6,FALSE),0),"Non Trouvé")</f>
        <v/>
      </c>
      <c r="N293" s="136">
        <f>IFERROR(IF($C293="","",$M293*$H293),"Non Trouvé")</f>
        <v/>
      </c>
      <c r="P293" s="97" t="n"/>
      <c r="R293" s="95">
        <f>IFERROR(IF($C293="","",$N293*(1-$P293)),"Non Trouvé")</f>
        <v/>
      </c>
      <c r="S293" s="96" t="n"/>
      <c r="T293" s="95">
        <f>IFERROR(IF($C293="","",VLOOKUP($C293,'[1]Paramètres Articles'!$B:$H,7,FALSE)),"Non Trouvé")</f>
        <v/>
      </c>
      <c r="U293" s="98" t="n"/>
      <c r="V293" s="95">
        <f>IFERROR(IF($C293="","",IF($P293="","",$T293*(1-$P293))),"Non Trouvé")</f>
        <v/>
      </c>
      <c r="W293" s="96" t="n"/>
      <c r="X293" s="95">
        <f>IFERROR(T293-V293,"")</f>
        <v/>
      </c>
      <c r="Y293" s="96" t="n"/>
      <c r="Z293" s="95">
        <f>IFERROR(IF(OR(T293=0,T293=""),0,T293*H293),"Non Trouvé")</f>
        <v/>
      </c>
      <c r="AB293" s="99">
        <f>AB291</f>
        <v/>
      </c>
      <c r="AC293" s="99">
        <f>AC291</f>
        <v/>
      </c>
      <c r="AD293" s="95">
        <f>IFERROR(IF($C293="","",IF($P$15="Cascade",$R293*(1-AC293)*AB293,IF($P$15="Additionnelle",($N293-($N293*($P293+AC293)))*AB293))),"Non Trouvé")</f>
        <v/>
      </c>
      <c r="AG293" s="99">
        <f>AG291</f>
        <v/>
      </c>
      <c r="AH293" s="99">
        <f>AH291</f>
        <v/>
      </c>
      <c r="AI293" s="95">
        <f>IFERROR(IF($C293="","",IF($P$15="Cascade",$R293*(1-AH293)*AG293,IF($P$15="Additionnelle",($N293-($N293*($P293+AH293)))*AG293))),"Non Trouvé")</f>
        <v/>
      </c>
      <c r="AL293" s="99">
        <f>AL291</f>
        <v/>
      </c>
      <c r="AM293" s="99">
        <f>AM291</f>
        <v/>
      </c>
      <c r="AN293" s="95">
        <f>IFERROR(IF($C293="","",IF($P$15="Cascade",$R293*(1-AM293)*AL293,IF($P$15="Additionnelle",($N293-($N293*($P293+AM293)))*AL293))),"Non Trouvé")</f>
        <v/>
      </c>
      <c r="AQ293" s="99">
        <f>AQ291</f>
        <v/>
      </c>
      <c r="AR293" s="99">
        <f>AR291</f>
        <v/>
      </c>
      <c r="AS293" s="95">
        <f>IFERROR(IF($C293="","",IF($P$15="Cascade",$R293*(1-AR293)*AQ293,IF($P$15="Additionnelle",($N293-($N293*($P293+AR293)))*AQ293))),"Non Trouvé")</f>
        <v/>
      </c>
      <c r="AV293" s="99">
        <f>AV291</f>
        <v/>
      </c>
      <c r="AW293" s="99">
        <f>AW291</f>
        <v/>
      </c>
      <c r="AX293" s="95">
        <f>IFERROR(IF($C293="","",IF($P$15="Cascade",$R293*(1-AW293)*AV293,IF($P$15="Additionnelle",($N293-($N293*($P293+AW293)))*AV293))),"Non Trouvé")</f>
        <v/>
      </c>
      <c r="BA293" s="99">
        <f>BA291</f>
        <v/>
      </c>
      <c r="BB293" s="99">
        <f>BB291</f>
        <v/>
      </c>
      <c r="BC293" s="95">
        <f>IFERROR(IF($C293="","",IF($P$15="Cascade",$R293*(1-BB293)*BA293,IF($P$15="Additionnelle",($N293-($N293*($P293+BB293)))*BA293))),"Non Trouvé")</f>
        <v/>
      </c>
      <c r="BF293" s="99">
        <f>BF291</f>
        <v/>
      </c>
      <c r="BG293" s="99">
        <f>BG291</f>
        <v/>
      </c>
      <c r="BH293" s="95">
        <f>IFERROR(IF($C293="","",IF($P$15="Cascade",$R293*(1-BG293)*BF293,IF($P$15="Additionnelle",($N293-($N293*($P293+BG293)))*BF293))),"Non Trouvé")</f>
        <v/>
      </c>
      <c r="BK293" s="99">
        <f>BK291</f>
        <v/>
      </c>
      <c r="BL293" s="99">
        <f>BL291</f>
        <v/>
      </c>
      <c r="BM293" s="95">
        <f>IFERROR(IF($C293="","",IF($P$15="Cascade",$R293*(1-BL293)*BK293,IF($P$15="Additionnelle",($N293-($N293*($P293+BL293)))*BK293))),"Non Trouvé")</f>
        <v/>
      </c>
      <c r="BP293" s="99">
        <f>BP291</f>
        <v/>
      </c>
      <c r="BQ293" s="99">
        <f>BQ291</f>
        <v/>
      </c>
      <c r="BR293" s="95">
        <f>IFERROR(IF($C293="","",IF($P$15="Cascade",$R293*(1-BQ293)*BP293,IF($P$15="Additionnelle",($N293-($N293*($P293+BQ293)))*BP293))),"Non Trouvé")</f>
        <v/>
      </c>
      <c r="BU293" s="99">
        <f>BU291</f>
        <v/>
      </c>
      <c r="BV293" s="99">
        <f>BV291</f>
        <v/>
      </c>
      <c r="BW293" s="95">
        <f>IFERROR(IF($C293="","",IF($P$15="Cascade",$R293*(1-BV293)*BU293,IF($P$15="Additionnelle",($N293-($N293*($P293+BV293)))*BU293))),"Non Trouvé")</f>
        <v/>
      </c>
      <c r="BZ293" s="99">
        <f>BZ291</f>
        <v/>
      </c>
      <c r="CA293" s="99">
        <f>CA291</f>
        <v/>
      </c>
      <c r="CB293" s="95">
        <f>IFERROR(IF($C293="","",IF($P$15="Cascade",$R293*(1-CA293)*BZ293,IF($P$15="Additionnelle",($N293-($N293*($P293+CA293)))*BZ293))),"Non Trouvé")</f>
        <v/>
      </c>
      <c r="CE293" s="100" t="n"/>
      <c r="CF293" s="102" t="n"/>
      <c r="CG293" s="102" t="inlineStr">
        <is>
          <t>Marges €</t>
        </is>
      </c>
      <c r="CH293" s="139">
        <f>IFERROR(CH291*CH292,0)</f>
        <v/>
      </c>
      <c r="CI293" s="103" t="n"/>
      <c r="CK293" s="104">
        <f>IFERROR(IF(F293='[1]Paramètres Généraux'!$K$12,ROUNDUP((REGENERANTS!H293*REGENERANTS!$CF$275)*'[1]Paramètres Généraux'!$M$12,-1),REGENERANTS!H293*REGENERANTS!$CF$275),"nd")</f>
        <v/>
      </c>
      <c r="CN293" s="105" t="n"/>
      <c r="CO293" s="106" t="n"/>
      <c r="CP293" s="106" t="n"/>
      <c r="CQ293" s="106" t="n"/>
      <c r="CR293" s="106" t="n"/>
      <c r="CS293" s="178" t="n"/>
      <c r="CT293" s="179" t="n"/>
      <c r="CU293" s="106" t="n"/>
      <c r="CV293" s="178" t="n"/>
      <c r="CW293" s="111" t="n"/>
      <c r="CX293" s="112" t="n"/>
      <c r="CY293" s="111" t="n"/>
      <c r="CZ293" s="109" t="n"/>
      <c r="DA293" s="112" t="n"/>
      <c r="DB293" s="111" t="n"/>
      <c r="DC293" s="109" t="n"/>
      <c r="DD293" s="112" t="n"/>
      <c r="DE293" s="111" t="n"/>
      <c r="DF293" s="109" t="n"/>
      <c r="DG293" s="109" t="n"/>
      <c r="DH293" s="109" t="n"/>
      <c r="DI293" s="109" t="n"/>
      <c r="DJ293" s="109" t="n"/>
      <c r="DK293" s="109" t="n"/>
      <c r="DL293" s="109" t="n"/>
      <c r="DM293" s="109" t="n"/>
      <c r="DN293" s="109" t="n"/>
      <c r="DO293" s="112" t="n"/>
      <c r="DP293" s="111" t="n"/>
      <c r="DQ293" s="20">
        <f>SUM(CN293:DP293)</f>
        <v/>
      </c>
      <c r="DR293" s="20">
        <f>SUM(CV293:DP293)</f>
        <v/>
      </c>
      <c r="DS293" s="20">
        <f>IFERROR((IF(AND($F293="Produit Vente",CO293&gt;0),VLOOKUP($C293,'[1]Paramètres Articles'!$B:$H,7,FALSE)*$CO293)*(1-20%)),0)</f>
        <v/>
      </c>
      <c r="DT293" s="20">
        <f>IFERROR((IF(AND($F293="Produit Vente",DR293&gt;0),VLOOKUP($C293,'[1]Paramètres Articles'!$B:$H,6,FALSE)*$DR293)*(1-15%)),0)</f>
        <v/>
      </c>
    </row>
    <row r="294" hidden="1" outlineLevel="1" collapsed="1" ht="12.95" customHeight="1">
      <c r="B294" s="1">
        <f>IF(C294="",0,COUNTIFS($B$22:B293,"&gt;"&amp;0)+1)</f>
        <v/>
      </c>
      <c r="C294" s="90" t="n">
        <v>3020720</v>
      </c>
      <c r="D294" s="91">
        <f>IFERROR(IF($C294="","",VLOOKUP($C294,'[1]Paramètres Articles'!$B:$G,2,FALSE)),"Non Trouvé")</f>
        <v/>
      </c>
      <c r="E294" s="92">
        <f>IFERROR(IF($C294="","",_xlfn.XLOOKUP(REGENERANTS!$C294,'[1]New Base PA'!$F:$F,'[1]New Base PA'!$D:$D,"Not Found",0)),"Non Trouvé")</f>
        <v/>
      </c>
      <c r="F294" s="93" t="inlineStr">
        <is>
          <t>Testeur</t>
        </is>
      </c>
      <c r="H294" s="106" t="n">
        <v>0</v>
      </c>
      <c r="J294" s="95">
        <f>IFERROR(IF($C294="","",VLOOKUP($C294,'[1]New Base PA'!$F:$J,5,FALSE)),"Non Trouvé")</f>
        <v/>
      </c>
      <c r="K294" s="136">
        <f>IFERROR(IF($C294="","",$J294*$H294),"Non Trouvé")</f>
        <v/>
      </c>
      <c r="L294" s="137" t="n"/>
      <c r="M294" s="136">
        <f>IFERROR(IF(AND($F294="Produit Vente",H294&gt;0),VLOOKUP($C294,'[1]Paramètres Articles'!$B:$G,6,FALSE),0),"Non Trouvé")</f>
        <v/>
      </c>
      <c r="N294" s="136">
        <f>IFERROR(IF($C294="","",$M294*$H294),"Non Trouvé")</f>
        <v/>
      </c>
      <c r="P294" s="97" t="n"/>
      <c r="R294" s="95">
        <f>IFERROR(IF($C294="","",$N294*(1-$P294)),"Non Trouvé")</f>
        <v/>
      </c>
      <c r="S294" s="96" t="n"/>
      <c r="T294" s="95">
        <f>IFERROR(IF($C294="","",VLOOKUP($C294,'[1]Paramètres Articles'!$B:$H,7,FALSE)),"Non Trouvé")</f>
        <v/>
      </c>
      <c r="U294" s="98" t="n"/>
      <c r="V294" s="95">
        <f>IFERROR(IF($C294="","",IF($P294="","",$T294*(1-$P294))),"Non Trouvé")</f>
        <v/>
      </c>
      <c r="W294" s="96" t="n"/>
      <c r="X294" s="95">
        <f>IFERROR(T294-V294,"")</f>
        <v/>
      </c>
      <c r="Y294" s="96" t="n"/>
      <c r="Z294" s="95">
        <f>IFERROR(IF(OR(T294=0,T294=""),0,T294*H294),"Non Trouvé")</f>
        <v/>
      </c>
      <c r="AB294" s="99">
        <f>AB293</f>
        <v/>
      </c>
      <c r="AC294" s="99">
        <f>AC293</f>
        <v/>
      </c>
      <c r="AD294" s="95">
        <f>IFERROR(IF($C294="","",IF($P$15="Cascade",$R294*(1-AC294)*AB294,IF($P$15="Additionnelle",($N294-($N294*($P294+AC294)))*AB294))),"Non Trouvé")</f>
        <v/>
      </c>
      <c r="AG294" s="99">
        <f>AG293</f>
        <v/>
      </c>
      <c r="AH294" s="99">
        <f>AH293</f>
        <v/>
      </c>
      <c r="AI294" s="95">
        <f>IFERROR(IF($C294="","",IF($P$15="Cascade",$R294*(1-AH294)*AG294,IF($P$15="Additionnelle",($N294-($N294*($P294+AH294)))*AG294))),"Non Trouvé")</f>
        <v/>
      </c>
      <c r="AL294" s="99">
        <f>AL293</f>
        <v/>
      </c>
      <c r="AM294" s="99">
        <f>AM293</f>
        <v/>
      </c>
      <c r="AN294" s="95">
        <f>IFERROR(IF($C294="","",IF($P$15="Cascade",$R294*(1-AM294)*AL294,IF($P$15="Additionnelle",($N294-($N294*($P294+AM294)))*AL294))),"Non Trouvé")</f>
        <v/>
      </c>
      <c r="AQ294" s="99">
        <f>AQ293</f>
        <v/>
      </c>
      <c r="AR294" s="99">
        <f>AR293</f>
        <v/>
      </c>
      <c r="AS294" s="95">
        <f>IFERROR(IF($C294="","",IF($P$15="Cascade",$R294*(1-AR294)*AQ294,IF($P$15="Additionnelle",($N294-($N294*($P294+AR294)))*AQ294))),"Non Trouvé")</f>
        <v/>
      </c>
      <c r="AV294" s="99">
        <f>AV293</f>
        <v/>
      </c>
      <c r="AW294" s="99">
        <f>AW293</f>
        <v/>
      </c>
      <c r="AX294" s="95">
        <f>IFERROR(IF($C294="","",IF($P$15="Cascade",$R294*(1-AW294)*AV294,IF($P$15="Additionnelle",($N294-($N294*($P294+AW294)))*AV294))),"Non Trouvé")</f>
        <v/>
      </c>
      <c r="BA294" s="99">
        <f>BA293</f>
        <v/>
      </c>
      <c r="BB294" s="99">
        <f>BB293</f>
        <v/>
      </c>
      <c r="BC294" s="95">
        <f>IFERROR(IF($C294="","",IF($P$15="Cascade",$R294*(1-BB294)*BA294,IF($P$15="Additionnelle",($N294-($N294*($P294+BB294)))*BA294))),"Non Trouvé")</f>
        <v/>
      </c>
      <c r="BF294" s="99">
        <f>BF293</f>
        <v/>
      </c>
      <c r="BG294" s="99">
        <f>BG293</f>
        <v/>
      </c>
      <c r="BH294" s="95">
        <f>IFERROR(IF($C294="","",IF($P$15="Cascade",$R294*(1-BG294)*BF294,IF($P$15="Additionnelle",($N294-($N294*($P294+BG294)))*BF294))),"Non Trouvé")</f>
        <v/>
      </c>
      <c r="BK294" s="99">
        <f>BK293</f>
        <v/>
      </c>
      <c r="BL294" s="99">
        <f>BL293</f>
        <v/>
      </c>
      <c r="BM294" s="95">
        <f>IFERROR(IF($C294="","",IF($P$15="Cascade",$R294*(1-BL294)*BK294,IF($P$15="Additionnelle",($N294-($N294*($P294+BL294)))*BK294))),"Non Trouvé")</f>
        <v/>
      </c>
      <c r="BP294" s="99">
        <f>BP293</f>
        <v/>
      </c>
      <c r="BQ294" s="99">
        <f>BQ293</f>
        <v/>
      </c>
      <c r="BR294" s="95">
        <f>IFERROR(IF($C294="","",IF($P$15="Cascade",$R294*(1-BQ294)*BP294,IF($P$15="Additionnelle",($N294-($N294*($P294+BQ294)))*BP294))),"Non Trouvé")</f>
        <v/>
      </c>
      <c r="BU294" s="99">
        <f>BU293</f>
        <v/>
      </c>
      <c r="BV294" s="99">
        <f>BV293</f>
        <v/>
      </c>
      <c r="BW294" s="95">
        <f>IFERROR(IF($C294="","",IF($P$15="Cascade",$R294*(1-BV294)*BU294,IF($P$15="Additionnelle",($N294-($N294*($P294+BV294)))*BU294))),"Non Trouvé")</f>
        <v/>
      </c>
      <c r="BZ294" s="99">
        <f>BZ293</f>
        <v/>
      </c>
      <c r="CA294" s="99">
        <f>CA293</f>
        <v/>
      </c>
      <c r="CB294" s="95">
        <f>IFERROR(IF($C294="","",IF($P$15="Cascade",$R294*(1-CA294)*BZ294,IF($P$15="Additionnelle",($N294-($N294*($P294+CA294)))*BZ294))),"Non Trouvé")</f>
        <v/>
      </c>
      <c r="CE294" s="100" t="n"/>
      <c r="CF294" s="138" t="n"/>
      <c r="CG294" s="101" t="n"/>
      <c r="CH294" s="101" t="n"/>
      <c r="CI294" s="103" t="n"/>
      <c r="CK294" s="104">
        <f>IFERROR(IF(F294='[1]Paramètres Généraux'!$K$12,ROUNDUP((REGENERANTS!H294*REGENERANTS!$CF$275)*'[1]Paramètres Généraux'!$M$12,-1),REGENERANTS!H294*REGENERANTS!$CF$275),"nd")</f>
        <v/>
      </c>
      <c r="CN294" s="105" t="n"/>
      <c r="CO294" s="106" t="n"/>
      <c r="CP294" s="106" t="n"/>
      <c r="CQ294" s="106" t="n"/>
      <c r="CR294" s="106" t="n"/>
      <c r="CS294" s="178" t="n"/>
      <c r="CT294" s="179" t="n"/>
      <c r="CU294" s="106" t="n"/>
      <c r="CV294" s="178" t="n"/>
      <c r="CW294" s="111" t="n"/>
      <c r="CX294" s="112" t="n"/>
      <c r="CY294" s="111" t="n"/>
      <c r="CZ294" s="109" t="n"/>
      <c r="DA294" s="112" t="n"/>
      <c r="DB294" s="111" t="n"/>
      <c r="DC294" s="109" t="n"/>
      <c r="DD294" s="112" t="n"/>
      <c r="DE294" s="111" t="n"/>
      <c r="DF294" s="109" t="n"/>
      <c r="DG294" s="109" t="n"/>
      <c r="DH294" s="109" t="n"/>
      <c r="DI294" s="109" t="n"/>
      <c r="DJ294" s="109" t="n"/>
      <c r="DK294" s="109" t="n"/>
      <c r="DL294" s="109" t="n"/>
      <c r="DM294" s="109" t="n"/>
      <c r="DN294" s="109" t="n"/>
      <c r="DO294" s="112" t="n"/>
      <c r="DP294" s="111" t="n"/>
      <c r="DQ294" s="20">
        <f>SUM(CN294:DP294)</f>
        <v/>
      </c>
      <c r="DR294" s="20">
        <f>SUM(CV294:DP294)</f>
        <v/>
      </c>
      <c r="DS294" s="20">
        <f>IFERROR((IF(AND($F294="Produit Vente",CO294&gt;0),VLOOKUP($C294,'[1]Paramètres Articles'!$B:$H,7,FALSE)*$CO294)*(1-20%)),0)</f>
        <v/>
      </c>
      <c r="DT294" s="20">
        <f>IFERROR((IF(AND($F294="Produit Vente",DR294&gt;0),VLOOKUP($C294,'[1]Paramètres Articles'!$B:$H,6,FALSE)*$DR294)*(1-15%)),0)</f>
        <v/>
      </c>
    </row>
    <row r="295" hidden="1" outlineLevel="1" collapsed="1" ht="12.95" customHeight="1">
      <c r="B295" s="1">
        <f>IF(C295="",0,COUNTIFS($B$22:B294,"&gt;"&amp;0)+1)</f>
        <v/>
      </c>
      <c r="C295" s="90" t="n">
        <v>3020718</v>
      </c>
      <c r="D295" s="91">
        <f>IFERROR(IF($C295="","",VLOOKUP($C295,'[1]Paramètres Articles'!$B:$G,2,FALSE)),"Non Trouvé")</f>
        <v/>
      </c>
      <c r="E295" s="92">
        <f>IFERROR(IF($C295="","",_xlfn.XLOOKUP(REGENERANTS!$C295,'[1]New Base PA'!$F:$F,'[1]New Base PA'!$D:$D,"Not Found",0)),"Non Trouvé")</f>
        <v/>
      </c>
      <c r="F295" s="93" t="inlineStr">
        <is>
          <t>Testeur</t>
        </is>
      </c>
      <c r="H295" s="106" t="n">
        <v>0</v>
      </c>
      <c r="J295" s="95">
        <f>IFERROR(IF($C295="","",VLOOKUP($C295,'[1]New Base PA'!$F:$J,5,FALSE)),"Non Trouvé")</f>
        <v/>
      </c>
      <c r="K295" s="136">
        <f>IFERROR(IF($C295="","",$J295*$H295),"Non Trouvé")</f>
        <v/>
      </c>
      <c r="L295" s="137" t="n"/>
      <c r="M295" s="136">
        <f>IFERROR(IF(AND($F295="Produit Vente",H295&gt;0),VLOOKUP($C295,'[1]Paramètres Articles'!$B:$G,6,FALSE),0),"Non Trouvé")</f>
        <v/>
      </c>
      <c r="N295" s="136">
        <f>IFERROR(IF($C295="","",$M295*$H295),"Non Trouvé")</f>
        <v/>
      </c>
      <c r="P295" s="97" t="n"/>
      <c r="R295" s="95">
        <f>IFERROR(IF($C295="","",$N295*(1-$P295)),"Non Trouvé")</f>
        <v/>
      </c>
      <c r="S295" s="96" t="n"/>
      <c r="T295" s="95">
        <f>IFERROR(IF($C295="","",VLOOKUP($C295,'[1]Paramètres Articles'!$B:$H,7,FALSE)),"Non Trouvé")</f>
        <v/>
      </c>
      <c r="U295" s="98" t="n"/>
      <c r="V295" s="95">
        <f>IFERROR(IF($C295="","",IF($P295="","",$T295*(1-$P295))),"Non Trouvé")</f>
        <v/>
      </c>
      <c r="W295" s="96" t="n"/>
      <c r="X295" s="95">
        <f>IFERROR(T295-V295,"")</f>
        <v/>
      </c>
      <c r="Y295" s="96" t="n"/>
      <c r="Z295" s="95">
        <f>IFERROR(IF(OR(T295=0,T295=""),0,T295*H295),"Non Trouvé")</f>
        <v/>
      </c>
      <c r="AB295" s="99">
        <f>AB293</f>
        <v/>
      </c>
      <c r="AC295" s="99">
        <f>AC293</f>
        <v/>
      </c>
      <c r="AD295" s="95">
        <f>IFERROR(IF($C295="","",IF($P$15="Cascade",$R295*(1-AC295)*AB295,IF($P$15="Additionnelle",($N295-($N295*($P295+AC295)))*AB295))),"Non Trouvé")</f>
        <v/>
      </c>
      <c r="AG295" s="99">
        <f>AG293</f>
        <v/>
      </c>
      <c r="AH295" s="99">
        <f>AH293</f>
        <v/>
      </c>
      <c r="AI295" s="95">
        <f>IFERROR(IF($C295="","",IF($P$15="Cascade",$R295*(1-AH295)*AG295,IF($P$15="Additionnelle",($N295-($N295*($P295+AH295)))*AG295))),"Non Trouvé")</f>
        <v/>
      </c>
      <c r="AL295" s="99">
        <f>AL293</f>
        <v/>
      </c>
      <c r="AM295" s="99">
        <f>AM293</f>
        <v/>
      </c>
      <c r="AN295" s="95">
        <f>IFERROR(IF($C295="","",IF($P$15="Cascade",$R295*(1-AM295)*AL295,IF($P$15="Additionnelle",($N295-($N295*($P295+AM295)))*AL295))),"Non Trouvé")</f>
        <v/>
      </c>
      <c r="AQ295" s="99">
        <f>AQ293</f>
        <v/>
      </c>
      <c r="AR295" s="99">
        <f>AR293</f>
        <v/>
      </c>
      <c r="AS295" s="95">
        <f>IFERROR(IF($C295="","",IF($P$15="Cascade",$R295*(1-AR295)*AQ295,IF($P$15="Additionnelle",($N295-($N295*($P295+AR295)))*AQ295))),"Non Trouvé")</f>
        <v/>
      </c>
      <c r="AV295" s="99">
        <f>AV293</f>
        <v/>
      </c>
      <c r="AW295" s="99">
        <f>AW293</f>
        <v/>
      </c>
      <c r="AX295" s="95">
        <f>IFERROR(IF($C295="","",IF($P$15="Cascade",$R295*(1-AW295)*AV295,IF($P$15="Additionnelle",($N295-($N295*($P295+AW295)))*AV295))),"Non Trouvé")</f>
        <v/>
      </c>
      <c r="BA295" s="99">
        <f>BA293</f>
        <v/>
      </c>
      <c r="BB295" s="99">
        <f>BB293</f>
        <v/>
      </c>
      <c r="BC295" s="95">
        <f>IFERROR(IF($C295="","",IF($P$15="Cascade",$R295*(1-BB295)*BA295,IF($P$15="Additionnelle",($N295-($N295*($P295+BB295)))*BA295))),"Non Trouvé")</f>
        <v/>
      </c>
      <c r="BF295" s="99">
        <f>BF293</f>
        <v/>
      </c>
      <c r="BG295" s="99">
        <f>BG293</f>
        <v/>
      </c>
      <c r="BH295" s="95">
        <f>IFERROR(IF($C295="","",IF($P$15="Cascade",$R295*(1-BG295)*BF295,IF($P$15="Additionnelle",($N295-($N295*($P295+BG295)))*BF295))),"Non Trouvé")</f>
        <v/>
      </c>
      <c r="BK295" s="99">
        <f>BK293</f>
        <v/>
      </c>
      <c r="BL295" s="99">
        <f>BL293</f>
        <v/>
      </c>
      <c r="BM295" s="95">
        <f>IFERROR(IF($C295="","",IF($P$15="Cascade",$R295*(1-BL295)*BK295,IF($P$15="Additionnelle",($N295-($N295*($P295+BL295)))*BK295))),"Non Trouvé")</f>
        <v/>
      </c>
      <c r="BP295" s="99">
        <f>BP293</f>
        <v/>
      </c>
      <c r="BQ295" s="99">
        <f>BQ293</f>
        <v/>
      </c>
      <c r="BR295" s="95">
        <f>IFERROR(IF($C295="","",IF($P$15="Cascade",$R295*(1-BQ295)*BP295,IF($P$15="Additionnelle",($N295-($N295*($P295+BQ295)))*BP295))),"Non Trouvé")</f>
        <v/>
      </c>
      <c r="BU295" s="99">
        <f>BU293</f>
        <v/>
      </c>
      <c r="BV295" s="99">
        <f>BV293</f>
        <v/>
      </c>
      <c r="BW295" s="95">
        <f>IFERROR(IF($C295="","",IF($P$15="Cascade",$R295*(1-BV295)*BU295,IF($P$15="Additionnelle",($N295-($N295*($P295+BV295)))*BU295))),"Non Trouvé")</f>
        <v/>
      </c>
      <c r="BZ295" s="99">
        <f>BZ293</f>
        <v/>
      </c>
      <c r="CA295" s="99">
        <f>CA293</f>
        <v/>
      </c>
      <c r="CB295" s="95">
        <f>IFERROR(IF($C295="","",IF($P$15="Cascade",$R295*(1-CA295)*BZ295,IF($P$15="Additionnelle",($N295-($N295*($P295+CA295)))*BZ295))),"Non Trouvé")</f>
        <v/>
      </c>
      <c r="CE295" s="100" t="n"/>
      <c r="CF295" s="101" t="n"/>
      <c r="CG295" s="133" t="inlineStr">
        <is>
          <t>Institut</t>
        </is>
      </c>
      <c r="CH295" s="101" t="n"/>
      <c r="CI295" s="103" t="n"/>
      <c r="CK295" s="104">
        <f>IFERROR(IF(F295='[1]Paramètres Généraux'!$K$12,ROUNDUP((REGENERANTS!H295*REGENERANTS!$CF$275)*'[1]Paramètres Généraux'!$M$12,-1),REGENERANTS!H295*REGENERANTS!$CF$275),"nd")</f>
        <v/>
      </c>
      <c r="CN295" s="105" t="n"/>
      <c r="CO295" s="106" t="n"/>
      <c r="CP295" s="106" t="n"/>
      <c r="CQ295" s="106" t="n"/>
      <c r="CR295" s="106" t="n"/>
      <c r="CS295" s="178" t="n"/>
      <c r="CT295" s="179" t="n"/>
      <c r="CU295" s="106" t="n"/>
      <c r="CV295" s="178" t="n"/>
      <c r="CW295" s="111" t="n"/>
      <c r="CX295" s="112" t="n"/>
      <c r="CY295" s="111" t="n"/>
      <c r="CZ295" s="109" t="n"/>
      <c r="DA295" s="112" t="n"/>
      <c r="DB295" s="111" t="n"/>
      <c r="DC295" s="109" t="n"/>
      <c r="DD295" s="112" t="n"/>
      <c r="DE295" s="111" t="n"/>
      <c r="DF295" s="109" t="n"/>
      <c r="DG295" s="109" t="n"/>
      <c r="DH295" s="109" t="n"/>
      <c r="DI295" s="109" t="n"/>
      <c r="DJ295" s="109" t="n"/>
      <c r="DK295" s="109" t="n"/>
      <c r="DL295" s="109" t="n"/>
      <c r="DM295" s="109" t="n"/>
      <c r="DN295" s="109" t="n"/>
      <c r="DO295" s="112" t="n"/>
      <c r="DP295" s="111" t="n"/>
      <c r="DQ295" s="20">
        <f>SUM(CN295:DP295)</f>
        <v/>
      </c>
      <c r="DR295" s="20">
        <f>SUM(CV295:DP295)</f>
        <v/>
      </c>
      <c r="DS295" s="20">
        <f>IFERROR((IF(AND($F295="Produit Vente",CO295&gt;0),VLOOKUP($C295,'[1]Paramètres Articles'!$B:$H,7,FALSE)*$CO295)*(1-20%)),0)</f>
        <v/>
      </c>
      <c r="DT295" s="20">
        <f>IFERROR((IF(AND($F295="Produit Vente",DR295&gt;0),VLOOKUP($C295,'[1]Paramètres Articles'!$B:$H,6,FALSE)*$DR295)*(1-15%)),0)</f>
        <v/>
      </c>
    </row>
    <row r="296" hidden="1" outlineLevel="1" collapsed="1" ht="12.95" customHeight="1">
      <c r="B296" s="1">
        <f>IF(C296="",0,COUNTIFS($B$22:B295,"&gt;"&amp;0)+1)</f>
        <v/>
      </c>
      <c r="C296" s="90" t="inlineStr">
        <is>
          <t>SR REGE INSTITUT</t>
        </is>
      </c>
      <c r="D296" s="91">
        <f>IFERROR(IF($C296="","",VLOOKUP($C296,'[1]Paramètres Articles'!$B:$G,2,FALSE)),"Non Trouvé")</f>
        <v/>
      </c>
      <c r="E296" s="92">
        <f>IFERROR(IF($C296="","",_xlfn.XLOOKUP(REGENERANTS!$C296,'[1]New Base PA'!$F:$F,'[1]New Base PA'!$D:$D,"Not Found",0)),"Non Trouvé")</f>
        <v/>
      </c>
      <c r="F296" s="93" t="inlineStr">
        <is>
          <t>PLV (PDC ou autre)</t>
        </is>
      </c>
      <c r="H296" s="106" t="n">
        <v>0</v>
      </c>
      <c r="J296" s="95">
        <f>IFERROR(IF($C296="","",VLOOKUP($C296,'[1]New Base PA'!$F:$J,5,FALSE)),"Non Trouvé")</f>
        <v/>
      </c>
      <c r="K296" s="136">
        <f>IFERROR(IF($C296="","",$J296*$H296),"Non Trouvé")</f>
        <v/>
      </c>
      <c r="L296" s="137" t="n"/>
      <c r="M296" s="136">
        <f>IFERROR(IF(AND($F296="Produit Vente",H296&gt;0),VLOOKUP($C296,'[1]Paramètres Articles'!$B:$G,6,FALSE),0),"Non Trouvé")</f>
        <v/>
      </c>
      <c r="N296" s="136">
        <f>IFERROR(IF($C296="","",$M296*$H296),"Non Trouvé")</f>
        <v/>
      </c>
      <c r="P296" s="97" t="n"/>
      <c r="R296" s="95">
        <f>IFERROR(IF($C296="","",$N296*(1-$P296)),"Non Trouvé")</f>
        <v/>
      </c>
      <c r="S296" s="96" t="n"/>
      <c r="T296" s="95">
        <f>IFERROR(IF($C296="","",VLOOKUP($C296,'[1]Paramètres Articles'!$B:$H,7,FALSE)),"Non Trouvé")</f>
        <v/>
      </c>
      <c r="U296" s="98" t="n"/>
      <c r="V296" s="95">
        <f>IFERROR(IF($C296="","",IF($P296="","",$T296*(1-$P296))),"Non Trouvé")</f>
        <v/>
      </c>
      <c r="W296" s="96" t="n"/>
      <c r="X296" s="95">
        <f>IFERROR(T296-V296,"")</f>
        <v/>
      </c>
      <c r="Y296" s="96" t="n"/>
      <c r="Z296" s="95">
        <f>IFERROR(IF(OR(T296=0,T296=""),0,T296*H296),"Non Trouvé")</f>
        <v/>
      </c>
      <c r="AB296" s="99">
        <f>AB295</f>
        <v/>
      </c>
      <c r="AC296" s="99">
        <f>AC295</f>
        <v/>
      </c>
      <c r="AD296" s="95">
        <f>IFERROR(IF($C296="","",IF($P$15="Cascade",$R296*(1-AC296)*AB296,IF($P$15="Additionnelle",($N296-($N296*($P296+AC296)))*AB296))),"Non Trouvé")</f>
        <v/>
      </c>
      <c r="AG296" s="99">
        <f>AG295</f>
        <v/>
      </c>
      <c r="AH296" s="99">
        <f>AH295</f>
        <v/>
      </c>
      <c r="AI296" s="95">
        <f>IFERROR(IF($C296="","",IF($P$15="Cascade",$R296*(1-AH296)*AG296,IF($P$15="Additionnelle",($N296-($N296*($P296+AH296)))*AG296))),"Non Trouvé")</f>
        <v/>
      </c>
      <c r="AL296" s="99">
        <f>AL295</f>
        <v/>
      </c>
      <c r="AM296" s="99">
        <f>AM295</f>
        <v/>
      </c>
      <c r="AN296" s="95">
        <f>IFERROR(IF($C296="","",IF($P$15="Cascade",$R296*(1-AM296)*AL296,IF($P$15="Additionnelle",($N296-($N296*($P296+AM296)))*AL296))),"Non Trouvé")</f>
        <v/>
      </c>
      <c r="AQ296" s="99">
        <f>AQ295</f>
        <v/>
      </c>
      <c r="AR296" s="99">
        <f>AR295</f>
        <v/>
      </c>
      <c r="AS296" s="95">
        <f>IFERROR(IF($C296="","",IF($P$15="Cascade",$R296*(1-AR296)*AQ296,IF($P$15="Additionnelle",($N296-($N296*($P296+AR296)))*AQ296))),"Non Trouvé")</f>
        <v/>
      </c>
      <c r="AV296" s="99">
        <f>AV295</f>
        <v/>
      </c>
      <c r="AW296" s="99">
        <f>AW295</f>
        <v/>
      </c>
      <c r="AX296" s="95">
        <f>IFERROR(IF($C296="","",IF($P$15="Cascade",$R296*(1-AW296)*AV296,IF($P$15="Additionnelle",($N296-($N296*($P296+AW296)))*AV296))),"Non Trouvé")</f>
        <v/>
      </c>
      <c r="BA296" s="99">
        <f>BA295</f>
        <v/>
      </c>
      <c r="BB296" s="99">
        <f>BB295</f>
        <v/>
      </c>
      <c r="BC296" s="95">
        <f>IFERROR(IF($C296="","",IF($P$15="Cascade",$R296*(1-BB296)*BA296,IF($P$15="Additionnelle",($N296-($N296*($P296+BB296)))*BA296))),"Non Trouvé")</f>
        <v/>
      </c>
      <c r="BF296" s="99">
        <f>BF295</f>
        <v/>
      </c>
      <c r="BG296" s="99">
        <f>BG295</f>
        <v/>
      </c>
      <c r="BH296" s="95">
        <f>IFERROR(IF($C296="","",IF($P$15="Cascade",$R296*(1-BG296)*BF296,IF($P$15="Additionnelle",($N296-($N296*($P296+BG296)))*BF296))),"Non Trouvé")</f>
        <v/>
      </c>
      <c r="BK296" s="99">
        <f>BK295</f>
        <v/>
      </c>
      <c r="BL296" s="99">
        <f>BL295</f>
        <v/>
      </c>
      <c r="BM296" s="95">
        <f>IFERROR(IF($C296="","",IF($P$15="Cascade",$R296*(1-BL296)*BK296,IF($P$15="Additionnelle",($N296-($N296*($P296+BL296)))*BK296))),"Non Trouvé")</f>
        <v/>
      </c>
      <c r="BP296" s="99">
        <f>BP295</f>
        <v/>
      </c>
      <c r="BQ296" s="99">
        <f>BQ295</f>
        <v/>
      </c>
      <c r="BR296" s="95">
        <f>IFERROR(IF($C296="","",IF($P$15="Cascade",$R296*(1-BQ296)*BP296,IF($P$15="Additionnelle",($N296-($N296*($P296+BQ296)))*BP296))),"Non Trouvé")</f>
        <v/>
      </c>
      <c r="BU296" s="99">
        <f>BU295</f>
        <v/>
      </c>
      <c r="BV296" s="99">
        <f>BV295</f>
        <v/>
      </c>
      <c r="BW296" s="95">
        <f>IFERROR(IF($C296="","",IF($P$15="Cascade",$R296*(1-BV296)*BU296,IF($P$15="Additionnelle",($N296-($N296*($P296+BV296)))*BU296))),"Non Trouvé")</f>
        <v/>
      </c>
      <c r="BZ296" s="99">
        <f>BZ295</f>
        <v/>
      </c>
      <c r="CA296" s="99">
        <f>CA295</f>
        <v/>
      </c>
      <c r="CB296" s="95">
        <f>IFERROR(IF($C296="","",IF($P$15="Cascade",$R296*(1-CA296)*BZ296,IF($P$15="Additionnelle",($N296-($N296*($P296+CA296)))*BZ296))),"Non Trouvé")</f>
        <v/>
      </c>
      <c r="CE296" s="100" t="n"/>
      <c r="CF296" s="101" t="n"/>
      <c r="CG296" s="102" t="inlineStr">
        <is>
          <t>Nbrs Offres planifiées</t>
        </is>
      </c>
      <c r="CH296" s="138">
        <f>SUMIFS($AV275:$BX275,$AV272:$BX272,CG296)</f>
        <v/>
      </c>
      <c r="CI296" s="103" t="n"/>
      <c r="CK296" s="104">
        <f>IFERROR(IF(F296='[1]Paramètres Généraux'!$K$12,ROUNDUP((REGENERANTS!H296*REGENERANTS!$CF$275)*'[1]Paramètres Généraux'!$M$12,-1),REGENERANTS!H296*REGENERANTS!$CF$275),"nd")</f>
        <v/>
      </c>
      <c r="CN296" s="153" t="n"/>
      <c r="CO296" s="154" t="n"/>
      <c r="CP296" s="154" t="n"/>
      <c r="CQ296" s="154" t="n"/>
      <c r="CR296" s="154" t="n"/>
      <c r="CS296" s="180" t="n"/>
      <c r="CT296" s="181" t="n"/>
      <c r="CU296" s="154" t="n"/>
      <c r="CV296" s="180" t="n"/>
      <c r="CW296" s="157" t="n"/>
      <c r="CX296" s="156" t="n"/>
      <c r="CY296" s="157" t="n"/>
      <c r="CZ296" s="143" t="n"/>
      <c r="DA296" s="156" t="n"/>
      <c r="DB296" s="157" t="n"/>
      <c r="DC296" s="143" t="n"/>
      <c r="DD296" s="156" t="n"/>
      <c r="DE296" s="157" t="n"/>
      <c r="DF296" s="143" t="n"/>
      <c r="DG296" s="143" t="n"/>
      <c r="DH296" s="143" t="n"/>
      <c r="DI296" s="143" t="n"/>
      <c r="DJ296" s="143" t="n"/>
      <c r="DK296" s="143" t="n"/>
      <c r="DL296" s="143" t="n"/>
      <c r="DM296" s="143" t="n"/>
      <c r="DN296" s="143" t="n"/>
      <c r="DO296" s="156" t="n"/>
      <c r="DP296" s="157" t="n"/>
      <c r="DQ296" s="20">
        <f>SUM(CN296:DP296)</f>
        <v/>
      </c>
      <c r="DR296" s="20">
        <f>SUM(CV296:DP296)</f>
        <v/>
      </c>
      <c r="DS296" s="20">
        <f>IFERROR((IF(AND($F296="Produit Vente",CO296&gt;0),VLOOKUP($C296,'[1]Paramètres Articles'!$B:$H,7,FALSE)*$CO296)*(1-20%)),0)</f>
        <v/>
      </c>
      <c r="DT296" s="20">
        <f>IFERROR((IF(AND($F296="Produit Vente",DR296&gt;0),VLOOKUP($C296,'[1]Paramètres Articles'!$B:$H,6,FALSE)*$DR296)*(1-15%)),0)</f>
        <v/>
      </c>
    </row>
    <row r="297" hidden="1" outlineLevel="1" collapsed="1" ht="12.95" customHeight="1">
      <c r="B297" s="1">
        <f>IF(C297="",0,COUNTIFS($B$22:B296,"&gt;"&amp;0)+1)</f>
        <v/>
      </c>
      <c r="C297" s="90" t="n">
        <v>1010116</v>
      </c>
      <c r="D297" s="91">
        <f>IFERROR(IF($C297="","",VLOOKUP($C297,'[1]Paramètres Articles'!$B:$G,2,FALSE)),"Non Trouvé")</f>
        <v/>
      </c>
      <c r="E297" s="92">
        <f>IFERROR(IF($C297="","",_xlfn.XLOOKUP(REGENERANTS!$C297,'[1]New Base PA'!$F:$F,'[1]New Base PA'!$D:$D,"Not Found",0)),"Non Trouvé")</f>
        <v/>
      </c>
      <c r="F297" s="93" t="inlineStr">
        <is>
          <t>UG</t>
        </is>
      </c>
      <c r="H297" s="106" t="n">
        <v>6</v>
      </c>
      <c r="J297" s="95">
        <f>IFERROR(IF($C297="","",VLOOKUP($C297,'[1]New Base PA'!$F:$J,5,FALSE)),"Non Trouvé")</f>
        <v/>
      </c>
      <c r="K297" s="136">
        <f>IFERROR(IF($C297="","",$J297*$H297),"Non Trouvé")</f>
        <v/>
      </c>
      <c r="L297" s="137" t="n"/>
      <c r="M297" s="136">
        <f>IFERROR(IF(AND($F297="Produit Vente",H297&gt;0),VLOOKUP($C297,'[1]Paramètres Articles'!$B:$G,6,FALSE),0),"Non Trouvé")</f>
        <v/>
      </c>
      <c r="N297" s="136">
        <f>IFERROR(IF($C297="","",$M297*$H297),"Non Trouvé")</f>
        <v/>
      </c>
      <c r="P297" s="97" t="n"/>
      <c r="R297" s="95">
        <f>IFERROR(IF($C297="","",$N297*(1-$P297)),"Non Trouvé")</f>
        <v/>
      </c>
      <c r="S297" s="96" t="n"/>
      <c r="T297" s="95">
        <f>IFERROR(IF($C297="","",VLOOKUP($C297,'[1]Paramètres Articles'!$B:$H,7,FALSE)),"Non Trouvé")</f>
        <v/>
      </c>
      <c r="U297" s="98" t="n"/>
      <c r="V297" s="95">
        <f>IFERROR(IF($C297="","",IF($P297="","",$T297*(1-$P297))),"Non Trouvé")</f>
        <v/>
      </c>
      <c r="W297" s="96" t="n"/>
      <c r="X297" s="95">
        <f>IFERROR(T297-V297,"")</f>
        <v/>
      </c>
      <c r="Y297" s="96" t="n"/>
      <c r="Z297" s="95">
        <f>IFERROR(IF(OR(T297=0,T297=""),0,T297*H297),"Non Trouvé")</f>
        <v/>
      </c>
      <c r="AB297" s="99">
        <f>AB295</f>
        <v/>
      </c>
      <c r="AC297" s="99">
        <f>AC295</f>
        <v/>
      </c>
      <c r="AD297" s="95">
        <f>IFERROR(IF($C297="","",IF($P$15="Cascade",$R297*(1-AC297)*AB297,IF($P$15="Additionnelle",($N297-($N297*($P297+AC297)))*AB297))),"Non Trouvé")</f>
        <v/>
      </c>
      <c r="AG297" s="99">
        <f>AG295</f>
        <v/>
      </c>
      <c r="AH297" s="99">
        <f>AH295</f>
        <v/>
      </c>
      <c r="AI297" s="95">
        <f>IFERROR(IF($C297="","",IF($P$15="Cascade",$R297*(1-AH297)*AG297,IF($P$15="Additionnelle",($N297-($N297*($P297+AH297)))*AG297))),"Non Trouvé")</f>
        <v/>
      </c>
      <c r="AL297" s="99">
        <f>AL295</f>
        <v/>
      </c>
      <c r="AM297" s="99">
        <f>AM295</f>
        <v/>
      </c>
      <c r="AN297" s="95">
        <f>IFERROR(IF($C297="","",IF($P$15="Cascade",$R297*(1-AM297)*AL297,IF($P$15="Additionnelle",($N297-($N297*($P297+AM297)))*AL297))),"Non Trouvé")</f>
        <v/>
      </c>
      <c r="AQ297" s="99">
        <f>AQ295</f>
        <v/>
      </c>
      <c r="AR297" s="99">
        <f>AR295</f>
        <v/>
      </c>
      <c r="AS297" s="95">
        <f>IFERROR(IF($C297="","",IF($P$15="Cascade",$R297*(1-AR297)*AQ297,IF($P$15="Additionnelle",($N297-($N297*($P297+AR297)))*AQ297))),"Non Trouvé")</f>
        <v/>
      </c>
      <c r="AV297" s="99">
        <f>AV295</f>
        <v/>
      </c>
      <c r="AW297" s="99">
        <f>AW295</f>
        <v/>
      </c>
      <c r="AX297" s="95">
        <f>IFERROR(IF($C297="","",IF($P$15="Cascade",$R297*(1-AW297)*AV297,IF($P$15="Additionnelle",($N297-($N297*($P297+AW297)))*AV297))),"Non Trouvé")</f>
        <v/>
      </c>
      <c r="BA297" s="99">
        <f>BA295</f>
        <v/>
      </c>
      <c r="BB297" s="99">
        <f>BB295</f>
        <v/>
      </c>
      <c r="BC297" s="95">
        <f>IFERROR(IF($C297="","",IF($P$15="Cascade",$R297*(1-BB297)*BA297,IF($P$15="Additionnelle",($N297-($N297*($P297+BB297)))*BA297))),"Non Trouvé")</f>
        <v/>
      </c>
      <c r="BF297" s="99">
        <f>BF295</f>
        <v/>
      </c>
      <c r="BG297" s="99">
        <f>BG295</f>
        <v/>
      </c>
      <c r="BH297" s="95">
        <f>IFERROR(IF($C297="","",IF($P$15="Cascade",$R297*(1-BG297)*BF297,IF($P$15="Additionnelle",($N297-($N297*($P297+BG297)))*BF297))),"Non Trouvé")</f>
        <v/>
      </c>
      <c r="BK297" s="99">
        <f>BK295</f>
        <v/>
      </c>
      <c r="BL297" s="99">
        <f>BL295</f>
        <v/>
      </c>
      <c r="BM297" s="95">
        <f>IFERROR(IF($C297="","",IF($P$15="Cascade",$R297*(1-BL297)*BK297,IF($P$15="Additionnelle",($N297-($N297*($P297+BL297)))*BK297))),"Non Trouvé")</f>
        <v/>
      </c>
      <c r="BP297" s="99">
        <f>BP295</f>
        <v/>
      </c>
      <c r="BQ297" s="99">
        <f>BQ295</f>
        <v/>
      </c>
      <c r="BR297" s="95">
        <f>IFERROR(IF($C297="","",IF($P$15="Cascade",$R297*(1-BQ297)*BP297,IF($P$15="Additionnelle",($N297-($N297*($P297+BQ297)))*BP297))),"Non Trouvé")</f>
        <v/>
      </c>
      <c r="BU297" s="99">
        <f>BU295</f>
        <v/>
      </c>
      <c r="BV297" s="99">
        <f>BV295</f>
        <v/>
      </c>
      <c r="BW297" s="95">
        <f>IFERROR(IF($C297="","",IF($P$15="Cascade",$R297*(1-BV297)*BU297,IF($P$15="Additionnelle",($N297-($N297*($P297+BV297)))*BU297))),"Non Trouvé")</f>
        <v/>
      </c>
      <c r="BZ297" s="99">
        <f>BZ295</f>
        <v/>
      </c>
      <c r="CA297" s="99">
        <f>CA295</f>
        <v/>
      </c>
      <c r="CB297" s="95">
        <f>IFERROR(IF($C297="","",IF($P$15="Cascade",$R297*(1-CA297)*BZ297,IF($P$15="Additionnelle",($N297-($N297*($P297+CA297)))*BZ297))),"Non Trouvé")</f>
        <v/>
      </c>
      <c r="CE297" s="100" t="n"/>
      <c r="CF297" s="101" t="n"/>
      <c r="CG297" s="102" t="inlineStr">
        <is>
          <t>CA</t>
        </is>
      </c>
      <c r="CH297" s="139">
        <f>SUMIFS($AV275:$BX275,$AV272:$BX272,CG297)</f>
        <v/>
      </c>
      <c r="CI297" s="103" t="n"/>
      <c r="CK297" s="104">
        <f>IFERROR(IF(F297='[1]Paramètres Généraux'!$K$12,ROUNDUP((REGENERANTS!H297*REGENERANTS!$CF$275)*'[1]Paramètres Généraux'!$M$12,-1),REGENERANTS!H297*REGENERANTS!$CF$275),"nd")</f>
        <v/>
      </c>
      <c r="CN297" s="153" t="n"/>
      <c r="CO297" s="154" t="n"/>
      <c r="CP297" s="154" t="n"/>
      <c r="CQ297" s="154" t="n"/>
      <c r="CR297" s="154" t="n"/>
      <c r="CS297" s="180" t="n"/>
      <c r="CT297" s="181" t="n"/>
      <c r="CU297" s="154" t="n"/>
      <c r="CV297" s="180" t="n"/>
      <c r="CW297" s="157" t="n"/>
      <c r="CX297" s="156" t="n"/>
      <c r="CY297" s="157" t="n"/>
      <c r="CZ297" s="143" t="n"/>
      <c r="DA297" s="156" t="n"/>
      <c r="DB297" s="157" t="n"/>
      <c r="DC297" s="143" t="n"/>
      <c r="DD297" s="156" t="n"/>
      <c r="DE297" s="157" t="n"/>
      <c r="DF297" s="143" t="n"/>
      <c r="DG297" s="143" t="n"/>
      <c r="DH297" s="143" t="n"/>
      <c r="DI297" s="143" t="n"/>
      <c r="DJ297" s="143" t="n"/>
      <c r="DK297" s="143" t="n"/>
      <c r="DL297" s="143" t="n"/>
      <c r="DM297" s="143" t="n"/>
      <c r="DN297" s="143" t="n"/>
      <c r="DO297" s="156" t="n"/>
      <c r="DP297" s="157" t="n"/>
      <c r="DQ297" s="20">
        <f>SUM(CN297:DP297)</f>
        <v/>
      </c>
      <c r="DR297" s="20">
        <f>SUM(CV297:DP297)</f>
        <v/>
      </c>
      <c r="DS297" s="20">
        <f>IFERROR((IF(AND($F297="Produit Vente",CO297&gt;0),VLOOKUP($C297,'[1]Paramètres Articles'!$B:$H,7,FALSE)*$CO297)*(1-20%)),0)</f>
        <v/>
      </c>
      <c r="DT297" s="20">
        <f>IFERROR((IF(AND($F297="Produit Vente",DR297&gt;0),VLOOKUP($C297,'[1]Paramètres Articles'!$B:$H,6,FALSE)*$DR297)*(1-15%)),0)</f>
        <v/>
      </c>
    </row>
    <row r="298" hidden="1" outlineLevel="1" collapsed="1" ht="12.95" customHeight="1">
      <c r="B298" s="1">
        <f>IF(C298="",0,COUNTIFS($B$22:B297,"&gt;"&amp;0)+1)</f>
        <v/>
      </c>
      <c r="C298" s="90" t="n"/>
      <c r="D298" s="91">
        <f>IFERROR(IF($C298="","",VLOOKUP($C298,'[1]Paramètres Articles'!$B:$G,2,FALSE)),"Non Trouvé")</f>
        <v/>
      </c>
      <c r="E298" s="92">
        <f>IFERROR(IF($C298="","",_xlfn.XLOOKUP(REGENERANTS!$C298,'[1]New Base PA'!$F:$F,'[1]New Base PA'!$D:$D,"Not Found",0)),"Non Trouvé")</f>
        <v/>
      </c>
      <c r="F298" s="93" t="n"/>
      <c r="H298" s="106" t="n"/>
      <c r="J298" s="95">
        <f>IFERROR(IF($C298="","",VLOOKUP($C298,'[1]New Base PA'!$F:$J,5,FALSE)),"Non Trouvé")</f>
        <v/>
      </c>
      <c r="K298" s="136">
        <f>IFERROR(IF($C298="","",$J298*$H298),"Non Trouvé")</f>
        <v/>
      </c>
      <c r="L298" s="137" t="n"/>
      <c r="M298" s="136">
        <f>IFERROR(IF(AND($F298="Produit Vente",H298&gt;0),VLOOKUP($C298,'[1]Paramètres Articles'!$B:$G,6,FALSE),0),"Non Trouvé")</f>
        <v/>
      </c>
      <c r="N298" s="136">
        <f>IFERROR(IF($C298="","",$M298*$H298),"Non Trouvé")</f>
        <v/>
      </c>
      <c r="P298" s="97" t="n"/>
      <c r="R298" s="95">
        <f>IFERROR(IF($C298="","",$N298*(1-$P298)),"Non Trouvé")</f>
        <v/>
      </c>
      <c r="S298" s="96" t="n"/>
      <c r="T298" s="95">
        <f>IFERROR(IF($C298="","",VLOOKUP($C298,'[1]Paramètres Articles'!$B:$H,7,FALSE)),"Non Trouvé")</f>
        <v/>
      </c>
      <c r="U298" s="98" t="n"/>
      <c r="V298" s="95">
        <f>IFERROR(IF($C298="","",IF($P298="","",$T298*(1-$P298))),"Non Trouvé")</f>
        <v/>
      </c>
      <c r="W298" s="96" t="n"/>
      <c r="X298" s="95">
        <f>IFERROR(T298-V298,"")</f>
        <v/>
      </c>
      <c r="Y298" s="96" t="n"/>
      <c r="Z298" s="95">
        <f>IFERROR(IF(OR(T298=0,T298=""),0,T298*H298),"Non Trouvé")</f>
        <v/>
      </c>
      <c r="AB298" s="99">
        <f>AB297</f>
        <v/>
      </c>
      <c r="AC298" s="99">
        <f>AC297</f>
        <v/>
      </c>
      <c r="AD298" s="95">
        <f>IFERROR(IF($C298="","",IF($P$15="Cascade",$R298*(1-AC298)*AB298,IF($P$15="Additionnelle",($N298-($N298*($P298+AC298)))*AB298))),"Non Trouvé")</f>
        <v/>
      </c>
      <c r="AG298" s="99">
        <f>AG297</f>
        <v/>
      </c>
      <c r="AH298" s="99">
        <f>AH297</f>
        <v/>
      </c>
      <c r="AI298" s="95">
        <f>IFERROR(IF($C298="","",IF($P$15="Cascade",$R298*(1-AH298)*AG298,IF($P$15="Additionnelle",($N298-($N298*($P298+AH298)))*AG298))),"Non Trouvé")</f>
        <v/>
      </c>
      <c r="AL298" s="99">
        <f>AL297</f>
        <v/>
      </c>
      <c r="AM298" s="99">
        <f>AM297</f>
        <v/>
      </c>
      <c r="AN298" s="95">
        <f>IFERROR(IF($C298="","",IF($P$15="Cascade",$R298*(1-AM298)*AL298,IF($P$15="Additionnelle",($N298-($N298*($P298+AM298)))*AL298))),"Non Trouvé")</f>
        <v/>
      </c>
      <c r="AQ298" s="99">
        <f>AQ297</f>
        <v/>
      </c>
      <c r="AR298" s="99">
        <f>AR297</f>
        <v/>
      </c>
      <c r="AS298" s="95">
        <f>IFERROR(IF($C298="","",IF($P$15="Cascade",$R298*(1-AR298)*AQ298,IF($P$15="Additionnelle",($N298-($N298*($P298+AR298)))*AQ298))),"Non Trouvé")</f>
        <v/>
      </c>
      <c r="AV298" s="99">
        <f>AV297</f>
        <v/>
      </c>
      <c r="AW298" s="99">
        <f>AW297</f>
        <v/>
      </c>
      <c r="AX298" s="95">
        <f>IFERROR(IF($C298="","",IF($P$15="Cascade",$R298*(1-AW298)*AV298,IF($P$15="Additionnelle",($N298-($N298*($P298+AW298)))*AV298))),"Non Trouvé")</f>
        <v/>
      </c>
      <c r="BA298" s="99">
        <f>BA297</f>
        <v/>
      </c>
      <c r="BB298" s="99">
        <f>BB297</f>
        <v/>
      </c>
      <c r="BC298" s="95">
        <f>IFERROR(IF($C298="","",IF($P$15="Cascade",$R298*(1-BB298)*BA298,IF($P$15="Additionnelle",($N298-($N298*($P298+BB298)))*BA298))),"Non Trouvé")</f>
        <v/>
      </c>
      <c r="BF298" s="99">
        <f>BF297</f>
        <v/>
      </c>
      <c r="BG298" s="99">
        <f>BG297</f>
        <v/>
      </c>
      <c r="BH298" s="95">
        <f>IFERROR(IF($C298="","",IF($P$15="Cascade",$R298*(1-BG298)*BF298,IF($P$15="Additionnelle",($N298-($N298*($P298+BG298)))*BF298))),"Non Trouvé")</f>
        <v/>
      </c>
      <c r="BK298" s="99">
        <f>BK297</f>
        <v/>
      </c>
      <c r="BL298" s="99">
        <f>BL297</f>
        <v/>
      </c>
      <c r="BM298" s="95">
        <f>IFERROR(IF($C298="","",IF($P$15="Cascade",$R298*(1-BL298)*BK298,IF($P$15="Additionnelle",($N298-($N298*($P298+BL298)))*BK298))),"Non Trouvé")</f>
        <v/>
      </c>
      <c r="BP298" s="99">
        <f>BP297</f>
        <v/>
      </c>
      <c r="BQ298" s="99">
        <f>BQ297</f>
        <v/>
      </c>
      <c r="BR298" s="95">
        <f>IFERROR(IF($C298="","",IF($P$15="Cascade",$R298*(1-BQ298)*BP298,IF($P$15="Additionnelle",($N298-($N298*($P298+BQ298)))*BP298))),"Non Trouvé")</f>
        <v/>
      </c>
      <c r="BU298" s="99">
        <f>BU297</f>
        <v/>
      </c>
      <c r="BV298" s="99">
        <f>BV297</f>
        <v/>
      </c>
      <c r="BW298" s="95">
        <f>IFERROR(IF($C298="","",IF($P$15="Cascade",$R298*(1-BV298)*BU298,IF($P$15="Additionnelle",($N298-($N298*($P298+BV298)))*BU298))),"Non Trouvé")</f>
        <v/>
      </c>
      <c r="BZ298" s="99">
        <f>BZ297</f>
        <v/>
      </c>
      <c r="CA298" s="99">
        <f>CA297</f>
        <v/>
      </c>
      <c r="CB298" s="95">
        <f>IFERROR(IF($C298="","",IF($P$15="Cascade",$R298*(1-CA298)*BZ298,IF($P$15="Additionnelle",($N298-($N298*($P298+CA298)))*BZ298))),"Non Trouvé")</f>
        <v/>
      </c>
      <c r="CE298" s="100" t="n"/>
      <c r="CF298" s="101" t="n"/>
      <c r="CG298" s="102" t="inlineStr">
        <is>
          <t>Marges</t>
        </is>
      </c>
      <c r="CH298" s="142">
        <f>IFERROR((CH297-$K275*CH296)/CH297,"Non Trouvé")</f>
        <v/>
      </c>
      <c r="CI298" s="103" t="n"/>
      <c r="CK298" s="104">
        <f>IFERROR(IF(F298='[1]Paramètres Généraux'!$K$12,ROUNDUP((REGENERANTS!H298*REGENERANTS!$CF$275)*'[1]Paramètres Généraux'!$M$12,-1),REGENERANTS!H298*REGENERANTS!$CF$275),"nd")</f>
        <v/>
      </c>
      <c r="CN298" s="153" t="n"/>
      <c r="CO298" s="154" t="n"/>
      <c r="CP298" s="154" t="n"/>
      <c r="CQ298" s="154" t="n"/>
      <c r="CR298" s="154" t="n"/>
      <c r="CS298" s="180" t="n"/>
      <c r="CT298" s="181" t="n"/>
      <c r="CU298" s="154" t="n"/>
      <c r="CV298" s="180" t="n"/>
      <c r="CW298" s="157" t="n"/>
      <c r="CX298" s="156" t="n"/>
      <c r="CY298" s="157" t="n"/>
      <c r="CZ298" s="143" t="n"/>
      <c r="DA298" s="156" t="n"/>
      <c r="DB298" s="157" t="n"/>
      <c r="DC298" s="143" t="n"/>
      <c r="DD298" s="156" t="n"/>
      <c r="DE298" s="157" t="n"/>
      <c r="DF298" s="143" t="n"/>
      <c r="DG298" s="143" t="n"/>
      <c r="DH298" s="143" t="n"/>
      <c r="DI298" s="143" t="n"/>
      <c r="DJ298" s="143" t="n"/>
      <c r="DK298" s="143" t="n"/>
      <c r="DL298" s="143" t="n"/>
      <c r="DM298" s="143" t="n"/>
      <c r="DN298" s="143" t="n"/>
      <c r="DO298" s="156" t="n"/>
      <c r="DP298" s="157" t="n"/>
      <c r="DQ298" s="20">
        <f>SUM(CN298:DP298)</f>
        <v/>
      </c>
      <c r="DR298" s="20">
        <f>SUM(CV298:DP298)</f>
        <v/>
      </c>
      <c r="DS298" s="20">
        <f>IFERROR((IF(AND($F298="Produit Vente",CO298&gt;0),VLOOKUP($C298,'[1]Paramètres Articles'!$B:$H,7,FALSE)*$CO298)*(1-20%)),0)</f>
        <v/>
      </c>
      <c r="DT298" s="20">
        <f>IFERROR((IF(AND($F298="Produit Vente",DR298&gt;0),VLOOKUP($C298,'[1]Paramètres Articles'!$B:$H,6,FALSE)*$DR298)*(1-15%)),0)</f>
        <v/>
      </c>
    </row>
    <row r="299" hidden="1" outlineLevel="1" collapsed="1" ht="12.95" customHeight="1">
      <c r="B299" s="1">
        <f>IF(C299="",0,COUNTIFS($B$22:B298,"&gt;"&amp;0)+1)</f>
        <v/>
      </c>
      <c r="C299" s="90" t="n"/>
      <c r="D299" s="91">
        <f>IFERROR(IF($C299="","",VLOOKUP($C299,'[1]Paramètres Articles'!$B:$G,2,FALSE)),"Non Trouvé")</f>
        <v/>
      </c>
      <c r="E299" s="92">
        <f>IFERROR(IF($C299="","",_xlfn.XLOOKUP(REGENERANTS!$C299,'[1]New Base PA'!$F:$F,'[1]New Base PA'!$D:$D,"Not Found",0)),"Non Trouvé")</f>
        <v/>
      </c>
      <c r="F299" s="93" t="n"/>
      <c r="H299" s="106" t="n"/>
      <c r="J299" s="95">
        <f>IFERROR(IF($C299="","",VLOOKUP($C299,'[1]New Base PA'!$F:$J,5,FALSE)),"Non Trouvé")</f>
        <v/>
      </c>
      <c r="K299" s="136">
        <f>IFERROR(IF($C299="","",$J299*$H299),"Non Trouvé")</f>
        <v/>
      </c>
      <c r="L299" s="137" t="n"/>
      <c r="M299" s="136">
        <f>IFERROR(IF(AND($F299="Produit Vente",H299&gt;0),VLOOKUP($C299,'[1]Paramètres Articles'!$B:$G,6,FALSE),0),"Non Trouvé")</f>
        <v/>
      </c>
      <c r="N299" s="136">
        <f>IFERROR(IF($C299="","",$M299*$H299),"Non Trouvé")</f>
        <v/>
      </c>
      <c r="P299" s="97" t="n"/>
      <c r="R299" s="95">
        <f>IFERROR(IF($C299="","",$N299*(1-$P299)),"Non Trouvé")</f>
        <v/>
      </c>
      <c r="S299" s="96" t="n"/>
      <c r="T299" s="95">
        <f>IFERROR(IF($C299="","",VLOOKUP($C299,'[1]Paramètres Articles'!$B:$H,7,FALSE)),"Non Trouvé")</f>
        <v/>
      </c>
      <c r="U299" s="98" t="n"/>
      <c r="V299" s="95">
        <f>IFERROR(IF($C299="","",IF($P299="","",$T299*(1-$P299))),"Non Trouvé")</f>
        <v/>
      </c>
      <c r="W299" s="96" t="n"/>
      <c r="X299" s="95">
        <f>IFERROR(T299-V299,"")</f>
        <v/>
      </c>
      <c r="Y299" s="96" t="n"/>
      <c r="Z299" s="95">
        <f>IFERROR(IF(OR(T299=0,T299=""),0,T299*H299),"Non Trouvé")</f>
        <v/>
      </c>
      <c r="AB299" s="99">
        <f>AB297</f>
        <v/>
      </c>
      <c r="AC299" s="99">
        <f>AC297</f>
        <v/>
      </c>
      <c r="AD299" s="95">
        <f>IFERROR(IF($C299="","",IF($P$15="Cascade",$R299*(1-AC299)*AB299,IF($P$15="Additionnelle",($N299-($N299*($P299+AC299)))*AB299))),"Non Trouvé")</f>
        <v/>
      </c>
      <c r="AG299" s="99">
        <f>AG297</f>
        <v/>
      </c>
      <c r="AH299" s="99">
        <f>AH297</f>
        <v/>
      </c>
      <c r="AI299" s="95">
        <f>IFERROR(IF($C299="","",IF($P$15="Cascade",$R299*(1-AH299)*AG299,IF($P$15="Additionnelle",($N299-($N299*($P299+AH299)))*AG299))),"Non Trouvé")</f>
        <v/>
      </c>
      <c r="AL299" s="99">
        <f>AL297</f>
        <v/>
      </c>
      <c r="AM299" s="99">
        <f>AM297</f>
        <v/>
      </c>
      <c r="AN299" s="95">
        <f>IFERROR(IF($C299="","",IF($P$15="Cascade",$R299*(1-AM299)*AL299,IF($P$15="Additionnelle",($N299-($N299*($P299+AM299)))*AL299))),"Non Trouvé")</f>
        <v/>
      </c>
      <c r="AQ299" s="99">
        <f>AQ297</f>
        <v/>
      </c>
      <c r="AR299" s="99">
        <f>AR297</f>
        <v/>
      </c>
      <c r="AS299" s="95">
        <f>IFERROR(IF($C299="","",IF($P$15="Cascade",$R299*(1-AR299)*AQ299,IF($P$15="Additionnelle",($N299-($N299*($P299+AR299)))*AQ299))),"Non Trouvé")</f>
        <v/>
      </c>
      <c r="AV299" s="99">
        <f>AV297</f>
        <v/>
      </c>
      <c r="AW299" s="99">
        <f>AW297</f>
        <v/>
      </c>
      <c r="AX299" s="95">
        <f>IFERROR(IF($C299="","",IF($P$15="Cascade",$R299*(1-AW299)*AV299,IF($P$15="Additionnelle",($N299-($N299*($P299+AW299)))*AV299))),"Non Trouvé")</f>
        <v/>
      </c>
      <c r="BA299" s="99">
        <f>BA297</f>
        <v/>
      </c>
      <c r="BB299" s="99">
        <f>BB297</f>
        <v/>
      </c>
      <c r="BC299" s="95">
        <f>IFERROR(IF($C299="","",IF($P$15="Cascade",$R299*(1-BB299)*BA299,IF($P$15="Additionnelle",($N299-($N299*($P299+BB299)))*BA299))),"Non Trouvé")</f>
        <v/>
      </c>
      <c r="BF299" s="99">
        <f>BF297</f>
        <v/>
      </c>
      <c r="BG299" s="99">
        <f>BG297</f>
        <v/>
      </c>
      <c r="BH299" s="95">
        <f>IFERROR(IF($C299="","",IF($P$15="Cascade",$R299*(1-BG299)*BF299,IF($P$15="Additionnelle",($N299-($N299*($P299+BG299)))*BF299))),"Non Trouvé")</f>
        <v/>
      </c>
      <c r="BK299" s="99">
        <f>BK297</f>
        <v/>
      </c>
      <c r="BL299" s="99">
        <f>BL297</f>
        <v/>
      </c>
      <c r="BM299" s="95">
        <f>IFERROR(IF($C299="","",IF($P$15="Cascade",$R299*(1-BL299)*BK299,IF($P$15="Additionnelle",($N299-($N299*($P299+BL299)))*BK299))),"Non Trouvé")</f>
        <v/>
      </c>
      <c r="BP299" s="99">
        <f>BP297</f>
        <v/>
      </c>
      <c r="BQ299" s="99">
        <f>BQ297</f>
        <v/>
      </c>
      <c r="BR299" s="95">
        <f>IFERROR(IF($C299="","",IF($P$15="Cascade",$R299*(1-BQ299)*BP299,IF($P$15="Additionnelle",($N299-($N299*($P299+BQ299)))*BP299))),"Non Trouvé")</f>
        <v/>
      </c>
      <c r="BU299" s="99">
        <f>BU297</f>
        <v/>
      </c>
      <c r="BV299" s="99">
        <f>BV297</f>
        <v/>
      </c>
      <c r="BW299" s="95">
        <f>IFERROR(IF($C299="","",IF($P$15="Cascade",$R299*(1-BV299)*BU299,IF($P$15="Additionnelle",($N299-($N299*($P299+BV299)))*BU299))),"Non Trouvé")</f>
        <v/>
      </c>
      <c r="BZ299" s="99">
        <f>BZ297</f>
        <v/>
      </c>
      <c r="CA299" s="99">
        <f>CA297</f>
        <v/>
      </c>
      <c r="CB299" s="95">
        <f>IFERROR(IF($C299="","",IF($P$15="Cascade",$R299*(1-CA299)*BZ299,IF($P$15="Additionnelle",($N299-($N299*($P299+CA299)))*BZ299))),"Non Trouvé")</f>
        <v/>
      </c>
      <c r="CE299" s="100" t="n"/>
      <c r="CF299" s="101" t="n"/>
      <c r="CG299" s="102" t="inlineStr">
        <is>
          <t>Marges €</t>
        </is>
      </c>
      <c r="CH299" s="139">
        <f>IFERROR(CH297*CH298,0)</f>
        <v/>
      </c>
      <c r="CI299" s="103" t="n"/>
      <c r="CK299" s="104">
        <f>IFERROR(IF(F299='[1]Paramètres Généraux'!$K$12,ROUNDUP((REGENERANTS!H299*REGENERANTS!$CF$275)*'[1]Paramètres Généraux'!$M$12,-1),REGENERANTS!H299*REGENERANTS!$CF$275),"nd")</f>
        <v/>
      </c>
      <c r="CN299" s="153" t="n"/>
      <c r="CO299" s="154" t="n"/>
      <c r="CP299" s="154" t="n"/>
      <c r="CQ299" s="154" t="n"/>
      <c r="CR299" s="154" t="n"/>
      <c r="CS299" s="180" t="n"/>
      <c r="CT299" s="181" t="n"/>
      <c r="CU299" s="154" t="n"/>
      <c r="CV299" s="180" t="n"/>
      <c r="CW299" s="157" t="n"/>
      <c r="CX299" s="156" t="n"/>
      <c r="CY299" s="157" t="n"/>
      <c r="CZ299" s="143" t="n"/>
      <c r="DA299" s="156" t="n"/>
      <c r="DB299" s="157" t="n"/>
      <c r="DC299" s="143" t="n"/>
      <c r="DD299" s="156" t="n"/>
      <c r="DE299" s="157" t="n"/>
      <c r="DF299" s="143" t="n"/>
      <c r="DG299" s="143" t="n"/>
      <c r="DH299" s="143" t="n"/>
      <c r="DI299" s="143" t="n"/>
      <c r="DJ299" s="143" t="n"/>
      <c r="DK299" s="143" t="n"/>
      <c r="DL299" s="143" t="n"/>
      <c r="DM299" s="143" t="n"/>
      <c r="DN299" s="143" t="n"/>
      <c r="DO299" s="156" t="n"/>
      <c r="DP299" s="157" t="n"/>
      <c r="DQ299" s="20">
        <f>SUM(CN299:DP299)</f>
        <v/>
      </c>
      <c r="DR299" s="20">
        <f>SUM(CV299:DP299)</f>
        <v/>
      </c>
      <c r="DS299" s="20">
        <f>IFERROR((IF(AND($F299="Produit Vente",CO299&gt;0),VLOOKUP($C299,'[1]Paramètres Articles'!$B:$H,7,FALSE)*$CO299)*(1-20%)),0)</f>
        <v/>
      </c>
      <c r="DT299" s="20">
        <f>IFERROR((IF(AND($F299="Produit Vente",DR299&gt;0),VLOOKUP($C299,'[1]Paramètres Articles'!$B:$H,6,FALSE)*$DR299)*(1-15%)),0)</f>
        <v/>
      </c>
    </row>
    <row r="300" hidden="1" outlineLevel="1" collapsed="1" ht="12.95" customHeight="1">
      <c r="B300" s="1">
        <f>IF(C300="",0,COUNTIFS($B$22:B299,"&gt;"&amp;0)+1)</f>
        <v/>
      </c>
      <c r="C300" s="90" t="n"/>
      <c r="D300" s="91">
        <f>IFERROR(IF($C300="","",VLOOKUP($C300,'[1]Paramètres Articles'!$B:$G,2,FALSE)),"Non Trouvé")</f>
        <v/>
      </c>
      <c r="E300" s="92">
        <f>IFERROR(IF($C300="","",_xlfn.XLOOKUP(REGENERANTS!$C300,'[1]New Base PA'!$F:$F,'[1]New Base PA'!$D:$D,"Not Found",0)),"Non Trouvé")</f>
        <v/>
      </c>
      <c r="F300" s="93" t="n"/>
      <c r="H300" s="106" t="n"/>
      <c r="J300" s="95">
        <f>IFERROR(IF($C300="","",VLOOKUP($C300,'[1]New Base PA'!$F:$J,5,FALSE)),"Non Trouvé")</f>
        <v/>
      </c>
      <c r="K300" s="136">
        <f>IFERROR(IF($C300="","",$J300*$H300),"Non Trouvé")</f>
        <v/>
      </c>
      <c r="L300" s="137" t="n"/>
      <c r="M300" s="136">
        <f>IFERROR(IF(AND($F300="Produit Vente",H300&gt;0),VLOOKUP($C300,'[1]Paramètres Articles'!$B:$G,6,FALSE),0),"Non Trouvé")</f>
        <v/>
      </c>
      <c r="N300" s="136">
        <f>IFERROR(IF($C300="","",$M300*$H300),"Non Trouvé")</f>
        <v/>
      </c>
      <c r="P300" s="97" t="n"/>
      <c r="R300" s="95">
        <f>IFERROR(IF($C300="","",$N300*(1-$P300)),"Non Trouvé")</f>
        <v/>
      </c>
      <c r="S300" s="96" t="n"/>
      <c r="T300" s="95">
        <f>IFERROR(IF($C300="","",VLOOKUP($C300,'[1]Paramètres Articles'!$B:$H,7,FALSE)),"Non Trouvé")</f>
        <v/>
      </c>
      <c r="U300" s="98" t="n"/>
      <c r="V300" s="95">
        <f>IFERROR(IF($C300="","",IF($P300="","",$T300*(1-$P300))),"Non Trouvé")</f>
        <v/>
      </c>
      <c r="W300" s="96" t="n"/>
      <c r="X300" s="95">
        <f>IFERROR(T300-V300,"")</f>
        <v/>
      </c>
      <c r="Y300" s="96" t="n"/>
      <c r="Z300" s="95">
        <f>IFERROR(IF(OR(T300=0,T300=""),0,T300*H300),"Non Trouvé")</f>
        <v/>
      </c>
      <c r="AB300" s="99">
        <f>AB299</f>
        <v/>
      </c>
      <c r="AC300" s="99">
        <f>AC299</f>
        <v/>
      </c>
      <c r="AD300" s="95">
        <f>IFERROR(IF($C300="","",IF($P$15="Cascade",$R300*(1-AC300)*AB300,IF($P$15="Additionnelle",($N300-($N300*($P300+AC300)))*AB300))),"Non Trouvé")</f>
        <v/>
      </c>
      <c r="AG300" s="99">
        <f>AG299</f>
        <v/>
      </c>
      <c r="AH300" s="99">
        <f>AH299</f>
        <v/>
      </c>
      <c r="AI300" s="95">
        <f>IFERROR(IF($C300="","",IF($P$15="Cascade",$R300*(1-AH300)*AG300,IF($P$15="Additionnelle",($N300-($N300*($P300+AH300)))*AG300))),"Non Trouvé")</f>
        <v/>
      </c>
      <c r="AL300" s="99">
        <f>AL299</f>
        <v/>
      </c>
      <c r="AM300" s="99">
        <f>AM299</f>
        <v/>
      </c>
      <c r="AN300" s="95">
        <f>IFERROR(IF($C300="","",IF($P$15="Cascade",$R300*(1-AM300)*AL300,IF($P$15="Additionnelle",($N300-($N300*($P300+AM300)))*AL300))),"Non Trouvé")</f>
        <v/>
      </c>
      <c r="AQ300" s="99">
        <f>AQ299</f>
        <v/>
      </c>
      <c r="AR300" s="99">
        <f>AR299</f>
        <v/>
      </c>
      <c r="AS300" s="95">
        <f>IFERROR(IF($C300="","",IF($P$15="Cascade",$R300*(1-AR300)*AQ300,IF($P$15="Additionnelle",($N300-($N300*($P300+AR300)))*AQ300))),"Non Trouvé")</f>
        <v/>
      </c>
      <c r="AV300" s="99">
        <f>AV299</f>
        <v/>
      </c>
      <c r="AW300" s="99">
        <f>AW299</f>
        <v/>
      </c>
      <c r="AX300" s="95">
        <f>IFERROR(IF($C300="","",IF($P$15="Cascade",$R300*(1-AW300)*AV300,IF($P$15="Additionnelle",($N300-($N300*($P300+AW300)))*AV300))),"Non Trouvé")</f>
        <v/>
      </c>
      <c r="BA300" s="99">
        <f>BA299</f>
        <v/>
      </c>
      <c r="BB300" s="99">
        <f>BB299</f>
        <v/>
      </c>
      <c r="BC300" s="95">
        <f>IFERROR(IF($C300="","",IF($P$15="Cascade",$R300*(1-BB300)*BA300,IF($P$15="Additionnelle",($N300-($N300*($P300+BB300)))*BA300))),"Non Trouvé")</f>
        <v/>
      </c>
      <c r="BF300" s="99">
        <f>BF299</f>
        <v/>
      </c>
      <c r="BG300" s="99">
        <f>BG299</f>
        <v/>
      </c>
      <c r="BH300" s="95">
        <f>IFERROR(IF($C300="","",IF($P$15="Cascade",$R300*(1-BG300)*BF300,IF($P$15="Additionnelle",($N300-($N300*($P300+BG300)))*BF300))),"Non Trouvé")</f>
        <v/>
      </c>
      <c r="BK300" s="99">
        <f>BK299</f>
        <v/>
      </c>
      <c r="BL300" s="99">
        <f>BL299</f>
        <v/>
      </c>
      <c r="BM300" s="95">
        <f>IFERROR(IF($C300="","",IF($P$15="Cascade",$R300*(1-BL300)*BK300,IF($P$15="Additionnelle",($N300-($N300*($P300+BL300)))*BK300))),"Non Trouvé")</f>
        <v/>
      </c>
      <c r="BP300" s="99">
        <f>BP299</f>
        <v/>
      </c>
      <c r="BQ300" s="99">
        <f>BQ299</f>
        <v/>
      </c>
      <c r="BR300" s="95">
        <f>IFERROR(IF($C300="","",IF($P$15="Cascade",$R300*(1-BQ300)*BP300,IF($P$15="Additionnelle",($N300-($N300*($P300+BQ300)))*BP300))),"Non Trouvé")</f>
        <v/>
      </c>
      <c r="BU300" s="99">
        <f>BU299</f>
        <v/>
      </c>
      <c r="BV300" s="99">
        <f>BV299</f>
        <v/>
      </c>
      <c r="BW300" s="95">
        <f>IFERROR(IF($C300="","",IF($P$15="Cascade",$R300*(1-BV300)*BU300,IF($P$15="Additionnelle",($N300-($N300*($P300+BV300)))*BU300))),"Non Trouvé")</f>
        <v/>
      </c>
      <c r="BZ300" s="99">
        <f>BZ299</f>
        <v/>
      </c>
      <c r="CA300" s="99">
        <f>CA299</f>
        <v/>
      </c>
      <c r="CB300" s="95">
        <f>IFERROR(IF($C300="","",IF($P$15="Cascade",$R300*(1-CA300)*BZ300,IF($P$15="Additionnelle",($N300-($N300*($P300+CA300)))*BZ300))),"Non Trouvé")</f>
        <v/>
      </c>
      <c r="CE300" s="100" t="n"/>
      <c r="CF300" s="101" t="n"/>
      <c r="CG300" s="102" t="n"/>
      <c r="CH300" s="102" t="n"/>
      <c r="CI300" s="103" t="n"/>
      <c r="CK300" s="104">
        <f>IFERROR(IF(F300='[1]Paramètres Généraux'!$K$12,ROUNDUP((REGENERANTS!H300*REGENERANTS!$CF$275)*'[1]Paramètres Généraux'!$M$12,-1),REGENERANTS!H300*REGENERANTS!$CF$275),"nd")</f>
        <v/>
      </c>
      <c r="CN300" s="153" t="n"/>
      <c r="CO300" s="154" t="n"/>
      <c r="CP300" s="154" t="n"/>
      <c r="CQ300" s="154" t="n"/>
      <c r="CR300" s="154" t="n"/>
      <c r="CS300" s="180" t="n"/>
      <c r="CT300" s="181" t="n"/>
      <c r="CU300" s="154" t="n"/>
      <c r="CV300" s="180" t="n"/>
      <c r="CW300" s="157" t="n"/>
      <c r="CX300" s="156" t="n"/>
      <c r="CY300" s="157" t="n"/>
      <c r="CZ300" s="143" t="n"/>
      <c r="DA300" s="156" t="n"/>
      <c r="DB300" s="157" t="n"/>
      <c r="DC300" s="143" t="n"/>
      <c r="DD300" s="156" t="n"/>
      <c r="DE300" s="157" t="n"/>
      <c r="DF300" s="143" t="n"/>
      <c r="DG300" s="143" t="n"/>
      <c r="DH300" s="143" t="n"/>
      <c r="DI300" s="143" t="n"/>
      <c r="DJ300" s="143" t="n"/>
      <c r="DK300" s="143" t="n"/>
      <c r="DL300" s="143" t="n"/>
      <c r="DM300" s="143" t="n"/>
      <c r="DN300" s="143" t="n"/>
      <c r="DO300" s="156" t="n"/>
      <c r="DP300" s="157" t="n"/>
      <c r="DQ300" s="20">
        <f>SUM(CN300:DP300)</f>
        <v/>
      </c>
      <c r="DR300" s="20">
        <f>SUM(CV300:DP300)</f>
        <v/>
      </c>
      <c r="DS300" s="20">
        <f>IFERROR((IF(AND($F300="Produit Vente",CO300&gt;0),VLOOKUP($C300,'[1]Paramètres Articles'!$B:$H,7,FALSE)*$CO300)*(1-20%)),0)</f>
        <v/>
      </c>
      <c r="DT300" s="20">
        <f>IFERROR((IF(AND($F300="Produit Vente",DR300&gt;0),VLOOKUP($C300,'[1]Paramètres Articles'!$B:$H,6,FALSE)*$DR300)*(1-15%)),0)</f>
        <v/>
      </c>
    </row>
    <row r="301" hidden="1" outlineLevel="1" collapsed="1" ht="12.95" customHeight="1">
      <c r="B301" s="1">
        <f>IF(C301="",0,COUNTIFS($B$22:B300,"&gt;"&amp;0)+1)</f>
        <v/>
      </c>
      <c r="C301" s="90" t="n"/>
      <c r="D301" s="91">
        <f>IFERROR(IF($C301="","",VLOOKUP($C301,'[1]Paramètres Articles'!$B:$G,2,FALSE)),"Non Trouvé")</f>
        <v/>
      </c>
      <c r="E301" s="92">
        <f>IFERROR(IF($C301="","",_xlfn.XLOOKUP(REGENERANTS!$C301,'[1]New Base PA'!$F:$F,'[1]New Base PA'!$D:$D,"Not Found",0)),"Non Trouvé")</f>
        <v/>
      </c>
      <c r="F301" s="93" t="n"/>
      <c r="H301" s="106" t="n"/>
      <c r="J301" s="95">
        <f>IFERROR(IF($C301="","",VLOOKUP($C301,'[1]New Base PA'!$F:$J,5,FALSE)),"Non Trouvé")</f>
        <v/>
      </c>
      <c r="K301" s="136">
        <f>IFERROR(IF($C301="","",$J301*$H301),"Non Trouvé")</f>
        <v/>
      </c>
      <c r="L301" s="137" t="n"/>
      <c r="M301" s="136">
        <f>IFERROR(IF(AND($F301="Produit Vente",H301&gt;0),VLOOKUP($C301,'[1]Paramètres Articles'!$B:$G,6,FALSE),0),"Non Trouvé")</f>
        <v/>
      </c>
      <c r="N301" s="136">
        <f>IFERROR(IF($C301="","",$M301*$H301),"Non Trouvé")</f>
        <v/>
      </c>
      <c r="P301" s="97" t="n"/>
      <c r="R301" s="95">
        <f>IFERROR(IF($C301="","",$N301*(1-$P301)),"Non Trouvé")</f>
        <v/>
      </c>
      <c r="S301" s="96" t="n"/>
      <c r="T301" s="95">
        <f>IFERROR(IF($C301="","",VLOOKUP($C301,'[1]Paramètres Articles'!$B:$H,7,FALSE)),"Non Trouvé")</f>
        <v/>
      </c>
      <c r="U301" s="98" t="n"/>
      <c r="V301" s="95">
        <f>IFERROR(IF($C301="","",IF($P301="","",$T301*(1-$P301))),"Non Trouvé")</f>
        <v/>
      </c>
      <c r="W301" s="96" t="n"/>
      <c r="X301" s="95">
        <f>IFERROR(T301-V301,"")</f>
        <v/>
      </c>
      <c r="Y301" s="96" t="n"/>
      <c r="Z301" s="95">
        <f>IFERROR(IF(OR(T301=0,T301=""),0,T301*H301),"Non Trouvé")</f>
        <v/>
      </c>
      <c r="AB301" s="99">
        <f>AB299</f>
        <v/>
      </c>
      <c r="AC301" s="99">
        <f>AC299</f>
        <v/>
      </c>
      <c r="AD301" s="95">
        <f>IFERROR(IF($C301="","",IF($P$15="Cascade",$R301*(1-AC301)*AB301,IF($P$15="Additionnelle",($N301-($N301*($P301+AC301)))*AB301))),"Non Trouvé")</f>
        <v/>
      </c>
      <c r="AG301" s="99">
        <f>AG299</f>
        <v/>
      </c>
      <c r="AH301" s="99">
        <f>AH299</f>
        <v/>
      </c>
      <c r="AI301" s="95">
        <f>IFERROR(IF($C301="","",IF($P$15="Cascade",$R301*(1-AH301)*AG301,IF($P$15="Additionnelle",($N301-($N301*($P301+AH301)))*AG301))),"Non Trouvé")</f>
        <v/>
      </c>
      <c r="AL301" s="99">
        <f>AL299</f>
        <v/>
      </c>
      <c r="AM301" s="99">
        <f>AM299</f>
        <v/>
      </c>
      <c r="AN301" s="95">
        <f>IFERROR(IF($C301="","",IF($P$15="Cascade",$R301*(1-AM301)*AL301,IF($P$15="Additionnelle",($N301-($N301*($P301+AM301)))*AL301))),"Non Trouvé")</f>
        <v/>
      </c>
      <c r="AQ301" s="99">
        <f>AQ299</f>
        <v/>
      </c>
      <c r="AR301" s="99">
        <f>AR299</f>
        <v/>
      </c>
      <c r="AS301" s="95">
        <f>IFERROR(IF($C301="","",IF($P$15="Cascade",$R301*(1-AR301)*AQ301,IF($P$15="Additionnelle",($N301-($N301*($P301+AR301)))*AQ301))),"Non Trouvé")</f>
        <v/>
      </c>
      <c r="AV301" s="99">
        <f>AV299</f>
        <v/>
      </c>
      <c r="AW301" s="99">
        <f>AW299</f>
        <v/>
      </c>
      <c r="AX301" s="95">
        <f>IFERROR(IF($C301="","",IF($P$15="Cascade",$R301*(1-AW301)*AV301,IF($P$15="Additionnelle",($N301-($N301*($P301+AW301)))*AV301))),"Non Trouvé")</f>
        <v/>
      </c>
      <c r="BA301" s="99">
        <f>BA299</f>
        <v/>
      </c>
      <c r="BB301" s="99">
        <f>BB299</f>
        <v/>
      </c>
      <c r="BC301" s="95">
        <f>IFERROR(IF($C301="","",IF($P$15="Cascade",$R301*(1-BB301)*BA301,IF($P$15="Additionnelle",($N301-($N301*($P301+BB301)))*BA301))),"Non Trouvé")</f>
        <v/>
      </c>
      <c r="BF301" s="99">
        <f>BF299</f>
        <v/>
      </c>
      <c r="BG301" s="99">
        <f>BG299</f>
        <v/>
      </c>
      <c r="BH301" s="95">
        <f>IFERROR(IF($C301="","",IF($P$15="Cascade",$R301*(1-BG301)*BF301,IF($P$15="Additionnelle",($N301-($N301*($P301+BG301)))*BF301))),"Non Trouvé")</f>
        <v/>
      </c>
      <c r="BK301" s="99">
        <f>BK299</f>
        <v/>
      </c>
      <c r="BL301" s="99">
        <f>BL299</f>
        <v/>
      </c>
      <c r="BM301" s="95">
        <f>IFERROR(IF($C301="","",IF($P$15="Cascade",$R301*(1-BL301)*BK301,IF($P$15="Additionnelle",($N301-($N301*($P301+BL301)))*BK301))),"Non Trouvé")</f>
        <v/>
      </c>
      <c r="BP301" s="99">
        <f>BP299</f>
        <v/>
      </c>
      <c r="BQ301" s="99">
        <f>BQ299</f>
        <v/>
      </c>
      <c r="BR301" s="95">
        <f>IFERROR(IF($C301="","",IF($P$15="Cascade",$R301*(1-BQ301)*BP301,IF($P$15="Additionnelle",($N301-($N301*($P301+BQ301)))*BP301))),"Non Trouvé")</f>
        <v/>
      </c>
      <c r="BU301" s="99">
        <f>BU299</f>
        <v/>
      </c>
      <c r="BV301" s="99">
        <f>BV299</f>
        <v/>
      </c>
      <c r="BW301" s="95">
        <f>IFERROR(IF($C301="","",IF($P$15="Cascade",$R301*(1-BV301)*BU301,IF($P$15="Additionnelle",($N301-($N301*($P301+BV301)))*BU301))),"Non Trouvé")</f>
        <v/>
      </c>
      <c r="BZ301" s="99">
        <f>BZ299</f>
        <v/>
      </c>
      <c r="CA301" s="99">
        <f>CA299</f>
        <v/>
      </c>
      <c r="CB301" s="95">
        <f>IFERROR(IF($C301="","",IF($P$15="Cascade",$R301*(1-CA301)*BZ301,IF($P$15="Additionnelle",($N301-($N301*($P301+CA301)))*BZ301))),"Non Trouvé")</f>
        <v/>
      </c>
      <c r="CE301" s="100" t="n"/>
      <c r="CF301" s="101" t="n"/>
      <c r="CG301" s="102" t="n"/>
      <c r="CH301" s="102" t="n"/>
      <c r="CI301" s="103" t="n"/>
      <c r="CK301" s="104">
        <f>IFERROR(IF(F301='[1]Paramètres Généraux'!$K$12,ROUNDUP((REGENERANTS!H301*REGENERANTS!$CF$275)*'[1]Paramètres Généraux'!$M$12,-1),REGENERANTS!H301*REGENERANTS!$CF$275),"nd")</f>
        <v/>
      </c>
      <c r="CN301" s="153" t="n"/>
      <c r="CO301" s="154" t="n"/>
      <c r="CP301" s="154" t="n"/>
      <c r="CQ301" s="154" t="n"/>
      <c r="CR301" s="154" t="n"/>
      <c r="CS301" s="180" t="n"/>
      <c r="CT301" s="181" t="n"/>
      <c r="CU301" s="154" t="n"/>
      <c r="CV301" s="180" t="n"/>
      <c r="CW301" s="157" t="n"/>
      <c r="CX301" s="156" t="n"/>
      <c r="CY301" s="157" t="n"/>
      <c r="CZ301" s="143" t="n"/>
      <c r="DA301" s="156" t="n"/>
      <c r="DB301" s="157" t="n"/>
      <c r="DC301" s="143" t="n"/>
      <c r="DD301" s="156" t="n"/>
      <c r="DE301" s="157" t="n"/>
      <c r="DF301" s="143" t="n"/>
      <c r="DG301" s="143" t="n"/>
      <c r="DH301" s="143" t="n"/>
      <c r="DI301" s="143" t="n"/>
      <c r="DJ301" s="143" t="n"/>
      <c r="DK301" s="143" t="n"/>
      <c r="DL301" s="143" t="n"/>
      <c r="DM301" s="143" t="n"/>
      <c r="DN301" s="143" t="n"/>
      <c r="DO301" s="156" t="n"/>
      <c r="DP301" s="157" t="n"/>
      <c r="DQ301" s="20">
        <f>SUM(CN301:DP301)</f>
        <v/>
      </c>
      <c r="DR301" s="20">
        <f>SUM(CV301:DP301)</f>
        <v/>
      </c>
      <c r="DS301" s="20">
        <f>IFERROR((IF(AND($F301="Produit Vente",CO301&gt;0),VLOOKUP($C301,'[1]Paramètres Articles'!$B:$H,7,FALSE)*$CO301)*(1-20%)),0)</f>
        <v/>
      </c>
      <c r="DT301" s="20">
        <f>IFERROR((IF(AND($F301="Produit Vente",DR301&gt;0),VLOOKUP($C301,'[1]Paramètres Articles'!$B:$H,6,FALSE)*$DR301)*(1-15%)),0)</f>
        <v/>
      </c>
    </row>
    <row r="302" hidden="1" outlineLevel="1" collapsed="1" ht="12.95" customHeight="1">
      <c r="B302" s="1">
        <f>IF(C302="",0,COUNTIFS($B$22:B301,"&gt;"&amp;0)+1)</f>
        <v/>
      </c>
      <c r="C302" s="90" t="n"/>
      <c r="D302" s="91">
        <f>IFERROR(IF($C302="","",VLOOKUP($C302,'[1]Paramètres Articles'!$B:$G,2,FALSE)),"Non Trouvé")</f>
        <v/>
      </c>
      <c r="E302" s="92">
        <f>IFERROR(IF($C302="","",_xlfn.XLOOKUP(REGENERANTS!$C302,'[1]New Base PA'!$F:$F,'[1]New Base PA'!$D:$D,"Not Found",0)),"Non Trouvé")</f>
        <v/>
      </c>
      <c r="F302" s="93" t="n"/>
      <c r="H302" s="106" t="n"/>
      <c r="J302" s="95">
        <f>IFERROR(IF($C302="","",VLOOKUP($C302,'[1]New Base PA'!$F:$J,5,FALSE)),"Non Trouvé")</f>
        <v/>
      </c>
      <c r="K302" s="136">
        <f>IFERROR(IF($C302="","",$J302*$H302),"Non Trouvé")</f>
        <v/>
      </c>
      <c r="L302" s="137" t="n"/>
      <c r="M302" s="136">
        <f>IFERROR(IF(AND($F302="Produit Vente",H302&gt;0),VLOOKUP($C302,'[1]Paramètres Articles'!$B:$G,6,FALSE),0),"Non Trouvé")</f>
        <v/>
      </c>
      <c r="N302" s="136">
        <f>IFERROR(IF($C302="","",$M302*$H302),"Non Trouvé")</f>
        <v/>
      </c>
      <c r="P302" s="97" t="n"/>
      <c r="R302" s="95">
        <f>IFERROR(IF($C302="","",$N302*(1-$P302)),"Non Trouvé")</f>
        <v/>
      </c>
      <c r="S302" s="96" t="n"/>
      <c r="T302" s="95">
        <f>IFERROR(IF($C302="","",VLOOKUP($C302,'[1]Paramètres Articles'!$B:$H,7,FALSE)),"Non Trouvé")</f>
        <v/>
      </c>
      <c r="U302" s="98" t="n"/>
      <c r="V302" s="95">
        <f>IFERROR(IF($C302="","",IF($P302="","",$T302*(1-$P302))),"Non Trouvé")</f>
        <v/>
      </c>
      <c r="W302" s="96" t="n"/>
      <c r="X302" s="95">
        <f>IFERROR(T302-V302,"")</f>
        <v/>
      </c>
      <c r="Y302" s="96" t="n"/>
      <c r="Z302" s="95">
        <f>IFERROR(IF(OR(T302=0,T302=""),0,T302*H302),"Non Trouvé")</f>
        <v/>
      </c>
      <c r="AB302" s="99">
        <f>AB301</f>
        <v/>
      </c>
      <c r="AC302" s="99">
        <f>AC301</f>
        <v/>
      </c>
      <c r="AD302" s="95">
        <f>IFERROR(IF($C302="","",IF($P$15="Cascade",$R302*(1-AC302)*AB302,IF($P$15="Additionnelle",($N302-($N302*($P302+AC302)))*AB302))),"Non Trouvé")</f>
        <v/>
      </c>
      <c r="AG302" s="99">
        <f>AG301</f>
        <v/>
      </c>
      <c r="AH302" s="99">
        <f>AH301</f>
        <v/>
      </c>
      <c r="AI302" s="95">
        <f>IFERROR(IF($C302="","",IF($P$15="Cascade",$R302*(1-AH302)*AG302,IF($P$15="Additionnelle",($N302-($N302*($P302+AH302)))*AG302))),"Non Trouvé")</f>
        <v/>
      </c>
      <c r="AL302" s="99">
        <f>AL301</f>
        <v/>
      </c>
      <c r="AM302" s="99">
        <f>AM301</f>
        <v/>
      </c>
      <c r="AN302" s="95">
        <f>IFERROR(IF($C302="","",IF($P$15="Cascade",$R302*(1-AM302)*AL302,IF($P$15="Additionnelle",($N302-($N302*($P302+AM302)))*AL302))),"Non Trouvé")</f>
        <v/>
      </c>
      <c r="AQ302" s="99">
        <f>AQ301</f>
        <v/>
      </c>
      <c r="AR302" s="99">
        <f>AR301</f>
        <v/>
      </c>
      <c r="AS302" s="95">
        <f>IFERROR(IF($C302="","",IF($P$15="Cascade",$R302*(1-AR302)*AQ302,IF($P$15="Additionnelle",($N302-($N302*($P302+AR302)))*AQ302))),"Non Trouvé")</f>
        <v/>
      </c>
      <c r="AV302" s="99">
        <f>AV301</f>
        <v/>
      </c>
      <c r="AW302" s="99">
        <f>AW301</f>
        <v/>
      </c>
      <c r="AX302" s="95">
        <f>IFERROR(IF($C302="","",IF($P$15="Cascade",$R302*(1-AW302)*AV302,IF($P$15="Additionnelle",($N302-($N302*($P302+AW302)))*AV302))),"Non Trouvé")</f>
        <v/>
      </c>
      <c r="BA302" s="99">
        <f>BA301</f>
        <v/>
      </c>
      <c r="BB302" s="99">
        <f>BB301</f>
        <v/>
      </c>
      <c r="BC302" s="95">
        <f>IFERROR(IF($C302="","",IF($P$15="Cascade",$R302*(1-BB302)*BA302,IF($P$15="Additionnelle",($N302-($N302*($P302+BB302)))*BA302))),"Non Trouvé")</f>
        <v/>
      </c>
      <c r="BF302" s="99">
        <f>BF301</f>
        <v/>
      </c>
      <c r="BG302" s="99">
        <f>BG301</f>
        <v/>
      </c>
      <c r="BH302" s="95">
        <f>IFERROR(IF($C302="","",IF($P$15="Cascade",$R302*(1-BG302)*BF302,IF($P$15="Additionnelle",($N302-($N302*($P302+BG302)))*BF302))),"Non Trouvé")</f>
        <v/>
      </c>
      <c r="BK302" s="99">
        <f>BK301</f>
        <v/>
      </c>
      <c r="BL302" s="99">
        <f>BL301</f>
        <v/>
      </c>
      <c r="BM302" s="95">
        <f>IFERROR(IF($C302="","",IF($P$15="Cascade",$R302*(1-BL302)*BK302,IF($P$15="Additionnelle",($N302-($N302*($P302+BL302)))*BK302))),"Non Trouvé")</f>
        <v/>
      </c>
      <c r="BP302" s="99">
        <f>BP301</f>
        <v/>
      </c>
      <c r="BQ302" s="99">
        <f>BQ301</f>
        <v/>
      </c>
      <c r="BR302" s="95">
        <f>IFERROR(IF($C302="","",IF($P$15="Cascade",$R302*(1-BQ302)*BP302,IF($P$15="Additionnelle",($N302-($N302*($P302+BQ302)))*BP302))),"Non Trouvé")</f>
        <v/>
      </c>
      <c r="BU302" s="99">
        <f>BU301</f>
        <v/>
      </c>
      <c r="BV302" s="99">
        <f>BV301</f>
        <v/>
      </c>
      <c r="BW302" s="95">
        <f>IFERROR(IF($C302="","",IF($P$15="Cascade",$R302*(1-BV302)*BU302,IF($P$15="Additionnelle",($N302-($N302*($P302+BV302)))*BU302))),"Non Trouvé")</f>
        <v/>
      </c>
      <c r="BZ302" s="99">
        <f>BZ301</f>
        <v/>
      </c>
      <c r="CA302" s="99">
        <f>CA301</f>
        <v/>
      </c>
      <c r="CB302" s="95">
        <f>IFERROR(IF($C302="","",IF($P$15="Cascade",$R302*(1-CA302)*BZ302,IF($P$15="Additionnelle",($N302-($N302*($P302+CA302)))*BZ302))),"Non Trouvé")</f>
        <v/>
      </c>
      <c r="CE302" s="100" t="n"/>
      <c r="CF302" s="101" t="n"/>
      <c r="CG302" s="102" t="n"/>
      <c r="CH302" s="102" t="n"/>
      <c r="CI302" s="103" t="n"/>
      <c r="CK302" s="104">
        <f>IFERROR(IF(F302='[1]Paramètres Généraux'!$K$12,ROUNDUP((REGENERANTS!H302*REGENERANTS!$CF$275)*'[1]Paramètres Généraux'!$M$12,-1),REGENERANTS!H302*REGENERANTS!$CF$275),"nd")</f>
        <v/>
      </c>
      <c r="CN302" s="153" t="n"/>
      <c r="CO302" s="154" t="n"/>
      <c r="CP302" s="154" t="n"/>
      <c r="CQ302" s="154" t="n"/>
      <c r="CR302" s="154" t="n"/>
      <c r="CS302" s="180" t="n"/>
      <c r="CT302" s="181" t="n"/>
      <c r="CU302" s="154" t="n"/>
      <c r="CV302" s="180" t="n"/>
      <c r="CW302" s="157" t="n"/>
      <c r="CX302" s="156" t="n"/>
      <c r="CY302" s="157" t="n"/>
      <c r="CZ302" s="143" t="n"/>
      <c r="DA302" s="156" t="n"/>
      <c r="DB302" s="157" t="n"/>
      <c r="DC302" s="143" t="n"/>
      <c r="DD302" s="156" t="n"/>
      <c r="DE302" s="157" t="n"/>
      <c r="DF302" s="143" t="n"/>
      <c r="DG302" s="143" t="n"/>
      <c r="DH302" s="143" t="n"/>
      <c r="DI302" s="143" t="n"/>
      <c r="DJ302" s="143" t="n"/>
      <c r="DK302" s="143" t="n"/>
      <c r="DL302" s="143" t="n"/>
      <c r="DM302" s="143" t="n"/>
      <c r="DN302" s="143" t="n"/>
      <c r="DO302" s="156" t="n"/>
      <c r="DP302" s="157" t="n"/>
      <c r="DQ302" s="20">
        <f>SUM(CN302:DP302)</f>
        <v/>
      </c>
      <c r="DR302" s="20">
        <f>SUM(CV302:DP302)</f>
        <v/>
      </c>
      <c r="DS302" s="20">
        <f>IFERROR((IF(AND($F302="Produit Vente",CO302&gt;0),VLOOKUP($C302,'[1]Paramètres Articles'!$B:$H,7,FALSE)*$CO302)*(1-20%)),0)</f>
        <v/>
      </c>
      <c r="DT302" s="20">
        <f>IFERROR((IF(AND($F302="Produit Vente",DR302&gt;0),VLOOKUP($C302,'[1]Paramètres Articles'!$B:$H,6,FALSE)*$DR302)*(1-15%)),0)</f>
        <v/>
      </c>
    </row>
    <row r="303" hidden="1" outlineLevel="1" collapsed="1" ht="12.95" customHeight="1">
      <c r="B303" s="1">
        <f>IF(C303="",0,COUNTIFS($B$22:B302,"&gt;"&amp;0)+1)</f>
        <v/>
      </c>
      <c r="C303" s="90" t="n"/>
      <c r="D303" s="91">
        <f>IFERROR(IF($C303="","",VLOOKUP($C303,'[1]Paramètres Articles'!$B:$G,2,FALSE)),"Non Trouvé")</f>
        <v/>
      </c>
      <c r="E303" s="92">
        <f>IFERROR(IF($C303="","",_xlfn.XLOOKUP(REGENERANTS!$C303,'[1]New Base PA'!$F:$F,'[1]New Base PA'!$D:$D,"Not Found",0)),"Non Trouvé")</f>
        <v/>
      </c>
      <c r="F303" s="93" t="n"/>
      <c r="H303" s="106" t="n"/>
      <c r="J303" s="95">
        <f>IFERROR(IF($C303="","",VLOOKUP($C303,'[1]New Base PA'!$F:$J,5,FALSE)),"Non Trouvé")</f>
        <v/>
      </c>
      <c r="K303" s="136">
        <f>IFERROR(IF($C303="","",$J303*$H303),"Non Trouvé")</f>
        <v/>
      </c>
      <c r="L303" s="137" t="n"/>
      <c r="M303" s="136">
        <f>IFERROR(IF(AND($F303="Produit Vente",H303&gt;0),VLOOKUP($C303,'[1]Paramètres Articles'!$B:$G,6,FALSE),0),"Non Trouvé")</f>
        <v/>
      </c>
      <c r="N303" s="136">
        <f>IFERROR(IF($C303="","",$M303*$H303),"Non Trouvé")</f>
        <v/>
      </c>
      <c r="P303" s="97" t="n"/>
      <c r="R303" s="95">
        <f>IFERROR(IF($C303="","",$N303*(1-$P303)),"Non Trouvé")</f>
        <v/>
      </c>
      <c r="S303" s="96" t="n"/>
      <c r="T303" s="95">
        <f>IFERROR(IF($C303="","",VLOOKUP($C303,'[1]Paramètres Articles'!$B:$H,7,FALSE)),"Non Trouvé")</f>
        <v/>
      </c>
      <c r="U303" s="98" t="n"/>
      <c r="V303" s="95">
        <f>IFERROR(IF($C303="","",IF($P303="","",$T303*(1-$P303))),"Non Trouvé")</f>
        <v/>
      </c>
      <c r="W303" s="96" t="n"/>
      <c r="X303" s="95">
        <f>IFERROR(T303-V303,"")</f>
        <v/>
      </c>
      <c r="Y303" s="96" t="n"/>
      <c r="Z303" s="95">
        <f>IFERROR(IF(OR(T303=0,T303=""),0,T303*H303),"Non Trouvé")</f>
        <v/>
      </c>
      <c r="AB303" s="99">
        <f>AB301</f>
        <v/>
      </c>
      <c r="AC303" s="99">
        <f>AC301</f>
        <v/>
      </c>
      <c r="AD303" s="95">
        <f>IFERROR(IF($C303="","",IF($P$15="Cascade",$R303*(1-AC303)*AB303,IF($P$15="Additionnelle",($N303-($N303*($P303+AC303)))*AB303))),"Non Trouvé")</f>
        <v/>
      </c>
      <c r="AG303" s="99">
        <f>AG301</f>
        <v/>
      </c>
      <c r="AH303" s="99">
        <f>AH301</f>
        <v/>
      </c>
      <c r="AI303" s="95">
        <f>IFERROR(IF($C303="","",IF($P$15="Cascade",$R303*(1-AH303)*AG303,IF($P$15="Additionnelle",($N303-($N303*($P303+AH303)))*AG303))),"Non Trouvé")</f>
        <v/>
      </c>
      <c r="AL303" s="99">
        <f>AL301</f>
        <v/>
      </c>
      <c r="AM303" s="99">
        <f>AM301</f>
        <v/>
      </c>
      <c r="AN303" s="95">
        <f>IFERROR(IF($C303="","",IF($P$15="Cascade",$R303*(1-AM303)*AL303,IF($P$15="Additionnelle",($N303-($N303*($P303+AM303)))*AL303))),"Non Trouvé")</f>
        <v/>
      </c>
      <c r="AQ303" s="99">
        <f>AQ301</f>
        <v/>
      </c>
      <c r="AR303" s="99">
        <f>AR301</f>
        <v/>
      </c>
      <c r="AS303" s="95">
        <f>IFERROR(IF($C303="","",IF($P$15="Cascade",$R303*(1-AR303)*AQ303,IF($P$15="Additionnelle",($N303-($N303*($P303+AR303)))*AQ303))),"Non Trouvé")</f>
        <v/>
      </c>
      <c r="AV303" s="99">
        <f>AV301</f>
        <v/>
      </c>
      <c r="AW303" s="99">
        <f>AW301</f>
        <v/>
      </c>
      <c r="AX303" s="95">
        <f>IFERROR(IF($C303="","",IF($P$15="Cascade",$R303*(1-AW303)*AV303,IF($P$15="Additionnelle",($N303-($N303*($P303+AW303)))*AV303))),"Non Trouvé")</f>
        <v/>
      </c>
      <c r="BA303" s="99">
        <f>BA301</f>
        <v/>
      </c>
      <c r="BB303" s="99">
        <f>BB301</f>
        <v/>
      </c>
      <c r="BC303" s="95">
        <f>IFERROR(IF($C303="","",IF($P$15="Cascade",$R303*(1-BB303)*BA303,IF($P$15="Additionnelle",($N303-($N303*($P303+BB303)))*BA303))),"Non Trouvé")</f>
        <v/>
      </c>
      <c r="BF303" s="99">
        <f>BF301</f>
        <v/>
      </c>
      <c r="BG303" s="99">
        <f>BG301</f>
        <v/>
      </c>
      <c r="BH303" s="95">
        <f>IFERROR(IF($C303="","",IF($P$15="Cascade",$R303*(1-BG303)*BF303,IF($P$15="Additionnelle",($N303-($N303*($P303+BG303)))*BF303))),"Non Trouvé")</f>
        <v/>
      </c>
      <c r="BK303" s="99">
        <f>BK301</f>
        <v/>
      </c>
      <c r="BL303" s="99">
        <f>BL301</f>
        <v/>
      </c>
      <c r="BM303" s="95">
        <f>IFERROR(IF($C303="","",IF($P$15="Cascade",$R303*(1-BL303)*BK303,IF($P$15="Additionnelle",($N303-($N303*($P303+BL303)))*BK303))),"Non Trouvé")</f>
        <v/>
      </c>
      <c r="BP303" s="99">
        <f>BP301</f>
        <v/>
      </c>
      <c r="BQ303" s="99">
        <f>BQ301</f>
        <v/>
      </c>
      <c r="BR303" s="95">
        <f>IFERROR(IF($C303="","",IF($P$15="Cascade",$R303*(1-BQ303)*BP303,IF($P$15="Additionnelle",($N303-($N303*($P303+BQ303)))*BP303))),"Non Trouvé")</f>
        <v/>
      </c>
      <c r="BU303" s="99">
        <f>BU301</f>
        <v/>
      </c>
      <c r="BV303" s="99">
        <f>BV301</f>
        <v/>
      </c>
      <c r="BW303" s="95">
        <f>IFERROR(IF($C303="","",IF($P$15="Cascade",$R303*(1-BV303)*BU303,IF($P$15="Additionnelle",($N303-($N303*($P303+BV303)))*BU303))),"Non Trouvé")</f>
        <v/>
      </c>
      <c r="BZ303" s="99">
        <f>BZ301</f>
        <v/>
      </c>
      <c r="CA303" s="99">
        <f>CA301</f>
        <v/>
      </c>
      <c r="CB303" s="95">
        <f>IFERROR(IF($C303="","",IF($P$15="Cascade",$R303*(1-CA303)*BZ303,IF($P$15="Additionnelle",($N303-($N303*($P303+CA303)))*BZ303))),"Non Trouvé")</f>
        <v/>
      </c>
      <c r="CE303" s="100" t="n"/>
      <c r="CF303" s="101" t="n"/>
      <c r="CG303" s="102" t="n"/>
      <c r="CH303" s="102" t="n"/>
      <c r="CI303" s="103" t="n"/>
      <c r="CK303" s="104">
        <f>IFERROR(IF(F303='[1]Paramètres Généraux'!$K$12,ROUNDUP((REGENERANTS!H303*REGENERANTS!$CF$275)*'[1]Paramètres Généraux'!$M$12,-1),REGENERANTS!H303*REGENERANTS!$CF$275),"nd")</f>
        <v/>
      </c>
      <c r="CN303" s="153" t="n"/>
      <c r="CO303" s="154" t="n"/>
      <c r="CP303" s="154" t="n"/>
      <c r="CQ303" s="154" t="n"/>
      <c r="CR303" s="154" t="n"/>
      <c r="CS303" s="180" t="n"/>
      <c r="CT303" s="181" t="n"/>
      <c r="CU303" s="154" t="n"/>
      <c r="CV303" s="180" t="n"/>
      <c r="CW303" s="157" t="n"/>
      <c r="CX303" s="156" t="n"/>
      <c r="CY303" s="157" t="n"/>
      <c r="CZ303" s="143" t="n"/>
      <c r="DA303" s="156" t="n"/>
      <c r="DB303" s="157" t="n"/>
      <c r="DC303" s="143" t="n"/>
      <c r="DD303" s="156" t="n"/>
      <c r="DE303" s="157" t="n"/>
      <c r="DF303" s="143" t="n"/>
      <c r="DG303" s="143" t="n"/>
      <c r="DH303" s="143" t="n"/>
      <c r="DI303" s="143" t="n"/>
      <c r="DJ303" s="143" t="n"/>
      <c r="DK303" s="143" t="n"/>
      <c r="DL303" s="143" t="n"/>
      <c r="DM303" s="143" t="n"/>
      <c r="DN303" s="143" t="n"/>
      <c r="DO303" s="156" t="n"/>
      <c r="DP303" s="157" t="n"/>
      <c r="DQ303" s="20">
        <f>SUM(CN303:DP303)</f>
        <v/>
      </c>
      <c r="DR303" s="20">
        <f>SUM(CV303:DP303)</f>
        <v/>
      </c>
      <c r="DS303" s="20">
        <f>IFERROR((IF(AND($F303="Produit Vente",CO303&gt;0),VLOOKUP($C303,'[1]Paramètres Articles'!$B:$H,7,FALSE)*$CO303)*(1-20%)),0)</f>
        <v/>
      </c>
      <c r="DT303" s="20">
        <f>IFERROR((IF(AND($F303="Produit Vente",DR303&gt;0),VLOOKUP($C303,'[1]Paramètres Articles'!$B:$H,6,FALSE)*$DR303)*(1-15%)),0)</f>
        <v/>
      </c>
    </row>
    <row r="304" hidden="1" outlineLevel="1" collapsed="1" ht="12.95" customHeight="1">
      <c r="B304" s="1">
        <f>IF(C304="",0,COUNTIFS($B$22:B303,"&gt;"&amp;0)+1)</f>
        <v/>
      </c>
      <c r="C304" s="90" t="n"/>
      <c r="D304" s="91">
        <f>IFERROR(IF($C304="","",VLOOKUP($C304,'[1]Paramètres Articles'!$B:$G,2,FALSE)),"Non Trouvé")</f>
        <v/>
      </c>
      <c r="E304" s="92">
        <f>IFERROR(IF($C304="","",_xlfn.XLOOKUP(REGENERANTS!$C304,'[1]New Base PA'!$F:$F,'[1]New Base PA'!$D:$D,"Not Found",0)),"Non Trouvé")</f>
        <v/>
      </c>
      <c r="F304" s="93" t="n"/>
      <c r="H304" s="106" t="n"/>
      <c r="J304" s="95">
        <f>IFERROR(IF($C304="","",VLOOKUP($C304,'[1]New Base PA'!$F:$J,5,FALSE)),"Non Trouvé")</f>
        <v/>
      </c>
      <c r="K304" s="136">
        <f>IFERROR(IF($C304="","",$J304*$H304),"Non Trouvé")</f>
        <v/>
      </c>
      <c r="L304" s="137" t="n"/>
      <c r="M304" s="136">
        <f>IFERROR(IF(AND($F304="Produit Vente",H304&gt;0),VLOOKUP($C304,'[1]Paramètres Articles'!$B:$G,6,FALSE),0),"Non Trouvé")</f>
        <v/>
      </c>
      <c r="N304" s="136">
        <f>IFERROR(IF($C304="","",$M304*$H304),"Non Trouvé")</f>
        <v/>
      </c>
      <c r="P304" s="97" t="n"/>
      <c r="R304" s="95">
        <f>IFERROR(IF($C304="","",$N304*(1-$P304)),"Non Trouvé")</f>
        <v/>
      </c>
      <c r="S304" s="96" t="n"/>
      <c r="T304" s="95">
        <f>IFERROR(IF($C304="","",VLOOKUP($C304,'[1]Paramètres Articles'!$B:$H,7,FALSE)),"Non Trouvé")</f>
        <v/>
      </c>
      <c r="U304" s="98" t="n"/>
      <c r="V304" s="95">
        <f>IFERROR(IF($C304="","",IF($P304="","",$T304*(1-$P304))),"Non Trouvé")</f>
        <v/>
      </c>
      <c r="W304" s="96" t="n"/>
      <c r="X304" s="95">
        <f>IFERROR(T304-V304,"")</f>
        <v/>
      </c>
      <c r="Y304" s="96" t="n"/>
      <c r="Z304" s="95">
        <f>IFERROR(IF(OR(T304=0,T304=""),0,T304*H304),"Non Trouvé")</f>
        <v/>
      </c>
      <c r="AB304" s="99">
        <f>AB303</f>
        <v/>
      </c>
      <c r="AC304" s="99">
        <f>AC303</f>
        <v/>
      </c>
      <c r="AD304" s="95">
        <f>IFERROR(IF($C304="","",IF($P$15="Cascade",$R304*(1-AC304)*AB304,IF($P$15="Additionnelle",($N304-($N304*($P304+AC304)))*AB304))),"Non Trouvé")</f>
        <v/>
      </c>
      <c r="AG304" s="99">
        <f>AG303</f>
        <v/>
      </c>
      <c r="AH304" s="99">
        <f>AH303</f>
        <v/>
      </c>
      <c r="AI304" s="95">
        <f>IFERROR(IF($C304="","",IF($P$15="Cascade",$R304*(1-AH304)*AG304,IF($P$15="Additionnelle",($N304-($N304*($P304+AH304)))*AG304))),"Non Trouvé")</f>
        <v/>
      </c>
      <c r="AL304" s="99">
        <f>AL303</f>
        <v/>
      </c>
      <c r="AM304" s="99">
        <f>AM303</f>
        <v/>
      </c>
      <c r="AN304" s="95">
        <f>IFERROR(IF($C304="","",IF($P$15="Cascade",$R304*(1-AM304)*AL304,IF($P$15="Additionnelle",($N304-($N304*($P304+AM304)))*AL304))),"Non Trouvé")</f>
        <v/>
      </c>
      <c r="AQ304" s="99">
        <f>AQ303</f>
        <v/>
      </c>
      <c r="AR304" s="99">
        <f>AR303</f>
        <v/>
      </c>
      <c r="AS304" s="95">
        <f>IFERROR(IF($C304="","",IF($P$15="Cascade",$R304*(1-AR304)*AQ304,IF($P$15="Additionnelle",($N304-($N304*($P304+AR304)))*AQ304))),"Non Trouvé")</f>
        <v/>
      </c>
      <c r="AV304" s="99">
        <f>AV303</f>
        <v/>
      </c>
      <c r="AW304" s="99">
        <f>AW303</f>
        <v/>
      </c>
      <c r="AX304" s="95">
        <f>IFERROR(IF($C304="","",IF($P$15="Cascade",$R304*(1-AW304)*AV304,IF($P$15="Additionnelle",($N304-($N304*($P304+AW304)))*AV304))),"Non Trouvé")</f>
        <v/>
      </c>
      <c r="BA304" s="99">
        <f>BA303</f>
        <v/>
      </c>
      <c r="BB304" s="99">
        <f>BB303</f>
        <v/>
      </c>
      <c r="BC304" s="95">
        <f>IFERROR(IF($C304="","",IF($P$15="Cascade",$R304*(1-BB304)*BA304,IF($P$15="Additionnelle",($N304-($N304*($P304+BB304)))*BA304))),"Non Trouvé")</f>
        <v/>
      </c>
      <c r="BF304" s="99">
        <f>BF303</f>
        <v/>
      </c>
      <c r="BG304" s="99">
        <f>BG303</f>
        <v/>
      </c>
      <c r="BH304" s="95">
        <f>IFERROR(IF($C304="","",IF($P$15="Cascade",$R304*(1-BG304)*BF304,IF($P$15="Additionnelle",($N304-($N304*($P304+BG304)))*BF304))),"Non Trouvé")</f>
        <v/>
      </c>
      <c r="BK304" s="99">
        <f>BK303</f>
        <v/>
      </c>
      <c r="BL304" s="99">
        <f>BL303</f>
        <v/>
      </c>
      <c r="BM304" s="95">
        <f>IFERROR(IF($C304="","",IF($P$15="Cascade",$R304*(1-BL304)*BK304,IF($P$15="Additionnelle",($N304-($N304*($P304+BL304)))*BK304))),"Non Trouvé")</f>
        <v/>
      </c>
      <c r="BP304" s="99">
        <f>BP303</f>
        <v/>
      </c>
      <c r="BQ304" s="99">
        <f>BQ303</f>
        <v/>
      </c>
      <c r="BR304" s="95">
        <f>IFERROR(IF($C304="","",IF($P$15="Cascade",$R304*(1-BQ304)*BP304,IF($P$15="Additionnelle",($N304-($N304*($P304+BQ304)))*BP304))),"Non Trouvé")</f>
        <v/>
      </c>
      <c r="BU304" s="99">
        <f>BU303</f>
        <v/>
      </c>
      <c r="BV304" s="99">
        <f>BV303</f>
        <v/>
      </c>
      <c r="BW304" s="95">
        <f>IFERROR(IF($C304="","",IF($P$15="Cascade",$R304*(1-BV304)*BU304,IF($P$15="Additionnelle",($N304-($N304*($P304+BV304)))*BU304))),"Non Trouvé")</f>
        <v/>
      </c>
      <c r="BZ304" s="99">
        <f>BZ303</f>
        <v/>
      </c>
      <c r="CA304" s="99">
        <f>CA303</f>
        <v/>
      </c>
      <c r="CB304" s="95">
        <f>IFERROR(IF($C304="","",IF($P$15="Cascade",$R304*(1-CA304)*BZ304,IF($P$15="Additionnelle",($N304-($N304*($P304+CA304)))*BZ304))),"Non Trouvé")</f>
        <v/>
      </c>
      <c r="CE304" s="100" t="n"/>
      <c r="CF304" s="101" t="n"/>
      <c r="CG304" s="102" t="n"/>
      <c r="CH304" s="102" t="n"/>
      <c r="CI304" s="103" t="n"/>
      <c r="CK304" s="104">
        <f>IFERROR(IF(F304='[1]Paramètres Généraux'!$K$12,ROUNDUP((REGENERANTS!H304*REGENERANTS!$CF$275)*'[1]Paramètres Généraux'!$M$12,-1),REGENERANTS!H304*REGENERANTS!$CF$275),"nd")</f>
        <v/>
      </c>
      <c r="CN304" s="153" t="n"/>
      <c r="CO304" s="154" t="n"/>
      <c r="CP304" s="154" t="n"/>
      <c r="CQ304" s="154" t="n"/>
      <c r="CR304" s="154" t="n"/>
      <c r="CS304" s="180" t="n"/>
      <c r="CT304" s="181" t="n"/>
      <c r="CU304" s="154" t="n"/>
      <c r="CV304" s="180" t="n"/>
      <c r="CW304" s="157" t="n"/>
      <c r="CX304" s="156" t="n"/>
      <c r="CY304" s="157" t="n"/>
      <c r="CZ304" s="143" t="n"/>
      <c r="DA304" s="156" t="n"/>
      <c r="DB304" s="157" t="n"/>
      <c r="DC304" s="143" t="n"/>
      <c r="DD304" s="156" t="n"/>
      <c r="DE304" s="157" t="n"/>
      <c r="DF304" s="143" t="n"/>
      <c r="DG304" s="143" t="n"/>
      <c r="DH304" s="143" t="n"/>
      <c r="DI304" s="143" t="n"/>
      <c r="DJ304" s="143" t="n"/>
      <c r="DK304" s="143" t="n"/>
      <c r="DL304" s="143" t="n"/>
      <c r="DM304" s="143" t="n"/>
      <c r="DN304" s="143" t="n"/>
      <c r="DO304" s="156" t="n"/>
      <c r="DP304" s="157" t="n"/>
      <c r="DQ304" s="20">
        <f>SUM(CN304:DP304)</f>
        <v/>
      </c>
      <c r="DR304" s="20">
        <f>SUM(CV304:DP304)</f>
        <v/>
      </c>
      <c r="DS304" s="20">
        <f>IFERROR((IF(AND($F304="Produit Vente",CO304&gt;0),VLOOKUP($C304,'[1]Paramètres Articles'!$B:$H,7,FALSE)*$CO304)*(1-20%)),0)</f>
        <v/>
      </c>
      <c r="DT304" s="20">
        <f>IFERROR((IF(AND($F304="Produit Vente",DR304&gt;0),VLOOKUP($C304,'[1]Paramètres Articles'!$B:$H,6,FALSE)*$DR304)*(1-15%)),0)</f>
        <v/>
      </c>
    </row>
    <row r="305" hidden="1" outlineLevel="1" collapsed="1" ht="12.95" customHeight="1">
      <c r="B305" s="1">
        <f>IF(C305="",0,COUNTIFS($B$22:B304,"&gt;"&amp;0)+1)</f>
        <v/>
      </c>
      <c r="C305" s="90" t="n"/>
      <c r="D305" s="91">
        <f>IFERROR(IF($C305="","",VLOOKUP($C305,'[1]Paramètres Articles'!$B:$G,2,FALSE)),"Non Trouvé")</f>
        <v/>
      </c>
      <c r="E305" s="92">
        <f>IFERROR(IF($C305="","",_xlfn.XLOOKUP(REGENERANTS!$C305,'[1]New Base PA'!$F:$F,'[1]New Base PA'!$D:$D,"Not Found",0)),"Non Trouvé")</f>
        <v/>
      </c>
      <c r="F305" s="93" t="n"/>
      <c r="H305" s="106" t="n"/>
      <c r="J305" s="95">
        <f>IFERROR(IF($C305="","",VLOOKUP($C305,'[1]New Base PA'!$F:$J,5,FALSE)),"Non Trouvé")</f>
        <v/>
      </c>
      <c r="K305" s="136">
        <f>IFERROR(IF($C305="","",$J305*$H305),"Non Trouvé")</f>
        <v/>
      </c>
      <c r="L305" s="137" t="n"/>
      <c r="M305" s="136">
        <f>IFERROR(IF(AND($F305="Produit Vente",H305&gt;0),VLOOKUP($C305,'[1]Paramètres Articles'!$B:$G,6,FALSE),0),"Non Trouvé")</f>
        <v/>
      </c>
      <c r="N305" s="136">
        <f>IFERROR(IF($C305="","",$M305*$H305),"Non Trouvé")</f>
        <v/>
      </c>
      <c r="P305" s="97" t="n"/>
      <c r="R305" s="95">
        <f>IFERROR(IF($C305="","",$N305*(1-$P305)),"Non Trouvé")</f>
        <v/>
      </c>
      <c r="S305" s="96" t="n"/>
      <c r="T305" s="95">
        <f>IFERROR(IF($C305="","",VLOOKUP($C305,'[1]Paramètres Articles'!$B:$H,7,FALSE)),"Non Trouvé")</f>
        <v/>
      </c>
      <c r="U305" s="98" t="n"/>
      <c r="V305" s="95">
        <f>IFERROR(IF($C305="","",IF($P305="","",$T305*(1-$P305))),"Non Trouvé")</f>
        <v/>
      </c>
      <c r="W305" s="96" t="n"/>
      <c r="X305" s="95">
        <f>IFERROR(T305-V305,"")</f>
        <v/>
      </c>
      <c r="Y305" s="96" t="n"/>
      <c r="Z305" s="95">
        <f>IFERROR(IF(OR(T305=0,T305=""),0,T305*H305),"Non Trouvé")</f>
        <v/>
      </c>
      <c r="AB305" s="99">
        <f>AB303</f>
        <v/>
      </c>
      <c r="AC305" s="99">
        <f>AC303</f>
        <v/>
      </c>
      <c r="AD305" s="95">
        <f>IFERROR(IF($C305="","",IF($P$15="Cascade",$R305*(1-AC305)*AB305,IF($P$15="Additionnelle",($N305-($N305*($P305+AC305)))*AB305))),"Non Trouvé")</f>
        <v/>
      </c>
      <c r="AG305" s="99">
        <f>AG303</f>
        <v/>
      </c>
      <c r="AH305" s="99">
        <f>AH303</f>
        <v/>
      </c>
      <c r="AI305" s="95">
        <f>IFERROR(IF($C305="","",IF($P$15="Cascade",$R305*(1-AH305)*AG305,IF($P$15="Additionnelle",($N305-($N305*($P305+AH305)))*AG305))),"Non Trouvé")</f>
        <v/>
      </c>
      <c r="AL305" s="99">
        <f>AL303</f>
        <v/>
      </c>
      <c r="AM305" s="99">
        <f>AM303</f>
        <v/>
      </c>
      <c r="AN305" s="95">
        <f>IFERROR(IF($C305="","",IF($P$15="Cascade",$R305*(1-AM305)*AL305,IF($P$15="Additionnelle",($N305-($N305*($P305+AM305)))*AL305))),"Non Trouvé")</f>
        <v/>
      </c>
      <c r="AQ305" s="99">
        <f>AQ303</f>
        <v/>
      </c>
      <c r="AR305" s="99">
        <f>AR303</f>
        <v/>
      </c>
      <c r="AS305" s="95">
        <f>IFERROR(IF($C305="","",IF($P$15="Cascade",$R305*(1-AR305)*AQ305,IF($P$15="Additionnelle",($N305-($N305*($P305+AR305)))*AQ305))),"Non Trouvé")</f>
        <v/>
      </c>
      <c r="AV305" s="99">
        <f>AV303</f>
        <v/>
      </c>
      <c r="AW305" s="99">
        <f>AW303</f>
        <v/>
      </c>
      <c r="AX305" s="95">
        <f>IFERROR(IF($C305="","",IF($P$15="Cascade",$R305*(1-AW305)*AV305,IF($P$15="Additionnelle",($N305-($N305*($P305+AW305)))*AV305))),"Non Trouvé")</f>
        <v/>
      </c>
      <c r="BA305" s="99">
        <f>BA303</f>
        <v/>
      </c>
      <c r="BB305" s="99">
        <f>BB303</f>
        <v/>
      </c>
      <c r="BC305" s="95">
        <f>IFERROR(IF($C305="","",IF($P$15="Cascade",$R305*(1-BB305)*BA305,IF($P$15="Additionnelle",($N305-($N305*($P305+BB305)))*BA305))),"Non Trouvé")</f>
        <v/>
      </c>
      <c r="BF305" s="99">
        <f>BF303</f>
        <v/>
      </c>
      <c r="BG305" s="99">
        <f>BG303</f>
        <v/>
      </c>
      <c r="BH305" s="95">
        <f>IFERROR(IF($C305="","",IF($P$15="Cascade",$R305*(1-BG305)*BF305,IF($P$15="Additionnelle",($N305-($N305*($P305+BG305)))*BF305))),"Non Trouvé")</f>
        <v/>
      </c>
      <c r="BK305" s="99">
        <f>BK303</f>
        <v/>
      </c>
      <c r="BL305" s="99">
        <f>BL303</f>
        <v/>
      </c>
      <c r="BM305" s="95">
        <f>IFERROR(IF($C305="","",IF($P$15="Cascade",$R305*(1-BL305)*BK305,IF($P$15="Additionnelle",($N305-($N305*($P305+BL305)))*BK305))),"Non Trouvé")</f>
        <v/>
      </c>
      <c r="BP305" s="99">
        <f>BP303</f>
        <v/>
      </c>
      <c r="BQ305" s="99">
        <f>BQ303</f>
        <v/>
      </c>
      <c r="BR305" s="95">
        <f>IFERROR(IF($C305="","",IF($P$15="Cascade",$R305*(1-BQ305)*BP305,IF($P$15="Additionnelle",($N305-($N305*($P305+BQ305)))*BP305))),"Non Trouvé")</f>
        <v/>
      </c>
      <c r="BU305" s="99">
        <f>BU303</f>
        <v/>
      </c>
      <c r="BV305" s="99">
        <f>BV303</f>
        <v/>
      </c>
      <c r="BW305" s="95">
        <f>IFERROR(IF($C305="","",IF($P$15="Cascade",$R305*(1-BV305)*BU305,IF($P$15="Additionnelle",($N305-($N305*($P305+BV305)))*BU305))),"Non Trouvé")</f>
        <v/>
      </c>
      <c r="BZ305" s="99">
        <f>BZ303</f>
        <v/>
      </c>
      <c r="CA305" s="99">
        <f>CA303</f>
        <v/>
      </c>
      <c r="CB305" s="95">
        <f>IFERROR(IF($C305="","",IF($P$15="Cascade",$R305*(1-CA305)*BZ305,IF($P$15="Additionnelle",($N305-($N305*($P305+CA305)))*BZ305))),"Non Trouvé")</f>
        <v/>
      </c>
      <c r="CE305" s="100" t="n"/>
      <c r="CF305" s="101" t="n"/>
      <c r="CG305" s="102" t="n"/>
      <c r="CH305" s="102" t="n"/>
      <c r="CI305" s="103" t="n"/>
      <c r="CK305" s="104">
        <f>IFERROR(IF(F305='[1]Paramètres Généraux'!$K$12,ROUNDUP((REGENERANTS!H305*REGENERANTS!$CF$275)*'[1]Paramètres Généraux'!$M$12,-1),REGENERANTS!H305*REGENERANTS!$CF$275),"nd")</f>
        <v/>
      </c>
      <c r="CN305" s="153" t="n"/>
      <c r="CO305" s="154" t="n"/>
      <c r="CP305" s="154" t="n"/>
      <c r="CQ305" s="154" t="n"/>
      <c r="CR305" s="154" t="n"/>
      <c r="CS305" s="180" t="n"/>
      <c r="CT305" s="181" t="n"/>
      <c r="CU305" s="154" t="n"/>
      <c r="CV305" s="180" t="n"/>
      <c r="CW305" s="157" t="n"/>
      <c r="CX305" s="156" t="n"/>
      <c r="CY305" s="157" t="n"/>
      <c r="CZ305" s="143" t="n"/>
      <c r="DA305" s="156" t="n"/>
      <c r="DB305" s="157" t="n"/>
      <c r="DC305" s="143" t="n"/>
      <c r="DD305" s="156" t="n"/>
      <c r="DE305" s="157" t="n"/>
      <c r="DF305" s="143" t="n"/>
      <c r="DG305" s="143" t="n"/>
      <c r="DH305" s="143" t="n"/>
      <c r="DI305" s="143" t="n"/>
      <c r="DJ305" s="143" t="n"/>
      <c r="DK305" s="143" t="n"/>
      <c r="DL305" s="143" t="n"/>
      <c r="DM305" s="143" t="n"/>
      <c r="DN305" s="143" t="n"/>
      <c r="DO305" s="156" t="n"/>
      <c r="DP305" s="157" t="n"/>
      <c r="DQ305" s="20">
        <f>SUM(CN305:DP305)</f>
        <v/>
      </c>
      <c r="DR305" s="20">
        <f>SUM(CV305:DP305)</f>
        <v/>
      </c>
      <c r="DS305" s="20">
        <f>IFERROR((IF(AND($F305="Produit Vente",CO305&gt;0),VLOOKUP($C305,'[1]Paramètres Articles'!$B:$H,7,FALSE)*$CO305)*(1-20%)),0)</f>
        <v/>
      </c>
      <c r="DT305" s="20">
        <f>IFERROR((IF(AND($F305="Produit Vente",DR305&gt;0),VLOOKUP($C305,'[1]Paramètres Articles'!$B:$H,6,FALSE)*$DR305)*(1-15%)),0)</f>
        <v/>
      </c>
    </row>
    <row r="306" hidden="1" outlineLevel="1" collapsed="1" ht="12.95" customHeight="1">
      <c r="B306" s="1">
        <f>IF(C306="",0,COUNTIFS($B$22:B305,"&gt;"&amp;0)+1)</f>
        <v/>
      </c>
      <c r="C306" s="90" t="n"/>
      <c r="D306" s="91">
        <f>IFERROR(IF($C306="","",VLOOKUP($C306,'[1]Paramètres Articles'!$B:$G,2,FALSE)),"Non Trouvé")</f>
        <v/>
      </c>
      <c r="E306" s="92">
        <f>IFERROR(IF($C306="","",_xlfn.XLOOKUP(REGENERANTS!$C306,'[1]New Base PA'!$F:$F,'[1]New Base PA'!$D:$D,"Not Found",0)),"Non Trouvé")</f>
        <v/>
      </c>
      <c r="F306" s="93" t="n"/>
      <c r="H306" s="106" t="n"/>
      <c r="J306" s="95">
        <f>IFERROR(IF($C306="","",VLOOKUP($C306,'[1]New Base PA'!$F:$J,5,FALSE)),"Non Trouvé")</f>
        <v/>
      </c>
      <c r="K306" s="136">
        <f>IFERROR(IF($C306="","",$J306*$H306),"Non Trouvé")</f>
        <v/>
      </c>
      <c r="L306" s="137" t="n"/>
      <c r="M306" s="136">
        <f>IFERROR(IF(AND($F306="Produit Vente",H306&gt;0),VLOOKUP($C306,'[1]Paramètres Articles'!$B:$G,6,FALSE),0),"Non Trouvé")</f>
        <v/>
      </c>
      <c r="N306" s="136">
        <f>IFERROR(IF($C306="","",$M306*$H306),"Non Trouvé")</f>
        <v/>
      </c>
      <c r="P306" s="97" t="n"/>
      <c r="R306" s="95">
        <f>IFERROR(IF($C306="","",$N306*(1-$P306)),"Non Trouvé")</f>
        <v/>
      </c>
      <c r="S306" s="96" t="n"/>
      <c r="T306" s="95">
        <f>IFERROR(IF($C306="","",VLOOKUP($C306,'[1]Paramètres Articles'!$B:$H,7,FALSE)),"Non Trouvé")</f>
        <v/>
      </c>
      <c r="U306" s="98" t="n"/>
      <c r="V306" s="95">
        <f>IFERROR(IF($C306="","",IF($P306="","",$T306*(1-$P306))),"Non Trouvé")</f>
        <v/>
      </c>
      <c r="W306" s="96" t="n"/>
      <c r="X306" s="95">
        <f>IFERROR(T306-V306,"")</f>
        <v/>
      </c>
      <c r="Y306" s="96" t="n"/>
      <c r="Z306" s="95">
        <f>IFERROR(IF(OR(T306=0,T306=""),0,T306*H306),"Non Trouvé")</f>
        <v/>
      </c>
      <c r="AB306" s="99">
        <f>AB305</f>
        <v/>
      </c>
      <c r="AC306" s="99">
        <f>AC305</f>
        <v/>
      </c>
      <c r="AD306" s="95">
        <f>IFERROR(IF($C306="","",IF($P$15="Cascade",$R306*(1-AC306)*AB306,IF($P$15="Additionnelle",($N306-($N306*($P306+AC306)))*AB306))),"Non Trouvé")</f>
        <v/>
      </c>
      <c r="AG306" s="99">
        <f>AG305</f>
        <v/>
      </c>
      <c r="AH306" s="99">
        <f>AH305</f>
        <v/>
      </c>
      <c r="AI306" s="95">
        <f>IFERROR(IF($C306="","",IF($P$15="Cascade",$R306*(1-AH306)*AG306,IF($P$15="Additionnelle",($N306-($N306*($P306+AH306)))*AG306))),"Non Trouvé")</f>
        <v/>
      </c>
      <c r="AL306" s="99">
        <f>AL305</f>
        <v/>
      </c>
      <c r="AM306" s="99">
        <f>AM305</f>
        <v/>
      </c>
      <c r="AN306" s="95">
        <f>IFERROR(IF($C306="","",IF($P$15="Cascade",$R306*(1-AM306)*AL306,IF($P$15="Additionnelle",($N306-($N306*($P306+AM306)))*AL306))),"Non Trouvé")</f>
        <v/>
      </c>
      <c r="AQ306" s="99">
        <f>AQ305</f>
        <v/>
      </c>
      <c r="AR306" s="99">
        <f>AR305</f>
        <v/>
      </c>
      <c r="AS306" s="95">
        <f>IFERROR(IF($C306="","",IF($P$15="Cascade",$R306*(1-AR306)*AQ306,IF($P$15="Additionnelle",($N306-($N306*($P306+AR306)))*AQ306))),"Non Trouvé")</f>
        <v/>
      </c>
      <c r="AV306" s="99">
        <f>AV305</f>
        <v/>
      </c>
      <c r="AW306" s="99">
        <f>AW305</f>
        <v/>
      </c>
      <c r="AX306" s="95">
        <f>IFERROR(IF($C306="","",IF($P$15="Cascade",$R306*(1-AW306)*AV306,IF($P$15="Additionnelle",($N306-($N306*($P306+AW306)))*AV306))),"Non Trouvé")</f>
        <v/>
      </c>
      <c r="BA306" s="99">
        <f>BA305</f>
        <v/>
      </c>
      <c r="BB306" s="99">
        <f>BB305</f>
        <v/>
      </c>
      <c r="BC306" s="95">
        <f>IFERROR(IF($C306="","",IF($P$15="Cascade",$R306*(1-BB306)*BA306,IF($P$15="Additionnelle",($N306-($N306*($P306+BB306)))*BA306))),"Non Trouvé")</f>
        <v/>
      </c>
      <c r="BF306" s="99">
        <f>BF305</f>
        <v/>
      </c>
      <c r="BG306" s="99">
        <f>BG305</f>
        <v/>
      </c>
      <c r="BH306" s="95">
        <f>IFERROR(IF($C306="","",IF($P$15="Cascade",$R306*(1-BG306)*BF306,IF($P$15="Additionnelle",($N306-($N306*($P306+BG306)))*BF306))),"Non Trouvé")</f>
        <v/>
      </c>
      <c r="BK306" s="99">
        <f>BK305</f>
        <v/>
      </c>
      <c r="BL306" s="99">
        <f>BL305</f>
        <v/>
      </c>
      <c r="BM306" s="95">
        <f>IFERROR(IF($C306="","",IF($P$15="Cascade",$R306*(1-BL306)*BK306,IF($P$15="Additionnelle",($N306-($N306*($P306+BL306)))*BK306))),"Non Trouvé")</f>
        <v/>
      </c>
      <c r="BP306" s="99">
        <f>BP305</f>
        <v/>
      </c>
      <c r="BQ306" s="99">
        <f>BQ305</f>
        <v/>
      </c>
      <c r="BR306" s="95">
        <f>IFERROR(IF($C306="","",IF($P$15="Cascade",$R306*(1-BQ306)*BP306,IF($P$15="Additionnelle",($N306-($N306*($P306+BQ306)))*BP306))),"Non Trouvé")</f>
        <v/>
      </c>
      <c r="BU306" s="99">
        <f>BU305</f>
        <v/>
      </c>
      <c r="BV306" s="99">
        <f>BV305</f>
        <v/>
      </c>
      <c r="BW306" s="95">
        <f>IFERROR(IF($C306="","",IF($P$15="Cascade",$R306*(1-BV306)*BU306,IF($P$15="Additionnelle",($N306-($N306*($P306+BV306)))*BU306))),"Non Trouvé")</f>
        <v/>
      </c>
      <c r="BZ306" s="99">
        <f>BZ305</f>
        <v/>
      </c>
      <c r="CA306" s="99">
        <f>CA305</f>
        <v/>
      </c>
      <c r="CB306" s="95">
        <f>IFERROR(IF($C306="","",IF($P$15="Cascade",$R306*(1-CA306)*BZ306,IF($P$15="Additionnelle",($N306-($N306*($P306+CA306)))*BZ306))),"Non Trouvé")</f>
        <v/>
      </c>
      <c r="CE306" s="100" t="n"/>
      <c r="CF306" s="101" t="n"/>
      <c r="CG306" s="102" t="n"/>
      <c r="CH306" s="102" t="n"/>
      <c r="CI306" s="103" t="n"/>
      <c r="CK306" s="104">
        <f>IFERROR(IF(F306='[1]Paramètres Généraux'!$K$12,ROUNDUP((REGENERANTS!H306*REGENERANTS!$CF$275)*'[1]Paramètres Généraux'!$M$12,-1),REGENERANTS!H306*REGENERANTS!$CF$275),"nd")</f>
        <v/>
      </c>
      <c r="CN306" s="153" t="n"/>
      <c r="CO306" s="154" t="n"/>
      <c r="CP306" s="154" t="n"/>
      <c r="CQ306" s="154" t="n"/>
      <c r="CR306" s="154" t="n"/>
      <c r="CS306" s="180" t="n"/>
      <c r="CT306" s="181" t="n"/>
      <c r="CU306" s="154" t="n"/>
      <c r="CV306" s="180" t="n"/>
      <c r="CW306" s="157" t="n"/>
      <c r="CX306" s="156" t="n"/>
      <c r="CY306" s="157" t="n"/>
      <c r="CZ306" s="143" t="n"/>
      <c r="DA306" s="156" t="n"/>
      <c r="DB306" s="157" t="n"/>
      <c r="DC306" s="143" t="n"/>
      <c r="DD306" s="156" t="n"/>
      <c r="DE306" s="157" t="n"/>
      <c r="DF306" s="143" t="n"/>
      <c r="DG306" s="143" t="n"/>
      <c r="DH306" s="143" t="n"/>
      <c r="DI306" s="143" t="n"/>
      <c r="DJ306" s="143" t="n"/>
      <c r="DK306" s="143" t="n"/>
      <c r="DL306" s="143" t="n"/>
      <c r="DM306" s="143" t="n"/>
      <c r="DN306" s="143" t="n"/>
      <c r="DO306" s="156" t="n"/>
      <c r="DP306" s="157" t="n"/>
      <c r="DQ306" s="20">
        <f>SUM(CN306:DP306)</f>
        <v/>
      </c>
      <c r="DR306" s="20">
        <f>SUM(CV306:DP306)</f>
        <v/>
      </c>
      <c r="DS306" s="20">
        <f>IFERROR((IF(AND($F306="Produit Vente",CO306&gt;0),VLOOKUP($C306,'[1]Paramètres Articles'!$B:$H,7,FALSE)*$CO306)*(1-20%)),0)</f>
        <v/>
      </c>
      <c r="DT306" s="20">
        <f>IFERROR((IF(AND($F306="Produit Vente",DR306&gt;0),VLOOKUP($C306,'[1]Paramètres Articles'!$B:$H,6,FALSE)*$DR306)*(1-15%)),0)</f>
        <v/>
      </c>
    </row>
    <row r="307" hidden="1" outlineLevel="1" collapsed="1" ht="12.95" customHeight="1">
      <c r="B307" s="1">
        <f>IF(C307="",0,COUNTIFS($B$22:B306,"&gt;"&amp;0)+1)</f>
        <v/>
      </c>
      <c r="C307" s="90" t="n"/>
      <c r="D307" s="91">
        <f>IFERROR(IF($C307="","",VLOOKUP($C307,'[1]Paramètres Articles'!$B:$G,2,FALSE)),"Non Trouvé")</f>
        <v/>
      </c>
      <c r="E307" s="92">
        <f>IFERROR(IF($C307="","",_xlfn.XLOOKUP(REGENERANTS!$C307,'[1]New Base PA'!$F:$F,'[1]New Base PA'!$D:$D,"Not Found",0)),"Non Trouvé")</f>
        <v/>
      </c>
      <c r="F307" s="93" t="n"/>
      <c r="H307" s="106" t="n"/>
      <c r="J307" s="95">
        <f>IFERROR(IF($C307="","",VLOOKUP($C307,'[1]New Base PA'!$F:$J,5,FALSE)),"Non Trouvé")</f>
        <v/>
      </c>
      <c r="K307" s="136">
        <f>IFERROR(IF($C307="","",$J307*$H307),"Non Trouvé")</f>
        <v/>
      </c>
      <c r="L307" s="137" t="n"/>
      <c r="M307" s="136">
        <f>IFERROR(IF(AND($F307="Produit Vente",H307&gt;0),VLOOKUP($C307,'[1]Paramètres Articles'!$B:$G,6,FALSE),0),"Non Trouvé")</f>
        <v/>
      </c>
      <c r="N307" s="136">
        <f>IFERROR(IF($C307="","",$M307*$H307),"Non Trouvé")</f>
        <v/>
      </c>
      <c r="P307" s="97" t="n"/>
      <c r="R307" s="95">
        <f>IFERROR(IF($C307="","",$N307*(1-$P307)),"Non Trouvé")</f>
        <v/>
      </c>
      <c r="S307" s="96" t="n"/>
      <c r="T307" s="95">
        <f>IFERROR(IF($C307="","",VLOOKUP($C307,'[1]Paramètres Articles'!$B:$H,7,FALSE)),"Non Trouvé")</f>
        <v/>
      </c>
      <c r="U307" s="98" t="n"/>
      <c r="V307" s="95">
        <f>IFERROR(IF($C307="","",IF($P307="","",$T307*(1-$P307))),"Non Trouvé")</f>
        <v/>
      </c>
      <c r="W307" s="96" t="n"/>
      <c r="X307" s="95">
        <f>IFERROR(T307-V307,"")</f>
        <v/>
      </c>
      <c r="Y307" s="96" t="n"/>
      <c r="Z307" s="95">
        <f>IFERROR(IF(OR(T307=0,T307=""),0,T307*H307),"Non Trouvé")</f>
        <v/>
      </c>
      <c r="AB307" s="99">
        <f>AB305</f>
        <v/>
      </c>
      <c r="AC307" s="99">
        <f>AC305</f>
        <v/>
      </c>
      <c r="AD307" s="95">
        <f>IFERROR(IF($C307="","",IF($P$15="Cascade",$R307*(1-AC307)*AB307,IF($P$15="Additionnelle",($N307-($N307*($P307+AC307)))*AB307))),"Non Trouvé")</f>
        <v/>
      </c>
      <c r="AG307" s="99">
        <f>AG305</f>
        <v/>
      </c>
      <c r="AH307" s="99">
        <f>AH305</f>
        <v/>
      </c>
      <c r="AI307" s="95">
        <f>IFERROR(IF($C307="","",IF($P$15="Cascade",$R307*(1-AH307)*AG307,IF($P$15="Additionnelle",($N307-($N307*($P307+AH307)))*AG307))),"Non Trouvé")</f>
        <v/>
      </c>
      <c r="AL307" s="99">
        <f>AL305</f>
        <v/>
      </c>
      <c r="AM307" s="99">
        <f>AM305</f>
        <v/>
      </c>
      <c r="AN307" s="95">
        <f>IFERROR(IF($C307="","",IF($P$15="Cascade",$R307*(1-AM307)*AL307,IF($P$15="Additionnelle",($N307-($N307*($P307+AM307)))*AL307))),"Non Trouvé")</f>
        <v/>
      </c>
      <c r="AQ307" s="99">
        <f>AQ305</f>
        <v/>
      </c>
      <c r="AR307" s="99">
        <f>AR305</f>
        <v/>
      </c>
      <c r="AS307" s="95">
        <f>IFERROR(IF($C307="","",IF($P$15="Cascade",$R307*(1-AR307)*AQ307,IF($P$15="Additionnelle",($N307-($N307*($P307+AR307)))*AQ307))),"Non Trouvé")</f>
        <v/>
      </c>
      <c r="AV307" s="99">
        <f>AV305</f>
        <v/>
      </c>
      <c r="AW307" s="99">
        <f>AW305</f>
        <v/>
      </c>
      <c r="AX307" s="95">
        <f>IFERROR(IF($C307="","",IF($P$15="Cascade",$R307*(1-AW307)*AV307,IF($P$15="Additionnelle",($N307-($N307*($P307+AW307)))*AV307))),"Non Trouvé")</f>
        <v/>
      </c>
      <c r="BA307" s="99">
        <f>BA305</f>
        <v/>
      </c>
      <c r="BB307" s="99">
        <f>BB305</f>
        <v/>
      </c>
      <c r="BC307" s="95">
        <f>IFERROR(IF($C307="","",IF($P$15="Cascade",$R307*(1-BB307)*BA307,IF($P$15="Additionnelle",($N307-($N307*($P307+BB307)))*BA307))),"Non Trouvé")</f>
        <v/>
      </c>
      <c r="BF307" s="99">
        <f>BF305</f>
        <v/>
      </c>
      <c r="BG307" s="99">
        <f>BG305</f>
        <v/>
      </c>
      <c r="BH307" s="95">
        <f>IFERROR(IF($C307="","",IF($P$15="Cascade",$R307*(1-BG307)*BF307,IF($P$15="Additionnelle",($N307-($N307*($P307+BG307)))*BF307))),"Non Trouvé")</f>
        <v/>
      </c>
      <c r="BK307" s="99">
        <f>BK305</f>
        <v/>
      </c>
      <c r="BL307" s="99">
        <f>BL305</f>
        <v/>
      </c>
      <c r="BM307" s="95">
        <f>IFERROR(IF($C307="","",IF($P$15="Cascade",$R307*(1-BL307)*BK307,IF($P$15="Additionnelle",($N307-($N307*($P307+BL307)))*BK307))),"Non Trouvé")</f>
        <v/>
      </c>
      <c r="BP307" s="99">
        <f>BP305</f>
        <v/>
      </c>
      <c r="BQ307" s="99">
        <f>BQ305</f>
        <v/>
      </c>
      <c r="BR307" s="95">
        <f>IFERROR(IF($C307="","",IF($P$15="Cascade",$R307*(1-BQ307)*BP307,IF($P$15="Additionnelle",($N307-($N307*($P307+BQ307)))*BP307))),"Non Trouvé")</f>
        <v/>
      </c>
      <c r="BU307" s="99">
        <f>BU305</f>
        <v/>
      </c>
      <c r="BV307" s="99">
        <f>BV305</f>
        <v/>
      </c>
      <c r="BW307" s="95">
        <f>IFERROR(IF($C307="","",IF($P$15="Cascade",$R307*(1-BV307)*BU307,IF($P$15="Additionnelle",($N307-($N307*($P307+BV307)))*BU307))),"Non Trouvé")</f>
        <v/>
      </c>
      <c r="BZ307" s="99">
        <f>BZ305</f>
        <v/>
      </c>
      <c r="CA307" s="99">
        <f>CA305</f>
        <v/>
      </c>
      <c r="CB307" s="95">
        <f>IFERROR(IF($C307="","",IF($P$15="Cascade",$R307*(1-CA307)*BZ307,IF($P$15="Additionnelle",($N307-($N307*($P307+CA307)))*BZ307))),"Non Trouvé")</f>
        <v/>
      </c>
      <c r="CE307" s="100" t="n"/>
      <c r="CF307" s="101" t="n"/>
      <c r="CG307" s="102" t="n"/>
      <c r="CH307" s="102" t="n"/>
      <c r="CI307" s="103" t="n"/>
      <c r="CK307" s="104">
        <f>IFERROR(IF(F307='[1]Paramètres Généraux'!$K$12,ROUNDUP((REGENERANTS!H307*REGENERANTS!$CF$275)*'[1]Paramètres Généraux'!$M$12,-1),REGENERANTS!H307*REGENERANTS!$CF$275),"nd")</f>
        <v/>
      </c>
      <c r="CN307" s="153" t="n"/>
      <c r="CO307" s="154" t="n"/>
      <c r="CP307" s="154" t="n"/>
      <c r="CQ307" s="154" t="n"/>
      <c r="CR307" s="154" t="n"/>
      <c r="CS307" s="180" t="n"/>
      <c r="CT307" s="181" t="n"/>
      <c r="CU307" s="154" t="n"/>
      <c r="CV307" s="180" t="n"/>
      <c r="CW307" s="157" t="n"/>
      <c r="CX307" s="156" t="n"/>
      <c r="CY307" s="157" t="n"/>
      <c r="CZ307" s="143" t="n"/>
      <c r="DA307" s="156" t="n"/>
      <c r="DB307" s="157" t="n"/>
      <c r="DC307" s="143" t="n"/>
      <c r="DD307" s="156" t="n"/>
      <c r="DE307" s="157" t="n"/>
      <c r="DF307" s="143" t="n"/>
      <c r="DG307" s="143" t="n"/>
      <c r="DH307" s="143" t="n"/>
      <c r="DI307" s="143" t="n"/>
      <c r="DJ307" s="143" t="n"/>
      <c r="DK307" s="143" t="n"/>
      <c r="DL307" s="143" t="n"/>
      <c r="DM307" s="143" t="n"/>
      <c r="DN307" s="143" t="n"/>
      <c r="DO307" s="156" t="n"/>
      <c r="DP307" s="157" t="n"/>
      <c r="DQ307" s="20">
        <f>SUM(CN307:DP307)</f>
        <v/>
      </c>
      <c r="DR307" s="20">
        <f>SUM(CV307:DP307)</f>
        <v/>
      </c>
      <c r="DS307" s="20">
        <f>IFERROR((IF(AND($F307="Produit Vente",CO307&gt;0),VLOOKUP($C307,'[1]Paramètres Articles'!$B:$H,7,FALSE)*$CO307)*(1-20%)),0)</f>
        <v/>
      </c>
      <c r="DT307" s="20">
        <f>IFERROR((IF(AND($F307="Produit Vente",DR307&gt;0),VLOOKUP($C307,'[1]Paramètres Articles'!$B:$H,6,FALSE)*$DR307)*(1-15%)),0)</f>
        <v/>
      </c>
    </row>
    <row r="308" hidden="1" outlineLevel="1" collapsed="1" ht="12.95" customHeight="1">
      <c r="B308" s="1">
        <f>IF(C308="",0,COUNTIFS($B$22:B307,"&gt;"&amp;0)+1)</f>
        <v/>
      </c>
      <c r="C308" s="90" t="n"/>
      <c r="D308" s="91">
        <f>IFERROR(IF($C308="","",VLOOKUP($C308,'[1]Paramètres Articles'!$B:$G,2,FALSE)),"Non Trouvé")</f>
        <v/>
      </c>
      <c r="E308" s="92">
        <f>IFERROR(IF($C308="","",_xlfn.XLOOKUP(REGENERANTS!$C308,'[1]New Base PA'!$F:$F,'[1]New Base PA'!$D:$D,"Not Found",0)),"Non Trouvé")</f>
        <v/>
      </c>
      <c r="F308" s="93" t="n"/>
      <c r="H308" s="106" t="n"/>
      <c r="J308" s="95">
        <f>IFERROR(IF($C308="","",VLOOKUP($C308,'[1]New Base PA'!$F:$J,5,FALSE)),"Non Trouvé")</f>
        <v/>
      </c>
      <c r="K308" s="136">
        <f>IFERROR(IF($C308="","",$J308*$H308),"Non Trouvé")</f>
        <v/>
      </c>
      <c r="L308" s="137" t="n"/>
      <c r="M308" s="136">
        <f>IFERROR(IF(AND($F308="Produit Vente",H308&gt;0),VLOOKUP($C308,'[1]Paramètres Articles'!$B:$G,6,FALSE),0),"Non Trouvé")</f>
        <v/>
      </c>
      <c r="N308" s="136">
        <f>IFERROR(IF($C308="","",$M308*$H308),"Non Trouvé")</f>
        <v/>
      </c>
      <c r="P308" s="97" t="n"/>
      <c r="R308" s="95">
        <f>IFERROR(IF($C308="","",$N308*(1-$P308)),"Non Trouvé")</f>
        <v/>
      </c>
      <c r="S308" s="96" t="n"/>
      <c r="T308" s="95">
        <f>IFERROR(IF($C308="","",VLOOKUP($C308,'[1]Paramètres Articles'!$B:$H,7,FALSE)),"Non Trouvé")</f>
        <v/>
      </c>
      <c r="U308" s="98" t="n"/>
      <c r="V308" s="95">
        <f>IFERROR(IF($C308="","",IF($P308="","",$T308*(1-$P308))),"Non Trouvé")</f>
        <v/>
      </c>
      <c r="W308" s="96" t="n"/>
      <c r="X308" s="95">
        <f>IFERROR(T308-V308,"")</f>
        <v/>
      </c>
      <c r="Y308" s="96" t="n"/>
      <c r="Z308" s="95">
        <f>IFERROR(IF(OR(T308=0,T308=""),0,T308*H308),"Non Trouvé")</f>
        <v/>
      </c>
      <c r="AB308" s="99">
        <f>AB307</f>
        <v/>
      </c>
      <c r="AC308" s="99">
        <f>AC307</f>
        <v/>
      </c>
      <c r="AD308" s="95">
        <f>IFERROR(IF($C308="","",IF($P$15="Cascade",$R308*(1-AC308)*AB308,IF($P$15="Additionnelle",($N308-($N308*($P308+AC308)))*AB308))),"Non Trouvé")</f>
        <v/>
      </c>
      <c r="AG308" s="99">
        <f>AG307</f>
        <v/>
      </c>
      <c r="AH308" s="99">
        <f>AH307</f>
        <v/>
      </c>
      <c r="AI308" s="95">
        <f>IFERROR(IF($C308="","",IF($P$15="Cascade",$R308*(1-AH308)*AG308,IF($P$15="Additionnelle",($N308-($N308*($P308+AH308)))*AG308))),"Non Trouvé")</f>
        <v/>
      </c>
      <c r="AL308" s="99">
        <f>AL307</f>
        <v/>
      </c>
      <c r="AM308" s="99">
        <f>AM307</f>
        <v/>
      </c>
      <c r="AN308" s="95">
        <f>IFERROR(IF($C308="","",IF($P$15="Cascade",$R308*(1-AM308)*AL308,IF($P$15="Additionnelle",($N308-($N308*($P308+AM308)))*AL308))),"Non Trouvé")</f>
        <v/>
      </c>
      <c r="AQ308" s="99">
        <f>AQ307</f>
        <v/>
      </c>
      <c r="AR308" s="99">
        <f>AR307</f>
        <v/>
      </c>
      <c r="AS308" s="95">
        <f>IFERROR(IF($C308="","",IF($P$15="Cascade",$R308*(1-AR308)*AQ308,IF($P$15="Additionnelle",($N308-($N308*($P308+AR308)))*AQ308))),"Non Trouvé")</f>
        <v/>
      </c>
      <c r="AV308" s="99">
        <f>AV307</f>
        <v/>
      </c>
      <c r="AW308" s="99">
        <f>AW307</f>
        <v/>
      </c>
      <c r="AX308" s="95">
        <f>IFERROR(IF($C308="","",IF($P$15="Cascade",$R308*(1-AW308)*AV308,IF($P$15="Additionnelle",($N308-($N308*($P308+AW308)))*AV308))),"Non Trouvé")</f>
        <v/>
      </c>
      <c r="BA308" s="99">
        <f>BA307</f>
        <v/>
      </c>
      <c r="BB308" s="99">
        <f>BB307</f>
        <v/>
      </c>
      <c r="BC308" s="95">
        <f>IFERROR(IF($C308="","",IF($P$15="Cascade",$R308*(1-BB308)*BA308,IF($P$15="Additionnelle",($N308-($N308*($P308+BB308)))*BA308))),"Non Trouvé")</f>
        <v/>
      </c>
      <c r="BF308" s="99">
        <f>BF307</f>
        <v/>
      </c>
      <c r="BG308" s="99">
        <f>BG307</f>
        <v/>
      </c>
      <c r="BH308" s="95">
        <f>IFERROR(IF($C308="","",IF($P$15="Cascade",$R308*(1-BG308)*BF308,IF($P$15="Additionnelle",($N308-($N308*($P308+BG308)))*BF308))),"Non Trouvé")</f>
        <v/>
      </c>
      <c r="BK308" s="99">
        <f>BK307</f>
        <v/>
      </c>
      <c r="BL308" s="99">
        <f>BL307</f>
        <v/>
      </c>
      <c r="BM308" s="95">
        <f>IFERROR(IF($C308="","",IF($P$15="Cascade",$R308*(1-BL308)*BK308,IF($P$15="Additionnelle",($N308-($N308*($P308+BL308)))*BK308))),"Non Trouvé")</f>
        <v/>
      </c>
      <c r="BP308" s="99">
        <f>BP307</f>
        <v/>
      </c>
      <c r="BQ308" s="99">
        <f>BQ307</f>
        <v/>
      </c>
      <c r="BR308" s="95">
        <f>IFERROR(IF($C308="","",IF($P$15="Cascade",$R308*(1-BQ308)*BP308,IF($P$15="Additionnelle",($N308-($N308*($P308+BQ308)))*BP308))),"Non Trouvé")</f>
        <v/>
      </c>
      <c r="BU308" s="99">
        <f>BU307</f>
        <v/>
      </c>
      <c r="BV308" s="99">
        <f>BV307</f>
        <v/>
      </c>
      <c r="BW308" s="95">
        <f>IFERROR(IF($C308="","",IF($P$15="Cascade",$R308*(1-BV308)*BU308,IF($P$15="Additionnelle",($N308-($N308*($P308+BV308)))*BU308))),"Non Trouvé")</f>
        <v/>
      </c>
      <c r="BZ308" s="99">
        <f>BZ307</f>
        <v/>
      </c>
      <c r="CA308" s="99">
        <f>CA307</f>
        <v/>
      </c>
      <c r="CB308" s="95">
        <f>IFERROR(IF($C308="","",IF($P$15="Cascade",$R308*(1-CA308)*BZ308,IF($P$15="Additionnelle",($N308-($N308*($P308+CA308)))*BZ308))),"Non Trouvé")</f>
        <v/>
      </c>
      <c r="CE308" s="100" t="n"/>
      <c r="CF308" s="101" t="n"/>
      <c r="CG308" s="102" t="n"/>
      <c r="CH308" s="102" t="n"/>
      <c r="CI308" s="103" t="n"/>
      <c r="CK308" s="104">
        <f>IFERROR(IF(F308='[1]Paramètres Généraux'!$K$12,ROUNDUP((REGENERANTS!H308*REGENERANTS!$CF$275)*'[1]Paramètres Généraux'!$M$12,-1),REGENERANTS!H308*REGENERANTS!$CF$275),"nd")</f>
        <v/>
      </c>
      <c r="CN308" s="153" t="n"/>
      <c r="CO308" s="154" t="n"/>
      <c r="CP308" s="154" t="n"/>
      <c r="CQ308" s="154" t="n"/>
      <c r="CR308" s="154" t="n"/>
      <c r="CS308" s="180" t="n"/>
      <c r="CT308" s="181" t="n"/>
      <c r="CU308" s="154" t="n"/>
      <c r="CV308" s="180" t="n"/>
      <c r="CW308" s="157" t="n"/>
      <c r="CX308" s="156" t="n"/>
      <c r="CY308" s="157" t="n"/>
      <c r="CZ308" s="143" t="n"/>
      <c r="DA308" s="156" t="n"/>
      <c r="DB308" s="157" t="n"/>
      <c r="DC308" s="143" t="n"/>
      <c r="DD308" s="156" t="n"/>
      <c r="DE308" s="157" t="n"/>
      <c r="DF308" s="143" t="n"/>
      <c r="DG308" s="143" t="n"/>
      <c r="DH308" s="143" t="n"/>
      <c r="DI308" s="143" t="n"/>
      <c r="DJ308" s="143" t="n"/>
      <c r="DK308" s="143" t="n"/>
      <c r="DL308" s="143" t="n"/>
      <c r="DM308" s="143" t="n"/>
      <c r="DN308" s="143" t="n"/>
      <c r="DO308" s="156" t="n"/>
      <c r="DP308" s="157" t="n"/>
      <c r="DQ308" s="20">
        <f>SUM(CN308:DP308)</f>
        <v/>
      </c>
      <c r="DR308" s="20">
        <f>SUM(CV308:DP308)</f>
        <v/>
      </c>
      <c r="DS308" s="20">
        <f>IFERROR((IF(AND($F308="Produit Vente",CO308&gt;0),VLOOKUP($C308,'[1]Paramètres Articles'!$B:$H,7,FALSE)*$CO308)*(1-20%)),0)</f>
        <v/>
      </c>
      <c r="DT308" s="20">
        <f>IFERROR((IF(AND($F308="Produit Vente",DR308&gt;0),VLOOKUP($C308,'[1]Paramètres Articles'!$B:$H,6,FALSE)*$DR308)*(1-15%)),0)</f>
        <v/>
      </c>
    </row>
    <row r="309" hidden="1" outlineLevel="1" collapsed="1" ht="12.95" customHeight="1">
      <c r="B309" s="1">
        <f>IF(C309="",0,COUNTIFS($B$22:B308,"&gt;"&amp;0)+1)</f>
        <v/>
      </c>
      <c r="C309" s="90" t="n"/>
      <c r="D309" s="91">
        <f>IFERROR(IF($C309="","",VLOOKUP($C309,'[1]Paramètres Articles'!$B:$G,2,FALSE)),"Non Trouvé")</f>
        <v/>
      </c>
      <c r="E309" s="92">
        <f>IFERROR(IF($C309="","",_xlfn.XLOOKUP(REGENERANTS!$C309,'[1]New Base PA'!$F:$F,'[1]New Base PA'!$D:$D,"Not Found",0)),"Non Trouvé")</f>
        <v/>
      </c>
      <c r="F309" s="93" t="n"/>
      <c r="H309" s="106" t="n"/>
      <c r="J309" s="95">
        <f>IFERROR(IF($C309="","",VLOOKUP($C309,'[1]New Base PA'!$F:$J,5,FALSE)),"Non Trouvé")</f>
        <v/>
      </c>
      <c r="K309" s="136">
        <f>IFERROR(IF($C309="","",$J309*$H309),"Non Trouvé")</f>
        <v/>
      </c>
      <c r="L309" s="137" t="n"/>
      <c r="M309" s="136">
        <f>IFERROR(IF(AND($F309="Produit Vente",H309&gt;0),VLOOKUP($C309,'[1]Paramètres Articles'!$B:$G,6,FALSE),0),"Non Trouvé")</f>
        <v/>
      </c>
      <c r="N309" s="136">
        <f>IFERROR(IF($C309="","",$M309*$H309),"Non Trouvé")</f>
        <v/>
      </c>
      <c r="P309" s="97" t="n"/>
      <c r="R309" s="95">
        <f>IFERROR(IF($C309="","",$N309*(1-$P309)),"Non Trouvé")</f>
        <v/>
      </c>
      <c r="S309" s="96" t="n"/>
      <c r="T309" s="95">
        <f>IFERROR(IF($C309="","",VLOOKUP($C309,'[1]Paramètres Articles'!$B:$H,7,FALSE)),"Non Trouvé")</f>
        <v/>
      </c>
      <c r="U309" s="98" t="n"/>
      <c r="V309" s="95">
        <f>IFERROR(IF($C309="","",IF($P309="","",$T309*(1-$P309))),"Non Trouvé")</f>
        <v/>
      </c>
      <c r="W309" s="96" t="n"/>
      <c r="X309" s="95">
        <f>IFERROR(T309-V309,"")</f>
        <v/>
      </c>
      <c r="Y309" s="96" t="n"/>
      <c r="Z309" s="95">
        <f>IFERROR(IF(OR(T309=0,T309=""),0,T309*H309),"Non Trouvé")</f>
        <v/>
      </c>
      <c r="AB309" s="99">
        <f>AB307</f>
        <v/>
      </c>
      <c r="AC309" s="99">
        <f>AC307</f>
        <v/>
      </c>
      <c r="AD309" s="95">
        <f>IFERROR(IF($C309="","",IF($P$15="Cascade",$R309*(1-AC309)*AB309,IF($P$15="Additionnelle",($N309-($N309*($P309+AC309)))*AB309))),"Non Trouvé")</f>
        <v/>
      </c>
      <c r="AG309" s="99">
        <f>AG307</f>
        <v/>
      </c>
      <c r="AH309" s="99">
        <f>AH307</f>
        <v/>
      </c>
      <c r="AI309" s="95">
        <f>IFERROR(IF($C309="","",IF($P$15="Cascade",$R309*(1-AH309)*AG309,IF($P$15="Additionnelle",($N309-($N309*($P309+AH309)))*AG309))),"Non Trouvé")</f>
        <v/>
      </c>
      <c r="AL309" s="99">
        <f>AL307</f>
        <v/>
      </c>
      <c r="AM309" s="99">
        <f>AM307</f>
        <v/>
      </c>
      <c r="AN309" s="95">
        <f>IFERROR(IF($C309="","",IF($P$15="Cascade",$R309*(1-AM309)*AL309,IF($P$15="Additionnelle",($N309-($N309*($P309+AM309)))*AL309))),"Non Trouvé")</f>
        <v/>
      </c>
      <c r="AQ309" s="99">
        <f>AQ307</f>
        <v/>
      </c>
      <c r="AR309" s="99">
        <f>AR307</f>
        <v/>
      </c>
      <c r="AS309" s="95">
        <f>IFERROR(IF($C309="","",IF($P$15="Cascade",$R309*(1-AR309)*AQ309,IF($P$15="Additionnelle",($N309-($N309*($P309+AR309)))*AQ309))),"Non Trouvé")</f>
        <v/>
      </c>
      <c r="AV309" s="99">
        <f>AV307</f>
        <v/>
      </c>
      <c r="AW309" s="99">
        <f>AW307</f>
        <v/>
      </c>
      <c r="AX309" s="95">
        <f>IFERROR(IF($C309="","",IF($P$15="Cascade",$R309*(1-AW309)*AV309,IF($P$15="Additionnelle",($N309-($N309*($P309+AW309)))*AV309))),"Non Trouvé")</f>
        <v/>
      </c>
      <c r="BA309" s="99">
        <f>BA307</f>
        <v/>
      </c>
      <c r="BB309" s="99">
        <f>BB307</f>
        <v/>
      </c>
      <c r="BC309" s="95">
        <f>IFERROR(IF($C309="","",IF($P$15="Cascade",$R309*(1-BB309)*BA309,IF($P$15="Additionnelle",($N309-($N309*($P309+BB309)))*BA309))),"Non Trouvé")</f>
        <v/>
      </c>
      <c r="BF309" s="99">
        <f>BF307</f>
        <v/>
      </c>
      <c r="BG309" s="99">
        <f>BG307</f>
        <v/>
      </c>
      <c r="BH309" s="95">
        <f>IFERROR(IF($C309="","",IF($P$15="Cascade",$R309*(1-BG309)*BF309,IF($P$15="Additionnelle",($N309-($N309*($P309+BG309)))*BF309))),"Non Trouvé")</f>
        <v/>
      </c>
      <c r="BK309" s="99">
        <f>BK307</f>
        <v/>
      </c>
      <c r="BL309" s="99">
        <f>BL307</f>
        <v/>
      </c>
      <c r="BM309" s="95">
        <f>IFERROR(IF($C309="","",IF($P$15="Cascade",$R309*(1-BL309)*BK309,IF($P$15="Additionnelle",($N309-($N309*($P309+BL309)))*BK309))),"Non Trouvé")</f>
        <v/>
      </c>
      <c r="BP309" s="99">
        <f>BP307</f>
        <v/>
      </c>
      <c r="BQ309" s="99">
        <f>BQ307</f>
        <v/>
      </c>
      <c r="BR309" s="95">
        <f>IFERROR(IF($C309="","",IF($P$15="Cascade",$R309*(1-BQ309)*BP309,IF($P$15="Additionnelle",($N309-($N309*($P309+BQ309)))*BP309))),"Non Trouvé")</f>
        <v/>
      </c>
      <c r="BU309" s="99">
        <f>BU307</f>
        <v/>
      </c>
      <c r="BV309" s="99">
        <f>BV307</f>
        <v/>
      </c>
      <c r="BW309" s="95">
        <f>IFERROR(IF($C309="","",IF($P$15="Cascade",$R309*(1-BV309)*BU309,IF($P$15="Additionnelle",($N309-($N309*($P309+BV309)))*BU309))),"Non Trouvé")</f>
        <v/>
      </c>
      <c r="BZ309" s="99">
        <f>BZ307</f>
        <v/>
      </c>
      <c r="CA309" s="99">
        <f>CA307</f>
        <v/>
      </c>
      <c r="CB309" s="95">
        <f>IFERROR(IF($C309="","",IF($P$15="Cascade",$R309*(1-CA309)*BZ309,IF($P$15="Additionnelle",($N309-($N309*($P309+CA309)))*BZ309))),"Non Trouvé")</f>
        <v/>
      </c>
      <c r="CE309" s="100" t="n"/>
      <c r="CF309" s="101" t="n"/>
      <c r="CG309" s="102" t="n"/>
      <c r="CH309" s="102" t="n"/>
      <c r="CI309" s="103" t="n"/>
      <c r="CK309" s="104">
        <f>IFERROR(IF(F309='[1]Paramètres Généraux'!$K$12,ROUNDUP((REGENERANTS!H309*REGENERANTS!$CF$275)*'[1]Paramètres Généraux'!$M$12,-1),REGENERANTS!H309*REGENERANTS!$CF$275),"nd")</f>
        <v/>
      </c>
      <c r="CN309" s="153" t="n"/>
      <c r="CO309" s="154" t="n"/>
      <c r="CP309" s="154" t="n"/>
      <c r="CQ309" s="154" t="n"/>
      <c r="CR309" s="154" t="n"/>
      <c r="CS309" s="180" t="n"/>
      <c r="CT309" s="181" t="n"/>
      <c r="CU309" s="154" t="n"/>
      <c r="CV309" s="180" t="n"/>
      <c r="CW309" s="157" t="n"/>
      <c r="CX309" s="156" t="n"/>
      <c r="CY309" s="157" t="n"/>
      <c r="CZ309" s="143" t="n"/>
      <c r="DA309" s="156" t="n"/>
      <c r="DB309" s="157" t="n"/>
      <c r="DC309" s="143" t="n"/>
      <c r="DD309" s="156" t="n"/>
      <c r="DE309" s="157" t="n"/>
      <c r="DF309" s="143" t="n"/>
      <c r="DG309" s="143" t="n"/>
      <c r="DH309" s="143" t="n"/>
      <c r="DI309" s="143" t="n"/>
      <c r="DJ309" s="143" t="n"/>
      <c r="DK309" s="143" t="n"/>
      <c r="DL309" s="143" t="n"/>
      <c r="DM309" s="143" t="n"/>
      <c r="DN309" s="143" t="n"/>
      <c r="DO309" s="156" t="n"/>
      <c r="DP309" s="157" t="n"/>
      <c r="DQ309" s="20">
        <f>SUM(CN309:DP309)</f>
        <v/>
      </c>
      <c r="DR309" s="20">
        <f>SUM(CV309:DP309)</f>
        <v/>
      </c>
      <c r="DS309" s="20">
        <f>IFERROR((IF(AND($F309="Produit Vente",CO309&gt;0),VLOOKUP($C309,'[1]Paramètres Articles'!$B:$H,7,FALSE)*$CO309)*(1-20%)),0)</f>
        <v/>
      </c>
      <c r="DT309" s="20">
        <f>IFERROR((IF(AND($F309="Produit Vente",DR309&gt;0),VLOOKUP($C309,'[1]Paramètres Articles'!$B:$H,6,FALSE)*$DR309)*(1-15%)),0)</f>
        <v/>
      </c>
    </row>
    <row r="310" hidden="1" outlineLevel="1" collapsed="1" ht="12.95" customHeight="1">
      <c r="B310" s="1">
        <f>IF(C310="",0,COUNTIFS($B$22:B309,"&gt;"&amp;0)+1)</f>
        <v/>
      </c>
      <c r="C310" s="90" t="n"/>
      <c r="D310" s="91">
        <f>IFERROR(IF($C310="","",VLOOKUP($C310,'[1]Paramètres Articles'!$B:$G,2,FALSE)),"Non Trouvé")</f>
        <v/>
      </c>
      <c r="E310" s="92">
        <f>IFERROR(IF($C310="","",_xlfn.XLOOKUP(REGENERANTS!$C310,'[1]New Base PA'!$F:$F,'[1]New Base PA'!$D:$D,"Not Found",0)),"Non Trouvé")</f>
        <v/>
      </c>
      <c r="F310" s="93" t="n"/>
      <c r="H310" s="106" t="n"/>
      <c r="J310" s="95">
        <f>IFERROR(IF($C310="","",VLOOKUP($C310,'[1]New Base PA'!$F:$J,5,FALSE)),"Non Trouvé")</f>
        <v/>
      </c>
      <c r="K310" s="136">
        <f>IFERROR(IF($C310="","",$J310*$H310),"Non Trouvé")</f>
        <v/>
      </c>
      <c r="L310" s="137" t="n"/>
      <c r="M310" s="136">
        <f>IFERROR(IF(AND($F310="Produit Vente",H310&gt;0),VLOOKUP($C310,'[1]Paramètres Articles'!$B:$G,6,FALSE),0),"Non Trouvé")</f>
        <v/>
      </c>
      <c r="N310" s="136">
        <f>IFERROR(IF($C310="","",$M310*$H310),"Non Trouvé")</f>
        <v/>
      </c>
      <c r="P310" s="97" t="n"/>
      <c r="R310" s="95">
        <f>IFERROR(IF($C310="","",$N310*(1-$P310)),"Non Trouvé")</f>
        <v/>
      </c>
      <c r="S310" s="96" t="n"/>
      <c r="T310" s="95">
        <f>IFERROR(IF($C310="","",VLOOKUP($C310,'[1]Paramètres Articles'!$B:$H,7,FALSE)),"Non Trouvé")</f>
        <v/>
      </c>
      <c r="U310" s="98" t="n"/>
      <c r="V310" s="95">
        <f>IFERROR(IF($C310="","",IF($P310="","",$T310*(1-$P310))),"Non Trouvé")</f>
        <v/>
      </c>
      <c r="W310" s="96" t="n"/>
      <c r="X310" s="95">
        <f>IFERROR(T310-V310,"")</f>
        <v/>
      </c>
      <c r="Y310" s="96" t="n"/>
      <c r="Z310" s="95">
        <f>IFERROR(IF(OR(T310=0,T310=""),0,T310*H310),"Non Trouvé")</f>
        <v/>
      </c>
      <c r="AB310" s="99">
        <f>AB309</f>
        <v/>
      </c>
      <c r="AC310" s="99">
        <f>AC309</f>
        <v/>
      </c>
      <c r="AD310" s="95">
        <f>IFERROR(IF($C310="","",IF($P$15="Cascade",$R310*(1-AC310)*AB310,IF($P$15="Additionnelle",($N310-($N310*($P310+AC310)))*AB310))),"Non Trouvé")</f>
        <v/>
      </c>
      <c r="AG310" s="99">
        <f>AG309</f>
        <v/>
      </c>
      <c r="AH310" s="99">
        <f>AH309</f>
        <v/>
      </c>
      <c r="AI310" s="95">
        <f>IFERROR(IF($C310="","",IF($P$15="Cascade",$R310*(1-AH310)*AG310,IF($P$15="Additionnelle",($N310-($N310*($P310+AH310)))*AG310))),"Non Trouvé")</f>
        <v/>
      </c>
      <c r="AL310" s="99">
        <f>AL309</f>
        <v/>
      </c>
      <c r="AM310" s="99">
        <f>AM309</f>
        <v/>
      </c>
      <c r="AN310" s="95">
        <f>IFERROR(IF($C310="","",IF($P$15="Cascade",$R310*(1-AM310)*AL310,IF($P$15="Additionnelle",($N310-($N310*($P310+AM310)))*AL310))),"Non Trouvé")</f>
        <v/>
      </c>
      <c r="AQ310" s="99">
        <f>AQ309</f>
        <v/>
      </c>
      <c r="AR310" s="99">
        <f>AR309</f>
        <v/>
      </c>
      <c r="AS310" s="95">
        <f>IFERROR(IF($C310="","",IF($P$15="Cascade",$R310*(1-AR310)*AQ310,IF($P$15="Additionnelle",($N310-($N310*($P310+AR310)))*AQ310))),"Non Trouvé")</f>
        <v/>
      </c>
      <c r="AV310" s="99">
        <f>AV309</f>
        <v/>
      </c>
      <c r="AW310" s="99">
        <f>AW309</f>
        <v/>
      </c>
      <c r="AX310" s="95">
        <f>IFERROR(IF($C310="","",IF($P$15="Cascade",$R310*(1-AW310)*AV310,IF($P$15="Additionnelle",($N310-($N310*($P310+AW310)))*AV310))),"Non Trouvé")</f>
        <v/>
      </c>
      <c r="BA310" s="99">
        <f>BA309</f>
        <v/>
      </c>
      <c r="BB310" s="99">
        <f>BB309</f>
        <v/>
      </c>
      <c r="BC310" s="95">
        <f>IFERROR(IF($C310="","",IF($P$15="Cascade",$R310*(1-BB310)*BA310,IF($P$15="Additionnelle",($N310-($N310*($P310+BB310)))*BA310))),"Non Trouvé")</f>
        <v/>
      </c>
      <c r="BF310" s="99">
        <f>BF309</f>
        <v/>
      </c>
      <c r="BG310" s="99">
        <f>BG309</f>
        <v/>
      </c>
      <c r="BH310" s="95">
        <f>IFERROR(IF($C310="","",IF($P$15="Cascade",$R310*(1-BG310)*BF310,IF($P$15="Additionnelle",($N310-($N310*($P310+BG310)))*BF310))),"Non Trouvé")</f>
        <v/>
      </c>
      <c r="BK310" s="99">
        <f>BK309</f>
        <v/>
      </c>
      <c r="BL310" s="99">
        <f>BL309</f>
        <v/>
      </c>
      <c r="BM310" s="95">
        <f>IFERROR(IF($C310="","",IF($P$15="Cascade",$R310*(1-BL310)*BK310,IF($P$15="Additionnelle",($N310-($N310*($P310+BL310)))*BK310))),"Non Trouvé")</f>
        <v/>
      </c>
      <c r="BP310" s="99">
        <f>BP309</f>
        <v/>
      </c>
      <c r="BQ310" s="99">
        <f>BQ309</f>
        <v/>
      </c>
      <c r="BR310" s="95">
        <f>IFERROR(IF($C310="","",IF($P$15="Cascade",$R310*(1-BQ310)*BP310,IF($P$15="Additionnelle",($N310-($N310*($P310+BQ310)))*BP310))),"Non Trouvé")</f>
        <v/>
      </c>
      <c r="BU310" s="99">
        <f>BU309</f>
        <v/>
      </c>
      <c r="BV310" s="99">
        <f>BV309</f>
        <v/>
      </c>
      <c r="BW310" s="95">
        <f>IFERROR(IF($C310="","",IF($P$15="Cascade",$R310*(1-BV310)*BU310,IF($P$15="Additionnelle",($N310-($N310*($P310+BV310)))*BU310))),"Non Trouvé")</f>
        <v/>
      </c>
      <c r="BZ310" s="99">
        <f>BZ309</f>
        <v/>
      </c>
      <c r="CA310" s="99">
        <f>CA309</f>
        <v/>
      </c>
      <c r="CB310" s="95">
        <f>IFERROR(IF($C310="","",IF($P$15="Cascade",$R310*(1-CA310)*BZ310,IF($P$15="Additionnelle",($N310-($N310*($P310+CA310)))*BZ310))),"Non Trouvé")</f>
        <v/>
      </c>
      <c r="CE310" s="100" t="n"/>
      <c r="CF310" s="101" t="n"/>
      <c r="CG310" s="102" t="n"/>
      <c r="CH310" s="102" t="n"/>
      <c r="CI310" s="103" t="n"/>
      <c r="CK310" s="104">
        <f>IFERROR(IF(F310='[1]Paramètres Généraux'!$K$12,ROUNDUP((REGENERANTS!H310*REGENERANTS!$CF$275)*'[1]Paramètres Généraux'!$M$12,-1),REGENERANTS!H310*REGENERANTS!$CF$275),"nd")</f>
        <v/>
      </c>
      <c r="CN310" s="153" t="n"/>
      <c r="CO310" s="154" t="n"/>
      <c r="CP310" s="154" t="n"/>
      <c r="CQ310" s="154" t="n"/>
      <c r="CR310" s="154" t="n"/>
      <c r="CS310" s="180" t="n"/>
      <c r="CT310" s="181" t="n"/>
      <c r="CU310" s="154" t="n"/>
      <c r="CV310" s="180" t="n"/>
      <c r="CW310" s="157" t="n"/>
      <c r="CX310" s="156" t="n"/>
      <c r="CY310" s="157" t="n"/>
      <c r="CZ310" s="143" t="n"/>
      <c r="DA310" s="156" t="n"/>
      <c r="DB310" s="157" t="n"/>
      <c r="DC310" s="143" t="n"/>
      <c r="DD310" s="156" t="n"/>
      <c r="DE310" s="157" t="n"/>
      <c r="DF310" s="143" t="n"/>
      <c r="DG310" s="143" t="n"/>
      <c r="DH310" s="143" t="n"/>
      <c r="DI310" s="143" t="n"/>
      <c r="DJ310" s="143" t="n"/>
      <c r="DK310" s="143" t="n"/>
      <c r="DL310" s="143" t="n"/>
      <c r="DM310" s="143" t="n"/>
      <c r="DN310" s="143" t="n"/>
      <c r="DO310" s="156" t="n"/>
      <c r="DP310" s="157" t="n"/>
      <c r="DQ310" s="20">
        <f>SUM(CN310:DP310)</f>
        <v/>
      </c>
      <c r="DR310" s="20">
        <f>SUM(CV310:DP310)</f>
        <v/>
      </c>
      <c r="DS310" s="20">
        <f>IFERROR((IF(AND($F310="Produit Vente",CO310&gt;0),VLOOKUP($C310,'[1]Paramètres Articles'!$B:$H,7,FALSE)*$CO310)*(1-20%)),0)</f>
        <v/>
      </c>
      <c r="DT310" s="20">
        <f>IFERROR((IF(AND($F310="Produit Vente",DR310&gt;0),VLOOKUP($C310,'[1]Paramètres Articles'!$B:$H,6,FALSE)*$DR310)*(1-15%)),0)</f>
        <v/>
      </c>
    </row>
    <row r="311" hidden="1" outlineLevel="1" collapsed="1" ht="12.95" customHeight="1">
      <c r="B311" s="1">
        <f>IF(C311="",0,COUNTIFS($B$22:B310,"&gt;"&amp;0)+1)</f>
        <v/>
      </c>
      <c r="C311" s="90" t="n"/>
      <c r="D311" s="91">
        <f>IFERROR(IF($C311="","",VLOOKUP($C311,'[1]Paramètres Articles'!$B:$G,2,FALSE)),"Non Trouvé")</f>
        <v/>
      </c>
      <c r="E311" s="92">
        <f>IFERROR(IF($C311="","",_xlfn.XLOOKUP(REGENERANTS!$C311,'[1]New Base PA'!$F:$F,'[1]New Base PA'!$D:$D,"Not Found",0)),"Non Trouvé")</f>
        <v/>
      </c>
      <c r="F311" s="93" t="n"/>
      <c r="H311" s="106" t="n"/>
      <c r="J311" s="95">
        <f>IFERROR(IF($C311="","",VLOOKUP($C311,'[1]New Base PA'!$F:$J,5,FALSE)),"Non Trouvé")</f>
        <v/>
      </c>
      <c r="K311" s="136">
        <f>IFERROR(IF($C311="","",$J311*$H311),"Non Trouvé")</f>
        <v/>
      </c>
      <c r="L311" s="137" t="n"/>
      <c r="M311" s="136">
        <f>IFERROR(IF(AND($F311="Produit Vente",H311&gt;0),VLOOKUP($C311,'[1]Paramètres Articles'!$B:$G,6,FALSE),0),"Non Trouvé")</f>
        <v/>
      </c>
      <c r="N311" s="136">
        <f>IFERROR(IF($C311="","",$M311*$H311),"Non Trouvé")</f>
        <v/>
      </c>
      <c r="P311" s="97" t="n"/>
      <c r="R311" s="95">
        <f>IFERROR(IF($C311="","",$N311*(1-$P311)),"Non Trouvé")</f>
        <v/>
      </c>
      <c r="S311" s="96" t="n"/>
      <c r="T311" s="95">
        <f>IFERROR(IF($C311="","",VLOOKUP($C311,'[1]Paramètres Articles'!$B:$H,7,FALSE)),"Non Trouvé")</f>
        <v/>
      </c>
      <c r="U311" s="98" t="n"/>
      <c r="V311" s="95">
        <f>IFERROR(IF($C311="","",IF($P311="","",$T311*(1-$P311))),"Non Trouvé")</f>
        <v/>
      </c>
      <c r="W311" s="96" t="n"/>
      <c r="X311" s="95">
        <f>IFERROR(T311-V311,"")</f>
        <v/>
      </c>
      <c r="Y311" s="96" t="n"/>
      <c r="Z311" s="95">
        <f>IFERROR(IF(OR(T311=0,T311=""),0,T311*H311),"Non Trouvé")</f>
        <v/>
      </c>
      <c r="AB311" s="99">
        <f>AB309</f>
        <v/>
      </c>
      <c r="AC311" s="99">
        <f>AC309</f>
        <v/>
      </c>
      <c r="AD311" s="95">
        <f>IFERROR(IF($C311="","",IF($P$15="Cascade",$R311*(1-AC311)*AB311,IF($P$15="Additionnelle",($N311-($N311*($P311+AC311)))*AB311))),"Non Trouvé")</f>
        <v/>
      </c>
      <c r="AG311" s="99">
        <f>AG309</f>
        <v/>
      </c>
      <c r="AH311" s="99">
        <f>AH309</f>
        <v/>
      </c>
      <c r="AI311" s="95">
        <f>IFERROR(IF($C311="","",IF($P$15="Cascade",$R311*(1-AH311)*AG311,IF($P$15="Additionnelle",($N311-($N311*($P311+AH311)))*AG311))),"Non Trouvé")</f>
        <v/>
      </c>
      <c r="AL311" s="99">
        <f>AL309</f>
        <v/>
      </c>
      <c r="AM311" s="99">
        <f>AM309</f>
        <v/>
      </c>
      <c r="AN311" s="95">
        <f>IFERROR(IF($C311="","",IF($P$15="Cascade",$R311*(1-AM311)*AL311,IF($P$15="Additionnelle",($N311-($N311*($P311+AM311)))*AL311))),"Non Trouvé")</f>
        <v/>
      </c>
      <c r="AQ311" s="99">
        <f>AQ309</f>
        <v/>
      </c>
      <c r="AR311" s="99">
        <f>AR309</f>
        <v/>
      </c>
      <c r="AS311" s="95">
        <f>IFERROR(IF($C311="","",IF($P$15="Cascade",$R311*(1-AR311)*AQ311,IF($P$15="Additionnelle",($N311-($N311*($P311+AR311)))*AQ311))),"Non Trouvé")</f>
        <v/>
      </c>
      <c r="AV311" s="99">
        <f>AV309</f>
        <v/>
      </c>
      <c r="AW311" s="99">
        <f>AW309</f>
        <v/>
      </c>
      <c r="AX311" s="95">
        <f>IFERROR(IF($C311="","",IF($P$15="Cascade",$R311*(1-AW311)*AV311,IF($P$15="Additionnelle",($N311-($N311*($P311+AW311)))*AV311))),"Non Trouvé")</f>
        <v/>
      </c>
      <c r="BA311" s="99">
        <f>BA309</f>
        <v/>
      </c>
      <c r="BB311" s="99">
        <f>BB309</f>
        <v/>
      </c>
      <c r="BC311" s="95">
        <f>IFERROR(IF($C311="","",IF($P$15="Cascade",$R311*(1-BB311)*BA311,IF($P$15="Additionnelle",($N311-($N311*($P311+BB311)))*BA311))),"Non Trouvé")</f>
        <v/>
      </c>
      <c r="BF311" s="99">
        <f>BF309</f>
        <v/>
      </c>
      <c r="BG311" s="99">
        <f>BG309</f>
        <v/>
      </c>
      <c r="BH311" s="95">
        <f>IFERROR(IF($C311="","",IF($P$15="Cascade",$R311*(1-BG311)*BF311,IF($P$15="Additionnelle",($N311-($N311*($P311+BG311)))*BF311))),"Non Trouvé")</f>
        <v/>
      </c>
      <c r="BK311" s="99">
        <f>BK309</f>
        <v/>
      </c>
      <c r="BL311" s="99">
        <f>BL309</f>
        <v/>
      </c>
      <c r="BM311" s="95">
        <f>IFERROR(IF($C311="","",IF($P$15="Cascade",$R311*(1-BL311)*BK311,IF($P$15="Additionnelle",($N311-($N311*($P311+BL311)))*BK311))),"Non Trouvé")</f>
        <v/>
      </c>
      <c r="BP311" s="99">
        <f>BP309</f>
        <v/>
      </c>
      <c r="BQ311" s="99">
        <f>BQ309</f>
        <v/>
      </c>
      <c r="BR311" s="95">
        <f>IFERROR(IF($C311="","",IF($P$15="Cascade",$R311*(1-BQ311)*BP311,IF($P$15="Additionnelle",($N311-($N311*($P311+BQ311)))*BP311))),"Non Trouvé")</f>
        <v/>
      </c>
      <c r="BU311" s="99">
        <f>BU309</f>
        <v/>
      </c>
      <c r="BV311" s="99">
        <f>BV309</f>
        <v/>
      </c>
      <c r="BW311" s="95">
        <f>IFERROR(IF($C311="","",IF($P$15="Cascade",$R311*(1-BV311)*BU311,IF($P$15="Additionnelle",($N311-($N311*($P311+BV311)))*BU311))),"Non Trouvé")</f>
        <v/>
      </c>
      <c r="BZ311" s="99">
        <f>BZ309</f>
        <v/>
      </c>
      <c r="CA311" s="99">
        <f>CA309</f>
        <v/>
      </c>
      <c r="CB311" s="95">
        <f>IFERROR(IF($C311="","",IF($P$15="Cascade",$R311*(1-CA311)*BZ311,IF($P$15="Additionnelle",($N311-($N311*($P311+CA311)))*BZ311))),"Non Trouvé")</f>
        <v/>
      </c>
      <c r="CE311" s="100" t="n"/>
      <c r="CF311" s="101" t="n"/>
      <c r="CG311" s="102" t="n"/>
      <c r="CH311" s="102" t="n"/>
      <c r="CI311" s="103" t="n"/>
      <c r="CK311" s="104">
        <f>IFERROR(IF(F311='[1]Paramètres Généraux'!$K$12,ROUNDUP((REGENERANTS!H311*REGENERANTS!$CF$275)*'[1]Paramètres Généraux'!$M$12,-1),REGENERANTS!H311*REGENERANTS!$CF$275),"nd")</f>
        <v/>
      </c>
      <c r="CN311" s="153" t="n"/>
      <c r="CO311" s="154" t="n"/>
      <c r="CP311" s="154" t="n"/>
      <c r="CQ311" s="154" t="n"/>
      <c r="CR311" s="154" t="n"/>
      <c r="CS311" s="180" t="n"/>
      <c r="CT311" s="181" t="n"/>
      <c r="CU311" s="154" t="n"/>
      <c r="CV311" s="180" t="n"/>
      <c r="CW311" s="157" t="n"/>
      <c r="CX311" s="156" t="n"/>
      <c r="CY311" s="157" t="n"/>
      <c r="CZ311" s="143" t="n"/>
      <c r="DA311" s="156" t="n"/>
      <c r="DB311" s="157" t="n"/>
      <c r="DC311" s="143" t="n"/>
      <c r="DD311" s="156" t="n"/>
      <c r="DE311" s="157" t="n"/>
      <c r="DF311" s="143" t="n"/>
      <c r="DG311" s="143" t="n"/>
      <c r="DH311" s="143" t="n"/>
      <c r="DI311" s="143" t="n"/>
      <c r="DJ311" s="143" t="n"/>
      <c r="DK311" s="143" t="n"/>
      <c r="DL311" s="143" t="n"/>
      <c r="DM311" s="143" t="n"/>
      <c r="DN311" s="143" t="n"/>
      <c r="DO311" s="156" t="n"/>
      <c r="DP311" s="157" t="n"/>
      <c r="DQ311" s="20">
        <f>SUM(CN311:DP311)</f>
        <v/>
      </c>
      <c r="DR311" s="20">
        <f>SUM(CV311:DP311)</f>
        <v/>
      </c>
      <c r="DS311" s="20">
        <f>IFERROR((IF(AND($F311="Produit Vente",CO311&gt;0),VLOOKUP($C311,'[1]Paramètres Articles'!$B:$H,7,FALSE)*$CO311)*(1-20%)),0)</f>
        <v/>
      </c>
      <c r="DT311" s="20">
        <f>IFERROR((IF(AND($F311="Produit Vente",DR311&gt;0),VLOOKUP($C311,'[1]Paramètres Articles'!$B:$H,6,FALSE)*$DR311)*(1-15%)),0)</f>
        <v/>
      </c>
    </row>
    <row r="312" hidden="1" outlineLevel="1" collapsed="1" ht="12.95" customHeight="1">
      <c r="B312" s="1">
        <f>IF(C312="",0,COUNTIFS($B$22:B311,"&gt;"&amp;0)+1)</f>
        <v/>
      </c>
      <c r="C312" s="90" t="n"/>
      <c r="D312" s="91">
        <f>IFERROR(IF($C312="","",VLOOKUP($C312,'[1]Paramètres Articles'!$B:$G,2,FALSE)),"Non Trouvé")</f>
        <v/>
      </c>
      <c r="E312" s="92">
        <f>IFERROR(IF($C312="","",_xlfn.XLOOKUP(REGENERANTS!$C312,'[1]New Base PA'!$F:$F,'[1]New Base PA'!$D:$D,"Not Found",0)),"Non Trouvé")</f>
        <v/>
      </c>
      <c r="F312" s="93" t="n"/>
      <c r="H312" s="106" t="n"/>
      <c r="J312" s="95">
        <f>IFERROR(IF($C312="","",VLOOKUP($C312,'[1]New Base PA'!$F:$J,5,FALSE)),"Non Trouvé")</f>
        <v/>
      </c>
      <c r="K312" s="136">
        <f>IFERROR(IF($C312="","",$J312*$H312),"Non Trouvé")</f>
        <v/>
      </c>
      <c r="L312" s="137" t="n"/>
      <c r="M312" s="136">
        <f>IFERROR(IF(AND($F312="Produit Vente",H312&gt;0),VLOOKUP($C312,'[1]Paramètres Articles'!$B:$G,6,FALSE),0),"Non Trouvé")</f>
        <v/>
      </c>
      <c r="N312" s="136">
        <f>IFERROR(IF($C312="","",$M312*$H312),"Non Trouvé")</f>
        <v/>
      </c>
      <c r="P312" s="97" t="n"/>
      <c r="R312" s="95">
        <f>IFERROR(IF($C312="","",$N312*(1-$P312)),"Non Trouvé")</f>
        <v/>
      </c>
      <c r="S312" s="96" t="n"/>
      <c r="T312" s="95">
        <f>IFERROR(IF($C312="","",VLOOKUP($C312,'[1]Paramètres Articles'!$B:$H,7,FALSE)),"Non Trouvé")</f>
        <v/>
      </c>
      <c r="U312" s="98" t="n"/>
      <c r="V312" s="95">
        <f>IFERROR(IF($C312="","",IF($P312="","",$T312*(1-$P312))),"Non Trouvé")</f>
        <v/>
      </c>
      <c r="W312" s="96" t="n"/>
      <c r="X312" s="95">
        <f>IFERROR(T312-V312,"")</f>
        <v/>
      </c>
      <c r="Y312" s="96" t="n"/>
      <c r="Z312" s="95">
        <f>IFERROR(IF(OR(T312=0,T312=""),0,T312*H312),"Non Trouvé")</f>
        <v/>
      </c>
      <c r="AB312" s="99">
        <f>AB311</f>
        <v/>
      </c>
      <c r="AC312" s="99">
        <f>AC311</f>
        <v/>
      </c>
      <c r="AD312" s="95">
        <f>IFERROR(IF($C312="","",IF($P$15="Cascade",$R312*(1-AC312)*AB312,IF($P$15="Additionnelle",($N312-($N312*($P312+AC312)))*AB312))),"Non Trouvé")</f>
        <v/>
      </c>
      <c r="AG312" s="99">
        <f>AG311</f>
        <v/>
      </c>
      <c r="AH312" s="99">
        <f>AH311</f>
        <v/>
      </c>
      <c r="AI312" s="95">
        <f>IFERROR(IF($C312="","",IF($P$15="Cascade",$R312*(1-AH312)*AG312,IF($P$15="Additionnelle",($N312-($N312*($P312+AH312)))*AG312))),"Non Trouvé")</f>
        <v/>
      </c>
      <c r="AL312" s="99">
        <f>AL311</f>
        <v/>
      </c>
      <c r="AM312" s="99">
        <f>AM311</f>
        <v/>
      </c>
      <c r="AN312" s="95">
        <f>IFERROR(IF($C312="","",IF($P$15="Cascade",$R312*(1-AM312)*AL312,IF($P$15="Additionnelle",($N312-($N312*($P312+AM312)))*AL312))),"Non Trouvé")</f>
        <v/>
      </c>
      <c r="AQ312" s="99">
        <f>AQ311</f>
        <v/>
      </c>
      <c r="AR312" s="99">
        <f>AR311</f>
        <v/>
      </c>
      <c r="AS312" s="95">
        <f>IFERROR(IF($C312="","",IF($P$15="Cascade",$R312*(1-AR312)*AQ312,IF($P$15="Additionnelle",($N312-($N312*($P312+AR312)))*AQ312))),"Non Trouvé")</f>
        <v/>
      </c>
      <c r="AV312" s="99">
        <f>AV311</f>
        <v/>
      </c>
      <c r="AW312" s="99">
        <f>AW311</f>
        <v/>
      </c>
      <c r="AX312" s="95">
        <f>IFERROR(IF($C312="","",IF($P$15="Cascade",$R312*(1-AW312)*AV312,IF($P$15="Additionnelle",($N312-($N312*($P312+AW312)))*AV312))),"Non Trouvé")</f>
        <v/>
      </c>
      <c r="BA312" s="99">
        <f>BA311</f>
        <v/>
      </c>
      <c r="BB312" s="99">
        <f>BB311</f>
        <v/>
      </c>
      <c r="BC312" s="95">
        <f>IFERROR(IF($C312="","",IF($P$15="Cascade",$R312*(1-BB312)*BA312,IF($P$15="Additionnelle",($N312-($N312*($P312+BB312)))*BA312))),"Non Trouvé")</f>
        <v/>
      </c>
      <c r="BF312" s="99">
        <f>BF311</f>
        <v/>
      </c>
      <c r="BG312" s="99">
        <f>BG311</f>
        <v/>
      </c>
      <c r="BH312" s="95">
        <f>IFERROR(IF($C312="","",IF($P$15="Cascade",$R312*(1-BG312)*BF312,IF($P$15="Additionnelle",($N312-($N312*($P312+BG312)))*BF312))),"Non Trouvé")</f>
        <v/>
      </c>
      <c r="BK312" s="99">
        <f>BK311</f>
        <v/>
      </c>
      <c r="BL312" s="99">
        <f>BL311</f>
        <v/>
      </c>
      <c r="BM312" s="95">
        <f>IFERROR(IF($C312="","",IF($P$15="Cascade",$R312*(1-BL312)*BK312,IF($P$15="Additionnelle",($N312-($N312*($P312+BL312)))*BK312))),"Non Trouvé")</f>
        <v/>
      </c>
      <c r="BP312" s="99">
        <f>BP311</f>
        <v/>
      </c>
      <c r="BQ312" s="99">
        <f>BQ311</f>
        <v/>
      </c>
      <c r="BR312" s="95">
        <f>IFERROR(IF($C312="","",IF($P$15="Cascade",$R312*(1-BQ312)*BP312,IF($P$15="Additionnelle",($N312-($N312*($P312+BQ312)))*BP312))),"Non Trouvé")</f>
        <v/>
      </c>
      <c r="BU312" s="99">
        <f>BU311</f>
        <v/>
      </c>
      <c r="BV312" s="99">
        <f>BV311</f>
        <v/>
      </c>
      <c r="BW312" s="95">
        <f>IFERROR(IF($C312="","",IF($P$15="Cascade",$R312*(1-BV312)*BU312,IF($P$15="Additionnelle",($N312-($N312*($P312+BV312)))*BU312))),"Non Trouvé")</f>
        <v/>
      </c>
      <c r="BZ312" s="99">
        <f>BZ311</f>
        <v/>
      </c>
      <c r="CA312" s="99">
        <f>CA311</f>
        <v/>
      </c>
      <c r="CB312" s="95">
        <f>IFERROR(IF($C312="","",IF($P$15="Cascade",$R312*(1-CA312)*BZ312,IF($P$15="Additionnelle",($N312-($N312*($P312+CA312)))*BZ312))),"Non Trouvé")</f>
        <v/>
      </c>
      <c r="CE312" s="100" t="n"/>
      <c r="CF312" s="101" t="n"/>
      <c r="CG312" s="102" t="n"/>
      <c r="CH312" s="102" t="n"/>
      <c r="CI312" s="103" t="n"/>
      <c r="CK312" s="104">
        <f>IFERROR(IF(F312='[1]Paramètres Généraux'!$K$12,ROUNDUP((REGENERANTS!H312*REGENERANTS!$CF$275)*'[1]Paramètres Généraux'!$M$12,-1),REGENERANTS!H312*REGENERANTS!$CF$275),"nd")</f>
        <v/>
      </c>
      <c r="CN312" s="153" t="n"/>
      <c r="CO312" s="154" t="n"/>
      <c r="CP312" s="154" t="n"/>
      <c r="CQ312" s="154" t="n"/>
      <c r="CR312" s="154" t="n"/>
      <c r="CS312" s="180" t="n"/>
      <c r="CT312" s="181" t="n"/>
      <c r="CU312" s="154" t="n"/>
      <c r="CV312" s="180" t="n"/>
      <c r="CW312" s="157" t="n"/>
      <c r="CX312" s="156" t="n"/>
      <c r="CY312" s="157" t="n"/>
      <c r="CZ312" s="143" t="n"/>
      <c r="DA312" s="156" t="n"/>
      <c r="DB312" s="157" t="n"/>
      <c r="DC312" s="143" t="n"/>
      <c r="DD312" s="156" t="n"/>
      <c r="DE312" s="157" t="n"/>
      <c r="DF312" s="143" t="n"/>
      <c r="DG312" s="143" t="n"/>
      <c r="DH312" s="143" t="n"/>
      <c r="DI312" s="143" t="n"/>
      <c r="DJ312" s="143" t="n"/>
      <c r="DK312" s="143" t="n"/>
      <c r="DL312" s="143" t="n"/>
      <c r="DM312" s="143" t="n"/>
      <c r="DN312" s="143" t="n"/>
      <c r="DO312" s="156" t="n"/>
      <c r="DP312" s="157" t="n"/>
      <c r="DQ312" s="20">
        <f>SUM(CN312:DP312)</f>
        <v/>
      </c>
      <c r="DR312" s="20">
        <f>SUM(CV312:DP312)</f>
        <v/>
      </c>
      <c r="DS312" s="20">
        <f>IFERROR((IF(AND($F312="Produit Vente",CO312&gt;0),VLOOKUP($C312,'[1]Paramètres Articles'!$B:$H,7,FALSE)*$CO312)*(1-20%)),0)</f>
        <v/>
      </c>
      <c r="DT312" s="20">
        <f>IFERROR((IF(AND($F312="Produit Vente",DR312&gt;0),VLOOKUP($C312,'[1]Paramètres Articles'!$B:$H,6,FALSE)*$DR312)*(1-15%)),0)</f>
        <v/>
      </c>
    </row>
    <row r="313" hidden="1" outlineLevel="1" collapsed="1" ht="12.95" customHeight="1">
      <c r="B313" s="1">
        <f>IF(C313="",0,COUNTIFS($B$22:B312,"&gt;"&amp;0)+1)</f>
        <v/>
      </c>
      <c r="C313" s="90" t="n"/>
      <c r="D313" s="91">
        <f>IFERROR(IF($C313="","",VLOOKUP($C313,'[1]Paramètres Articles'!$B:$G,2,FALSE)),"Non Trouvé")</f>
        <v/>
      </c>
      <c r="E313" s="92">
        <f>IFERROR(IF($C313="","",_xlfn.XLOOKUP(REGENERANTS!$C313,'[1]New Base PA'!$F:$F,'[1]New Base PA'!$D:$D,"Not Found",0)),"Non Trouvé")</f>
        <v/>
      </c>
      <c r="F313" s="93" t="n"/>
      <c r="H313" s="106" t="n"/>
      <c r="J313" s="95">
        <f>IFERROR(IF($C313="","",VLOOKUP($C313,'[1]New Base PA'!$F:$J,5,FALSE)),"Non Trouvé")</f>
        <v/>
      </c>
      <c r="K313" s="136">
        <f>IFERROR(IF($C313="","",$J313*$H313),"Non Trouvé")</f>
        <v/>
      </c>
      <c r="L313" s="137" t="n"/>
      <c r="M313" s="136">
        <f>IFERROR(IF(AND($F313="Produit Vente",H313&gt;0),VLOOKUP($C313,'[1]Paramètres Articles'!$B:$G,6,FALSE),0),"Non Trouvé")</f>
        <v/>
      </c>
      <c r="N313" s="136">
        <f>IFERROR(IF($C313="","",$M313*$H313),"Non Trouvé")</f>
        <v/>
      </c>
      <c r="P313" s="97" t="n"/>
      <c r="R313" s="95">
        <f>IFERROR(IF($C313="","",$N313*(1-$P313)),"Non Trouvé")</f>
        <v/>
      </c>
      <c r="S313" s="96" t="n"/>
      <c r="T313" s="95">
        <f>IFERROR(IF($C313="","",VLOOKUP($C313,'[1]Paramètres Articles'!$B:$H,7,FALSE)),"Non Trouvé")</f>
        <v/>
      </c>
      <c r="U313" s="98" t="n"/>
      <c r="V313" s="95">
        <f>IFERROR(IF($C313="","",IF($P313="","",$T313*(1-$P313))),"Non Trouvé")</f>
        <v/>
      </c>
      <c r="W313" s="96" t="n"/>
      <c r="X313" s="95">
        <f>IFERROR(T313-V313,"")</f>
        <v/>
      </c>
      <c r="Y313" s="96" t="n"/>
      <c r="Z313" s="95">
        <f>IFERROR(IF(OR(T313=0,T313=""),0,T313*H313),"Non Trouvé")</f>
        <v/>
      </c>
      <c r="AB313" s="99">
        <f>AB311</f>
        <v/>
      </c>
      <c r="AC313" s="99">
        <f>AC311</f>
        <v/>
      </c>
      <c r="AD313" s="95">
        <f>IFERROR(IF($C313="","",IF($P$15="Cascade",$R313*(1-AC313)*AB313,IF($P$15="Additionnelle",($N313-($N313*($P313+AC313)))*AB313))),"Non Trouvé")</f>
        <v/>
      </c>
      <c r="AG313" s="99">
        <f>AG311</f>
        <v/>
      </c>
      <c r="AH313" s="99">
        <f>AH311</f>
        <v/>
      </c>
      <c r="AI313" s="95">
        <f>IFERROR(IF($C313="","",IF($P$15="Cascade",$R313*(1-AH313)*AG313,IF($P$15="Additionnelle",($N313-($N313*($P313+AH313)))*AG313))),"Non Trouvé")</f>
        <v/>
      </c>
      <c r="AL313" s="99">
        <f>AL311</f>
        <v/>
      </c>
      <c r="AM313" s="99">
        <f>AM311</f>
        <v/>
      </c>
      <c r="AN313" s="95">
        <f>IFERROR(IF($C313="","",IF($P$15="Cascade",$R313*(1-AM313)*AL313,IF($P$15="Additionnelle",($N313-($N313*($P313+AM313)))*AL313))),"Non Trouvé")</f>
        <v/>
      </c>
      <c r="AQ313" s="99">
        <f>AQ311</f>
        <v/>
      </c>
      <c r="AR313" s="99">
        <f>AR311</f>
        <v/>
      </c>
      <c r="AS313" s="95">
        <f>IFERROR(IF($C313="","",IF($P$15="Cascade",$R313*(1-AR313)*AQ313,IF($P$15="Additionnelle",($N313-($N313*($P313+AR313)))*AQ313))),"Non Trouvé")</f>
        <v/>
      </c>
      <c r="AV313" s="99">
        <f>AV311</f>
        <v/>
      </c>
      <c r="AW313" s="99">
        <f>AW311</f>
        <v/>
      </c>
      <c r="AX313" s="95">
        <f>IFERROR(IF($C313="","",IF($P$15="Cascade",$R313*(1-AW313)*AV313,IF($P$15="Additionnelle",($N313-($N313*($P313+AW313)))*AV313))),"Non Trouvé")</f>
        <v/>
      </c>
      <c r="BA313" s="99">
        <f>BA311</f>
        <v/>
      </c>
      <c r="BB313" s="99">
        <f>BB311</f>
        <v/>
      </c>
      <c r="BC313" s="95">
        <f>IFERROR(IF($C313="","",IF($P$15="Cascade",$R313*(1-BB313)*BA313,IF($P$15="Additionnelle",($N313-($N313*($P313+BB313)))*BA313))),"Non Trouvé")</f>
        <v/>
      </c>
      <c r="BF313" s="99">
        <f>BF311</f>
        <v/>
      </c>
      <c r="BG313" s="99">
        <f>BG311</f>
        <v/>
      </c>
      <c r="BH313" s="95">
        <f>IFERROR(IF($C313="","",IF($P$15="Cascade",$R313*(1-BG313)*BF313,IF($P$15="Additionnelle",($N313-($N313*($P313+BG313)))*BF313))),"Non Trouvé")</f>
        <v/>
      </c>
      <c r="BK313" s="99">
        <f>BK311</f>
        <v/>
      </c>
      <c r="BL313" s="99">
        <f>BL311</f>
        <v/>
      </c>
      <c r="BM313" s="95">
        <f>IFERROR(IF($C313="","",IF($P$15="Cascade",$R313*(1-BL313)*BK313,IF($P$15="Additionnelle",($N313-($N313*($P313+BL313)))*BK313))),"Non Trouvé")</f>
        <v/>
      </c>
      <c r="BP313" s="99">
        <f>BP311</f>
        <v/>
      </c>
      <c r="BQ313" s="99">
        <f>BQ311</f>
        <v/>
      </c>
      <c r="BR313" s="95">
        <f>IFERROR(IF($C313="","",IF($P$15="Cascade",$R313*(1-BQ313)*BP313,IF($P$15="Additionnelle",($N313-($N313*($P313+BQ313)))*BP313))),"Non Trouvé")</f>
        <v/>
      </c>
      <c r="BU313" s="99">
        <f>BU311</f>
        <v/>
      </c>
      <c r="BV313" s="99">
        <f>BV311</f>
        <v/>
      </c>
      <c r="BW313" s="95">
        <f>IFERROR(IF($C313="","",IF($P$15="Cascade",$R313*(1-BV313)*BU313,IF($P$15="Additionnelle",($N313-($N313*($P313+BV313)))*BU313))),"Non Trouvé")</f>
        <v/>
      </c>
      <c r="BZ313" s="99">
        <f>BZ311</f>
        <v/>
      </c>
      <c r="CA313" s="99">
        <f>CA311</f>
        <v/>
      </c>
      <c r="CB313" s="95">
        <f>IFERROR(IF($C313="","",IF($P$15="Cascade",$R313*(1-CA313)*BZ313,IF($P$15="Additionnelle",($N313-($N313*($P313+CA313)))*BZ313))),"Non Trouvé")</f>
        <v/>
      </c>
      <c r="CE313" s="100" t="n"/>
      <c r="CF313" s="101" t="n"/>
      <c r="CG313" s="102" t="n"/>
      <c r="CH313" s="102" t="n"/>
      <c r="CI313" s="103" t="n"/>
      <c r="CK313" s="104">
        <f>IFERROR(IF(F313='[1]Paramètres Généraux'!$K$12,ROUNDUP((REGENERANTS!H313*REGENERANTS!$CF$275)*'[1]Paramètres Généraux'!$M$12,-1),REGENERANTS!H313*REGENERANTS!$CF$275),"nd")</f>
        <v/>
      </c>
      <c r="CN313" s="153" t="n"/>
      <c r="CO313" s="154" t="n"/>
      <c r="CP313" s="154" t="n"/>
      <c r="CQ313" s="154" t="n"/>
      <c r="CR313" s="154" t="n"/>
      <c r="CS313" s="180" t="n"/>
      <c r="CT313" s="181" t="n"/>
      <c r="CU313" s="154" t="n"/>
      <c r="CV313" s="180" t="n"/>
      <c r="CW313" s="157" t="n"/>
      <c r="CX313" s="156" t="n"/>
      <c r="CY313" s="157" t="n"/>
      <c r="CZ313" s="143" t="n"/>
      <c r="DA313" s="156" t="n"/>
      <c r="DB313" s="157" t="n"/>
      <c r="DC313" s="143" t="n"/>
      <c r="DD313" s="156" t="n"/>
      <c r="DE313" s="157" t="n"/>
      <c r="DF313" s="143" t="n"/>
      <c r="DG313" s="143" t="n"/>
      <c r="DH313" s="143" t="n"/>
      <c r="DI313" s="143" t="n"/>
      <c r="DJ313" s="143" t="n"/>
      <c r="DK313" s="143" t="n"/>
      <c r="DL313" s="143" t="n"/>
      <c r="DM313" s="143" t="n"/>
      <c r="DN313" s="143" t="n"/>
      <c r="DO313" s="156" t="n"/>
      <c r="DP313" s="157" t="n"/>
      <c r="DQ313" s="20">
        <f>SUM(CN313:DP313)</f>
        <v/>
      </c>
      <c r="DR313" s="20">
        <f>SUM(CV313:DP313)</f>
        <v/>
      </c>
      <c r="DS313" s="20">
        <f>IFERROR((IF(AND($F313="Produit Vente",CO313&gt;0),VLOOKUP($C313,'[1]Paramètres Articles'!$B:$H,7,FALSE)*$CO313)*(1-20%)),0)</f>
        <v/>
      </c>
      <c r="DT313" s="20">
        <f>IFERROR((IF(AND($F313="Produit Vente",DR313&gt;0),VLOOKUP($C313,'[1]Paramètres Articles'!$B:$H,6,FALSE)*$DR313)*(1-15%)),0)</f>
        <v/>
      </c>
    </row>
    <row r="314" hidden="1" outlineLevel="1" collapsed="1" ht="12.95" customHeight="1">
      <c r="B314" s="1">
        <f>IF(C314="",0,COUNTIFS($B$22:B313,"&gt;"&amp;0)+1)</f>
        <v/>
      </c>
      <c r="C314" s="90" t="n"/>
      <c r="D314" s="91">
        <f>IFERROR(IF($C314="","",VLOOKUP($C314,'[1]Paramètres Articles'!$B:$G,2,FALSE)),"Non Trouvé")</f>
        <v/>
      </c>
      <c r="E314" s="92">
        <f>IFERROR(IF($C314="","",_xlfn.XLOOKUP(REGENERANTS!$C314,'[1]New Base PA'!$F:$F,'[1]New Base PA'!$D:$D,"Not Found",0)),"Non Trouvé")</f>
        <v/>
      </c>
      <c r="F314" s="93" t="n"/>
      <c r="H314" s="106" t="n"/>
      <c r="J314" s="95">
        <f>IFERROR(IF($C314="","",VLOOKUP($C314,'[1]New Base PA'!$F:$J,5,FALSE)),"Non Trouvé")</f>
        <v/>
      </c>
      <c r="K314" s="136">
        <f>IFERROR(IF($C314="","",$J314*$H314),"Non Trouvé")</f>
        <v/>
      </c>
      <c r="L314" s="137" t="n"/>
      <c r="M314" s="136">
        <f>IFERROR(IF(AND($F314="Produit Vente",H314&gt;0),VLOOKUP($C314,'[1]Paramètres Articles'!$B:$G,6,FALSE),0),"Non Trouvé")</f>
        <v/>
      </c>
      <c r="N314" s="136">
        <f>IFERROR(IF($C314="","",$M314*$H314),"Non Trouvé")</f>
        <v/>
      </c>
      <c r="P314" s="97" t="n"/>
      <c r="R314" s="95">
        <f>IFERROR(IF($C314="","",$N314*(1-$P314)),"Non Trouvé")</f>
        <v/>
      </c>
      <c r="S314" s="96" t="n"/>
      <c r="T314" s="95">
        <f>IFERROR(IF($C314="","",VLOOKUP($C314,'[1]Paramètres Articles'!$B:$H,7,FALSE)),"Non Trouvé")</f>
        <v/>
      </c>
      <c r="U314" s="98" t="n"/>
      <c r="V314" s="95">
        <f>IFERROR(IF($C314="","",IF($P314="","",$T314*(1-$P314))),"Non Trouvé")</f>
        <v/>
      </c>
      <c r="W314" s="96" t="n"/>
      <c r="X314" s="95">
        <f>IFERROR(T314-V314,"")</f>
        <v/>
      </c>
      <c r="Y314" s="96" t="n"/>
      <c r="Z314" s="95">
        <f>IFERROR(IF(OR(T314=0,T314=""),0,T314*H314),"Non Trouvé")</f>
        <v/>
      </c>
      <c r="AB314" s="99">
        <f>AB313</f>
        <v/>
      </c>
      <c r="AC314" s="99">
        <f>AC313</f>
        <v/>
      </c>
      <c r="AD314" s="95">
        <f>IFERROR(IF($C314="","",IF($P$15="Cascade",$R314*(1-AC314)*AB314,IF($P$15="Additionnelle",($N314-($N314*($P314+AC314)))*AB314))),"Non Trouvé")</f>
        <v/>
      </c>
      <c r="AG314" s="99">
        <f>AG313</f>
        <v/>
      </c>
      <c r="AH314" s="99">
        <f>AH313</f>
        <v/>
      </c>
      <c r="AI314" s="95">
        <f>IFERROR(IF($C314="","",IF($P$15="Cascade",$R314*(1-AH314)*AG314,IF($P$15="Additionnelle",($N314-($N314*($P314+AH314)))*AG314))),"Non Trouvé")</f>
        <v/>
      </c>
      <c r="AL314" s="99">
        <f>AL313</f>
        <v/>
      </c>
      <c r="AM314" s="99">
        <f>AM313</f>
        <v/>
      </c>
      <c r="AN314" s="95">
        <f>IFERROR(IF($C314="","",IF($P$15="Cascade",$R314*(1-AM314)*AL314,IF($P$15="Additionnelle",($N314-($N314*($P314+AM314)))*AL314))),"Non Trouvé")</f>
        <v/>
      </c>
      <c r="AQ314" s="99">
        <f>AQ313</f>
        <v/>
      </c>
      <c r="AR314" s="99">
        <f>AR313</f>
        <v/>
      </c>
      <c r="AS314" s="95">
        <f>IFERROR(IF($C314="","",IF($P$15="Cascade",$R314*(1-AR314)*AQ314,IF($P$15="Additionnelle",($N314-($N314*($P314+AR314)))*AQ314))),"Non Trouvé")</f>
        <v/>
      </c>
      <c r="AV314" s="99">
        <f>AV313</f>
        <v/>
      </c>
      <c r="AW314" s="99">
        <f>AW313</f>
        <v/>
      </c>
      <c r="AX314" s="95">
        <f>IFERROR(IF($C314="","",IF($P$15="Cascade",$R314*(1-AW314)*AV314,IF($P$15="Additionnelle",($N314-($N314*($P314+AW314)))*AV314))),"Non Trouvé")</f>
        <v/>
      </c>
      <c r="BA314" s="99">
        <f>BA313</f>
        <v/>
      </c>
      <c r="BB314" s="99">
        <f>BB313</f>
        <v/>
      </c>
      <c r="BC314" s="95">
        <f>IFERROR(IF($C314="","",IF($P$15="Cascade",$R314*(1-BB314)*BA314,IF($P$15="Additionnelle",($N314-($N314*($P314+BB314)))*BA314))),"Non Trouvé")</f>
        <v/>
      </c>
      <c r="BF314" s="99">
        <f>BF313</f>
        <v/>
      </c>
      <c r="BG314" s="99">
        <f>BG313</f>
        <v/>
      </c>
      <c r="BH314" s="95">
        <f>IFERROR(IF($C314="","",IF($P$15="Cascade",$R314*(1-BG314)*BF314,IF($P$15="Additionnelle",($N314-($N314*($P314+BG314)))*BF314))),"Non Trouvé")</f>
        <v/>
      </c>
      <c r="BK314" s="99">
        <f>BK313</f>
        <v/>
      </c>
      <c r="BL314" s="99">
        <f>BL313</f>
        <v/>
      </c>
      <c r="BM314" s="95">
        <f>IFERROR(IF($C314="","",IF($P$15="Cascade",$R314*(1-BL314)*BK314,IF($P$15="Additionnelle",($N314-($N314*($P314+BL314)))*BK314))),"Non Trouvé")</f>
        <v/>
      </c>
      <c r="BP314" s="99">
        <f>BP313</f>
        <v/>
      </c>
      <c r="BQ314" s="99">
        <f>BQ313</f>
        <v/>
      </c>
      <c r="BR314" s="95">
        <f>IFERROR(IF($C314="","",IF($P$15="Cascade",$R314*(1-BQ314)*BP314,IF($P$15="Additionnelle",($N314-($N314*($P314+BQ314)))*BP314))),"Non Trouvé")</f>
        <v/>
      </c>
      <c r="BU314" s="99">
        <f>BU313</f>
        <v/>
      </c>
      <c r="BV314" s="99">
        <f>BV313</f>
        <v/>
      </c>
      <c r="BW314" s="95">
        <f>IFERROR(IF($C314="","",IF($P$15="Cascade",$R314*(1-BV314)*BU314,IF($P$15="Additionnelle",($N314-($N314*($P314+BV314)))*BU314))),"Non Trouvé")</f>
        <v/>
      </c>
      <c r="BZ314" s="99">
        <f>BZ313</f>
        <v/>
      </c>
      <c r="CA314" s="99">
        <f>CA313</f>
        <v/>
      </c>
      <c r="CB314" s="95">
        <f>IFERROR(IF($C314="","",IF($P$15="Cascade",$R314*(1-CA314)*BZ314,IF($P$15="Additionnelle",($N314-($N314*($P314+CA314)))*BZ314))),"Non Trouvé")</f>
        <v/>
      </c>
      <c r="CE314" s="100" t="n"/>
      <c r="CF314" s="101" t="n"/>
      <c r="CG314" s="102" t="n"/>
      <c r="CH314" s="102" t="n"/>
      <c r="CI314" s="103" t="n"/>
      <c r="CK314" s="104">
        <f>IFERROR(IF(F314='[1]Paramètres Généraux'!$K$12,ROUNDUP((REGENERANTS!H314*REGENERANTS!$CF$275)*'[1]Paramètres Généraux'!$M$12,-1),REGENERANTS!H314*REGENERANTS!$CF$275),"nd")</f>
        <v/>
      </c>
      <c r="CN314" s="153" t="n"/>
      <c r="CO314" s="154" t="n"/>
      <c r="CP314" s="154" t="n"/>
      <c r="CQ314" s="154" t="n"/>
      <c r="CR314" s="154" t="n"/>
      <c r="CS314" s="180" t="n"/>
      <c r="CT314" s="181" t="n"/>
      <c r="CU314" s="154" t="n"/>
      <c r="CV314" s="180" t="n"/>
      <c r="CW314" s="157" t="n"/>
      <c r="CX314" s="156" t="n"/>
      <c r="CY314" s="157" t="n"/>
      <c r="CZ314" s="143" t="n"/>
      <c r="DA314" s="156" t="n"/>
      <c r="DB314" s="157" t="n"/>
      <c r="DC314" s="143" t="n"/>
      <c r="DD314" s="156" t="n"/>
      <c r="DE314" s="157" t="n"/>
      <c r="DF314" s="143" t="n"/>
      <c r="DG314" s="143" t="n"/>
      <c r="DH314" s="143" t="n"/>
      <c r="DI314" s="143" t="n"/>
      <c r="DJ314" s="143" t="n"/>
      <c r="DK314" s="143" t="n"/>
      <c r="DL314" s="143" t="n"/>
      <c r="DM314" s="143" t="n"/>
      <c r="DN314" s="143" t="n"/>
      <c r="DO314" s="156" t="n"/>
      <c r="DP314" s="157" t="n"/>
      <c r="DQ314" s="20">
        <f>SUM(CN314:DP314)</f>
        <v/>
      </c>
      <c r="DR314" s="20">
        <f>SUM(CV314:DP314)</f>
        <v/>
      </c>
      <c r="DS314" s="20">
        <f>IFERROR((IF(AND($F314="Produit Vente",CO314&gt;0),VLOOKUP($C314,'[1]Paramètres Articles'!$B:$H,7,FALSE)*$CO314)*(1-20%)),0)</f>
        <v/>
      </c>
      <c r="DT314" s="20">
        <f>IFERROR((IF(AND($F314="Produit Vente",DR314&gt;0),VLOOKUP($C314,'[1]Paramètres Articles'!$B:$H,6,FALSE)*$DR314)*(1-15%)),0)</f>
        <v/>
      </c>
    </row>
    <row r="315" hidden="1" outlineLevel="1" collapsed="1" ht="12.95" customHeight="1">
      <c r="B315" s="1">
        <f>IF(C315="",0,COUNTIFS($B$22:B314,"&gt;"&amp;0)+1)</f>
        <v/>
      </c>
      <c r="C315" s="90" t="n"/>
      <c r="D315" s="91">
        <f>IFERROR(IF($C315="","",VLOOKUP($C315,'[1]Paramètres Articles'!$B:$G,2,FALSE)),"Non Trouvé")</f>
        <v/>
      </c>
      <c r="E315" s="92">
        <f>IFERROR(IF($C315="","",_xlfn.XLOOKUP(REGENERANTS!$C315,'[1]New Base PA'!$F:$F,'[1]New Base PA'!$D:$D,"Not Found",0)),"Non Trouvé")</f>
        <v/>
      </c>
      <c r="F315" s="93" t="n"/>
      <c r="H315" s="106" t="n"/>
      <c r="J315" s="95">
        <f>IFERROR(IF($C315="","",VLOOKUP($C315,'[1]New Base PA'!$F:$J,5,FALSE)),"Non Trouvé")</f>
        <v/>
      </c>
      <c r="K315" s="136">
        <f>IFERROR(IF($C315="","",$J315*$H315),"Non Trouvé")</f>
        <v/>
      </c>
      <c r="L315" s="137" t="n"/>
      <c r="M315" s="136">
        <f>IFERROR(IF(AND($F315="Produit Vente",H315&gt;0),VLOOKUP($C315,'[1]Paramètres Articles'!$B:$G,6,FALSE),0),"Non Trouvé")</f>
        <v/>
      </c>
      <c r="N315" s="136">
        <f>IFERROR(IF($C315="","",$M315*$H315),"Non Trouvé")</f>
        <v/>
      </c>
      <c r="P315" s="97" t="n"/>
      <c r="R315" s="95">
        <f>IFERROR(IF($C315="","",$N315*(1-$P315)),"Non Trouvé")</f>
        <v/>
      </c>
      <c r="S315" s="96" t="n"/>
      <c r="T315" s="95">
        <f>IFERROR(IF($C315="","",VLOOKUP($C315,'[1]Paramètres Articles'!$B:$H,7,FALSE)),"Non Trouvé")</f>
        <v/>
      </c>
      <c r="U315" s="98" t="n"/>
      <c r="V315" s="95">
        <f>IFERROR(IF($C315="","",IF($P315="","",$T315*(1-$P315))),"Non Trouvé")</f>
        <v/>
      </c>
      <c r="W315" s="96" t="n"/>
      <c r="X315" s="95">
        <f>IFERROR(T315-V315,"")</f>
        <v/>
      </c>
      <c r="Y315" s="96" t="n"/>
      <c r="Z315" s="95">
        <f>IFERROR(IF(OR(T315=0,T315=""),0,T315*H315),"Non Trouvé")</f>
        <v/>
      </c>
      <c r="AB315" s="99">
        <f>AB313</f>
        <v/>
      </c>
      <c r="AC315" s="99">
        <f>AC313</f>
        <v/>
      </c>
      <c r="AD315" s="95">
        <f>IFERROR(IF($C315="","",IF($P$15="Cascade",$R315*(1-AC315)*AB315,IF($P$15="Additionnelle",($N315-($N315*($P315+AC315)))*AB315))),"Non Trouvé")</f>
        <v/>
      </c>
      <c r="AG315" s="99">
        <f>AG313</f>
        <v/>
      </c>
      <c r="AH315" s="99">
        <f>AH313</f>
        <v/>
      </c>
      <c r="AI315" s="95">
        <f>IFERROR(IF($C315="","",IF($P$15="Cascade",$R315*(1-AH315)*AG315,IF($P$15="Additionnelle",($N315-($N315*($P315+AH315)))*AG315))),"Non Trouvé")</f>
        <v/>
      </c>
      <c r="AL315" s="99">
        <f>AL313</f>
        <v/>
      </c>
      <c r="AM315" s="99">
        <f>AM313</f>
        <v/>
      </c>
      <c r="AN315" s="95">
        <f>IFERROR(IF($C315="","",IF($P$15="Cascade",$R315*(1-AM315)*AL315,IF($P$15="Additionnelle",($N315-($N315*($P315+AM315)))*AL315))),"Non Trouvé")</f>
        <v/>
      </c>
      <c r="AQ315" s="99">
        <f>AQ313</f>
        <v/>
      </c>
      <c r="AR315" s="99">
        <f>AR313</f>
        <v/>
      </c>
      <c r="AS315" s="95">
        <f>IFERROR(IF($C315="","",IF($P$15="Cascade",$R315*(1-AR315)*AQ315,IF($P$15="Additionnelle",($N315-($N315*($P315+AR315)))*AQ315))),"Non Trouvé")</f>
        <v/>
      </c>
      <c r="AV315" s="99">
        <f>AV313</f>
        <v/>
      </c>
      <c r="AW315" s="99">
        <f>AW313</f>
        <v/>
      </c>
      <c r="AX315" s="95">
        <f>IFERROR(IF($C315="","",IF($P$15="Cascade",$R315*(1-AW315)*AV315,IF($P$15="Additionnelle",($N315-($N315*($P315+AW315)))*AV315))),"Non Trouvé")</f>
        <v/>
      </c>
      <c r="BA315" s="99">
        <f>BA313</f>
        <v/>
      </c>
      <c r="BB315" s="99">
        <f>BB313</f>
        <v/>
      </c>
      <c r="BC315" s="95">
        <f>IFERROR(IF($C315="","",IF($P$15="Cascade",$R315*(1-BB315)*BA315,IF($P$15="Additionnelle",($N315-($N315*($P315+BB315)))*BA315))),"Non Trouvé")</f>
        <v/>
      </c>
      <c r="BF315" s="99">
        <f>BF313</f>
        <v/>
      </c>
      <c r="BG315" s="99">
        <f>BG313</f>
        <v/>
      </c>
      <c r="BH315" s="95">
        <f>IFERROR(IF($C315="","",IF($P$15="Cascade",$R315*(1-BG315)*BF315,IF($P$15="Additionnelle",($N315-($N315*($P315+BG315)))*BF315))),"Non Trouvé")</f>
        <v/>
      </c>
      <c r="BK315" s="99">
        <f>BK313</f>
        <v/>
      </c>
      <c r="BL315" s="99">
        <f>BL313</f>
        <v/>
      </c>
      <c r="BM315" s="95">
        <f>IFERROR(IF($C315="","",IF($P$15="Cascade",$R315*(1-BL315)*BK315,IF($P$15="Additionnelle",($N315-($N315*($P315+BL315)))*BK315))),"Non Trouvé")</f>
        <v/>
      </c>
      <c r="BP315" s="99">
        <f>BP313</f>
        <v/>
      </c>
      <c r="BQ315" s="99">
        <f>BQ313</f>
        <v/>
      </c>
      <c r="BR315" s="95">
        <f>IFERROR(IF($C315="","",IF($P$15="Cascade",$R315*(1-BQ315)*BP315,IF($P$15="Additionnelle",($N315-($N315*($P315+BQ315)))*BP315))),"Non Trouvé")</f>
        <v/>
      </c>
      <c r="BU315" s="99">
        <f>BU313</f>
        <v/>
      </c>
      <c r="BV315" s="99">
        <f>BV313</f>
        <v/>
      </c>
      <c r="BW315" s="95">
        <f>IFERROR(IF($C315="","",IF($P$15="Cascade",$R315*(1-BV315)*BU315,IF($P$15="Additionnelle",($N315-($N315*($P315+BV315)))*BU315))),"Non Trouvé")</f>
        <v/>
      </c>
      <c r="BZ315" s="99">
        <f>BZ313</f>
        <v/>
      </c>
      <c r="CA315" s="99">
        <f>CA313</f>
        <v/>
      </c>
      <c r="CB315" s="95">
        <f>IFERROR(IF($C315="","",IF($P$15="Cascade",$R315*(1-CA315)*BZ315,IF($P$15="Additionnelle",($N315-($N315*($P315+CA315)))*BZ315))),"Non Trouvé")</f>
        <v/>
      </c>
      <c r="CE315" s="100" t="n"/>
      <c r="CF315" s="101" t="n"/>
      <c r="CG315" s="102" t="n"/>
      <c r="CH315" s="102" t="n"/>
      <c r="CI315" s="103" t="n"/>
      <c r="CK315" s="104">
        <f>IFERROR(IF(F315='[1]Paramètres Généraux'!$K$12,ROUNDUP((REGENERANTS!H315*REGENERANTS!$CF$275)*'[1]Paramètres Généraux'!$M$12,-1),REGENERANTS!H315*REGENERANTS!$CF$275),"nd")</f>
        <v/>
      </c>
      <c r="CN315" s="153" t="n"/>
      <c r="CO315" s="154" t="n"/>
      <c r="CP315" s="154" t="n"/>
      <c r="CQ315" s="154" t="n"/>
      <c r="CR315" s="154" t="n"/>
      <c r="CS315" s="180" t="n"/>
      <c r="CT315" s="181" t="n"/>
      <c r="CU315" s="154" t="n"/>
      <c r="CV315" s="180" t="n"/>
      <c r="CW315" s="157" t="n"/>
      <c r="CX315" s="156" t="n"/>
      <c r="CY315" s="157" t="n"/>
      <c r="CZ315" s="143" t="n"/>
      <c r="DA315" s="156" t="n"/>
      <c r="DB315" s="157" t="n"/>
      <c r="DC315" s="143" t="n"/>
      <c r="DD315" s="156" t="n"/>
      <c r="DE315" s="157" t="n"/>
      <c r="DF315" s="143" t="n"/>
      <c r="DG315" s="143" t="n"/>
      <c r="DH315" s="143" t="n"/>
      <c r="DI315" s="143" t="n"/>
      <c r="DJ315" s="143" t="n"/>
      <c r="DK315" s="143" t="n"/>
      <c r="DL315" s="143" t="n"/>
      <c r="DM315" s="143" t="n"/>
      <c r="DN315" s="143" t="n"/>
      <c r="DO315" s="156" t="n"/>
      <c r="DP315" s="157" t="n"/>
      <c r="DQ315" s="20">
        <f>SUM(CN315:DP315)</f>
        <v/>
      </c>
      <c r="DR315" s="20">
        <f>SUM(CV315:DP315)</f>
        <v/>
      </c>
      <c r="DS315" s="20">
        <f>IFERROR((IF(AND($F315="Produit Vente",CO315&gt;0),VLOOKUP($C315,'[1]Paramètres Articles'!$B:$H,7,FALSE)*$CO315)*(1-20%)),0)</f>
        <v/>
      </c>
      <c r="DT315" s="20">
        <f>IFERROR((IF(AND($F315="Produit Vente",DR315&gt;0),VLOOKUP($C315,'[1]Paramètres Articles'!$B:$H,6,FALSE)*$DR315)*(1-15%)),0)</f>
        <v/>
      </c>
    </row>
    <row r="316" hidden="1" outlineLevel="1" collapsed="1" ht="12.95" customHeight="1">
      <c r="B316" s="1">
        <f>IF(C316="",0,COUNTIFS($B$22:B315,"&gt;"&amp;0)+1)</f>
        <v/>
      </c>
      <c r="C316" s="90" t="n"/>
      <c r="D316" s="91">
        <f>IFERROR(IF($C316="","",VLOOKUP($C316,'[1]Paramètres Articles'!$B:$G,2,FALSE)),"Non Trouvé")</f>
        <v/>
      </c>
      <c r="E316" s="92">
        <f>IFERROR(IF($C316="","",_xlfn.XLOOKUP(REGENERANTS!$C316,'[1]New Base PA'!$F:$F,'[1]New Base PA'!$D:$D,"Not Found",0)),"Non Trouvé")</f>
        <v/>
      </c>
      <c r="F316" s="93" t="n"/>
      <c r="H316" s="106" t="n"/>
      <c r="J316" s="95">
        <f>IFERROR(IF($C316="","",VLOOKUP($C316,'[1]New Base PA'!$F:$J,5,FALSE)),"Non Trouvé")</f>
        <v/>
      </c>
      <c r="K316" s="136">
        <f>IFERROR(IF($C316="","",$J316*$H316),"Non Trouvé")</f>
        <v/>
      </c>
      <c r="L316" s="137" t="n"/>
      <c r="M316" s="136">
        <f>IFERROR(IF(AND($F316="Produit Vente",H316&gt;0),VLOOKUP($C316,'[1]Paramètres Articles'!$B:$G,6,FALSE),0),"Non Trouvé")</f>
        <v/>
      </c>
      <c r="N316" s="136">
        <f>IFERROR(IF($C316="","",$M316*$H316),"Non Trouvé")</f>
        <v/>
      </c>
      <c r="P316" s="97" t="n"/>
      <c r="R316" s="95">
        <f>IFERROR(IF($C316="","",$N316*(1-$P316)),"Non Trouvé")</f>
        <v/>
      </c>
      <c r="S316" s="96" t="n"/>
      <c r="T316" s="95">
        <f>IFERROR(IF($C316="","",VLOOKUP($C316,'[1]Paramètres Articles'!$B:$H,7,FALSE)),"Non Trouvé")</f>
        <v/>
      </c>
      <c r="U316" s="98" t="n"/>
      <c r="V316" s="95">
        <f>IFERROR(IF($C316="","",IF($P316="","",$T316*(1-$P316))),"Non Trouvé")</f>
        <v/>
      </c>
      <c r="W316" s="96" t="n"/>
      <c r="X316" s="95">
        <f>IFERROR(T316-V316,"")</f>
        <v/>
      </c>
      <c r="Y316" s="96" t="n"/>
      <c r="Z316" s="95">
        <f>IFERROR(IF(OR(T316=0,T316=""),0,T316*H316),"Non Trouvé")</f>
        <v/>
      </c>
      <c r="AB316" s="99">
        <f>AB315</f>
        <v/>
      </c>
      <c r="AC316" s="99">
        <f>AC315</f>
        <v/>
      </c>
      <c r="AD316" s="95">
        <f>IFERROR(IF($C316="","",IF($P$15="Cascade",$R316*(1-AC316)*AB316,IF($P$15="Additionnelle",($N316-($N316*($P316+AC316)))*AB316))),"Non Trouvé")</f>
        <v/>
      </c>
      <c r="AG316" s="99">
        <f>AG315</f>
        <v/>
      </c>
      <c r="AH316" s="99">
        <f>AH315</f>
        <v/>
      </c>
      <c r="AI316" s="95">
        <f>IFERROR(IF($C316="","",IF($P$15="Cascade",$R316*(1-AH316)*AG316,IF($P$15="Additionnelle",($N316-($N316*($P316+AH316)))*AG316))),"Non Trouvé")</f>
        <v/>
      </c>
      <c r="AL316" s="99">
        <f>AL315</f>
        <v/>
      </c>
      <c r="AM316" s="99">
        <f>AM315</f>
        <v/>
      </c>
      <c r="AN316" s="95">
        <f>IFERROR(IF($C316="","",IF($P$15="Cascade",$R316*(1-AM316)*AL316,IF($P$15="Additionnelle",($N316-($N316*($P316+AM316)))*AL316))),"Non Trouvé")</f>
        <v/>
      </c>
      <c r="AQ316" s="99">
        <f>AQ315</f>
        <v/>
      </c>
      <c r="AR316" s="99">
        <f>AR315</f>
        <v/>
      </c>
      <c r="AS316" s="95">
        <f>IFERROR(IF($C316="","",IF($P$15="Cascade",$R316*(1-AR316)*AQ316,IF($P$15="Additionnelle",($N316-($N316*($P316+AR316)))*AQ316))),"Non Trouvé")</f>
        <v/>
      </c>
      <c r="AV316" s="99">
        <f>AV315</f>
        <v/>
      </c>
      <c r="AW316" s="99">
        <f>AW315</f>
        <v/>
      </c>
      <c r="AX316" s="95">
        <f>IFERROR(IF($C316="","",IF($P$15="Cascade",$R316*(1-AW316)*AV316,IF($P$15="Additionnelle",($N316-($N316*($P316+AW316)))*AV316))),"Non Trouvé")</f>
        <v/>
      </c>
      <c r="BA316" s="99">
        <f>BA315</f>
        <v/>
      </c>
      <c r="BB316" s="99">
        <f>BB315</f>
        <v/>
      </c>
      <c r="BC316" s="95">
        <f>IFERROR(IF($C316="","",IF($P$15="Cascade",$R316*(1-BB316)*BA316,IF($P$15="Additionnelle",($N316-($N316*($P316+BB316)))*BA316))),"Non Trouvé")</f>
        <v/>
      </c>
      <c r="BF316" s="99">
        <f>BF315</f>
        <v/>
      </c>
      <c r="BG316" s="99">
        <f>BG315</f>
        <v/>
      </c>
      <c r="BH316" s="95">
        <f>IFERROR(IF($C316="","",IF($P$15="Cascade",$R316*(1-BG316)*BF316,IF($P$15="Additionnelle",($N316-($N316*($P316+BG316)))*BF316))),"Non Trouvé")</f>
        <v/>
      </c>
      <c r="BK316" s="99">
        <f>BK315</f>
        <v/>
      </c>
      <c r="BL316" s="99">
        <f>BL315</f>
        <v/>
      </c>
      <c r="BM316" s="95">
        <f>IFERROR(IF($C316="","",IF($P$15="Cascade",$R316*(1-BL316)*BK316,IF($P$15="Additionnelle",($N316-($N316*($P316+BL316)))*BK316))),"Non Trouvé")</f>
        <v/>
      </c>
      <c r="BP316" s="99">
        <f>BP315</f>
        <v/>
      </c>
      <c r="BQ316" s="99">
        <f>BQ315</f>
        <v/>
      </c>
      <c r="BR316" s="95">
        <f>IFERROR(IF($C316="","",IF($P$15="Cascade",$R316*(1-BQ316)*BP316,IF($P$15="Additionnelle",($N316-($N316*($P316+BQ316)))*BP316))),"Non Trouvé")</f>
        <v/>
      </c>
      <c r="BU316" s="99">
        <f>BU315</f>
        <v/>
      </c>
      <c r="BV316" s="99">
        <f>BV315</f>
        <v/>
      </c>
      <c r="BW316" s="95">
        <f>IFERROR(IF($C316="","",IF($P$15="Cascade",$R316*(1-BV316)*BU316,IF($P$15="Additionnelle",($N316-($N316*($P316+BV316)))*BU316))),"Non Trouvé")</f>
        <v/>
      </c>
      <c r="BZ316" s="99">
        <f>BZ315</f>
        <v/>
      </c>
      <c r="CA316" s="99">
        <f>CA315</f>
        <v/>
      </c>
      <c r="CB316" s="95">
        <f>IFERROR(IF($C316="","",IF($P$15="Cascade",$R316*(1-CA316)*BZ316,IF($P$15="Additionnelle",($N316-($N316*($P316+CA316)))*BZ316))),"Non Trouvé")</f>
        <v/>
      </c>
      <c r="CE316" s="100" t="n"/>
      <c r="CF316" s="101" t="n"/>
      <c r="CG316" s="102" t="n"/>
      <c r="CH316" s="102" t="n"/>
      <c r="CI316" s="103" t="n"/>
      <c r="CK316" s="104">
        <f>IFERROR(IF(F316='[1]Paramètres Généraux'!$K$12,ROUNDUP((REGENERANTS!H316*REGENERANTS!$CF$275)*'[1]Paramètres Généraux'!$M$12,-1),REGENERANTS!H316*REGENERANTS!$CF$275),"nd")</f>
        <v/>
      </c>
      <c r="CN316" s="153" t="n"/>
      <c r="CO316" s="154" t="n"/>
      <c r="CP316" s="154" t="n"/>
      <c r="CQ316" s="154" t="n"/>
      <c r="CR316" s="154" t="n"/>
      <c r="CS316" s="180" t="n"/>
      <c r="CT316" s="181" t="n"/>
      <c r="CU316" s="154" t="n"/>
      <c r="CV316" s="180" t="n"/>
      <c r="CW316" s="157" t="n"/>
      <c r="CX316" s="156" t="n"/>
      <c r="CY316" s="157" t="n"/>
      <c r="CZ316" s="143" t="n"/>
      <c r="DA316" s="156" t="n"/>
      <c r="DB316" s="157" t="n"/>
      <c r="DC316" s="143" t="n"/>
      <c r="DD316" s="156" t="n"/>
      <c r="DE316" s="157" t="n"/>
      <c r="DF316" s="143" t="n"/>
      <c r="DG316" s="143" t="n"/>
      <c r="DH316" s="143" t="n"/>
      <c r="DI316" s="143" t="n"/>
      <c r="DJ316" s="143" t="n"/>
      <c r="DK316" s="143" t="n"/>
      <c r="DL316" s="143" t="n"/>
      <c r="DM316" s="143" t="n"/>
      <c r="DN316" s="143" t="n"/>
      <c r="DO316" s="156" t="n"/>
      <c r="DP316" s="157" t="n"/>
      <c r="DQ316" s="20">
        <f>SUM(CN316:DP316)</f>
        <v/>
      </c>
      <c r="DR316" s="20">
        <f>SUM(CV316:DP316)</f>
        <v/>
      </c>
      <c r="DS316" s="20">
        <f>IFERROR((IF(AND($F316="Produit Vente",CO316&gt;0),VLOOKUP($C316,'[1]Paramètres Articles'!$B:$H,7,FALSE)*$CO316)*(1-20%)),0)</f>
        <v/>
      </c>
      <c r="DT316" s="20">
        <f>IFERROR((IF(AND($F316="Produit Vente",DR316&gt;0),VLOOKUP($C316,'[1]Paramètres Articles'!$B:$H,6,FALSE)*$DR316)*(1-15%)),0)</f>
        <v/>
      </c>
    </row>
    <row r="317" hidden="1">
      <c r="CE317" s="162" t="n"/>
      <c r="CF317" s="163" t="n"/>
      <c r="CG317" s="163" t="n"/>
      <c r="CH317" s="163" t="n"/>
      <c r="CI317" s="164" t="n"/>
      <c r="CK317" s="104">
        <f>IFERROR(IF(F317='[1]Paramètres Généraux'!$K$12,ROUNDUP((REGENERANTS!H317*REGENERANTS!$CF$275)*'[1]Paramètres Généraux'!$M$12,-1),REGENERANTS!H317*REGENERANTS!$CF$275),"nd")</f>
        <v/>
      </c>
      <c r="CN317" s="153" t="n"/>
      <c r="CO317" s="154" t="n"/>
      <c r="CP317" s="154" t="n"/>
      <c r="CQ317" s="154" t="n"/>
      <c r="CR317" s="154" t="n"/>
      <c r="CS317" s="180" t="n"/>
      <c r="CT317" s="181" t="n"/>
      <c r="CU317" s="154" t="n"/>
      <c r="CV317" s="180" t="n"/>
      <c r="CW317" s="157" t="n"/>
      <c r="CX317" s="156" t="n"/>
      <c r="CY317" s="157" t="n"/>
      <c r="CZ317" s="143" t="n"/>
      <c r="DA317" s="156" t="n"/>
      <c r="DB317" s="157" t="n"/>
      <c r="DC317" s="143" t="n"/>
      <c r="DD317" s="156" t="n"/>
      <c r="DE317" s="157" t="n"/>
      <c r="DF317" s="143" t="n"/>
      <c r="DG317" s="143" t="n"/>
      <c r="DH317" s="143" t="n"/>
      <c r="DI317" s="143" t="n"/>
      <c r="DJ317" s="143" t="n"/>
      <c r="DK317" s="143" t="n"/>
      <c r="DL317" s="143" t="n"/>
      <c r="DM317" s="143" t="n"/>
      <c r="DN317" s="143" t="n"/>
      <c r="DO317" s="156" t="n"/>
      <c r="DP317" s="157" t="n"/>
      <c r="DQ317" s="20">
        <f>SUM(CN317:DP317)</f>
        <v/>
      </c>
      <c r="DR317" s="20">
        <f>SUM(CV317:DP317)</f>
        <v/>
      </c>
      <c r="DS317" s="20">
        <f>IFERROR((IF(AND($F317="Produit Vente",CO317&gt;0),VLOOKUP($C317,'[1]Paramètres Articles'!$B:$H,7,FALSE)*$CO317)*(1-20%)),0)</f>
        <v/>
      </c>
      <c r="DT317" s="20">
        <f>IFERROR((IF(AND($F317="Produit Vente",DR317&gt;0),VLOOKUP($C317,'[1]Paramètres Articles'!$B:$H,6,FALSE)*$DR317)*(1-15%)),0)</f>
        <v/>
      </c>
    </row>
    <row r="318">
      <c r="AB318" s="1" t="n">
        <v>35</v>
      </c>
    </row>
    <row r="319">
      <c r="C319" s="22" t="inlineStr">
        <is>
          <t>REGENERANTS 1 - TG VIP Retail</t>
        </is>
      </c>
      <c r="D319" s="23" t="n"/>
      <c r="E319" s="24" t="n"/>
      <c r="F319" s="25" t="inlineStr">
        <is>
          <t>Panachage 90 unités // Remise 15% pour BRI conso 10€ sur 4 produits : Sérum J/N, CDJR, CDJRI, sérum nuit RI (-10€ = prix plancher, à imprimer sur 1 SR sur le présentoir)</t>
        </is>
      </c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3" t="n"/>
      <c r="BH319" s="23" t="n"/>
      <c r="BI319" s="23" t="n"/>
      <c r="BJ319" s="23" t="n"/>
      <c r="BK319" s="23" t="n"/>
      <c r="BL319" s="23" t="n"/>
      <c r="BM319" s="23" t="n"/>
      <c r="BN319" s="23" t="n"/>
      <c r="BO319" s="23" t="n"/>
      <c r="BP319" s="23" t="n"/>
      <c r="BQ319" s="23" t="n"/>
      <c r="BR319" s="23" t="n"/>
      <c r="BS319" s="23" t="n"/>
      <c r="BT319" s="23" t="n"/>
      <c r="BU319" s="23" t="n"/>
      <c r="BV319" s="23" t="n"/>
      <c r="BW319" s="23" t="n"/>
      <c r="BX319" s="23" t="n"/>
      <c r="BY319" s="23" t="n"/>
      <c r="BZ319" s="23" t="n"/>
      <c r="CA319" s="23" t="n"/>
      <c r="CB319" s="23" t="n"/>
      <c r="CC319" s="23" t="n"/>
      <c r="CD319" s="23" t="n"/>
      <c r="CE319" s="23" t="n"/>
      <c r="CF319" s="23" t="n"/>
      <c r="CG319" s="23" t="n"/>
      <c r="CH319" s="23" t="n"/>
      <c r="CI319" s="23" t="n"/>
      <c r="CK319" s="104" t="n"/>
    </row>
    <row r="320" ht="8.25" customHeight="1">
      <c r="CK320" s="104" t="n"/>
    </row>
    <row r="321" ht="12.95" customHeight="1">
      <c r="AB321" s="26" t="n">
        <v>0.8</v>
      </c>
      <c r="AC321" s="26" t="n"/>
      <c r="AD321" s="26" t="n"/>
      <c r="AE321" s="26" t="n"/>
      <c r="AF321" s="26" t="n"/>
      <c r="AG321" s="26" t="n">
        <v>0.2</v>
      </c>
      <c r="AH321" s="26" t="n"/>
      <c r="AI321" s="26" t="n"/>
      <c r="AJ321" s="26" t="n"/>
      <c r="AK321" s="26" t="n"/>
      <c r="AL321" s="26" t="n"/>
      <c r="AM321" s="26" t="n"/>
      <c r="AN321" s="26" t="n"/>
      <c r="AO321" s="26" t="n"/>
      <c r="AP321" s="26" t="n"/>
      <c r="AQ321" s="26" t="n"/>
      <c r="AR321" s="26" t="n"/>
      <c r="AS321" s="26" t="n"/>
      <c r="AT321" s="26" t="n"/>
      <c r="AU321" s="26" t="n"/>
      <c r="AV321" s="26" t="n"/>
      <c r="AW321" s="26" t="n"/>
      <c r="AX321" s="26" t="n"/>
      <c r="AY321" s="26" t="n"/>
      <c r="AZ321" s="26" t="n"/>
      <c r="BA321" s="26" t="n"/>
      <c r="BB321" s="26" t="n"/>
      <c r="BC321" s="26" t="n"/>
      <c r="BD321" s="26" t="n"/>
      <c r="BE321" s="26" t="n"/>
      <c r="BF321" s="26" t="n"/>
      <c r="BG321" s="26" t="n"/>
      <c r="BH321" s="26" t="n"/>
      <c r="BI321" s="26" t="n"/>
      <c r="BJ321" s="26" t="n"/>
      <c r="BK321" s="26" t="n"/>
      <c r="BL321" s="26" t="n"/>
      <c r="BM321" s="26" t="n"/>
      <c r="BN321" s="26" t="n"/>
      <c r="BO321" s="26" t="n"/>
      <c r="BP321" s="26" t="n"/>
      <c r="BQ321" s="26" t="n"/>
      <c r="BR321" s="26" t="n"/>
      <c r="BS321" s="26" t="n"/>
      <c r="BT321" s="26" t="n"/>
      <c r="BU321" s="26" t="n"/>
      <c r="BV321" s="26" t="n"/>
      <c r="BW321" s="26" t="n"/>
      <c r="BX321" s="26" t="n"/>
      <c r="BY321" s="26" t="n"/>
      <c r="BZ321" s="26" t="n"/>
      <c r="CA321" s="26" t="n"/>
      <c r="CB321" s="26" t="n"/>
      <c r="CC321" s="26" t="n"/>
      <c r="CE321" s="27" t="n"/>
      <c r="CF321" s="28" t="n"/>
      <c r="CG321" s="28" t="n"/>
      <c r="CH321" s="28" t="n"/>
      <c r="CI321" s="29" t="n"/>
      <c r="CK321" s="104" t="n"/>
    </row>
    <row r="322">
      <c r="AB322" s="30" t="inlineStr">
        <is>
          <t>Tarif Retail</t>
        </is>
      </c>
      <c r="AC322" s="30" t="n"/>
      <c r="AD322" s="30" t="n"/>
      <c r="AE322" s="30" t="n"/>
      <c r="AF322" s="30" t="n"/>
      <c r="AG322" s="30" t="n"/>
      <c r="AH322" s="30" t="n"/>
      <c r="AI322" s="30" t="n"/>
      <c r="AJ322" s="30" t="n"/>
      <c r="AK322" s="30" t="n"/>
      <c r="AL322" s="30" t="n"/>
      <c r="AM322" s="30" t="n"/>
      <c r="AN322" s="30" t="n"/>
      <c r="AO322" s="30" t="n"/>
      <c r="AP322" s="30" t="n"/>
      <c r="AQ322" s="30" t="n"/>
      <c r="AR322" s="30" t="n"/>
      <c r="AS322" s="30" t="n"/>
      <c r="AT322" s="30" t="n"/>
      <c r="AV322" s="31" t="inlineStr">
        <is>
          <t>Tarif Institut</t>
        </is>
      </c>
      <c r="AW322" s="31" t="n"/>
      <c r="AX322" s="31" t="n"/>
      <c r="AY322" s="31" t="n"/>
      <c r="AZ322" s="31" t="n"/>
      <c r="BA322" s="31" t="n"/>
      <c r="BB322" s="31" t="n"/>
      <c r="BC322" s="31" t="n"/>
      <c r="BD322" s="31" t="n"/>
      <c r="BE322" s="31" t="n"/>
      <c r="BF322" s="31" t="n"/>
      <c r="BG322" s="31" t="n"/>
      <c r="BH322" s="31" t="n"/>
      <c r="BI322" s="31" t="n"/>
      <c r="BJ322" s="31" t="n"/>
      <c r="BK322" s="31" t="n"/>
      <c r="BL322" s="31" t="n"/>
      <c r="BM322" s="31" t="n"/>
      <c r="BN322" s="31" t="n"/>
      <c r="BO322" s="31" t="n"/>
      <c r="BP322" s="31" t="n"/>
      <c r="BQ322" s="31" t="n"/>
      <c r="BR322" s="31" t="n"/>
      <c r="BS322" s="31" t="n"/>
      <c r="BT322" s="31" t="n"/>
      <c r="BU322" s="31" t="n"/>
      <c r="BV322" s="31" t="n"/>
      <c r="BW322" s="31" t="n"/>
      <c r="BX322" s="31" t="n"/>
      <c r="BZ322" s="32" t="inlineStr">
        <is>
          <t>Autres</t>
        </is>
      </c>
      <c r="CA322" s="32" t="n"/>
      <c r="CB322" s="32" t="n"/>
      <c r="CC322" s="32" t="n"/>
      <c r="CE322" s="33" t="n"/>
      <c r="CF322" s="34" t="inlineStr">
        <is>
          <t>Tous réseaux</t>
        </is>
      </c>
      <c r="CG322" s="34" t="n"/>
      <c r="CH322" s="34" t="n"/>
      <c r="CI322" s="35" t="n"/>
      <c r="CK322" s="104" t="n"/>
    </row>
    <row r="323" ht="5.25" customHeight="1">
      <c r="CE323" s="33" t="n"/>
      <c r="CF323" s="39" t="n"/>
      <c r="CG323" s="39" t="n"/>
      <c r="CH323" s="39" t="n"/>
      <c r="CI323" s="35" t="n"/>
      <c r="CK323" s="104" t="n"/>
    </row>
    <row r="324">
      <c r="P324" s="1" t="inlineStr">
        <is>
          <t>Additionnelle</t>
        </is>
      </c>
      <c r="AB324" s="42" t="inlineStr">
        <is>
          <t>Ambassadeur</t>
        </is>
      </c>
      <c r="AC324" s="42" t="n"/>
      <c r="AD324" s="42" t="n"/>
      <c r="AE324" s="42" t="n"/>
      <c r="AG324" s="42" t="inlineStr">
        <is>
          <t>Compagnon</t>
        </is>
      </c>
      <c r="AH324" s="42" t="n"/>
      <c r="AI324" s="42" t="n"/>
      <c r="AJ324" s="42" t="n"/>
      <c r="AL324" s="42" t="inlineStr">
        <is>
          <t>Challenger</t>
        </is>
      </c>
      <c r="AM324" s="42" t="n"/>
      <c r="AN324" s="42" t="n"/>
      <c r="AO324" s="42" t="n"/>
      <c r="AQ324" s="42" t="inlineStr">
        <is>
          <t>Partenaire</t>
        </is>
      </c>
      <c r="AR324" s="42" t="n"/>
      <c r="AS324" s="42" t="n"/>
      <c r="AT324" s="42" t="n"/>
      <c r="AV324" s="43" t="inlineStr">
        <is>
          <t>Rose</t>
        </is>
      </c>
      <c r="AW324" s="43" t="n"/>
      <c r="AX324" s="43" t="n"/>
      <c r="AY324" s="43" t="n"/>
      <c r="BA324" s="43" t="inlineStr">
        <is>
          <t>Prunelier</t>
        </is>
      </c>
      <c r="BB324" s="43" t="n"/>
      <c r="BC324" s="43" t="n"/>
      <c r="BD324" s="43" t="n"/>
      <c r="BF324" s="43" t="inlineStr">
        <is>
          <t>Anthylide</t>
        </is>
      </c>
      <c r="BG324" s="43" t="n"/>
      <c r="BH324" s="43" t="n"/>
      <c r="BI324" s="43" t="n"/>
      <c r="BK324" s="43" t="inlineStr">
        <is>
          <t>Calendula</t>
        </is>
      </c>
      <c r="BL324" s="43" t="n"/>
      <c r="BM324" s="43" t="n"/>
      <c r="BN324" s="43" t="n"/>
      <c r="BP324" s="43" t="inlineStr">
        <is>
          <t>Bourrache</t>
        </is>
      </c>
      <c r="BQ324" s="43" t="n"/>
      <c r="BR324" s="43" t="n"/>
      <c r="BS324" s="43" t="n"/>
      <c r="BU324" s="43" t="inlineStr">
        <is>
          <t>Herbacée</t>
        </is>
      </c>
      <c r="BV324" s="43" t="n"/>
      <c r="BW324" s="43" t="n"/>
      <c r="BX324" s="43" t="n"/>
      <c r="BZ324" s="44" t="inlineStr">
        <is>
          <t>Autres</t>
        </is>
      </c>
      <c r="CA324" s="44" t="n"/>
      <c r="CB324" s="44" t="n"/>
      <c r="CC324" s="44" t="n"/>
      <c r="CE324" s="33" t="n"/>
      <c r="CF324" s="45" t="inlineStr">
        <is>
          <t>Total</t>
        </is>
      </c>
      <c r="CG324" s="45" t="n"/>
      <c r="CH324" s="45" t="n"/>
      <c r="CI324" s="35" t="n"/>
      <c r="CK324" s="104" t="n"/>
    </row>
    <row r="325" ht="5.25" customHeight="1">
      <c r="CE325" s="33" t="n"/>
      <c r="CF325" s="39" t="n"/>
      <c r="CG325" s="39" t="n"/>
      <c r="CH325" s="39" t="n"/>
      <c r="CI325" s="35" t="n"/>
      <c r="CK325" s="104" t="n"/>
    </row>
    <row r="326" ht="38.25" customFormat="1" customHeight="1" s="46">
      <c r="E326" s="47" t="n"/>
      <c r="H326" s="48" t="inlineStr">
        <is>
          <t>Pdt dans offre</t>
        </is>
      </c>
      <c r="J326" s="48" t="inlineStr">
        <is>
          <t>PA x Unit.</t>
        </is>
      </c>
      <c r="K326" s="48" t="inlineStr">
        <is>
          <t>Coûts Achats</t>
        </is>
      </c>
      <c r="M326" s="48" t="inlineStr">
        <is>
          <t>Tarif Rev.  x Unit.</t>
        </is>
      </c>
      <c r="N326" s="48" t="inlineStr">
        <is>
          <t>Tarif Rev.</t>
        </is>
      </c>
      <c r="P326" s="48" t="inlineStr">
        <is>
          <t>Remise Offres x Prod.</t>
        </is>
      </c>
      <c r="R326" s="48" t="inlineStr">
        <is>
          <t>Tarif Rev. Remisé</t>
        </is>
      </c>
      <c r="T326" s="48" t="inlineStr">
        <is>
          <t>PPC Unitaire Indicatif</t>
        </is>
      </c>
      <c r="U326" s="48" t="n"/>
      <c r="V326" s="48" t="inlineStr">
        <is>
          <t>PPC Unitaire Remisé</t>
        </is>
      </c>
      <c r="X326" s="48" t="inlineStr">
        <is>
          <t>Montant BRI</t>
        </is>
      </c>
      <c r="Z326" s="48" t="inlineStr">
        <is>
          <t>PPC global Indicatif</t>
        </is>
      </c>
      <c r="AB326" s="48" t="inlineStr">
        <is>
          <t>Nbrs Offres planifiées</t>
        </is>
      </c>
      <c r="AC326" s="48" t="inlineStr">
        <is>
          <t>Remise Statut</t>
        </is>
      </c>
      <c r="AD326" s="48" t="inlineStr">
        <is>
          <t>CA</t>
        </is>
      </c>
      <c r="AE326" s="48" t="inlineStr">
        <is>
          <t>Marges</t>
        </is>
      </c>
      <c r="AG326" s="48" t="inlineStr">
        <is>
          <t>Nbrs Offres planifiées</t>
        </is>
      </c>
      <c r="AH326" s="48" t="inlineStr">
        <is>
          <t>Remise Statut</t>
        </is>
      </c>
      <c r="AI326" s="48" t="inlineStr">
        <is>
          <t>CA</t>
        </is>
      </c>
      <c r="AJ326" s="48" t="inlineStr">
        <is>
          <t>Marges</t>
        </is>
      </c>
      <c r="AL326" s="48" t="inlineStr">
        <is>
          <t>Nbrs Offres planifiées</t>
        </is>
      </c>
      <c r="AM326" s="48" t="inlineStr">
        <is>
          <t>Remise Statut</t>
        </is>
      </c>
      <c r="AN326" s="48" t="inlineStr">
        <is>
          <t>CA</t>
        </is>
      </c>
      <c r="AO326" s="48" t="inlineStr">
        <is>
          <t>Marges</t>
        </is>
      </c>
      <c r="AQ326" s="48" t="inlineStr">
        <is>
          <t>Nbrs Offres planifiées</t>
        </is>
      </c>
      <c r="AR326" s="48" t="inlineStr">
        <is>
          <t>Remise Statut</t>
        </is>
      </c>
      <c r="AS326" s="48" t="inlineStr">
        <is>
          <t>CA</t>
        </is>
      </c>
      <c r="AT326" s="48" t="inlineStr">
        <is>
          <t>Marges</t>
        </is>
      </c>
      <c r="AV326" s="48" t="inlineStr">
        <is>
          <t>Nbrs Offres planifiées</t>
        </is>
      </c>
      <c r="AW326" s="48" t="inlineStr">
        <is>
          <t>Remise Statut</t>
        </is>
      </c>
      <c r="AX326" s="48" t="inlineStr">
        <is>
          <t>CA</t>
        </is>
      </c>
      <c r="AY326" s="48" t="inlineStr">
        <is>
          <t>Marges</t>
        </is>
      </c>
      <c r="BA326" s="48" t="inlineStr">
        <is>
          <t>Nbrs Offres planifiées</t>
        </is>
      </c>
      <c r="BB326" s="48" t="inlineStr">
        <is>
          <t>Remise Statut</t>
        </is>
      </c>
      <c r="BC326" s="48" t="inlineStr">
        <is>
          <t>CA</t>
        </is>
      </c>
      <c r="BD326" s="48" t="inlineStr">
        <is>
          <t>Marges</t>
        </is>
      </c>
      <c r="BF326" s="48" t="inlineStr">
        <is>
          <t>Nbrs Offres planifiées</t>
        </is>
      </c>
      <c r="BG326" s="48" t="inlineStr">
        <is>
          <t>Remise Statut</t>
        </is>
      </c>
      <c r="BH326" s="48" t="inlineStr">
        <is>
          <t>CA</t>
        </is>
      </c>
      <c r="BI326" s="48" t="inlineStr">
        <is>
          <t>Marges</t>
        </is>
      </c>
      <c r="BK326" s="48" t="inlineStr">
        <is>
          <t>Nbrs Offres planifiées</t>
        </is>
      </c>
      <c r="BL326" s="48" t="inlineStr">
        <is>
          <t>Remise Statut</t>
        </is>
      </c>
      <c r="BM326" s="48" t="inlineStr">
        <is>
          <t>CA</t>
        </is>
      </c>
      <c r="BN326" s="48" t="inlineStr">
        <is>
          <t>Marges</t>
        </is>
      </c>
      <c r="BP326" s="48" t="inlineStr">
        <is>
          <t>Nbrs Offres planifiées</t>
        </is>
      </c>
      <c r="BQ326" s="48" t="inlineStr">
        <is>
          <t>Remise Statut</t>
        </is>
      </c>
      <c r="BR326" s="48" t="inlineStr">
        <is>
          <t>CA</t>
        </is>
      </c>
      <c r="BS326" s="48" t="inlineStr">
        <is>
          <t>Marges</t>
        </is>
      </c>
      <c r="BU326" s="48" t="inlineStr">
        <is>
          <t>Nbrs Offres planifiées</t>
        </is>
      </c>
      <c r="BV326" s="48" t="inlineStr">
        <is>
          <t>Remise Statut</t>
        </is>
      </c>
      <c r="BW326" s="48" t="inlineStr">
        <is>
          <t>CA</t>
        </is>
      </c>
      <c r="BX326" s="48" t="inlineStr">
        <is>
          <t>Marges</t>
        </is>
      </c>
      <c r="BZ326" s="48" t="inlineStr">
        <is>
          <t>Nbrs Offres planifiées</t>
        </is>
      </c>
      <c r="CA326" s="48" t="inlineStr">
        <is>
          <t>Remise Statut</t>
        </is>
      </c>
      <c r="CB326" s="48" t="inlineStr">
        <is>
          <t>CA</t>
        </is>
      </c>
      <c r="CC326" s="48" t="inlineStr">
        <is>
          <t>Marges</t>
        </is>
      </c>
      <c r="CE326" s="49" t="n"/>
      <c r="CF326" s="50" t="inlineStr">
        <is>
          <t>Nbrs Offres planifiées</t>
        </is>
      </c>
      <c r="CG326" s="50" t="inlineStr">
        <is>
          <t>CA</t>
        </is>
      </c>
      <c r="CH326" s="50" t="inlineStr">
        <is>
          <t>Marges</t>
        </is>
      </c>
      <c r="CI326" s="51" t="n"/>
      <c r="CK326" s="167" t="n"/>
      <c r="CW326" s="183" t="n"/>
      <c r="CX326" s="183" t="n"/>
      <c r="CY326" s="183" t="n"/>
      <c r="CZ326" s="183" t="n"/>
      <c r="DA326" s="183" t="n"/>
      <c r="DB326" s="183" t="n"/>
      <c r="DC326" s="183" t="n"/>
      <c r="DD326" s="183" t="n"/>
      <c r="DE326" s="183" t="n"/>
      <c r="DF326" s="183" t="n"/>
      <c r="DG326" s="183" t="n"/>
      <c r="DH326" s="183" t="n"/>
      <c r="DI326" s="183" t="n"/>
      <c r="DJ326" s="183" t="n"/>
      <c r="DK326" s="183" t="n"/>
      <c r="DL326" s="183" t="n"/>
      <c r="DM326" s="183" t="n"/>
      <c r="DN326" s="183" t="n"/>
      <c r="DO326" s="183" t="n"/>
      <c r="DP326" s="183" t="n"/>
    </row>
    <row r="327" ht="26.25" customHeight="1">
      <c r="C327" s="66" t="inlineStr">
        <is>
          <t>Code article</t>
        </is>
      </c>
      <c r="D327" s="66" t="inlineStr">
        <is>
          <t>Libellé article</t>
        </is>
      </c>
      <c r="E327" s="168" t="inlineStr">
        <is>
          <t>Code à barres (EAN)</t>
        </is>
      </c>
      <c r="F327" s="66" t="inlineStr">
        <is>
          <t>Typ. Prod</t>
        </is>
      </c>
      <c r="H327" s="66" t="inlineStr">
        <is>
          <t>'#</t>
        </is>
      </c>
      <c r="J327" s="66" t="inlineStr">
        <is>
          <t>'€</t>
        </is>
      </c>
      <c r="K327" s="66" t="inlineStr">
        <is>
          <t>'€</t>
        </is>
      </c>
      <c r="M327" s="66" t="inlineStr">
        <is>
          <t>'€</t>
        </is>
      </c>
      <c r="N327" s="66" t="inlineStr">
        <is>
          <t>'€</t>
        </is>
      </c>
      <c r="P327" s="66" t="inlineStr">
        <is>
          <t>'€</t>
        </is>
      </c>
      <c r="R327" s="66" t="inlineStr">
        <is>
          <t>'€</t>
        </is>
      </c>
      <c r="T327" s="66" t="inlineStr">
        <is>
          <t>'€</t>
        </is>
      </c>
      <c r="U327" s="67" t="n"/>
      <c r="V327" s="66" t="inlineStr">
        <is>
          <t>'€</t>
        </is>
      </c>
      <c r="X327" s="66" t="inlineStr">
        <is>
          <t>'€</t>
        </is>
      </c>
      <c r="Z327" s="66" t="inlineStr">
        <is>
          <t>'€</t>
        </is>
      </c>
      <c r="AB327" s="66" t="inlineStr">
        <is>
          <t>'#</t>
        </is>
      </c>
      <c r="AC327" s="66" t="inlineStr">
        <is>
          <t>'€</t>
        </is>
      </c>
      <c r="AD327" s="66" t="inlineStr">
        <is>
          <t>'€</t>
        </is>
      </c>
      <c r="AE327" s="66" t="inlineStr">
        <is>
          <t>'€</t>
        </is>
      </c>
      <c r="AG327" s="66" t="inlineStr">
        <is>
          <t>'#</t>
        </is>
      </c>
      <c r="AH327" s="66" t="inlineStr">
        <is>
          <t>'€</t>
        </is>
      </c>
      <c r="AI327" s="66" t="inlineStr">
        <is>
          <t>'€</t>
        </is>
      </c>
      <c r="AJ327" s="66" t="inlineStr">
        <is>
          <t>'€</t>
        </is>
      </c>
      <c r="AL327" s="66" t="inlineStr">
        <is>
          <t>'#</t>
        </is>
      </c>
      <c r="AM327" s="66" t="inlineStr">
        <is>
          <t>'€</t>
        </is>
      </c>
      <c r="AN327" s="66" t="inlineStr">
        <is>
          <t>'€</t>
        </is>
      </c>
      <c r="AO327" s="66" t="inlineStr">
        <is>
          <t>'€</t>
        </is>
      </c>
      <c r="AQ327" s="66" t="inlineStr">
        <is>
          <t>'#</t>
        </is>
      </c>
      <c r="AR327" s="66" t="inlineStr">
        <is>
          <t>'€</t>
        </is>
      </c>
      <c r="AS327" s="66" t="inlineStr">
        <is>
          <t>'€</t>
        </is>
      </c>
      <c r="AT327" s="66" t="inlineStr">
        <is>
          <t>'€</t>
        </is>
      </c>
      <c r="AV327" s="66" t="inlineStr">
        <is>
          <t>'#</t>
        </is>
      </c>
      <c r="AW327" s="66" t="inlineStr">
        <is>
          <t>'€</t>
        </is>
      </c>
      <c r="AX327" s="66" t="inlineStr">
        <is>
          <t>'€</t>
        </is>
      </c>
      <c r="AY327" s="66" t="inlineStr">
        <is>
          <t>'€</t>
        </is>
      </c>
      <c r="BA327" s="66" t="inlineStr">
        <is>
          <t>'#</t>
        </is>
      </c>
      <c r="BB327" s="66" t="inlineStr">
        <is>
          <t>'€</t>
        </is>
      </c>
      <c r="BC327" s="66" t="inlineStr">
        <is>
          <t>'€</t>
        </is>
      </c>
      <c r="BD327" s="66" t="inlineStr">
        <is>
          <t>'€</t>
        </is>
      </c>
      <c r="BF327" s="66" t="inlineStr">
        <is>
          <t>'#</t>
        </is>
      </c>
      <c r="BG327" s="66" t="inlineStr">
        <is>
          <t>'€</t>
        </is>
      </c>
      <c r="BH327" s="66" t="inlineStr">
        <is>
          <t>'€</t>
        </is>
      </c>
      <c r="BI327" s="66" t="inlineStr">
        <is>
          <t>'€</t>
        </is>
      </c>
      <c r="BK327" s="66" t="inlineStr">
        <is>
          <t>'#</t>
        </is>
      </c>
      <c r="BL327" s="66" t="inlineStr">
        <is>
          <t>'€</t>
        </is>
      </c>
      <c r="BM327" s="66" t="inlineStr">
        <is>
          <t>'€</t>
        </is>
      </c>
      <c r="BN327" s="66" t="inlineStr">
        <is>
          <t>'€</t>
        </is>
      </c>
      <c r="BP327" s="66" t="inlineStr">
        <is>
          <t>'#</t>
        </is>
      </c>
      <c r="BQ327" s="66" t="inlineStr">
        <is>
          <t>'€</t>
        </is>
      </c>
      <c r="BR327" s="66" t="inlineStr">
        <is>
          <t>'€</t>
        </is>
      </c>
      <c r="BS327" s="66" t="inlineStr">
        <is>
          <t>'€</t>
        </is>
      </c>
      <c r="BU327" s="66" t="inlineStr">
        <is>
          <t>'#</t>
        </is>
      </c>
      <c r="BV327" s="66" t="inlineStr">
        <is>
          <t>'€</t>
        </is>
      </c>
      <c r="BW327" s="66" t="inlineStr">
        <is>
          <t>'€</t>
        </is>
      </c>
      <c r="BX327" s="66" t="inlineStr">
        <is>
          <t>'€</t>
        </is>
      </c>
      <c r="BZ327" s="66" t="inlineStr">
        <is>
          <t>'#</t>
        </is>
      </c>
      <c r="CA327" s="66" t="inlineStr">
        <is>
          <t>'€</t>
        </is>
      </c>
      <c r="CB327" s="66" t="inlineStr">
        <is>
          <t>'€</t>
        </is>
      </c>
      <c r="CC327" s="66" t="inlineStr">
        <is>
          <t>'€</t>
        </is>
      </c>
      <c r="CE327" s="33" t="n"/>
      <c r="CF327" s="68" t="inlineStr">
        <is>
          <t>'#</t>
        </is>
      </c>
      <c r="CG327" s="68" t="inlineStr">
        <is>
          <t>'€</t>
        </is>
      </c>
      <c r="CH327" s="68" t="inlineStr">
        <is>
          <t>'€</t>
        </is>
      </c>
      <c r="CI327" s="35" t="n"/>
      <c r="CJ327" s="69">
        <f>ROUNDUP(CF329*40%,-1)</f>
        <v/>
      </c>
      <c r="CK327" s="104" t="n"/>
    </row>
    <row r="328" ht="5.25" customHeight="1">
      <c r="CE328" s="33" t="n"/>
      <c r="CF328" s="39" t="n"/>
      <c r="CG328" s="39" t="n"/>
      <c r="CH328" s="39" t="n"/>
      <c r="CI328" s="35" t="n"/>
      <c r="CK328" s="104" t="n"/>
    </row>
    <row r="329" ht="12.95" customFormat="1" customHeight="1" s="69">
      <c r="B329" s="69">
        <f>C319</f>
        <v/>
      </c>
      <c r="C329" s="70" t="inlineStr">
        <is>
          <t>Synthèse</t>
        </is>
      </c>
      <c r="D329" s="70" t="n"/>
      <c r="E329" s="71" t="n"/>
      <c r="F329" s="70" t="n"/>
      <c r="H329" s="72">
        <f>IFERROR(SUMIFS(H331:H370,F331:F370,"Produit Vente"),"Non trouvé")</f>
        <v/>
      </c>
      <c r="J329" s="73">
        <f>IFERROR($K329/$H329,"Non Trouvé")</f>
        <v/>
      </c>
      <c r="K329" s="73">
        <f>IFERROR(SUM(K331:K370),"Non Trouvé")</f>
        <v/>
      </c>
      <c r="M329" s="73">
        <f>IFERROR($N329/$H329,"Non Trouvé")</f>
        <v/>
      </c>
      <c r="N329" s="73">
        <f>IFERROR(SUM(N331:N370),"Non Trouvé")</f>
        <v/>
      </c>
      <c r="P329" s="74">
        <f>IFERROR(-(R329-N329)/N329,"Non Trouvé")</f>
        <v/>
      </c>
      <c r="R329" s="73">
        <f>IFERROR(SUM(R331:R370),"Non Trouvé")</f>
        <v/>
      </c>
      <c r="T329" s="73">
        <f>IFERROR(SUM(T331:T370),"Non Trouvé")</f>
        <v/>
      </c>
      <c r="U329" s="75" t="n"/>
      <c r="V329" s="73">
        <f>IFERROR(SUM(V331:V371),"Non Trouvé")</f>
        <v/>
      </c>
      <c r="X329" s="73">
        <f>IFERROR(SUM(X331:X371),"Non Trouvé")</f>
        <v/>
      </c>
      <c r="Z329" s="73">
        <f>IFERROR(SUM(Z331:Z370),"Non Trouvé")</f>
        <v/>
      </c>
      <c r="AB329" s="76">
        <f>ROUND($AB$318*AB321,0)</f>
        <v/>
      </c>
      <c r="AC329" s="77">
        <f>IFERROR(VLOOKUP(AB324,'[1]Paramètres Généraux'!$O:$P,2,FALSE),"Non Trouvé")</f>
        <v/>
      </c>
      <c r="AD329" s="73">
        <f>IFERROR(SUM(AD331:AD371),"Non Trouvé")</f>
        <v/>
      </c>
      <c r="AE329" s="74">
        <f>IFERROR((AD329-$K329*AB329)/AD329,"Non Trouvé")</f>
        <v/>
      </c>
      <c r="AG329" s="76">
        <f>ROUND($AB$318*AG321,0)</f>
        <v/>
      </c>
      <c r="AH329" s="77">
        <f>IFERROR(VLOOKUP(AG324,'[1]Paramètres Généraux'!$O:$P,2,FALSE),"Non Trouvé")</f>
        <v/>
      </c>
      <c r="AI329" s="73">
        <f>IFERROR(SUM(AI331:AI371),"Non Trouvé")</f>
        <v/>
      </c>
      <c r="AJ329" s="74">
        <f>IFERROR((AI329-$K329*AG329)/AI329,"Non Trouvé")</f>
        <v/>
      </c>
      <c r="AL329" s="76">
        <f>ROUND($AB$318*AL321,0)</f>
        <v/>
      </c>
      <c r="AM329" s="77">
        <f>IFERROR(VLOOKUP(AL324,'[1]Paramètres Généraux'!$O:$P,2,FALSE),"Non Trouvé")</f>
        <v/>
      </c>
      <c r="AN329" s="73">
        <f>IFERROR(SUM(AN331:AN371),"Non Trouvé")</f>
        <v/>
      </c>
      <c r="AO329" s="74">
        <f>IFERROR((AN329-$K329*AL329)/AN329,"Non Trouvé")</f>
        <v/>
      </c>
      <c r="AQ329" s="76">
        <f>ROUND($AB$318*AQ321,0)</f>
        <v/>
      </c>
      <c r="AR329" s="77">
        <f>IFERROR(VLOOKUP(AQ324,'[1]Paramètres Généraux'!$O:$P,2,FALSE),"Non Trouvé")</f>
        <v/>
      </c>
      <c r="AS329" s="73">
        <f>IFERROR(SUM(AS331:AS371),"Non Trouvé")</f>
        <v/>
      </c>
      <c r="AT329" s="74">
        <f>IFERROR((AS329-$K329*AQ329)/AS329,"Non Trouvé")</f>
        <v/>
      </c>
      <c r="AV329" s="76">
        <f>ROUND($AB$318*AV321,0)</f>
        <v/>
      </c>
      <c r="AW329" s="77">
        <f>IFERROR(VLOOKUP(AV324,'[1]Paramètres Généraux'!$O:$P,2,FALSE),"Non Trouvé")</f>
        <v/>
      </c>
      <c r="AX329" s="73">
        <f>IFERROR(SUM(AX331:AX371),"Non Trouvé")</f>
        <v/>
      </c>
      <c r="AY329" s="74">
        <f>IFERROR((AX329-$K329*AV329)/AX329,"Non Trouvé")</f>
        <v/>
      </c>
      <c r="BA329" s="76">
        <f>ROUND($AB$318*BA321,0)</f>
        <v/>
      </c>
      <c r="BB329" s="77">
        <f>IFERROR(VLOOKUP(BA324,'[1]Paramètres Généraux'!$O:$P,2,FALSE),"Non Trouvé")</f>
        <v/>
      </c>
      <c r="BC329" s="73">
        <f>IFERROR(SUM(BC331:BC371),"Non Trouvé")</f>
        <v/>
      </c>
      <c r="BD329" s="74">
        <f>IFERROR((BC329-$K329*BA329)/BC329,"Non Trouvé")</f>
        <v/>
      </c>
      <c r="BF329" s="76">
        <f>ROUND($AB$318*BF321,0)</f>
        <v/>
      </c>
      <c r="BG329" s="77">
        <f>IFERROR(VLOOKUP(BF324,'[1]Paramètres Généraux'!$O:$P,2,FALSE),"Non Trouvé")</f>
        <v/>
      </c>
      <c r="BH329" s="73">
        <f>IFERROR(SUM(BH331:BH371),"Non Trouvé")</f>
        <v/>
      </c>
      <c r="BI329" s="74">
        <f>IFERROR((BH329-$K329*BF329)/BH329,"Non Trouvé")</f>
        <v/>
      </c>
      <c r="BK329" s="76">
        <f>ROUND($AB$318*BK321,0)</f>
        <v/>
      </c>
      <c r="BL329" s="77">
        <f>IFERROR(VLOOKUP(BK324,'[1]Paramètres Généraux'!$O:$P,2,FALSE),"Non Trouvé")</f>
        <v/>
      </c>
      <c r="BM329" s="73">
        <f>IFERROR(SUM(BM331:BM371),"Non Trouvé")</f>
        <v/>
      </c>
      <c r="BN329" s="74">
        <f>IFERROR((BM329-$K329*BK329)/BM329,"Non Trouvé")</f>
        <v/>
      </c>
      <c r="BP329" s="76">
        <f>ROUND($AB$318*BP321,0)</f>
        <v/>
      </c>
      <c r="BQ329" s="77">
        <f>IFERROR(VLOOKUP(BP324,'[1]Paramètres Généraux'!$O:$P,2,FALSE),"Non Trouvé")</f>
        <v/>
      </c>
      <c r="BR329" s="73">
        <f>IFERROR(SUM(BR331:BR371),"Non Trouvé")</f>
        <v/>
      </c>
      <c r="BS329" s="74">
        <f>IFERROR((BR329-$K329*BP329)/BR329,"Non Trouvé")</f>
        <v/>
      </c>
      <c r="BU329" s="76">
        <f>ROUND($AB$318*BU321,0)</f>
        <v/>
      </c>
      <c r="BV329" s="77">
        <f>IFERROR(VLOOKUP(BU324,'[1]Paramètres Généraux'!$O:$P,2,FALSE),"Non Trouvé")</f>
        <v/>
      </c>
      <c r="BW329" s="73">
        <f>IFERROR(SUM(BW331:BW371),"Non Trouvé")</f>
        <v/>
      </c>
      <c r="BX329" s="74">
        <f>IFERROR((BW329-$K329*BU329)/BW329,"Non Trouvé")</f>
        <v/>
      </c>
      <c r="BZ329" s="76">
        <f>ROUND($AB$318*BZ321,0)</f>
        <v/>
      </c>
      <c r="CA329" s="77">
        <f>IFERROR(VLOOKUP(BZ324,'[1]Paramètres Généraux'!$O:$P,2,FALSE),"Non Trouvé")</f>
        <v/>
      </c>
      <c r="CB329" s="73">
        <f>IFERROR(SUM(CB331:CB371),"Non Trouvé")</f>
        <v/>
      </c>
      <c r="CC329" s="74">
        <f>IFERROR((CB329-$K329*BZ329)/CB329,"Non Trouvé")</f>
        <v/>
      </c>
      <c r="CE329" s="78" t="n"/>
      <c r="CF329" s="72">
        <f>SUMIFS($AB329:$CC329,$AB326:$CC326,CF326)</f>
        <v/>
      </c>
      <c r="CG329" s="72">
        <f>SUMIFS($AB329:$CC329,$AB326:$CC326,CG326)</f>
        <v/>
      </c>
      <c r="CH329" s="79">
        <f>IFERROR((CG329-$K329*CF329)/CG329,"Non Trouvé")</f>
        <v/>
      </c>
      <c r="CI329" s="80" t="n"/>
      <c r="CJ329" s="69">
        <f>ROUNDUP(CF329*70%,-1)</f>
        <v/>
      </c>
      <c r="CK329" s="169" t="n"/>
      <c r="CW329" s="184" t="n"/>
      <c r="CX329" s="184" t="n"/>
      <c r="CY329" s="184" t="n"/>
      <c r="CZ329" s="184" t="n"/>
      <c r="DA329" s="184" t="n"/>
      <c r="DB329" s="184" t="n"/>
      <c r="DC329" s="184" t="n"/>
      <c r="DD329" s="184" t="n"/>
      <c r="DE329" s="184" t="n"/>
      <c r="DF329" s="184" t="n"/>
      <c r="DG329" s="184" t="n"/>
      <c r="DH329" s="184" t="n"/>
      <c r="DI329" s="184" t="n"/>
      <c r="DJ329" s="184" t="n"/>
      <c r="DK329" s="184" t="n"/>
      <c r="DL329" s="184" t="n"/>
      <c r="DM329" s="184" t="n"/>
      <c r="DN329" s="184" t="n"/>
      <c r="DO329" s="184" t="n"/>
      <c r="DP329" s="184" t="n"/>
    </row>
    <row r="330" ht="5.25" customHeight="1">
      <c r="CE330" s="33" t="n"/>
      <c r="CF330" s="39" t="n"/>
      <c r="CG330" s="39" t="n"/>
      <c r="CH330" s="39" t="n"/>
      <c r="CI330" s="35" t="n"/>
      <c r="CK330" s="104" t="n"/>
    </row>
    <row r="331" ht="12.95" customHeight="1">
      <c r="B331" s="1">
        <f>IF(C331="",0,COUNTIFS($B$22:B330,"&gt;"&amp;0)+1)</f>
        <v/>
      </c>
      <c r="C331" s="90" t="n">
        <v>1020202</v>
      </c>
      <c r="D331" s="91">
        <f>IFERROR(IF($C331="","",VLOOKUP($C331,'[1]Paramètres Articles'!$B:$G,2,FALSE)),"Non Trouvé")</f>
        <v/>
      </c>
      <c r="E331" s="92">
        <f>IFERROR(IF($C331="","",_xlfn.XLOOKUP(REGENERANTS!$C331,'[1]New Base PA'!$F:$F,'[1]New Base PA'!$D:$D,"Not Found",0)),"Non Trouvé")</f>
        <v/>
      </c>
      <c r="F331" s="93" t="inlineStr">
        <is>
          <t>Produit Vente</t>
        </is>
      </c>
      <c r="H331" s="94" t="n">
        <v>13</v>
      </c>
      <c r="J331" s="95">
        <f>IFERROR(IF($C331="","",VLOOKUP($C331,'[1]New Base PA'!$F:$J,5,FALSE)),"Non Trouvé")</f>
        <v/>
      </c>
      <c r="K331" s="136">
        <f>IFERROR(IF($C331="","",$J331*$H331),"Non Trouvé")</f>
        <v/>
      </c>
      <c r="L331" s="137" t="n"/>
      <c r="M331" s="136">
        <f>IFERROR(IF(AND($F331="Produit Vente",H331&gt;0),VLOOKUP($C331,'[1]Paramètres Articles'!$B:$G,6,FALSE),0),"Non Trouvé")</f>
        <v/>
      </c>
      <c r="N331" s="136">
        <f>IFERROR(IF($C331="","",$M331*$H331),"Non Trouvé")</f>
        <v/>
      </c>
      <c r="P331" s="97" t="n">
        <v>0.15</v>
      </c>
      <c r="R331" s="95">
        <f>IFERROR(IF($C331="","",$N331*(1-$P331)),"Non Trouvé")</f>
        <v/>
      </c>
      <c r="S331" s="96" t="n"/>
      <c r="T331" s="95">
        <f>IFERROR(IF($C331="","",VLOOKUP($C331,'[1]Paramètres Articles'!$B:$H,7,FALSE)),"Non Trouvé")</f>
        <v/>
      </c>
      <c r="U331" s="98" t="n"/>
      <c r="V331" s="95">
        <f>IFERROR(IF($C331="","",IF($P331="","",$T331*(1-$P331))),"Non Trouvé")</f>
        <v/>
      </c>
      <c r="W331" s="96" t="n"/>
      <c r="X331" s="95">
        <f>IFERROR(T331-V331,"")</f>
        <v/>
      </c>
      <c r="Y331" s="96" t="n"/>
      <c r="Z331" s="95">
        <f>IFERROR(IF(OR(T331=0,T331=""),0,T331*H331),"Non Trouvé")</f>
        <v/>
      </c>
      <c r="AB331" s="99">
        <f>AB329</f>
        <v/>
      </c>
      <c r="AC331" s="99">
        <f>AC329</f>
        <v/>
      </c>
      <c r="AD331" s="95">
        <f>IFERROR(IF($C331="","",IF($P$15="Cascade",$R331*(1-AC331)*AB331,IF($P$15="Additionnelle",($N331-($N331*($P331+AC331)))*AB331))),"Non Trouvé")</f>
        <v/>
      </c>
      <c r="AG331" s="99">
        <f>AG329</f>
        <v/>
      </c>
      <c r="AH331" s="99">
        <f>AH329</f>
        <v/>
      </c>
      <c r="AI331" s="95">
        <f>IFERROR(IF($C331="","",IF($P$15="Cascade",$R331*(1-AH331)*AG331,IF($P$15="Additionnelle",($N331-($N331*($P331+AH331)))*AG331))),"Non Trouvé")</f>
        <v/>
      </c>
      <c r="AL331" s="99">
        <f>AL329</f>
        <v/>
      </c>
      <c r="AM331" s="99">
        <f>AM329</f>
        <v/>
      </c>
      <c r="AN331" s="95">
        <f>IFERROR(IF($C331="","",IF($P$15="Cascade",$R331*(1-AM331)*AL331,IF($P$15="Additionnelle",($N331-($N331*($P331+AM331)))*AL331))),"Non Trouvé")</f>
        <v/>
      </c>
      <c r="AQ331" s="99">
        <f>AQ329</f>
        <v/>
      </c>
      <c r="AR331" s="99">
        <f>AR329</f>
        <v/>
      </c>
      <c r="AS331" s="95">
        <f>IFERROR(IF($C331="","",IF($P$15="Cascade",$R331*(1-AR331)*AQ331,IF($P$15="Additionnelle",($N331-($N331*($P331+AR331)))*AQ331))),"Non Trouvé")</f>
        <v/>
      </c>
      <c r="AV331" s="99">
        <f>AV329</f>
        <v/>
      </c>
      <c r="AW331" s="99">
        <f>AW329</f>
        <v/>
      </c>
      <c r="AX331" s="95">
        <f>IFERROR(IF($C331="","",IF($P$15="Cascade",$R331*(1-AW331)*AV331,IF($P$15="Additionnelle",($N331-($N331*($P331+AW331)))*AV331))),"Non Trouvé")</f>
        <v/>
      </c>
      <c r="BA331" s="99">
        <f>BA329</f>
        <v/>
      </c>
      <c r="BB331" s="99">
        <f>BB329</f>
        <v/>
      </c>
      <c r="BC331" s="95">
        <f>IFERROR(IF($C331="","",IF($P$15="Cascade",$R331*(1-BB331)*BA331,IF($P$15="Additionnelle",($N331-($N331*($P331+BB331)))*BA331))),"Non Trouvé")</f>
        <v/>
      </c>
      <c r="BF331" s="99">
        <f>BF329</f>
        <v/>
      </c>
      <c r="BG331" s="99">
        <f>BG329</f>
        <v/>
      </c>
      <c r="BH331" s="95">
        <f>IFERROR(IF($C331="","",IF($P$15="Cascade",$R331*(1-BG331)*BF331,IF($P$15="Additionnelle",($N331-($N331*($P331+BG331)))*BF331))),"Non Trouvé")</f>
        <v/>
      </c>
      <c r="BK331" s="99">
        <f>BK329</f>
        <v/>
      </c>
      <c r="BL331" s="99">
        <f>BL329</f>
        <v/>
      </c>
      <c r="BM331" s="95">
        <f>IFERROR(IF($C331="","",IF($P$15="Cascade",$R331*(1-BL331)*BK331,IF($P$15="Additionnelle",($N331-($N331*($P331+BL331)))*BK331))),"Non Trouvé")</f>
        <v/>
      </c>
      <c r="BP331" s="99">
        <f>BP329</f>
        <v/>
      </c>
      <c r="BQ331" s="99">
        <f>BQ329</f>
        <v/>
      </c>
      <c r="BR331" s="95">
        <f>IFERROR(IF($C331="","",IF($P$15="Cascade",$R331*(1-BQ331)*BP331,IF($P$15="Additionnelle",($N331-($N331*($P331+BQ331)))*BP331))),"Non Trouvé")</f>
        <v/>
      </c>
      <c r="BU331" s="99">
        <f>BU329</f>
        <v/>
      </c>
      <c r="BV331" s="99">
        <f>BV329</f>
        <v/>
      </c>
      <c r="BW331" s="95">
        <f>IFERROR(IF($C331="","",IF($P$15="Cascade",$R331*(1-BV331)*BU331,IF($P$15="Additionnelle",($N331-($N331*($P331+BV331)))*BU331))),"Non Trouvé")</f>
        <v/>
      </c>
      <c r="BZ331" s="99">
        <f>BZ329</f>
        <v/>
      </c>
      <c r="CA331" s="99">
        <f>CA329</f>
        <v/>
      </c>
      <c r="CB331" s="95">
        <f>IFERROR(IF($C331="","",IF($P$15="Cascade",$R331*(1-CA331)*BZ331,IF($P$15="Additionnelle",($N331-($N331*($P331+CA331)))*BZ331))),"Non Trouvé")</f>
        <v/>
      </c>
      <c r="CE331" s="100" t="n"/>
      <c r="CF331" s="101" t="n"/>
      <c r="CG331" s="102" t="n"/>
      <c r="CH331" s="102" t="n"/>
      <c r="CI331" s="103" t="n"/>
      <c r="CK331" s="104">
        <f>IFERROR(IF(F331='[1]Paramètres Généraux'!$K$12,ROUNDUP((REGENERANTS!H331*REGENERANTS!$CF$329)*'[1]Paramètres Généraux'!$M$12,-1),IF(F331='[1]Paramètres Généraux'!$K$15,ROUNDUP((REGENERANTS!H331*REGENERANTS!$CF$329)*'[1]Paramètres Généraux'!$M$15,-1),REGENERANTS!H331*REGENERANTS!$CF$329)),"nd")</f>
        <v/>
      </c>
      <c r="CN331" s="171" t="n"/>
      <c r="CO331" s="172" t="n"/>
      <c r="CP331" s="172" t="n"/>
      <c r="CQ331" s="172" t="n"/>
      <c r="CR331" s="172" t="n"/>
      <c r="CS331" s="173" t="n"/>
      <c r="CT331" s="174" t="n"/>
      <c r="CU331" s="172" t="n"/>
      <c r="CV331" s="173" t="n"/>
      <c r="CW331" s="175" t="n"/>
      <c r="CX331" s="176" t="n"/>
      <c r="CY331" s="175" t="n"/>
      <c r="CZ331" s="177" t="n"/>
      <c r="DA331" s="176" t="n"/>
      <c r="DB331" s="175" t="n"/>
      <c r="DC331" s="177" t="n"/>
      <c r="DD331" s="176" t="n"/>
      <c r="DE331" s="175" t="n"/>
      <c r="DF331" s="177" t="n"/>
      <c r="DG331" s="177" t="n"/>
      <c r="DH331" s="177" t="n"/>
      <c r="DI331" s="177" t="n"/>
      <c r="DJ331" s="177" t="n"/>
      <c r="DK331" s="177" t="n"/>
      <c r="DL331" s="177" t="n"/>
      <c r="DM331" s="177" t="n"/>
      <c r="DN331" s="177" t="n"/>
      <c r="DO331" s="176" t="n"/>
      <c r="DP331" s="175" t="n"/>
      <c r="DQ331" s="20">
        <f>SUM(CN331:DP331)</f>
        <v/>
      </c>
      <c r="DR331" s="20">
        <f>SUM(CV331:DP331)</f>
        <v/>
      </c>
      <c r="DS331" s="20">
        <f>IFERROR((IF(AND($F331="Produit Vente",CO331&gt;0),VLOOKUP($C331,'[1]Paramètres Articles'!$B:$H,7,FALSE)*$CO331)*(1-20%)),0)</f>
        <v/>
      </c>
      <c r="DT331" s="20">
        <f>IFERROR((IF(AND($F331="Produit Vente",DR331&gt;0),VLOOKUP($C331,'[1]Paramètres Articles'!$B:$H,6,FALSE)*$DR331)*(1-15%)),0)</f>
        <v/>
      </c>
      <c r="DU331" s="20">
        <f>IFERROR(DQ331*J331,0)</f>
        <v/>
      </c>
    </row>
    <row r="332" ht="12.95" customHeight="1">
      <c r="B332" s="1">
        <f>IF(C332="",0,COUNTIFS($B$22:B331,"&gt;"&amp;0)+1)</f>
        <v/>
      </c>
      <c r="C332" s="90" t="n">
        <v>1020310</v>
      </c>
      <c r="D332" s="91">
        <f>IFERROR(IF($C332="","",VLOOKUP($C332,'[1]Paramètres Articles'!$B:$G,2,FALSE)),"Non Trouvé")</f>
        <v/>
      </c>
      <c r="E332" s="92">
        <f>IFERROR(IF($C332="","",_xlfn.XLOOKUP(REGENERANTS!$C332,'[1]New Base PA'!$F:$F,'[1]New Base PA'!$D:$D,"Not Found",0)),"Non Trouvé")</f>
        <v/>
      </c>
      <c r="F332" s="93" t="inlineStr">
        <is>
          <t>Produit Vente</t>
        </is>
      </c>
      <c r="H332" s="94" t="n">
        <v>6</v>
      </c>
      <c r="J332" s="95">
        <f>IFERROR(IF($C332="","",VLOOKUP($C332,'[1]New Base PA'!$F:$J,5,FALSE)),"Non Trouvé")</f>
        <v/>
      </c>
      <c r="K332" s="136">
        <f>IFERROR(IF($C332="","",$J332*$H332),"Non Trouvé")</f>
        <v/>
      </c>
      <c r="L332" s="137" t="n"/>
      <c r="M332" s="136">
        <f>IFERROR(IF(AND($F332="Produit Vente",H332&gt;0),VLOOKUP($C332,'[1]Paramètres Articles'!$B:$G,6,FALSE),0),"Non Trouvé")</f>
        <v/>
      </c>
      <c r="N332" s="136">
        <f>IFERROR(IF($C332="","",$M332*$H332),"Non Trouvé")</f>
        <v/>
      </c>
      <c r="P332" s="97" t="n">
        <v>0.15</v>
      </c>
      <c r="R332" s="95">
        <f>IFERROR(IF($C332="","",$N332*(1-$P332)),"Non Trouvé")</f>
        <v/>
      </c>
      <c r="S332" s="96" t="n"/>
      <c r="T332" s="95">
        <f>IFERROR(IF($C332="","",VLOOKUP($C332,'[1]Paramètres Articles'!$B:$H,7,FALSE)),"Non Trouvé")</f>
        <v/>
      </c>
      <c r="U332" s="98" t="n"/>
      <c r="V332" s="95">
        <f>IFERROR(IF($C332="","",IF($P332="","",$T332*(1-$P332))),"Non Trouvé")</f>
        <v/>
      </c>
      <c r="W332" s="96" t="n"/>
      <c r="X332" s="95">
        <f>IFERROR(T332-V332,"")</f>
        <v/>
      </c>
      <c r="Y332" s="96" t="n"/>
      <c r="Z332" s="95">
        <f>IFERROR(IF(OR(T332=0,T332=""),0,T332*H332),"Non Trouvé")</f>
        <v/>
      </c>
      <c r="AB332" s="99">
        <f>AB331</f>
        <v/>
      </c>
      <c r="AC332" s="99">
        <f>AC331</f>
        <v/>
      </c>
      <c r="AD332" s="95">
        <f>IFERROR(IF($C332="","",IF($P$15="Cascade",$R332*(1-AC332)*AB332,IF($P$15="Additionnelle",($N332-($N332*($P332+AC332)))*AB332))),"Non Trouvé")</f>
        <v/>
      </c>
      <c r="AG332" s="99">
        <f>AG331</f>
        <v/>
      </c>
      <c r="AH332" s="99">
        <f>AH331</f>
        <v/>
      </c>
      <c r="AI332" s="95">
        <f>IFERROR(IF($C332="","",IF($P$15="Cascade",$R332*(1-AH332)*AG332,IF($P$15="Additionnelle",($N332-($N332*($P332+AH332)))*AG332))),"Non Trouvé")</f>
        <v/>
      </c>
      <c r="AL332" s="99">
        <f>AL331</f>
        <v/>
      </c>
      <c r="AM332" s="99">
        <f>AM331</f>
        <v/>
      </c>
      <c r="AN332" s="95">
        <f>IFERROR(IF($C332="","",IF($P$15="Cascade",$R332*(1-AM332)*AL332,IF($P$15="Additionnelle",($N332-($N332*($P332+AM332)))*AL332))),"Non Trouvé")</f>
        <v/>
      </c>
      <c r="AQ332" s="99">
        <f>AQ331</f>
        <v/>
      </c>
      <c r="AR332" s="99">
        <f>AR331</f>
        <v/>
      </c>
      <c r="AS332" s="95">
        <f>IFERROR(IF($C332="","",IF($P$15="Cascade",$R332*(1-AR332)*AQ332,IF($P$15="Additionnelle",($N332-($N332*($P332+AR332)))*AQ332))),"Non Trouvé")</f>
        <v/>
      </c>
      <c r="AV332" s="99">
        <f>AV331</f>
        <v/>
      </c>
      <c r="AW332" s="99">
        <f>AW331</f>
        <v/>
      </c>
      <c r="AX332" s="95">
        <f>IFERROR(IF($C332="","",IF($P$15="Cascade",$R332*(1-AW332)*AV332,IF($P$15="Additionnelle",($N332-($N332*($P332+AW332)))*AV332))),"Non Trouvé")</f>
        <v/>
      </c>
      <c r="BA332" s="99">
        <f>BA331</f>
        <v/>
      </c>
      <c r="BB332" s="99">
        <f>BB331</f>
        <v/>
      </c>
      <c r="BC332" s="95">
        <f>IFERROR(IF($C332="","",IF($P$15="Cascade",$R332*(1-BB332)*BA332,IF($P$15="Additionnelle",($N332-($N332*($P332+BB332)))*BA332))),"Non Trouvé")</f>
        <v/>
      </c>
      <c r="BF332" s="99">
        <f>BF331</f>
        <v/>
      </c>
      <c r="BG332" s="99">
        <f>BG331</f>
        <v/>
      </c>
      <c r="BH332" s="95">
        <f>IFERROR(IF($C332="","",IF($P$15="Cascade",$R332*(1-BG332)*BF332,IF($P$15="Additionnelle",($N332-($N332*($P332+BG332)))*BF332))),"Non Trouvé")</f>
        <v/>
      </c>
      <c r="BK332" s="99">
        <f>BK331</f>
        <v/>
      </c>
      <c r="BL332" s="99">
        <f>BL331</f>
        <v/>
      </c>
      <c r="BM332" s="95">
        <f>IFERROR(IF($C332="","",IF($P$15="Cascade",$R332*(1-BL332)*BK332,IF($P$15="Additionnelle",($N332-($N332*($P332+BL332)))*BK332))),"Non Trouvé")</f>
        <v/>
      </c>
      <c r="BP332" s="99">
        <f>BP331</f>
        <v/>
      </c>
      <c r="BQ332" s="99">
        <f>BQ331</f>
        <v/>
      </c>
      <c r="BR332" s="95">
        <f>IFERROR(IF($C332="","",IF($P$15="Cascade",$R332*(1-BQ332)*BP332,IF($P$15="Additionnelle",($N332-($N332*($P332+BQ332)))*BP332))),"Non Trouvé")</f>
        <v/>
      </c>
      <c r="BU332" s="99">
        <f>BU331</f>
        <v/>
      </c>
      <c r="BV332" s="99">
        <f>BV331</f>
        <v/>
      </c>
      <c r="BW332" s="95">
        <f>IFERROR(IF($C332="","",IF($P$15="Cascade",$R332*(1-BV332)*BU332,IF($P$15="Additionnelle",($N332-($N332*($P332+BV332)))*BU332))),"Non Trouvé")</f>
        <v/>
      </c>
      <c r="BZ332" s="99">
        <f>BZ331</f>
        <v/>
      </c>
      <c r="CA332" s="99">
        <f>CA331</f>
        <v/>
      </c>
      <c r="CB332" s="95">
        <f>IFERROR(IF($C332="","",IF($P$15="Cascade",$R332*(1-CA332)*BZ332,IF($P$15="Additionnelle",($N332-($N332*($P332+CA332)))*BZ332))),"Non Trouvé")</f>
        <v/>
      </c>
      <c r="CE332" s="100" t="n"/>
      <c r="CF332" s="119" t="n"/>
      <c r="CG332" s="120" t="inlineStr">
        <is>
          <t>Prix Offre Moy. Remisé :</t>
        </is>
      </c>
      <c r="CH332" s="121">
        <f>CG329/CF329</f>
        <v/>
      </c>
      <c r="CI332" s="103" t="n"/>
      <c r="CK332" s="104">
        <f>IFERROR(IF(F332='[1]Paramètres Généraux'!$K$12,ROUNDUP((REGENERANTS!H332*REGENERANTS!$CF$329)*'[1]Paramètres Généraux'!$M$12,-1),IF(F332='[1]Paramètres Généraux'!$K$15,ROUNDUP((REGENERANTS!H332*REGENERANTS!$CF$329)*'[1]Paramètres Généraux'!$M$15,-1),REGENERANTS!H332*REGENERANTS!$CF$329)),"nd")</f>
        <v/>
      </c>
      <c r="CN332" s="105" t="n"/>
      <c r="CO332" s="106" t="n"/>
      <c r="CP332" s="106" t="n"/>
      <c r="CQ332" s="106" t="n"/>
      <c r="CR332" s="106" t="n"/>
      <c r="CS332" s="178" t="n"/>
      <c r="CT332" s="179" t="n"/>
      <c r="CU332" s="106" t="n"/>
      <c r="CV332" s="178" t="n"/>
      <c r="CW332" s="111" t="n"/>
      <c r="CX332" s="112" t="n"/>
      <c r="CY332" s="111" t="n"/>
      <c r="CZ332" s="109" t="n"/>
      <c r="DA332" s="112" t="n"/>
      <c r="DB332" s="111" t="n"/>
      <c r="DC332" s="109" t="n"/>
      <c r="DD332" s="112" t="n"/>
      <c r="DE332" s="111" t="n"/>
      <c r="DF332" s="109" t="n"/>
      <c r="DG332" s="109" t="n"/>
      <c r="DH332" s="109" t="n"/>
      <c r="DI332" s="109" t="n"/>
      <c r="DJ332" s="109" t="n"/>
      <c r="DK332" s="109" t="n"/>
      <c r="DL332" s="109" t="n"/>
      <c r="DM332" s="109" t="n"/>
      <c r="DN332" s="109" t="n"/>
      <c r="DO332" s="112" t="n"/>
      <c r="DP332" s="111" t="n"/>
      <c r="DQ332" s="20">
        <f>SUM(CN332:DP332)</f>
        <v/>
      </c>
      <c r="DR332" s="20">
        <f>SUM(CV332:DP332)</f>
        <v/>
      </c>
      <c r="DS332" s="20">
        <f>IFERROR((IF(AND($F332="Produit Vente",CO332&gt;0),VLOOKUP($C332,'[1]Paramètres Articles'!$B:$H,7,FALSE)*$CO332)*(1-20%)),0)</f>
        <v/>
      </c>
      <c r="DT332" s="20">
        <f>IFERROR((IF(AND($F332="Produit Vente",DR332&gt;0),VLOOKUP($C332,'[1]Paramètres Articles'!$B:$H,6,FALSE)*$DR332)*(1-15%)),0)</f>
        <v/>
      </c>
      <c r="DU332" s="20">
        <f>IFERROR(DQ332*J332,0)</f>
        <v/>
      </c>
    </row>
    <row r="333" ht="12.95" customHeight="1">
      <c r="B333" s="1">
        <f>IF(C333="",0,COUNTIFS($B$22:B332,"&gt;"&amp;0)+1)</f>
        <v/>
      </c>
      <c r="C333" s="90" t="n">
        <v>1020401</v>
      </c>
      <c r="D333" s="91">
        <f>IFERROR(IF($C333="","",VLOOKUP($C333,'[1]Paramètres Articles'!$B:$G,2,FALSE)),"Non Trouvé")</f>
        <v/>
      </c>
      <c r="E333" s="92">
        <f>IFERROR(IF($C333="","",_xlfn.XLOOKUP(REGENERANTS!$C333,'[1]New Base PA'!$F:$F,'[1]New Base PA'!$D:$D,"Not Found",0)),"Non Trouvé")</f>
        <v/>
      </c>
      <c r="F333" s="93" t="inlineStr">
        <is>
          <t>Produit Vente</t>
        </is>
      </c>
      <c r="H333" s="94" t="n">
        <v>8</v>
      </c>
      <c r="J333" s="95">
        <f>IFERROR(IF($C333="","",VLOOKUP($C333,'[1]New Base PA'!$F:$J,5,FALSE)),"Non Trouvé")</f>
        <v/>
      </c>
      <c r="K333" s="136">
        <f>IFERROR(IF($C333="","",$J333*$H333),"Non Trouvé")</f>
        <v/>
      </c>
      <c r="L333" s="137" t="n"/>
      <c r="M333" s="136">
        <f>IFERROR(IF(AND($F333="Produit Vente",H333&gt;0),VLOOKUP($C333,'[1]Paramètres Articles'!$B:$G,6,FALSE),0),"Non Trouvé")</f>
        <v/>
      </c>
      <c r="N333" s="136">
        <f>IFERROR(IF($C333="","",$M333*$H333),"Non Trouvé")</f>
        <v/>
      </c>
      <c r="P333" s="97" t="n">
        <v>0.15</v>
      </c>
      <c r="R333" s="95">
        <f>IFERROR(IF($C333="","",$N333*(1-$P333)),"Non Trouvé")</f>
        <v/>
      </c>
      <c r="S333" s="96" t="n"/>
      <c r="T333" s="95">
        <f>IFERROR(IF($C333="","",VLOOKUP($C333,'[1]Paramètres Articles'!$B:$H,7,FALSE)),"Non Trouvé")</f>
        <v/>
      </c>
      <c r="U333" s="98" t="n"/>
      <c r="V333" s="95">
        <f>IFERROR(IF($C333="","",IF($P333="","",$T333*(1-$P333))),"Non Trouvé")</f>
        <v/>
      </c>
      <c r="W333" s="96" t="n"/>
      <c r="X333" s="95">
        <f>IFERROR(T333-V333,"")</f>
        <v/>
      </c>
      <c r="Y333" s="96" t="n"/>
      <c r="Z333" s="95">
        <f>IFERROR(IF(OR(T333=0,T333=""),0,T333*H333),"Non Trouvé")</f>
        <v/>
      </c>
      <c r="AB333" s="99">
        <f>AB331</f>
        <v/>
      </c>
      <c r="AC333" s="99">
        <f>AC331</f>
        <v/>
      </c>
      <c r="AD333" s="95">
        <f>IFERROR(IF($C333="","",IF($P$15="Cascade",$R333*(1-AC333)*AB333,IF($P$15="Additionnelle",($N333-($N333*($P333+AC333)))*AB333))),"Non Trouvé")</f>
        <v/>
      </c>
      <c r="AG333" s="99">
        <f>AG331</f>
        <v/>
      </c>
      <c r="AH333" s="99">
        <f>AH331</f>
        <v/>
      </c>
      <c r="AI333" s="95">
        <f>IFERROR(IF($C333="","",IF($P$15="Cascade",$R333*(1-AH333)*AG333,IF($P$15="Additionnelle",($N333-($N333*($P333+AH333)))*AG333))),"Non Trouvé")</f>
        <v/>
      </c>
      <c r="AL333" s="99">
        <f>AL331</f>
        <v/>
      </c>
      <c r="AM333" s="99">
        <f>AM331</f>
        <v/>
      </c>
      <c r="AN333" s="95">
        <f>IFERROR(IF($C333="","",IF($P$15="Cascade",$R333*(1-AM333)*AL333,IF($P$15="Additionnelle",($N333-($N333*($P333+AM333)))*AL333))),"Non Trouvé")</f>
        <v/>
      </c>
      <c r="AQ333" s="99">
        <f>AQ331</f>
        <v/>
      </c>
      <c r="AR333" s="99">
        <f>AR331</f>
        <v/>
      </c>
      <c r="AS333" s="95">
        <f>IFERROR(IF($C333="","",IF($P$15="Cascade",$R333*(1-AR333)*AQ333,IF($P$15="Additionnelle",($N333-($N333*($P333+AR333)))*AQ333))),"Non Trouvé")</f>
        <v/>
      </c>
      <c r="AV333" s="99">
        <f>AV331</f>
        <v/>
      </c>
      <c r="AW333" s="99">
        <f>AW331</f>
        <v/>
      </c>
      <c r="AX333" s="95">
        <f>IFERROR(IF($C333="","",IF($P$15="Cascade",$R333*(1-AW333)*AV333,IF($P$15="Additionnelle",($N333-($N333*($P333+AW333)))*AV333))),"Non Trouvé")</f>
        <v/>
      </c>
      <c r="BA333" s="99">
        <f>BA331</f>
        <v/>
      </c>
      <c r="BB333" s="99">
        <f>BB331</f>
        <v/>
      </c>
      <c r="BC333" s="95">
        <f>IFERROR(IF($C333="","",IF($P$15="Cascade",$R333*(1-BB333)*BA333,IF($P$15="Additionnelle",($N333-($N333*($P333+BB333)))*BA333))),"Non Trouvé")</f>
        <v/>
      </c>
      <c r="BF333" s="99">
        <f>BF331</f>
        <v/>
      </c>
      <c r="BG333" s="99">
        <f>BG331</f>
        <v/>
      </c>
      <c r="BH333" s="95">
        <f>IFERROR(IF($C333="","",IF($P$15="Cascade",$R333*(1-BG333)*BF333,IF($P$15="Additionnelle",($N333-($N333*($P333+BG333)))*BF333))),"Non Trouvé")</f>
        <v/>
      </c>
      <c r="BK333" s="99">
        <f>BK331</f>
        <v/>
      </c>
      <c r="BL333" s="99">
        <f>BL331</f>
        <v/>
      </c>
      <c r="BM333" s="95">
        <f>IFERROR(IF($C333="","",IF($P$15="Cascade",$R333*(1-BL333)*BK333,IF($P$15="Additionnelle",($N333-($N333*($P333+BL333)))*BK333))),"Non Trouvé")</f>
        <v/>
      </c>
      <c r="BP333" s="99">
        <f>BP331</f>
        <v/>
      </c>
      <c r="BQ333" s="99">
        <f>BQ331</f>
        <v/>
      </c>
      <c r="BR333" s="95">
        <f>IFERROR(IF($C333="","",IF($P$15="Cascade",$R333*(1-BQ333)*BP333,IF($P$15="Additionnelle",($N333-($N333*($P333+BQ333)))*BP333))),"Non Trouvé")</f>
        <v/>
      </c>
      <c r="BU333" s="99">
        <f>BU331</f>
        <v/>
      </c>
      <c r="BV333" s="99">
        <f>BV331</f>
        <v/>
      </c>
      <c r="BW333" s="95">
        <f>IFERROR(IF($C333="","",IF($P$15="Cascade",$R333*(1-BV333)*BU333,IF($P$15="Additionnelle",($N333-($N333*($P333+BV333)))*BU333))),"Non Trouvé")</f>
        <v/>
      </c>
      <c r="BZ333" s="99">
        <f>BZ331</f>
        <v/>
      </c>
      <c r="CA333" s="99">
        <f>CA331</f>
        <v/>
      </c>
      <c r="CB333" s="95">
        <f>IFERROR(IF($C333="","",IF($P$15="Cascade",$R333*(1-CA333)*BZ333,IF($P$15="Additionnelle",($N333-($N333*($P333+CA333)))*BZ333))),"Non Trouvé")</f>
        <v/>
      </c>
      <c r="CE333" s="100" t="n"/>
      <c r="CF333" s="119" t="n"/>
      <c r="CG333" s="120" t="inlineStr">
        <is>
          <t>Poids Gratuités achats :</t>
        </is>
      </c>
      <c r="CH333" s="123">
        <f>SUM(CH335:CH338)</f>
        <v/>
      </c>
      <c r="CI333" s="103" t="n"/>
      <c r="CK333" s="104">
        <f>IFERROR(IF(F333='[1]Paramètres Généraux'!$K$12,ROUNDUP((REGENERANTS!H333*REGENERANTS!$CF$329)*'[1]Paramètres Généraux'!$M$12,-1),IF(F333='[1]Paramètres Généraux'!$K$15,ROUNDUP((REGENERANTS!H333*REGENERANTS!$CF$329)*'[1]Paramètres Généraux'!$M$15,-1),REGENERANTS!H333*REGENERANTS!$CF$329)),"nd")</f>
        <v/>
      </c>
      <c r="CN333" s="105" t="n"/>
      <c r="CO333" s="106" t="n"/>
      <c r="CP333" s="106" t="n"/>
      <c r="CQ333" s="106" t="n"/>
      <c r="CR333" s="106" t="n"/>
      <c r="CS333" s="178" t="n"/>
      <c r="CT333" s="179" t="n"/>
      <c r="CU333" s="106" t="n"/>
      <c r="CV333" s="178" t="n"/>
      <c r="CW333" s="111" t="n"/>
      <c r="CX333" s="112" t="n"/>
      <c r="CY333" s="111" t="n"/>
      <c r="CZ333" s="109" t="n"/>
      <c r="DA333" s="112" t="n"/>
      <c r="DB333" s="111" t="n"/>
      <c r="DC333" s="109" t="n"/>
      <c r="DD333" s="112" t="n"/>
      <c r="DE333" s="111" t="n"/>
      <c r="DF333" s="109" t="n"/>
      <c r="DG333" s="109" t="n"/>
      <c r="DH333" s="109" t="n"/>
      <c r="DI333" s="109" t="n"/>
      <c r="DJ333" s="109" t="n"/>
      <c r="DK333" s="109" t="n"/>
      <c r="DL333" s="109" t="n"/>
      <c r="DM333" s="109" t="n"/>
      <c r="DN333" s="109" t="n"/>
      <c r="DO333" s="112" t="n"/>
      <c r="DP333" s="111" t="n"/>
      <c r="DQ333" s="20">
        <f>SUM(CN333:DP333)</f>
        <v/>
      </c>
      <c r="DR333" s="20">
        <f>SUM(CV333:DP333)</f>
        <v/>
      </c>
      <c r="DS333" s="20">
        <f>IFERROR((IF(AND($F333="Produit Vente",CO333&gt;0),VLOOKUP($C333,'[1]Paramètres Articles'!$B:$H,7,FALSE)*$CO333)*(1-20%)),0)</f>
        <v/>
      </c>
      <c r="DT333" s="20">
        <f>IFERROR((IF(AND($F333="Produit Vente",DR333&gt;0),VLOOKUP($C333,'[1]Paramètres Articles'!$B:$H,6,FALSE)*$DR333)*(1-15%)),0)</f>
        <v/>
      </c>
      <c r="DU333" s="20">
        <f>IFERROR(DQ333*J333,0)</f>
        <v/>
      </c>
    </row>
    <row r="334" outlineLevel="1" collapsed="1" ht="12.95" customHeight="1">
      <c r="B334" s="1">
        <f>IF(C334="",0,COUNTIFS($B$22:B333,"&gt;"&amp;0)+1)</f>
        <v/>
      </c>
      <c r="C334" s="90" t="n">
        <v>1020302</v>
      </c>
      <c r="D334" s="91">
        <f>IFERROR(IF($C334="","",VLOOKUP($C334,'[1]Paramètres Articles'!$B:$G,2,FALSE)),"Non Trouvé")</f>
        <v/>
      </c>
      <c r="E334" s="92">
        <f>IFERROR(IF($C334="","",_xlfn.XLOOKUP(REGENERANTS!$C334,'[1]New Base PA'!$F:$F,'[1]New Base PA'!$D:$D,"Not Found",0)),"Non Trouvé")</f>
        <v/>
      </c>
      <c r="F334" s="93" t="inlineStr">
        <is>
          <t>Produit Vente</t>
        </is>
      </c>
      <c r="H334" s="94" t="n">
        <v>4</v>
      </c>
      <c r="J334" s="95">
        <f>IFERROR(IF($C334="","",VLOOKUP($C334,'[1]New Base PA'!$F:$J,5,FALSE)),"Non Trouvé")</f>
        <v/>
      </c>
      <c r="K334" s="136">
        <f>IFERROR(IF($C334="","",$J334*$H334),"Non Trouvé")</f>
        <v/>
      </c>
      <c r="L334" s="137" t="n"/>
      <c r="M334" s="136">
        <f>IFERROR(IF(AND($F334="Produit Vente",H334&gt;0),VLOOKUP($C334,'[1]Paramètres Articles'!$B:$G,6,FALSE),0),"Non Trouvé")</f>
        <v/>
      </c>
      <c r="N334" s="136">
        <f>IFERROR(IF($C334="","",$M334*$H334),"Non Trouvé")</f>
        <v/>
      </c>
      <c r="P334" s="97" t="n">
        <v>0.15</v>
      </c>
      <c r="R334" s="95">
        <f>IFERROR(IF($C334="","",$N334*(1-$P334)),"Non Trouvé")</f>
        <v/>
      </c>
      <c r="S334" s="96" t="n"/>
      <c r="T334" s="95">
        <f>IFERROR(IF($C334="","",VLOOKUP($C334,'[1]Paramètres Articles'!$B:$H,7,FALSE)),"Non Trouvé")</f>
        <v/>
      </c>
      <c r="U334" s="98" t="n"/>
      <c r="V334" s="95">
        <f>IFERROR(IF($C334="","",IF($P334="","",$T334*(1-$P334))),"Non Trouvé")</f>
        <v/>
      </c>
      <c r="W334" s="96" t="n"/>
      <c r="X334" s="95">
        <f>IFERROR(T334-V334,"")</f>
        <v/>
      </c>
      <c r="Y334" s="96" t="n"/>
      <c r="Z334" s="95">
        <f>IFERROR(IF(OR(T334=0,T334=""),0,T334*H334),"Non Trouvé")</f>
        <v/>
      </c>
      <c r="AB334" s="99">
        <f>AB333</f>
        <v/>
      </c>
      <c r="AC334" s="99">
        <f>AC333</f>
        <v/>
      </c>
      <c r="AD334" s="95">
        <f>IFERROR(IF($C334="","",IF($P$15="Cascade",$R334*(1-AC334)*AB334,IF($P$15="Additionnelle",($N334-($N334*($P334+AC334)))*AB334))),"Non Trouvé")</f>
        <v/>
      </c>
      <c r="AG334" s="99">
        <f>AG333</f>
        <v/>
      </c>
      <c r="AH334" s="99">
        <f>AH333</f>
        <v/>
      </c>
      <c r="AI334" s="95">
        <f>IFERROR(IF($C334="","",IF($P$15="Cascade",$R334*(1-AH334)*AG334,IF($P$15="Additionnelle",($N334-($N334*($P334+AH334)))*AG334))),"Non Trouvé")</f>
        <v/>
      </c>
      <c r="AL334" s="99">
        <f>AL333</f>
        <v/>
      </c>
      <c r="AM334" s="99">
        <f>AM333</f>
        <v/>
      </c>
      <c r="AN334" s="95">
        <f>IFERROR(IF($C334="","",IF($P$15="Cascade",$R334*(1-AM334)*AL334,IF($P$15="Additionnelle",($N334-($N334*($P334+AM334)))*AL334))),"Non Trouvé")</f>
        <v/>
      </c>
      <c r="AQ334" s="99">
        <f>AQ333</f>
        <v/>
      </c>
      <c r="AR334" s="99">
        <f>AR333</f>
        <v/>
      </c>
      <c r="AS334" s="95">
        <f>IFERROR(IF($C334="","",IF($P$15="Cascade",$R334*(1-AR334)*AQ334,IF($P$15="Additionnelle",($N334-($N334*($P334+AR334)))*AQ334))),"Non Trouvé")</f>
        <v/>
      </c>
      <c r="AV334" s="99">
        <f>AV333</f>
        <v/>
      </c>
      <c r="AW334" s="99">
        <f>AW333</f>
        <v/>
      </c>
      <c r="AX334" s="95">
        <f>IFERROR(IF($C334="","",IF($P$15="Cascade",$R334*(1-AW334)*AV334,IF($P$15="Additionnelle",($N334-($N334*($P334+AW334)))*AV334))),"Non Trouvé")</f>
        <v/>
      </c>
      <c r="BA334" s="99">
        <f>BA333</f>
        <v/>
      </c>
      <c r="BB334" s="99">
        <f>BB333</f>
        <v/>
      </c>
      <c r="BC334" s="95">
        <f>IFERROR(IF($C334="","",IF($P$15="Cascade",$R334*(1-BB334)*BA334,IF($P$15="Additionnelle",($N334-($N334*($P334+BB334)))*BA334))),"Non Trouvé")</f>
        <v/>
      </c>
      <c r="BF334" s="99">
        <f>BF333</f>
        <v/>
      </c>
      <c r="BG334" s="99">
        <f>BG333</f>
        <v/>
      </c>
      <c r="BH334" s="95">
        <f>IFERROR(IF($C334="","",IF($P$15="Cascade",$R334*(1-BG334)*BF334,IF($P$15="Additionnelle",($N334-($N334*($P334+BG334)))*BF334))),"Non Trouvé")</f>
        <v/>
      </c>
      <c r="BK334" s="99">
        <f>BK333</f>
        <v/>
      </c>
      <c r="BL334" s="99">
        <f>BL333</f>
        <v/>
      </c>
      <c r="BM334" s="95">
        <f>IFERROR(IF($C334="","",IF($P$15="Cascade",$R334*(1-BL334)*BK334,IF($P$15="Additionnelle",($N334-($N334*($P334+BL334)))*BK334))),"Non Trouvé")</f>
        <v/>
      </c>
      <c r="BP334" s="99">
        <f>BP333</f>
        <v/>
      </c>
      <c r="BQ334" s="99">
        <f>BQ333</f>
        <v/>
      </c>
      <c r="BR334" s="95">
        <f>IFERROR(IF($C334="","",IF($P$15="Cascade",$R334*(1-BQ334)*BP334,IF($P$15="Additionnelle",($N334-($N334*($P334+BQ334)))*BP334))),"Non Trouvé")</f>
        <v/>
      </c>
      <c r="BU334" s="99">
        <f>BU333</f>
        <v/>
      </c>
      <c r="BV334" s="99">
        <f>BV333</f>
        <v/>
      </c>
      <c r="BW334" s="95">
        <f>IFERROR(IF($C334="","",IF($P$15="Cascade",$R334*(1-BV334)*BU334,IF($P$15="Additionnelle",($N334-($N334*($P334+BV334)))*BU334))),"Non Trouvé")</f>
        <v/>
      </c>
      <c r="BZ334" s="99">
        <f>BZ333</f>
        <v/>
      </c>
      <c r="CA334" s="99">
        <f>CA333</f>
        <v/>
      </c>
      <c r="CB334" s="95">
        <f>IFERROR(IF($C334="","",IF($P$15="Cascade",$R334*(1-CA334)*BZ334,IF($P$15="Additionnelle",($N334-($N334*($P334+CA334)))*BZ334))),"Non Trouvé")</f>
        <v/>
      </c>
      <c r="CE334" s="100" t="n"/>
      <c r="CF334" s="101" t="n"/>
      <c r="CG334" s="102" t="n"/>
      <c r="CH334" s="102" t="n"/>
      <c r="CI334" s="103" t="n"/>
      <c r="CK334" s="104">
        <f>IFERROR(IF(F334='[1]Paramètres Généraux'!$K$12,ROUNDUP((REGENERANTS!H334*REGENERANTS!$CF$329)*'[1]Paramètres Généraux'!$M$12,-1),IF(F334='[1]Paramètres Généraux'!$K$15,ROUNDUP((REGENERANTS!H334*REGENERANTS!$CF$329)*'[1]Paramètres Généraux'!$M$15,-1),REGENERANTS!H334*REGENERANTS!$CF$329)),"nd")</f>
        <v/>
      </c>
      <c r="CN334" s="105" t="n"/>
      <c r="CO334" s="106" t="n"/>
      <c r="CP334" s="106" t="n"/>
      <c r="CQ334" s="106" t="n"/>
      <c r="CR334" s="106" t="n"/>
      <c r="CS334" s="178" t="n"/>
      <c r="CT334" s="179" t="n"/>
      <c r="CU334" s="106" t="n"/>
      <c r="CV334" s="178" t="n"/>
      <c r="CW334" s="111" t="n"/>
      <c r="CX334" s="112" t="n"/>
      <c r="CY334" s="111" t="n"/>
      <c r="CZ334" s="109" t="n"/>
      <c r="DA334" s="112" t="n"/>
      <c r="DB334" s="111" t="n"/>
      <c r="DC334" s="109" t="n"/>
      <c r="DD334" s="112" t="n"/>
      <c r="DE334" s="111" t="n"/>
      <c r="DF334" s="109" t="n"/>
      <c r="DG334" s="109" t="n"/>
      <c r="DH334" s="109" t="n"/>
      <c r="DI334" s="109" t="n"/>
      <c r="DJ334" s="109" t="n"/>
      <c r="DK334" s="109" t="n"/>
      <c r="DL334" s="109" t="n"/>
      <c r="DM334" s="109" t="n"/>
      <c r="DN334" s="109" t="n"/>
      <c r="DO334" s="112" t="n"/>
      <c r="DP334" s="111" t="n"/>
      <c r="DQ334" s="20">
        <f>SUM(CN334:DP334)</f>
        <v/>
      </c>
      <c r="DR334" s="20">
        <f>SUM(CV334:DP334)</f>
        <v/>
      </c>
      <c r="DS334" s="20">
        <f>IFERROR((IF(AND($F334="Produit Vente",CO334&gt;0),VLOOKUP($C334,'[1]Paramètres Articles'!$B:$H,7,FALSE)*$CO334)*(1-20%)),0)</f>
        <v/>
      </c>
      <c r="DT334" s="20">
        <f>IFERROR((IF(AND($F334="Produit Vente",DR334&gt;0),VLOOKUP($C334,'[1]Paramètres Articles'!$B:$H,6,FALSE)*$DR334)*(1-15%)),0)</f>
        <v/>
      </c>
      <c r="DU334" s="20">
        <f>IFERROR(DQ334*J334,0)</f>
        <v/>
      </c>
    </row>
    <row r="335" outlineLevel="1" collapsed="1" ht="12.95" customHeight="1">
      <c r="B335" s="1">
        <f>IF(C335="",0,COUNTIFS($B$22:B334,"&gt;"&amp;0)+1)</f>
        <v/>
      </c>
      <c r="C335" s="90" t="n">
        <v>1020721</v>
      </c>
      <c r="D335" s="91">
        <f>IFERROR(IF($C335="","",VLOOKUP($C335,'[1]Paramètres Articles'!$B:$G,2,FALSE)),"Non Trouvé")</f>
        <v/>
      </c>
      <c r="E335" s="92">
        <f>IFERROR(IF($C335="","",_xlfn.XLOOKUP(REGENERANTS!$C335,'[1]New Base PA'!$F:$F,'[1]New Base PA'!$D:$D,"Not Found",0)),"Non Trouvé")</f>
        <v/>
      </c>
      <c r="F335" s="93" t="inlineStr">
        <is>
          <t>Produit Vente</t>
        </is>
      </c>
      <c r="H335" s="94" t="n">
        <v>0</v>
      </c>
      <c r="J335" s="95">
        <f>IFERROR(IF($C335="","",VLOOKUP($C335,'[1]New Base PA'!$F:$J,5,FALSE)),"Non Trouvé")</f>
        <v/>
      </c>
      <c r="K335" s="136">
        <f>IFERROR(IF($C335="","",$J335*$H335),"Non Trouvé")</f>
        <v/>
      </c>
      <c r="L335" s="137" t="n"/>
      <c r="M335" s="136">
        <f>IFERROR(IF(AND($F335="Produit Vente",H335&gt;0),VLOOKUP($C335,'[1]Paramètres Articles'!$B:$G,6,FALSE),0),"Non Trouvé")</f>
        <v/>
      </c>
      <c r="N335" s="136">
        <f>IFERROR(IF($C335="","",$M335*$H335),"Non Trouvé")</f>
        <v/>
      </c>
      <c r="P335" s="97" t="n">
        <v>0.15</v>
      </c>
      <c r="R335" s="95">
        <f>IFERROR(IF($C335="","",$N335*(1-$P335)),"Non Trouvé")</f>
        <v/>
      </c>
      <c r="S335" s="96" t="n"/>
      <c r="T335" s="95">
        <f>IFERROR(IF($C335="","",VLOOKUP($C335,'[1]Paramètres Articles'!$B:$H,7,FALSE)),"Non Trouvé")</f>
        <v/>
      </c>
      <c r="U335" s="98" t="n"/>
      <c r="V335" s="95">
        <f>IFERROR(IF($C335="","",IF($P335="","",$T335*(1-$P335))),"Non Trouvé")</f>
        <v/>
      </c>
      <c r="W335" s="96" t="n"/>
      <c r="X335" s="95">
        <f>IFERROR(T335-V335,"")</f>
        <v/>
      </c>
      <c r="Y335" s="96" t="n"/>
      <c r="Z335" s="95">
        <f>IFERROR(IF(OR(T335=0,T335=""),0,T335*H335),"Non Trouvé")</f>
        <v/>
      </c>
      <c r="AB335" s="99">
        <f>AB333</f>
        <v/>
      </c>
      <c r="AC335" s="99">
        <f>AC333</f>
        <v/>
      </c>
      <c r="AD335" s="95">
        <f>IFERROR(IF($C335="","",IF($P$15="Cascade",$R335*(1-AC335)*AB335,IF($P$15="Additionnelle",($N335-($N335*($P335+AC335)))*AB335))),"Non Trouvé")</f>
        <v/>
      </c>
      <c r="AG335" s="99">
        <f>AG333</f>
        <v/>
      </c>
      <c r="AH335" s="99">
        <f>AH333</f>
        <v/>
      </c>
      <c r="AI335" s="95">
        <f>IFERROR(IF($C335="","",IF($P$15="Cascade",$R335*(1-AH335)*AG335,IF($P$15="Additionnelle",($N335-($N335*($P335+AH335)))*AG335))),"Non Trouvé")</f>
        <v/>
      </c>
      <c r="AL335" s="99">
        <f>AL333</f>
        <v/>
      </c>
      <c r="AM335" s="99">
        <f>AM333</f>
        <v/>
      </c>
      <c r="AN335" s="95">
        <f>IFERROR(IF($C335="","",IF($P$15="Cascade",$R335*(1-AM335)*AL335,IF($P$15="Additionnelle",($N335-($N335*($P335+AM335)))*AL335))),"Non Trouvé")</f>
        <v/>
      </c>
      <c r="AQ335" s="99">
        <f>AQ333</f>
        <v/>
      </c>
      <c r="AR335" s="99">
        <f>AR333</f>
        <v/>
      </c>
      <c r="AS335" s="95">
        <f>IFERROR(IF($C335="","",IF($P$15="Cascade",$R335*(1-AR335)*AQ335,IF($P$15="Additionnelle",($N335-($N335*($P335+AR335)))*AQ335))),"Non Trouvé")</f>
        <v/>
      </c>
      <c r="AV335" s="99">
        <f>AV333</f>
        <v/>
      </c>
      <c r="AW335" s="99">
        <f>AW333</f>
        <v/>
      </c>
      <c r="AX335" s="95">
        <f>IFERROR(IF($C335="","",IF($P$15="Cascade",$R335*(1-AW335)*AV335,IF($P$15="Additionnelle",($N335-($N335*($P335+AW335)))*AV335))),"Non Trouvé")</f>
        <v/>
      </c>
      <c r="BA335" s="99">
        <f>BA333</f>
        <v/>
      </c>
      <c r="BB335" s="99">
        <f>BB333</f>
        <v/>
      </c>
      <c r="BC335" s="95">
        <f>IFERROR(IF($C335="","",IF($P$15="Cascade",$R335*(1-BB335)*BA335,IF($P$15="Additionnelle",($N335-($N335*($P335+BB335)))*BA335))),"Non Trouvé")</f>
        <v/>
      </c>
      <c r="BF335" s="99">
        <f>BF333</f>
        <v/>
      </c>
      <c r="BG335" s="99">
        <f>BG333</f>
        <v/>
      </c>
      <c r="BH335" s="95">
        <f>IFERROR(IF($C335="","",IF($P$15="Cascade",$R335*(1-BG335)*BF335,IF($P$15="Additionnelle",($N335-($N335*($P335+BG335)))*BF335))),"Non Trouvé")</f>
        <v/>
      </c>
      <c r="BK335" s="99">
        <f>BK333</f>
        <v/>
      </c>
      <c r="BL335" s="99">
        <f>BL333</f>
        <v/>
      </c>
      <c r="BM335" s="95">
        <f>IFERROR(IF($C335="","",IF($P$15="Cascade",$R335*(1-BL335)*BK335,IF($P$15="Additionnelle",($N335-($N335*($P335+BL335)))*BK335))),"Non Trouvé")</f>
        <v/>
      </c>
      <c r="BP335" s="99">
        <f>BP333</f>
        <v/>
      </c>
      <c r="BQ335" s="99">
        <f>BQ333</f>
        <v/>
      </c>
      <c r="BR335" s="95">
        <f>IFERROR(IF($C335="","",IF($P$15="Cascade",$R335*(1-BQ335)*BP335,IF($P$15="Additionnelle",($N335-($N335*($P335+BQ335)))*BP335))),"Non Trouvé")</f>
        <v/>
      </c>
      <c r="BU335" s="99">
        <f>BU333</f>
        <v/>
      </c>
      <c r="BV335" s="99">
        <f>BV333</f>
        <v/>
      </c>
      <c r="BW335" s="95">
        <f>IFERROR(IF($C335="","",IF($P$15="Cascade",$R335*(1-BV335)*BU335,IF($P$15="Additionnelle",($N335-($N335*($P335+BV335)))*BU335))),"Non Trouvé")</f>
        <v/>
      </c>
      <c r="BZ335" s="99">
        <f>BZ333</f>
        <v/>
      </c>
      <c r="CA335" s="99">
        <f>CA333</f>
        <v/>
      </c>
      <c r="CB335" s="95">
        <f>IFERROR(IF($C335="","",IF($P$15="Cascade",$R335*(1-CA335)*BZ335,IF($P$15="Additionnelle",($N335-($N335*($P335+CA335)))*BZ335))),"Non Trouvé")</f>
        <v/>
      </c>
      <c r="CE335" s="100" t="n"/>
      <c r="CF335" s="101" t="n"/>
      <c r="CG335" s="93" t="inlineStr">
        <is>
          <t>UG</t>
        </is>
      </c>
      <c r="CH335" s="125">
        <f>SUMIFS(K331:K370,F331:F370,CG335)/SUMIFS(K331:K370,F331:F370,"Produit Vente")</f>
        <v/>
      </c>
      <c r="CI335" s="103" t="n"/>
      <c r="CK335" s="104">
        <f>IFERROR(IF(F335='[1]Paramètres Généraux'!$K$12,ROUNDUP((REGENERANTS!H335*REGENERANTS!$CF$329)*'[1]Paramètres Généraux'!$M$12,-1),IF(F335='[1]Paramètres Généraux'!$K$15,ROUNDUP((REGENERANTS!H335*REGENERANTS!$CF$329)*'[1]Paramètres Généraux'!$M$15,-1),REGENERANTS!H335*REGENERANTS!$CF$329)),"nd")</f>
        <v/>
      </c>
      <c r="CN335" s="105" t="n"/>
      <c r="CO335" s="106" t="n"/>
      <c r="CP335" s="106" t="n"/>
      <c r="CQ335" s="106" t="n"/>
      <c r="CR335" s="106" t="n"/>
      <c r="CS335" s="178" t="n"/>
      <c r="CT335" s="179" t="n"/>
      <c r="CU335" s="106" t="n"/>
      <c r="CV335" s="178" t="n"/>
      <c r="CW335" s="111" t="n"/>
      <c r="CX335" s="112" t="n"/>
      <c r="CY335" s="111" t="n"/>
      <c r="CZ335" s="109" t="n"/>
      <c r="DA335" s="112" t="n"/>
      <c r="DB335" s="111" t="n"/>
      <c r="DC335" s="109" t="n"/>
      <c r="DD335" s="112" t="n"/>
      <c r="DE335" s="111" t="n"/>
      <c r="DF335" s="109" t="n"/>
      <c r="DG335" s="109" t="n"/>
      <c r="DH335" s="109" t="n"/>
      <c r="DI335" s="109" t="n"/>
      <c r="DJ335" s="109" t="n"/>
      <c r="DK335" s="109" t="n"/>
      <c r="DL335" s="109" t="n"/>
      <c r="DM335" s="109" t="n"/>
      <c r="DN335" s="109" t="n"/>
      <c r="DO335" s="112" t="n"/>
      <c r="DP335" s="111" t="n"/>
      <c r="DQ335" s="20">
        <f>SUM(CN335:DP335)</f>
        <v/>
      </c>
      <c r="DR335" s="20">
        <f>SUM(CV335:DP335)</f>
        <v/>
      </c>
      <c r="DS335" s="20">
        <f>IFERROR((IF(AND($F335="Produit Vente",CO335&gt;0),VLOOKUP($C335,'[1]Paramètres Articles'!$B:$H,7,FALSE)*$CO335)*(1-20%)),0)</f>
        <v/>
      </c>
      <c r="DT335" s="20">
        <f>IFERROR((IF(AND($F335="Produit Vente",DR335&gt;0),VLOOKUP($C335,'[1]Paramètres Articles'!$B:$H,6,FALSE)*$DR335)*(1-15%)),0)</f>
        <v/>
      </c>
      <c r="DU335" s="20">
        <f>IFERROR(DQ335*J335,0)</f>
        <v/>
      </c>
    </row>
    <row r="336" outlineLevel="1" collapsed="1" ht="12.95" customHeight="1">
      <c r="B336" s="1">
        <f>IF(C336="",0,COUNTIFS($B$22:B335,"&gt;"&amp;0)+1)</f>
        <v/>
      </c>
      <c r="C336" s="90" t="n">
        <v>1020107</v>
      </c>
      <c r="D336" s="91">
        <f>IFERROR(IF($C336="","",VLOOKUP($C336,'[1]Paramètres Articles'!$B:$G,2,FALSE)),"Non Trouvé")</f>
        <v/>
      </c>
      <c r="E336" s="92">
        <f>IFERROR(IF($C336="","",_xlfn.XLOOKUP(REGENERANTS!$C336,'[1]New Base PA'!$F:$F,'[1]New Base PA'!$D:$D,"Not Found",0)),"Non Trouvé")</f>
        <v/>
      </c>
      <c r="F336" s="93" t="inlineStr">
        <is>
          <t>Produit Vente</t>
        </is>
      </c>
      <c r="H336" s="94" t="n">
        <v>3</v>
      </c>
      <c r="J336" s="95">
        <f>IFERROR(IF($C336="","",VLOOKUP($C336,'[1]New Base PA'!$F:$J,5,FALSE)),"Non Trouvé")</f>
        <v/>
      </c>
      <c r="K336" s="136">
        <f>IFERROR(IF($C336="","",$J336*$H336),"Non Trouvé")</f>
        <v/>
      </c>
      <c r="L336" s="137" t="n"/>
      <c r="M336" s="136">
        <f>IFERROR(IF(AND($F336="Produit Vente",H336&gt;0),VLOOKUP($C336,'[1]Paramètres Articles'!$B:$G,6,FALSE),0),"Non Trouvé")</f>
        <v/>
      </c>
      <c r="N336" s="136">
        <f>IFERROR(IF($C336="","",$M336*$H336),"Non Trouvé")</f>
        <v/>
      </c>
      <c r="P336" s="97" t="n">
        <v>0.15</v>
      </c>
      <c r="R336" s="95">
        <f>IFERROR(IF($C336="","",$N336*(1-$P336)),"Non Trouvé")</f>
        <v/>
      </c>
      <c r="S336" s="96" t="n"/>
      <c r="T336" s="95">
        <f>IFERROR(IF($C336="","",VLOOKUP($C336,'[1]Paramètres Articles'!$B:$H,7,FALSE)),"Non Trouvé")</f>
        <v/>
      </c>
      <c r="U336" s="98" t="n"/>
      <c r="V336" s="95">
        <f>IFERROR(IF($C336="","",IF($P336="","",$T336*(1-$P336))),"Non Trouvé")</f>
        <v/>
      </c>
      <c r="W336" s="96" t="n"/>
      <c r="X336" s="95">
        <f>IFERROR(T336-V336,"")</f>
        <v/>
      </c>
      <c r="Y336" s="96" t="n"/>
      <c r="Z336" s="95">
        <f>IFERROR(IF(OR(T336=0,T336=""),0,T336*H336),"Non Trouvé")</f>
        <v/>
      </c>
      <c r="AB336" s="99">
        <f>AB335</f>
        <v/>
      </c>
      <c r="AC336" s="99">
        <f>AC335</f>
        <v/>
      </c>
      <c r="AD336" s="95">
        <f>IFERROR(IF($C336="","",IF($P$15="Cascade",$R336*(1-AC336)*AB336,IF($P$15="Additionnelle",($N336-($N336*($P336+AC336)))*AB336))),"Non Trouvé")</f>
        <v/>
      </c>
      <c r="AG336" s="99">
        <f>AG335</f>
        <v/>
      </c>
      <c r="AH336" s="99">
        <f>AH335</f>
        <v/>
      </c>
      <c r="AI336" s="95">
        <f>IFERROR(IF($C336="","",IF($P$15="Cascade",$R336*(1-AH336)*AG336,IF($P$15="Additionnelle",($N336-($N336*($P336+AH336)))*AG336))),"Non Trouvé")</f>
        <v/>
      </c>
      <c r="AL336" s="99">
        <f>AL335</f>
        <v/>
      </c>
      <c r="AM336" s="99">
        <f>AM335</f>
        <v/>
      </c>
      <c r="AN336" s="95">
        <f>IFERROR(IF($C336="","",IF($P$15="Cascade",$R336*(1-AM336)*AL336,IF($P$15="Additionnelle",($N336-($N336*($P336+AM336)))*AL336))),"Non Trouvé")</f>
        <v/>
      </c>
      <c r="AQ336" s="99">
        <f>AQ335</f>
        <v/>
      </c>
      <c r="AR336" s="99">
        <f>AR335</f>
        <v/>
      </c>
      <c r="AS336" s="95">
        <f>IFERROR(IF($C336="","",IF($P$15="Cascade",$R336*(1-AR336)*AQ336,IF($P$15="Additionnelle",($N336-($N336*($P336+AR336)))*AQ336))),"Non Trouvé")</f>
        <v/>
      </c>
      <c r="AV336" s="99">
        <f>AV335</f>
        <v/>
      </c>
      <c r="AW336" s="99">
        <f>AW335</f>
        <v/>
      </c>
      <c r="AX336" s="95">
        <f>IFERROR(IF($C336="","",IF($P$15="Cascade",$R336*(1-AW336)*AV336,IF($P$15="Additionnelle",($N336-($N336*($P336+AW336)))*AV336))),"Non Trouvé")</f>
        <v/>
      </c>
      <c r="BA336" s="99">
        <f>BA335</f>
        <v/>
      </c>
      <c r="BB336" s="99">
        <f>BB335</f>
        <v/>
      </c>
      <c r="BC336" s="95">
        <f>IFERROR(IF($C336="","",IF($P$15="Cascade",$R336*(1-BB336)*BA336,IF($P$15="Additionnelle",($N336-($N336*($P336+BB336)))*BA336))),"Non Trouvé")</f>
        <v/>
      </c>
      <c r="BF336" s="99">
        <f>BF335</f>
        <v/>
      </c>
      <c r="BG336" s="99">
        <f>BG335</f>
        <v/>
      </c>
      <c r="BH336" s="95">
        <f>IFERROR(IF($C336="","",IF($P$15="Cascade",$R336*(1-BG336)*BF336,IF($P$15="Additionnelle",($N336-($N336*($P336+BG336)))*BF336))),"Non Trouvé")</f>
        <v/>
      </c>
      <c r="BK336" s="99">
        <f>BK335</f>
        <v/>
      </c>
      <c r="BL336" s="99">
        <f>BL335</f>
        <v/>
      </c>
      <c r="BM336" s="95">
        <f>IFERROR(IF($C336="","",IF($P$15="Cascade",$R336*(1-BL336)*BK336,IF($P$15="Additionnelle",($N336-($N336*($P336+BL336)))*BK336))),"Non Trouvé")</f>
        <v/>
      </c>
      <c r="BP336" s="99">
        <f>BP335</f>
        <v/>
      </c>
      <c r="BQ336" s="99">
        <f>BQ335</f>
        <v/>
      </c>
      <c r="BR336" s="95">
        <f>IFERROR(IF($C336="","",IF($P$15="Cascade",$R336*(1-BQ336)*BP336,IF($P$15="Additionnelle",($N336-($N336*($P336+BQ336)))*BP336))),"Non Trouvé")</f>
        <v/>
      </c>
      <c r="BU336" s="99">
        <f>BU335</f>
        <v/>
      </c>
      <c r="BV336" s="99">
        <f>BV335</f>
        <v/>
      </c>
      <c r="BW336" s="95">
        <f>IFERROR(IF($C336="","",IF($P$15="Cascade",$R336*(1-BV336)*BU336,IF($P$15="Additionnelle",($N336-($N336*($P336+BV336)))*BU336))),"Non Trouvé")</f>
        <v/>
      </c>
      <c r="BZ336" s="99">
        <f>BZ335</f>
        <v/>
      </c>
      <c r="CA336" s="99">
        <f>CA335</f>
        <v/>
      </c>
      <c r="CB336" s="95">
        <f>IFERROR(IF($C336="","",IF($P$15="Cascade",$R336*(1-CA336)*BZ336,IF($P$15="Additionnelle",($N336-($N336*($P336+CA336)))*BZ336))),"Non Trouvé")</f>
        <v/>
      </c>
      <c r="CE336" s="100" t="n"/>
      <c r="CF336" s="101" t="n"/>
      <c r="CG336" s="93" t="inlineStr">
        <is>
          <t>PLV</t>
        </is>
      </c>
      <c r="CH336" s="125">
        <f>(SUMIFS(K331:K370,F331:F370,"PLV (PDC ou autre)")+SUMIFS(K331:K370,F331:F370,"PLV (vitrine)"))/K329</f>
        <v/>
      </c>
      <c r="CI336" s="103" t="n"/>
      <c r="CK336" s="104">
        <f>IFERROR(IF(F336='[1]Paramètres Généraux'!$K$12,ROUNDUP((REGENERANTS!H336*REGENERANTS!$CF$329)*'[1]Paramètres Généraux'!$M$12,-1),IF(F336='[1]Paramètres Généraux'!$K$15,ROUNDUP((REGENERANTS!H336*REGENERANTS!$CF$329)*'[1]Paramètres Généraux'!$M$15,-1),REGENERANTS!H336*REGENERANTS!$CF$329)),"nd")</f>
        <v/>
      </c>
      <c r="CN336" s="105" t="n"/>
      <c r="CO336" s="106" t="n"/>
      <c r="CP336" s="106" t="n"/>
      <c r="CQ336" s="106" t="n"/>
      <c r="CR336" s="106" t="n"/>
      <c r="CS336" s="178" t="n"/>
      <c r="CT336" s="179" t="n"/>
      <c r="CU336" s="106" t="n"/>
      <c r="CV336" s="178" t="n"/>
      <c r="CW336" s="111" t="n"/>
      <c r="CX336" s="112" t="n"/>
      <c r="CY336" s="111" t="n"/>
      <c r="CZ336" s="109" t="n"/>
      <c r="DA336" s="112" t="n"/>
      <c r="DB336" s="111" t="n"/>
      <c r="DC336" s="109" t="n"/>
      <c r="DD336" s="112" t="n"/>
      <c r="DE336" s="111" t="n"/>
      <c r="DF336" s="109" t="n"/>
      <c r="DG336" s="109" t="n"/>
      <c r="DH336" s="109" t="n"/>
      <c r="DI336" s="109" t="n"/>
      <c r="DJ336" s="109" t="n"/>
      <c r="DK336" s="109" t="n"/>
      <c r="DL336" s="109" t="n"/>
      <c r="DM336" s="109" t="n"/>
      <c r="DN336" s="109" t="n"/>
      <c r="DO336" s="112" t="n"/>
      <c r="DP336" s="111" t="n"/>
      <c r="DQ336" s="20">
        <f>SUM(CN336:DP336)</f>
        <v/>
      </c>
      <c r="DR336" s="20">
        <f>SUM(CV336:DP336)</f>
        <v/>
      </c>
      <c r="DS336" s="20">
        <f>IFERROR((IF(AND($F336="Produit Vente",CO336&gt;0),VLOOKUP($C336,'[1]Paramètres Articles'!$B:$H,7,FALSE)*$CO336)*(1-20%)),0)</f>
        <v/>
      </c>
      <c r="DT336" s="20">
        <f>IFERROR((IF(AND($F336="Produit Vente",DR336&gt;0),VLOOKUP($C336,'[1]Paramètres Articles'!$B:$H,6,FALSE)*$DR336)*(1-15%)),0)</f>
        <v/>
      </c>
      <c r="DU336" s="20">
        <f>IFERROR(DQ336*J336,0)</f>
        <v/>
      </c>
    </row>
    <row r="337" outlineLevel="1" collapsed="1" ht="12.95" customHeight="1">
      <c r="B337" s="1">
        <f>IF(C337="",0,COUNTIFS($B$22:B336,"&gt;"&amp;0)+1)</f>
        <v/>
      </c>
      <c r="C337" s="90" t="n">
        <v>1020102</v>
      </c>
      <c r="D337" s="91">
        <f>IFERROR(IF($C337="","",VLOOKUP($C337,'[1]Paramètres Articles'!$B:$G,2,FALSE)),"Non Trouvé")</f>
        <v/>
      </c>
      <c r="E337" s="92">
        <f>IFERROR(IF($C337="","",_xlfn.XLOOKUP(REGENERANTS!$C337,'[1]New Base PA'!$F:$F,'[1]New Base PA'!$D:$D,"Not Found",0)),"Non Trouvé")</f>
        <v/>
      </c>
      <c r="F337" s="93" t="inlineStr">
        <is>
          <t>Produit Vente</t>
        </is>
      </c>
      <c r="H337" s="94" t="n">
        <v>5</v>
      </c>
      <c r="J337" s="95">
        <f>IFERROR(IF($C337="","",VLOOKUP($C337,'[1]New Base PA'!$F:$J,5,FALSE)),"Non Trouvé")</f>
        <v/>
      </c>
      <c r="K337" s="136">
        <f>IFERROR(IF($C337="","",$J337*$H337),"Non Trouvé")</f>
        <v/>
      </c>
      <c r="L337" s="137" t="n"/>
      <c r="M337" s="136">
        <f>IFERROR(IF(AND($F337="Produit Vente",H337&gt;0),VLOOKUP($C337,'[1]Paramètres Articles'!$B:$G,6,FALSE),0),"Non Trouvé")</f>
        <v/>
      </c>
      <c r="N337" s="136">
        <f>IFERROR(IF($C337="","",$M337*$H337),"Non Trouvé")</f>
        <v/>
      </c>
      <c r="P337" s="97" t="n">
        <v>0.15</v>
      </c>
      <c r="R337" s="95">
        <f>IFERROR(IF($C337="","",$N337*(1-$P337)),"Non Trouvé")</f>
        <v/>
      </c>
      <c r="S337" s="96" t="n"/>
      <c r="T337" s="95">
        <f>IFERROR(IF($C337="","",VLOOKUP($C337,'[1]Paramètres Articles'!$B:$H,7,FALSE)),"Non Trouvé")</f>
        <v/>
      </c>
      <c r="U337" s="98" t="n"/>
      <c r="V337" s="95">
        <f>IFERROR(IF($C337="","",IF($P337="","",$T337*(1-$P337))),"Non Trouvé")</f>
        <v/>
      </c>
      <c r="W337" s="96" t="n"/>
      <c r="X337" s="95">
        <f>IFERROR(T337-V337,"")</f>
        <v/>
      </c>
      <c r="Y337" s="96" t="n"/>
      <c r="Z337" s="95">
        <f>IFERROR(IF(OR(T337=0,T337=""),0,T337*H337),"Non Trouvé")</f>
        <v/>
      </c>
      <c r="AB337" s="99">
        <f>AB335</f>
        <v/>
      </c>
      <c r="AC337" s="99">
        <f>AC335</f>
        <v/>
      </c>
      <c r="AD337" s="95">
        <f>IFERROR(IF($C337="","",IF($P$15="Cascade",$R337*(1-AC337)*AB337,IF($P$15="Additionnelle",($N337-($N337*($P337+AC337)))*AB337))),"Non Trouvé")</f>
        <v/>
      </c>
      <c r="AG337" s="99">
        <f>AG335</f>
        <v/>
      </c>
      <c r="AH337" s="99">
        <f>AH335</f>
        <v/>
      </c>
      <c r="AI337" s="95">
        <f>IFERROR(IF($C337="","",IF($P$15="Cascade",$R337*(1-AH337)*AG337,IF($P$15="Additionnelle",($N337-($N337*($P337+AH337)))*AG337))),"Non Trouvé")</f>
        <v/>
      </c>
      <c r="AL337" s="99">
        <f>AL335</f>
        <v/>
      </c>
      <c r="AM337" s="99">
        <f>AM335</f>
        <v/>
      </c>
      <c r="AN337" s="95">
        <f>IFERROR(IF($C337="","",IF($P$15="Cascade",$R337*(1-AM337)*AL337,IF($P$15="Additionnelle",($N337-($N337*($P337+AM337)))*AL337))),"Non Trouvé")</f>
        <v/>
      </c>
      <c r="AQ337" s="99">
        <f>AQ335</f>
        <v/>
      </c>
      <c r="AR337" s="99">
        <f>AR335</f>
        <v/>
      </c>
      <c r="AS337" s="95">
        <f>IFERROR(IF($C337="","",IF($P$15="Cascade",$R337*(1-AR337)*AQ337,IF($P$15="Additionnelle",($N337-($N337*($P337+AR337)))*AQ337))),"Non Trouvé")</f>
        <v/>
      </c>
      <c r="AV337" s="99">
        <f>AV335</f>
        <v/>
      </c>
      <c r="AW337" s="99">
        <f>AW335</f>
        <v/>
      </c>
      <c r="AX337" s="95">
        <f>IFERROR(IF($C337="","",IF($P$15="Cascade",$R337*(1-AW337)*AV337,IF($P$15="Additionnelle",($N337-($N337*($P337+AW337)))*AV337))),"Non Trouvé")</f>
        <v/>
      </c>
      <c r="BA337" s="99">
        <f>BA335</f>
        <v/>
      </c>
      <c r="BB337" s="99">
        <f>BB335</f>
        <v/>
      </c>
      <c r="BC337" s="95">
        <f>IFERROR(IF($C337="","",IF($P$15="Cascade",$R337*(1-BB337)*BA337,IF($P$15="Additionnelle",($N337-($N337*($P337+BB337)))*BA337))),"Non Trouvé")</f>
        <v/>
      </c>
      <c r="BF337" s="99">
        <f>BF335</f>
        <v/>
      </c>
      <c r="BG337" s="99">
        <f>BG335</f>
        <v/>
      </c>
      <c r="BH337" s="95">
        <f>IFERROR(IF($C337="","",IF($P$15="Cascade",$R337*(1-BG337)*BF337,IF($P$15="Additionnelle",($N337-($N337*($P337+BG337)))*BF337))),"Non Trouvé")</f>
        <v/>
      </c>
      <c r="BK337" s="99">
        <f>BK335</f>
        <v/>
      </c>
      <c r="BL337" s="99">
        <f>BL335</f>
        <v/>
      </c>
      <c r="BM337" s="95">
        <f>IFERROR(IF($C337="","",IF($P$15="Cascade",$R337*(1-BL337)*BK337,IF($P$15="Additionnelle",($N337-($N337*($P337+BL337)))*BK337))),"Non Trouvé")</f>
        <v/>
      </c>
      <c r="BP337" s="99">
        <f>BP335</f>
        <v/>
      </c>
      <c r="BQ337" s="99">
        <f>BQ335</f>
        <v/>
      </c>
      <c r="BR337" s="95">
        <f>IFERROR(IF($C337="","",IF($P$15="Cascade",$R337*(1-BQ337)*BP337,IF($P$15="Additionnelle",($N337-($N337*($P337+BQ337)))*BP337))),"Non Trouvé")</f>
        <v/>
      </c>
      <c r="BU337" s="99">
        <f>BU335</f>
        <v/>
      </c>
      <c r="BV337" s="99">
        <f>BV335</f>
        <v/>
      </c>
      <c r="BW337" s="95">
        <f>IFERROR(IF($C337="","",IF($P$15="Cascade",$R337*(1-BV337)*BU337,IF($P$15="Additionnelle",($N337-($N337*($P337+BV337)))*BU337))),"Non Trouvé")</f>
        <v/>
      </c>
      <c r="BZ337" s="99">
        <f>BZ335</f>
        <v/>
      </c>
      <c r="CA337" s="99">
        <f>CA335</f>
        <v/>
      </c>
      <c r="CB337" s="95">
        <f>IFERROR(IF($C337="","",IF($P$15="Cascade",$R337*(1-CA337)*BZ337,IF($P$15="Additionnelle",($N337-($N337*($P337+CA337)))*BZ337))),"Non Trouvé")</f>
        <v/>
      </c>
      <c r="CE337" s="100" t="n"/>
      <c r="CF337" s="101" t="n"/>
      <c r="CG337" s="93" t="inlineStr">
        <is>
          <t>Echantillon</t>
        </is>
      </c>
      <c r="CH337" s="125">
        <f>SUMIFS(K331:K371,F331:F371,CG337)/K329</f>
        <v/>
      </c>
      <c r="CI337" s="103" t="n"/>
      <c r="CK337" s="104">
        <f>IFERROR(IF(F337='[1]Paramètres Généraux'!$K$12,ROUNDUP((REGENERANTS!H337*REGENERANTS!$CF$329)*'[1]Paramètres Généraux'!$M$12,-1),IF(F337='[1]Paramètres Généraux'!$K$15,ROUNDUP((REGENERANTS!H337*REGENERANTS!$CF$329)*'[1]Paramètres Généraux'!$M$15,-1),REGENERANTS!H337*REGENERANTS!$CF$329)),"nd")</f>
        <v/>
      </c>
      <c r="CN337" s="105" t="n"/>
      <c r="CO337" s="106" t="n"/>
      <c r="CP337" s="106" t="n"/>
      <c r="CQ337" s="106" t="n"/>
      <c r="CR337" s="106" t="n"/>
      <c r="CS337" s="178" t="n"/>
      <c r="CT337" s="179" t="n"/>
      <c r="CU337" s="106" t="n"/>
      <c r="CV337" s="178" t="n"/>
      <c r="CW337" s="111" t="n"/>
      <c r="CX337" s="112" t="n"/>
      <c r="CY337" s="111" t="n"/>
      <c r="CZ337" s="109" t="n"/>
      <c r="DA337" s="112" t="n"/>
      <c r="DB337" s="111" t="n"/>
      <c r="DC337" s="109" t="n"/>
      <c r="DD337" s="112" t="n"/>
      <c r="DE337" s="111" t="n"/>
      <c r="DF337" s="109" t="n"/>
      <c r="DG337" s="109" t="n"/>
      <c r="DH337" s="109" t="n"/>
      <c r="DI337" s="109" t="n"/>
      <c r="DJ337" s="109" t="n"/>
      <c r="DK337" s="109" t="n"/>
      <c r="DL337" s="109" t="n"/>
      <c r="DM337" s="109" t="n"/>
      <c r="DN337" s="109" t="n"/>
      <c r="DO337" s="112" t="n"/>
      <c r="DP337" s="111" t="n"/>
      <c r="DQ337" s="20">
        <f>SUM(CN337:DP337)</f>
        <v/>
      </c>
      <c r="DR337" s="20">
        <f>SUM(CV337:DP337)</f>
        <v/>
      </c>
      <c r="DS337" s="20">
        <f>IFERROR((IF(AND($F337="Produit Vente",CO337&gt;0),VLOOKUP($C337,'[1]Paramètres Articles'!$B:$H,7,FALSE)*$CO337)*(1-20%)),0)</f>
        <v/>
      </c>
      <c r="DT337" s="20">
        <f>IFERROR((IF(AND($F337="Produit Vente",DR337&gt;0),VLOOKUP($C337,'[1]Paramètres Articles'!$B:$H,6,FALSE)*$DR337)*(1-15%)),0)</f>
        <v/>
      </c>
      <c r="DU337" s="20">
        <f>IFERROR(DQ337*J337,0)</f>
        <v/>
      </c>
    </row>
    <row r="338" outlineLevel="1" collapsed="1" ht="12.95" customHeight="1">
      <c r="B338" s="1">
        <f>IF(C338="",0,COUNTIFS($B$22:B337,"&gt;"&amp;0)+1)</f>
        <v/>
      </c>
      <c r="C338" s="90" t="n">
        <v>1020722</v>
      </c>
      <c r="D338" s="91">
        <f>IFERROR(IF($C338="","",VLOOKUP($C338,'[1]Paramètres Articles'!$B:$G,2,FALSE)),"Non Trouvé")</f>
        <v/>
      </c>
      <c r="E338" s="92">
        <f>IFERROR(IF($C338="","",_xlfn.XLOOKUP(REGENERANTS!$C338,'[1]New Base PA'!$F:$F,'[1]New Base PA'!$D:$D,"Not Found",0)),"Non Trouvé")</f>
        <v/>
      </c>
      <c r="F338" s="93" t="inlineStr">
        <is>
          <t>Produit Vente</t>
        </is>
      </c>
      <c r="H338" s="94" t="n">
        <v>0</v>
      </c>
      <c r="J338" s="95">
        <f>IFERROR(IF($C338="","",VLOOKUP($C338,'[1]New Base PA'!$F:$J,5,FALSE)),"Non Trouvé")</f>
        <v/>
      </c>
      <c r="K338" s="136">
        <f>IFERROR(IF($C338="","",$J338*$H338),"Non Trouvé")</f>
        <v/>
      </c>
      <c r="L338" s="137" t="n"/>
      <c r="M338" s="136">
        <f>IFERROR(IF(AND($F338="Produit Vente",H338&gt;0),VLOOKUP($C338,'[1]Paramètres Articles'!$B:$G,6,FALSE),0),"Non Trouvé")</f>
        <v/>
      </c>
      <c r="N338" s="136">
        <f>IFERROR(IF($C338="","",$M338*$H338),"Non Trouvé")</f>
        <v/>
      </c>
      <c r="P338" s="97" t="n">
        <v>0.15</v>
      </c>
      <c r="R338" s="95">
        <f>IFERROR(IF($C338="","",$N338*(1-$P338)),"Non Trouvé")</f>
        <v/>
      </c>
      <c r="S338" s="96" t="n"/>
      <c r="T338" s="95">
        <f>IFERROR(IF($C338="","",VLOOKUP($C338,'[1]Paramètres Articles'!$B:$H,7,FALSE)),"Non Trouvé")</f>
        <v/>
      </c>
      <c r="U338" s="98" t="n"/>
      <c r="V338" s="95">
        <f>IFERROR(IF($C338="","",IF($P338="","",$T338*(1-$P338))),"Non Trouvé")</f>
        <v/>
      </c>
      <c r="W338" s="96" t="n"/>
      <c r="X338" s="95">
        <f>IFERROR(T338-V338,"")</f>
        <v/>
      </c>
      <c r="Y338" s="96" t="n"/>
      <c r="Z338" s="95">
        <f>IFERROR(IF(OR(T338=0,T338=""),0,T338*H338),"Non Trouvé")</f>
        <v/>
      </c>
      <c r="AB338" s="99">
        <f>AB337</f>
        <v/>
      </c>
      <c r="AC338" s="99">
        <f>AC337</f>
        <v/>
      </c>
      <c r="AD338" s="95">
        <f>IFERROR(IF($C338="","",IF($P$15="Cascade",$R338*(1-AC338)*AB338,IF($P$15="Additionnelle",($N338-($N338*($P338+AC338)))*AB338))),"Non Trouvé")</f>
        <v/>
      </c>
      <c r="AG338" s="99">
        <f>AG337</f>
        <v/>
      </c>
      <c r="AH338" s="99">
        <f>AH337</f>
        <v/>
      </c>
      <c r="AI338" s="95">
        <f>IFERROR(IF($C338="","",IF($P$15="Cascade",$R338*(1-AH338)*AG338,IF($P$15="Additionnelle",($N338-($N338*($P338+AH338)))*AG338))),"Non Trouvé")</f>
        <v/>
      </c>
      <c r="AL338" s="99">
        <f>AL337</f>
        <v/>
      </c>
      <c r="AM338" s="99">
        <f>AM337</f>
        <v/>
      </c>
      <c r="AN338" s="95">
        <f>IFERROR(IF($C338="","",IF($P$15="Cascade",$R338*(1-AM338)*AL338,IF($P$15="Additionnelle",($N338-($N338*($P338+AM338)))*AL338))),"Non Trouvé")</f>
        <v/>
      </c>
      <c r="AQ338" s="99">
        <f>AQ337</f>
        <v/>
      </c>
      <c r="AR338" s="99">
        <f>AR337</f>
        <v/>
      </c>
      <c r="AS338" s="95">
        <f>IFERROR(IF($C338="","",IF($P$15="Cascade",$R338*(1-AR338)*AQ338,IF($P$15="Additionnelle",($N338-($N338*($P338+AR338)))*AQ338))),"Non Trouvé")</f>
        <v/>
      </c>
      <c r="AV338" s="99">
        <f>AV337</f>
        <v/>
      </c>
      <c r="AW338" s="99">
        <f>AW337</f>
        <v/>
      </c>
      <c r="AX338" s="95">
        <f>IFERROR(IF($C338="","",IF($P$15="Cascade",$R338*(1-AW338)*AV338,IF($P$15="Additionnelle",($N338-($N338*($P338+AW338)))*AV338))),"Non Trouvé")</f>
        <v/>
      </c>
      <c r="BA338" s="99">
        <f>BA337</f>
        <v/>
      </c>
      <c r="BB338" s="99">
        <f>BB337</f>
        <v/>
      </c>
      <c r="BC338" s="95">
        <f>IFERROR(IF($C338="","",IF($P$15="Cascade",$R338*(1-BB338)*BA338,IF($P$15="Additionnelle",($N338-($N338*($P338+BB338)))*BA338))),"Non Trouvé")</f>
        <v/>
      </c>
      <c r="BF338" s="99">
        <f>BF337</f>
        <v/>
      </c>
      <c r="BG338" s="99">
        <f>BG337</f>
        <v/>
      </c>
      <c r="BH338" s="95">
        <f>IFERROR(IF($C338="","",IF($P$15="Cascade",$R338*(1-BG338)*BF338,IF($P$15="Additionnelle",($N338-($N338*($P338+BG338)))*BF338))),"Non Trouvé")</f>
        <v/>
      </c>
      <c r="BK338" s="99">
        <f>BK337</f>
        <v/>
      </c>
      <c r="BL338" s="99">
        <f>BL337</f>
        <v/>
      </c>
      <c r="BM338" s="95">
        <f>IFERROR(IF($C338="","",IF($P$15="Cascade",$R338*(1-BL338)*BK338,IF($P$15="Additionnelle",($N338-($N338*($P338+BL338)))*BK338))),"Non Trouvé")</f>
        <v/>
      </c>
      <c r="BP338" s="99">
        <f>BP337</f>
        <v/>
      </c>
      <c r="BQ338" s="99">
        <f>BQ337</f>
        <v/>
      </c>
      <c r="BR338" s="95">
        <f>IFERROR(IF($C338="","",IF($P$15="Cascade",$R338*(1-BQ338)*BP338,IF($P$15="Additionnelle",($N338-($N338*($P338+BQ338)))*BP338))),"Non Trouvé")</f>
        <v/>
      </c>
      <c r="BU338" s="99">
        <f>BU337</f>
        <v/>
      </c>
      <c r="BV338" s="99">
        <f>BV337</f>
        <v/>
      </c>
      <c r="BW338" s="95">
        <f>IFERROR(IF($C338="","",IF($P$15="Cascade",$R338*(1-BV338)*BU338,IF($P$15="Additionnelle",($N338-($N338*($P338+BV338)))*BU338))),"Non Trouvé")</f>
        <v/>
      </c>
      <c r="BZ338" s="99">
        <f>BZ337</f>
        <v/>
      </c>
      <c r="CA338" s="99">
        <f>CA337</f>
        <v/>
      </c>
      <c r="CB338" s="95">
        <f>IFERROR(IF($C338="","",IF($P$15="Cascade",$R338*(1-CA338)*BZ338,IF($P$15="Additionnelle",($N338-($N338*($P338+CA338)))*BZ338))),"Non Trouvé")</f>
        <v/>
      </c>
      <c r="CE338" s="100" t="n"/>
      <c r="CF338" s="101" t="n"/>
      <c r="CG338" s="93" t="inlineStr">
        <is>
          <t>Testeur</t>
        </is>
      </c>
      <c r="CH338" s="125">
        <f>SUMIFS(K331:K371,F331:F371,CG338)/K329</f>
        <v/>
      </c>
      <c r="CI338" s="103" t="n"/>
      <c r="CK338" s="104">
        <f>IFERROR(IF(F338='[1]Paramètres Généraux'!$K$12,ROUNDUP((REGENERANTS!H338*REGENERANTS!$CF$329)*'[1]Paramètres Généraux'!$M$12,-1),IF(F338='[1]Paramètres Généraux'!$K$15,ROUNDUP((REGENERANTS!H338*REGENERANTS!$CF$329)*'[1]Paramètres Généraux'!$M$15,-1),REGENERANTS!H338*REGENERANTS!$CF$329)),"nd")</f>
        <v/>
      </c>
      <c r="CN338" s="105" t="n"/>
      <c r="CO338" s="106" t="n"/>
      <c r="CP338" s="106" t="n"/>
      <c r="CQ338" s="106" t="n"/>
      <c r="CR338" s="106" t="n"/>
      <c r="CS338" s="178" t="n"/>
      <c r="CT338" s="179" t="n"/>
      <c r="CU338" s="106" t="n"/>
      <c r="CV338" s="178" t="n"/>
      <c r="CW338" s="111" t="n"/>
      <c r="CX338" s="112" t="n"/>
      <c r="CY338" s="111" t="n"/>
      <c r="CZ338" s="109" t="n"/>
      <c r="DA338" s="112" t="n"/>
      <c r="DB338" s="111" t="n"/>
      <c r="DC338" s="109" t="n"/>
      <c r="DD338" s="112" t="n"/>
      <c r="DE338" s="111" t="n"/>
      <c r="DF338" s="109" t="n"/>
      <c r="DG338" s="109" t="n"/>
      <c r="DH338" s="109" t="n"/>
      <c r="DI338" s="109" t="n"/>
      <c r="DJ338" s="109" t="n"/>
      <c r="DK338" s="109" t="n"/>
      <c r="DL338" s="109" t="n"/>
      <c r="DM338" s="109" t="n"/>
      <c r="DN338" s="109" t="n"/>
      <c r="DO338" s="112" t="n"/>
      <c r="DP338" s="111" t="n"/>
      <c r="DQ338" s="20">
        <f>SUM(CN338:DP338)</f>
        <v/>
      </c>
      <c r="DR338" s="20">
        <f>SUM(CV338:DP338)</f>
        <v/>
      </c>
      <c r="DS338" s="20">
        <f>IFERROR((IF(AND($F338="Produit Vente",CO338&gt;0),VLOOKUP($C338,'[1]Paramètres Articles'!$B:$H,7,FALSE)*$CO338)*(1-20%)),0)</f>
        <v/>
      </c>
      <c r="DT338" s="20">
        <f>IFERROR((IF(AND($F338="Produit Vente",DR338&gt;0),VLOOKUP($C338,'[1]Paramètres Articles'!$B:$H,6,FALSE)*$DR338)*(1-15%)),0)</f>
        <v/>
      </c>
      <c r="DU338" s="20">
        <f>IFERROR(DQ338*J338,0)</f>
        <v/>
      </c>
    </row>
    <row r="339" outlineLevel="1" collapsed="1" ht="12.95" customHeight="1">
      <c r="B339" s="1">
        <f>IF(C339="",0,COUNTIFS($B$22:B338,"&gt;"&amp;0)+1)</f>
        <v/>
      </c>
      <c r="C339" s="90" t="n">
        <v>1020719</v>
      </c>
      <c r="D339" s="91">
        <f>IFERROR(IF($C339="","",VLOOKUP($C339,'[1]Paramètres Articles'!$B:$G,2,FALSE)),"Non Trouvé")</f>
        <v/>
      </c>
      <c r="E339" s="92">
        <f>IFERROR(IF($C339="","",_xlfn.XLOOKUP(REGENERANTS!$C339,'[1]New Base PA'!$F:$F,'[1]New Base PA'!$D:$D,"Not Found",0)),"Non Trouvé")</f>
        <v/>
      </c>
      <c r="F339" s="93" t="inlineStr">
        <is>
          <t>Produit Vente</t>
        </is>
      </c>
      <c r="H339" s="94" t="n">
        <v>6</v>
      </c>
      <c r="J339" s="95">
        <f>IFERROR(IF($C339="","",VLOOKUP($C339,'[1]New Base PA'!$F:$J,5,FALSE)),"Non Trouvé")</f>
        <v/>
      </c>
      <c r="K339" s="136">
        <f>IFERROR(IF($C339="","",$J339*$H339),"Non Trouvé")</f>
        <v/>
      </c>
      <c r="L339" s="137" t="n"/>
      <c r="M339" s="136">
        <f>IFERROR(IF(AND($F339="Produit Vente",H339&gt;0),VLOOKUP($C339,'[1]Paramètres Articles'!$B:$G,6,FALSE),0),"Non Trouvé")</f>
        <v/>
      </c>
      <c r="N339" s="136">
        <f>IFERROR(IF($C339="","",$M339*$H339),"Non Trouvé")</f>
        <v/>
      </c>
      <c r="P339" s="97" t="n">
        <v>0.15</v>
      </c>
      <c r="R339" s="95">
        <f>IFERROR(IF($C339="","",$N339*(1-$P339)),"Non Trouvé")</f>
        <v/>
      </c>
      <c r="S339" s="96" t="n"/>
      <c r="T339" s="95">
        <f>IFERROR(IF($C339="","",VLOOKUP($C339,'[1]Paramètres Articles'!$B:$H,7,FALSE)),"Non Trouvé")</f>
        <v/>
      </c>
      <c r="U339" s="98" t="n"/>
      <c r="V339" s="95">
        <f>IFERROR(IF($C339="","",IF($P339="","",$T339*(1-$P339))),"Non Trouvé")</f>
        <v/>
      </c>
      <c r="W339" s="96" t="n"/>
      <c r="X339" s="95">
        <f>IFERROR(T339-V339,"")</f>
        <v/>
      </c>
      <c r="Y339" s="96" t="n"/>
      <c r="Z339" s="95">
        <f>IFERROR(IF(OR(T339=0,T339=""),0,T339*H339),"Non Trouvé")</f>
        <v/>
      </c>
      <c r="AB339" s="99">
        <f>AB337</f>
        <v/>
      </c>
      <c r="AC339" s="99">
        <f>AC337</f>
        <v/>
      </c>
      <c r="AD339" s="95">
        <f>IFERROR(IF($C339="","",IF($P$15="Cascade",$R339*(1-AC339)*AB339,IF($P$15="Additionnelle",($N339-($N339*($P339+AC339)))*AB339))),"Non Trouvé")</f>
        <v/>
      </c>
      <c r="AG339" s="99">
        <f>AG337</f>
        <v/>
      </c>
      <c r="AH339" s="99">
        <f>AH337</f>
        <v/>
      </c>
      <c r="AI339" s="95">
        <f>IFERROR(IF($C339="","",IF($P$15="Cascade",$R339*(1-AH339)*AG339,IF($P$15="Additionnelle",($N339-($N339*($P339+AH339)))*AG339))),"Non Trouvé")</f>
        <v/>
      </c>
      <c r="AL339" s="99">
        <f>AL337</f>
        <v/>
      </c>
      <c r="AM339" s="99">
        <f>AM337</f>
        <v/>
      </c>
      <c r="AN339" s="95">
        <f>IFERROR(IF($C339="","",IF($P$15="Cascade",$R339*(1-AM339)*AL339,IF($P$15="Additionnelle",($N339-($N339*($P339+AM339)))*AL339))),"Non Trouvé")</f>
        <v/>
      </c>
      <c r="AQ339" s="99">
        <f>AQ337</f>
        <v/>
      </c>
      <c r="AR339" s="99">
        <f>AR337</f>
        <v/>
      </c>
      <c r="AS339" s="95">
        <f>IFERROR(IF($C339="","",IF($P$15="Cascade",$R339*(1-AR339)*AQ339,IF($P$15="Additionnelle",($N339-($N339*($P339+AR339)))*AQ339))),"Non Trouvé")</f>
        <v/>
      </c>
      <c r="AV339" s="99">
        <f>AV337</f>
        <v/>
      </c>
      <c r="AW339" s="99">
        <f>AW337</f>
        <v/>
      </c>
      <c r="AX339" s="95">
        <f>IFERROR(IF($C339="","",IF($P$15="Cascade",$R339*(1-AW339)*AV339,IF($P$15="Additionnelle",($N339-($N339*($P339+AW339)))*AV339))),"Non Trouvé")</f>
        <v/>
      </c>
      <c r="BA339" s="99">
        <f>BA337</f>
        <v/>
      </c>
      <c r="BB339" s="99">
        <f>BB337</f>
        <v/>
      </c>
      <c r="BC339" s="95">
        <f>IFERROR(IF($C339="","",IF($P$15="Cascade",$R339*(1-BB339)*BA339,IF($P$15="Additionnelle",($N339-($N339*($P339+BB339)))*BA339))),"Non Trouvé")</f>
        <v/>
      </c>
      <c r="BF339" s="99">
        <f>BF337</f>
        <v/>
      </c>
      <c r="BG339" s="99">
        <f>BG337</f>
        <v/>
      </c>
      <c r="BH339" s="95">
        <f>IFERROR(IF($C339="","",IF($P$15="Cascade",$R339*(1-BG339)*BF339,IF($P$15="Additionnelle",($N339-($N339*($P339+BG339)))*BF339))),"Non Trouvé")</f>
        <v/>
      </c>
      <c r="BK339" s="99">
        <f>BK337</f>
        <v/>
      </c>
      <c r="BL339" s="99">
        <f>BL337</f>
        <v/>
      </c>
      <c r="BM339" s="95">
        <f>IFERROR(IF($C339="","",IF($P$15="Cascade",$R339*(1-BL339)*BK339,IF($P$15="Additionnelle",($N339-($N339*($P339+BL339)))*BK339))),"Non Trouvé")</f>
        <v/>
      </c>
      <c r="BP339" s="99">
        <f>BP337</f>
        <v/>
      </c>
      <c r="BQ339" s="99">
        <f>BQ337</f>
        <v/>
      </c>
      <c r="BR339" s="95">
        <f>IFERROR(IF($C339="","",IF($P$15="Cascade",$R339*(1-BQ339)*BP339,IF($P$15="Additionnelle",($N339-($N339*($P339+BQ339)))*BP339))),"Non Trouvé")</f>
        <v/>
      </c>
      <c r="BU339" s="99">
        <f>BU337</f>
        <v/>
      </c>
      <c r="BV339" s="99">
        <f>BV337</f>
        <v/>
      </c>
      <c r="BW339" s="95">
        <f>IFERROR(IF($C339="","",IF($P$15="Cascade",$R339*(1-BV339)*BU339,IF($P$15="Additionnelle",($N339-($N339*($P339+BV339)))*BU339))),"Non Trouvé")</f>
        <v/>
      </c>
      <c r="BZ339" s="99">
        <f>BZ337</f>
        <v/>
      </c>
      <c r="CA339" s="99">
        <f>CA337</f>
        <v/>
      </c>
      <c r="CB339" s="95">
        <f>IFERROR(IF($C339="","",IF($P$15="Cascade",$R339*(1-CA339)*BZ339,IF($P$15="Additionnelle",($N339-($N339*($P339+CA339)))*BZ339))),"Non Trouvé")</f>
        <v/>
      </c>
      <c r="CE339" s="100" t="n"/>
      <c r="CF339" s="101" t="n"/>
      <c r="CG339" s="102" t="n"/>
      <c r="CH339" s="102" t="n"/>
      <c r="CI339" s="103" t="n"/>
      <c r="CK339" s="104">
        <f>IFERROR(IF(F339='[1]Paramètres Généraux'!$K$12,ROUNDUP((REGENERANTS!H339*REGENERANTS!$CF$329)*'[1]Paramètres Généraux'!$M$12,-1),IF(F339='[1]Paramètres Généraux'!$K$15,ROUNDUP((REGENERANTS!H339*REGENERANTS!$CF$329)*'[1]Paramètres Généraux'!$M$15,-1),REGENERANTS!H339*REGENERANTS!$CF$329)),"nd")</f>
        <v/>
      </c>
      <c r="CN339" s="105" t="n"/>
      <c r="CO339" s="106" t="n"/>
      <c r="CP339" s="106" t="n"/>
      <c r="CQ339" s="106" t="n"/>
      <c r="CR339" s="106" t="n"/>
      <c r="CS339" s="178" t="n"/>
      <c r="CT339" s="179" t="n"/>
      <c r="CU339" s="106" t="n"/>
      <c r="CV339" s="178" t="n"/>
      <c r="CW339" s="111" t="n"/>
      <c r="CX339" s="112" t="n"/>
      <c r="CY339" s="111" t="n"/>
      <c r="CZ339" s="109" t="n"/>
      <c r="DA339" s="112" t="n"/>
      <c r="DB339" s="111" t="n"/>
      <c r="DC339" s="109" t="n"/>
      <c r="DD339" s="112" t="n"/>
      <c r="DE339" s="111" t="n"/>
      <c r="DF339" s="109" t="n"/>
      <c r="DG339" s="109" t="n"/>
      <c r="DH339" s="109" t="n"/>
      <c r="DI339" s="109" t="n"/>
      <c r="DJ339" s="109" t="n"/>
      <c r="DK339" s="109" t="n"/>
      <c r="DL339" s="109" t="n"/>
      <c r="DM339" s="109" t="n"/>
      <c r="DN339" s="109" t="n"/>
      <c r="DO339" s="112" t="n"/>
      <c r="DP339" s="111" t="n"/>
      <c r="DQ339" s="20">
        <f>SUM(CN339:DP339)</f>
        <v/>
      </c>
      <c r="DR339" s="20">
        <f>SUM(CV339:DP339)</f>
        <v/>
      </c>
      <c r="DS339" s="20">
        <f>IFERROR((IF(AND($F339="Produit Vente",CO339&gt;0),VLOOKUP($C339,'[1]Paramètres Articles'!$B:$H,7,FALSE)*$CO339)*(1-20%)),0)</f>
        <v/>
      </c>
      <c r="DT339" s="20">
        <f>IFERROR((IF(AND($F339="Produit Vente",DR339&gt;0),VLOOKUP($C339,'[1]Paramètres Articles'!$B:$H,6,FALSE)*$DR339)*(1-15%)),0)</f>
        <v/>
      </c>
      <c r="DU339" s="20">
        <f>IFERROR(DQ339*J339,0)</f>
        <v/>
      </c>
    </row>
    <row r="340" outlineLevel="1" collapsed="1" ht="12.95" customHeight="1">
      <c r="B340" s="1">
        <f>IF(C340="",0,COUNTIFS($B$22:B339,"&gt;"&amp;0)+1)</f>
        <v/>
      </c>
      <c r="C340" s="90" t="n">
        <v>1020717</v>
      </c>
      <c r="D340" s="91">
        <f>IFERROR(IF($C340="","",VLOOKUP($C340,'[1]Paramètres Articles'!$B:$G,2,FALSE)),"Non Trouvé")</f>
        <v/>
      </c>
      <c r="E340" s="92">
        <f>IFERROR(IF($C340="","",_xlfn.XLOOKUP(REGENERANTS!$C340,'[1]New Base PA'!$F:$F,'[1]New Base PA'!$D:$D,"Not Found",0)),"Non Trouvé")</f>
        <v/>
      </c>
      <c r="F340" s="93" t="inlineStr">
        <is>
          <t>Produit Vente</t>
        </is>
      </c>
      <c r="H340" s="94" t="n">
        <v>5</v>
      </c>
      <c r="J340" s="95">
        <f>IFERROR(IF($C340="","",VLOOKUP($C340,'[1]New Base PA'!$F:$J,5,FALSE)),"Non Trouvé")</f>
        <v/>
      </c>
      <c r="K340" s="136">
        <f>IFERROR(IF($C340="","",$J340*$H340),"Non Trouvé")</f>
        <v/>
      </c>
      <c r="L340" s="137" t="n"/>
      <c r="M340" s="136">
        <f>IFERROR(IF(AND($F340="Produit Vente",H340&gt;0),VLOOKUP($C340,'[1]Paramètres Articles'!$B:$G,6,FALSE),0),"Non Trouvé")</f>
        <v/>
      </c>
      <c r="N340" s="136">
        <f>IFERROR(IF($C340="","",$M340*$H340),"Non Trouvé")</f>
        <v/>
      </c>
      <c r="P340" s="97" t="n">
        <v>0.15</v>
      </c>
      <c r="R340" s="95">
        <f>IFERROR(IF($C340="","",$N340*(1-$P340)),"Non Trouvé")</f>
        <v/>
      </c>
      <c r="S340" s="96" t="n"/>
      <c r="T340" s="95">
        <f>IFERROR(IF($C340="","",VLOOKUP($C340,'[1]Paramètres Articles'!$B:$H,7,FALSE)),"Non Trouvé")</f>
        <v/>
      </c>
      <c r="U340" s="98" t="n"/>
      <c r="V340" s="95">
        <f>IFERROR(IF($C340="","",IF($P340="","",$T340*(1-$P340))),"Non Trouvé")</f>
        <v/>
      </c>
      <c r="W340" s="96" t="n"/>
      <c r="X340" s="95">
        <f>IFERROR(T340-V340,"")</f>
        <v/>
      </c>
      <c r="Y340" s="96" t="n"/>
      <c r="Z340" s="95">
        <f>IFERROR(IF(OR(T340=0,T340=""),0,T340*H340),"Non Trouvé")</f>
        <v/>
      </c>
      <c r="AB340" s="99">
        <f>AB339</f>
        <v/>
      </c>
      <c r="AC340" s="99">
        <f>AC339</f>
        <v/>
      </c>
      <c r="AD340" s="95">
        <f>IFERROR(IF($C340="","",IF($P$15="Cascade",$R340*(1-AC340)*AB340,IF($P$15="Additionnelle",($N340-($N340*($P340+AC340)))*AB340))),"Non Trouvé")</f>
        <v/>
      </c>
      <c r="AG340" s="99">
        <f>AG339</f>
        <v/>
      </c>
      <c r="AH340" s="99">
        <f>AH339</f>
        <v/>
      </c>
      <c r="AI340" s="95">
        <f>IFERROR(IF($C340="","",IF($P$15="Cascade",$R340*(1-AH340)*AG340,IF($P$15="Additionnelle",($N340-($N340*($P340+AH340)))*AG340))),"Non Trouvé")</f>
        <v/>
      </c>
      <c r="AL340" s="99">
        <f>AL339</f>
        <v/>
      </c>
      <c r="AM340" s="99">
        <f>AM339</f>
        <v/>
      </c>
      <c r="AN340" s="95">
        <f>IFERROR(IF($C340="","",IF($P$15="Cascade",$R340*(1-AM340)*AL340,IF($P$15="Additionnelle",($N340-($N340*($P340+AM340)))*AL340))),"Non Trouvé")</f>
        <v/>
      </c>
      <c r="AQ340" s="99">
        <f>AQ339</f>
        <v/>
      </c>
      <c r="AR340" s="99">
        <f>AR339</f>
        <v/>
      </c>
      <c r="AS340" s="95">
        <f>IFERROR(IF($C340="","",IF($P$15="Cascade",$R340*(1-AR340)*AQ340,IF($P$15="Additionnelle",($N340-($N340*($P340+AR340)))*AQ340))),"Non Trouvé")</f>
        <v/>
      </c>
      <c r="AV340" s="99">
        <f>AV339</f>
        <v/>
      </c>
      <c r="AW340" s="99">
        <f>AW339</f>
        <v/>
      </c>
      <c r="AX340" s="95">
        <f>IFERROR(IF($C340="","",IF($P$15="Cascade",$R340*(1-AW340)*AV340,IF($P$15="Additionnelle",($N340-($N340*($P340+AW340)))*AV340))),"Non Trouvé")</f>
        <v/>
      </c>
      <c r="BA340" s="99">
        <f>BA339</f>
        <v/>
      </c>
      <c r="BB340" s="99">
        <f>BB339</f>
        <v/>
      </c>
      <c r="BC340" s="95">
        <f>IFERROR(IF($C340="","",IF($P$15="Cascade",$R340*(1-BB340)*BA340,IF($P$15="Additionnelle",($N340-($N340*($P340+BB340)))*BA340))),"Non Trouvé")</f>
        <v/>
      </c>
      <c r="BF340" s="99">
        <f>BF339</f>
        <v/>
      </c>
      <c r="BG340" s="99">
        <f>BG339</f>
        <v/>
      </c>
      <c r="BH340" s="95">
        <f>IFERROR(IF($C340="","",IF($P$15="Cascade",$R340*(1-BG340)*BF340,IF($P$15="Additionnelle",($N340-($N340*($P340+BG340)))*BF340))),"Non Trouvé")</f>
        <v/>
      </c>
      <c r="BK340" s="99">
        <f>BK339</f>
        <v/>
      </c>
      <c r="BL340" s="99">
        <f>BL339</f>
        <v/>
      </c>
      <c r="BM340" s="95">
        <f>IFERROR(IF($C340="","",IF($P$15="Cascade",$R340*(1-BL340)*BK340,IF($P$15="Additionnelle",($N340-($N340*($P340+BL340)))*BK340))),"Non Trouvé")</f>
        <v/>
      </c>
      <c r="BP340" s="99">
        <f>BP339</f>
        <v/>
      </c>
      <c r="BQ340" s="99">
        <f>BQ339</f>
        <v/>
      </c>
      <c r="BR340" s="95">
        <f>IFERROR(IF($C340="","",IF($P$15="Cascade",$R340*(1-BQ340)*BP340,IF($P$15="Additionnelle",($N340-($N340*($P340+BQ340)))*BP340))),"Non Trouvé")</f>
        <v/>
      </c>
      <c r="BU340" s="99">
        <f>BU339</f>
        <v/>
      </c>
      <c r="BV340" s="99">
        <f>BV339</f>
        <v/>
      </c>
      <c r="BW340" s="95">
        <f>IFERROR(IF($C340="","",IF($P$15="Cascade",$R340*(1-BV340)*BU340,IF($P$15="Additionnelle",($N340-($N340*($P340+BV340)))*BU340))),"Non Trouvé")</f>
        <v/>
      </c>
      <c r="BZ340" s="99">
        <f>BZ339</f>
        <v/>
      </c>
      <c r="CA340" s="99">
        <f>CA339</f>
        <v/>
      </c>
      <c r="CB340" s="95">
        <f>IFERROR(IF($C340="","",IF($P$15="Cascade",$R340*(1-CA340)*BZ340,IF($P$15="Additionnelle",($N340-($N340*($P340+CA340)))*BZ340))),"Non Trouvé")</f>
        <v/>
      </c>
      <c r="CE340" s="100" t="n"/>
      <c r="CF340" s="101" t="n"/>
      <c r="CG340" s="102" t="n"/>
      <c r="CH340" s="102" t="n"/>
      <c r="CI340" s="103" t="n"/>
      <c r="CK340" s="104">
        <f>IFERROR(IF(F340='[1]Paramètres Généraux'!$K$12,ROUNDUP((REGENERANTS!H340*REGENERANTS!$CF$329)*'[1]Paramètres Généraux'!$M$12,-1),IF(F340='[1]Paramètres Généraux'!$K$15,ROUNDUP((REGENERANTS!H340*REGENERANTS!$CF$329)*'[1]Paramètres Généraux'!$M$15,-1),REGENERANTS!H340*REGENERANTS!$CF$329)),"nd")</f>
        <v/>
      </c>
      <c r="CN340" s="105" t="n"/>
      <c r="CO340" s="106" t="n"/>
      <c r="CP340" s="106" t="n"/>
      <c r="CQ340" s="106" t="n"/>
      <c r="CR340" s="106" t="n"/>
      <c r="CS340" s="178" t="n"/>
      <c r="CT340" s="179" t="n"/>
      <c r="CU340" s="106" t="n"/>
      <c r="CV340" s="178" t="n"/>
      <c r="CW340" s="111" t="n"/>
      <c r="CX340" s="112" t="n"/>
      <c r="CY340" s="111" t="n"/>
      <c r="CZ340" s="109" t="n"/>
      <c r="DA340" s="112" t="n"/>
      <c r="DB340" s="111" t="n"/>
      <c r="DC340" s="109" t="n"/>
      <c r="DD340" s="112" t="n"/>
      <c r="DE340" s="111" t="n"/>
      <c r="DF340" s="109" t="n"/>
      <c r="DG340" s="109" t="n"/>
      <c r="DH340" s="109" t="n"/>
      <c r="DI340" s="109" t="n"/>
      <c r="DJ340" s="109" t="n"/>
      <c r="DK340" s="109" t="n"/>
      <c r="DL340" s="109" t="n"/>
      <c r="DM340" s="109" t="n"/>
      <c r="DN340" s="109" t="n"/>
      <c r="DO340" s="112" t="n"/>
      <c r="DP340" s="111" t="n"/>
      <c r="DQ340" s="20">
        <f>SUM(CN340:DP340)</f>
        <v/>
      </c>
      <c r="DR340" s="20">
        <f>SUM(CV340:DP340)</f>
        <v/>
      </c>
      <c r="DS340" s="20">
        <f>IFERROR((IF(AND($F340="Produit Vente",CO340&gt;0),VLOOKUP($C340,'[1]Paramètres Articles'!$B:$H,7,FALSE)*$CO340)*(1-20%)),0)</f>
        <v/>
      </c>
      <c r="DT340" s="20">
        <f>IFERROR((IF(AND($F340="Produit Vente",DR340&gt;0),VLOOKUP($C340,'[1]Paramètres Articles'!$B:$H,6,FALSE)*$DR340)*(1-15%)),0)</f>
        <v/>
      </c>
      <c r="DU340" s="20">
        <f>IFERROR(DQ340*J340,0)</f>
        <v/>
      </c>
    </row>
    <row r="341" outlineLevel="1" collapsed="1" ht="12.95" customHeight="1">
      <c r="B341" s="1">
        <f>IF(C341="",0,COUNTIFS($B$22:B340,"&gt;"&amp;0)+1)</f>
        <v/>
      </c>
      <c r="C341" s="90" t="n">
        <v>1020718</v>
      </c>
      <c r="D341" s="91">
        <f>IFERROR(IF($C341="","",VLOOKUP($C341,'[1]Paramètres Articles'!$B:$G,2,FALSE)),"Non Trouvé")</f>
        <v/>
      </c>
      <c r="E341" s="92">
        <f>IFERROR(IF($C341="","",_xlfn.XLOOKUP(REGENERANTS!$C341,'[1]New Base PA'!$F:$F,'[1]New Base PA'!$D:$D,"Not Found",0)),"Non Trouvé")</f>
        <v/>
      </c>
      <c r="F341" s="93" t="inlineStr">
        <is>
          <t>Produit Vente</t>
        </is>
      </c>
      <c r="H341" s="94" t="n">
        <v>10</v>
      </c>
      <c r="J341" s="95">
        <f>IFERROR(IF($C341="","",VLOOKUP($C341,'[1]New Base PA'!$F:$J,5,FALSE)),"Non Trouvé")</f>
        <v/>
      </c>
      <c r="K341" s="136">
        <f>IFERROR(IF($C341="","",$J341*$H341),"Non Trouvé")</f>
        <v/>
      </c>
      <c r="L341" s="137" t="n"/>
      <c r="M341" s="136">
        <f>IFERROR(IF(AND($F341="Produit Vente",H341&gt;0),VLOOKUP($C341,'[1]Paramètres Articles'!$B:$G,6,FALSE),0),"Non Trouvé")</f>
        <v/>
      </c>
      <c r="N341" s="136">
        <f>IFERROR(IF($C341="","",$M341*$H341),"Non Trouvé")</f>
        <v/>
      </c>
      <c r="P341" s="97" t="n">
        <v>0.15</v>
      </c>
      <c r="R341" s="95">
        <f>IFERROR(IF($C341="","",$N341*(1-$P341)),"Non Trouvé")</f>
        <v/>
      </c>
      <c r="S341" s="96" t="n"/>
      <c r="T341" s="95">
        <f>IFERROR(IF($C341="","",VLOOKUP($C341,'[1]Paramètres Articles'!$B:$H,7,FALSE)),"Non Trouvé")</f>
        <v/>
      </c>
      <c r="U341" s="98" t="n"/>
      <c r="V341" s="95">
        <f>IFERROR(IF($C341="","",IF($P341="","",$T341*(1-$P341))),"Non Trouvé")</f>
        <v/>
      </c>
      <c r="W341" s="96" t="n"/>
      <c r="X341" s="95">
        <f>IFERROR(T341-V341,"")</f>
        <v/>
      </c>
      <c r="Y341" s="96" t="n"/>
      <c r="Z341" s="95">
        <f>IFERROR(IF(OR(T341=0,T341=""),0,T341*H341),"Non Trouvé")</f>
        <v/>
      </c>
      <c r="AB341" s="99">
        <f>AB339</f>
        <v/>
      </c>
      <c r="AC341" s="99">
        <f>AC339</f>
        <v/>
      </c>
      <c r="AD341" s="95">
        <f>IFERROR(IF($C341="","",IF($P$15="Cascade",$R341*(1-AC341)*AB341,IF($P$15="Additionnelle",($N341-($N341*($P341+AC341)))*AB341))),"Non Trouvé")</f>
        <v/>
      </c>
      <c r="AG341" s="99">
        <f>AG339</f>
        <v/>
      </c>
      <c r="AH341" s="99">
        <f>AH339</f>
        <v/>
      </c>
      <c r="AI341" s="95">
        <f>IFERROR(IF($C341="","",IF($P$15="Cascade",$R341*(1-AH341)*AG341,IF($P$15="Additionnelle",($N341-($N341*($P341+AH341)))*AG341))),"Non Trouvé")</f>
        <v/>
      </c>
      <c r="AL341" s="99">
        <f>AL339</f>
        <v/>
      </c>
      <c r="AM341" s="99">
        <f>AM339</f>
        <v/>
      </c>
      <c r="AN341" s="95">
        <f>IFERROR(IF($C341="","",IF($P$15="Cascade",$R341*(1-AM341)*AL341,IF($P$15="Additionnelle",($N341-($N341*($P341+AM341)))*AL341))),"Non Trouvé")</f>
        <v/>
      </c>
      <c r="AQ341" s="99">
        <f>AQ339</f>
        <v/>
      </c>
      <c r="AR341" s="99">
        <f>AR339</f>
        <v/>
      </c>
      <c r="AS341" s="95">
        <f>IFERROR(IF($C341="","",IF($P$15="Cascade",$R341*(1-AR341)*AQ341,IF($P$15="Additionnelle",($N341-($N341*($P341+AR341)))*AQ341))),"Non Trouvé")</f>
        <v/>
      </c>
      <c r="AV341" s="99">
        <f>AV339</f>
        <v/>
      </c>
      <c r="AW341" s="99">
        <f>AW339</f>
        <v/>
      </c>
      <c r="AX341" s="95">
        <f>IFERROR(IF($C341="","",IF($P$15="Cascade",$R341*(1-AW341)*AV341,IF($P$15="Additionnelle",($N341-($N341*($P341+AW341)))*AV341))),"Non Trouvé")</f>
        <v/>
      </c>
      <c r="BA341" s="99">
        <f>BA339</f>
        <v/>
      </c>
      <c r="BB341" s="99">
        <f>BB339</f>
        <v/>
      </c>
      <c r="BC341" s="95">
        <f>IFERROR(IF($C341="","",IF($P$15="Cascade",$R341*(1-BB341)*BA341,IF($P$15="Additionnelle",($N341-($N341*($P341+BB341)))*BA341))),"Non Trouvé")</f>
        <v/>
      </c>
      <c r="BF341" s="99">
        <f>BF339</f>
        <v/>
      </c>
      <c r="BG341" s="99">
        <f>BG339</f>
        <v/>
      </c>
      <c r="BH341" s="95">
        <f>IFERROR(IF($C341="","",IF($P$15="Cascade",$R341*(1-BG341)*BF341,IF($P$15="Additionnelle",($N341-($N341*($P341+BG341)))*BF341))),"Non Trouvé")</f>
        <v/>
      </c>
      <c r="BK341" s="99">
        <f>BK339</f>
        <v/>
      </c>
      <c r="BL341" s="99">
        <f>BL339</f>
        <v/>
      </c>
      <c r="BM341" s="95">
        <f>IFERROR(IF($C341="","",IF($P$15="Cascade",$R341*(1-BL341)*BK341,IF($P$15="Additionnelle",($N341-($N341*($P341+BL341)))*BK341))),"Non Trouvé")</f>
        <v/>
      </c>
      <c r="BP341" s="99">
        <f>BP339</f>
        <v/>
      </c>
      <c r="BQ341" s="99">
        <f>BQ339</f>
        <v/>
      </c>
      <c r="BR341" s="95">
        <f>IFERROR(IF($C341="","",IF($P$15="Cascade",$R341*(1-BQ341)*BP341,IF($P$15="Additionnelle",($N341-($N341*($P341+BQ341)))*BP341))),"Non Trouvé")</f>
        <v/>
      </c>
      <c r="BU341" s="99">
        <f>BU339</f>
        <v/>
      </c>
      <c r="BV341" s="99">
        <f>BV339</f>
        <v/>
      </c>
      <c r="BW341" s="95">
        <f>IFERROR(IF($C341="","",IF($P$15="Cascade",$R341*(1-BV341)*BU341,IF($P$15="Additionnelle",($N341-($N341*($P341+BV341)))*BU341))),"Non Trouvé")</f>
        <v/>
      </c>
      <c r="BZ341" s="99">
        <f>BZ339</f>
        <v/>
      </c>
      <c r="CA341" s="99">
        <f>CA339</f>
        <v/>
      </c>
      <c r="CB341" s="95">
        <f>IFERROR(IF($C341="","",IF($P$15="Cascade",$R341*(1-CA341)*BZ341,IF($P$15="Additionnelle",($N341-($N341*($P341+CA341)))*BZ341))),"Non Trouvé")</f>
        <v/>
      </c>
      <c r="CE341" s="100" t="n"/>
      <c r="CF341" s="101" t="n"/>
      <c r="CG341" s="102" t="n"/>
      <c r="CH341" s="102" t="n"/>
      <c r="CI341" s="103" t="n"/>
      <c r="CK341" s="104">
        <f>IFERROR(IF(F341='[1]Paramètres Généraux'!$K$12,ROUNDUP((REGENERANTS!H341*REGENERANTS!$CF$329)*'[1]Paramètres Généraux'!$M$12,-1),IF(F341='[1]Paramètres Généraux'!$K$15,ROUNDUP((REGENERANTS!H341*REGENERANTS!$CF$329)*'[1]Paramètres Généraux'!$M$15,-1),REGENERANTS!H341*REGENERANTS!$CF$329)),"nd")</f>
        <v/>
      </c>
      <c r="CN341" s="105" t="n"/>
      <c r="CO341" s="106" t="n"/>
      <c r="CP341" s="106" t="n"/>
      <c r="CQ341" s="106" t="n"/>
      <c r="CR341" s="106" t="n"/>
      <c r="CS341" s="178" t="n"/>
      <c r="CT341" s="179" t="n"/>
      <c r="CU341" s="106" t="n"/>
      <c r="CV341" s="178" t="n"/>
      <c r="CW341" s="111" t="n"/>
      <c r="CX341" s="112" t="n"/>
      <c r="CY341" s="111" t="n"/>
      <c r="CZ341" s="109" t="n"/>
      <c r="DA341" s="112" t="n"/>
      <c r="DB341" s="111" t="n"/>
      <c r="DC341" s="109" t="n"/>
      <c r="DD341" s="112" t="n"/>
      <c r="DE341" s="111" t="n"/>
      <c r="DF341" s="109" t="n"/>
      <c r="DG341" s="109" t="n"/>
      <c r="DH341" s="109" t="n"/>
      <c r="DI341" s="109" t="n"/>
      <c r="DJ341" s="109" t="n"/>
      <c r="DK341" s="109" t="n"/>
      <c r="DL341" s="109" t="n"/>
      <c r="DM341" s="109" t="n"/>
      <c r="DN341" s="109" t="n"/>
      <c r="DO341" s="112" t="n"/>
      <c r="DP341" s="111" t="n"/>
      <c r="DQ341" s="20">
        <f>SUM(CN341:DP341)</f>
        <v/>
      </c>
      <c r="DR341" s="20">
        <f>SUM(CV341:DP341)</f>
        <v/>
      </c>
      <c r="DS341" s="20">
        <f>IFERROR((IF(AND($F341="Produit Vente",CO341&gt;0),VLOOKUP($C341,'[1]Paramètres Articles'!$B:$H,7,FALSE)*$CO341)*(1-20%)),0)</f>
        <v/>
      </c>
      <c r="DT341" s="20">
        <f>IFERROR((IF(AND($F341="Produit Vente",DR341&gt;0),VLOOKUP($C341,'[1]Paramètres Articles'!$B:$H,6,FALSE)*$DR341)*(1-15%)),0)</f>
        <v/>
      </c>
      <c r="DU341" s="20">
        <f>IFERROR(DQ341*J341,0)</f>
        <v/>
      </c>
    </row>
    <row r="342" outlineLevel="1" collapsed="1" ht="12.95" customHeight="1">
      <c r="B342" s="1">
        <f>IF(C342="",0,COUNTIFS($B$22:B341,"&gt;"&amp;0)+1)</f>
        <v/>
      </c>
      <c r="C342" s="90" t="n">
        <v>1020301</v>
      </c>
      <c r="D342" s="91">
        <f>IFERROR(IF($C342="","",VLOOKUP($C342,'[1]Paramètres Articles'!$B:$G,2,FALSE)),"Non Trouvé")</f>
        <v/>
      </c>
      <c r="E342" s="92">
        <f>IFERROR(IF($C342="","",_xlfn.XLOOKUP(REGENERANTS!$C342,'[1]New Base PA'!$F:$F,'[1]New Base PA'!$D:$D,"Not Found",0)),"Non Trouvé")</f>
        <v/>
      </c>
      <c r="F342" s="93" t="inlineStr">
        <is>
          <t>Produit Vente</t>
        </is>
      </c>
      <c r="H342" s="94" t="n">
        <v>15</v>
      </c>
      <c r="J342" s="95">
        <f>IFERROR(IF($C342="","",VLOOKUP($C342,'[1]New Base PA'!$F:$J,5,FALSE)),"Non Trouvé")</f>
        <v/>
      </c>
      <c r="K342" s="136">
        <f>IFERROR(IF($C342="","",$J342*$H342),"Non Trouvé")</f>
        <v/>
      </c>
      <c r="L342" s="137" t="n"/>
      <c r="M342" s="136">
        <f>IFERROR(IF(AND($F342="Produit Vente",H342&gt;0),VLOOKUP($C342,'[1]Paramètres Articles'!$B:$G,6,FALSE),0),"Non Trouvé")</f>
        <v/>
      </c>
      <c r="N342" s="136">
        <f>IFERROR(IF($C342="","",$M342*$H342),"Non Trouvé")</f>
        <v/>
      </c>
      <c r="P342" s="97" t="n">
        <v>0.15</v>
      </c>
      <c r="R342" s="95">
        <f>IFERROR(IF($C342="","",$N342*(1-$P342)),"Non Trouvé")</f>
        <v/>
      </c>
      <c r="S342" s="96" t="n"/>
      <c r="T342" s="95">
        <f>IFERROR(IF($C342="","",VLOOKUP($C342,'[1]Paramètres Articles'!$B:$H,7,FALSE)),"Non Trouvé")</f>
        <v/>
      </c>
      <c r="U342" s="98" t="n"/>
      <c r="V342" s="95">
        <f>IFERROR(IF($C342="","",IF($P342="","",$T342*(1-$P342))),"Non Trouvé")</f>
        <v/>
      </c>
      <c r="W342" s="96" t="n"/>
      <c r="X342" s="95">
        <f>IFERROR(T342-V342,"")</f>
        <v/>
      </c>
      <c r="Y342" s="96" t="n"/>
      <c r="Z342" s="95">
        <f>IFERROR(IF(OR(T342=0,T342=""),0,T342*H342),"Non Trouvé")</f>
        <v/>
      </c>
      <c r="AB342" s="99">
        <f>AB341</f>
        <v/>
      </c>
      <c r="AC342" s="99">
        <f>AC341</f>
        <v/>
      </c>
      <c r="AD342" s="95">
        <f>IFERROR(IF($C342="","",IF($P$15="Cascade",$R342*(1-AC342)*AB342,IF($P$15="Additionnelle",($N342-($N342*($P342+AC342)))*AB342))),"Non Trouvé")</f>
        <v/>
      </c>
      <c r="AG342" s="99">
        <f>AG341</f>
        <v/>
      </c>
      <c r="AH342" s="99">
        <f>AH341</f>
        <v/>
      </c>
      <c r="AI342" s="95">
        <f>IFERROR(IF($C342="","",IF($P$15="Cascade",$R342*(1-AH342)*AG342,IF($P$15="Additionnelle",($N342-($N342*($P342+AH342)))*AG342))),"Non Trouvé")</f>
        <v/>
      </c>
      <c r="AL342" s="99">
        <f>AL341</f>
        <v/>
      </c>
      <c r="AM342" s="99">
        <f>AM341</f>
        <v/>
      </c>
      <c r="AN342" s="95">
        <f>IFERROR(IF($C342="","",IF($P$15="Cascade",$R342*(1-AM342)*AL342,IF($P$15="Additionnelle",($N342-($N342*($P342+AM342)))*AL342))),"Non Trouvé")</f>
        <v/>
      </c>
      <c r="AQ342" s="99">
        <f>AQ341</f>
        <v/>
      </c>
      <c r="AR342" s="99">
        <f>AR341</f>
        <v/>
      </c>
      <c r="AS342" s="95">
        <f>IFERROR(IF($C342="","",IF($P$15="Cascade",$R342*(1-AR342)*AQ342,IF($P$15="Additionnelle",($N342-($N342*($P342+AR342)))*AQ342))),"Non Trouvé")</f>
        <v/>
      </c>
      <c r="AV342" s="99">
        <f>AV341</f>
        <v/>
      </c>
      <c r="AW342" s="99">
        <f>AW341</f>
        <v/>
      </c>
      <c r="AX342" s="95">
        <f>IFERROR(IF($C342="","",IF($P$15="Cascade",$R342*(1-AW342)*AV342,IF($P$15="Additionnelle",($N342-($N342*($P342+AW342)))*AV342))),"Non Trouvé")</f>
        <v/>
      </c>
      <c r="BA342" s="99">
        <f>BA341</f>
        <v/>
      </c>
      <c r="BB342" s="99">
        <f>BB341</f>
        <v/>
      </c>
      <c r="BC342" s="95">
        <f>IFERROR(IF($C342="","",IF($P$15="Cascade",$R342*(1-BB342)*BA342,IF($P$15="Additionnelle",($N342-($N342*($P342+BB342)))*BA342))),"Non Trouvé")</f>
        <v/>
      </c>
      <c r="BF342" s="99">
        <f>BF341</f>
        <v/>
      </c>
      <c r="BG342" s="99">
        <f>BG341</f>
        <v/>
      </c>
      <c r="BH342" s="95">
        <f>IFERROR(IF($C342="","",IF($P$15="Cascade",$R342*(1-BG342)*BF342,IF($P$15="Additionnelle",($N342-($N342*($P342+BG342)))*BF342))),"Non Trouvé")</f>
        <v/>
      </c>
      <c r="BK342" s="99">
        <f>BK341</f>
        <v/>
      </c>
      <c r="BL342" s="99">
        <f>BL341</f>
        <v/>
      </c>
      <c r="BM342" s="95">
        <f>IFERROR(IF($C342="","",IF($P$15="Cascade",$R342*(1-BL342)*BK342,IF($P$15="Additionnelle",($N342-($N342*($P342+BL342)))*BK342))),"Non Trouvé")</f>
        <v/>
      </c>
      <c r="BP342" s="99">
        <f>BP341</f>
        <v/>
      </c>
      <c r="BQ342" s="99">
        <f>BQ341</f>
        <v/>
      </c>
      <c r="BR342" s="95">
        <f>IFERROR(IF($C342="","",IF($P$15="Cascade",$R342*(1-BQ342)*BP342,IF($P$15="Additionnelle",($N342-($N342*($P342+BQ342)))*BP342))),"Non Trouvé")</f>
        <v/>
      </c>
      <c r="BU342" s="99">
        <f>BU341</f>
        <v/>
      </c>
      <c r="BV342" s="99">
        <f>BV341</f>
        <v/>
      </c>
      <c r="BW342" s="95">
        <f>IFERROR(IF($C342="","",IF($P$15="Cascade",$R342*(1-BV342)*BU342,IF($P$15="Additionnelle",($N342-($N342*($P342+BV342)))*BU342))),"Non Trouvé")</f>
        <v/>
      </c>
      <c r="BZ342" s="99">
        <f>BZ341</f>
        <v/>
      </c>
      <c r="CA342" s="99">
        <f>CA341</f>
        <v/>
      </c>
      <c r="CB342" s="95">
        <f>IFERROR(IF($C342="","",IF($P$15="Cascade",$R342*(1-CA342)*BZ342,IF($P$15="Additionnelle",($N342-($N342*($P342+CA342)))*BZ342))),"Non Trouvé")</f>
        <v/>
      </c>
      <c r="CE342" s="100" t="n"/>
      <c r="CF342" s="133" t="n"/>
      <c r="CG342" s="102" t="n"/>
      <c r="CH342" s="102" t="n"/>
      <c r="CI342" s="103" t="n"/>
      <c r="CK342" s="104">
        <f>IFERROR(IF(F342='[1]Paramètres Généraux'!$K$12,ROUNDUP((REGENERANTS!H342*REGENERANTS!$CF$329)*'[1]Paramètres Généraux'!$M$12,-1),IF(F342='[1]Paramètres Généraux'!$K$15,ROUNDUP((REGENERANTS!H342*REGENERANTS!$CF$329)*'[1]Paramètres Généraux'!$M$15,-1),REGENERANTS!H342*REGENERANTS!$CF$329)),"nd")</f>
        <v/>
      </c>
      <c r="CN342" s="105" t="n"/>
      <c r="CO342" s="106" t="n"/>
      <c r="CP342" s="106" t="n"/>
      <c r="CQ342" s="106" t="n"/>
      <c r="CR342" s="106" t="n"/>
      <c r="CS342" s="178" t="n"/>
      <c r="CT342" s="179" t="n"/>
      <c r="CU342" s="106" t="n"/>
      <c r="CV342" s="178" t="n"/>
      <c r="CW342" s="111" t="n"/>
      <c r="CX342" s="112" t="n"/>
      <c r="CY342" s="111" t="n"/>
      <c r="CZ342" s="109" t="n"/>
      <c r="DA342" s="112" t="n"/>
      <c r="DB342" s="111" t="n"/>
      <c r="DC342" s="109" t="n"/>
      <c r="DD342" s="112" t="n"/>
      <c r="DE342" s="111" t="n"/>
      <c r="DF342" s="109" t="n"/>
      <c r="DG342" s="109" t="n"/>
      <c r="DH342" s="109" t="n"/>
      <c r="DI342" s="109" t="n"/>
      <c r="DJ342" s="109" t="n"/>
      <c r="DK342" s="109" t="n"/>
      <c r="DL342" s="109" t="n"/>
      <c r="DM342" s="109" t="n"/>
      <c r="DN342" s="109" t="n"/>
      <c r="DO342" s="112" t="n"/>
      <c r="DP342" s="111" t="n"/>
      <c r="DQ342" s="20">
        <f>SUM(CN342:DP342)</f>
        <v/>
      </c>
      <c r="DR342" s="20">
        <f>SUM(CV342:DP342)</f>
        <v/>
      </c>
      <c r="DS342" s="20">
        <f>IFERROR((IF(AND($F342="Produit Vente",CO342&gt;0),VLOOKUP($C342,'[1]Paramètres Articles'!$B:$H,7,FALSE)*$CO342)*(1-20%)),0)</f>
        <v/>
      </c>
      <c r="DT342" s="20">
        <f>IFERROR((IF(AND($F342="Produit Vente",DR342&gt;0),VLOOKUP($C342,'[1]Paramètres Articles'!$B:$H,6,FALSE)*$DR342)*(1-15%)),0)</f>
        <v/>
      </c>
      <c r="DU342" s="20">
        <f>IFERROR(DQ342*J342,0)</f>
        <v/>
      </c>
    </row>
    <row r="343" outlineLevel="1" collapsed="1" ht="12.95" customHeight="1">
      <c r="B343" s="1">
        <f>IF(C343="",0,COUNTIFS($B$22:B342,"&gt;"&amp;0)+1)</f>
        <v/>
      </c>
      <c r="C343" s="90" t="n">
        <v>1020720</v>
      </c>
      <c r="D343" s="91">
        <f>IFERROR(IF($C343="","",VLOOKUP($C343,'[1]Paramètres Articles'!$B:$G,2,FALSE)),"Non Trouvé")</f>
        <v/>
      </c>
      <c r="E343" s="92">
        <f>IFERROR(IF($C343="","",_xlfn.XLOOKUP(REGENERANTS!$C343,'[1]New Base PA'!$F:$F,'[1]New Base PA'!$D:$D,"Not Found",0)),"Non Trouvé")</f>
        <v/>
      </c>
      <c r="F343" s="93" t="inlineStr">
        <is>
          <t>Produit Vente</t>
        </is>
      </c>
      <c r="H343" s="94" t="n">
        <v>15</v>
      </c>
      <c r="J343" s="95">
        <f>IFERROR(IF($C343="","",VLOOKUP($C343,'[1]New Base PA'!$F:$J,5,FALSE)),"Non Trouvé")</f>
        <v/>
      </c>
      <c r="K343" s="136">
        <f>IFERROR(IF($C343="","",$J343*$H343),"Non Trouvé")</f>
        <v/>
      </c>
      <c r="L343" s="137" t="n"/>
      <c r="M343" s="136">
        <f>IFERROR(IF(AND($F343="Produit Vente",H343&gt;0),VLOOKUP($C343,'[1]Paramètres Articles'!$B:$G,6,FALSE),0),"Non Trouvé")</f>
        <v/>
      </c>
      <c r="N343" s="136">
        <f>IFERROR(IF($C343="","",$M343*$H343),"Non Trouvé")</f>
        <v/>
      </c>
      <c r="P343" s="97" t="n">
        <v>0.15</v>
      </c>
      <c r="R343" s="95">
        <f>IFERROR(IF($C343="","",$N343*(1-$P343)),"Non Trouvé")</f>
        <v/>
      </c>
      <c r="S343" s="96" t="n"/>
      <c r="T343" s="95">
        <f>IFERROR(IF($C343="","",VLOOKUP($C343,'[1]Paramètres Articles'!$B:$H,7,FALSE)),"Non Trouvé")</f>
        <v/>
      </c>
      <c r="U343" s="98" t="n"/>
      <c r="V343" s="95">
        <f>IFERROR(IF($C343="","",IF($P343="","",$T343*(1-$P343))),"Non Trouvé")</f>
        <v/>
      </c>
      <c r="W343" s="96" t="n"/>
      <c r="X343" s="95">
        <f>IFERROR(T343-V343,"")</f>
        <v/>
      </c>
      <c r="Y343" s="96" t="n"/>
      <c r="Z343" s="95">
        <f>IFERROR(IF(OR(T343=0,T343=""),0,T343*H343),"Non Trouvé")</f>
        <v/>
      </c>
      <c r="AB343" s="99">
        <f>AB341</f>
        <v/>
      </c>
      <c r="AC343" s="99">
        <f>AC341</f>
        <v/>
      </c>
      <c r="AD343" s="95">
        <f>IFERROR(IF($C343="","",IF($P$15="Cascade",$R343*(1-AC343)*AB343,IF($P$15="Additionnelle",($N343-($N343*($P343+AC343)))*AB343))),"Non Trouvé")</f>
        <v/>
      </c>
      <c r="AG343" s="99">
        <f>AG341</f>
        <v/>
      </c>
      <c r="AH343" s="99">
        <f>AH341</f>
        <v/>
      </c>
      <c r="AI343" s="95">
        <f>IFERROR(IF($C343="","",IF($P$15="Cascade",$R343*(1-AH343)*AG343,IF($P$15="Additionnelle",($N343-($N343*($P343+AH343)))*AG343))),"Non Trouvé")</f>
        <v/>
      </c>
      <c r="AL343" s="99">
        <f>AL341</f>
        <v/>
      </c>
      <c r="AM343" s="99">
        <f>AM341</f>
        <v/>
      </c>
      <c r="AN343" s="95">
        <f>IFERROR(IF($C343="","",IF($P$15="Cascade",$R343*(1-AM343)*AL343,IF($P$15="Additionnelle",($N343-($N343*($P343+AM343)))*AL343))),"Non Trouvé")</f>
        <v/>
      </c>
      <c r="AQ343" s="99">
        <f>AQ341</f>
        <v/>
      </c>
      <c r="AR343" s="99">
        <f>AR341</f>
        <v/>
      </c>
      <c r="AS343" s="95">
        <f>IFERROR(IF($C343="","",IF($P$15="Cascade",$R343*(1-AR343)*AQ343,IF($P$15="Additionnelle",($N343-($N343*($P343+AR343)))*AQ343))),"Non Trouvé")</f>
        <v/>
      </c>
      <c r="AV343" s="99">
        <f>AV341</f>
        <v/>
      </c>
      <c r="AW343" s="99">
        <f>AW341</f>
        <v/>
      </c>
      <c r="AX343" s="95">
        <f>IFERROR(IF($C343="","",IF($P$15="Cascade",$R343*(1-AW343)*AV343,IF($P$15="Additionnelle",($N343-($N343*($P343+AW343)))*AV343))),"Non Trouvé")</f>
        <v/>
      </c>
      <c r="BA343" s="99">
        <f>BA341</f>
        <v/>
      </c>
      <c r="BB343" s="99">
        <f>BB341</f>
        <v/>
      </c>
      <c r="BC343" s="95">
        <f>IFERROR(IF($C343="","",IF($P$15="Cascade",$R343*(1-BB343)*BA343,IF($P$15="Additionnelle",($N343-($N343*($P343+BB343)))*BA343))),"Non Trouvé")</f>
        <v/>
      </c>
      <c r="BF343" s="99">
        <f>BF341</f>
        <v/>
      </c>
      <c r="BG343" s="99">
        <f>BG341</f>
        <v/>
      </c>
      <c r="BH343" s="95">
        <f>IFERROR(IF($C343="","",IF($P$15="Cascade",$R343*(1-BG343)*BF343,IF($P$15="Additionnelle",($N343-($N343*($P343+BG343)))*BF343))),"Non Trouvé")</f>
        <v/>
      </c>
      <c r="BK343" s="99">
        <f>BK341</f>
        <v/>
      </c>
      <c r="BL343" s="99">
        <f>BL341</f>
        <v/>
      </c>
      <c r="BM343" s="95">
        <f>IFERROR(IF($C343="","",IF($P$15="Cascade",$R343*(1-BL343)*BK343,IF($P$15="Additionnelle",($N343-($N343*($P343+BL343)))*BK343))),"Non Trouvé")</f>
        <v/>
      </c>
      <c r="BP343" s="99">
        <f>BP341</f>
        <v/>
      </c>
      <c r="BQ343" s="99">
        <f>BQ341</f>
        <v/>
      </c>
      <c r="BR343" s="95">
        <f>IFERROR(IF($C343="","",IF($P$15="Cascade",$R343*(1-BQ343)*BP343,IF($P$15="Additionnelle",($N343-($N343*($P343+BQ343)))*BP343))),"Non Trouvé")</f>
        <v/>
      </c>
      <c r="BU343" s="99">
        <f>BU341</f>
        <v/>
      </c>
      <c r="BV343" s="99">
        <f>BV341</f>
        <v/>
      </c>
      <c r="BW343" s="95">
        <f>IFERROR(IF($C343="","",IF($P$15="Cascade",$R343*(1-BV343)*BU343,IF($P$15="Additionnelle",($N343-($N343*($P343+BV343)))*BU343))),"Non Trouvé")</f>
        <v/>
      </c>
      <c r="BZ343" s="99">
        <f>BZ341</f>
        <v/>
      </c>
      <c r="CA343" s="99">
        <f>CA341</f>
        <v/>
      </c>
      <c r="CB343" s="95">
        <f>IFERROR(IF($C343="","",IF($P$15="Cascade",$R343*(1-CA343)*BZ343,IF($P$15="Additionnelle",($N343-($N343*($P343+CA343)))*BZ343))),"Non Trouvé")</f>
        <v/>
      </c>
      <c r="CE343" s="100" t="n"/>
      <c r="CF343" s="102" t="n"/>
      <c r="CG343" s="133" t="inlineStr">
        <is>
          <t>Retail</t>
        </is>
      </c>
      <c r="CH343" s="102" t="n"/>
      <c r="CI343" s="103" t="n"/>
      <c r="CK343" s="104">
        <f>IFERROR(IF(F343='[1]Paramètres Généraux'!$K$12,ROUNDUP((REGENERANTS!H343*REGENERANTS!$CF$329)*'[1]Paramètres Généraux'!$M$12,-1),IF(F343='[1]Paramètres Généraux'!$K$15,ROUNDUP((REGENERANTS!H343*REGENERANTS!$CF$329)*'[1]Paramètres Généraux'!$M$15,-1),REGENERANTS!H343*REGENERANTS!$CF$329)),"nd")</f>
        <v/>
      </c>
      <c r="CN343" s="105" t="n"/>
      <c r="CO343" s="106" t="n"/>
      <c r="CP343" s="106" t="n"/>
      <c r="CQ343" s="106" t="n"/>
      <c r="CR343" s="106" t="n"/>
      <c r="CS343" s="178" t="n"/>
      <c r="CT343" s="179" t="n"/>
      <c r="CU343" s="106" t="n"/>
      <c r="CV343" s="178" t="n"/>
      <c r="CW343" s="111" t="n"/>
      <c r="CX343" s="112" t="n"/>
      <c r="CY343" s="111" t="n"/>
      <c r="CZ343" s="109" t="n"/>
      <c r="DA343" s="112" t="n"/>
      <c r="DB343" s="111" t="n"/>
      <c r="DC343" s="109" t="n"/>
      <c r="DD343" s="112" t="n"/>
      <c r="DE343" s="111" t="n"/>
      <c r="DF343" s="109" t="n"/>
      <c r="DG343" s="109" t="n"/>
      <c r="DH343" s="109" t="n"/>
      <c r="DI343" s="109" t="n"/>
      <c r="DJ343" s="109" t="n"/>
      <c r="DK343" s="109" t="n"/>
      <c r="DL343" s="109" t="n"/>
      <c r="DM343" s="109" t="n"/>
      <c r="DN343" s="109" t="n"/>
      <c r="DO343" s="112" t="n"/>
      <c r="DP343" s="111" t="n"/>
      <c r="DQ343" s="20">
        <f>SUM(CN343:DP343)</f>
        <v/>
      </c>
      <c r="DR343" s="20">
        <f>SUM(CV343:DP343)</f>
        <v/>
      </c>
      <c r="DS343" s="20">
        <f>IFERROR((IF(AND($F343="Produit Vente",CO343&gt;0),VLOOKUP($C343,'[1]Paramètres Articles'!$B:$H,7,FALSE)*$CO343)*(1-20%)),0)</f>
        <v/>
      </c>
      <c r="DT343" s="20">
        <f>IFERROR((IF(AND($F343="Produit Vente",DR343&gt;0),VLOOKUP($C343,'[1]Paramètres Articles'!$B:$H,6,FALSE)*$DR343)*(1-15%)),0)</f>
        <v/>
      </c>
      <c r="DU343" s="20">
        <f>IFERROR(DQ343*J343,0)</f>
        <v/>
      </c>
    </row>
    <row r="344" outlineLevel="1" collapsed="1" ht="12.95" customHeight="1">
      <c r="B344" s="1">
        <f>IF(C344="",0,COUNTIFS($B$22:B343,"&gt;"&amp;0)+1)</f>
        <v/>
      </c>
      <c r="C344" s="90" t="inlineStr">
        <is>
          <t>PANNEAU REGE</t>
        </is>
      </c>
      <c r="D344" s="91">
        <f>IFERROR(IF($C344="","",VLOOKUP($C344,'[1]Paramètres Articles'!$B:$G,2,FALSE)),"Non Trouvé")</f>
        <v/>
      </c>
      <c r="E344" s="92">
        <f>IFERROR(IF($C344="","",_xlfn.XLOOKUP(REGENERANTS!$C344,'[1]New Base PA'!$F:$F,'[1]New Base PA'!$D:$D,"Not Found",0)),"Non Trouvé")</f>
        <v/>
      </c>
      <c r="F344" s="93" t="inlineStr">
        <is>
          <t>PLV (vitrine)</t>
        </is>
      </c>
      <c r="H344" s="94" t="n">
        <v>1</v>
      </c>
      <c r="J344" s="95">
        <f>IFERROR(IF($C344="","",VLOOKUP($C344,'[1]New Base PA'!$F:$J,5,FALSE)),"Non Trouvé")</f>
        <v/>
      </c>
      <c r="K344" s="136">
        <f>IFERROR(IF($C344="","",$J344*$H344),"Non Trouvé")</f>
        <v/>
      </c>
      <c r="L344" s="137" t="n"/>
      <c r="M344" s="136">
        <f>IFERROR(IF(AND($F344="Produit Vente",H344&gt;0),VLOOKUP($C344,'[1]Paramètres Articles'!$B:$G,6,FALSE),0),"Non Trouvé")</f>
        <v/>
      </c>
      <c r="N344" s="136">
        <f>IFERROR(IF($C344="","",$M344*$H344),"Non Trouvé")</f>
        <v/>
      </c>
      <c r="P344" s="97" t="n"/>
      <c r="R344" s="95">
        <f>IFERROR(IF($C344="","",$N344*(1-$P344)),"Non Trouvé")</f>
        <v/>
      </c>
      <c r="S344" s="96" t="n"/>
      <c r="T344" s="95">
        <f>IFERROR(IF($C344="","",VLOOKUP($C344,'[1]Paramètres Articles'!$B:$H,7,FALSE)),"Non Trouvé")</f>
        <v/>
      </c>
      <c r="U344" s="98" t="n"/>
      <c r="V344" s="95">
        <f>IFERROR(IF($C344="","",IF($P344="","",$T344*(1-$P344))),"Non Trouvé")</f>
        <v/>
      </c>
      <c r="W344" s="96" t="n"/>
      <c r="X344" s="95">
        <f>IFERROR(T344-V344,"")</f>
        <v/>
      </c>
      <c r="Y344" s="96" t="n"/>
      <c r="Z344" s="95">
        <f>IFERROR(IF(OR(T344=0,T344=""),0,T344*H344),"Non Trouvé")</f>
        <v/>
      </c>
      <c r="AB344" s="99">
        <f>AB343</f>
        <v/>
      </c>
      <c r="AC344" s="99">
        <f>AC343</f>
        <v/>
      </c>
      <c r="AD344" s="95">
        <f>IFERROR(IF($C344="","",IF($P$15="Cascade",$R344*(1-AC344)*AB344,IF($P$15="Additionnelle",($N344-($N344*($P344+AC344)))*AB344))),"Non Trouvé")</f>
        <v/>
      </c>
      <c r="AG344" s="99">
        <f>AG343</f>
        <v/>
      </c>
      <c r="AH344" s="99">
        <f>AH343</f>
        <v/>
      </c>
      <c r="AI344" s="95">
        <f>IFERROR(IF($C344="","",IF($P$15="Cascade",$R344*(1-AH344)*AG344,IF($P$15="Additionnelle",($N344-($N344*($P344+AH344)))*AG344))),"Non Trouvé")</f>
        <v/>
      </c>
      <c r="AL344" s="99">
        <f>AL343</f>
        <v/>
      </c>
      <c r="AM344" s="99">
        <f>AM343</f>
        <v/>
      </c>
      <c r="AN344" s="95">
        <f>IFERROR(IF($C344="","",IF($P$15="Cascade",$R344*(1-AM344)*AL344,IF($P$15="Additionnelle",($N344-($N344*($P344+AM344)))*AL344))),"Non Trouvé")</f>
        <v/>
      </c>
      <c r="AQ344" s="99">
        <f>AQ343</f>
        <v/>
      </c>
      <c r="AR344" s="99">
        <f>AR343</f>
        <v/>
      </c>
      <c r="AS344" s="95">
        <f>IFERROR(IF($C344="","",IF($P$15="Cascade",$R344*(1-AR344)*AQ344,IF($P$15="Additionnelle",($N344-($N344*($P344+AR344)))*AQ344))),"Non Trouvé")</f>
        <v/>
      </c>
      <c r="AV344" s="99">
        <f>AV343</f>
        <v/>
      </c>
      <c r="AW344" s="99">
        <f>AW343</f>
        <v/>
      </c>
      <c r="AX344" s="95">
        <f>IFERROR(IF($C344="","",IF($P$15="Cascade",$R344*(1-AW344)*AV344,IF($P$15="Additionnelle",($N344-($N344*($P344+AW344)))*AV344))),"Non Trouvé")</f>
        <v/>
      </c>
      <c r="BA344" s="99">
        <f>BA343</f>
        <v/>
      </c>
      <c r="BB344" s="99">
        <f>BB343</f>
        <v/>
      </c>
      <c r="BC344" s="95">
        <f>IFERROR(IF($C344="","",IF($P$15="Cascade",$R344*(1-BB344)*BA344,IF($P$15="Additionnelle",($N344-($N344*($P344+BB344)))*BA344))),"Non Trouvé")</f>
        <v/>
      </c>
      <c r="BF344" s="99">
        <f>BF343</f>
        <v/>
      </c>
      <c r="BG344" s="99">
        <f>BG343</f>
        <v/>
      </c>
      <c r="BH344" s="95">
        <f>IFERROR(IF($C344="","",IF($P$15="Cascade",$R344*(1-BG344)*BF344,IF($P$15="Additionnelle",($N344-($N344*($P344+BG344)))*BF344))),"Non Trouvé")</f>
        <v/>
      </c>
      <c r="BK344" s="99">
        <f>BK343</f>
        <v/>
      </c>
      <c r="BL344" s="99">
        <f>BL343</f>
        <v/>
      </c>
      <c r="BM344" s="95">
        <f>IFERROR(IF($C344="","",IF($P$15="Cascade",$R344*(1-BL344)*BK344,IF($P$15="Additionnelle",($N344-($N344*($P344+BL344)))*BK344))),"Non Trouvé")</f>
        <v/>
      </c>
      <c r="BP344" s="99">
        <f>BP343</f>
        <v/>
      </c>
      <c r="BQ344" s="99">
        <f>BQ343</f>
        <v/>
      </c>
      <c r="BR344" s="95">
        <f>IFERROR(IF($C344="","",IF($P$15="Cascade",$R344*(1-BQ344)*BP344,IF($P$15="Additionnelle",($N344-($N344*($P344+BQ344)))*BP344))),"Non Trouvé")</f>
        <v/>
      </c>
      <c r="BU344" s="99">
        <f>BU343</f>
        <v/>
      </c>
      <c r="BV344" s="99">
        <f>BV343</f>
        <v/>
      </c>
      <c r="BW344" s="95">
        <f>IFERROR(IF($C344="","",IF($P$15="Cascade",$R344*(1-BV344)*BU344,IF($P$15="Additionnelle",($N344-($N344*($P344+BV344)))*BU344))),"Non Trouvé")</f>
        <v/>
      </c>
      <c r="BZ344" s="99">
        <f>BZ343</f>
        <v/>
      </c>
      <c r="CA344" s="99">
        <f>CA343</f>
        <v/>
      </c>
      <c r="CB344" s="95">
        <f>IFERROR(IF($C344="","",IF($P$15="Cascade",$R344*(1-CA344)*BZ344,IF($P$15="Additionnelle",($N344-($N344*($P344+CA344)))*BZ344))),"Non Trouvé")</f>
        <v/>
      </c>
      <c r="CE344" s="100" t="n"/>
      <c r="CF344" s="138" t="n"/>
      <c r="CG344" s="102" t="inlineStr">
        <is>
          <t>Nbrs Offres planifiées</t>
        </is>
      </c>
      <c r="CH344" s="138">
        <f>SUMIFS($AB329:$AT329,$AB326:$AT326,CG344)+SUMIFS($BZ329:$CC329,$BZ326:$CC326,CG344)</f>
        <v/>
      </c>
      <c r="CI344" s="103" t="n"/>
      <c r="CK344" s="104">
        <f>IFERROR(IF(F344='[1]Paramètres Généraux'!$K$12,ROUNDUP((REGENERANTS!H344*REGENERANTS!$CF$329)*'[1]Paramètres Généraux'!$M$12,-1),IF(F344='[1]Paramètres Généraux'!$K$15,ROUNDUP((REGENERANTS!H344*REGENERANTS!$CF$329)*'[1]Paramètres Généraux'!$M$15,-1),REGENERANTS!H344*REGENERANTS!$CF$329)),"nd")</f>
        <v/>
      </c>
      <c r="CN344" s="105" t="n"/>
      <c r="CO344" s="106" t="n"/>
      <c r="CP344" s="106" t="n"/>
      <c r="CQ344" s="106" t="n"/>
      <c r="CR344" s="106" t="n"/>
      <c r="CS344" s="178" t="n"/>
      <c r="CT344" s="179" t="n"/>
      <c r="CU344" s="106" t="n"/>
      <c r="CV344" s="178" t="n"/>
      <c r="CW344" s="111" t="n"/>
      <c r="CX344" s="112" t="n"/>
      <c r="CY344" s="111" t="n"/>
      <c r="CZ344" s="109" t="n"/>
      <c r="DA344" s="112" t="n"/>
      <c r="DB344" s="111" t="n"/>
      <c r="DC344" s="109" t="n"/>
      <c r="DD344" s="112" t="n"/>
      <c r="DE344" s="111" t="n"/>
      <c r="DF344" s="109" t="n"/>
      <c r="DG344" s="109" t="n"/>
      <c r="DH344" s="109" t="n"/>
      <c r="DI344" s="109" t="n"/>
      <c r="DJ344" s="109" t="n"/>
      <c r="DK344" s="109" t="n"/>
      <c r="DL344" s="109" t="n"/>
      <c r="DM344" s="109" t="n"/>
      <c r="DN344" s="109" t="n"/>
      <c r="DO344" s="112" t="n"/>
      <c r="DP344" s="111" t="n"/>
      <c r="DQ344" s="20">
        <f>SUM(CN344:DP344)</f>
        <v/>
      </c>
      <c r="DR344" s="20">
        <f>SUM(CV344:DP344)</f>
        <v/>
      </c>
      <c r="DS344" s="20">
        <f>IFERROR((IF(AND($F344="Produit Vente",CO344&gt;0),VLOOKUP($C344,'[1]Paramètres Articles'!$B:$H,7,FALSE)*$CO344)*(1-20%)),0)</f>
        <v/>
      </c>
      <c r="DT344" s="20">
        <f>IFERROR((IF(AND($F344="Produit Vente",DR344&gt;0),VLOOKUP($C344,'[1]Paramètres Articles'!$B:$H,6,FALSE)*$DR344)*(1-15%)),0)</f>
        <v/>
      </c>
      <c r="DU344" s="20">
        <f>IFERROR(DQ344*J344,0)</f>
        <v/>
      </c>
    </row>
    <row r="345" outlineLevel="1" collapsed="1" ht="12.95" customHeight="1">
      <c r="B345" s="1">
        <f>IF(C345="",0,COUNTIFS($B$22:B344,"&gt;"&amp;0)+1)</f>
        <v/>
      </c>
      <c r="C345" s="90" t="inlineStr">
        <is>
          <t>PRESENTOIR REGE</t>
        </is>
      </c>
      <c r="D345" s="91">
        <f>IFERROR(IF($C345="","",VLOOKUP($C345,'[1]Paramètres Articles'!$B:$G,2,FALSE)),"Non Trouvé")</f>
        <v/>
      </c>
      <c r="E345" s="92">
        <f>IFERROR(IF($C345="","",_xlfn.XLOOKUP(REGENERANTS!$C345,'[1]New Base PA'!$F:$F,'[1]New Base PA'!$D:$D,"Not Found",0)),"Non Trouvé")</f>
        <v/>
      </c>
      <c r="F345" s="93" t="inlineStr">
        <is>
          <t>PLV (PDC ou autre)</t>
        </is>
      </c>
      <c r="H345" s="94" t="n">
        <v>1</v>
      </c>
      <c r="J345" s="95">
        <f>IFERROR(IF($C345="","",VLOOKUP($C345,'[1]New Base PA'!$F:$J,5,FALSE)),"Non Trouvé")</f>
        <v/>
      </c>
      <c r="K345" s="136">
        <f>IFERROR(IF($C345="","",$J345*$H345),"Non Trouvé")</f>
        <v/>
      </c>
      <c r="L345" s="137" t="n"/>
      <c r="M345" s="136">
        <f>IFERROR(IF(AND($F345="Produit Vente",H345&gt;0),VLOOKUP($C345,'[1]Paramètres Articles'!$B:$G,6,FALSE),0),"Non Trouvé")</f>
        <v/>
      </c>
      <c r="N345" s="136">
        <f>IFERROR(IF($C345="","",$M345*$H345),"Non Trouvé")</f>
        <v/>
      </c>
      <c r="P345" s="97" t="n"/>
      <c r="R345" s="95">
        <f>IFERROR(IF($C345="","",$N345*(1-$P345)),"Non Trouvé")</f>
        <v/>
      </c>
      <c r="S345" s="96" t="n"/>
      <c r="T345" s="95">
        <f>IFERROR(IF($C345="","",VLOOKUP($C345,'[1]Paramètres Articles'!$B:$H,7,FALSE)),"Non Trouvé")</f>
        <v/>
      </c>
      <c r="U345" s="98" t="n"/>
      <c r="V345" s="95">
        <f>IFERROR(IF($C345="","",IF($P345="","",$T345*(1-$P345))),"Non Trouvé")</f>
        <v/>
      </c>
      <c r="W345" s="96" t="n"/>
      <c r="X345" s="95">
        <f>IFERROR(T345-V345,"")</f>
        <v/>
      </c>
      <c r="Y345" s="96" t="n"/>
      <c r="Z345" s="95">
        <f>IFERROR(IF(OR(T345=0,T345=""),0,T345*H345),"Non Trouvé")</f>
        <v/>
      </c>
      <c r="AB345" s="99">
        <f>AB343</f>
        <v/>
      </c>
      <c r="AC345" s="99">
        <f>AC343</f>
        <v/>
      </c>
      <c r="AD345" s="95">
        <f>IFERROR(IF($C345="","",IF($P$15="Cascade",$R345*(1-AC345)*AB345,IF($P$15="Additionnelle",($N345-($N345*($P345+AC345)))*AB345))),"Non Trouvé")</f>
        <v/>
      </c>
      <c r="AG345" s="99">
        <f>AG343</f>
        <v/>
      </c>
      <c r="AH345" s="99">
        <f>AH343</f>
        <v/>
      </c>
      <c r="AI345" s="95">
        <f>IFERROR(IF($C345="","",IF($P$15="Cascade",$R345*(1-AH345)*AG345,IF($P$15="Additionnelle",($N345-($N345*($P345+AH345)))*AG345))),"Non Trouvé")</f>
        <v/>
      </c>
      <c r="AL345" s="99">
        <f>AL343</f>
        <v/>
      </c>
      <c r="AM345" s="99">
        <f>AM343</f>
        <v/>
      </c>
      <c r="AN345" s="95">
        <f>IFERROR(IF($C345="","",IF($P$15="Cascade",$R345*(1-AM345)*AL345,IF($P$15="Additionnelle",($N345-($N345*($P345+AM345)))*AL345))),"Non Trouvé")</f>
        <v/>
      </c>
      <c r="AQ345" s="99">
        <f>AQ343</f>
        <v/>
      </c>
      <c r="AR345" s="99">
        <f>AR343</f>
        <v/>
      </c>
      <c r="AS345" s="95">
        <f>IFERROR(IF($C345="","",IF($P$15="Cascade",$R345*(1-AR345)*AQ345,IF($P$15="Additionnelle",($N345-($N345*($P345+AR345)))*AQ345))),"Non Trouvé")</f>
        <v/>
      </c>
      <c r="AV345" s="99">
        <f>AV343</f>
        <v/>
      </c>
      <c r="AW345" s="99">
        <f>AW343</f>
        <v/>
      </c>
      <c r="AX345" s="95">
        <f>IFERROR(IF($C345="","",IF($P$15="Cascade",$R345*(1-AW345)*AV345,IF($P$15="Additionnelle",($N345-($N345*($P345+AW345)))*AV345))),"Non Trouvé")</f>
        <v/>
      </c>
      <c r="BA345" s="99">
        <f>BA343</f>
        <v/>
      </c>
      <c r="BB345" s="99">
        <f>BB343</f>
        <v/>
      </c>
      <c r="BC345" s="95">
        <f>IFERROR(IF($C345="","",IF($P$15="Cascade",$R345*(1-BB345)*BA345,IF($P$15="Additionnelle",($N345-($N345*($P345+BB345)))*BA345))),"Non Trouvé")</f>
        <v/>
      </c>
      <c r="BF345" s="99">
        <f>BF343</f>
        <v/>
      </c>
      <c r="BG345" s="99">
        <f>BG343</f>
        <v/>
      </c>
      <c r="BH345" s="95">
        <f>IFERROR(IF($C345="","",IF($P$15="Cascade",$R345*(1-BG345)*BF345,IF($P$15="Additionnelle",($N345-($N345*($P345+BG345)))*BF345))),"Non Trouvé")</f>
        <v/>
      </c>
      <c r="BK345" s="99">
        <f>BK343</f>
        <v/>
      </c>
      <c r="BL345" s="99">
        <f>BL343</f>
        <v/>
      </c>
      <c r="BM345" s="95">
        <f>IFERROR(IF($C345="","",IF($P$15="Cascade",$R345*(1-BL345)*BK345,IF($P$15="Additionnelle",($N345-($N345*($P345+BL345)))*BK345))),"Non Trouvé")</f>
        <v/>
      </c>
      <c r="BP345" s="99">
        <f>BP343</f>
        <v/>
      </c>
      <c r="BQ345" s="99">
        <f>BQ343</f>
        <v/>
      </c>
      <c r="BR345" s="95">
        <f>IFERROR(IF($C345="","",IF($P$15="Cascade",$R345*(1-BQ345)*BP345,IF($P$15="Additionnelle",($N345-($N345*($P345+BQ345)))*BP345))),"Non Trouvé")</f>
        <v/>
      </c>
      <c r="BU345" s="99">
        <f>BU343</f>
        <v/>
      </c>
      <c r="BV345" s="99">
        <f>BV343</f>
        <v/>
      </c>
      <c r="BW345" s="95">
        <f>IFERROR(IF($C345="","",IF($P$15="Cascade",$R345*(1-BV345)*BU345,IF($P$15="Additionnelle",($N345-($N345*($P345+BV345)))*BU345))),"Non Trouvé")</f>
        <v/>
      </c>
      <c r="BZ345" s="99">
        <f>BZ343</f>
        <v/>
      </c>
      <c r="CA345" s="99">
        <f>CA343</f>
        <v/>
      </c>
      <c r="CB345" s="95">
        <f>IFERROR(IF($C345="","",IF($P$15="Cascade",$R345*(1-CA345)*BZ345,IF($P$15="Additionnelle",($N345-($N345*($P345+CA345)))*BZ345))),"Non Trouvé")</f>
        <v/>
      </c>
      <c r="CE345" s="100" t="n"/>
      <c r="CF345" s="101" t="n"/>
      <c r="CG345" s="102" t="inlineStr">
        <is>
          <t>CA</t>
        </is>
      </c>
      <c r="CH345" s="139">
        <f>SUMIFS($AB329:$AT329,$AB326:$AT326,CG345)+SUMIFS($BZ329:$CC329,$BZ326:$CC326,CG345)</f>
        <v/>
      </c>
      <c r="CI345" s="103" t="n"/>
      <c r="CK345" s="104">
        <f>IFERROR(IF(F345='[1]Paramètres Généraux'!$K$12,ROUNDUP((REGENERANTS!H345*REGENERANTS!$CF$329)*'[1]Paramètres Généraux'!$M$12,-1),IF(F345='[1]Paramètres Généraux'!$K$15,ROUNDUP((REGENERANTS!H345*REGENERANTS!$CF$329)*'[1]Paramètres Généraux'!$M$15,-1),REGENERANTS!H345*REGENERANTS!$CF$329)),"nd")</f>
        <v/>
      </c>
      <c r="CN345" s="105" t="n"/>
      <c r="CO345" s="106" t="n"/>
      <c r="CP345" s="106" t="n"/>
      <c r="CQ345" s="106" t="n"/>
      <c r="CR345" s="106" t="n"/>
      <c r="CS345" s="178" t="n"/>
      <c r="CT345" s="179" t="n"/>
      <c r="CU345" s="106" t="n"/>
      <c r="CV345" s="178" t="n"/>
      <c r="CW345" s="111" t="n"/>
      <c r="CX345" s="112" t="n"/>
      <c r="CY345" s="111" t="n"/>
      <c r="CZ345" s="109" t="n"/>
      <c r="DA345" s="112" t="n"/>
      <c r="DB345" s="111" t="n"/>
      <c r="DC345" s="109" t="n"/>
      <c r="DD345" s="112" t="n"/>
      <c r="DE345" s="111" t="n"/>
      <c r="DF345" s="109" t="n"/>
      <c r="DG345" s="109" t="n"/>
      <c r="DH345" s="109" t="n"/>
      <c r="DI345" s="109" t="n"/>
      <c r="DJ345" s="109" t="n"/>
      <c r="DK345" s="109" t="n"/>
      <c r="DL345" s="109" t="n"/>
      <c r="DM345" s="109" t="n"/>
      <c r="DN345" s="109" t="n"/>
      <c r="DO345" s="112" t="n"/>
      <c r="DP345" s="111" t="n"/>
      <c r="DQ345" s="20">
        <f>SUM(CN345:DP345)</f>
        <v/>
      </c>
      <c r="DR345" s="20">
        <f>SUM(CV345:DP345)</f>
        <v/>
      </c>
      <c r="DS345" s="20">
        <f>IFERROR((IF(AND($F345="Produit Vente",CO345&gt;0),VLOOKUP($C345,'[1]Paramètres Articles'!$B:$H,7,FALSE)*$CO345)*(1-20%)),0)</f>
        <v/>
      </c>
      <c r="DT345" s="20">
        <f>IFERROR((IF(AND($F345="Produit Vente",DR345&gt;0),VLOOKUP($C345,'[1]Paramètres Articles'!$B:$H,6,FALSE)*$DR345)*(1-15%)),0)</f>
        <v/>
      </c>
      <c r="DU345" s="20">
        <f>IFERROR(DQ345*J345,0)</f>
        <v/>
      </c>
    </row>
    <row r="346" outlineLevel="1" collapsed="1" ht="12.95" customHeight="1">
      <c r="B346" s="1">
        <f>IF(C346="",0,COUNTIFS($B$22:B345,"&gt;"&amp;0)+1)</f>
        <v/>
      </c>
      <c r="C346" s="90" t="n">
        <v>3020202</v>
      </c>
      <c r="D346" s="91">
        <f>IFERROR(IF($C346="","",VLOOKUP($C346,'[1]Paramètres Articles'!$B:$G,2,FALSE)),"Non Trouvé")</f>
        <v/>
      </c>
      <c r="E346" s="92">
        <f>IFERROR(IF($C346="","",_xlfn.XLOOKUP(REGENERANTS!$C346,'[1]New Base PA'!$F:$F,'[1]New Base PA'!$D:$D,"Not Found",0)),"Non Trouvé")</f>
        <v/>
      </c>
      <c r="F346" s="93" t="inlineStr">
        <is>
          <t>Testeur</t>
        </is>
      </c>
      <c r="H346" s="94" t="n">
        <v>2</v>
      </c>
      <c r="J346" s="95">
        <f>IFERROR(IF($C346="","",VLOOKUP($C346,'[1]New Base PA'!$F:$J,5,FALSE)),"Non Trouvé")</f>
        <v/>
      </c>
      <c r="K346" s="136">
        <f>IFERROR(IF($C346="","",$J346*$H346),"Non Trouvé")</f>
        <v/>
      </c>
      <c r="L346" s="137" t="n"/>
      <c r="M346" s="136">
        <f>IFERROR(IF(AND($F346="Produit Vente",H346&gt;0),VLOOKUP($C346,'[1]Paramètres Articles'!$B:$G,6,FALSE),0),"Non Trouvé")</f>
        <v/>
      </c>
      <c r="N346" s="136">
        <f>IFERROR(IF($C346="","",$M346*$H346),"Non Trouvé")</f>
        <v/>
      </c>
      <c r="P346" s="97" t="n"/>
      <c r="R346" s="95">
        <f>IFERROR(IF($C346="","",$N346*(1-$P346)),"Non Trouvé")</f>
        <v/>
      </c>
      <c r="S346" s="96" t="n"/>
      <c r="T346" s="95">
        <f>IFERROR(IF($C346="","",VLOOKUP($C346,'[1]Paramètres Articles'!$B:$H,7,FALSE)),"Non Trouvé")</f>
        <v/>
      </c>
      <c r="U346" s="98" t="n"/>
      <c r="V346" s="95">
        <f>IFERROR(IF($C346="","",IF($P346="","",$T346*(1-$P346))),"Non Trouvé")</f>
        <v/>
      </c>
      <c r="W346" s="96" t="n"/>
      <c r="X346" s="95">
        <f>IFERROR(T346-V346,"")</f>
        <v/>
      </c>
      <c r="Y346" s="96" t="n"/>
      <c r="Z346" s="95">
        <f>IFERROR(IF(OR(T346=0,T346=""),0,T346*H346),"Non Trouvé")</f>
        <v/>
      </c>
      <c r="AB346" s="99">
        <f>AB345</f>
        <v/>
      </c>
      <c r="AC346" s="99">
        <f>AC345</f>
        <v/>
      </c>
      <c r="AD346" s="95">
        <f>IFERROR(IF($C346="","",IF($P$15="Cascade",$R346*(1-AC346)*AB346,IF($P$15="Additionnelle",($N346-($N346*($P346+AC346)))*AB346))),"Non Trouvé")</f>
        <v/>
      </c>
      <c r="AG346" s="99">
        <f>AG345</f>
        <v/>
      </c>
      <c r="AH346" s="99">
        <f>AH345</f>
        <v/>
      </c>
      <c r="AI346" s="95">
        <f>IFERROR(IF($C346="","",IF($P$15="Cascade",$R346*(1-AH346)*AG346,IF($P$15="Additionnelle",($N346-($N346*($P346+AH346)))*AG346))),"Non Trouvé")</f>
        <v/>
      </c>
      <c r="AL346" s="99">
        <f>AL345</f>
        <v/>
      </c>
      <c r="AM346" s="99">
        <f>AM345</f>
        <v/>
      </c>
      <c r="AN346" s="95">
        <f>IFERROR(IF($C346="","",IF($P$15="Cascade",$R346*(1-AM346)*AL346,IF($P$15="Additionnelle",($N346-($N346*($P346+AM346)))*AL346))),"Non Trouvé")</f>
        <v/>
      </c>
      <c r="AQ346" s="99">
        <f>AQ345</f>
        <v/>
      </c>
      <c r="AR346" s="99">
        <f>AR345</f>
        <v/>
      </c>
      <c r="AS346" s="95">
        <f>IFERROR(IF($C346="","",IF($P$15="Cascade",$R346*(1-AR346)*AQ346,IF($P$15="Additionnelle",($N346-($N346*($P346+AR346)))*AQ346))),"Non Trouvé")</f>
        <v/>
      </c>
      <c r="AV346" s="99">
        <f>AV345</f>
        <v/>
      </c>
      <c r="AW346" s="99">
        <f>AW345</f>
        <v/>
      </c>
      <c r="AX346" s="95">
        <f>IFERROR(IF($C346="","",IF($P$15="Cascade",$R346*(1-AW346)*AV346,IF($P$15="Additionnelle",($N346-($N346*($P346+AW346)))*AV346))),"Non Trouvé")</f>
        <v/>
      </c>
      <c r="BA346" s="99">
        <f>BA345</f>
        <v/>
      </c>
      <c r="BB346" s="99">
        <f>BB345</f>
        <v/>
      </c>
      <c r="BC346" s="95">
        <f>IFERROR(IF($C346="","",IF($P$15="Cascade",$R346*(1-BB346)*BA346,IF($P$15="Additionnelle",($N346-($N346*($P346+BB346)))*BA346))),"Non Trouvé")</f>
        <v/>
      </c>
      <c r="BF346" s="99">
        <f>BF345</f>
        <v/>
      </c>
      <c r="BG346" s="99">
        <f>BG345</f>
        <v/>
      </c>
      <c r="BH346" s="95">
        <f>IFERROR(IF($C346="","",IF($P$15="Cascade",$R346*(1-BG346)*BF346,IF($P$15="Additionnelle",($N346-($N346*($P346+BG346)))*BF346))),"Non Trouvé")</f>
        <v/>
      </c>
      <c r="BK346" s="99">
        <f>BK345</f>
        <v/>
      </c>
      <c r="BL346" s="99">
        <f>BL345</f>
        <v/>
      </c>
      <c r="BM346" s="95">
        <f>IFERROR(IF($C346="","",IF($P$15="Cascade",$R346*(1-BL346)*BK346,IF($P$15="Additionnelle",($N346-($N346*($P346+BL346)))*BK346))),"Non Trouvé")</f>
        <v/>
      </c>
      <c r="BP346" s="99">
        <f>BP345</f>
        <v/>
      </c>
      <c r="BQ346" s="99">
        <f>BQ345</f>
        <v/>
      </c>
      <c r="BR346" s="95">
        <f>IFERROR(IF($C346="","",IF($P$15="Cascade",$R346*(1-BQ346)*BP346,IF($P$15="Additionnelle",($N346-($N346*($P346+BQ346)))*BP346))),"Non Trouvé")</f>
        <v/>
      </c>
      <c r="BU346" s="99">
        <f>BU345</f>
        <v/>
      </c>
      <c r="BV346" s="99">
        <f>BV345</f>
        <v/>
      </c>
      <c r="BW346" s="95">
        <f>IFERROR(IF($C346="","",IF($P$15="Cascade",$R346*(1-BV346)*BU346,IF($P$15="Additionnelle",($N346-($N346*($P346+BV346)))*BU346))),"Non Trouvé")</f>
        <v/>
      </c>
      <c r="BZ346" s="99">
        <f>BZ345</f>
        <v/>
      </c>
      <c r="CA346" s="99">
        <f>CA345</f>
        <v/>
      </c>
      <c r="CB346" s="95">
        <f>IFERROR(IF($C346="","",IF($P$15="Cascade",$R346*(1-CA346)*BZ346,IF($P$15="Additionnelle",($N346-($N346*($P346+CA346)))*BZ346))),"Non Trouvé")</f>
        <v/>
      </c>
      <c r="CE346" s="100" t="n"/>
      <c r="CF346" s="133" t="n"/>
      <c r="CG346" s="102" t="inlineStr">
        <is>
          <t>Marges</t>
        </is>
      </c>
      <c r="CH346" s="142">
        <f>IFERROR((CH345-$K329*CH344)/CH345,"Non Trouvé")</f>
        <v/>
      </c>
      <c r="CI346" s="103" t="n"/>
      <c r="CK346" s="104">
        <f>IFERROR(IF(F346='[1]Paramètres Généraux'!$K$12,ROUNDUP((REGENERANTS!H346*REGENERANTS!$CF$329)*'[1]Paramètres Généraux'!$M$12,-1),IF(F346='[1]Paramètres Généraux'!$K$15,ROUNDUP((REGENERANTS!H346*REGENERANTS!$CF$329)*'[1]Paramètres Généraux'!$M$15,-1),REGENERANTS!H346*REGENERANTS!$CF$329)),"nd")</f>
        <v/>
      </c>
      <c r="CN346" s="105" t="n"/>
      <c r="CO346" s="106" t="n"/>
      <c r="CP346" s="106" t="n"/>
      <c r="CQ346" s="106" t="n"/>
      <c r="CR346" s="106" t="n"/>
      <c r="CS346" s="178" t="n"/>
      <c r="CT346" s="179" t="n"/>
      <c r="CU346" s="106" t="n"/>
      <c r="CV346" s="178" t="n"/>
      <c r="CW346" s="111" t="n"/>
      <c r="CX346" s="112" t="n"/>
      <c r="CY346" s="111" t="n"/>
      <c r="CZ346" s="109" t="n"/>
      <c r="DA346" s="112" t="n"/>
      <c r="DB346" s="111" t="n"/>
      <c r="DC346" s="109" t="n"/>
      <c r="DD346" s="112" t="n"/>
      <c r="DE346" s="111" t="n"/>
      <c r="DF346" s="109" t="n"/>
      <c r="DG346" s="109" t="n"/>
      <c r="DH346" s="109" t="n"/>
      <c r="DI346" s="109" t="n"/>
      <c r="DJ346" s="109" t="n"/>
      <c r="DK346" s="109" t="n"/>
      <c r="DL346" s="109" t="n"/>
      <c r="DM346" s="109" t="n"/>
      <c r="DN346" s="109" t="n"/>
      <c r="DO346" s="112" t="n"/>
      <c r="DP346" s="111" t="n"/>
      <c r="DQ346" s="20">
        <f>SUM(CN346:DP346)</f>
        <v/>
      </c>
      <c r="DR346" s="20">
        <f>SUM(CV346:DP346)</f>
        <v/>
      </c>
      <c r="DS346" s="20">
        <f>IFERROR((IF(AND($F346="Produit Vente",CO346&gt;0),VLOOKUP($C346,'[1]Paramètres Articles'!$B:$H,7,FALSE)*$CO346)*(1-20%)),0)</f>
        <v/>
      </c>
      <c r="DT346" s="20">
        <f>IFERROR((IF(AND($F346="Produit Vente",DR346&gt;0),VLOOKUP($C346,'[1]Paramètres Articles'!$B:$H,6,FALSE)*$DR346)*(1-15%)),0)</f>
        <v/>
      </c>
      <c r="DU346" s="20">
        <f>IFERROR(DQ346*J346,0)</f>
        <v/>
      </c>
    </row>
    <row r="347" outlineLevel="1" collapsed="1" ht="12.95" customHeight="1">
      <c r="B347" s="1">
        <f>IF(C347="",0,COUNTIFS($B$22:B346,"&gt;"&amp;0)+1)</f>
        <v/>
      </c>
      <c r="C347" s="90" t="n">
        <v>3020301</v>
      </c>
      <c r="D347" s="91">
        <f>IFERROR(IF($C347="","",VLOOKUP($C347,'[1]Paramètres Articles'!$B:$G,2,FALSE)),"Non Trouvé")</f>
        <v/>
      </c>
      <c r="E347" s="92">
        <f>IFERROR(IF($C347="","",_xlfn.XLOOKUP(REGENERANTS!$C347,'[1]New Base PA'!$F:$F,'[1]New Base PA'!$D:$D,"Not Found",0)),"Non Trouvé")</f>
        <v/>
      </c>
      <c r="F347" s="93" t="inlineStr">
        <is>
          <t>Testeur</t>
        </is>
      </c>
      <c r="H347" s="94" t="n">
        <v>2</v>
      </c>
      <c r="J347" s="95">
        <f>IFERROR(IF($C347="","",VLOOKUP($C347,'[1]New Base PA'!$F:$J,5,FALSE)),"Non Trouvé")</f>
        <v/>
      </c>
      <c r="K347" s="136">
        <f>IFERROR(IF($C347="","",$J347*$H347),"Non Trouvé")</f>
        <v/>
      </c>
      <c r="L347" s="137" t="n"/>
      <c r="M347" s="136">
        <f>IFERROR(IF(AND($F347="Produit Vente",H347&gt;0),VLOOKUP($C347,'[1]Paramètres Articles'!$B:$G,6,FALSE),0),"Non Trouvé")</f>
        <v/>
      </c>
      <c r="N347" s="136">
        <f>IFERROR(IF($C347="","",$M347*$H347),"Non Trouvé")</f>
        <v/>
      </c>
      <c r="P347" s="97" t="n"/>
      <c r="R347" s="95">
        <f>IFERROR(IF($C347="","",$N347*(1-$P347)),"Non Trouvé")</f>
        <v/>
      </c>
      <c r="S347" s="96" t="n"/>
      <c r="T347" s="95">
        <f>IFERROR(IF($C347="","",VLOOKUP($C347,'[1]Paramètres Articles'!$B:$H,7,FALSE)),"Non Trouvé")</f>
        <v/>
      </c>
      <c r="U347" s="98" t="n"/>
      <c r="V347" s="95">
        <f>IFERROR(IF($C347="","",IF($P347="","",$T347*(1-$P347))),"Non Trouvé")</f>
        <v/>
      </c>
      <c r="W347" s="96" t="n"/>
      <c r="X347" s="95">
        <f>IFERROR(T347-V347,"")</f>
        <v/>
      </c>
      <c r="Y347" s="96" t="n"/>
      <c r="Z347" s="95">
        <f>IFERROR(IF(OR(T347=0,T347=""),0,T347*H347),"Non Trouvé")</f>
        <v/>
      </c>
      <c r="AB347" s="99">
        <f>AB345</f>
        <v/>
      </c>
      <c r="AC347" s="99">
        <f>AC345</f>
        <v/>
      </c>
      <c r="AD347" s="95">
        <f>IFERROR(IF($C347="","",IF($P$15="Cascade",$R347*(1-AC347)*AB347,IF($P$15="Additionnelle",($N347-($N347*($P347+AC347)))*AB347))),"Non Trouvé")</f>
        <v/>
      </c>
      <c r="AG347" s="99">
        <f>AG345</f>
        <v/>
      </c>
      <c r="AH347" s="99">
        <f>AH345</f>
        <v/>
      </c>
      <c r="AI347" s="95">
        <f>IFERROR(IF($C347="","",IF($P$15="Cascade",$R347*(1-AH347)*AG347,IF($P$15="Additionnelle",($N347-($N347*($P347+AH347)))*AG347))),"Non Trouvé")</f>
        <v/>
      </c>
      <c r="AL347" s="99">
        <f>AL345</f>
        <v/>
      </c>
      <c r="AM347" s="99">
        <f>AM345</f>
        <v/>
      </c>
      <c r="AN347" s="95">
        <f>IFERROR(IF($C347="","",IF($P$15="Cascade",$R347*(1-AM347)*AL347,IF($P$15="Additionnelle",($N347-($N347*($P347+AM347)))*AL347))),"Non Trouvé")</f>
        <v/>
      </c>
      <c r="AQ347" s="99">
        <f>AQ345</f>
        <v/>
      </c>
      <c r="AR347" s="99">
        <f>AR345</f>
        <v/>
      </c>
      <c r="AS347" s="95">
        <f>IFERROR(IF($C347="","",IF($P$15="Cascade",$R347*(1-AR347)*AQ347,IF($P$15="Additionnelle",($N347-($N347*($P347+AR347)))*AQ347))),"Non Trouvé")</f>
        <v/>
      </c>
      <c r="AV347" s="99">
        <f>AV345</f>
        <v/>
      </c>
      <c r="AW347" s="99">
        <f>AW345</f>
        <v/>
      </c>
      <c r="AX347" s="95">
        <f>IFERROR(IF($C347="","",IF($P$15="Cascade",$R347*(1-AW347)*AV347,IF($P$15="Additionnelle",($N347-($N347*($P347+AW347)))*AV347))),"Non Trouvé")</f>
        <v/>
      </c>
      <c r="BA347" s="99">
        <f>BA345</f>
        <v/>
      </c>
      <c r="BB347" s="99">
        <f>BB345</f>
        <v/>
      </c>
      <c r="BC347" s="95">
        <f>IFERROR(IF($C347="","",IF($P$15="Cascade",$R347*(1-BB347)*BA347,IF($P$15="Additionnelle",($N347-($N347*($P347+BB347)))*BA347))),"Non Trouvé")</f>
        <v/>
      </c>
      <c r="BF347" s="99">
        <f>BF345</f>
        <v/>
      </c>
      <c r="BG347" s="99">
        <f>BG345</f>
        <v/>
      </c>
      <c r="BH347" s="95">
        <f>IFERROR(IF($C347="","",IF($P$15="Cascade",$R347*(1-BG347)*BF347,IF($P$15="Additionnelle",($N347-($N347*($P347+BG347)))*BF347))),"Non Trouvé")</f>
        <v/>
      </c>
      <c r="BK347" s="99">
        <f>BK345</f>
        <v/>
      </c>
      <c r="BL347" s="99">
        <f>BL345</f>
        <v/>
      </c>
      <c r="BM347" s="95">
        <f>IFERROR(IF($C347="","",IF($P$15="Cascade",$R347*(1-BL347)*BK347,IF($P$15="Additionnelle",($N347-($N347*($P347+BL347)))*BK347))),"Non Trouvé")</f>
        <v/>
      </c>
      <c r="BP347" s="99">
        <f>BP345</f>
        <v/>
      </c>
      <c r="BQ347" s="99">
        <f>BQ345</f>
        <v/>
      </c>
      <c r="BR347" s="95">
        <f>IFERROR(IF($C347="","",IF($P$15="Cascade",$R347*(1-BQ347)*BP347,IF($P$15="Additionnelle",($N347-($N347*($P347+BQ347)))*BP347))),"Non Trouvé")</f>
        <v/>
      </c>
      <c r="BU347" s="99">
        <f>BU345</f>
        <v/>
      </c>
      <c r="BV347" s="99">
        <f>BV345</f>
        <v/>
      </c>
      <c r="BW347" s="95">
        <f>IFERROR(IF($C347="","",IF($P$15="Cascade",$R347*(1-BV347)*BU347,IF($P$15="Additionnelle",($N347-($N347*($P347+BV347)))*BU347))),"Non Trouvé")</f>
        <v/>
      </c>
      <c r="BZ347" s="99">
        <f>BZ345</f>
        <v/>
      </c>
      <c r="CA347" s="99">
        <f>CA345</f>
        <v/>
      </c>
      <c r="CB347" s="95">
        <f>IFERROR(IF($C347="","",IF($P$15="Cascade",$R347*(1-CA347)*BZ347,IF($P$15="Additionnelle",($N347-($N347*($P347+CA347)))*BZ347))),"Non Trouvé")</f>
        <v/>
      </c>
      <c r="CE347" s="100" t="n"/>
      <c r="CF347" s="102" t="n"/>
      <c r="CG347" s="102" t="inlineStr">
        <is>
          <t>Marges €</t>
        </is>
      </c>
      <c r="CH347" s="139">
        <f>IFERROR(CH345*CH346,0)</f>
        <v/>
      </c>
      <c r="CI347" s="103" t="n"/>
      <c r="CK347" s="104">
        <f>IFERROR(IF(F347='[1]Paramètres Généraux'!$K$12,ROUNDUP((REGENERANTS!H347*REGENERANTS!$CF$329)*'[1]Paramètres Généraux'!$M$12,-1),IF(F347='[1]Paramètres Généraux'!$K$15,ROUNDUP((REGENERANTS!H347*REGENERANTS!$CF$329)*'[1]Paramètres Généraux'!$M$15,-1),REGENERANTS!H347*REGENERANTS!$CF$329)),"nd")</f>
        <v/>
      </c>
      <c r="CN347" s="105" t="n"/>
      <c r="CO347" s="106" t="n"/>
      <c r="CP347" s="106" t="n"/>
      <c r="CQ347" s="106" t="n"/>
      <c r="CR347" s="106" t="n"/>
      <c r="CS347" s="178" t="n"/>
      <c r="CT347" s="179" t="n"/>
      <c r="CU347" s="106" t="n"/>
      <c r="CV347" s="178" t="n"/>
      <c r="CW347" s="111" t="n"/>
      <c r="CX347" s="112" t="n"/>
      <c r="CY347" s="111" t="n"/>
      <c r="CZ347" s="109" t="n"/>
      <c r="DA347" s="112" t="n"/>
      <c r="DB347" s="111" t="n"/>
      <c r="DC347" s="109" t="n"/>
      <c r="DD347" s="112" t="n"/>
      <c r="DE347" s="111" t="n"/>
      <c r="DF347" s="109" t="n"/>
      <c r="DG347" s="109" t="n"/>
      <c r="DH347" s="109" t="n"/>
      <c r="DI347" s="109" t="n"/>
      <c r="DJ347" s="109" t="n"/>
      <c r="DK347" s="109" t="n"/>
      <c r="DL347" s="109" t="n"/>
      <c r="DM347" s="109" t="n"/>
      <c r="DN347" s="109" t="n"/>
      <c r="DO347" s="112" t="n"/>
      <c r="DP347" s="111" t="n"/>
      <c r="DQ347" s="20">
        <f>SUM(CN347:DP347)</f>
        <v/>
      </c>
      <c r="DR347" s="20">
        <f>SUM(CV347:DP347)</f>
        <v/>
      </c>
      <c r="DS347" s="20">
        <f>IFERROR((IF(AND($F347="Produit Vente",CO347&gt;0),VLOOKUP($C347,'[1]Paramètres Articles'!$B:$H,7,FALSE)*$CO347)*(1-20%)),0)</f>
        <v/>
      </c>
      <c r="DT347" s="20">
        <f>IFERROR((IF(AND($F347="Produit Vente",DR347&gt;0),VLOOKUP($C347,'[1]Paramètres Articles'!$B:$H,6,FALSE)*$DR347)*(1-15%)),0)</f>
        <v/>
      </c>
      <c r="DU347" s="20">
        <f>IFERROR(DQ347*J347,0)</f>
        <v/>
      </c>
    </row>
    <row r="348" outlineLevel="1" collapsed="1" ht="12.95" customHeight="1">
      <c r="B348" s="1">
        <f>IF(C348="",0,COUNTIFS($B$22:B347,"&gt;"&amp;0)+1)</f>
        <v/>
      </c>
      <c r="C348" s="90" t="n">
        <v>3020720</v>
      </c>
      <c r="D348" s="91">
        <f>IFERROR(IF($C348="","",VLOOKUP($C348,'[1]Paramètres Articles'!$B:$G,2,FALSE)),"Non Trouvé")</f>
        <v/>
      </c>
      <c r="E348" s="92">
        <f>IFERROR(IF($C348="","",_xlfn.XLOOKUP(REGENERANTS!$C348,'[1]New Base PA'!$F:$F,'[1]New Base PA'!$D:$D,"Not Found",0)),"Non Trouvé")</f>
        <v/>
      </c>
      <c r="F348" s="93" t="inlineStr">
        <is>
          <t>Testeur</t>
        </is>
      </c>
      <c r="H348" s="94" t="n">
        <v>2</v>
      </c>
      <c r="J348" s="95">
        <f>IFERROR(IF($C348="","",VLOOKUP($C348,'[1]New Base PA'!$F:$J,5,FALSE)),"Non Trouvé")</f>
        <v/>
      </c>
      <c r="K348" s="136">
        <f>IFERROR(IF($C348="","",$J348*$H348),"Non Trouvé")</f>
        <v/>
      </c>
      <c r="L348" s="137" t="n"/>
      <c r="M348" s="136">
        <f>IFERROR(IF(AND($F348="Produit Vente",H348&gt;0),VLOOKUP($C348,'[1]Paramètres Articles'!$B:$G,6,FALSE),0),"Non Trouvé")</f>
        <v/>
      </c>
      <c r="N348" s="136">
        <f>IFERROR(IF($C348="","",$M348*$H348),"Non Trouvé")</f>
        <v/>
      </c>
      <c r="P348" s="97" t="n"/>
      <c r="R348" s="95">
        <f>IFERROR(IF($C348="","",$N348*(1-$P348)),"Non Trouvé")</f>
        <v/>
      </c>
      <c r="S348" s="96" t="n"/>
      <c r="T348" s="95">
        <f>IFERROR(IF($C348="","",VLOOKUP($C348,'[1]Paramètres Articles'!$B:$H,7,FALSE)),"Non Trouvé")</f>
        <v/>
      </c>
      <c r="U348" s="98" t="n"/>
      <c r="V348" s="95">
        <f>IFERROR(IF($C348="","",IF($P348="","",$T348*(1-$P348))),"Non Trouvé")</f>
        <v/>
      </c>
      <c r="W348" s="96" t="n"/>
      <c r="X348" s="95">
        <f>IFERROR(T348-V348,"")</f>
        <v/>
      </c>
      <c r="Y348" s="96" t="n"/>
      <c r="Z348" s="95">
        <f>IFERROR(IF(OR(T348=0,T348=""),0,T348*H348),"Non Trouvé")</f>
        <v/>
      </c>
      <c r="AB348" s="99">
        <f>AB347</f>
        <v/>
      </c>
      <c r="AC348" s="99">
        <f>AC347</f>
        <v/>
      </c>
      <c r="AD348" s="95">
        <f>IFERROR(IF($C348="","",IF($P$15="Cascade",$R348*(1-AC348)*AB348,IF($P$15="Additionnelle",($N348-($N348*($P348+AC348)))*AB348))),"Non Trouvé")</f>
        <v/>
      </c>
      <c r="AG348" s="99">
        <f>AG347</f>
        <v/>
      </c>
      <c r="AH348" s="99">
        <f>AH347</f>
        <v/>
      </c>
      <c r="AI348" s="95">
        <f>IFERROR(IF($C348="","",IF($P$15="Cascade",$R348*(1-AH348)*AG348,IF($P$15="Additionnelle",($N348-($N348*($P348+AH348)))*AG348))),"Non Trouvé")</f>
        <v/>
      </c>
      <c r="AL348" s="99">
        <f>AL347</f>
        <v/>
      </c>
      <c r="AM348" s="99">
        <f>AM347</f>
        <v/>
      </c>
      <c r="AN348" s="95">
        <f>IFERROR(IF($C348="","",IF($P$15="Cascade",$R348*(1-AM348)*AL348,IF($P$15="Additionnelle",($N348-($N348*($P348+AM348)))*AL348))),"Non Trouvé")</f>
        <v/>
      </c>
      <c r="AQ348" s="99">
        <f>AQ347</f>
        <v/>
      </c>
      <c r="AR348" s="99">
        <f>AR347</f>
        <v/>
      </c>
      <c r="AS348" s="95">
        <f>IFERROR(IF($C348="","",IF($P$15="Cascade",$R348*(1-AR348)*AQ348,IF($P$15="Additionnelle",($N348-($N348*($P348+AR348)))*AQ348))),"Non Trouvé")</f>
        <v/>
      </c>
      <c r="AV348" s="99">
        <f>AV347</f>
        <v/>
      </c>
      <c r="AW348" s="99">
        <f>AW347</f>
        <v/>
      </c>
      <c r="AX348" s="95">
        <f>IFERROR(IF($C348="","",IF($P$15="Cascade",$R348*(1-AW348)*AV348,IF($P$15="Additionnelle",($N348-($N348*($P348+AW348)))*AV348))),"Non Trouvé")</f>
        <v/>
      </c>
      <c r="BA348" s="99">
        <f>BA347</f>
        <v/>
      </c>
      <c r="BB348" s="99">
        <f>BB347</f>
        <v/>
      </c>
      <c r="BC348" s="95">
        <f>IFERROR(IF($C348="","",IF($P$15="Cascade",$R348*(1-BB348)*BA348,IF($P$15="Additionnelle",($N348-($N348*($P348+BB348)))*BA348))),"Non Trouvé")</f>
        <v/>
      </c>
      <c r="BF348" s="99">
        <f>BF347</f>
        <v/>
      </c>
      <c r="BG348" s="99">
        <f>BG347</f>
        <v/>
      </c>
      <c r="BH348" s="95">
        <f>IFERROR(IF($C348="","",IF($P$15="Cascade",$R348*(1-BG348)*BF348,IF($P$15="Additionnelle",($N348-($N348*($P348+BG348)))*BF348))),"Non Trouvé")</f>
        <v/>
      </c>
      <c r="BK348" s="99">
        <f>BK347</f>
        <v/>
      </c>
      <c r="BL348" s="99">
        <f>BL347</f>
        <v/>
      </c>
      <c r="BM348" s="95">
        <f>IFERROR(IF($C348="","",IF($P$15="Cascade",$R348*(1-BL348)*BK348,IF($P$15="Additionnelle",($N348-($N348*($P348+BL348)))*BK348))),"Non Trouvé")</f>
        <v/>
      </c>
      <c r="BP348" s="99">
        <f>BP347</f>
        <v/>
      </c>
      <c r="BQ348" s="99">
        <f>BQ347</f>
        <v/>
      </c>
      <c r="BR348" s="95">
        <f>IFERROR(IF($C348="","",IF($P$15="Cascade",$R348*(1-BQ348)*BP348,IF($P$15="Additionnelle",($N348-($N348*($P348+BQ348)))*BP348))),"Non Trouvé")</f>
        <v/>
      </c>
      <c r="BU348" s="99">
        <f>BU347</f>
        <v/>
      </c>
      <c r="BV348" s="99">
        <f>BV347</f>
        <v/>
      </c>
      <c r="BW348" s="95">
        <f>IFERROR(IF($C348="","",IF($P$15="Cascade",$R348*(1-BV348)*BU348,IF($P$15="Additionnelle",($N348-($N348*($P348+BV348)))*BU348))),"Non Trouvé")</f>
        <v/>
      </c>
      <c r="BZ348" s="99">
        <f>BZ347</f>
        <v/>
      </c>
      <c r="CA348" s="99">
        <f>CA347</f>
        <v/>
      </c>
      <c r="CB348" s="95">
        <f>IFERROR(IF($C348="","",IF($P$15="Cascade",$R348*(1-CA348)*BZ348,IF($P$15="Additionnelle",($N348-($N348*($P348+CA348)))*BZ348))),"Non Trouvé")</f>
        <v/>
      </c>
      <c r="CE348" s="100" t="n"/>
      <c r="CF348" s="138" t="n"/>
      <c r="CG348" s="101" t="n"/>
      <c r="CH348" s="101" t="n"/>
      <c r="CI348" s="103" t="n"/>
      <c r="CK348" s="104">
        <f>IFERROR(IF(F348='[1]Paramètres Généraux'!$K$12,ROUNDUP((REGENERANTS!H348*REGENERANTS!$CF$329)*'[1]Paramètres Généraux'!$M$12,-1),IF(F348='[1]Paramètres Généraux'!$K$15,ROUNDUP((REGENERANTS!H348*REGENERANTS!$CF$329)*'[1]Paramètres Généraux'!$M$15,-1),REGENERANTS!H348*REGENERANTS!$CF$329)),"nd")</f>
        <v/>
      </c>
      <c r="CN348" s="105" t="n"/>
      <c r="CO348" s="106" t="n"/>
      <c r="CP348" s="106" t="n"/>
      <c r="CQ348" s="106" t="n"/>
      <c r="CR348" s="106" t="n"/>
      <c r="CS348" s="178" t="n"/>
      <c r="CT348" s="179" t="n"/>
      <c r="CU348" s="106" t="n"/>
      <c r="CV348" s="178" t="n"/>
      <c r="CW348" s="111" t="n"/>
      <c r="CX348" s="112" t="n"/>
      <c r="CY348" s="111" t="n"/>
      <c r="CZ348" s="109" t="n"/>
      <c r="DA348" s="112" t="n"/>
      <c r="DB348" s="111" t="n"/>
      <c r="DC348" s="109" t="n"/>
      <c r="DD348" s="112" t="n"/>
      <c r="DE348" s="111" t="n"/>
      <c r="DF348" s="109" t="n"/>
      <c r="DG348" s="109" t="n"/>
      <c r="DH348" s="109" t="n"/>
      <c r="DI348" s="109" t="n"/>
      <c r="DJ348" s="109" t="n"/>
      <c r="DK348" s="109" t="n"/>
      <c r="DL348" s="109" t="n"/>
      <c r="DM348" s="109" t="n"/>
      <c r="DN348" s="109" t="n"/>
      <c r="DO348" s="112" t="n"/>
      <c r="DP348" s="111" t="n"/>
      <c r="DQ348" s="20">
        <f>SUM(CN348:DP348)</f>
        <v/>
      </c>
      <c r="DR348" s="20">
        <f>SUM(CV348:DP348)</f>
        <v/>
      </c>
      <c r="DS348" s="20">
        <f>IFERROR((IF(AND($F348="Produit Vente",CO348&gt;0),VLOOKUP($C348,'[1]Paramètres Articles'!$B:$H,7,FALSE)*$CO348)*(1-20%)),0)</f>
        <v/>
      </c>
      <c r="DT348" s="20">
        <f>IFERROR((IF(AND($F348="Produit Vente",DR348&gt;0),VLOOKUP($C348,'[1]Paramètres Articles'!$B:$H,6,FALSE)*$DR348)*(1-15%)),0)</f>
        <v/>
      </c>
      <c r="DU348" s="20">
        <f>IFERROR(DQ348*J348,0)</f>
        <v/>
      </c>
    </row>
    <row r="349" outlineLevel="1" collapsed="1" ht="12.95" customHeight="1">
      <c r="B349" s="1">
        <f>IF(C349="",0,COUNTIFS($B$22:B348,"&gt;"&amp;0)+1)</f>
        <v/>
      </c>
      <c r="C349" s="90" t="n">
        <v>3020718</v>
      </c>
      <c r="D349" s="91">
        <f>IFERROR(IF($C349="","",VLOOKUP($C349,'[1]Paramètres Articles'!$B:$G,2,FALSE)),"Non Trouvé")</f>
        <v/>
      </c>
      <c r="E349" s="92">
        <f>IFERROR(IF($C349="","",_xlfn.XLOOKUP(REGENERANTS!$C349,'[1]New Base PA'!$F:$F,'[1]New Base PA'!$D:$D,"Not Found",0)),"Non Trouvé")</f>
        <v/>
      </c>
      <c r="F349" s="93" t="inlineStr">
        <is>
          <t>Testeur</t>
        </is>
      </c>
      <c r="H349" s="94" t="n">
        <v>2</v>
      </c>
      <c r="J349" s="95">
        <f>IFERROR(IF($C349="","",VLOOKUP($C349,'[1]New Base PA'!$F:$J,5,FALSE)),"Non Trouvé")</f>
        <v/>
      </c>
      <c r="K349" s="136">
        <f>IFERROR(IF($C349="","",$J349*$H349),"Non Trouvé")</f>
        <v/>
      </c>
      <c r="L349" s="137" t="n"/>
      <c r="M349" s="136">
        <f>IFERROR(IF(AND($F349="Produit Vente",H349&gt;0),VLOOKUP($C349,'[1]Paramètres Articles'!$B:$G,6,FALSE),0),"Non Trouvé")</f>
        <v/>
      </c>
      <c r="N349" s="136">
        <f>IFERROR(IF($C349="","",$M349*$H349),"Non Trouvé")</f>
        <v/>
      </c>
      <c r="P349" s="97" t="n"/>
      <c r="R349" s="95">
        <f>IFERROR(IF($C349="","",$N349*(1-$P349)),"Non Trouvé")</f>
        <v/>
      </c>
      <c r="S349" s="96" t="n"/>
      <c r="T349" s="95">
        <f>IFERROR(IF($C349="","",VLOOKUP($C349,'[1]Paramètres Articles'!$B:$H,7,FALSE)),"Non Trouvé")</f>
        <v/>
      </c>
      <c r="U349" s="98" t="n"/>
      <c r="V349" s="95">
        <f>IFERROR(IF($C349="","",IF($P349="","",$T349*(1-$P349))),"Non Trouvé")</f>
        <v/>
      </c>
      <c r="W349" s="96" t="n"/>
      <c r="X349" s="95">
        <f>IFERROR(T349-V349,"")</f>
        <v/>
      </c>
      <c r="Y349" s="96" t="n"/>
      <c r="Z349" s="95">
        <f>IFERROR(IF(OR(T349=0,T349=""),0,T349*H349),"Non Trouvé")</f>
        <v/>
      </c>
      <c r="AB349" s="99">
        <f>AB347</f>
        <v/>
      </c>
      <c r="AC349" s="99">
        <f>AC347</f>
        <v/>
      </c>
      <c r="AD349" s="95">
        <f>IFERROR(IF($C349="","",IF($P$15="Cascade",$R349*(1-AC349)*AB349,IF($P$15="Additionnelle",($N349-($N349*($P349+AC349)))*AB349))),"Non Trouvé")</f>
        <v/>
      </c>
      <c r="AG349" s="99">
        <f>AG347</f>
        <v/>
      </c>
      <c r="AH349" s="99">
        <f>AH347</f>
        <v/>
      </c>
      <c r="AI349" s="95">
        <f>IFERROR(IF($C349="","",IF($P$15="Cascade",$R349*(1-AH349)*AG349,IF($P$15="Additionnelle",($N349-($N349*($P349+AH349)))*AG349))),"Non Trouvé")</f>
        <v/>
      </c>
      <c r="AL349" s="99">
        <f>AL347</f>
        <v/>
      </c>
      <c r="AM349" s="99">
        <f>AM347</f>
        <v/>
      </c>
      <c r="AN349" s="95">
        <f>IFERROR(IF($C349="","",IF($P$15="Cascade",$R349*(1-AM349)*AL349,IF($P$15="Additionnelle",($N349-($N349*($P349+AM349)))*AL349))),"Non Trouvé")</f>
        <v/>
      </c>
      <c r="AQ349" s="99">
        <f>AQ347</f>
        <v/>
      </c>
      <c r="AR349" s="99">
        <f>AR347</f>
        <v/>
      </c>
      <c r="AS349" s="95">
        <f>IFERROR(IF($C349="","",IF($P$15="Cascade",$R349*(1-AR349)*AQ349,IF($P$15="Additionnelle",($N349-($N349*($P349+AR349)))*AQ349))),"Non Trouvé")</f>
        <v/>
      </c>
      <c r="AV349" s="99">
        <f>AV347</f>
        <v/>
      </c>
      <c r="AW349" s="99">
        <f>AW347</f>
        <v/>
      </c>
      <c r="AX349" s="95">
        <f>IFERROR(IF($C349="","",IF($P$15="Cascade",$R349*(1-AW349)*AV349,IF($P$15="Additionnelle",($N349-($N349*($P349+AW349)))*AV349))),"Non Trouvé")</f>
        <v/>
      </c>
      <c r="BA349" s="99">
        <f>BA347</f>
        <v/>
      </c>
      <c r="BB349" s="99">
        <f>BB347</f>
        <v/>
      </c>
      <c r="BC349" s="95">
        <f>IFERROR(IF($C349="","",IF($P$15="Cascade",$R349*(1-BB349)*BA349,IF($P$15="Additionnelle",($N349-($N349*($P349+BB349)))*BA349))),"Non Trouvé")</f>
        <v/>
      </c>
      <c r="BF349" s="99">
        <f>BF347</f>
        <v/>
      </c>
      <c r="BG349" s="99">
        <f>BG347</f>
        <v/>
      </c>
      <c r="BH349" s="95">
        <f>IFERROR(IF($C349="","",IF($P$15="Cascade",$R349*(1-BG349)*BF349,IF($P$15="Additionnelle",($N349-($N349*($P349+BG349)))*BF349))),"Non Trouvé")</f>
        <v/>
      </c>
      <c r="BK349" s="99">
        <f>BK347</f>
        <v/>
      </c>
      <c r="BL349" s="99">
        <f>BL347</f>
        <v/>
      </c>
      <c r="BM349" s="95">
        <f>IFERROR(IF($C349="","",IF($P$15="Cascade",$R349*(1-BL349)*BK349,IF($P$15="Additionnelle",($N349-($N349*($P349+BL349)))*BK349))),"Non Trouvé")</f>
        <v/>
      </c>
      <c r="BP349" s="99">
        <f>BP347</f>
        <v/>
      </c>
      <c r="BQ349" s="99">
        <f>BQ347</f>
        <v/>
      </c>
      <c r="BR349" s="95">
        <f>IFERROR(IF($C349="","",IF($P$15="Cascade",$R349*(1-BQ349)*BP349,IF($P$15="Additionnelle",($N349-($N349*($P349+BQ349)))*BP349))),"Non Trouvé")</f>
        <v/>
      </c>
      <c r="BU349" s="99">
        <f>BU347</f>
        <v/>
      </c>
      <c r="BV349" s="99">
        <f>BV347</f>
        <v/>
      </c>
      <c r="BW349" s="95">
        <f>IFERROR(IF($C349="","",IF($P$15="Cascade",$R349*(1-BV349)*BU349,IF($P$15="Additionnelle",($N349-($N349*($P349+BV349)))*BU349))),"Non Trouvé")</f>
        <v/>
      </c>
      <c r="BZ349" s="99">
        <f>BZ347</f>
        <v/>
      </c>
      <c r="CA349" s="99">
        <f>CA347</f>
        <v/>
      </c>
      <c r="CB349" s="95">
        <f>IFERROR(IF($C349="","",IF($P$15="Cascade",$R349*(1-CA349)*BZ349,IF($P$15="Additionnelle",($N349-($N349*($P349+CA349)))*BZ349))),"Non Trouvé")</f>
        <v/>
      </c>
      <c r="CE349" s="100" t="n"/>
      <c r="CF349" s="101" t="n"/>
      <c r="CG349" s="133" t="inlineStr">
        <is>
          <t>Institut</t>
        </is>
      </c>
      <c r="CH349" s="101" t="n"/>
      <c r="CI349" s="103" t="n"/>
      <c r="CK349" s="104">
        <f>IFERROR(IF(F349='[1]Paramètres Généraux'!$K$12,ROUNDUP((REGENERANTS!H349*REGENERANTS!$CF$329)*'[1]Paramètres Généraux'!$M$12,-1),IF(F349='[1]Paramètres Généraux'!$K$15,ROUNDUP((REGENERANTS!H349*REGENERANTS!$CF$329)*'[1]Paramètres Généraux'!$M$15,-1),REGENERANTS!H349*REGENERANTS!$CF$329)),"nd")</f>
        <v/>
      </c>
      <c r="CN349" s="105" t="n"/>
      <c r="CO349" s="106" t="n"/>
      <c r="CP349" s="106" t="n"/>
      <c r="CQ349" s="106" t="n"/>
      <c r="CR349" s="106" t="n"/>
      <c r="CS349" s="178" t="n"/>
      <c r="CT349" s="179" t="n"/>
      <c r="CU349" s="106" t="n"/>
      <c r="CV349" s="178" t="n"/>
      <c r="CW349" s="111" t="n"/>
      <c r="CX349" s="112" t="n"/>
      <c r="CY349" s="111" t="n"/>
      <c r="CZ349" s="109" t="n"/>
      <c r="DA349" s="112" t="n"/>
      <c r="DB349" s="111" t="n"/>
      <c r="DC349" s="109" t="n"/>
      <c r="DD349" s="112" t="n"/>
      <c r="DE349" s="111" t="n"/>
      <c r="DF349" s="109" t="n"/>
      <c r="DG349" s="109" t="n"/>
      <c r="DH349" s="109" t="n"/>
      <c r="DI349" s="109" t="n"/>
      <c r="DJ349" s="109" t="n"/>
      <c r="DK349" s="109" t="n"/>
      <c r="DL349" s="109" t="n"/>
      <c r="DM349" s="109" t="n"/>
      <c r="DN349" s="109" t="n"/>
      <c r="DO349" s="112" t="n"/>
      <c r="DP349" s="111" t="n"/>
      <c r="DQ349" s="20">
        <f>SUM(CN349:DP349)</f>
        <v/>
      </c>
      <c r="DR349" s="20">
        <f>SUM(CV349:DP349)</f>
        <v/>
      </c>
      <c r="DS349" s="20">
        <f>IFERROR((IF(AND($F349="Produit Vente",CO349&gt;0),VLOOKUP($C349,'[1]Paramètres Articles'!$B:$H,7,FALSE)*$CO349)*(1-20%)),0)</f>
        <v/>
      </c>
      <c r="DT349" s="20">
        <f>IFERROR((IF(AND($F349="Produit Vente",DR349&gt;0),VLOOKUP($C349,'[1]Paramètres Articles'!$B:$H,6,FALSE)*$DR349)*(1-15%)),0)</f>
        <v/>
      </c>
      <c r="DU349" s="20">
        <f>IFERROR(DQ349*J349,0)</f>
        <v/>
      </c>
    </row>
    <row r="350" outlineLevel="1" collapsed="1" ht="12.95" customHeight="1">
      <c r="B350" s="1">
        <f>IF(C350="",0,COUNTIFS($B$22:B349,"&gt;"&amp;0)+1)</f>
        <v/>
      </c>
      <c r="C350" s="90" t="inlineStr">
        <is>
          <t>TG 3D</t>
        </is>
      </c>
      <c r="D350" s="91">
        <f>IFERROR(IF($C350="","",VLOOKUP($C350,'[1]Paramètres Articles'!$B:$G,2,FALSE)),"Non Trouvé")</f>
        <v/>
      </c>
      <c r="E350" s="92">
        <f>IFERROR(IF($C350="","",_xlfn.XLOOKUP(REGENERANTS!$C350,'[1]New Base PA'!$F:$F,'[1]New Base PA'!$D:$D,"Not Found",0)),"Non Trouvé")</f>
        <v/>
      </c>
      <c r="F350" s="93" t="inlineStr">
        <is>
          <t>PLV (PDC ou autre)</t>
        </is>
      </c>
      <c r="H350" s="94" t="n">
        <v>1</v>
      </c>
      <c r="J350" s="95">
        <f>IFERROR(IF($C350="","",VLOOKUP($C350,'[1]New Base PA'!$F:$J,5,FALSE)),"Non Trouvé")</f>
        <v/>
      </c>
      <c r="K350" s="136">
        <f>IFERROR(IF($C350="","",$J350*$H350),"Non Trouvé")</f>
        <v/>
      </c>
      <c r="L350" s="137" t="n"/>
      <c r="M350" s="136">
        <f>IFERROR(IF(AND($F350="Produit Vente",H350&gt;0),VLOOKUP($C350,'[1]Paramètres Articles'!$B:$G,6,FALSE),0),"Non Trouvé")</f>
        <v/>
      </c>
      <c r="N350" s="136">
        <f>IFERROR(IF($C350="","",$M350*$H350),"Non Trouvé")</f>
        <v/>
      </c>
      <c r="P350" s="97" t="n"/>
      <c r="R350" s="95">
        <f>IFERROR(IF($C350="","",$N350*(1-$P350)),"Non Trouvé")</f>
        <v/>
      </c>
      <c r="S350" s="96" t="n"/>
      <c r="T350" s="95">
        <f>IFERROR(IF($C350="","",VLOOKUP($C350,'[1]Paramètres Articles'!$B:$H,7,FALSE)),"Non Trouvé")</f>
        <v/>
      </c>
      <c r="U350" s="98" t="n"/>
      <c r="V350" s="95">
        <f>IFERROR(IF($C350="","",IF($P350="","",$T350*(1-$P350))),"Non Trouvé")</f>
        <v/>
      </c>
      <c r="W350" s="96" t="n"/>
      <c r="X350" s="95">
        <f>IFERROR(T350-V350,"")</f>
        <v/>
      </c>
      <c r="Y350" s="96" t="n"/>
      <c r="Z350" s="95">
        <f>IFERROR(IF(OR(T350=0,T350=""),0,T350*H350),"Non Trouvé")</f>
        <v/>
      </c>
      <c r="AB350" s="99">
        <f>AB349</f>
        <v/>
      </c>
      <c r="AC350" s="99">
        <f>AC349</f>
        <v/>
      </c>
      <c r="AD350" s="95">
        <f>IFERROR(IF($C350="","",IF($P$15="Cascade",$R350*(1-AC350)*AB350,IF($P$15="Additionnelle",($N350-($N350*($P350+AC350)))*AB350))),"Non Trouvé")</f>
        <v/>
      </c>
      <c r="AG350" s="99">
        <f>AG349</f>
        <v/>
      </c>
      <c r="AH350" s="99">
        <f>AH349</f>
        <v/>
      </c>
      <c r="AI350" s="95">
        <f>IFERROR(IF($C350="","",IF($P$15="Cascade",$R350*(1-AH350)*AG350,IF($P$15="Additionnelle",($N350-($N350*($P350+AH350)))*AG350))),"Non Trouvé")</f>
        <v/>
      </c>
      <c r="AL350" s="99">
        <f>AL349</f>
        <v/>
      </c>
      <c r="AM350" s="99">
        <f>AM349</f>
        <v/>
      </c>
      <c r="AN350" s="95">
        <f>IFERROR(IF($C350="","",IF($P$15="Cascade",$R350*(1-AM350)*AL350,IF($P$15="Additionnelle",($N350-($N350*($P350+AM350)))*AL350))),"Non Trouvé")</f>
        <v/>
      </c>
      <c r="AQ350" s="99">
        <f>AQ349</f>
        <v/>
      </c>
      <c r="AR350" s="99">
        <f>AR349</f>
        <v/>
      </c>
      <c r="AS350" s="95">
        <f>IFERROR(IF($C350="","",IF($P$15="Cascade",$R350*(1-AR350)*AQ350,IF($P$15="Additionnelle",($N350-($N350*($P350+AR350)))*AQ350))),"Non Trouvé")</f>
        <v/>
      </c>
      <c r="AV350" s="99">
        <f>AV349</f>
        <v/>
      </c>
      <c r="AW350" s="99">
        <f>AW349</f>
        <v/>
      </c>
      <c r="AX350" s="95">
        <f>IFERROR(IF($C350="","",IF($P$15="Cascade",$R350*(1-AW350)*AV350,IF($P$15="Additionnelle",($N350-($N350*($P350+AW350)))*AV350))),"Non Trouvé")</f>
        <v/>
      </c>
      <c r="BA350" s="99">
        <f>BA349</f>
        <v/>
      </c>
      <c r="BB350" s="99">
        <f>BB349</f>
        <v/>
      </c>
      <c r="BC350" s="95">
        <f>IFERROR(IF($C350="","",IF($P$15="Cascade",$R350*(1-BB350)*BA350,IF($P$15="Additionnelle",($N350-($N350*($P350+BB350)))*BA350))),"Non Trouvé")</f>
        <v/>
      </c>
      <c r="BF350" s="99">
        <f>BF349</f>
        <v/>
      </c>
      <c r="BG350" s="99">
        <f>BG349</f>
        <v/>
      </c>
      <c r="BH350" s="95">
        <f>IFERROR(IF($C350="","",IF($P$15="Cascade",$R350*(1-BG350)*BF350,IF($P$15="Additionnelle",($N350-($N350*($P350+BG350)))*BF350))),"Non Trouvé")</f>
        <v/>
      </c>
      <c r="BK350" s="99">
        <f>BK349</f>
        <v/>
      </c>
      <c r="BL350" s="99">
        <f>BL349</f>
        <v/>
      </c>
      <c r="BM350" s="95">
        <f>IFERROR(IF($C350="","",IF($P$15="Cascade",$R350*(1-BL350)*BK350,IF($P$15="Additionnelle",($N350-($N350*($P350+BL350)))*BK350))),"Non Trouvé")</f>
        <v/>
      </c>
      <c r="BP350" s="99">
        <f>BP349</f>
        <v/>
      </c>
      <c r="BQ350" s="99">
        <f>BQ349</f>
        <v/>
      </c>
      <c r="BR350" s="95">
        <f>IFERROR(IF($C350="","",IF($P$15="Cascade",$R350*(1-BQ350)*BP350,IF($P$15="Additionnelle",($N350-($N350*($P350+BQ350)))*BP350))),"Non Trouvé")</f>
        <v/>
      </c>
      <c r="BU350" s="99">
        <f>BU349</f>
        <v/>
      </c>
      <c r="BV350" s="99">
        <f>BV349</f>
        <v/>
      </c>
      <c r="BW350" s="95">
        <f>IFERROR(IF($C350="","",IF($P$15="Cascade",$R350*(1-BV350)*BU350,IF($P$15="Additionnelle",($N350-($N350*($P350+BV350)))*BU350))),"Non Trouvé")</f>
        <v/>
      </c>
      <c r="BZ350" s="99">
        <f>BZ349</f>
        <v/>
      </c>
      <c r="CA350" s="99">
        <f>CA349</f>
        <v/>
      </c>
      <c r="CB350" s="95">
        <f>IFERROR(IF($C350="","",IF($P$15="Cascade",$R350*(1-CA350)*BZ350,IF($P$15="Additionnelle",($N350-($N350*($P350+CA350)))*BZ350))),"Non Trouvé")</f>
        <v/>
      </c>
      <c r="CE350" s="100" t="n"/>
      <c r="CF350" s="101" t="n"/>
      <c r="CG350" s="102" t="inlineStr">
        <is>
          <t>Nbrs Offres planifiées</t>
        </is>
      </c>
      <c r="CH350" s="138">
        <f>SUMIFS($AV329:$BX329,$AV326:$BX326,CG350)</f>
        <v/>
      </c>
      <c r="CI350" s="103" t="n"/>
      <c r="CK350" s="104">
        <f>IFERROR(IF(F350='[1]Paramètres Généraux'!$K$12,ROUNDUP((REGENERANTS!H350*REGENERANTS!$CF$329)*'[1]Paramètres Généraux'!$M$12,-1),IF(F350='[1]Paramètres Généraux'!$K$15,ROUNDUP((REGENERANTS!H350*REGENERANTS!$CF$329)*'[1]Paramètres Généraux'!$M$15,-1),REGENERANTS!H350*REGENERANTS!$CF$329)),"nd")</f>
        <v/>
      </c>
      <c r="CN350" s="153" t="n"/>
      <c r="CO350" s="154" t="n"/>
      <c r="CP350" s="154" t="n"/>
      <c r="CQ350" s="154" t="n"/>
      <c r="CR350" s="154" t="n"/>
      <c r="CS350" s="180" t="n"/>
      <c r="CT350" s="181" t="n"/>
      <c r="CU350" s="154" t="n"/>
      <c r="CV350" s="180" t="n"/>
      <c r="CW350" s="157" t="n"/>
      <c r="CX350" s="156" t="n"/>
      <c r="CY350" s="157" t="n"/>
      <c r="CZ350" s="143" t="n"/>
      <c r="DA350" s="156" t="n"/>
      <c r="DB350" s="157" t="n"/>
      <c r="DC350" s="143" t="n"/>
      <c r="DD350" s="156" t="n"/>
      <c r="DE350" s="157" t="n"/>
      <c r="DF350" s="143" t="n"/>
      <c r="DG350" s="143" t="n"/>
      <c r="DH350" s="143" t="n"/>
      <c r="DI350" s="143" t="n"/>
      <c r="DJ350" s="143" t="n"/>
      <c r="DK350" s="143" t="n"/>
      <c r="DL350" s="143" t="n"/>
      <c r="DM350" s="143" t="n"/>
      <c r="DN350" s="143" t="n"/>
      <c r="DO350" s="156" t="n"/>
      <c r="DP350" s="157" t="n"/>
      <c r="DQ350" s="20">
        <f>SUM(CN350:DP350)</f>
        <v/>
      </c>
      <c r="DR350" s="20">
        <f>SUM(CV350:DP350)</f>
        <v/>
      </c>
      <c r="DS350" s="20">
        <f>IFERROR((IF(AND($F350="Produit Vente",CO350&gt;0),VLOOKUP($C350,'[1]Paramètres Articles'!$B:$H,7,FALSE)*$CO350)*(1-20%)),0)</f>
        <v/>
      </c>
      <c r="DT350" s="20">
        <f>IFERROR((IF(AND($F350="Produit Vente",DR350&gt;0),VLOOKUP($C350,'[1]Paramètres Articles'!$B:$H,6,FALSE)*$DR350)*(1-15%)),0)</f>
        <v/>
      </c>
      <c r="DU350" s="20">
        <f>IFERROR(DQ350*J350,0)</f>
        <v/>
      </c>
    </row>
    <row r="351" outlineLevel="1" collapsed="1" ht="12.95" customHeight="1">
      <c r="B351" s="1">
        <f>IF(C351="",0,COUNTIFS($B$22:B350,"&gt;"&amp;0)+1)</f>
        <v/>
      </c>
      <c r="C351" s="90" t="n"/>
      <c r="D351" s="91">
        <f>IFERROR(IF($C351="","",VLOOKUP($C351,'[1]Paramètres Articles'!$B:$G,2,FALSE)),"Non Trouvé")</f>
        <v/>
      </c>
      <c r="E351" s="92">
        <f>IFERROR(IF($C351="","",_xlfn.XLOOKUP(REGENERANTS!$C351,'[1]New Base PA'!$F:$F,'[1]New Base PA'!$D:$D,"Not Found",0)),"Non Trouvé")</f>
        <v/>
      </c>
      <c r="F351" s="93" t="n"/>
      <c r="H351" s="106" t="n"/>
      <c r="J351" s="95">
        <f>IFERROR(IF($C351="","",VLOOKUP($C351,'[1]New Base PA'!$F:$J,5,FALSE)),"Non Trouvé")</f>
        <v/>
      </c>
      <c r="K351" s="136">
        <f>IFERROR(IF($C351="","",$J351*$H351),"Non Trouvé")</f>
        <v/>
      </c>
      <c r="L351" s="137" t="n"/>
      <c r="M351" s="136">
        <f>IFERROR(IF(AND($F351="Produit Vente",H351&gt;0),VLOOKUP($C351,'[1]Paramètres Articles'!$B:$G,6,FALSE),0),"Non Trouvé")</f>
        <v/>
      </c>
      <c r="N351" s="136">
        <f>IFERROR(IF($C351="","",$M351*$H351),"Non Trouvé")</f>
        <v/>
      </c>
      <c r="P351" s="97" t="n"/>
      <c r="R351" s="95">
        <f>IFERROR(IF($C351="","",$N351*(1-$P351)),"Non Trouvé")</f>
        <v/>
      </c>
      <c r="S351" s="96" t="n"/>
      <c r="T351" s="95">
        <f>IFERROR(IF($C351="","",VLOOKUP($C351,'[1]Paramètres Articles'!$B:$H,7,FALSE)),"Non Trouvé")</f>
        <v/>
      </c>
      <c r="U351" s="98" t="n"/>
      <c r="V351" s="95">
        <f>IFERROR(IF($C351="","",IF($P351="","",$T351*(1-$P351))),"Non Trouvé")</f>
        <v/>
      </c>
      <c r="W351" s="96" t="n"/>
      <c r="X351" s="95">
        <f>IFERROR(T351-V351,"")</f>
        <v/>
      </c>
      <c r="Y351" s="96" t="n"/>
      <c r="Z351" s="95">
        <f>IFERROR(IF(OR(T351=0,T351=""),0,T351*H351),"Non Trouvé")</f>
        <v/>
      </c>
      <c r="AB351" s="99">
        <f>AB349</f>
        <v/>
      </c>
      <c r="AC351" s="99">
        <f>AC349</f>
        <v/>
      </c>
      <c r="AD351" s="95">
        <f>IFERROR(IF($C351="","",IF($P$15="Cascade",$R351*(1-AC351)*AB351,IF($P$15="Additionnelle",($N351-($N351*($P351+AC351)))*AB351))),"Non Trouvé")</f>
        <v/>
      </c>
      <c r="AG351" s="99">
        <f>AG349</f>
        <v/>
      </c>
      <c r="AH351" s="99">
        <f>AH349</f>
        <v/>
      </c>
      <c r="AI351" s="95">
        <f>IFERROR(IF($C351="","",IF($P$15="Cascade",$R351*(1-AH351)*AG351,IF($P$15="Additionnelle",($N351-($N351*($P351+AH351)))*AG351))),"Non Trouvé")</f>
        <v/>
      </c>
      <c r="AL351" s="99">
        <f>AL349</f>
        <v/>
      </c>
      <c r="AM351" s="99">
        <f>AM349</f>
        <v/>
      </c>
      <c r="AN351" s="95">
        <f>IFERROR(IF($C351="","",IF($P$15="Cascade",$R351*(1-AM351)*AL351,IF($P$15="Additionnelle",($N351-($N351*($P351+AM351)))*AL351))),"Non Trouvé")</f>
        <v/>
      </c>
      <c r="AQ351" s="99">
        <f>AQ349</f>
        <v/>
      </c>
      <c r="AR351" s="99">
        <f>AR349</f>
        <v/>
      </c>
      <c r="AS351" s="95">
        <f>IFERROR(IF($C351="","",IF($P$15="Cascade",$R351*(1-AR351)*AQ351,IF($P$15="Additionnelle",($N351-($N351*($P351+AR351)))*AQ351))),"Non Trouvé")</f>
        <v/>
      </c>
      <c r="AV351" s="99">
        <f>AV349</f>
        <v/>
      </c>
      <c r="AW351" s="99">
        <f>AW349</f>
        <v/>
      </c>
      <c r="AX351" s="95">
        <f>IFERROR(IF($C351="","",IF($P$15="Cascade",$R351*(1-AW351)*AV351,IF($P$15="Additionnelle",($N351-($N351*($P351+AW351)))*AV351))),"Non Trouvé")</f>
        <v/>
      </c>
      <c r="BA351" s="99">
        <f>BA349</f>
        <v/>
      </c>
      <c r="BB351" s="99">
        <f>BB349</f>
        <v/>
      </c>
      <c r="BC351" s="95">
        <f>IFERROR(IF($C351="","",IF($P$15="Cascade",$R351*(1-BB351)*BA351,IF($P$15="Additionnelle",($N351-($N351*($P351+BB351)))*BA351))),"Non Trouvé")</f>
        <v/>
      </c>
      <c r="BF351" s="99">
        <f>BF349</f>
        <v/>
      </c>
      <c r="BG351" s="99">
        <f>BG349</f>
        <v/>
      </c>
      <c r="BH351" s="95">
        <f>IFERROR(IF($C351="","",IF($P$15="Cascade",$R351*(1-BG351)*BF351,IF($P$15="Additionnelle",($N351-($N351*($P351+BG351)))*BF351))),"Non Trouvé")</f>
        <v/>
      </c>
      <c r="BK351" s="99">
        <f>BK349</f>
        <v/>
      </c>
      <c r="BL351" s="99">
        <f>BL349</f>
        <v/>
      </c>
      <c r="BM351" s="95">
        <f>IFERROR(IF($C351="","",IF($P$15="Cascade",$R351*(1-BL351)*BK351,IF($P$15="Additionnelle",($N351-($N351*($P351+BL351)))*BK351))),"Non Trouvé")</f>
        <v/>
      </c>
      <c r="BP351" s="99">
        <f>BP349</f>
        <v/>
      </c>
      <c r="BQ351" s="99">
        <f>BQ349</f>
        <v/>
      </c>
      <c r="BR351" s="95">
        <f>IFERROR(IF($C351="","",IF($P$15="Cascade",$R351*(1-BQ351)*BP351,IF($P$15="Additionnelle",($N351-($N351*($P351+BQ351)))*BP351))),"Non Trouvé")</f>
        <v/>
      </c>
      <c r="BU351" s="99">
        <f>BU349</f>
        <v/>
      </c>
      <c r="BV351" s="99">
        <f>BV349</f>
        <v/>
      </c>
      <c r="BW351" s="95">
        <f>IFERROR(IF($C351="","",IF($P$15="Cascade",$R351*(1-BV351)*BU351,IF($P$15="Additionnelle",($N351-($N351*($P351+BV351)))*BU351))),"Non Trouvé")</f>
        <v/>
      </c>
      <c r="BZ351" s="99">
        <f>BZ349</f>
        <v/>
      </c>
      <c r="CA351" s="99">
        <f>CA349</f>
        <v/>
      </c>
      <c r="CB351" s="95">
        <f>IFERROR(IF($C351="","",IF($P$15="Cascade",$R351*(1-CA351)*BZ351,IF($P$15="Additionnelle",($N351-($N351*($P351+CA351)))*BZ351))),"Non Trouvé")</f>
        <v/>
      </c>
      <c r="CE351" s="100" t="n"/>
      <c r="CF351" s="101" t="n"/>
      <c r="CG351" s="102" t="inlineStr">
        <is>
          <t>CA</t>
        </is>
      </c>
      <c r="CH351" s="139">
        <f>SUMIFS($AV329:$BX329,$AV326:$BX326,CG351)</f>
        <v/>
      </c>
      <c r="CI351" s="103" t="n"/>
      <c r="CK351" s="104">
        <f>IFERROR(IF(F351='[1]Paramètres Généraux'!$K$12,ROUNDUP((REGENERANTS!H351*REGENERANTS!$CF$329)*'[1]Paramètres Généraux'!$M$12,-1),IF(F351='[1]Paramètres Généraux'!$K$15,ROUNDUP((REGENERANTS!H351*REGENERANTS!$CF$329)*'[1]Paramètres Généraux'!$M$15,-1),REGENERANTS!H351*REGENERANTS!$CF$329)),"nd")</f>
        <v/>
      </c>
      <c r="CN351" s="153" t="n"/>
      <c r="CO351" s="154" t="n"/>
      <c r="CP351" s="154" t="n"/>
      <c r="CQ351" s="154" t="n"/>
      <c r="CR351" s="154" t="n"/>
      <c r="CS351" s="180" t="n"/>
      <c r="CT351" s="181" t="n"/>
      <c r="CU351" s="154" t="n"/>
      <c r="CV351" s="180" t="n"/>
      <c r="CW351" s="157" t="n"/>
      <c r="CX351" s="156" t="n"/>
      <c r="CY351" s="157" t="n"/>
      <c r="CZ351" s="143" t="n"/>
      <c r="DA351" s="156" t="n"/>
      <c r="DB351" s="157" t="n"/>
      <c r="DC351" s="143" t="n"/>
      <c r="DD351" s="156" t="n"/>
      <c r="DE351" s="157" t="n"/>
      <c r="DF351" s="143" t="n"/>
      <c r="DG351" s="143" t="n"/>
      <c r="DH351" s="143" t="n"/>
      <c r="DI351" s="143" t="n"/>
      <c r="DJ351" s="143" t="n"/>
      <c r="DK351" s="143" t="n"/>
      <c r="DL351" s="143" t="n"/>
      <c r="DM351" s="143" t="n"/>
      <c r="DN351" s="143" t="n"/>
      <c r="DO351" s="156" t="n"/>
      <c r="DP351" s="157" t="n"/>
      <c r="DQ351" s="20">
        <f>SUM(CN351:DP351)</f>
        <v/>
      </c>
      <c r="DR351" s="20">
        <f>SUM(CV351:DP351)</f>
        <v/>
      </c>
      <c r="DS351" s="20">
        <f>IFERROR((IF(AND($F351="Produit Vente",CO351&gt;0),VLOOKUP($C351,'[1]Paramètres Articles'!$B:$H,7,FALSE)*$CO351)*(1-20%)),0)</f>
        <v/>
      </c>
      <c r="DT351" s="20">
        <f>IFERROR((IF(AND($F351="Produit Vente",DR351&gt;0),VLOOKUP($C351,'[1]Paramètres Articles'!$B:$H,6,FALSE)*$DR351)*(1-15%)),0)</f>
        <v/>
      </c>
      <c r="DU351" s="20">
        <f>IFERROR(DQ351*J351,0)</f>
        <v/>
      </c>
    </row>
    <row r="352" outlineLevel="1" collapsed="1" ht="12.95" customHeight="1">
      <c r="B352" s="1">
        <f>IF(C352="",0,COUNTIFS($B$22:B351,"&gt;"&amp;0)+1)</f>
        <v/>
      </c>
      <c r="C352" s="90" t="n"/>
      <c r="D352" s="91">
        <f>IFERROR(IF($C352="","",VLOOKUP($C352,'[1]Paramètres Articles'!$B:$G,2,FALSE)),"Non Trouvé")</f>
        <v/>
      </c>
      <c r="E352" s="92">
        <f>IFERROR(IF($C352="","",_xlfn.XLOOKUP(REGENERANTS!$C352,'[1]New Base PA'!$F:$F,'[1]New Base PA'!$D:$D,"Not Found",0)),"Non Trouvé")</f>
        <v/>
      </c>
      <c r="F352" s="93" t="n"/>
      <c r="H352" s="106" t="n"/>
      <c r="J352" s="95">
        <f>IFERROR(IF($C352="","",VLOOKUP($C352,'[1]New Base PA'!$F:$J,5,FALSE)),"Non Trouvé")</f>
        <v/>
      </c>
      <c r="K352" s="136">
        <f>IFERROR(IF($C352="","",$J352*$H352),"Non Trouvé")</f>
        <v/>
      </c>
      <c r="L352" s="137" t="n"/>
      <c r="M352" s="136">
        <f>IFERROR(IF(AND($F352="Produit Vente",H352&gt;0),VLOOKUP($C352,'[1]Paramètres Articles'!$B:$G,6,FALSE),0),"Non Trouvé")</f>
        <v/>
      </c>
      <c r="N352" s="136">
        <f>IFERROR(IF($C352="","",$M352*$H352),"Non Trouvé")</f>
        <v/>
      </c>
      <c r="P352" s="97" t="n"/>
      <c r="R352" s="95">
        <f>IFERROR(IF($C352="","",$N352*(1-$P352)),"Non Trouvé")</f>
        <v/>
      </c>
      <c r="S352" s="96" t="n"/>
      <c r="T352" s="95">
        <f>IFERROR(IF($C352="","",VLOOKUP($C352,'[1]Paramètres Articles'!$B:$H,7,FALSE)),"Non Trouvé")</f>
        <v/>
      </c>
      <c r="U352" s="98" t="n"/>
      <c r="V352" s="95">
        <f>IFERROR(IF($C352="","",IF($P352="","",$T352*(1-$P352))),"Non Trouvé")</f>
        <v/>
      </c>
      <c r="W352" s="96" t="n"/>
      <c r="X352" s="95">
        <f>IFERROR(T352-V352,"")</f>
        <v/>
      </c>
      <c r="Y352" s="96" t="n"/>
      <c r="Z352" s="95">
        <f>IFERROR(IF(OR(T352=0,T352=""),0,T352*H352),"Non Trouvé")</f>
        <v/>
      </c>
      <c r="AB352" s="99">
        <f>AB351</f>
        <v/>
      </c>
      <c r="AC352" s="99">
        <f>AC351</f>
        <v/>
      </c>
      <c r="AD352" s="95">
        <f>IFERROR(IF($C352="","",IF($P$15="Cascade",$R352*(1-AC352)*AB352,IF($P$15="Additionnelle",($N352-($N352*($P352+AC352)))*AB352))),"Non Trouvé")</f>
        <v/>
      </c>
      <c r="AG352" s="99">
        <f>AG351</f>
        <v/>
      </c>
      <c r="AH352" s="99">
        <f>AH351</f>
        <v/>
      </c>
      <c r="AI352" s="95">
        <f>IFERROR(IF($C352="","",IF($P$15="Cascade",$R352*(1-AH352)*AG352,IF($P$15="Additionnelle",($N352-($N352*($P352+AH352)))*AG352))),"Non Trouvé")</f>
        <v/>
      </c>
      <c r="AL352" s="99">
        <f>AL351</f>
        <v/>
      </c>
      <c r="AM352" s="99">
        <f>AM351</f>
        <v/>
      </c>
      <c r="AN352" s="95">
        <f>IFERROR(IF($C352="","",IF($P$15="Cascade",$R352*(1-AM352)*AL352,IF($P$15="Additionnelle",($N352-($N352*($P352+AM352)))*AL352))),"Non Trouvé")</f>
        <v/>
      </c>
      <c r="AQ352" s="99">
        <f>AQ351</f>
        <v/>
      </c>
      <c r="AR352" s="99">
        <f>AR351</f>
        <v/>
      </c>
      <c r="AS352" s="95">
        <f>IFERROR(IF($C352="","",IF($P$15="Cascade",$R352*(1-AR352)*AQ352,IF($P$15="Additionnelle",($N352-($N352*($P352+AR352)))*AQ352))),"Non Trouvé")</f>
        <v/>
      </c>
      <c r="AV352" s="99">
        <f>AV351</f>
        <v/>
      </c>
      <c r="AW352" s="99">
        <f>AW351</f>
        <v/>
      </c>
      <c r="AX352" s="95">
        <f>IFERROR(IF($C352="","",IF($P$15="Cascade",$R352*(1-AW352)*AV352,IF($P$15="Additionnelle",($N352-($N352*($P352+AW352)))*AV352))),"Non Trouvé")</f>
        <v/>
      </c>
      <c r="BA352" s="99">
        <f>BA351</f>
        <v/>
      </c>
      <c r="BB352" s="99">
        <f>BB351</f>
        <v/>
      </c>
      <c r="BC352" s="95">
        <f>IFERROR(IF($C352="","",IF($P$15="Cascade",$R352*(1-BB352)*BA352,IF($P$15="Additionnelle",($N352-($N352*($P352+BB352)))*BA352))),"Non Trouvé")</f>
        <v/>
      </c>
      <c r="BF352" s="99">
        <f>BF351</f>
        <v/>
      </c>
      <c r="BG352" s="99">
        <f>BG351</f>
        <v/>
      </c>
      <c r="BH352" s="95">
        <f>IFERROR(IF($C352="","",IF($P$15="Cascade",$R352*(1-BG352)*BF352,IF($P$15="Additionnelle",($N352-($N352*($P352+BG352)))*BF352))),"Non Trouvé")</f>
        <v/>
      </c>
      <c r="BK352" s="99">
        <f>BK351</f>
        <v/>
      </c>
      <c r="BL352" s="99">
        <f>BL351</f>
        <v/>
      </c>
      <c r="BM352" s="95">
        <f>IFERROR(IF($C352="","",IF($P$15="Cascade",$R352*(1-BL352)*BK352,IF($P$15="Additionnelle",($N352-($N352*($P352+BL352)))*BK352))),"Non Trouvé")</f>
        <v/>
      </c>
      <c r="BP352" s="99">
        <f>BP351</f>
        <v/>
      </c>
      <c r="BQ352" s="99">
        <f>BQ351</f>
        <v/>
      </c>
      <c r="BR352" s="95">
        <f>IFERROR(IF($C352="","",IF($P$15="Cascade",$R352*(1-BQ352)*BP352,IF($P$15="Additionnelle",($N352-($N352*($P352+BQ352)))*BP352))),"Non Trouvé")</f>
        <v/>
      </c>
      <c r="BU352" s="99">
        <f>BU351</f>
        <v/>
      </c>
      <c r="BV352" s="99">
        <f>BV351</f>
        <v/>
      </c>
      <c r="BW352" s="95">
        <f>IFERROR(IF($C352="","",IF($P$15="Cascade",$R352*(1-BV352)*BU352,IF($P$15="Additionnelle",($N352-($N352*($P352+BV352)))*BU352))),"Non Trouvé")</f>
        <v/>
      </c>
      <c r="BZ352" s="99">
        <f>BZ351</f>
        <v/>
      </c>
      <c r="CA352" s="99">
        <f>CA351</f>
        <v/>
      </c>
      <c r="CB352" s="95">
        <f>IFERROR(IF($C352="","",IF($P$15="Cascade",$R352*(1-CA352)*BZ352,IF($P$15="Additionnelle",($N352-($N352*($P352+CA352)))*BZ352))),"Non Trouvé")</f>
        <v/>
      </c>
      <c r="CE352" s="100" t="n"/>
      <c r="CF352" s="101" t="n"/>
      <c r="CG352" s="102" t="inlineStr">
        <is>
          <t>Marges</t>
        </is>
      </c>
      <c r="CH352" s="142">
        <f>IFERROR((CH351-$K329*CH350)/CH351,"Non Trouvé")</f>
        <v/>
      </c>
      <c r="CI352" s="103" t="n"/>
      <c r="CK352" s="104">
        <f>IFERROR(IF(F352='[1]Paramètres Généraux'!$K$12,ROUNDUP((REGENERANTS!H352*REGENERANTS!$CF$329)*'[1]Paramètres Généraux'!$M$12,-1),IF(F352='[1]Paramètres Généraux'!$K$15,ROUNDUP((REGENERANTS!H352*REGENERANTS!$CF$329)*'[1]Paramètres Généraux'!$M$15,-1),REGENERANTS!H352*REGENERANTS!$CF$329)),"nd")</f>
        <v/>
      </c>
      <c r="CN352" s="153" t="n"/>
      <c r="CO352" s="154" t="n"/>
      <c r="CP352" s="154" t="n"/>
      <c r="CQ352" s="154" t="n"/>
      <c r="CR352" s="154" t="n"/>
      <c r="CS352" s="180" t="n"/>
      <c r="CT352" s="181" t="n"/>
      <c r="CU352" s="154" t="n"/>
      <c r="CV352" s="180" t="n"/>
      <c r="CW352" s="157" t="n"/>
      <c r="CX352" s="156" t="n"/>
      <c r="CY352" s="157" t="n"/>
      <c r="CZ352" s="143" t="n"/>
      <c r="DA352" s="156" t="n"/>
      <c r="DB352" s="157" t="n"/>
      <c r="DC352" s="143" t="n"/>
      <c r="DD352" s="156" t="n"/>
      <c r="DE352" s="157" t="n"/>
      <c r="DF352" s="143" t="n"/>
      <c r="DG352" s="143" t="n"/>
      <c r="DH352" s="143" t="n"/>
      <c r="DI352" s="143" t="n"/>
      <c r="DJ352" s="143" t="n"/>
      <c r="DK352" s="143" t="n"/>
      <c r="DL352" s="143" t="n"/>
      <c r="DM352" s="143" t="n"/>
      <c r="DN352" s="143" t="n"/>
      <c r="DO352" s="156" t="n"/>
      <c r="DP352" s="157" t="n"/>
      <c r="DQ352" s="20">
        <f>SUM(CN352:DP352)</f>
        <v/>
      </c>
      <c r="DR352" s="20">
        <f>SUM(CV352:DP352)</f>
        <v/>
      </c>
      <c r="DS352" s="20">
        <f>IFERROR((IF(AND($F352="Produit Vente",CO352&gt;0),VLOOKUP($C352,'[1]Paramètres Articles'!$B:$H,7,FALSE)*$CO352)*(1-20%)),0)</f>
        <v/>
      </c>
      <c r="DT352" s="20">
        <f>IFERROR((IF(AND($F352="Produit Vente",DR352&gt;0),VLOOKUP($C352,'[1]Paramètres Articles'!$B:$H,6,FALSE)*$DR352)*(1-15%)),0)</f>
        <v/>
      </c>
      <c r="DU352" s="20">
        <f>IFERROR(DQ352*J352,0)</f>
        <v/>
      </c>
    </row>
    <row r="353" outlineLevel="1" collapsed="1" ht="12.95" customHeight="1">
      <c r="B353" s="1">
        <f>IF(C353="",0,COUNTIFS($B$22:B352,"&gt;"&amp;0)+1)</f>
        <v/>
      </c>
      <c r="C353" s="90" t="n"/>
      <c r="D353" s="91">
        <f>IFERROR(IF($C353="","",VLOOKUP($C353,'[1]Paramètres Articles'!$B:$G,2,FALSE)),"Non Trouvé")</f>
        <v/>
      </c>
      <c r="E353" s="92">
        <f>IFERROR(IF($C353="","",_xlfn.XLOOKUP(REGENERANTS!$C353,'[1]New Base PA'!$F:$F,'[1]New Base PA'!$D:$D,"Not Found",0)),"Non Trouvé")</f>
        <v/>
      </c>
      <c r="F353" s="93" t="n"/>
      <c r="H353" s="106" t="n"/>
      <c r="J353" s="95">
        <f>IFERROR(IF($C353="","",VLOOKUP($C353,'[1]New Base PA'!$F:$J,5,FALSE)),"Non Trouvé")</f>
        <v/>
      </c>
      <c r="K353" s="136">
        <f>IFERROR(IF($C353="","",$J353*$H353),"Non Trouvé")</f>
        <v/>
      </c>
      <c r="L353" s="137" t="n"/>
      <c r="M353" s="136">
        <f>IFERROR(IF(AND($F353="Produit Vente",H353&gt;0),VLOOKUP($C353,'[1]Paramètres Articles'!$B:$G,6,FALSE),0),"Non Trouvé")</f>
        <v/>
      </c>
      <c r="N353" s="136">
        <f>IFERROR(IF($C353="","",$M353*$H353),"Non Trouvé")</f>
        <v/>
      </c>
      <c r="P353" s="97" t="n"/>
      <c r="R353" s="95">
        <f>IFERROR(IF($C353="","",$N353*(1-$P353)),"Non Trouvé")</f>
        <v/>
      </c>
      <c r="S353" s="96" t="n"/>
      <c r="T353" s="95">
        <f>IFERROR(IF($C353="","",VLOOKUP($C353,'[1]Paramètres Articles'!$B:$H,7,FALSE)),"Non Trouvé")</f>
        <v/>
      </c>
      <c r="U353" s="98" t="n"/>
      <c r="V353" s="95">
        <f>IFERROR(IF($C353="","",IF($P353="","",$T353*(1-$P353))),"Non Trouvé")</f>
        <v/>
      </c>
      <c r="W353" s="96" t="n"/>
      <c r="X353" s="95">
        <f>IFERROR(T353-V353,"")</f>
        <v/>
      </c>
      <c r="Y353" s="96" t="n"/>
      <c r="Z353" s="95">
        <f>IFERROR(IF(OR(T353=0,T353=""),0,T353*H353),"Non Trouvé")</f>
        <v/>
      </c>
      <c r="AB353" s="99">
        <f>AB351</f>
        <v/>
      </c>
      <c r="AC353" s="99">
        <f>AC351</f>
        <v/>
      </c>
      <c r="AD353" s="95">
        <f>IFERROR(IF($C353="","",IF($P$15="Cascade",$R353*(1-AC353)*AB353,IF($P$15="Additionnelle",($N353-($N353*($P353+AC353)))*AB353))),"Non Trouvé")</f>
        <v/>
      </c>
      <c r="AG353" s="99">
        <f>AG351</f>
        <v/>
      </c>
      <c r="AH353" s="99">
        <f>AH351</f>
        <v/>
      </c>
      <c r="AI353" s="95">
        <f>IFERROR(IF($C353="","",IF($P$15="Cascade",$R353*(1-AH353)*AG353,IF($P$15="Additionnelle",($N353-($N353*($P353+AH353)))*AG353))),"Non Trouvé")</f>
        <v/>
      </c>
      <c r="AL353" s="99">
        <f>AL351</f>
        <v/>
      </c>
      <c r="AM353" s="99">
        <f>AM351</f>
        <v/>
      </c>
      <c r="AN353" s="95">
        <f>IFERROR(IF($C353="","",IF($P$15="Cascade",$R353*(1-AM353)*AL353,IF($P$15="Additionnelle",($N353-($N353*($P353+AM353)))*AL353))),"Non Trouvé")</f>
        <v/>
      </c>
      <c r="AQ353" s="99">
        <f>AQ351</f>
        <v/>
      </c>
      <c r="AR353" s="99">
        <f>AR351</f>
        <v/>
      </c>
      <c r="AS353" s="95">
        <f>IFERROR(IF($C353="","",IF($P$15="Cascade",$R353*(1-AR353)*AQ353,IF($P$15="Additionnelle",($N353-($N353*($P353+AR353)))*AQ353))),"Non Trouvé")</f>
        <v/>
      </c>
      <c r="AV353" s="99">
        <f>AV351</f>
        <v/>
      </c>
      <c r="AW353" s="99">
        <f>AW351</f>
        <v/>
      </c>
      <c r="AX353" s="95">
        <f>IFERROR(IF($C353="","",IF($P$15="Cascade",$R353*(1-AW353)*AV353,IF($P$15="Additionnelle",($N353-($N353*($P353+AW353)))*AV353))),"Non Trouvé")</f>
        <v/>
      </c>
      <c r="BA353" s="99">
        <f>BA351</f>
        <v/>
      </c>
      <c r="BB353" s="99">
        <f>BB351</f>
        <v/>
      </c>
      <c r="BC353" s="95">
        <f>IFERROR(IF($C353="","",IF($P$15="Cascade",$R353*(1-BB353)*BA353,IF($P$15="Additionnelle",($N353-($N353*($P353+BB353)))*BA353))),"Non Trouvé")</f>
        <v/>
      </c>
      <c r="BF353" s="99">
        <f>BF351</f>
        <v/>
      </c>
      <c r="BG353" s="99">
        <f>BG351</f>
        <v/>
      </c>
      <c r="BH353" s="95">
        <f>IFERROR(IF($C353="","",IF($P$15="Cascade",$R353*(1-BG353)*BF353,IF($P$15="Additionnelle",($N353-($N353*($P353+BG353)))*BF353))),"Non Trouvé")</f>
        <v/>
      </c>
      <c r="BK353" s="99">
        <f>BK351</f>
        <v/>
      </c>
      <c r="BL353" s="99">
        <f>BL351</f>
        <v/>
      </c>
      <c r="BM353" s="95">
        <f>IFERROR(IF($C353="","",IF($P$15="Cascade",$R353*(1-BL353)*BK353,IF($P$15="Additionnelle",($N353-($N353*($P353+BL353)))*BK353))),"Non Trouvé")</f>
        <v/>
      </c>
      <c r="BP353" s="99">
        <f>BP351</f>
        <v/>
      </c>
      <c r="BQ353" s="99">
        <f>BQ351</f>
        <v/>
      </c>
      <c r="BR353" s="95">
        <f>IFERROR(IF($C353="","",IF($P$15="Cascade",$R353*(1-BQ353)*BP353,IF($P$15="Additionnelle",($N353-($N353*($P353+BQ353)))*BP353))),"Non Trouvé")</f>
        <v/>
      </c>
      <c r="BU353" s="99">
        <f>BU351</f>
        <v/>
      </c>
      <c r="BV353" s="99">
        <f>BV351</f>
        <v/>
      </c>
      <c r="BW353" s="95">
        <f>IFERROR(IF($C353="","",IF($P$15="Cascade",$R353*(1-BV353)*BU353,IF($P$15="Additionnelle",($N353-($N353*($P353+BV353)))*BU353))),"Non Trouvé")</f>
        <v/>
      </c>
      <c r="BZ353" s="99">
        <f>BZ351</f>
        <v/>
      </c>
      <c r="CA353" s="99">
        <f>CA351</f>
        <v/>
      </c>
      <c r="CB353" s="95">
        <f>IFERROR(IF($C353="","",IF($P$15="Cascade",$R353*(1-CA353)*BZ353,IF($P$15="Additionnelle",($N353-($N353*($P353+CA353)))*BZ353))),"Non Trouvé")</f>
        <v/>
      </c>
      <c r="CE353" s="100" t="n"/>
      <c r="CF353" s="101" t="n"/>
      <c r="CG353" s="102" t="inlineStr">
        <is>
          <t>Marges €</t>
        </is>
      </c>
      <c r="CH353" s="139">
        <f>IFERROR(CH351*CH352,0)</f>
        <v/>
      </c>
      <c r="CI353" s="103" t="n"/>
      <c r="CK353" s="104">
        <f>IFERROR(IF(F353='[1]Paramètres Généraux'!$K$12,ROUNDUP((REGENERANTS!H353*REGENERANTS!$CF$329)*'[1]Paramètres Généraux'!$M$12,-1),IF(F353='[1]Paramètres Généraux'!$K$15,ROUNDUP((REGENERANTS!H353*REGENERANTS!$CF$329)*'[1]Paramètres Généraux'!$M$15,-1),REGENERANTS!H353*REGENERANTS!$CF$329)),"nd")</f>
        <v/>
      </c>
      <c r="CN353" s="153" t="n"/>
      <c r="CO353" s="154" t="n"/>
      <c r="CP353" s="154" t="n"/>
      <c r="CQ353" s="154" t="n"/>
      <c r="CR353" s="154" t="n"/>
      <c r="CS353" s="180" t="n"/>
      <c r="CT353" s="181" t="n"/>
      <c r="CU353" s="154" t="n"/>
      <c r="CV353" s="180" t="n"/>
      <c r="CW353" s="157" t="n"/>
      <c r="CX353" s="156" t="n"/>
      <c r="CY353" s="157" t="n"/>
      <c r="CZ353" s="143" t="n"/>
      <c r="DA353" s="156" t="n"/>
      <c r="DB353" s="157" t="n"/>
      <c r="DC353" s="143" t="n"/>
      <c r="DD353" s="156" t="n"/>
      <c r="DE353" s="157" t="n"/>
      <c r="DF353" s="143" t="n"/>
      <c r="DG353" s="143" t="n"/>
      <c r="DH353" s="143" t="n"/>
      <c r="DI353" s="143" t="n"/>
      <c r="DJ353" s="143" t="n"/>
      <c r="DK353" s="143" t="n"/>
      <c r="DL353" s="143" t="n"/>
      <c r="DM353" s="143" t="n"/>
      <c r="DN353" s="143" t="n"/>
      <c r="DO353" s="156" t="n"/>
      <c r="DP353" s="157" t="n"/>
      <c r="DQ353" s="20">
        <f>SUM(CN353:DP353)</f>
        <v/>
      </c>
      <c r="DR353" s="20">
        <f>SUM(CV353:DP353)</f>
        <v/>
      </c>
      <c r="DS353" s="20">
        <f>IFERROR((IF(AND($F353="Produit Vente",CO353&gt;0),VLOOKUP($C353,'[1]Paramètres Articles'!$B:$H,7,FALSE)*$CO353)*(1-20%)),0)</f>
        <v/>
      </c>
      <c r="DT353" s="20">
        <f>IFERROR((IF(AND($F353="Produit Vente",DR353&gt;0),VLOOKUP($C353,'[1]Paramètres Articles'!$B:$H,6,FALSE)*$DR353)*(1-15%)),0)</f>
        <v/>
      </c>
      <c r="DU353" s="20">
        <f>IFERROR(DQ353*J353,0)</f>
        <v/>
      </c>
    </row>
    <row r="354" outlineLevel="1" collapsed="1" ht="12.95" customHeight="1">
      <c r="B354" s="1">
        <f>IF(C354="",0,COUNTIFS($B$22:B353,"&gt;"&amp;0)+1)</f>
        <v/>
      </c>
      <c r="C354" s="90" t="n"/>
      <c r="D354" s="91">
        <f>IFERROR(IF($C354="","",VLOOKUP($C354,'[1]Paramètres Articles'!$B:$G,2,FALSE)),"Non Trouvé")</f>
        <v/>
      </c>
      <c r="E354" s="92">
        <f>IFERROR(IF($C354="","",_xlfn.XLOOKUP(REGENERANTS!$C354,'[1]New Base PA'!$F:$F,'[1]New Base PA'!$D:$D,"Not Found",0)),"Non Trouvé")</f>
        <v/>
      </c>
      <c r="F354" s="93" t="n"/>
      <c r="H354" s="106" t="n"/>
      <c r="J354" s="95">
        <f>IFERROR(IF($C354="","",VLOOKUP($C354,'[1]New Base PA'!$F:$J,5,FALSE)),"Non Trouvé")</f>
        <v/>
      </c>
      <c r="K354" s="136">
        <f>IFERROR(IF($C354="","",$J354*$H354),"Non Trouvé")</f>
        <v/>
      </c>
      <c r="L354" s="137" t="n"/>
      <c r="M354" s="136">
        <f>IFERROR(IF(AND($F354="Produit Vente",H354&gt;0),VLOOKUP($C354,'[1]Paramètres Articles'!$B:$G,6,FALSE),0),"Non Trouvé")</f>
        <v/>
      </c>
      <c r="N354" s="136">
        <f>IFERROR(IF($C354="","",$M354*$H354),"Non Trouvé")</f>
        <v/>
      </c>
      <c r="P354" s="97" t="n"/>
      <c r="R354" s="95">
        <f>IFERROR(IF($C354="","",$N354*(1-$P354)),"Non Trouvé")</f>
        <v/>
      </c>
      <c r="S354" s="96" t="n"/>
      <c r="T354" s="95">
        <f>IFERROR(IF($C354="","",VLOOKUP($C354,'[1]Paramètres Articles'!$B:$H,7,FALSE)),"Non Trouvé")</f>
        <v/>
      </c>
      <c r="U354" s="98" t="n"/>
      <c r="V354" s="95">
        <f>IFERROR(IF($C354="","",IF($P354="","",$T354*(1-$P354))),"Non Trouvé")</f>
        <v/>
      </c>
      <c r="W354" s="96" t="n"/>
      <c r="X354" s="95">
        <f>IFERROR(T354-V354,"")</f>
        <v/>
      </c>
      <c r="Y354" s="96" t="n"/>
      <c r="Z354" s="95">
        <f>IFERROR(IF(OR(T354=0,T354=""),0,T354*H354),"Non Trouvé")</f>
        <v/>
      </c>
      <c r="AB354" s="99">
        <f>AB353</f>
        <v/>
      </c>
      <c r="AC354" s="99">
        <f>AC353</f>
        <v/>
      </c>
      <c r="AD354" s="95">
        <f>IFERROR(IF($C354="","",IF($P$15="Cascade",$R354*(1-AC354)*AB354,IF($P$15="Additionnelle",($N354-($N354*($P354+AC354)))*AB354))),"Non Trouvé")</f>
        <v/>
      </c>
      <c r="AG354" s="99">
        <f>AG353</f>
        <v/>
      </c>
      <c r="AH354" s="99">
        <f>AH353</f>
        <v/>
      </c>
      <c r="AI354" s="95">
        <f>IFERROR(IF($C354="","",IF($P$15="Cascade",$R354*(1-AH354)*AG354,IF($P$15="Additionnelle",($N354-($N354*($P354+AH354)))*AG354))),"Non Trouvé")</f>
        <v/>
      </c>
      <c r="AL354" s="99">
        <f>AL353</f>
        <v/>
      </c>
      <c r="AM354" s="99">
        <f>AM353</f>
        <v/>
      </c>
      <c r="AN354" s="95">
        <f>IFERROR(IF($C354="","",IF($P$15="Cascade",$R354*(1-AM354)*AL354,IF($P$15="Additionnelle",($N354-($N354*($P354+AM354)))*AL354))),"Non Trouvé")</f>
        <v/>
      </c>
      <c r="AQ354" s="99">
        <f>AQ353</f>
        <v/>
      </c>
      <c r="AR354" s="99">
        <f>AR353</f>
        <v/>
      </c>
      <c r="AS354" s="95">
        <f>IFERROR(IF($C354="","",IF($P$15="Cascade",$R354*(1-AR354)*AQ354,IF($P$15="Additionnelle",($N354-($N354*($P354+AR354)))*AQ354))),"Non Trouvé")</f>
        <v/>
      </c>
      <c r="AV354" s="99">
        <f>AV353</f>
        <v/>
      </c>
      <c r="AW354" s="99">
        <f>AW353</f>
        <v/>
      </c>
      <c r="AX354" s="95">
        <f>IFERROR(IF($C354="","",IF($P$15="Cascade",$R354*(1-AW354)*AV354,IF($P$15="Additionnelle",($N354-($N354*($P354+AW354)))*AV354))),"Non Trouvé")</f>
        <v/>
      </c>
      <c r="BA354" s="99">
        <f>BA353</f>
        <v/>
      </c>
      <c r="BB354" s="99">
        <f>BB353</f>
        <v/>
      </c>
      <c r="BC354" s="95">
        <f>IFERROR(IF($C354="","",IF($P$15="Cascade",$R354*(1-BB354)*BA354,IF($P$15="Additionnelle",($N354-($N354*($P354+BB354)))*BA354))),"Non Trouvé")</f>
        <v/>
      </c>
      <c r="BF354" s="99">
        <f>BF353</f>
        <v/>
      </c>
      <c r="BG354" s="99">
        <f>BG353</f>
        <v/>
      </c>
      <c r="BH354" s="95">
        <f>IFERROR(IF($C354="","",IF($P$15="Cascade",$R354*(1-BG354)*BF354,IF($P$15="Additionnelle",($N354-($N354*($P354+BG354)))*BF354))),"Non Trouvé")</f>
        <v/>
      </c>
      <c r="BK354" s="99">
        <f>BK353</f>
        <v/>
      </c>
      <c r="BL354" s="99">
        <f>BL353</f>
        <v/>
      </c>
      <c r="BM354" s="95">
        <f>IFERROR(IF($C354="","",IF($P$15="Cascade",$R354*(1-BL354)*BK354,IF($P$15="Additionnelle",($N354-($N354*($P354+BL354)))*BK354))),"Non Trouvé")</f>
        <v/>
      </c>
      <c r="BP354" s="99">
        <f>BP353</f>
        <v/>
      </c>
      <c r="BQ354" s="99">
        <f>BQ353</f>
        <v/>
      </c>
      <c r="BR354" s="95">
        <f>IFERROR(IF($C354="","",IF($P$15="Cascade",$R354*(1-BQ354)*BP354,IF($P$15="Additionnelle",($N354-($N354*($P354+BQ354)))*BP354))),"Non Trouvé")</f>
        <v/>
      </c>
      <c r="BU354" s="99">
        <f>BU353</f>
        <v/>
      </c>
      <c r="BV354" s="99">
        <f>BV353</f>
        <v/>
      </c>
      <c r="BW354" s="95">
        <f>IFERROR(IF($C354="","",IF($P$15="Cascade",$R354*(1-BV354)*BU354,IF($P$15="Additionnelle",($N354-($N354*($P354+BV354)))*BU354))),"Non Trouvé")</f>
        <v/>
      </c>
      <c r="BZ354" s="99">
        <f>BZ353</f>
        <v/>
      </c>
      <c r="CA354" s="99">
        <f>CA353</f>
        <v/>
      </c>
      <c r="CB354" s="95">
        <f>IFERROR(IF($C354="","",IF($P$15="Cascade",$R354*(1-CA354)*BZ354,IF($P$15="Additionnelle",($N354-($N354*($P354+CA354)))*BZ354))),"Non Trouvé")</f>
        <v/>
      </c>
      <c r="CE354" s="100" t="n"/>
      <c r="CF354" s="101" t="n"/>
      <c r="CG354" s="102" t="n"/>
      <c r="CH354" s="102" t="n"/>
      <c r="CI354" s="103" t="n"/>
      <c r="CK354" s="104">
        <f>IFERROR(IF(F354='[1]Paramètres Généraux'!$K$12,ROUNDUP((REGENERANTS!H354*REGENERANTS!$CF$329)*'[1]Paramètres Généraux'!$M$12,-1),IF(F354='[1]Paramètres Généraux'!$K$15,ROUNDUP((REGENERANTS!H354*REGENERANTS!$CF$329)*'[1]Paramètres Généraux'!$M$15,-1),REGENERANTS!H354*REGENERANTS!$CF$329)),"nd")</f>
        <v/>
      </c>
      <c r="CN354" s="153" t="n"/>
      <c r="CO354" s="154" t="n"/>
      <c r="CP354" s="154" t="n"/>
      <c r="CQ354" s="154" t="n"/>
      <c r="CR354" s="154" t="n"/>
      <c r="CS354" s="180" t="n"/>
      <c r="CT354" s="181" t="n"/>
      <c r="CU354" s="154" t="n"/>
      <c r="CV354" s="180" t="n"/>
      <c r="CW354" s="157" t="n"/>
      <c r="CX354" s="156" t="n"/>
      <c r="CY354" s="157" t="n"/>
      <c r="CZ354" s="143" t="n"/>
      <c r="DA354" s="156" t="n"/>
      <c r="DB354" s="157" t="n"/>
      <c r="DC354" s="143" t="n"/>
      <c r="DD354" s="156" t="n"/>
      <c r="DE354" s="157" t="n"/>
      <c r="DF354" s="143" t="n"/>
      <c r="DG354" s="143" t="n"/>
      <c r="DH354" s="143" t="n"/>
      <c r="DI354" s="143" t="n"/>
      <c r="DJ354" s="143" t="n"/>
      <c r="DK354" s="143" t="n"/>
      <c r="DL354" s="143" t="n"/>
      <c r="DM354" s="143" t="n"/>
      <c r="DN354" s="143" t="n"/>
      <c r="DO354" s="156" t="n"/>
      <c r="DP354" s="157" t="n"/>
      <c r="DQ354" s="20">
        <f>SUM(CN354:DP354)</f>
        <v/>
      </c>
      <c r="DR354" s="20">
        <f>SUM(CV354:DP354)</f>
        <v/>
      </c>
      <c r="DS354" s="20">
        <f>IFERROR((IF(AND($F354="Produit Vente",CO354&gt;0),VLOOKUP($C354,'[1]Paramètres Articles'!$B:$H,7,FALSE)*$CO354)*(1-20%)),0)</f>
        <v/>
      </c>
      <c r="DT354" s="20">
        <f>IFERROR((IF(AND($F354="Produit Vente",DR354&gt;0),VLOOKUP($C354,'[1]Paramètres Articles'!$B:$H,6,FALSE)*$DR354)*(1-15%)),0)</f>
        <v/>
      </c>
      <c r="DU354" s="20">
        <f>IFERROR(DQ354*J354,0)</f>
        <v/>
      </c>
    </row>
    <row r="355" outlineLevel="1" collapsed="1" ht="12.95" customHeight="1">
      <c r="B355" s="1">
        <f>IF(C355="",0,COUNTIFS($B$22:B354,"&gt;"&amp;0)+1)</f>
        <v/>
      </c>
      <c r="C355" s="90" t="n"/>
      <c r="D355" s="91">
        <f>IFERROR(IF($C355="","",VLOOKUP($C355,'[1]Paramètres Articles'!$B:$G,2,FALSE)),"Non Trouvé")</f>
        <v/>
      </c>
      <c r="E355" s="92">
        <f>IFERROR(IF($C355="","",_xlfn.XLOOKUP(REGENERANTS!$C355,'[1]New Base PA'!$F:$F,'[1]New Base PA'!$D:$D,"Not Found",0)),"Non Trouvé")</f>
        <v/>
      </c>
      <c r="F355" s="93" t="n"/>
      <c r="H355" s="106" t="n"/>
      <c r="J355" s="95">
        <f>IFERROR(IF($C355="","",VLOOKUP($C355,'[1]New Base PA'!$F:$J,5,FALSE)),"Non Trouvé")</f>
        <v/>
      </c>
      <c r="K355" s="136">
        <f>IFERROR(IF($C355="","",$J355*$H355),"Non Trouvé")</f>
        <v/>
      </c>
      <c r="L355" s="137" t="n"/>
      <c r="M355" s="136">
        <f>IFERROR(IF(AND($F355="Produit Vente",H355&gt;0),VLOOKUP($C355,'[1]Paramètres Articles'!$B:$G,6,FALSE),0),"Non Trouvé")</f>
        <v/>
      </c>
      <c r="N355" s="136">
        <f>IFERROR(IF($C355="","",$M355*$H355),"Non Trouvé")</f>
        <v/>
      </c>
      <c r="P355" s="97" t="n"/>
      <c r="R355" s="95">
        <f>IFERROR(IF($C355="","",$N355*(1-$P355)),"Non Trouvé")</f>
        <v/>
      </c>
      <c r="S355" s="96" t="n"/>
      <c r="T355" s="95">
        <f>IFERROR(IF($C355="","",VLOOKUP($C355,'[1]Paramètres Articles'!$B:$H,7,FALSE)),"Non Trouvé")</f>
        <v/>
      </c>
      <c r="U355" s="98" t="n"/>
      <c r="V355" s="95">
        <f>IFERROR(IF($C355="","",IF($P355="","",$T355*(1-$P355))),"Non Trouvé")</f>
        <v/>
      </c>
      <c r="W355" s="96" t="n"/>
      <c r="X355" s="95">
        <f>IFERROR(T355-V355,"")</f>
        <v/>
      </c>
      <c r="Y355" s="96" t="n"/>
      <c r="Z355" s="95">
        <f>IFERROR(IF(OR(T355=0,T355=""),0,T355*H355),"Non Trouvé")</f>
        <v/>
      </c>
      <c r="AB355" s="99">
        <f>AB353</f>
        <v/>
      </c>
      <c r="AC355" s="99">
        <f>AC353</f>
        <v/>
      </c>
      <c r="AD355" s="95">
        <f>IFERROR(IF($C355="","",IF($P$15="Cascade",$R355*(1-AC355)*AB355,IF($P$15="Additionnelle",($N355-($N355*($P355+AC355)))*AB355))),"Non Trouvé")</f>
        <v/>
      </c>
      <c r="AG355" s="99">
        <f>AG353</f>
        <v/>
      </c>
      <c r="AH355" s="99">
        <f>AH353</f>
        <v/>
      </c>
      <c r="AI355" s="95">
        <f>IFERROR(IF($C355="","",IF($P$15="Cascade",$R355*(1-AH355)*AG355,IF($P$15="Additionnelle",($N355-($N355*($P355+AH355)))*AG355))),"Non Trouvé")</f>
        <v/>
      </c>
      <c r="AL355" s="99">
        <f>AL353</f>
        <v/>
      </c>
      <c r="AM355" s="99">
        <f>AM353</f>
        <v/>
      </c>
      <c r="AN355" s="95">
        <f>IFERROR(IF($C355="","",IF($P$15="Cascade",$R355*(1-AM355)*AL355,IF($P$15="Additionnelle",($N355-($N355*($P355+AM355)))*AL355))),"Non Trouvé")</f>
        <v/>
      </c>
      <c r="AQ355" s="99">
        <f>AQ353</f>
        <v/>
      </c>
      <c r="AR355" s="99">
        <f>AR353</f>
        <v/>
      </c>
      <c r="AS355" s="95">
        <f>IFERROR(IF($C355="","",IF($P$15="Cascade",$R355*(1-AR355)*AQ355,IF($P$15="Additionnelle",($N355-($N355*($P355+AR355)))*AQ355))),"Non Trouvé")</f>
        <v/>
      </c>
      <c r="AV355" s="99">
        <f>AV353</f>
        <v/>
      </c>
      <c r="AW355" s="99">
        <f>AW353</f>
        <v/>
      </c>
      <c r="AX355" s="95">
        <f>IFERROR(IF($C355="","",IF($P$15="Cascade",$R355*(1-AW355)*AV355,IF($P$15="Additionnelle",($N355-($N355*($P355+AW355)))*AV355))),"Non Trouvé")</f>
        <v/>
      </c>
      <c r="BA355" s="99">
        <f>BA353</f>
        <v/>
      </c>
      <c r="BB355" s="99">
        <f>BB353</f>
        <v/>
      </c>
      <c r="BC355" s="95">
        <f>IFERROR(IF($C355="","",IF($P$15="Cascade",$R355*(1-BB355)*BA355,IF($P$15="Additionnelle",($N355-($N355*($P355+BB355)))*BA355))),"Non Trouvé")</f>
        <v/>
      </c>
      <c r="BF355" s="99">
        <f>BF353</f>
        <v/>
      </c>
      <c r="BG355" s="99">
        <f>BG353</f>
        <v/>
      </c>
      <c r="BH355" s="95">
        <f>IFERROR(IF($C355="","",IF($P$15="Cascade",$R355*(1-BG355)*BF355,IF($P$15="Additionnelle",($N355-($N355*($P355+BG355)))*BF355))),"Non Trouvé")</f>
        <v/>
      </c>
      <c r="BK355" s="99">
        <f>BK353</f>
        <v/>
      </c>
      <c r="BL355" s="99">
        <f>BL353</f>
        <v/>
      </c>
      <c r="BM355" s="95">
        <f>IFERROR(IF($C355="","",IF($P$15="Cascade",$R355*(1-BL355)*BK355,IF($P$15="Additionnelle",($N355-($N355*($P355+BL355)))*BK355))),"Non Trouvé")</f>
        <v/>
      </c>
      <c r="BP355" s="99">
        <f>BP353</f>
        <v/>
      </c>
      <c r="BQ355" s="99">
        <f>BQ353</f>
        <v/>
      </c>
      <c r="BR355" s="95">
        <f>IFERROR(IF($C355="","",IF($P$15="Cascade",$R355*(1-BQ355)*BP355,IF($P$15="Additionnelle",($N355-($N355*($P355+BQ355)))*BP355))),"Non Trouvé")</f>
        <v/>
      </c>
      <c r="BU355" s="99">
        <f>BU353</f>
        <v/>
      </c>
      <c r="BV355" s="99">
        <f>BV353</f>
        <v/>
      </c>
      <c r="BW355" s="95">
        <f>IFERROR(IF($C355="","",IF($P$15="Cascade",$R355*(1-BV355)*BU355,IF($P$15="Additionnelle",($N355-($N355*($P355+BV355)))*BU355))),"Non Trouvé")</f>
        <v/>
      </c>
      <c r="BZ355" s="99">
        <f>BZ353</f>
        <v/>
      </c>
      <c r="CA355" s="99">
        <f>CA353</f>
        <v/>
      </c>
      <c r="CB355" s="95">
        <f>IFERROR(IF($C355="","",IF($P$15="Cascade",$R355*(1-CA355)*BZ355,IF($P$15="Additionnelle",($N355-($N355*($P355+CA355)))*BZ355))),"Non Trouvé")</f>
        <v/>
      </c>
      <c r="CE355" s="100" t="n"/>
      <c r="CF355" s="101" t="n"/>
      <c r="CG355" s="102" t="n"/>
      <c r="CH355" s="102" t="n"/>
      <c r="CI355" s="103" t="n"/>
      <c r="CK355" s="104">
        <f>IFERROR(IF(F355='[1]Paramètres Généraux'!$K$12,ROUNDUP((REGENERANTS!H355*REGENERANTS!$CF$329)*'[1]Paramètres Généraux'!$M$12,-1),IF(F355='[1]Paramètres Généraux'!$K$15,ROUNDUP((REGENERANTS!H355*REGENERANTS!$CF$329)*'[1]Paramètres Généraux'!$M$15,-1),REGENERANTS!H355*REGENERANTS!$CF$329)),"nd")</f>
        <v/>
      </c>
      <c r="CN355" s="153" t="n"/>
      <c r="CO355" s="154" t="n"/>
      <c r="CP355" s="154" t="n"/>
      <c r="CQ355" s="154" t="n"/>
      <c r="CR355" s="154" t="n"/>
      <c r="CS355" s="180" t="n"/>
      <c r="CT355" s="181" t="n"/>
      <c r="CU355" s="154" t="n"/>
      <c r="CV355" s="180" t="n"/>
      <c r="CW355" s="157" t="n"/>
      <c r="CX355" s="156" t="n"/>
      <c r="CY355" s="157" t="n"/>
      <c r="CZ355" s="143" t="n"/>
      <c r="DA355" s="156" t="n"/>
      <c r="DB355" s="157" t="n"/>
      <c r="DC355" s="143" t="n"/>
      <c r="DD355" s="156" t="n"/>
      <c r="DE355" s="157" t="n"/>
      <c r="DF355" s="143" t="n"/>
      <c r="DG355" s="143" t="n"/>
      <c r="DH355" s="143" t="n"/>
      <c r="DI355" s="143" t="n"/>
      <c r="DJ355" s="143" t="n"/>
      <c r="DK355" s="143" t="n"/>
      <c r="DL355" s="143" t="n"/>
      <c r="DM355" s="143" t="n"/>
      <c r="DN355" s="143" t="n"/>
      <c r="DO355" s="156" t="n"/>
      <c r="DP355" s="157" t="n"/>
      <c r="DQ355" s="20">
        <f>SUM(CN355:DP355)</f>
        <v/>
      </c>
      <c r="DR355" s="20">
        <f>SUM(CV355:DP355)</f>
        <v/>
      </c>
      <c r="DS355" s="20">
        <f>IFERROR((IF(AND($F355="Produit Vente",CO355&gt;0),VLOOKUP($C355,'[1]Paramètres Articles'!$B:$H,7,FALSE)*$CO355)*(1-20%)),0)</f>
        <v/>
      </c>
      <c r="DT355" s="20">
        <f>IFERROR((IF(AND($F355="Produit Vente",DR355&gt;0),VLOOKUP($C355,'[1]Paramètres Articles'!$B:$H,6,FALSE)*$DR355)*(1-15%)),0)</f>
        <v/>
      </c>
      <c r="DU355" s="20">
        <f>IFERROR(DQ355*J355,0)</f>
        <v/>
      </c>
    </row>
    <row r="356" outlineLevel="1" collapsed="1" ht="12.95" customHeight="1">
      <c r="B356" s="1">
        <f>IF(C356="",0,COUNTIFS($B$22:B355,"&gt;"&amp;0)+1)</f>
        <v/>
      </c>
      <c r="C356" s="90" t="n"/>
      <c r="D356" s="91">
        <f>IFERROR(IF($C356="","",VLOOKUP($C356,'[1]Paramètres Articles'!$B:$G,2,FALSE)),"Non Trouvé")</f>
        <v/>
      </c>
      <c r="E356" s="92">
        <f>IFERROR(IF($C356="","",_xlfn.XLOOKUP(REGENERANTS!$C356,'[1]New Base PA'!$F:$F,'[1]New Base PA'!$D:$D,"Not Found",0)),"Non Trouvé")</f>
        <v/>
      </c>
      <c r="F356" s="93" t="n"/>
      <c r="H356" s="106" t="n"/>
      <c r="J356" s="95">
        <f>IFERROR(IF($C356="","",VLOOKUP($C356,'[1]New Base PA'!$F:$J,5,FALSE)),"Non Trouvé")</f>
        <v/>
      </c>
      <c r="K356" s="136">
        <f>IFERROR(IF($C356="","",$J356*$H356),"Non Trouvé")</f>
        <v/>
      </c>
      <c r="L356" s="137" t="n"/>
      <c r="M356" s="136">
        <f>IFERROR(IF(AND($F356="Produit Vente",H356&gt;0),VLOOKUP($C356,'[1]Paramètres Articles'!$B:$G,6,FALSE),0),"Non Trouvé")</f>
        <v/>
      </c>
      <c r="N356" s="136">
        <f>IFERROR(IF($C356="","",$M356*$H356),"Non Trouvé")</f>
        <v/>
      </c>
      <c r="P356" s="97" t="n"/>
      <c r="R356" s="95">
        <f>IFERROR(IF($C356="","",$N356*(1-$P356)),"Non Trouvé")</f>
        <v/>
      </c>
      <c r="S356" s="96" t="n"/>
      <c r="T356" s="95">
        <f>IFERROR(IF($C356="","",VLOOKUP($C356,'[1]Paramètres Articles'!$B:$H,7,FALSE)),"Non Trouvé")</f>
        <v/>
      </c>
      <c r="U356" s="98" t="n"/>
      <c r="V356" s="95">
        <f>IFERROR(IF($C356="","",IF($P356="","",$T356*(1-$P356))),"Non Trouvé")</f>
        <v/>
      </c>
      <c r="W356" s="96" t="n"/>
      <c r="X356" s="95">
        <f>IFERROR(T356-V356,"")</f>
        <v/>
      </c>
      <c r="Y356" s="96" t="n"/>
      <c r="Z356" s="95">
        <f>IFERROR(IF(OR(T356=0,T356=""),0,T356*H356),"Non Trouvé")</f>
        <v/>
      </c>
      <c r="AB356" s="99">
        <f>AB355</f>
        <v/>
      </c>
      <c r="AC356" s="99">
        <f>AC355</f>
        <v/>
      </c>
      <c r="AD356" s="95">
        <f>IFERROR(IF($C356="","",IF($P$15="Cascade",$R356*(1-AC356)*AB356,IF($P$15="Additionnelle",($N356-($N356*($P356+AC356)))*AB356))),"Non Trouvé")</f>
        <v/>
      </c>
      <c r="AG356" s="99">
        <f>AG355</f>
        <v/>
      </c>
      <c r="AH356" s="99">
        <f>AH355</f>
        <v/>
      </c>
      <c r="AI356" s="95">
        <f>IFERROR(IF($C356="","",IF($P$15="Cascade",$R356*(1-AH356)*AG356,IF($P$15="Additionnelle",($N356-($N356*($P356+AH356)))*AG356))),"Non Trouvé")</f>
        <v/>
      </c>
      <c r="AL356" s="99">
        <f>AL355</f>
        <v/>
      </c>
      <c r="AM356" s="99">
        <f>AM355</f>
        <v/>
      </c>
      <c r="AN356" s="95">
        <f>IFERROR(IF($C356="","",IF($P$15="Cascade",$R356*(1-AM356)*AL356,IF($P$15="Additionnelle",($N356-($N356*($P356+AM356)))*AL356))),"Non Trouvé")</f>
        <v/>
      </c>
      <c r="AQ356" s="99">
        <f>AQ355</f>
        <v/>
      </c>
      <c r="AR356" s="99">
        <f>AR355</f>
        <v/>
      </c>
      <c r="AS356" s="95">
        <f>IFERROR(IF($C356="","",IF($P$15="Cascade",$R356*(1-AR356)*AQ356,IF($P$15="Additionnelle",($N356-($N356*($P356+AR356)))*AQ356))),"Non Trouvé")</f>
        <v/>
      </c>
      <c r="AV356" s="99">
        <f>AV355</f>
        <v/>
      </c>
      <c r="AW356" s="99">
        <f>AW355</f>
        <v/>
      </c>
      <c r="AX356" s="95">
        <f>IFERROR(IF($C356="","",IF($P$15="Cascade",$R356*(1-AW356)*AV356,IF($P$15="Additionnelle",($N356-($N356*($P356+AW356)))*AV356))),"Non Trouvé")</f>
        <v/>
      </c>
      <c r="BA356" s="99">
        <f>BA355</f>
        <v/>
      </c>
      <c r="BB356" s="99">
        <f>BB355</f>
        <v/>
      </c>
      <c r="BC356" s="95">
        <f>IFERROR(IF($C356="","",IF($P$15="Cascade",$R356*(1-BB356)*BA356,IF($P$15="Additionnelle",($N356-($N356*($P356+BB356)))*BA356))),"Non Trouvé")</f>
        <v/>
      </c>
      <c r="BF356" s="99">
        <f>BF355</f>
        <v/>
      </c>
      <c r="BG356" s="99">
        <f>BG355</f>
        <v/>
      </c>
      <c r="BH356" s="95">
        <f>IFERROR(IF($C356="","",IF($P$15="Cascade",$R356*(1-BG356)*BF356,IF($P$15="Additionnelle",($N356-($N356*($P356+BG356)))*BF356))),"Non Trouvé")</f>
        <v/>
      </c>
      <c r="BK356" s="99">
        <f>BK355</f>
        <v/>
      </c>
      <c r="BL356" s="99">
        <f>BL355</f>
        <v/>
      </c>
      <c r="BM356" s="95">
        <f>IFERROR(IF($C356="","",IF($P$15="Cascade",$R356*(1-BL356)*BK356,IF($P$15="Additionnelle",($N356-($N356*($P356+BL356)))*BK356))),"Non Trouvé")</f>
        <v/>
      </c>
      <c r="BP356" s="99">
        <f>BP355</f>
        <v/>
      </c>
      <c r="BQ356" s="99">
        <f>BQ355</f>
        <v/>
      </c>
      <c r="BR356" s="95">
        <f>IFERROR(IF($C356="","",IF($P$15="Cascade",$R356*(1-BQ356)*BP356,IF($P$15="Additionnelle",($N356-($N356*($P356+BQ356)))*BP356))),"Non Trouvé")</f>
        <v/>
      </c>
      <c r="BU356" s="99">
        <f>BU355</f>
        <v/>
      </c>
      <c r="BV356" s="99">
        <f>BV355</f>
        <v/>
      </c>
      <c r="BW356" s="95">
        <f>IFERROR(IF($C356="","",IF($P$15="Cascade",$R356*(1-BV356)*BU356,IF($P$15="Additionnelle",($N356-($N356*($P356+BV356)))*BU356))),"Non Trouvé")</f>
        <v/>
      </c>
      <c r="BZ356" s="99">
        <f>BZ355</f>
        <v/>
      </c>
      <c r="CA356" s="99">
        <f>CA355</f>
        <v/>
      </c>
      <c r="CB356" s="95">
        <f>IFERROR(IF($C356="","",IF($P$15="Cascade",$R356*(1-CA356)*BZ356,IF($P$15="Additionnelle",($N356-($N356*($P356+CA356)))*BZ356))),"Non Trouvé")</f>
        <v/>
      </c>
      <c r="CE356" s="100" t="n"/>
      <c r="CF356" s="101" t="n"/>
      <c r="CG356" s="102" t="n"/>
      <c r="CH356" s="102" t="n"/>
      <c r="CI356" s="103" t="n"/>
      <c r="CK356" s="104">
        <f>IFERROR(IF(F356='[1]Paramètres Généraux'!$K$12,ROUNDUP((REGENERANTS!H356*REGENERANTS!$CF$329)*'[1]Paramètres Généraux'!$M$12,-1),IF(F356='[1]Paramètres Généraux'!$K$15,ROUNDUP((REGENERANTS!H356*REGENERANTS!$CF$329)*'[1]Paramètres Généraux'!$M$15,-1),REGENERANTS!H356*REGENERANTS!$CF$329)),"nd")</f>
        <v/>
      </c>
      <c r="CN356" s="153" t="n"/>
      <c r="CO356" s="154" t="n"/>
      <c r="CP356" s="154" t="n"/>
      <c r="CQ356" s="154" t="n"/>
      <c r="CR356" s="154" t="n"/>
      <c r="CS356" s="180" t="n"/>
      <c r="CT356" s="181" t="n"/>
      <c r="CU356" s="154" t="n"/>
      <c r="CV356" s="180" t="n"/>
      <c r="CW356" s="157" t="n"/>
      <c r="CX356" s="156" t="n"/>
      <c r="CY356" s="157" t="n"/>
      <c r="CZ356" s="143" t="n"/>
      <c r="DA356" s="156" t="n"/>
      <c r="DB356" s="157" t="n"/>
      <c r="DC356" s="143" t="n"/>
      <c r="DD356" s="156" t="n"/>
      <c r="DE356" s="157" t="n"/>
      <c r="DF356" s="143" t="n"/>
      <c r="DG356" s="143" t="n"/>
      <c r="DH356" s="143" t="n"/>
      <c r="DI356" s="143" t="n"/>
      <c r="DJ356" s="143" t="n"/>
      <c r="DK356" s="143" t="n"/>
      <c r="DL356" s="143" t="n"/>
      <c r="DM356" s="143" t="n"/>
      <c r="DN356" s="143" t="n"/>
      <c r="DO356" s="156" t="n"/>
      <c r="DP356" s="157" t="n"/>
      <c r="DQ356" s="20">
        <f>SUM(CN356:DP356)</f>
        <v/>
      </c>
      <c r="DR356" s="20">
        <f>SUM(CV356:DP356)</f>
        <v/>
      </c>
      <c r="DS356" s="20">
        <f>IFERROR((IF(AND($F356="Produit Vente",CO356&gt;0),VLOOKUP($C356,'[1]Paramètres Articles'!$B:$H,7,FALSE)*$CO356)*(1-20%)),0)</f>
        <v/>
      </c>
      <c r="DT356" s="20">
        <f>IFERROR((IF(AND($F356="Produit Vente",DR356&gt;0),VLOOKUP($C356,'[1]Paramètres Articles'!$B:$H,6,FALSE)*$DR356)*(1-15%)),0)</f>
        <v/>
      </c>
      <c r="DU356" s="20">
        <f>IFERROR(DQ356*J356,0)</f>
        <v/>
      </c>
    </row>
    <row r="357" outlineLevel="1" collapsed="1" ht="12.95" customHeight="1">
      <c r="B357" s="1">
        <f>IF(C357="",0,COUNTIFS($B$22:B356,"&gt;"&amp;0)+1)</f>
        <v/>
      </c>
      <c r="C357" s="90" t="n"/>
      <c r="D357" s="91">
        <f>IFERROR(IF($C357="","",VLOOKUP($C357,'[1]Paramètres Articles'!$B:$G,2,FALSE)),"Non Trouvé")</f>
        <v/>
      </c>
      <c r="E357" s="92">
        <f>IFERROR(IF($C357="","",_xlfn.XLOOKUP(REGENERANTS!$C357,'[1]New Base PA'!$F:$F,'[1]New Base PA'!$D:$D,"Not Found",0)),"Non Trouvé")</f>
        <v/>
      </c>
      <c r="F357" s="93" t="n"/>
      <c r="H357" s="106" t="n"/>
      <c r="J357" s="95">
        <f>IFERROR(IF($C357="","",VLOOKUP($C357,'[1]New Base PA'!$F:$J,5,FALSE)),"Non Trouvé")</f>
        <v/>
      </c>
      <c r="K357" s="136">
        <f>IFERROR(IF($C357="","",$J357*$H357),"Non Trouvé")</f>
        <v/>
      </c>
      <c r="L357" s="137" t="n"/>
      <c r="M357" s="136">
        <f>IFERROR(IF(AND($F357="Produit Vente",H357&gt;0),VLOOKUP($C357,'[1]Paramètres Articles'!$B:$G,6,FALSE),0),"Non Trouvé")</f>
        <v/>
      </c>
      <c r="N357" s="136">
        <f>IFERROR(IF($C357="","",$M357*$H357),"Non Trouvé")</f>
        <v/>
      </c>
      <c r="P357" s="97" t="n"/>
      <c r="R357" s="95">
        <f>IFERROR(IF($C357="","",$N357*(1-$P357)),"Non Trouvé")</f>
        <v/>
      </c>
      <c r="S357" s="96" t="n"/>
      <c r="T357" s="95">
        <f>IFERROR(IF($C357="","",VLOOKUP($C357,'[1]Paramètres Articles'!$B:$H,7,FALSE)),"Non Trouvé")</f>
        <v/>
      </c>
      <c r="U357" s="98" t="n"/>
      <c r="V357" s="95">
        <f>IFERROR(IF($C357="","",IF($P357="","",$T357*(1-$P357))),"Non Trouvé")</f>
        <v/>
      </c>
      <c r="W357" s="96" t="n"/>
      <c r="X357" s="95">
        <f>IFERROR(T357-V357,"")</f>
        <v/>
      </c>
      <c r="Y357" s="96" t="n"/>
      <c r="Z357" s="95">
        <f>IFERROR(IF(OR(T357=0,T357=""),0,T357*H357),"Non Trouvé")</f>
        <v/>
      </c>
      <c r="AB357" s="99">
        <f>AB355</f>
        <v/>
      </c>
      <c r="AC357" s="99">
        <f>AC355</f>
        <v/>
      </c>
      <c r="AD357" s="95">
        <f>IFERROR(IF($C357="","",IF($P$15="Cascade",$R357*(1-AC357)*AB357,IF($P$15="Additionnelle",($N357-($N357*($P357+AC357)))*AB357))),"Non Trouvé")</f>
        <v/>
      </c>
      <c r="AG357" s="99">
        <f>AG355</f>
        <v/>
      </c>
      <c r="AH357" s="99">
        <f>AH355</f>
        <v/>
      </c>
      <c r="AI357" s="95">
        <f>IFERROR(IF($C357="","",IF($P$15="Cascade",$R357*(1-AH357)*AG357,IF($P$15="Additionnelle",($N357-($N357*($P357+AH357)))*AG357))),"Non Trouvé")</f>
        <v/>
      </c>
      <c r="AL357" s="99">
        <f>AL355</f>
        <v/>
      </c>
      <c r="AM357" s="99">
        <f>AM355</f>
        <v/>
      </c>
      <c r="AN357" s="95">
        <f>IFERROR(IF($C357="","",IF($P$15="Cascade",$R357*(1-AM357)*AL357,IF($P$15="Additionnelle",($N357-($N357*($P357+AM357)))*AL357))),"Non Trouvé")</f>
        <v/>
      </c>
      <c r="AQ357" s="99">
        <f>AQ355</f>
        <v/>
      </c>
      <c r="AR357" s="99">
        <f>AR355</f>
        <v/>
      </c>
      <c r="AS357" s="95">
        <f>IFERROR(IF($C357="","",IF($P$15="Cascade",$R357*(1-AR357)*AQ357,IF($P$15="Additionnelle",($N357-($N357*($P357+AR357)))*AQ357))),"Non Trouvé")</f>
        <v/>
      </c>
      <c r="AV357" s="99">
        <f>AV355</f>
        <v/>
      </c>
      <c r="AW357" s="99">
        <f>AW355</f>
        <v/>
      </c>
      <c r="AX357" s="95">
        <f>IFERROR(IF($C357="","",IF($P$15="Cascade",$R357*(1-AW357)*AV357,IF($P$15="Additionnelle",($N357-($N357*($P357+AW357)))*AV357))),"Non Trouvé")</f>
        <v/>
      </c>
      <c r="BA357" s="99">
        <f>BA355</f>
        <v/>
      </c>
      <c r="BB357" s="99">
        <f>BB355</f>
        <v/>
      </c>
      <c r="BC357" s="95">
        <f>IFERROR(IF($C357="","",IF($P$15="Cascade",$R357*(1-BB357)*BA357,IF($P$15="Additionnelle",($N357-($N357*($P357+BB357)))*BA357))),"Non Trouvé")</f>
        <v/>
      </c>
      <c r="BF357" s="99">
        <f>BF355</f>
        <v/>
      </c>
      <c r="BG357" s="99">
        <f>BG355</f>
        <v/>
      </c>
      <c r="BH357" s="95">
        <f>IFERROR(IF($C357="","",IF($P$15="Cascade",$R357*(1-BG357)*BF357,IF($P$15="Additionnelle",($N357-($N357*($P357+BG357)))*BF357))),"Non Trouvé")</f>
        <v/>
      </c>
      <c r="BK357" s="99">
        <f>BK355</f>
        <v/>
      </c>
      <c r="BL357" s="99">
        <f>BL355</f>
        <v/>
      </c>
      <c r="BM357" s="95">
        <f>IFERROR(IF($C357="","",IF($P$15="Cascade",$R357*(1-BL357)*BK357,IF($P$15="Additionnelle",($N357-($N357*($P357+BL357)))*BK357))),"Non Trouvé")</f>
        <v/>
      </c>
      <c r="BP357" s="99">
        <f>BP355</f>
        <v/>
      </c>
      <c r="BQ357" s="99">
        <f>BQ355</f>
        <v/>
      </c>
      <c r="BR357" s="95">
        <f>IFERROR(IF($C357="","",IF($P$15="Cascade",$R357*(1-BQ357)*BP357,IF($P$15="Additionnelle",($N357-($N357*($P357+BQ357)))*BP357))),"Non Trouvé")</f>
        <v/>
      </c>
      <c r="BU357" s="99">
        <f>BU355</f>
        <v/>
      </c>
      <c r="BV357" s="99">
        <f>BV355</f>
        <v/>
      </c>
      <c r="BW357" s="95">
        <f>IFERROR(IF($C357="","",IF($P$15="Cascade",$R357*(1-BV357)*BU357,IF($P$15="Additionnelle",($N357-($N357*($P357+BV357)))*BU357))),"Non Trouvé")</f>
        <v/>
      </c>
      <c r="BZ357" s="99">
        <f>BZ355</f>
        <v/>
      </c>
      <c r="CA357" s="99">
        <f>CA355</f>
        <v/>
      </c>
      <c r="CB357" s="95">
        <f>IFERROR(IF($C357="","",IF($P$15="Cascade",$R357*(1-CA357)*BZ357,IF($P$15="Additionnelle",($N357-($N357*($P357+CA357)))*BZ357))),"Non Trouvé")</f>
        <v/>
      </c>
      <c r="CE357" s="100" t="n"/>
      <c r="CF357" s="101" t="n"/>
      <c r="CG357" s="102" t="n"/>
      <c r="CH357" s="102" t="n"/>
      <c r="CI357" s="103" t="n"/>
      <c r="CK357" s="104">
        <f>IFERROR(IF(F357='[1]Paramètres Généraux'!$K$12,ROUNDUP((REGENERANTS!H357*REGENERANTS!$CF$329)*'[1]Paramètres Généraux'!$M$12,-1),IF(F357='[1]Paramètres Généraux'!$K$15,ROUNDUP((REGENERANTS!H357*REGENERANTS!$CF$329)*'[1]Paramètres Généraux'!$M$15,-1),REGENERANTS!H357*REGENERANTS!$CF$329)),"nd")</f>
        <v/>
      </c>
      <c r="CN357" s="153" t="n"/>
      <c r="CO357" s="154" t="n"/>
      <c r="CP357" s="154" t="n"/>
      <c r="CQ357" s="154" t="n"/>
      <c r="CR357" s="154" t="n"/>
      <c r="CS357" s="180" t="n"/>
      <c r="CT357" s="181" t="n"/>
      <c r="CU357" s="154" t="n"/>
      <c r="CV357" s="180" t="n"/>
      <c r="CW357" s="157" t="n"/>
      <c r="CX357" s="156" t="n"/>
      <c r="CY357" s="157" t="n"/>
      <c r="CZ357" s="143" t="n"/>
      <c r="DA357" s="156" t="n"/>
      <c r="DB357" s="157" t="n"/>
      <c r="DC357" s="143" t="n"/>
      <c r="DD357" s="156" t="n"/>
      <c r="DE357" s="157" t="n"/>
      <c r="DF357" s="143" t="n"/>
      <c r="DG357" s="143" t="n"/>
      <c r="DH357" s="143" t="n"/>
      <c r="DI357" s="143" t="n"/>
      <c r="DJ357" s="143" t="n"/>
      <c r="DK357" s="143" t="n"/>
      <c r="DL357" s="143" t="n"/>
      <c r="DM357" s="143" t="n"/>
      <c r="DN357" s="143" t="n"/>
      <c r="DO357" s="156" t="n"/>
      <c r="DP357" s="157" t="n"/>
      <c r="DQ357" s="20">
        <f>SUM(CN357:DP357)</f>
        <v/>
      </c>
      <c r="DR357" s="20">
        <f>SUM(CV357:DP357)</f>
        <v/>
      </c>
      <c r="DS357" s="20">
        <f>IFERROR((IF(AND($F357="Produit Vente",CO357&gt;0),VLOOKUP($C357,'[1]Paramètres Articles'!$B:$H,7,FALSE)*$CO357)*(1-20%)),0)</f>
        <v/>
      </c>
      <c r="DT357" s="20">
        <f>IFERROR((IF(AND($F357="Produit Vente",DR357&gt;0),VLOOKUP($C357,'[1]Paramètres Articles'!$B:$H,6,FALSE)*$DR357)*(1-15%)),0)</f>
        <v/>
      </c>
      <c r="DU357" s="20">
        <f>IFERROR(DQ357*J357,0)</f>
        <v/>
      </c>
    </row>
    <row r="358" outlineLevel="1" collapsed="1" ht="12.95" customHeight="1">
      <c r="B358" s="1">
        <f>IF(C358="",0,COUNTIFS($B$22:B357,"&gt;"&amp;0)+1)</f>
        <v/>
      </c>
      <c r="C358" s="90" t="n"/>
      <c r="D358" s="91">
        <f>IFERROR(IF($C358="","",VLOOKUP($C358,'[1]Paramètres Articles'!$B:$G,2,FALSE)),"Non Trouvé")</f>
        <v/>
      </c>
      <c r="E358" s="92">
        <f>IFERROR(IF($C358="","",_xlfn.XLOOKUP(REGENERANTS!$C358,'[1]New Base PA'!$F:$F,'[1]New Base PA'!$D:$D,"Not Found",0)),"Non Trouvé")</f>
        <v/>
      </c>
      <c r="F358" s="93" t="n"/>
      <c r="H358" s="106" t="n"/>
      <c r="J358" s="95">
        <f>IFERROR(IF($C358="","",VLOOKUP($C358,'[1]New Base PA'!$F:$J,5,FALSE)),"Non Trouvé")</f>
        <v/>
      </c>
      <c r="K358" s="136">
        <f>IFERROR(IF($C358="","",$J358*$H358),"Non Trouvé")</f>
        <v/>
      </c>
      <c r="L358" s="137" t="n"/>
      <c r="M358" s="136">
        <f>IFERROR(IF(AND($F358="Produit Vente",H358&gt;0),VLOOKUP($C358,'[1]Paramètres Articles'!$B:$G,6,FALSE),0),"Non Trouvé")</f>
        <v/>
      </c>
      <c r="N358" s="136">
        <f>IFERROR(IF($C358="","",$M358*$H358),"Non Trouvé")</f>
        <v/>
      </c>
      <c r="P358" s="97" t="n"/>
      <c r="R358" s="95">
        <f>IFERROR(IF($C358="","",$N358*(1-$P358)),"Non Trouvé")</f>
        <v/>
      </c>
      <c r="S358" s="96" t="n"/>
      <c r="T358" s="95">
        <f>IFERROR(IF($C358="","",VLOOKUP($C358,'[1]Paramètres Articles'!$B:$H,7,FALSE)),"Non Trouvé")</f>
        <v/>
      </c>
      <c r="U358" s="98" t="n"/>
      <c r="V358" s="95">
        <f>IFERROR(IF($C358="","",IF($P358="","",$T358*(1-$P358))),"Non Trouvé")</f>
        <v/>
      </c>
      <c r="W358" s="96" t="n"/>
      <c r="X358" s="95">
        <f>IFERROR(T358-V358,"")</f>
        <v/>
      </c>
      <c r="Y358" s="96" t="n"/>
      <c r="Z358" s="95">
        <f>IFERROR(IF(OR(T358=0,T358=""),0,T358*H358),"Non Trouvé")</f>
        <v/>
      </c>
      <c r="AB358" s="99">
        <f>AB357</f>
        <v/>
      </c>
      <c r="AC358" s="99">
        <f>AC357</f>
        <v/>
      </c>
      <c r="AD358" s="95">
        <f>IFERROR(IF($C358="","",IF($P$15="Cascade",$R358*(1-AC358)*AB358,IF($P$15="Additionnelle",($N358-($N358*($P358+AC358)))*AB358))),"Non Trouvé")</f>
        <v/>
      </c>
      <c r="AG358" s="99">
        <f>AG357</f>
        <v/>
      </c>
      <c r="AH358" s="99">
        <f>AH357</f>
        <v/>
      </c>
      <c r="AI358" s="95">
        <f>IFERROR(IF($C358="","",IF($P$15="Cascade",$R358*(1-AH358)*AG358,IF($P$15="Additionnelle",($N358-($N358*($P358+AH358)))*AG358))),"Non Trouvé")</f>
        <v/>
      </c>
      <c r="AL358" s="99">
        <f>AL357</f>
        <v/>
      </c>
      <c r="AM358" s="99">
        <f>AM357</f>
        <v/>
      </c>
      <c r="AN358" s="95">
        <f>IFERROR(IF($C358="","",IF($P$15="Cascade",$R358*(1-AM358)*AL358,IF($P$15="Additionnelle",($N358-($N358*($P358+AM358)))*AL358))),"Non Trouvé")</f>
        <v/>
      </c>
      <c r="AQ358" s="99">
        <f>AQ357</f>
        <v/>
      </c>
      <c r="AR358" s="99">
        <f>AR357</f>
        <v/>
      </c>
      <c r="AS358" s="95">
        <f>IFERROR(IF($C358="","",IF($P$15="Cascade",$R358*(1-AR358)*AQ358,IF($P$15="Additionnelle",($N358-($N358*($P358+AR358)))*AQ358))),"Non Trouvé")</f>
        <v/>
      </c>
      <c r="AV358" s="99">
        <f>AV357</f>
        <v/>
      </c>
      <c r="AW358" s="99">
        <f>AW357</f>
        <v/>
      </c>
      <c r="AX358" s="95">
        <f>IFERROR(IF($C358="","",IF($P$15="Cascade",$R358*(1-AW358)*AV358,IF($P$15="Additionnelle",($N358-($N358*($P358+AW358)))*AV358))),"Non Trouvé")</f>
        <v/>
      </c>
      <c r="BA358" s="99">
        <f>BA357</f>
        <v/>
      </c>
      <c r="BB358" s="99">
        <f>BB357</f>
        <v/>
      </c>
      <c r="BC358" s="95">
        <f>IFERROR(IF($C358="","",IF($P$15="Cascade",$R358*(1-BB358)*BA358,IF($P$15="Additionnelle",($N358-($N358*($P358+BB358)))*BA358))),"Non Trouvé")</f>
        <v/>
      </c>
      <c r="BF358" s="99">
        <f>BF357</f>
        <v/>
      </c>
      <c r="BG358" s="99">
        <f>BG357</f>
        <v/>
      </c>
      <c r="BH358" s="95">
        <f>IFERROR(IF($C358="","",IF($P$15="Cascade",$R358*(1-BG358)*BF358,IF($P$15="Additionnelle",($N358-($N358*($P358+BG358)))*BF358))),"Non Trouvé")</f>
        <v/>
      </c>
      <c r="BK358" s="99">
        <f>BK357</f>
        <v/>
      </c>
      <c r="BL358" s="99">
        <f>BL357</f>
        <v/>
      </c>
      <c r="BM358" s="95">
        <f>IFERROR(IF($C358="","",IF($P$15="Cascade",$R358*(1-BL358)*BK358,IF($P$15="Additionnelle",($N358-($N358*($P358+BL358)))*BK358))),"Non Trouvé")</f>
        <v/>
      </c>
      <c r="BP358" s="99">
        <f>BP357</f>
        <v/>
      </c>
      <c r="BQ358" s="99">
        <f>BQ357</f>
        <v/>
      </c>
      <c r="BR358" s="95">
        <f>IFERROR(IF($C358="","",IF($P$15="Cascade",$R358*(1-BQ358)*BP358,IF($P$15="Additionnelle",($N358-($N358*($P358+BQ358)))*BP358))),"Non Trouvé")</f>
        <v/>
      </c>
      <c r="BU358" s="99">
        <f>BU357</f>
        <v/>
      </c>
      <c r="BV358" s="99">
        <f>BV357</f>
        <v/>
      </c>
      <c r="BW358" s="95">
        <f>IFERROR(IF($C358="","",IF($P$15="Cascade",$R358*(1-BV358)*BU358,IF($P$15="Additionnelle",($N358-($N358*($P358+BV358)))*BU358))),"Non Trouvé")</f>
        <v/>
      </c>
      <c r="BZ358" s="99">
        <f>BZ357</f>
        <v/>
      </c>
      <c r="CA358" s="99">
        <f>CA357</f>
        <v/>
      </c>
      <c r="CB358" s="95">
        <f>IFERROR(IF($C358="","",IF($P$15="Cascade",$R358*(1-CA358)*BZ358,IF($P$15="Additionnelle",($N358-($N358*($P358+CA358)))*BZ358))),"Non Trouvé")</f>
        <v/>
      </c>
      <c r="CE358" s="100" t="n"/>
      <c r="CF358" s="101" t="n"/>
      <c r="CG358" s="102" t="n"/>
      <c r="CH358" s="102" t="n"/>
      <c r="CI358" s="103" t="n"/>
      <c r="CK358" s="104">
        <f>IFERROR(IF(F358='[1]Paramètres Généraux'!$K$12,ROUNDUP((REGENERANTS!H358*REGENERANTS!$CF$329)*'[1]Paramètres Généraux'!$M$12,-1),IF(F358='[1]Paramètres Généraux'!$K$15,ROUNDUP((REGENERANTS!H358*REGENERANTS!$CF$329)*'[1]Paramètres Généraux'!$M$15,-1),REGENERANTS!H358*REGENERANTS!$CF$329)),"nd")</f>
        <v/>
      </c>
      <c r="CN358" s="153" t="n"/>
      <c r="CO358" s="154" t="n"/>
      <c r="CP358" s="154" t="n"/>
      <c r="CQ358" s="154" t="n"/>
      <c r="CR358" s="154" t="n"/>
      <c r="CS358" s="180" t="n"/>
      <c r="CT358" s="181" t="n"/>
      <c r="CU358" s="154" t="n"/>
      <c r="CV358" s="180" t="n"/>
      <c r="CW358" s="157" t="n"/>
      <c r="CX358" s="156" t="n"/>
      <c r="CY358" s="157" t="n"/>
      <c r="CZ358" s="143" t="n"/>
      <c r="DA358" s="156" t="n"/>
      <c r="DB358" s="157" t="n"/>
      <c r="DC358" s="143" t="n"/>
      <c r="DD358" s="156" t="n"/>
      <c r="DE358" s="157" t="n"/>
      <c r="DF358" s="143" t="n"/>
      <c r="DG358" s="143" t="n"/>
      <c r="DH358" s="143" t="n"/>
      <c r="DI358" s="143" t="n"/>
      <c r="DJ358" s="143" t="n"/>
      <c r="DK358" s="143" t="n"/>
      <c r="DL358" s="143" t="n"/>
      <c r="DM358" s="143" t="n"/>
      <c r="DN358" s="143" t="n"/>
      <c r="DO358" s="156" t="n"/>
      <c r="DP358" s="157" t="n"/>
      <c r="DQ358" s="20">
        <f>SUM(CN358:DP358)</f>
        <v/>
      </c>
      <c r="DR358" s="20">
        <f>SUM(CV358:DP358)</f>
        <v/>
      </c>
      <c r="DS358" s="20">
        <f>IFERROR((IF(AND($F358="Produit Vente",CO358&gt;0),VLOOKUP($C358,'[1]Paramètres Articles'!$B:$H,7,FALSE)*$CO358)*(1-20%)),0)</f>
        <v/>
      </c>
      <c r="DT358" s="20">
        <f>IFERROR((IF(AND($F358="Produit Vente",DR358&gt;0),VLOOKUP($C358,'[1]Paramètres Articles'!$B:$H,6,FALSE)*$DR358)*(1-15%)),0)</f>
        <v/>
      </c>
      <c r="DU358" s="20">
        <f>IFERROR(DQ358*J358,0)</f>
        <v/>
      </c>
    </row>
    <row r="359" outlineLevel="1" collapsed="1" ht="12.95" customHeight="1">
      <c r="B359" s="1">
        <f>IF(C359="",0,COUNTIFS($B$22:B358,"&gt;"&amp;0)+1)</f>
        <v/>
      </c>
      <c r="C359" s="90" t="n"/>
      <c r="D359" s="91">
        <f>IFERROR(IF($C359="","",VLOOKUP($C359,'[1]Paramètres Articles'!$B:$G,2,FALSE)),"Non Trouvé")</f>
        <v/>
      </c>
      <c r="E359" s="92">
        <f>IFERROR(IF($C359="","",_xlfn.XLOOKUP(REGENERANTS!$C359,'[1]New Base PA'!$F:$F,'[1]New Base PA'!$D:$D,"Not Found",0)),"Non Trouvé")</f>
        <v/>
      </c>
      <c r="F359" s="93" t="n"/>
      <c r="H359" s="106" t="n"/>
      <c r="J359" s="95">
        <f>IFERROR(IF($C359="","",VLOOKUP($C359,'[1]New Base PA'!$F:$J,5,FALSE)),"Non Trouvé")</f>
        <v/>
      </c>
      <c r="K359" s="136">
        <f>IFERROR(IF($C359="","",$J359*$H359),"Non Trouvé")</f>
        <v/>
      </c>
      <c r="L359" s="137" t="n"/>
      <c r="M359" s="136">
        <f>IFERROR(IF(AND($F359="Produit Vente",H359&gt;0),VLOOKUP($C359,'[1]Paramètres Articles'!$B:$G,6,FALSE),0),"Non Trouvé")</f>
        <v/>
      </c>
      <c r="N359" s="136">
        <f>IFERROR(IF($C359="","",$M359*$H359),"Non Trouvé")</f>
        <v/>
      </c>
      <c r="P359" s="97" t="n"/>
      <c r="R359" s="95">
        <f>IFERROR(IF($C359="","",$N359*(1-$P359)),"Non Trouvé")</f>
        <v/>
      </c>
      <c r="S359" s="96" t="n"/>
      <c r="T359" s="95">
        <f>IFERROR(IF($C359="","",VLOOKUP($C359,'[1]Paramètres Articles'!$B:$H,7,FALSE)),"Non Trouvé")</f>
        <v/>
      </c>
      <c r="U359" s="98" t="n"/>
      <c r="V359" s="95">
        <f>IFERROR(IF($C359="","",IF($P359="","",$T359*(1-$P359))),"Non Trouvé")</f>
        <v/>
      </c>
      <c r="W359" s="96" t="n"/>
      <c r="X359" s="95">
        <f>IFERROR(T359-V359,"")</f>
        <v/>
      </c>
      <c r="Y359" s="96" t="n"/>
      <c r="Z359" s="95">
        <f>IFERROR(IF(OR(T359=0,T359=""),0,T359*H359),"Non Trouvé")</f>
        <v/>
      </c>
      <c r="AB359" s="99">
        <f>AB357</f>
        <v/>
      </c>
      <c r="AC359" s="99">
        <f>AC357</f>
        <v/>
      </c>
      <c r="AD359" s="95">
        <f>IFERROR(IF($C359="","",IF($P$15="Cascade",$R359*(1-AC359)*AB359,IF($P$15="Additionnelle",($N359-($N359*($P359+AC359)))*AB359))),"Non Trouvé")</f>
        <v/>
      </c>
      <c r="AG359" s="99">
        <f>AG357</f>
        <v/>
      </c>
      <c r="AH359" s="99">
        <f>AH357</f>
        <v/>
      </c>
      <c r="AI359" s="95">
        <f>IFERROR(IF($C359="","",IF($P$15="Cascade",$R359*(1-AH359)*AG359,IF($P$15="Additionnelle",($N359-($N359*($P359+AH359)))*AG359))),"Non Trouvé")</f>
        <v/>
      </c>
      <c r="AL359" s="99">
        <f>AL357</f>
        <v/>
      </c>
      <c r="AM359" s="99">
        <f>AM357</f>
        <v/>
      </c>
      <c r="AN359" s="95">
        <f>IFERROR(IF($C359="","",IF($P$15="Cascade",$R359*(1-AM359)*AL359,IF($P$15="Additionnelle",($N359-($N359*($P359+AM359)))*AL359))),"Non Trouvé")</f>
        <v/>
      </c>
      <c r="AQ359" s="99">
        <f>AQ357</f>
        <v/>
      </c>
      <c r="AR359" s="99">
        <f>AR357</f>
        <v/>
      </c>
      <c r="AS359" s="95">
        <f>IFERROR(IF($C359="","",IF($P$15="Cascade",$R359*(1-AR359)*AQ359,IF($P$15="Additionnelle",($N359-($N359*($P359+AR359)))*AQ359))),"Non Trouvé")</f>
        <v/>
      </c>
      <c r="AV359" s="99">
        <f>AV357</f>
        <v/>
      </c>
      <c r="AW359" s="99">
        <f>AW357</f>
        <v/>
      </c>
      <c r="AX359" s="95">
        <f>IFERROR(IF($C359="","",IF($P$15="Cascade",$R359*(1-AW359)*AV359,IF($P$15="Additionnelle",($N359-($N359*($P359+AW359)))*AV359))),"Non Trouvé")</f>
        <v/>
      </c>
      <c r="BA359" s="99">
        <f>BA357</f>
        <v/>
      </c>
      <c r="BB359" s="99">
        <f>BB357</f>
        <v/>
      </c>
      <c r="BC359" s="95">
        <f>IFERROR(IF($C359="","",IF($P$15="Cascade",$R359*(1-BB359)*BA359,IF($P$15="Additionnelle",($N359-($N359*($P359+BB359)))*BA359))),"Non Trouvé")</f>
        <v/>
      </c>
      <c r="BF359" s="99">
        <f>BF357</f>
        <v/>
      </c>
      <c r="BG359" s="99">
        <f>BG357</f>
        <v/>
      </c>
      <c r="BH359" s="95">
        <f>IFERROR(IF($C359="","",IF($P$15="Cascade",$R359*(1-BG359)*BF359,IF($P$15="Additionnelle",($N359-($N359*($P359+BG359)))*BF359))),"Non Trouvé")</f>
        <v/>
      </c>
      <c r="BK359" s="99">
        <f>BK357</f>
        <v/>
      </c>
      <c r="BL359" s="99">
        <f>BL357</f>
        <v/>
      </c>
      <c r="BM359" s="95">
        <f>IFERROR(IF($C359="","",IF($P$15="Cascade",$R359*(1-BL359)*BK359,IF($P$15="Additionnelle",($N359-($N359*($P359+BL359)))*BK359))),"Non Trouvé")</f>
        <v/>
      </c>
      <c r="BP359" s="99">
        <f>BP357</f>
        <v/>
      </c>
      <c r="BQ359" s="99">
        <f>BQ357</f>
        <v/>
      </c>
      <c r="BR359" s="95">
        <f>IFERROR(IF($C359="","",IF($P$15="Cascade",$R359*(1-BQ359)*BP359,IF($P$15="Additionnelle",($N359-($N359*($P359+BQ359)))*BP359))),"Non Trouvé")</f>
        <v/>
      </c>
      <c r="BU359" s="99">
        <f>BU357</f>
        <v/>
      </c>
      <c r="BV359" s="99">
        <f>BV357</f>
        <v/>
      </c>
      <c r="BW359" s="95">
        <f>IFERROR(IF($C359="","",IF($P$15="Cascade",$R359*(1-BV359)*BU359,IF($P$15="Additionnelle",($N359-($N359*($P359+BV359)))*BU359))),"Non Trouvé")</f>
        <v/>
      </c>
      <c r="BZ359" s="99">
        <f>BZ357</f>
        <v/>
      </c>
      <c r="CA359" s="99">
        <f>CA357</f>
        <v/>
      </c>
      <c r="CB359" s="95">
        <f>IFERROR(IF($C359="","",IF($P$15="Cascade",$R359*(1-CA359)*BZ359,IF($P$15="Additionnelle",($N359-($N359*($P359+CA359)))*BZ359))),"Non Trouvé")</f>
        <v/>
      </c>
      <c r="CE359" s="100" t="n"/>
      <c r="CF359" s="101" t="n"/>
      <c r="CG359" s="102" t="n"/>
      <c r="CH359" s="102" t="n"/>
      <c r="CI359" s="103" t="n"/>
      <c r="CK359" s="104">
        <f>IFERROR(IF(F359='[1]Paramètres Généraux'!$K$12,ROUNDUP((REGENERANTS!H359*REGENERANTS!$CF$329)*'[1]Paramètres Généraux'!$M$12,-1),IF(F359='[1]Paramètres Généraux'!$K$15,ROUNDUP((REGENERANTS!H359*REGENERANTS!$CF$329)*'[1]Paramètres Généraux'!$M$15,-1),REGENERANTS!H359*REGENERANTS!$CF$329)),"nd")</f>
        <v/>
      </c>
      <c r="CN359" s="153" t="n"/>
      <c r="CO359" s="154" t="n"/>
      <c r="CP359" s="154" t="n"/>
      <c r="CQ359" s="154" t="n"/>
      <c r="CR359" s="154" t="n"/>
      <c r="CS359" s="180" t="n"/>
      <c r="CT359" s="181" t="n"/>
      <c r="CU359" s="154" t="n"/>
      <c r="CV359" s="180" t="n"/>
      <c r="CW359" s="157" t="n"/>
      <c r="CX359" s="156" t="n"/>
      <c r="CY359" s="157" t="n"/>
      <c r="CZ359" s="143" t="n"/>
      <c r="DA359" s="156" t="n"/>
      <c r="DB359" s="157" t="n"/>
      <c r="DC359" s="143" t="n"/>
      <c r="DD359" s="156" t="n"/>
      <c r="DE359" s="157" t="n"/>
      <c r="DF359" s="143" t="n"/>
      <c r="DG359" s="143" t="n"/>
      <c r="DH359" s="143" t="n"/>
      <c r="DI359" s="143" t="n"/>
      <c r="DJ359" s="143" t="n"/>
      <c r="DK359" s="143" t="n"/>
      <c r="DL359" s="143" t="n"/>
      <c r="DM359" s="143" t="n"/>
      <c r="DN359" s="143" t="n"/>
      <c r="DO359" s="156" t="n"/>
      <c r="DP359" s="157" t="n"/>
      <c r="DQ359" s="20">
        <f>SUM(CN359:DP359)</f>
        <v/>
      </c>
      <c r="DR359" s="20">
        <f>SUM(CV359:DP359)</f>
        <v/>
      </c>
      <c r="DS359" s="20">
        <f>IFERROR((IF(AND($F359="Produit Vente",CO359&gt;0),VLOOKUP($C359,'[1]Paramètres Articles'!$B:$H,7,FALSE)*$CO359)*(1-20%)),0)</f>
        <v/>
      </c>
      <c r="DT359" s="20">
        <f>IFERROR((IF(AND($F359="Produit Vente",DR359&gt;0),VLOOKUP($C359,'[1]Paramètres Articles'!$B:$H,6,FALSE)*$DR359)*(1-15%)),0)</f>
        <v/>
      </c>
      <c r="DU359" s="20">
        <f>IFERROR(DQ359*J359,0)</f>
        <v/>
      </c>
    </row>
    <row r="360" outlineLevel="1" collapsed="1" ht="12.95" customHeight="1">
      <c r="B360" s="1">
        <f>IF(C360="",0,COUNTIFS($B$22:B359,"&gt;"&amp;0)+1)</f>
        <v/>
      </c>
      <c r="C360" s="90" t="n"/>
      <c r="D360" s="91">
        <f>IFERROR(IF($C360="","",VLOOKUP($C360,'[1]Paramètres Articles'!$B:$G,2,FALSE)),"Non Trouvé")</f>
        <v/>
      </c>
      <c r="E360" s="92">
        <f>IFERROR(IF($C360="","",_xlfn.XLOOKUP(REGENERANTS!$C360,'[1]New Base PA'!$F:$F,'[1]New Base PA'!$D:$D,"Not Found",0)),"Non Trouvé")</f>
        <v/>
      </c>
      <c r="F360" s="93" t="n"/>
      <c r="H360" s="106" t="n"/>
      <c r="J360" s="95">
        <f>IFERROR(IF($C360="","",VLOOKUP($C360,'[1]New Base PA'!$F:$J,5,FALSE)),"Non Trouvé")</f>
        <v/>
      </c>
      <c r="K360" s="136">
        <f>IFERROR(IF($C360="","",$J360*$H360),"Non Trouvé")</f>
        <v/>
      </c>
      <c r="L360" s="137" t="n"/>
      <c r="M360" s="136">
        <f>IFERROR(IF(AND($F360="Produit Vente",H360&gt;0),VLOOKUP($C360,'[1]Paramètres Articles'!$B:$G,6,FALSE),0),"Non Trouvé")</f>
        <v/>
      </c>
      <c r="N360" s="136">
        <f>IFERROR(IF($C360="","",$M360*$H360),"Non Trouvé")</f>
        <v/>
      </c>
      <c r="P360" s="97" t="n"/>
      <c r="R360" s="95">
        <f>IFERROR(IF($C360="","",$N360*(1-$P360)),"Non Trouvé")</f>
        <v/>
      </c>
      <c r="S360" s="96" t="n"/>
      <c r="T360" s="95">
        <f>IFERROR(IF($C360="","",VLOOKUP($C360,'[1]Paramètres Articles'!$B:$H,7,FALSE)),"Non Trouvé")</f>
        <v/>
      </c>
      <c r="U360" s="98" t="n"/>
      <c r="V360" s="95">
        <f>IFERROR(IF($C360="","",IF($P360="","",$T360*(1-$P360))),"Non Trouvé")</f>
        <v/>
      </c>
      <c r="W360" s="96" t="n"/>
      <c r="X360" s="95">
        <f>IFERROR(T360-V360,"")</f>
        <v/>
      </c>
      <c r="Y360" s="96" t="n"/>
      <c r="Z360" s="95">
        <f>IFERROR(IF(OR(T360=0,T360=""),0,T360*H360),"Non Trouvé")</f>
        <v/>
      </c>
      <c r="AB360" s="99">
        <f>AB359</f>
        <v/>
      </c>
      <c r="AC360" s="99">
        <f>AC359</f>
        <v/>
      </c>
      <c r="AD360" s="95">
        <f>IFERROR(IF($C360="","",IF($P$15="Cascade",$R360*(1-AC360)*AB360,IF($P$15="Additionnelle",($N360-($N360*($P360+AC360)))*AB360))),"Non Trouvé")</f>
        <v/>
      </c>
      <c r="AG360" s="99">
        <f>AG359</f>
        <v/>
      </c>
      <c r="AH360" s="99">
        <f>AH359</f>
        <v/>
      </c>
      <c r="AI360" s="95">
        <f>IFERROR(IF($C360="","",IF($P$15="Cascade",$R360*(1-AH360)*AG360,IF($P$15="Additionnelle",($N360-($N360*($P360+AH360)))*AG360))),"Non Trouvé")</f>
        <v/>
      </c>
      <c r="AL360" s="99">
        <f>AL359</f>
        <v/>
      </c>
      <c r="AM360" s="99">
        <f>AM359</f>
        <v/>
      </c>
      <c r="AN360" s="95">
        <f>IFERROR(IF($C360="","",IF($P$15="Cascade",$R360*(1-AM360)*AL360,IF($P$15="Additionnelle",($N360-($N360*($P360+AM360)))*AL360))),"Non Trouvé")</f>
        <v/>
      </c>
      <c r="AQ360" s="99">
        <f>AQ359</f>
        <v/>
      </c>
      <c r="AR360" s="99">
        <f>AR359</f>
        <v/>
      </c>
      <c r="AS360" s="95">
        <f>IFERROR(IF($C360="","",IF($P$15="Cascade",$R360*(1-AR360)*AQ360,IF($P$15="Additionnelle",($N360-($N360*($P360+AR360)))*AQ360))),"Non Trouvé")</f>
        <v/>
      </c>
      <c r="AV360" s="99">
        <f>AV359</f>
        <v/>
      </c>
      <c r="AW360" s="99">
        <f>AW359</f>
        <v/>
      </c>
      <c r="AX360" s="95">
        <f>IFERROR(IF($C360="","",IF($P$15="Cascade",$R360*(1-AW360)*AV360,IF($P$15="Additionnelle",($N360-($N360*($P360+AW360)))*AV360))),"Non Trouvé")</f>
        <v/>
      </c>
      <c r="BA360" s="99">
        <f>BA359</f>
        <v/>
      </c>
      <c r="BB360" s="99">
        <f>BB359</f>
        <v/>
      </c>
      <c r="BC360" s="95">
        <f>IFERROR(IF($C360="","",IF($P$15="Cascade",$R360*(1-BB360)*BA360,IF($P$15="Additionnelle",($N360-($N360*($P360+BB360)))*BA360))),"Non Trouvé")</f>
        <v/>
      </c>
      <c r="BF360" s="99">
        <f>BF359</f>
        <v/>
      </c>
      <c r="BG360" s="99">
        <f>BG359</f>
        <v/>
      </c>
      <c r="BH360" s="95">
        <f>IFERROR(IF($C360="","",IF($P$15="Cascade",$R360*(1-BG360)*BF360,IF($P$15="Additionnelle",($N360-($N360*($P360+BG360)))*BF360))),"Non Trouvé")</f>
        <v/>
      </c>
      <c r="BK360" s="99">
        <f>BK359</f>
        <v/>
      </c>
      <c r="BL360" s="99">
        <f>BL359</f>
        <v/>
      </c>
      <c r="BM360" s="95">
        <f>IFERROR(IF($C360="","",IF($P$15="Cascade",$R360*(1-BL360)*BK360,IF($P$15="Additionnelle",($N360-($N360*($P360+BL360)))*BK360))),"Non Trouvé")</f>
        <v/>
      </c>
      <c r="BP360" s="99">
        <f>BP359</f>
        <v/>
      </c>
      <c r="BQ360" s="99">
        <f>BQ359</f>
        <v/>
      </c>
      <c r="BR360" s="95">
        <f>IFERROR(IF($C360="","",IF($P$15="Cascade",$R360*(1-BQ360)*BP360,IF($P$15="Additionnelle",($N360-($N360*($P360+BQ360)))*BP360))),"Non Trouvé")</f>
        <v/>
      </c>
      <c r="BU360" s="99">
        <f>BU359</f>
        <v/>
      </c>
      <c r="BV360" s="99">
        <f>BV359</f>
        <v/>
      </c>
      <c r="BW360" s="95">
        <f>IFERROR(IF($C360="","",IF($P$15="Cascade",$R360*(1-BV360)*BU360,IF($P$15="Additionnelle",($N360-($N360*($P360+BV360)))*BU360))),"Non Trouvé")</f>
        <v/>
      </c>
      <c r="BZ360" s="99">
        <f>BZ359</f>
        <v/>
      </c>
      <c r="CA360" s="99">
        <f>CA359</f>
        <v/>
      </c>
      <c r="CB360" s="95">
        <f>IFERROR(IF($C360="","",IF($P$15="Cascade",$R360*(1-CA360)*BZ360,IF($P$15="Additionnelle",($N360-($N360*($P360+CA360)))*BZ360))),"Non Trouvé")</f>
        <v/>
      </c>
      <c r="CE360" s="100" t="n"/>
      <c r="CF360" s="101" t="n"/>
      <c r="CG360" s="102" t="n"/>
      <c r="CH360" s="102" t="n"/>
      <c r="CI360" s="103" t="n"/>
      <c r="CK360" s="104">
        <f>IFERROR(IF(F360='[1]Paramètres Généraux'!$K$12,ROUNDUP((REGENERANTS!H360*REGENERANTS!$CF$329)*'[1]Paramètres Généraux'!$M$12,-1),IF(F360='[1]Paramètres Généraux'!$K$15,ROUNDUP((REGENERANTS!H360*REGENERANTS!$CF$329)*'[1]Paramètres Généraux'!$M$15,-1),REGENERANTS!H360*REGENERANTS!$CF$329)),"nd")</f>
        <v/>
      </c>
      <c r="CN360" s="153" t="n"/>
      <c r="CO360" s="154" t="n"/>
      <c r="CP360" s="154" t="n"/>
      <c r="CQ360" s="154" t="n"/>
      <c r="CR360" s="154" t="n"/>
      <c r="CS360" s="180" t="n"/>
      <c r="CT360" s="181" t="n"/>
      <c r="CU360" s="154" t="n"/>
      <c r="CV360" s="180" t="n"/>
      <c r="CW360" s="157" t="n"/>
      <c r="CX360" s="156" t="n"/>
      <c r="CY360" s="157" t="n"/>
      <c r="CZ360" s="143" t="n"/>
      <c r="DA360" s="156" t="n"/>
      <c r="DB360" s="157" t="n"/>
      <c r="DC360" s="143" t="n"/>
      <c r="DD360" s="156" t="n"/>
      <c r="DE360" s="157" t="n"/>
      <c r="DF360" s="143" t="n"/>
      <c r="DG360" s="143" t="n"/>
      <c r="DH360" s="143" t="n"/>
      <c r="DI360" s="143" t="n"/>
      <c r="DJ360" s="143" t="n"/>
      <c r="DK360" s="143" t="n"/>
      <c r="DL360" s="143" t="n"/>
      <c r="DM360" s="143" t="n"/>
      <c r="DN360" s="143" t="n"/>
      <c r="DO360" s="156" t="n"/>
      <c r="DP360" s="157" t="n"/>
      <c r="DQ360" s="20">
        <f>SUM(CN360:DP360)</f>
        <v/>
      </c>
      <c r="DR360" s="20">
        <f>SUM(CV360:DP360)</f>
        <v/>
      </c>
      <c r="DS360" s="20">
        <f>IFERROR((IF(AND($F360="Produit Vente",CO360&gt;0),VLOOKUP($C360,'[1]Paramètres Articles'!$B:$H,7,FALSE)*$CO360)*(1-20%)),0)</f>
        <v/>
      </c>
      <c r="DT360" s="20">
        <f>IFERROR((IF(AND($F360="Produit Vente",DR360&gt;0),VLOOKUP($C360,'[1]Paramètres Articles'!$B:$H,6,FALSE)*$DR360)*(1-15%)),0)</f>
        <v/>
      </c>
      <c r="DU360" s="20">
        <f>IFERROR(DQ360*J360,0)</f>
        <v/>
      </c>
    </row>
    <row r="361" outlineLevel="1" collapsed="1" ht="12.95" customHeight="1">
      <c r="B361" s="1">
        <f>IF(C361="",0,COUNTIFS($B$22:B360,"&gt;"&amp;0)+1)</f>
        <v/>
      </c>
      <c r="C361" s="90" t="n"/>
      <c r="D361" s="91">
        <f>IFERROR(IF($C361="","",VLOOKUP($C361,'[1]Paramètres Articles'!$B:$G,2,FALSE)),"Non Trouvé")</f>
        <v/>
      </c>
      <c r="E361" s="92">
        <f>IFERROR(IF($C361="","",_xlfn.XLOOKUP(REGENERANTS!$C361,'[1]New Base PA'!$F:$F,'[1]New Base PA'!$D:$D,"Not Found",0)),"Non Trouvé")</f>
        <v/>
      </c>
      <c r="F361" s="93" t="n"/>
      <c r="H361" s="106" t="n"/>
      <c r="J361" s="95">
        <f>IFERROR(IF($C361="","",VLOOKUP($C361,'[1]New Base PA'!$F:$J,5,FALSE)),"Non Trouvé")</f>
        <v/>
      </c>
      <c r="K361" s="136">
        <f>IFERROR(IF($C361="","",$J361*$H361),"Non Trouvé")</f>
        <v/>
      </c>
      <c r="L361" s="137" t="n"/>
      <c r="M361" s="136">
        <f>IFERROR(IF(AND($F361="Produit Vente",H361&gt;0),VLOOKUP($C361,'[1]Paramètres Articles'!$B:$G,6,FALSE),0),"Non Trouvé")</f>
        <v/>
      </c>
      <c r="N361" s="136">
        <f>IFERROR(IF($C361="","",$M361*$H361),"Non Trouvé")</f>
        <v/>
      </c>
      <c r="P361" s="97" t="n"/>
      <c r="R361" s="95">
        <f>IFERROR(IF($C361="","",$N361*(1-$P361)),"Non Trouvé")</f>
        <v/>
      </c>
      <c r="S361" s="96" t="n"/>
      <c r="T361" s="95">
        <f>IFERROR(IF($C361="","",VLOOKUP($C361,'[1]Paramètres Articles'!$B:$H,7,FALSE)),"Non Trouvé")</f>
        <v/>
      </c>
      <c r="U361" s="98" t="n"/>
      <c r="V361" s="95">
        <f>IFERROR(IF($C361="","",IF($P361="","",$T361*(1-$P361))),"Non Trouvé")</f>
        <v/>
      </c>
      <c r="W361" s="96" t="n"/>
      <c r="X361" s="95">
        <f>IFERROR(T361-V361,"")</f>
        <v/>
      </c>
      <c r="Y361" s="96" t="n"/>
      <c r="Z361" s="95">
        <f>IFERROR(IF(OR(T361=0,T361=""),0,T361*H361),"Non Trouvé")</f>
        <v/>
      </c>
      <c r="AB361" s="99">
        <f>AB359</f>
        <v/>
      </c>
      <c r="AC361" s="99">
        <f>AC359</f>
        <v/>
      </c>
      <c r="AD361" s="95">
        <f>IFERROR(IF($C361="","",IF($P$15="Cascade",$R361*(1-AC361)*AB361,IF($P$15="Additionnelle",($N361-($N361*($P361+AC361)))*AB361))),"Non Trouvé")</f>
        <v/>
      </c>
      <c r="AG361" s="99">
        <f>AG359</f>
        <v/>
      </c>
      <c r="AH361" s="99">
        <f>AH359</f>
        <v/>
      </c>
      <c r="AI361" s="95">
        <f>IFERROR(IF($C361="","",IF($P$15="Cascade",$R361*(1-AH361)*AG361,IF($P$15="Additionnelle",($N361-($N361*($P361+AH361)))*AG361))),"Non Trouvé")</f>
        <v/>
      </c>
      <c r="AL361" s="99">
        <f>AL359</f>
        <v/>
      </c>
      <c r="AM361" s="99">
        <f>AM359</f>
        <v/>
      </c>
      <c r="AN361" s="95">
        <f>IFERROR(IF($C361="","",IF($P$15="Cascade",$R361*(1-AM361)*AL361,IF($P$15="Additionnelle",($N361-($N361*($P361+AM361)))*AL361))),"Non Trouvé")</f>
        <v/>
      </c>
      <c r="AQ361" s="99">
        <f>AQ359</f>
        <v/>
      </c>
      <c r="AR361" s="99">
        <f>AR359</f>
        <v/>
      </c>
      <c r="AS361" s="95">
        <f>IFERROR(IF($C361="","",IF($P$15="Cascade",$R361*(1-AR361)*AQ361,IF($P$15="Additionnelle",($N361-($N361*($P361+AR361)))*AQ361))),"Non Trouvé")</f>
        <v/>
      </c>
      <c r="AV361" s="99">
        <f>AV359</f>
        <v/>
      </c>
      <c r="AW361" s="99">
        <f>AW359</f>
        <v/>
      </c>
      <c r="AX361" s="95">
        <f>IFERROR(IF($C361="","",IF($P$15="Cascade",$R361*(1-AW361)*AV361,IF($P$15="Additionnelle",($N361-($N361*($P361+AW361)))*AV361))),"Non Trouvé")</f>
        <v/>
      </c>
      <c r="BA361" s="99">
        <f>BA359</f>
        <v/>
      </c>
      <c r="BB361" s="99">
        <f>BB359</f>
        <v/>
      </c>
      <c r="BC361" s="95">
        <f>IFERROR(IF($C361="","",IF($P$15="Cascade",$R361*(1-BB361)*BA361,IF($P$15="Additionnelle",($N361-($N361*($P361+BB361)))*BA361))),"Non Trouvé")</f>
        <v/>
      </c>
      <c r="BF361" s="99">
        <f>BF359</f>
        <v/>
      </c>
      <c r="BG361" s="99">
        <f>BG359</f>
        <v/>
      </c>
      <c r="BH361" s="95">
        <f>IFERROR(IF($C361="","",IF($P$15="Cascade",$R361*(1-BG361)*BF361,IF($P$15="Additionnelle",($N361-($N361*($P361+BG361)))*BF361))),"Non Trouvé")</f>
        <v/>
      </c>
      <c r="BK361" s="99">
        <f>BK359</f>
        <v/>
      </c>
      <c r="BL361" s="99">
        <f>BL359</f>
        <v/>
      </c>
      <c r="BM361" s="95">
        <f>IFERROR(IF($C361="","",IF($P$15="Cascade",$R361*(1-BL361)*BK361,IF($P$15="Additionnelle",($N361-($N361*($P361+BL361)))*BK361))),"Non Trouvé")</f>
        <v/>
      </c>
      <c r="BP361" s="99">
        <f>BP359</f>
        <v/>
      </c>
      <c r="BQ361" s="99">
        <f>BQ359</f>
        <v/>
      </c>
      <c r="BR361" s="95">
        <f>IFERROR(IF($C361="","",IF($P$15="Cascade",$R361*(1-BQ361)*BP361,IF($P$15="Additionnelle",($N361-($N361*($P361+BQ361)))*BP361))),"Non Trouvé")</f>
        <v/>
      </c>
      <c r="BU361" s="99">
        <f>BU359</f>
        <v/>
      </c>
      <c r="BV361" s="99">
        <f>BV359</f>
        <v/>
      </c>
      <c r="BW361" s="95">
        <f>IFERROR(IF($C361="","",IF($P$15="Cascade",$R361*(1-BV361)*BU361,IF($P$15="Additionnelle",($N361-($N361*($P361+BV361)))*BU361))),"Non Trouvé")</f>
        <v/>
      </c>
      <c r="BZ361" s="99">
        <f>BZ359</f>
        <v/>
      </c>
      <c r="CA361" s="99">
        <f>CA359</f>
        <v/>
      </c>
      <c r="CB361" s="95">
        <f>IFERROR(IF($C361="","",IF($P$15="Cascade",$R361*(1-CA361)*BZ361,IF($P$15="Additionnelle",($N361-($N361*($P361+CA361)))*BZ361))),"Non Trouvé")</f>
        <v/>
      </c>
      <c r="CE361" s="100" t="n"/>
      <c r="CF361" s="101" t="n"/>
      <c r="CG361" s="102" t="n"/>
      <c r="CH361" s="102" t="n"/>
      <c r="CI361" s="103" t="n"/>
      <c r="CK361" s="104">
        <f>IFERROR(IF(F361='[1]Paramètres Généraux'!$K$12,ROUNDUP((REGENERANTS!H361*REGENERANTS!$CF$329)*'[1]Paramètres Généraux'!$M$12,-1),IF(F361='[1]Paramètres Généraux'!$K$15,ROUNDUP((REGENERANTS!H361*REGENERANTS!$CF$329)*'[1]Paramètres Généraux'!$M$15,-1),REGENERANTS!H361*REGENERANTS!$CF$329)),"nd")</f>
        <v/>
      </c>
      <c r="CN361" s="153" t="n"/>
      <c r="CO361" s="154" t="n"/>
      <c r="CP361" s="154" t="n"/>
      <c r="CQ361" s="154" t="n"/>
      <c r="CR361" s="154" t="n"/>
      <c r="CS361" s="180" t="n"/>
      <c r="CT361" s="181" t="n"/>
      <c r="CU361" s="154" t="n"/>
      <c r="CV361" s="180" t="n"/>
      <c r="CW361" s="157" t="n"/>
      <c r="CX361" s="156" t="n"/>
      <c r="CY361" s="157" t="n"/>
      <c r="CZ361" s="143" t="n"/>
      <c r="DA361" s="156" t="n"/>
      <c r="DB361" s="157" t="n"/>
      <c r="DC361" s="143" t="n"/>
      <c r="DD361" s="156" t="n"/>
      <c r="DE361" s="157" t="n"/>
      <c r="DF361" s="143" t="n"/>
      <c r="DG361" s="143" t="n"/>
      <c r="DH361" s="143" t="n"/>
      <c r="DI361" s="143" t="n"/>
      <c r="DJ361" s="143" t="n"/>
      <c r="DK361" s="143" t="n"/>
      <c r="DL361" s="143" t="n"/>
      <c r="DM361" s="143" t="n"/>
      <c r="DN361" s="143" t="n"/>
      <c r="DO361" s="156" t="n"/>
      <c r="DP361" s="157" t="n"/>
      <c r="DQ361" s="20">
        <f>SUM(CN361:DP361)</f>
        <v/>
      </c>
      <c r="DR361" s="20">
        <f>SUM(CV361:DP361)</f>
        <v/>
      </c>
      <c r="DS361" s="20">
        <f>IFERROR((IF(AND($F361="Produit Vente",CO361&gt;0),VLOOKUP($C361,'[1]Paramètres Articles'!$B:$H,7,FALSE)*$CO361)*(1-20%)),0)</f>
        <v/>
      </c>
      <c r="DT361" s="20">
        <f>IFERROR((IF(AND($F361="Produit Vente",DR361&gt;0),VLOOKUP($C361,'[1]Paramètres Articles'!$B:$H,6,FALSE)*$DR361)*(1-15%)),0)</f>
        <v/>
      </c>
      <c r="DU361" s="20">
        <f>IFERROR(DQ361*J361,0)</f>
        <v/>
      </c>
    </row>
    <row r="362" outlineLevel="1" collapsed="1" ht="12.95" customHeight="1">
      <c r="B362" s="1">
        <f>IF(C362="",0,COUNTIFS($B$22:B361,"&gt;"&amp;0)+1)</f>
        <v/>
      </c>
      <c r="C362" s="90" t="n"/>
      <c r="D362" s="91">
        <f>IFERROR(IF($C362="","",VLOOKUP($C362,'[1]Paramètres Articles'!$B:$G,2,FALSE)),"Non Trouvé")</f>
        <v/>
      </c>
      <c r="E362" s="92">
        <f>IFERROR(IF($C362="","",_xlfn.XLOOKUP(REGENERANTS!$C362,'[1]New Base PA'!$F:$F,'[1]New Base PA'!$D:$D,"Not Found",0)),"Non Trouvé")</f>
        <v/>
      </c>
      <c r="F362" s="93" t="n"/>
      <c r="H362" s="106" t="n"/>
      <c r="J362" s="95">
        <f>IFERROR(IF($C362="","",VLOOKUP($C362,'[1]New Base PA'!$F:$J,5,FALSE)),"Non Trouvé")</f>
        <v/>
      </c>
      <c r="K362" s="136">
        <f>IFERROR(IF($C362="","",$J362*$H362),"Non Trouvé")</f>
        <v/>
      </c>
      <c r="L362" s="137" t="n"/>
      <c r="M362" s="136">
        <f>IFERROR(IF(AND($F362="Produit Vente",H362&gt;0),VLOOKUP($C362,'[1]Paramètres Articles'!$B:$G,6,FALSE),0),"Non Trouvé")</f>
        <v/>
      </c>
      <c r="N362" s="136">
        <f>IFERROR(IF($C362="","",$M362*$H362),"Non Trouvé")</f>
        <v/>
      </c>
      <c r="P362" s="97" t="n"/>
      <c r="R362" s="95">
        <f>IFERROR(IF($C362="","",$N362*(1-$P362)),"Non Trouvé")</f>
        <v/>
      </c>
      <c r="S362" s="96" t="n"/>
      <c r="T362" s="95">
        <f>IFERROR(IF($C362="","",VLOOKUP($C362,'[1]Paramètres Articles'!$B:$H,7,FALSE)),"Non Trouvé")</f>
        <v/>
      </c>
      <c r="U362" s="98" t="n"/>
      <c r="V362" s="95">
        <f>IFERROR(IF($C362="","",IF($P362="","",$T362*(1-$P362))),"Non Trouvé")</f>
        <v/>
      </c>
      <c r="W362" s="96" t="n"/>
      <c r="X362" s="95">
        <f>IFERROR(T362-V362,"")</f>
        <v/>
      </c>
      <c r="Y362" s="96" t="n"/>
      <c r="Z362" s="95">
        <f>IFERROR(IF(OR(T362=0,T362=""),0,T362*H362),"Non Trouvé")</f>
        <v/>
      </c>
      <c r="AB362" s="99">
        <f>AB361</f>
        <v/>
      </c>
      <c r="AC362" s="99">
        <f>AC361</f>
        <v/>
      </c>
      <c r="AD362" s="95">
        <f>IFERROR(IF($C362="","",IF($P$15="Cascade",$R362*(1-AC362)*AB362,IF($P$15="Additionnelle",($N362-($N362*($P362+AC362)))*AB362))),"Non Trouvé")</f>
        <v/>
      </c>
      <c r="AG362" s="99">
        <f>AG361</f>
        <v/>
      </c>
      <c r="AH362" s="99">
        <f>AH361</f>
        <v/>
      </c>
      <c r="AI362" s="95">
        <f>IFERROR(IF($C362="","",IF($P$15="Cascade",$R362*(1-AH362)*AG362,IF($P$15="Additionnelle",($N362-($N362*($P362+AH362)))*AG362))),"Non Trouvé")</f>
        <v/>
      </c>
      <c r="AL362" s="99">
        <f>AL361</f>
        <v/>
      </c>
      <c r="AM362" s="99">
        <f>AM361</f>
        <v/>
      </c>
      <c r="AN362" s="95">
        <f>IFERROR(IF($C362="","",IF($P$15="Cascade",$R362*(1-AM362)*AL362,IF($P$15="Additionnelle",($N362-($N362*($P362+AM362)))*AL362))),"Non Trouvé")</f>
        <v/>
      </c>
      <c r="AQ362" s="99">
        <f>AQ361</f>
        <v/>
      </c>
      <c r="AR362" s="99">
        <f>AR361</f>
        <v/>
      </c>
      <c r="AS362" s="95">
        <f>IFERROR(IF($C362="","",IF($P$15="Cascade",$R362*(1-AR362)*AQ362,IF($P$15="Additionnelle",($N362-($N362*($P362+AR362)))*AQ362))),"Non Trouvé")</f>
        <v/>
      </c>
      <c r="AV362" s="99">
        <f>AV361</f>
        <v/>
      </c>
      <c r="AW362" s="99">
        <f>AW361</f>
        <v/>
      </c>
      <c r="AX362" s="95">
        <f>IFERROR(IF($C362="","",IF($P$15="Cascade",$R362*(1-AW362)*AV362,IF($P$15="Additionnelle",($N362-($N362*($P362+AW362)))*AV362))),"Non Trouvé")</f>
        <v/>
      </c>
      <c r="BA362" s="99">
        <f>BA361</f>
        <v/>
      </c>
      <c r="BB362" s="99">
        <f>BB361</f>
        <v/>
      </c>
      <c r="BC362" s="95">
        <f>IFERROR(IF($C362="","",IF($P$15="Cascade",$R362*(1-BB362)*BA362,IF($P$15="Additionnelle",($N362-($N362*($P362+BB362)))*BA362))),"Non Trouvé")</f>
        <v/>
      </c>
      <c r="BF362" s="99">
        <f>BF361</f>
        <v/>
      </c>
      <c r="BG362" s="99">
        <f>BG361</f>
        <v/>
      </c>
      <c r="BH362" s="95">
        <f>IFERROR(IF($C362="","",IF($P$15="Cascade",$R362*(1-BG362)*BF362,IF($P$15="Additionnelle",($N362-($N362*($P362+BG362)))*BF362))),"Non Trouvé")</f>
        <v/>
      </c>
      <c r="BK362" s="99">
        <f>BK361</f>
        <v/>
      </c>
      <c r="BL362" s="99">
        <f>BL361</f>
        <v/>
      </c>
      <c r="BM362" s="95">
        <f>IFERROR(IF($C362="","",IF($P$15="Cascade",$R362*(1-BL362)*BK362,IF($P$15="Additionnelle",($N362-($N362*($P362+BL362)))*BK362))),"Non Trouvé")</f>
        <v/>
      </c>
      <c r="BP362" s="99">
        <f>BP361</f>
        <v/>
      </c>
      <c r="BQ362" s="99">
        <f>BQ361</f>
        <v/>
      </c>
      <c r="BR362" s="95">
        <f>IFERROR(IF($C362="","",IF($P$15="Cascade",$R362*(1-BQ362)*BP362,IF($P$15="Additionnelle",($N362-($N362*($P362+BQ362)))*BP362))),"Non Trouvé")</f>
        <v/>
      </c>
      <c r="BU362" s="99">
        <f>BU361</f>
        <v/>
      </c>
      <c r="BV362" s="99">
        <f>BV361</f>
        <v/>
      </c>
      <c r="BW362" s="95">
        <f>IFERROR(IF($C362="","",IF($P$15="Cascade",$R362*(1-BV362)*BU362,IF($P$15="Additionnelle",($N362-($N362*($P362+BV362)))*BU362))),"Non Trouvé")</f>
        <v/>
      </c>
      <c r="BZ362" s="99">
        <f>BZ361</f>
        <v/>
      </c>
      <c r="CA362" s="99">
        <f>CA361</f>
        <v/>
      </c>
      <c r="CB362" s="95">
        <f>IFERROR(IF($C362="","",IF($P$15="Cascade",$R362*(1-CA362)*BZ362,IF($P$15="Additionnelle",($N362-($N362*($P362+CA362)))*BZ362))),"Non Trouvé")</f>
        <v/>
      </c>
      <c r="CE362" s="100" t="n"/>
      <c r="CF362" s="101" t="n"/>
      <c r="CG362" s="102" t="n"/>
      <c r="CH362" s="102" t="n"/>
      <c r="CI362" s="103" t="n"/>
      <c r="CK362" s="104">
        <f>IFERROR(IF(F362='[1]Paramètres Généraux'!$K$12,ROUNDUP((REGENERANTS!H362*REGENERANTS!$CF$329)*'[1]Paramètres Généraux'!$M$12,-1),IF(F362='[1]Paramètres Généraux'!$K$15,ROUNDUP((REGENERANTS!H362*REGENERANTS!$CF$329)*'[1]Paramètres Généraux'!$M$15,-1),REGENERANTS!H362*REGENERANTS!$CF$329)),"nd")</f>
        <v/>
      </c>
      <c r="CN362" s="153" t="n"/>
      <c r="CO362" s="154" t="n"/>
      <c r="CP362" s="154" t="n"/>
      <c r="CQ362" s="154" t="n"/>
      <c r="CR362" s="154" t="n"/>
      <c r="CS362" s="180" t="n"/>
      <c r="CT362" s="181" t="n"/>
      <c r="CU362" s="154" t="n"/>
      <c r="CV362" s="180" t="n"/>
      <c r="CW362" s="157" t="n"/>
      <c r="CX362" s="156" t="n"/>
      <c r="CY362" s="157" t="n"/>
      <c r="CZ362" s="143" t="n"/>
      <c r="DA362" s="156" t="n"/>
      <c r="DB362" s="157" t="n"/>
      <c r="DC362" s="143" t="n"/>
      <c r="DD362" s="156" t="n"/>
      <c r="DE362" s="157" t="n"/>
      <c r="DF362" s="143" t="n"/>
      <c r="DG362" s="143" t="n"/>
      <c r="DH362" s="143" t="n"/>
      <c r="DI362" s="143" t="n"/>
      <c r="DJ362" s="143" t="n"/>
      <c r="DK362" s="143" t="n"/>
      <c r="DL362" s="143" t="n"/>
      <c r="DM362" s="143" t="n"/>
      <c r="DN362" s="143" t="n"/>
      <c r="DO362" s="156" t="n"/>
      <c r="DP362" s="157" t="n"/>
      <c r="DQ362" s="20">
        <f>SUM(CN362:DP362)</f>
        <v/>
      </c>
      <c r="DR362" s="20">
        <f>SUM(CV362:DP362)</f>
        <v/>
      </c>
      <c r="DS362" s="20">
        <f>IFERROR((IF(AND($F362="Produit Vente",CO362&gt;0),VLOOKUP($C362,'[1]Paramètres Articles'!$B:$H,7,FALSE)*$CO362)*(1-20%)),0)</f>
        <v/>
      </c>
      <c r="DT362" s="20">
        <f>IFERROR((IF(AND($F362="Produit Vente",DR362&gt;0),VLOOKUP($C362,'[1]Paramètres Articles'!$B:$H,6,FALSE)*$DR362)*(1-15%)),0)</f>
        <v/>
      </c>
      <c r="DU362" s="20">
        <f>IFERROR(DQ362*J362,0)</f>
        <v/>
      </c>
    </row>
    <row r="363" outlineLevel="1" collapsed="1" ht="12.95" customHeight="1">
      <c r="B363" s="1">
        <f>IF(C363="",0,COUNTIFS($B$22:B362,"&gt;"&amp;0)+1)</f>
        <v/>
      </c>
      <c r="C363" s="90" t="n"/>
      <c r="D363" s="91">
        <f>IFERROR(IF($C363="","",VLOOKUP($C363,'[1]Paramètres Articles'!$B:$G,2,FALSE)),"Non Trouvé")</f>
        <v/>
      </c>
      <c r="E363" s="92">
        <f>IFERROR(IF($C363="","",_xlfn.XLOOKUP(REGENERANTS!$C363,'[1]New Base PA'!$F:$F,'[1]New Base PA'!$D:$D,"Not Found",0)),"Non Trouvé")</f>
        <v/>
      </c>
      <c r="F363" s="93" t="n"/>
      <c r="H363" s="106" t="n"/>
      <c r="J363" s="95">
        <f>IFERROR(IF($C363="","",VLOOKUP($C363,'[1]New Base PA'!$F:$J,5,FALSE)),"Non Trouvé")</f>
        <v/>
      </c>
      <c r="K363" s="136">
        <f>IFERROR(IF($C363="","",$J363*$H363),"Non Trouvé")</f>
        <v/>
      </c>
      <c r="L363" s="137" t="n"/>
      <c r="M363" s="136">
        <f>IFERROR(IF(AND($F363="Produit Vente",H363&gt;0),VLOOKUP($C363,'[1]Paramètres Articles'!$B:$G,6,FALSE),0),"Non Trouvé")</f>
        <v/>
      </c>
      <c r="N363" s="136">
        <f>IFERROR(IF($C363="","",$M363*$H363),"Non Trouvé")</f>
        <v/>
      </c>
      <c r="P363" s="97" t="n"/>
      <c r="R363" s="95">
        <f>IFERROR(IF($C363="","",$N363*(1-$P363)),"Non Trouvé")</f>
        <v/>
      </c>
      <c r="S363" s="96" t="n"/>
      <c r="T363" s="95">
        <f>IFERROR(IF($C363="","",VLOOKUP($C363,'[1]Paramètres Articles'!$B:$H,7,FALSE)),"Non Trouvé")</f>
        <v/>
      </c>
      <c r="U363" s="98" t="n"/>
      <c r="V363" s="95">
        <f>IFERROR(IF($C363="","",IF($P363="","",$T363*(1-$P363))),"Non Trouvé")</f>
        <v/>
      </c>
      <c r="W363" s="96" t="n"/>
      <c r="X363" s="95">
        <f>IFERROR(T363-V363,"")</f>
        <v/>
      </c>
      <c r="Y363" s="96" t="n"/>
      <c r="Z363" s="95">
        <f>IFERROR(IF(OR(T363=0,T363=""),0,T363*H363),"Non Trouvé")</f>
        <v/>
      </c>
      <c r="AB363" s="99">
        <f>AB361</f>
        <v/>
      </c>
      <c r="AC363" s="99">
        <f>AC361</f>
        <v/>
      </c>
      <c r="AD363" s="95">
        <f>IFERROR(IF($C363="","",IF($P$15="Cascade",$R363*(1-AC363)*AB363,IF($P$15="Additionnelle",($N363-($N363*($P363+AC363)))*AB363))),"Non Trouvé")</f>
        <v/>
      </c>
      <c r="AG363" s="99">
        <f>AG361</f>
        <v/>
      </c>
      <c r="AH363" s="99">
        <f>AH361</f>
        <v/>
      </c>
      <c r="AI363" s="95">
        <f>IFERROR(IF($C363="","",IF($P$15="Cascade",$R363*(1-AH363)*AG363,IF($P$15="Additionnelle",($N363-($N363*($P363+AH363)))*AG363))),"Non Trouvé")</f>
        <v/>
      </c>
      <c r="AL363" s="99">
        <f>AL361</f>
        <v/>
      </c>
      <c r="AM363" s="99">
        <f>AM361</f>
        <v/>
      </c>
      <c r="AN363" s="95">
        <f>IFERROR(IF($C363="","",IF($P$15="Cascade",$R363*(1-AM363)*AL363,IF($P$15="Additionnelle",($N363-($N363*($P363+AM363)))*AL363))),"Non Trouvé")</f>
        <v/>
      </c>
      <c r="AQ363" s="99">
        <f>AQ361</f>
        <v/>
      </c>
      <c r="AR363" s="99">
        <f>AR361</f>
        <v/>
      </c>
      <c r="AS363" s="95">
        <f>IFERROR(IF($C363="","",IF($P$15="Cascade",$R363*(1-AR363)*AQ363,IF($P$15="Additionnelle",($N363-($N363*($P363+AR363)))*AQ363))),"Non Trouvé")</f>
        <v/>
      </c>
      <c r="AV363" s="99">
        <f>AV361</f>
        <v/>
      </c>
      <c r="AW363" s="99">
        <f>AW361</f>
        <v/>
      </c>
      <c r="AX363" s="95">
        <f>IFERROR(IF($C363="","",IF($P$15="Cascade",$R363*(1-AW363)*AV363,IF($P$15="Additionnelle",($N363-($N363*($P363+AW363)))*AV363))),"Non Trouvé")</f>
        <v/>
      </c>
      <c r="BA363" s="99">
        <f>BA361</f>
        <v/>
      </c>
      <c r="BB363" s="99">
        <f>BB361</f>
        <v/>
      </c>
      <c r="BC363" s="95">
        <f>IFERROR(IF($C363="","",IF($P$15="Cascade",$R363*(1-BB363)*BA363,IF($P$15="Additionnelle",($N363-($N363*($P363+BB363)))*BA363))),"Non Trouvé")</f>
        <v/>
      </c>
      <c r="BF363" s="99">
        <f>BF361</f>
        <v/>
      </c>
      <c r="BG363" s="99">
        <f>BG361</f>
        <v/>
      </c>
      <c r="BH363" s="95">
        <f>IFERROR(IF($C363="","",IF($P$15="Cascade",$R363*(1-BG363)*BF363,IF($P$15="Additionnelle",($N363-($N363*($P363+BG363)))*BF363))),"Non Trouvé")</f>
        <v/>
      </c>
      <c r="BK363" s="99">
        <f>BK361</f>
        <v/>
      </c>
      <c r="BL363" s="99">
        <f>BL361</f>
        <v/>
      </c>
      <c r="BM363" s="95">
        <f>IFERROR(IF($C363="","",IF($P$15="Cascade",$R363*(1-BL363)*BK363,IF($P$15="Additionnelle",($N363-($N363*($P363+BL363)))*BK363))),"Non Trouvé")</f>
        <v/>
      </c>
      <c r="BP363" s="99">
        <f>BP361</f>
        <v/>
      </c>
      <c r="BQ363" s="99">
        <f>BQ361</f>
        <v/>
      </c>
      <c r="BR363" s="95">
        <f>IFERROR(IF($C363="","",IF($P$15="Cascade",$R363*(1-BQ363)*BP363,IF($P$15="Additionnelle",($N363-($N363*($P363+BQ363)))*BP363))),"Non Trouvé")</f>
        <v/>
      </c>
      <c r="BU363" s="99">
        <f>BU361</f>
        <v/>
      </c>
      <c r="BV363" s="99">
        <f>BV361</f>
        <v/>
      </c>
      <c r="BW363" s="95">
        <f>IFERROR(IF($C363="","",IF($P$15="Cascade",$R363*(1-BV363)*BU363,IF($P$15="Additionnelle",($N363-($N363*($P363+BV363)))*BU363))),"Non Trouvé")</f>
        <v/>
      </c>
      <c r="BZ363" s="99">
        <f>BZ361</f>
        <v/>
      </c>
      <c r="CA363" s="99">
        <f>CA361</f>
        <v/>
      </c>
      <c r="CB363" s="95">
        <f>IFERROR(IF($C363="","",IF($P$15="Cascade",$R363*(1-CA363)*BZ363,IF($P$15="Additionnelle",($N363-($N363*($P363+CA363)))*BZ363))),"Non Trouvé")</f>
        <v/>
      </c>
      <c r="CE363" s="100" t="n"/>
      <c r="CF363" s="101" t="n"/>
      <c r="CG363" s="102" t="n"/>
      <c r="CH363" s="102" t="n"/>
      <c r="CI363" s="103" t="n"/>
      <c r="CK363" s="104">
        <f>IFERROR(IF(F363='[1]Paramètres Généraux'!$K$12,ROUNDUP((REGENERANTS!H363*REGENERANTS!$CF$329)*'[1]Paramètres Généraux'!$M$12,-1),IF(F363='[1]Paramètres Généraux'!$K$15,ROUNDUP((REGENERANTS!H363*REGENERANTS!$CF$329)*'[1]Paramètres Généraux'!$M$15,-1),REGENERANTS!H363*REGENERANTS!$CF$329)),"nd")</f>
        <v/>
      </c>
      <c r="CN363" s="153" t="n"/>
      <c r="CO363" s="154" t="n"/>
      <c r="CP363" s="154" t="n"/>
      <c r="CQ363" s="154" t="n"/>
      <c r="CR363" s="154" t="n"/>
      <c r="CS363" s="180" t="n"/>
      <c r="CT363" s="181" t="n"/>
      <c r="CU363" s="154" t="n"/>
      <c r="CV363" s="180" t="n"/>
      <c r="CW363" s="157" t="n"/>
      <c r="CX363" s="156" t="n"/>
      <c r="CY363" s="157" t="n"/>
      <c r="CZ363" s="143" t="n"/>
      <c r="DA363" s="156" t="n"/>
      <c r="DB363" s="157" t="n"/>
      <c r="DC363" s="143" t="n"/>
      <c r="DD363" s="156" t="n"/>
      <c r="DE363" s="157" t="n"/>
      <c r="DF363" s="143" t="n"/>
      <c r="DG363" s="143" t="n"/>
      <c r="DH363" s="143" t="n"/>
      <c r="DI363" s="143" t="n"/>
      <c r="DJ363" s="143" t="n"/>
      <c r="DK363" s="143" t="n"/>
      <c r="DL363" s="143" t="n"/>
      <c r="DM363" s="143" t="n"/>
      <c r="DN363" s="143" t="n"/>
      <c r="DO363" s="156" t="n"/>
      <c r="DP363" s="157" t="n"/>
      <c r="DQ363" s="20">
        <f>SUM(CN363:DP363)</f>
        <v/>
      </c>
      <c r="DR363" s="20">
        <f>SUM(CV363:DP363)</f>
        <v/>
      </c>
      <c r="DS363" s="20">
        <f>IFERROR((IF(AND($F363="Produit Vente",CO363&gt;0),VLOOKUP($C363,'[1]Paramètres Articles'!$B:$H,7,FALSE)*$CO363)*(1-20%)),0)</f>
        <v/>
      </c>
      <c r="DT363" s="20">
        <f>IFERROR((IF(AND($F363="Produit Vente",DR363&gt;0),VLOOKUP($C363,'[1]Paramètres Articles'!$B:$H,6,FALSE)*$DR363)*(1-15%)),0)</f>
        <v/>
      </c>
      <c r="DU363" s="20">
        <f>IFERROR(DQ363*J363,0)</f>
        <v/>
      </c>
    </row>
    <row r="364" outlineLevel="1" collapsed="1" ht="12.95" customHeight="1">
      <c r="B364" s="1">
        <f>IF(C364="",0,COUNTIFS($B$22:B363,"&gt;"&amp;0)+1)</f>
        <v/>
      </c>
      <c r="C364" s="90" t="n"/>
      <c r="D364" s="91">
        <f>IFERROR(IF($C364="","",VLOOKUP($C364,'[1]Paramètres Articles'!$B:$G,2,FALSE)),"Non Trouvé")</f>
        <v/>
      </c>
      <c r="E364" s="92">
        <f>IFERROR(IF($C364="","",_xlfn.XLOOKUP(REGENERANTS!$C364,'[1]New Base PA'!$F:$F,'[1]New Base PA'!$D:$D,"Not Found",0)),"Non Trouvé")</f>
        <v/>
      </c>
      <c r="F364" s="93" t="n"/>
      <c r="H364" s="106" t="n"/>
      <c r="J364" s="95">
        <f>IFERROR(IF($C364="","",VLOOKUP($C364,'[1]New Base PA'!$F:$J,5,FALSE)),"Non Trouvé")</f>
        <v/>
      </c>
      <c r="K364" s="136">
        <f>IFERROR(IF($C364="","",$J364*$H364),"Non Trouvé")</f>
        <v/>
      </c>
      <c r="L364" s="137" t="n"/>
      <c r="M364" s="136">
        <f>IFERROR(IF(AND($F364="Produit Vente",H364&gt;0),VLOOKUP($C364,'[1]Paramètres Articles'!$B:$G,6,FALSE),0),"Non Trouvé")</f>
        <v/>
      </c>
      <c r="N364" s="136">
        <f>IFERROR(IF($C364="","",$M364*$H364),"Non Trouvé")</f>
        <v/>
      </c>
      <c r="P364" s="97" t="n"/>
      <c r="R364" s="95">
        <f>IFERROR(IF($C364="","",$N364*(1-$P364)),"Non Trouvé")</f>
        <v/>
      </c>
      <c r="S364" s="96" t="n"/>
      <c r="T364" s="95">
        <f>IFERROR(IF($C364="","",VLOOKUP($C364,'[1]Paramètres Articles'!$B:$H,7,FALSE)),"Non Trouvé")</f>
        <v/>
      </c>
      <c r="U364" s="98" t="n"/>
      <c r="V364" s="95">
        <f>IFERROR(IF($C364="","",IF($P364="","",$T364*(1-$P364))),"Non Trouvé")</f>
        <v/>
      </c>
      <c r="W364" s="96" t="n"/>
      <c r="X364" s="95">
        <f>IFERROR(T364-V364,"")</f>
        <v/>
      </c>
      <c r="Y364" s="96" t="n"/>
      <c r="Z364" s="95">
        <f>IFERROR(IF(OR(T364=0,T364=""),0,T364*H364),"Non Trouvé")</f>
        <v/>
      </c>
      <c r="AB364" s="99">
        <f>AB363</f>
        <v/>
      </c>
      <c r="AC364" s="99">
        <f>AC363</f>
        <v/>
      </c>
      <c r="AD364" s="95">
        <f>IFERROR(IF($C364="","",IF($P$15="Cascade",$R364*(1-AC364)*AB364,IF($P$15="Additionnelle",($N364-($N364*($P364+AC364)))*AB364))),"Non Trouvé")</f>
        <v/>
      </c>
      <c r="AG364" s="99">
        <f>AG363</f>
        <v/>
      </c>
      <c r="AH364" s="99">
        <f>AH363</f>
        <v/>
      </c>
      <c r="AI364" s="95">
        <f>IFERROR(IF($C364="","",IF($P$15="Cascade",$R364*(1-AH364)*AG364,IF($P$15="Additionnelle",($N364-($N364*($P364+AH364)))*AG364))),"Non Trouvé")</f>
        <v/>
      </c>
      <c r="AL364" s="99">
        <f>AL363</f>
        <v/>
      </c>
      <c r="AM364" s="99">
        <f>AM363</f>
        <v/>
      </c>
      <c r="AN364" s="95">
        <f>IFERROR(IF($C364="","",IF($P$15="Cascade",$R364*(1-AM364)*AL364,IF($P$15="Additionnelle",($N364-($N364*($P364+AM364)))*AL364))),"Non Trouvé")</f>
        <v/>
      </c>
      <c r="AQ364" s="99">
        <f>AQ363</f>
        <v/>
      </c>
      <c r="AR364" s="99">
        <f>AR363</f>
        <v/>
      </c>
      <c r="AS364" s="95">
        <f>IFERROR(IF($C364="","",IF($P$15="Cascade",$R364*(1-AR364)*AQ364,IF($P$15="Additionnelle",($N364-($N364*($P364+AR364)))*AQ364))),"Non Trouvé")</f>
        <v/>
      </c>
      <c r="AV364" s="99">
        <f>AV363</f>
        <v/>
      </c>
      <c r="AW364" s="99">
        <f>AW363</f>
        <v/>
      </c>
      <c r="AX364" s="95">
        <f>IFERROR(IF($C364="","",IF($P$15="Cascade",$R364*(1-AW364)*AV364,IF($P$15="Additionnelle",($N364-($N364*($P364+AW364)))*AV364))),"Non Trouvé")</f>
        <v/>
      </c>
      <c r="BA364" s="99">
        <f>BA363</f>
        <v/>
      </c>
      <c r="BB364" s="99">
        <f>BB363</f>
        <v/>
      </c>
      <c r="BC364" s="95">
        <f>IFERROR(IF($C364="","",IF($P$15="Cascade",$R364*(1-BB364)*BA364,IF($P$15="Additionnelle",($N364-($N364*($P364+BB364)))*BA364))),"Non Trouvé")</f>
        <v/>
      </c>
      <c r="BF364" s="99">
        <f>BF363</f>
        <v/>
      </c>
      <c r="BG364" s="99">
        <f>BG363</f>
        <v/>
      </c>
      <c r="BH364" s="95">
        <f>IFERROR(IF($C364="","",IF($P$15="Cascade",$R364*(1-BG364)*BF364,IF($P$15="Additionnelle",($N364-($N364*($P364+BG364)))*BF364))),"Non Trouvé")</f>
        <v/>
      </c>
      <c r="BK364" s="99">
        <f>BK363</f>
        <v/>
      </c>
      <c r="BL364" s="99">
        <f>BL363</f>
        <v/>
      </c>
      <c r="BM364" s="95">
        <f>IFERROR(IF($C364="","",IF($P$15="Cascade",$R364*(1-BL364)*BK364,IF($P$15="Additionnelle",($N364-($N364*($P364+BL364)))*BK364))),"Non Trouvé")</f>
        <v/>
      </c>
      <c r="BP364" s="99">
        <f>BP363</f>
        <v/>
      </c>
      <c r="BQ364" s="99">
        <f>BQ363</f>
        <v/>
      </c>
      <c r="BR364" s="95">
        <f>IFERROR(IF($C364="","",IF($P$15="Cascade",$R364*(1-BQ364)*BP364,IF($P$15="Additionnelle",($N364-($N364*($P364+BQ364)))*BP364))),"Non Trouvé")</f>
        <v/>
      </c>
      <c r="BU364" s="99">
        <f>BU363</f>
        <v/>
      </c>
      <c r="BV364" s="99">
        <f>BV363</f>
        <v/>
      </c>
      <c r="BW364" s="95">
        <f>IFERROR(IF($C364="","",IF($P$15="Cascade",$R364*(1-BV364)*BU364,IF($P$15="Additionnelle",($N364-($N364*($P364+BV364)))*BU364))),"Non Trouvé")</f>
        <v/>
      </c>
      <c r="BZ364" s="99">
        <f>BZ363</f>
        <v/>
      </c>
      <c r="CA364" s="99">
        <f>CA363</f>
        <v/>
      </c>
      <c r="CB364" s="95">
        <f>IFERROR(IF($C364="","",IF($P$15="Cascade",$R364*(1-CA364)*BZ364,IF($P$15="Additionnelle",($N364-($N364*($P364+CA364)))*BZ364))),"Non Trouvé")</f>
        <v/>
      </c>
      <c r="CE364" s="100" t="n"/>
      <c r="CF364" s="101" t="n"/>
      <c r="CG364" s="102" t="n"/>
      <c r="CH364" s="102" t="n"/>
      <c r="CI364" s="103" t="n"/>
      <c r="CK364" s="104">
        <f>IFERROR(IF(F364='[1]Paramètres Généraux'!$K$12,ROUNDUP((REGENERANTS!H364*REGENERANTS!$CF$329)*'[1]Paramètres Généraux'!$M$12,-1),IF(F364='[1]Paramètres Généraux'!$K$15,ROUNDUP((REGENERANTS!H364*REGENERANTS!$CF$329)*'[1]Paramètres Généraux'!$M$15,-1),REGENERANTS!H364*REGENERANTS!$CF$329)),"nd")</f>
        <v/>
      </c>
      <c r="CN364" s="153" t="n"/>
      <c r="CO364" s="154" t="n"/>
      <c r="CP364" s="154" t="n"/>
      <c r="CQ364" s="154" t="n"/>
      <c r="CR364" s="154" t="n"/>
      <c r="CS364" s="180" t="n"/>
      <c r="CT364" s="181" t="n"/>
      <c r="CU364" s="154" t="n"/>
      <c r="CV364" s="180" t="n"/>
      <c r="CW364" s="157" t="n"/>
      <c r="CX364" s="156" t="n"/>
      <c r="CY364" s="157" t="n"/>
      <c r="CZ364" s="143" t="n"/>
      <c r="DA364" s="156" t="n"/>
      <c r="DB364" s="157" t="n"/>
      <c r="DC364" s="143" t="n"/>
      <c r="DD364" s="156" t="n"/>
      <c r="DE364" s="157" t="n"/>
      <c r="DF364" s="143" t="n"/>
      <c r="DG364" s="143" t="n"/>
      <c r="DH364" s="143" t="n"/>
      <c r="DI364" s="143" t="n"/>
      <c r="DJ364" s="143" t="n"/>
      <c r="DK364" s="143" t="n"/>
      <c r="DL364" s="143" t="n"/>
      <c r="DM364" s="143" t="n"/>
      <c r="DN364" s="143" t="n"/>
      <c r="DO364" s="156" t="n"/>
      <c r="DP364" s="157" t="n"/>
      <c r="DQ364" s="20">
        <f>SUM(CN364:DP364)</f>
        <v/>
      </c>
      <c r="DR364" s="20">
        <f>SUM(CV364:DP364)</f>
        <v/>
      </c>
      <c r="DS364" s="20">
        <f>IFERROR((IF(AND($F364="Produit Vente",CO364&gt;0),VLOOKUP($C364,'[1]Paramètres Articles'!$B:$H,7,FALSE)*$CO364)*(1-20%)),0)</f>
        <v/>
      </c>
      <c r="DT364" s="20">
        <f>IFERROR((IF(AND($F364="Produit Vente",DR364&gt;0),VLOOKUP($C364,'[1]Paramètres Articles'!$B:$H,6,FALSE)*$DR364)*(1-15%)),0)</f>
        <v/>
      </c>
      <c r="DU364" s="20">
        <f>IFERROR(DQ364*J364,0)</f>
        <v/>
      </c>
    </row>
    <row r="365" outlineLevel="1" collapsed="1" ht="12.95" customHeight="1">
      <c r="B365" s="1">
        <f>IF(C365="",0,COUNTIFS($B$22:B364,"&gt;"&amp;0)+1)</f>
        <v/>
      </c>
      <c r="C365" s="90" t="n"/>
      <c r="D365" s="91">
        <f>IFERROR(IF($C365="","",VLOOKUP($C365,'[1]Paramètres Articles'!$B:$G,2,FALSE)),"Non Trouvé")</f>
        <v/>
      </c>
      <c r="E365" s="92">
        <f>IFERROR(IF($C365="","",_xlfn.XLOOKUP(REGENERANTS!$C365,'[1]New Base PA'!$F:$F,'[1]New Base PA'!$D:$D,"Not Found",0)),"Non Trouvé")</f>
        <v/>
      </c>
      <c r="F365" s="93" t="n"/>
      <c r="H365" s="106" t="n"/>
      <c r="J365" s="95">
        <f>IFERROR(IF($C365="","",VLOOKUP($C365,'[1]New Base PA'!$F:$J,5,FALSE)),"Non Trouvé")</f>
        <v/>
      </c>
      <c r="K365" s="136">
        <f>IFERROR(IF($C365="","",$J365*$H365),"Non Trouvé")</f>
        <v/>
      </c>
      <c r="L365" s="137" t="n"/>
      <c r="M365" s="136">
        <f>IFERROR(IF(AND($F365="Produit Vente",H365&gt;0),VLOOKUP($C365,'[1]Paramètres Articles'!$B:$G,6,FALSE),0),"Non Trouvé")</f>
        <v/>
      </c>
      <c r="N365" s="136">
        <f>IFERROR(IF($C365="","",$M365*$H365),"Non Trouvé")</f>
        <v/>
      </c>
      <c r="P365" s="97" t="n"/>
      <c r="R365" s="95">
        <f>IFERROR(IF($C365="","",$N365*(1-$P365)),"Non Trouvé")</f>
        <v/>
      </c>
      <c r="S365" s="96" t="n"/>
      <c r="T365" s="95">
        <f>IFERROR(IF($C365="","",VLOOKUP($C365,'[1]Paramètres Articles'!$B:$H,7,FALSE)),"Non Trouvé")</f>
        <v/>
      </c>
      <c r="U365" s="98" t="n"/>
      <c r="V365" s="95">
        <f>IFERROR(IF($C365="","",IF($P365="","",$T365*(1-$P365))),"Non Trouvé")</f>
        <v/>
      </c>
      <c r="W365" s="96" t="n"/>
      <c r="X365" s="95">
        <f>IFERROR(T365-V365,"")</f>
        <v/>
      </c>
      <c r="Y365" s="96" t="n"/>
      <c r="Z365" s="95">
        <f>IFERROR(IF(OR(T365=0,T365=""),0,T365*H365),"Non Trouvé")</f>
        <v/>
      </c>
      <c r="AB365" s="99">
        <f>AB363</f>
        <v/>
      </c>
      <c r="AC365" s="99">
        <f>AC363</f>
        <v/>
      </c>
      <c r="AD365" s="95">
        <f>IFERROR(IF($C365="","",IF($P$15="Cascade",$R365*(1-AC365)*AB365,IF($P$15="Additionnelle",($N365-($N365*($P365+AC365)))*AB365))),"Non Trouvé")</f>
        <v/>
      </c>
      <c r="AG365" s="99">
        <f>AG363</f>
        <v/>
      </c>
      <c r="AH365" s="99">
        <f>AH363</f>
        <v/>
      </c>
      <c r="AI365" s="95">
        <f>IFERROR(IF($C365="","",IF($P$15="Cascade",$R365*(1-AH365)*AG365,IF($P$15="Additionnelle",($N365-($N365*($P365+AH365)))*AG365))),"Non Trouvé")</f>
        <v/>
      </c>
      <c r="AL365" s="99">
        <f>AL363</f>
        <v/>
      </c>
      <c r="AM365" s="99">
        <f>AM363</f>
        <v/>
      </c>
      <c r="AN365" s="95">
        <f>IFERROR(IF($C365="","",IF($P$15="Cascade",$R365*(1-AM365)*AL365,IF($P$15="Additionnelle",($N365-($N365*($P365+AM365)))*AL365))),"Non Trouvé")</f>
        <v/>
      </c>
      <c r="AQ365" s="99">
        <f>AQ363</f>
        <v/>
      </c>
      <c r="AR365" s="99">
        <f>AR363</f>
        <v/>
      </c>
      <c r="AS365" s="95">
        <f>IFERROR(IF($C365="","",IF($P$15="Cascade",$R365*(1-AR365)*AQ365,IF($P$15="Additionnelle",($N365-($N365*($P365+AR365)))*AQ365))),"Non Trouvé")</f>
        <v/>
      </c>
      <c r="AV365" s="99">
        <f>AV363</f>
        <v/>
      </c>
      <c r="AW365" s="99">
        <f>AW363</f>
        <v/>
      </c>
      <c r="AX365" s="95">
        <f>IFERROR(IF($C365="","",IF($P$15="Cascade",$R365*(1-AW365)*AV365,IF($P$15="Additionnelle",($N365-($N365*($P365+AW365)))*AV365))),"Non Trouvé")</f>
        <v/>
      </c>
      <c r="BA365" s="99">
        <f>BA363</f>
        <v/>
      </c>
      <c r="BB365" s="99">
        <f>BB363</f>
        <v/>
      </c>
      <c r="BC365" s="95">
        <f>IFERROR(IF($C365="","",IF($P$15="Cascade",$R365*(1-BB365)*BA365,IF($P$15="Additionnelle",($N365-($N365*($P365+BB365)))*BA365))),"Non Trouvé")</f>
        <v/>
      </c>
      <c r="BF365" s="99">
        <f>BF363</f>
        <v/>
      </c>
      <c r="BG365" s="99">
        <f>BG363</f>
        <v/>
      </c>
      <c r="BH365" s="95">
        <f>IFERROR(IF($C365="","",IF($P$15="Cascade",$R365*(1-BG365)*BF365,IF($P$15="Additionnelle",($N365-($N365*($P365+BG365)))*BF365))),"Non Trouvé")</f>
        <v/>
      </c>
      <c r="BK365" s="99">
        <f>BK363</f>
        <v/>
      </c>
      <c r="BL365" s="99">
        <f>BL363</f>
        <v/>
      </c>
      <c r="BM365" s="95">
        <f>IFERROR(IF($C365="","",IF($P$15="Cascade",$R365*(1-BL365)*BK365,IF($P$15="Additionnelle",($N365-($N365*($P365+BL365)))*BK365))),"Non Trouvé")</f>
        <v/>
      </c>
      <c r="BP365" s="99">
        <f>BP363</f>
        <v/>
      </c>
      <c r="BQ365" s="99">
        <f>BQ363</f>
        <v/>
      </c>
      <c r="BR365" s="95">
        <f>IFERROR(IF($C365="","",IF($P$15="Cascade",$R365*(1-BQ365)*BP365,IF($P$15="Additionnelle",($N365-($N365*($P365+BQ365)))*BP365))),"Non Trouvé")</f>
        <v/>
      </c>
      <c r="BU365" s="99">
        <f>BU363</f>
        <v/>
      </c>
      <c r="BV365" s="99">
        <f>BV363</f>
        <v/>
      </c>
      <c r="BW365" s="95">
        <f>IFERROR(IF($C365="","",IF($P$15="Cascade",$R365*(1-BV365)*BU365,IF($P$15="Additionnelle",($N365-($N365*($P365+BV365)))*BU365))),"Non Trouvé")</f>
        <v/>
      </c>
      <c r="BZ365" s="99">
        <f>BZ363</f>
        <v/>
      </c>
      <c r="CA365" s="99">
        <f>CA363</f>
        <v/>
      </c>
      <c r="CB365" s="95">
        <f>IFERROR(IF($C365="","",IF($P$15="Cascade",$R365*(1-CA365)*BZ365,IF($P$15="Additionnelle",($N365-($N365*($P365+CA365)))*BZ365))),"Non Trouvé")</f>
        <v/>
      </c>
      <c r="CE365" s="100" t="n"/>
      <c r="CF365" s="101" t="n"/>
      <c r="CG365" s="102" t="n"/>
      <c r="CH365" s="102" t="n"/>
      <c r="CI365" s="103" t="n"/>
      <c r="CK365" s="104">
        <f>IFERROR(IF(F365='[1]Paramètres Généraux'!$K$12,ROUNDUP((REGENERANTS!H365*REGENERANTS!$CF$329)*'[1]Paramètres Généraux'!$M$12,-1),IF(F365='[1]Paramètres Généraux'!$K$15,ROUNDUP((REGENERANTS!H365*REGENERANTS!$CF$329)*'[1]Paramètres Généraux'!$M$15,-1),REGENERANTS!H365*REGENERANTS!$CF$329)),"nd")</f>
        <v/>
      </c>
      <c r="CN365" s="153" t="n"/>
      <c r="CO365" s="154" t="n"/>
      <c r="CP365" s="154" t="n"/>
      <c r="CQ365" s="154" t="n"/>
      <c r="CR365" s="154" t="n"/>
      <c r="CS365" s="180" t="n"/>
      <c r="CT365" s="181" t="n"/>
      <c r="CU365" s="154" t="n"/>
      <c r="CV365" s="180" t="n"/>
      <c r="CW365" s="157" t="n"/>
      <c r="CX365" s="156" t="n"/>
      <c r="CY365" s="157" t="n"/>
      <c r="CZ365" s="143" t="n"/>
      <c r="DA365" s="156" t="n"/>
      <c r="DB365" s="157" t="n"/>
      <c r="DC365" s="143" t="n"/>
      <c r="DD365" s="156" t="n"/>
      <c r="DE365" s="157" t="n"/>
      <c r="DF365" s="143" t="n"/>
      <c r="DG365" s="143" t="n"/>
      <c r="DH365" s="143" t="n"/>
      <c r="DI365" s="143" t="n"/>
      <c r="DJ365" s="143" t="n"/>
      <c r="DK365" s="143" t="n"/>
      <c r="DL365" s="143" t="n"/>
      <c r="DM365" s="143" t="n"/>
      <c r="DN365" s="143" t="n"/>
      <c r="DO365" s="156" t="n"/>
      <c r="DP365" s="157" t="n"/>
      <c r="DQ365" s="20">
        <f>SUM(CN365:DP365)</f>
        <v/>
      </c>
      <c r="DR365" s="20">
        <f>SUM(CV365:DP365)</f>
        <v/>
      </c>
      <c r="DS365" s="20">
        <f>IFERROR((IF(AND($F365="Produit Vente",CO365&gt;0),VLOOKUP($C365,'[1]Paramètres Articles'!$B:$H,7,FALSE)*$CO365)*(1-20%)),0)</f>
        <v/>
      </c>
      <c r="DT365" s="20">
        <f>IFERROR((IF(AND($F365="Produit Vente",DR365&gt;0),VLOOKUP($C365,'[1]Paramètres Articles'!$B:$H,6,FALSE)*$DR365)*(1-15%)),0)</f>
        <v/>
      </c>
      <c r="DU365" s="20">
        <f>IFERROR(DQ365*J365,0)</f>
        <v/>
      </c>
    </row>
    <row r="366" outlineLevel="1" collapsed="1" ht="12.95" customHeight="1">
      <c r="B366" s="1">
        <f>IF(C366="",0,COUNTIFS($B$22:B365,"&gt;"&amp;0)+1)</f>
        <v/>
      </c>
      <c r="C366" s="90" t="n"/>
      <c r="D366" s="91">
        <f>IFERROR(IF($C366="","",VLOOKUP($C366,'[1]Paramètres Articles'!$B:$G,2,FALSE)),"Non Trouvé")</f>
        <v/>
      </c>
      <c r="E366" s="92">
        <f>IFERROR(IF($C366="","",_xlfn.XLOOKUP(REGENERANTS!$C366,'[1]New Base PA'!$F:$F,'[1]New Base PA'!$D:$D,"Not Found",0)),"Non Trouvé")</f>
        <v/>
      </c>
      <c r="F366" s="93" t="n"/>
      <c r="H366" s="106" t="n"/>
      <c r="J366" s="95">
        <f>IFERROR(IF($C366="","",VLOOKUP($C366,'[1]New Base PA'!$F:$J,5,FALSE)),"Non Trouvé")</f>
        <v/>
      </c>
      <c r="K366" s="136">
        <f>IFERROR(IF($C366="","",$J366*$H366),"Non Trouvé")</f>
        <v/>
      </c>
      <c r="L366" s="137" t="n"/>
      <c r="M366" s="136">
        <f>IFERROR(IF(AND($F366="Produit Vente",H366&gt;0),VLOOKUP($C366,'[1]Paramètres Articles'!$B:$G,6,FALSE),0),"Non Trouvé")</f>
        <v/>
      </c>
      <c r="N366" s="136">
        <f>IFERROR(IF($C366="","",$M366*$H366),"Non Trouvé")</f>
        <v/>
      </c>
      <c r="P366" s="97" t="n"/>
      <c r="R366" s="95">
        <f>IFERROR(IF($C366="","",$N366*(1-$P366)),"Non Trouvé")</f>
        <v/>
      </c>
      <c r="S366" s="96" t="n"/>
      <c r="T366" s="95">
        <f>IFERROR(IF($C366="","",VLOOKUP($C366,'[1]Paramètres Articles'!$B:$H,7,FALSE)),"Non Trouvé")</f>
        <v/>
      </c>
      <c r="U366" s="98" t="n"/>
      <c r="V366" s="95">
        <f>IFERROR(IF($C366="","",IF($P366="","",$T366*(1-$P366))),"Non Trouvé")</f>
        <v/>
      </c>
      <c r="W366" s="96" t="n"/>
      <c r="X366" s="95">
        <f>IFERROR(T366-V366,"")</f>
        <v/>
      </c>
      <c r="Y366" s="96" t="n"/>
      <c r="Z366" s="95">
        <f>IFERROR(IF(OR(T366=0,T366=""),0,T366*H366),"Non Trouvé")</f>
        <v/>
      </c>
      <c r="AB366" s="99">
        <f>AB365</f>
        <v/>
      </c>
      <c r="AC366" s="99">
        <f>AC365</f>
        <v/>
      </c>
      <c r="AD366" s="95">
        <f>IFERROR(IF($C366="","",IF($P$15="Cascade",$R366*(1-AC366)*AB366,IF($P$15="Additionnelle",($N366-($N366*($P366+AC366)))*AB366))),"Non Trouvé")</f>
        <v/>
      </c>
      <c r="AG366" s="99">
        <f>AG365</f>
        <v/>
      </c>
      <c r="AH366" s="99">
        <f>AH365</f>
        <v/>
      </c>
      <c r="AI366" s="95">
        <f>IFERROR(IF($C366="","",IF($P$15="Cascade",$R366*(1-AH366)*AG366,IF($P$15="Additionnelle",($N366-($N366*($P366+AH366)))*AG366))),"Non Trouvé")</f>
        <v/>
      </c>
      <c r="AL366" s="99">
        <f>AL365</f>
        <v/>
      </c>
      <c r="AM366" s="99">
        <f>AM365</f>
        <v/>
      </c>
      <c r="AN366" s="95">
        <f>IFERROR(IF($C366="","",IF($P$15="Cascade",$R366*(1-AM366)*AL366,IF($P$15="Additionnelle",($N366-($N366*($P366+AM366)))*AL366))),"Non Trouvé")</f>
        <v/>
      </c>
      <c r="AQ366" s="99">
        <f>AQ365</f>
        <v/>
      </c>
      <c r="AR366" s="99">
        <f>AR365</f>
        <v/>
      </c>
      <c r="AS366" s="95">
        <f>IFERROR(IF($C366="","",IF($P$15="Cascade",$R366*(1-AR366)*AQ366,IF($P$15="Additionnelle",($N366-($N366*($P366+AR366)))*AQ366))),"Non Trouvé")</f>
        <v/>
      </c>
      <c r="AV366" s="99">
        <f>AV365</f>
        <v/>
      </c>
      <c r="AW366" s="99">
        <f>AW365</f>
        <v/>
      </c>
      <c r="AX366" s="95">
        <f>IFERROR(IF($C366="","",IF($P$15="Cascade",$R366*(1-AW366)*AV366,IF($P$15="Additionnelle",($N366-($N366*($P366+AW366)))*AV366))),"Non Trouvé")</f>
        <v/>
      </c>
      <c r="BA366" s="99">
        <f>BA365</f>
        <v/>
      </c>
      <c r="BB366" s="99">
        <f>BB365</f>
        <v/>
      </c>
      <c r="BC366" s="95">
        <f>IFERROR(IF($C366="","",IF($P$15="Cascade",$R366*(1-BB366)*BA366,IF($P$15="Additionnelle",($N366-($N366*($P366+BB366)))*BA366))),"Non Trouvé")</f>
        <v/>
      </c>
      <c r="BF366" s="99">
        <f>BF365</f>
        <v/>
      </c>
      <c r="BG366" s="99">
        <f>BG365</f>
        <v/>
      </c>
      <c r="BH366" s="95">
        <f>IFERROR(IF($C366="","",IF($P$15="Cascade",$R366*(1-BG366)*BF366,IF($P$15="Additionnelle",($N366-($N366*($P366+BG366)))*BF366))),"Non Trouvé")</f>
        <v/>
      </c>
      <c r="BK366" s="99">
        <f>BK365</f>
        <v/>
      </c>
      <c r="BL366" s="99">
        <f>BL365</f>
        <v/>
      </c>
      <c r="BM366" s="95">
        <f>IFERROR(IF($C366="","",IF($P$15="Cascade",$R366*(1-BL366)*BK366,IF($P$15="Additionnelle",($N366-($N366*($P366+BL366)))*BK366))),"Non Trouvé")</f>
        <v/>
      </c>
      <c r="BP366" s="99">
        <f>BP365</f>
        <v/>
      </c>
      <c r="BQ366" s="99">
        <f>BQ365</f>
        <v/>
      </c>
      <c r="BR366" s="95">
        <f>IFERROR(IF($C366="","",IF($P$15="Cascade",$R366*(1-BQ366)*BP366,IF($P$15="Additionnelle",($N366-($N366*($P366+BQ366)))*BP366))),"Non Trouvé")</f>
        <v/>
      </c>
      <c r="BU366" s="99">
        <f>BU365</f>
        <v/>
      </c>
      <c r="BV366" s="99">
        <f>BV365</f>
        <v/>
      </c>
      <c r="BW366" s="95">
        <f>IFERROR(IF($C366="","",IF($P$15="Cascade",$R366*(1-BV366)*BU366,IF($P$15="Additionnelle",($N366-($N366*($P366+BV366)))*BU366))),"Non Trouvé")</f>
        <v/>
      </c>
      <c r="BZ366" s="99">
        <f>BZ365</f>
        <v/>
      </c>
      <c r="CA366" s="99">
        <f>CA365</f>
        <v/>
      </c>
      <c r="CB366" s="95">
        <f>IFERROR(IF($C366="","",IF($P$15="Cascade",$R366*(1-CA366)*BZ366,IF($P$15="Additionnelle",($N366-($N366*($P366+CA366)))*BZ366))),"Non Trouvé")</f>
        <v/>
      </c>
      <c r="CE366" s="100" t="n"/>
      <c r="CF366" s="101" t="n"/>
      <c r="CG366" s="102" t="n"/>
      <c r="CH366" s="102" t="n"/>
      <c r="CI366" s="103" t="n"/>
      <c r="CK366" s="104">
        <f>IFERROR(IF(F366='[1]Paramètres Généraux'!$K$12,ROUNDUP((REGENERANTS!H366*REGENERANTS!$CF$329)*'[1]Paramètres Généraux'!$M$12,-1),IF(F366='[1]Paramètres Généraux'!$K$15,ROUNDUP((REGENERANTS!H366*REGENERANTS!$CF$329)*'[1]Paramètres Généraux'!$M$15,-1),REGENERANTS!H366*REGENERANTS!$CF$329)),"nd")</f>
        <v/>
      </c>
      <c r="CN366" s="153" t="n"/>
      <c r="CO366" s="154" t="n"/>
      <c r="CP366" s="154" t="n"/>
      <c r="CQ366" s="154" t="n"/>
      <c r="CR366" s="154" t="n"/>
      <c r="CS366" s="180" t="n"/>
      <c r="CT366" s="181" t="n"/>
      <c r="CU366" s="154" t="n"/>
      <c r="CV366" s="180" t="n"/>
      <c r="CW366" s="157" t="n"/>
      <c r="CX366" s="156" t="n"/>
      <c r="CY366" s="157" t="n"/>
      <c r="CZ366" s="143" t="n"/>
      <c r="DA366" s="156" t="n"/>
      <c r="DB366" s="157" t="n"/>
      <c r="DC366" s="143" t="n"/>
      <c r="DD366" s="156" t="n"/>
      <c r="DE366" s="157" t="n"/>
      <c r="DF366" s="143" t="n"/>
      <c r="DG366" s="143" t="n"/>
      <c r="DH366" s="143" t="n"/>
      <c r="DI366" s="143" t="n"/>
      <c r="DJ366" s="143" t="n"/>
      <c r="DK366" s="143" t="n"/>
      <c r="DL366" s="143" t="n"/>
      <c r="DM366" s="143" t="n"/>
      <c r="DN366" s="143" t="n"/>
      <c r="DO366" s="156" t="n"/>
      <c r="DP366" s="157" t="n"/>
      <c r="DQ366" s="20">
        <f>SUM(CN366:DP366)</f>
        <v/>
      </c>
      <c r="DR366" s="20">
        <f>SUM(CV366:DP366)</f>
        <v/>
      </c>
      <c r="DS366" s="20">
        <f>IFERROR((IF(AND($F366="Produit Vente",CO366&gt;0),VLOOKUP($C366,'[1]Paramètres Articles'!$B:$H,7,FALSE)*$CO366)*(1-20%)),0)</f>
        <v/>
      </c>
      <c r="DT366" s="20">
        <f>IFERROR((IF(AND($F366="Produit Vente",DR366&gt;0),VLOOKUP($C366,'[1]Paramètres Articles'!$B:$H,6,FALSE)*$DR366)*(1-15%)),0)</f>
        <v/>
      </c>
      <c r="DU366" s="20">
        <f>IFERROR(DQ366*J366,0)</f>
        <v/>
      </c>
    </row>
    <row r="367" outlineLevel="1" collapsed="1" ht="12.95" customHeight="1">
      <c r="B367" s="1">
        <f>IF(C367="",0,COUNTIFS($B$22:B366,"&gt;"&amp;0)+1)</f>
        <v/>
      </c>
      <c r="C367" s="90" t="n"/>
      <c r="D367" s="91">
        <f>IFERROR(IF($C367="","",VLOOKUP($C367,'[1]Paramètres Articles'!$B:$G,2,FALSE)),"Non Trouvé")</f>
        <v/>
      </c>
      <c r="E367" s="92">
        <f>IFERROR(IF($C367="","",_xlfn.XLOOKUP(REGENERANTS!$C367,'[1]New Base PA'!$F:$F,'[1]New Base PA'!$D:$D,"Not Found",0)),"Non Trouvé")</f>
        <v/>
      </c>
      <c r="F367" s="93" t="n"/>
      <c r="H367" s="106" t="n"/>
      <c r="J367" s="95">
        <f>IFERROR(IF($C367="","",VLOOKUP($C367,'[1]New Base PA'!$F:$J,5,FALSE)),"Non Trouvé")</f>
        <v/>
      </c>
      <c r="K367" s="136">
        <f>IFERROR(IF($C367="","",$J367*$H367),"Non Trouvé")</f>
        <v/>
      </c>
      <c r="L367" s="137" t="n"/>
      <c r="M367" s="136">
        <f>IFERROR(IF(AND($F367="Produit Vente",H367&gt;0),VLOOKUP($C367,'[1]Paramètres Articles'!$B:$G,6,FALSE),0),"Non Trouvé")</f>
        <v/>
      </c>
      <c r="N367" s="136">
        <f>IFERROR(IF($C367="","",$M367*$H367),"Non Trouvé")</f>
        <v/>
      </c>
      <c r="P367" s="97" t="n"/>
      <c r="R367" s="95">
        <f>IFERROR(IF($C367="","",$N367*(1-$P367)),"Non Trouvé")</f>
        <v/>
      </c>
      <c r="S367" s="96" t="n"/>
      <c r="T367" s="95">
        <f>IFERROR(IF($C367="","",VLOOKUP($C367,'[1]Paramètres Articles'!$B:$H,7,FALSE)),"Non Trouvé")</f>
        <v/>
      </c>
      <c r="U367" s="98" t="n"/>
      <c r="V367" s="95">
        <f>IFERROR(IF($C367="","",IF($P367="","",$T367*(1-$P367))),"Non Trouvé")</f>
        <v/>
      </c>
      <c r="W367" s="96" t="n"/>
      <c r="X367" s="95">
        <f>IFERROR(T367-V367,"")</f>
        <v/>
      </c>
      <c r="Y367" s="96" t="n"/>
      <c r="Z367" s="95">
        <f>IFERROR(IF(OR(T367=0,T367=""),0,T367*H367),"Non Trouvé")</f>
        <v/>
      </c>
      <c r="AB367" s="99">
        <f>AB365</f>
        <v/>
      </c>
      <c r="AC367" s="99">
        <f>AC365</f>
        <v/>
      </c>
      <c r="AD367" s="95">
        <f>IFERROR(IF($C367="","",IF($P$15="Cascade",$R367*(1-AC367)*AB367,IF($P$15="Additionnelle",($N367-($N367*($P367+AC367)))*AB367))),"Non Trouvé")</f>
        <v/>
      </c>
      <c r="AG367" s="99">
        <f>AG365</f>
        <v/>
      </c>
      <c r="AH367" s="99">
        <f>AH365</f>
        <v/>
      </c>
      <c r="AI367" s="95">
        <f>IFERROR(IF($C367="","",IF($P$15="Cascade",$R367*(1-AH367)*AG367,IF($P$15="Additionnelle",($N367-($N367*($P367+AH367)))*AG367))),"Non Trouvé")</f>
        <v/>
      </c>
      <c r="AL367" s="99">
        <f>AL365</f>
        <v/>
      </c>
      <c r="AM367" s="99">
        <f>AM365</f>
        <v/>
      </c>
      <c r="AN367" s="95">
        <f>IFERROR(IF($C367="","",IF($P$15="Cascade",$R367*(1-AM367)*AL367,IF($P$15="Additionnelle",($N367-($N367*($P367+AM367)))*AL367))),"Non Trouvé")</f>
        <v/>
      </c>
      <c r="AQ367" s="99">
        <f>AQ365</f>
        <v/>
      </c>
      <c r="AR367" s="99">
        <f>AR365</f>
        <v/>
      </c>
      <c r="AS367" s="95">
        <f>IFERROR(IF($C367="","",IF($P$15="Cascade",$R367*(1-AR367)*AQ367,IF($P$15="Additionnelle",($N367-($N367*($P367+AR367)))*AQ367))),"Non Trouvé")</f>
        <v/>
      </c>
      <c r="AV367" s="99">
        <f>AV365</f>
        <v/>
      </c>
      <c r="AW367" s="99">
        <f>AW365</f>
        <v/>
      </c>
      <c r="AX367" s="95">
        <f>IFERROR(IF($C367="","",IF($P$15="Cascade",$R367*(1-AW367)*AV367,IF($P$15="Additionnelle",($N367-($N367*($P367+AW367)))*AV367))),"Non Trouvé")</f>
        <v/>
      </c>
      <c r="BA367" s="99">
        <f>BA365</f>
        <v/>
      </c>
      <c r="BB367" s="99">
        <f>BB365</f>
        <v/>
      </c>
      <c r="BC367" s="95">
        <f>IFERROR(IF($C367="","",IF($P$15="Cascade",$R367*(1-BB367)*BA367,IF($P$15="Additionnelle",($N367-($N367*($P367+BB367)))*BA367))),"Non Trouvé")</f>
        <v/>
      </c>
      <c r="BF367" s="99">
        <f>BF365</f>
        <v/>
      </c>
      <c r="BG367" s="99">
        <f>BG365</f>
        <v/>
      </c>
      <c r="BH367" s="95">
        <f>IFERROR(IF($C367="","",IF($P$15="Cascade",$R367*(1-BG367)*BF367,IF($P$15="Additionnelle",($N367-($N367*($P367+BG367)))*BF367))),"Non Trouvé")</f>
        <v/>
      </c>
      <c r="BK367" s="99">
        <f>BK365</f>
        <v/>
      </c>
      <c r="BL367" s="99">
        <f>BL365</f>
        <v/>
      </c>
      <c r="BM367" s="95">
        <f>IFERROR(IF($C367="","",IF($P$15="Cascade",$R367*(1-BL367)*BK367,IF($P$15="Additionnelle",($N367-($N367*($P367+BL367)))*BK367))),"Non Trouvé")</f>
        <v/>
      </c>
      <c r="BP367" s="99">
        <f>BP365</f>
        <v/>
      </c>
      <c r="BQ367" s="99">
        <f>BQ365</f>
        <v/>
      </c>
      <c r="BR367" s="95">
        <f>IFERROR(IF($C367="","",IF($P$15="Cascade",$R367*(1-BQ367)*BP367,IF($P$15="Additionnelle",($N367-($N367*($P367+BQ367)))*BP367))),"Non Trouvé")</f>
        <v/>
      </c>
      <c r="BU367" s="99">
        <f>BU365</f>
        <v/>
      </c>
      <c r="BV367" s="99">
        <f>BV365</f>
        <v/>
      </c>
      <c r="BW367" s="95">
        <f>IFERROR(IF($C367="","",IF($P$15="Cascade",$R367*(1-BV367)*BU367,IF($P$15="Additionnelle",($N367-($N367*($P367+BV367)))*BU367))),"Non Trouvé")</f>
        <v/>
      </c>
      <c r="BZ367" s="99">
        <f>BZ365</f>
        <v/>
      </c>
      <c r="CA367" s="99">
        <f>CA365</f>
        <v/>
      </c>
      <c r="CB367" s="95">
        <f>IFERROR(IF($C367="","",IF($P$15="Cascade",$R367*(1-CA367)*BZ367,IF($P$15="Additionnelle",($N367-($N367*($P367+CA367)))*BZ367))),"Non Trouvé")</f>
        <v/>
      </c>
      <c r="CE367" s="100" t="n"/>
      <c r="CF367" s="101" t="n"/>
      <c r="CG367" s="102" t="n"/>
      <c r="CH367" s="102" t="n"/>
      <c r="CI367" s="103" t="n"/>
      <c r="CK367" s="104">
        <f>IFERROR(IF(F367='[1]Paramètres Généraux'!$K$12,ROUNDUP((REGENERANTS!H367*REGENERANTS!$CF$329)*'[1]Paramètres Généraux'!$M$12,-1),IF(F367='[1]Paramètres Généraux'!$K$15,ROUNDUP((REGENERANTS!H367*REGENERANTS!$CF$329)*'[1]Paramètres Généraux'!$M$15,-1),REGENERANTS!H367*REGENERANTS!$CF$329)),"nd")</f>
        <v/>
      </c>
      <c r="CN367" s="153" t="n"/>
      <c r="CO367" s="154" t="n"/>
      <c r="CP367" s="154" t="n"/>
      <c r="CQ367" s="154" t="n"/>
      <c r="CR367" s="154" t="n"/>
      <c r="CS367" s="180" t="n"/>
      <c r="CT367" s="181" t="n"/>
      <c r="CU367" s="154" t="n"/>
      <c r="CV367" s="180" t="n"/>
      <c r="CW367" s="157" t="n"/>
      <c r="CX367" s="156" t="n"/>
      <c r="CY367" s="157" t="n"/>
      <c r="CZ367" s="143" t="n"/>
      <c r="DA367" s="156" t="n"/>
      <c r="DB367" s="157" t="n"/>
      <c r="DC367" s="143" t="n"/>
      <c r="DD367" s="156" t="n"/>
      <c r="DE367" s="157" t="n"/>
      <c r="DF367" s="143" t="n"/>
      <c r="DG367" s="143" t="n"/>
      <c r="DH367" s="143" t="n"/>
      <c r="DI367" s="143" t="n"/>
      <c r="DJ367" s="143" t="n"/>
      <c r="DK367" s="143" t="n"/>
      <c r="DL367" s="143" t="n"/>
      <c r="DM367" s="143" t="n"/>
      <c r="DN367" s="143" t="n"/>
      <c r="DO367" s="156" t="n"/>
      <c r="DP367" s="157" t="n"/>
      <c r="DQ367" s="20">
        <f>SUM(CN367:DP367)</f>
        <v/>
      </c>
      <c r="DR367" s="20">
        <f>SUM(CV367:DP367)</f>
        <v/>
      </c>
      <c r="DS367" s="20">
        <f>IFERROR((IF(AND($F367="Produit Vente",CO367&gt;0),VLOOKUP($C367,'[1]Paramètres Articles'!$B:$H,7,FALSE)*$CO367)*(1-20%)),0)</f>
        <v/>
      </c>
      <c r="DT367" s="20">
        <f>IFERROR((IF(AND($F367="Produit Vente",DR367&gt;0),VLOOKUP($C367,'[1]Paramètres Articles'!$B:$H,6,FALSE)*$DR367)*(1-15%)),0)</f>
        <v/>
      </c>
      <c r="DU367" s="20">
        <f>IFERROR(DQ367*J367,0)</f>
        <v/>
      </c>
    </row>
    <row r="368" outlineLevel="1" collapsed="1" ht="12.95" customHeight="1">
      <c r="B368" s="1">
        <f>IF(C368="",0,COUNTIFS($B$22:B367,"&gt;"&amp;0)+1)</f>
        <v/>
      </c>
      <c r="C368" s="90" t="n"/>
      <c r="D368" s="91">
        <f>IFERROR(IF($C368="","",VLOOKUP($C368,'[1]Paramètres Articles'!$B:$G,2,FALSE)),"Non Trouvé")</f>
        <v/>
      </c>
      <c r="E368" s="92">
        <f>IFERROR(IF($C368="","",_xlfn.XLOOKUP(REGENERANTS!$C368,'[1]New Base PA'!$F:$F,'[1]New Base PA'!$D:$D,"Not Found",0)),"Non Trouvé")</f>
        <v/>
      </c>
      <c r="F368" s="93" t="n"/>
      <c r="H368" s="106" t="n"/>
      <c r="J368" s="95">
        <f>IFERROR(IF($C368="","",VLOOKUP($C368,'[1]New Base PA'!$F:$J,5,FALSE)),"Non Trouvé")</f>
        <v/>
      </c>
      <c r="K368" s="136">
        <f>IFERROR(IF($C368="","",$J368*$H368),"Non Trouvé")</f>
        <v/>
      </c>
      <c r="L368" s="137" t="n"/>
      <c r="M368" s="136">
        <f>IFERROR(IF(AND($F368="Produit Vente",H368&gt;0),VLOOKUP($C368,'[1]Paramètres Articles'!$B:$G,6,FALSE),0),"Non Trouvé")</f>
        <v/>
      </c>
      <c r="N368" s="136">
        <f>IFERROR(IF($C368="","",$M368*$H368),"Non Trouvé")</f>
        <v/>
      </c>
      <c r="P368" s="97" t="n"/>
      <c r="R368" s="95">
        <f>IFERROR(IF($C368="","",$N368*(1-$P368)),"Non Trouvé")</f>
        <v/>
      </c>
      <c r="S368" s="96" t="n"/>
      <c r="T368" s="95">
        <f>IFERROR(IF($C368="","",VLOOKUP($C368,'[1]Paramètres Articles'!$B:$H,7,FALSE)),"Non Trouvé")</f>
        <v/>
      </c>
      <c r="U368" s="98" t="n"/>
      <c r="V368" s="95">
        <f>IFERROR(IF($C368="","",IF($P368="","",$T368*(1-$P368))),"Non Trouvé")</f>
        <v/>
      </c>
      <c r="W368" s="96" t="n"/>
      <c r="X368" s="95">
        <f>IFERROR(T368-V368,"")</f>
        <v/>
      </c>
      <c r="Y368" s="96" t="n"/>
      <c r="Z368" s="95">
        <f>IFERROR(IF(OR(T368=0,T368=""),0,T368*H368),"Non Trouvé")</f>
        <v/>
      </c>
      <c r="AB368" s="99">
        <f>AB367</f>
        <v/>
      </c>
      <c r="AC368" s="99">
        <f>AC367</f>
        <v/>
      </c>
      <c r="AD368" s="95">
        <f>IFERROR(IF($C368="","",IF($P$15="Cascade",$R368*(1-AC368)*AB368,IF($P$15="Additionnelle",($N368-($N368*($P368+AC368)))*AB368))),"Non Trouvé")</f>
        <v/>
      </c>
      <c r="AG368" s="99">
        <f>AG367</f>
        <v/>
      </c>
      <c r="AH368" s="99">
        <f>AH367</f>
        <v/>
      </c>
      <c r="AI368" s="95">
        <f>IFERROR(IF($C368="","",IF($P$15="Cascade",$R368*(1-AH368)*AG368,IF($P$15="Additionnelle",($N368-($N368*($P368+AH368)))*AG368))),"Non Trouvé")</f>
        <v/>
      </c>
      <c r="AL368" s="99">
        <f>AL367</f>
        <v/>
      </c>
      <c r="AM368" s="99">
        <f>AM367</f>
        <v/>
      </c>
      <c r="AN368" s="95">
        <f>IFERROR(IF($C368="","",IF($P$15="Cascade",$R368*(1-AM368)*AL368,IF($P$15="Additionnelle",($N368-($N368*($P368+AM368)))*AL368))),"Non Trouvé")</f>
        <v/>
      </c>
      <c r="AQ368" s="99">
        <f>AQ367</f>
        <v/>
      </c>
      <c r="AR368" s="99">
        <f>AR367</f>
        <v/>
      </c>
      <c r="AS368" s="95">
        <f>IFERROR(IF($C368="","",IF($P$15="Cascade",$R368*(1-AR368)*AQ368,IF($P$15="Additionnelle",($N368-($N368*($P368+AR368)))*AQ368))),"Non Trouvé")</f>
        <v/>
      </c>
      <c r="AV368" s="99">
        <f>AV367</f>
        <v/>
      </c>
      <c r="AW368" s="99">
        <f>AW367</f>
        <v/>
      </c>
      <c r="AX368" s="95">
        <f>IFERROR(IF($C368="","",IF($P$15="Cascade",$R368*(1-AW368)*AV368,IF($P$15="Additionnelle",($N368-($N368*($P368+AW368)))*AV368))),"Non Trouvé")</f>
        <v/>
      </c>
      <c r="BA368" s="99">
        <f>BA367</f>
        <v/>
      </c>
      <c r="BB368" s="99">
        <f>BB367</f>
        <v/>
      </c>
      <c r="BC368" s="95">
        <f>IFERROR(IF($C368="","",IF($P$15="Cascade",$R368*(1-BB368)*BA368,IF($P$15="Additionnelle",($N368-($N368*($P368+BB368)))*BA368))),"Non Trouvé")</f>
        <v/>
      </c>
      <c r="BF368" s="99">
        <f>BF367</f>
        <v/>
      </c>
      <c r="BG368" s="99">
        <f>BG367</f>
        <v/>
      </c>
      <c r="BH368" s="95">
        <f>IFERROR(IF($C368="","",IF($P$15="Cascade",$R368*(1-BG368)*BF368,IF($P$15="Additionnelle",($N368-($N368*($P368+BG368)))*BF368))),"Non Trouvé")</f>
        <v/>
      </c>
      <c r="BK368" s="99">
        <f>BK367</f>
        <v/>
      </c>
      <c r="BL368" s="99">
        <f>BL367</f>
        <v/>
      </c>
      <c r="BM368" s="95">
        <f>IFERROR(IF($C368="","",IF($P$15="Cascade",$R368*(1-BL368)*BK368,IF($P$15="Additionnelle",($N368-($N368*($P368+BL368)))*BK368))),"Non Trouvé")</f>
        <v/>
      </c>
      <c r="BP368" s="99">
        <f>BP367</f>
        <v/>
      </c>
      <c r="BQ368" s="99">
        <f>BQ367</f>
        <v/>
      </c>
      <c r="BR368" s="95">
        <f>IFERROR(IF($C368="","",IF($P$15="Cascade",$R368*(1-BQ368)*BP368,IF($P$15="Additionnelle",($N368-($N368*($P368+BQ368)))*BP368))),"Non Trouvé")</f>
        <v/>
      </c>
      <c r="BU368" s="99">
        <f>BU367</f>
        <v/>
      </c>
      <c r="BV368" s="99">
        <f>BV367</f>
        <v/>
      </c>
      <c r="BW368" s="95">
        <f>IFERROR(IF($C368="","",IF($P$15="Cascade",$R368*(1-BV368)*BU368,IF($P$15="Additionnelle",($N368-($N368*($P368+BV368)))*BU368))),"Non Trouvé")</f>
        <v/>
      </c>
      <c r="BZ368" s="99">
        <f>BZ367</f>
        <v/>
      </c>
      <c r="CA368" s="99">
        <f>CA367</f>
        <v/>
      </c>
      <c r="CB368" s="95">
        <f>IFERROR(IF($C368="","",IF($P$15="Cascade",$R368*(1-CA368)*BZ368,IF($P$15="Additionnelle",($N368-($N368*($P368+CA368)))*BZ368))),"Non Trouvé")</f>
        <v/>
      </c>
      <c r="CE368" s="100" t="n"/>
      <c r="CF368" s="101" t="n"/>
      <c r="CG368" s="102" t="n"/>
      <c r="CH368" s="102" t="n"/>
      <c r="CI368" s="103" t="n"/>
      <c r="CK368" s="104">
        <f>IFERROR(IF(F368='[1]Paramètres Généraux'!$K$12,ROUNDUP((REGENERANTS!H368*REGENERANTS!$CF$329)*'[1]Paramètres Généraux'!$M$12,-1),IF(F368='[1]Paramètres Généraux'!$K$15,ROUNDUP((REGENERANTS!H368*REGENERANTS!$CF$329)*'[1]Paramètres Généraux'!$M$15,-1),REGENERANTS!H368*REGENERANTS!$CF$329)),"nd")</f>
        <v/>
      </c>
      <c r="CN368" s="153" t="n"/>
      <c r="CO368" s="154" t="n"/>
      <c r="CP368" s="154" t="n"/>
      <c r="CQ368" s="154" t="n"/>
      <c r="CR368" s="154" t="n"/>
      <c r="CS368" s="180" t="n"/>
      <c r="CT368" s="181" t="n"/>
      <c r="CU368" s="154" t="n"/>
      <c r="CV368" s="180" t="n"/>
      <c r="CW368" s="157" t="n"/>
      <c r="CX368" s="156" t="n"/>
      <c r="CY368" s="157" t="n"/>
      <c r="CZ368" s="143" t="n"/>
      <c r="DA368" s="156" t="n"/>
      <c r="DB368" s="157" t="n"/>
      <c r="DC368" s="143" t="n"/>
      <c r="DD368" s="156" t="n"/>
      <c r="DE368" s="157" t="n"/>
      <c r="DF368" s="143" t="n"/>
      <c r="DG368" s="143" t="n"/>
      <c r="DH368" s="143" t="n"/>
      <c r="DI368" s="143" t="n"/>
      <c r="DJ368" s="143" t="n"/>
      <c r="DK368" s="143" t="n"/>
      <c r="DL368" s="143" t="n"/>
      <c r="DM368" s="143" t="n"/>
      <c r="DN368" s="143" t="n"/>
      <c r="DO368" s="156" t="n"/>
      <c r="DP368" s="157" t="n"/>
      <c r="DQ368" s="20">
        <f>SUM(CN368:DP368)</f>
        <v/>
      </c>
      <c r="DR368" s="20">
        <f>SUM(CV368:DP368)</f>
        <v/>
      </c>
      <c r="DS368" s="20">
        <f>IFERROR((IF(AND($F368="Produit Vente",CO368&gt;0),VLOOKUP($C368,'[1]Paramètres Articles'!$B:$H,7,FALSE)*$CO368)*(1-20%)),0)</f>
        <v/>
      </c>
      <c r="DT368" s="20">
        <f>IFERROR((IF(AND($F368="Produit Vente",DR368&gt;0),VLOOKUP($C368,'[1]Paramètres Articles'!$B:$H,6,FALSE)*$DR368)*(1-15%)),0)</f>
        <v/>
      </c>
      <c r="DU368" s="20">
        <f>IFERROR(DQ368*J368,0)</f>
        <v/>
      </c>
    </row>
    <row r="369" outlineLevel="1" collapsed="1" ht="12.95" customHeight="1">
      <c r="B369" s="1">
        <f>IF(C369="",0,COUNTIFS($B$22:B368,"&gt;"&amp;0)+1)</f>
        <v/>
      </c>
      <c r="C369" s="90" t="n"/>
      <c r="D369" s="91">
        <f>IFERROR(IF($C369="","",VLOOKUP($C369,'[1]Paramètres Articles'!$B:$G,2,FALSE)),"Non Trouvé")</f>
        <v/>
      </c>
      <c r="E369" s="92">
        <f>IFERROR(IF($C369="","",_xlfn.XLOOKUP(REGENERANTS!$C369,'[1]New Base PA'!$F:$F,'[1]New Base PA'!$D:$D,"Not Found",0)),"Non Trouvé")</f>
        <v/>
      </c>
      <c r="F369" s="93" t="n"/>
      <c r="H369" s="106" t="n"/>
      <c r="J369" s="95">
        <f>IFERROR(IF($C369="","",VLOOKUP($C369,'[1]New Base PA'!$F:$J,5,FALSE)),"Non Trouvé")</f>
        <v/>
      </c>
      <c r="K369" s="136">
        <f>IFERROR(IF($C369="","",$J369*$H369),"Non Trouvé")</f>
        <v/>
      </c>
      <c r="L369" s="137" t="n"/>
      <c r="M369" s="136">
        <f>IFERROR(IF(AND($F369="Produit Vente",H369&gt;0),VLOOKUP($C369,'[1]Paramètres Articles'!$B:$G,6,FALSE),0),"Non Trouvé")</f>
        <v/>
      </c>
      <c r="N369" s="136">
        <f>IFERROR(IF($C369="","",$M369*$H369),"Non Trouvé")</f>
        <v/>
      </c>
      <c r="P369" s="97" t="n"/>
      <c r="R369" s="95">
        <f>IFERROR(IF($C369="","",$N369*(1-$P369)),"Non Trouvé")</f>
        <v/>
      </c>
      <c r="S369" s="96" t="n"/>
      <c r="T369" s="95">
        <f>IFERROR(IF($C369="","",VLOOKUP($C369,'[1]Paramètres Articles'!$B:$H,7,FALSE)),"Non Trouvé")</f>
        <v/>
      </c>
      <c r="U369" s="98" t="n"/>
      <c r="V369" s="95">
        <f>IFERROR(IF($C369="","",IF($P369="","",$T369*(1-$P369))),"Non Trouvé")</f>
        <v/>
      </c>
      <c r="W369" s="96" t="n"/>
      <c r="X369" s="95">
        <f>IFERROR(T369-V369,"")</f>
        <v/>
      </c>
      <c r="Y369" s="96" t="n"/>
      <c r="Z369" s="95">
        <f>IFERROR(IF(OR(T369=0,T369=""),0,T369*H369),"Non Trouvé")</f>
        <v/>
      </c>
      <c r="AB369" s="99">
        <f>AB367</f>
        <v/>
      </c>
      <c r="AC369" s="99">
        <f>AC367</f>
        <v/>
      </c>
      <c r="AD369" s="95">
        <f>IFERROR(IF($C369="","",IF($P$15="Cascade",$R369*(1-AC369)*AB369,IF($P$15="Additionnelle",($N369-($N369*($P369+AC369)))*AB369))),"Non Trouvé")</f>
        <v/>
      </c>
      <c r="AG369" s="99">
        <f>AG367</f>
        <v/>
      </c>
      <c r="AH369" s="99">
        <f>AH367</f>
        <v/>
      </c>
      <c r="AI369" s="95">
        <f>IFERROR(IF($C369="","",IF($P$15="Cascade",$R369*(1-AH369)*AG369,IF($P$15="Additionnelle",($N369-($N369*($P369+AH369)))*AG369))),"Non Trouvé")</f>
        <v/>
      </c>
      <c r="AL369" s="99">
        <f>AL367</f>
        <v/>
      </c>
      <c r="AM369" s="99">
        <f>AM367</f>
        <v/>
      </c>
      <c r="AN369" s="95">
        <f>IFERROR(IF($C369="","",IF($P$15="Cascade",$R369*(1-AM369)*AL369,IF($P$15="Additionnelle",($N369-($N369*($P369+AM369)))*AL369))),"Non Trouvé")</f>
        <v/>
      </c>
      <c r="AQ369" s="99">
        <f>AQ367</f>
        <v/>
      </c>
      <c r="AR369" s="99">
        <f>AR367</f>
        <v/>
      </c>
      <c r="AS369" s="95">
        <f>IFERROR(IF($C369="","",IF($P$15="Cascade",$R369*(1-AR369)*AQ369,IF($P$15="Additionnelle",($N369-($N369*($P369+AR369)))*AQ369))),"Non Trouvé")</f>
        <v/>
      </c>
      <c r="AV369" s="99">
        <f>AV367</f>
        <v/>
      </c>
      <c r="AW369" s="99">
        <f>AW367</f>
        <v/>
      </c>
      <c r="AX369" s="95">
        <f>IFERROR(IF($C369="","",IF($P$15="Cascade",$R369*(1-AW369)*AV369,IF($P$15="Additionnelle",($N369-($N369*($P369+AW369)))*AV369))),"Non Trouvé")</f>
        <v/>
      </c>
      <c r="BA369" s="99">
        <f>BA367</f>
        <v/>
      </c>
      <c r="BB369" s="99">
        <f>BB367</f>
        <v/>
      </c>
      <c r="BC369" s="95">
        <f>IFERROR(IF($C369="","",IF($P$15="Cascade",$R369*(1-BB369)*BA369,IF($P$15="Additionnelle",($N369-($N369*($P369+BB369)))*BA369))),"Non Trouvé")</f>
        <v/>
      </c>
      <c r="BF369" s="99">
        <f>BF367</f>
        <v/>
      </c>
      <c r="BG369" s="99">
        <f>BG367</f>
        <v/>
      </c>
      <c r="BH369" s="95">
        <f>IFERROR(IF($C369="","",IF($P$15="Cascade",$R369*(1-BG369)*BF369,IF($P$15="Additionnelle",($N369-($N369*($P369+BG369)))*BF369))),"Non Trouvé")</f>
        <v/>
      </c>
      <c r="BK369" s="99">
        <f>BK367</f>
        <v/>
      </c>
      <c r="BL369" s="99">
        <f>BL367</f>
        <v/>
      </c>
      <c r="BM369" s="95">
        <f>IFERROR(IF($C369="","",IF($P$15="Cascade",$R369*(1-BL369)*BK369,IF($P$15="Additionnelle",($N369-($N369*($P369+BL369)))*BK369))),"Non Trouvé")</f>
        <v/>
      </c>
      <c r="BP369" s="99">
        <f>BP367</f>
        <v/>
      </c>
      <c r="BQ369" s="99">
        <f>BQ367</f>
        <v/>
      </c>
      <c r="BR369" s="95">
        <f>IFERROR(IF($C369="","",IF($P$15="Cascade",$R369*(1-BQ369)*BP369,IF($P$15="Additionnelle",($N369-($N369*($P369+BQ369)))*BP369))),"Non Trouvé")</f>
        <v/>
      </c>
      <c r="BU369" s="99">
        <f>BU367</f>
        <v/>
      </c>
      <c r="BV369" s="99">
        <f>BV367</f>
        <v/>
      </c>
      <c r="BW369" s="95">
        <f>IFERROR(IF($C369="","",IF($P$15="Cascade",$R369*(1-BV369)*BU369,IF($P$15="Additionnelle",($N369-($N369*($P369+BV369)))*BU369))),"Non Trouvé")</f>
        <v/>
      </c>
      <c r="BZ369" s="99">
        <f>BZ367</f>
        <v/>
      </c>
      <c r="CA369" s="99">
        <f>CA367</f>
        <v/>
      </c>
      <c r="CB369" s="95">
        <f>IFERROR(IF($C369="","",IF($P$15="Cascade",$R369*(1-CA369)*BZ369,IF($P$15="Additionnelle",($N369-($N369*($P369+CA369)))*BZ369))),"Non Trouvé")</f>
        <v/>
      </c>
      <c r="CE369" s="100" t="n"/>
      <c r="CF369" s="101" t="n"/>
      <c r="CG369" s="102" t="n"/>
      <c r="CH369" s="102" t="n"/>
      <c r="CI369" s="103" t="n"/>
      <c r="CK369" s="104">
        <f>IFERROR(IF(F369='[1]Paramètres Généraux'!$K$12,ROUNDUP((REGENERANTS!H369*REGENERANTS!$CF$329)*'[1]Paramètres Généraux'!$M$12,-1),IF(F369='[1]Paramètres Généraux'!$K$15,ROUNDUP((REGENERANTS!H369*REGENERANTS!$CF$329)*'[1]Paramètres Généraux'!$M$15,-1),REGENERANTS!H369*REGENERANTS!$CF$329)),"nd")</f>
        <v/>
      </c>
      <c r="CN369" s="153" t="n"/>
      <c r="CO369" s="154" t="n"/>
      <c r="CP369" s="154" t="n"/>
      <c r="CQ369" s="154" t="n"/>
      <c r="CR369" s="154" t="n"/>
      <c r="CS369" s="180" t="n"/>
      <c r="CT369" s="181" t="n"/>
      <c r="CU369" s="154" t="n"/>
      <c r="CV369" s="180" t="n"/>
      <c r="CW369" s="157" t="n"/>
      <c r="CX369" s="156" t="n"/>
      <c r="CY369" s="157" t="n"/>
      <c r="CZ369" s="143" t="n"/>
      <c r="DA369" s="156" t="n"/>
      <c r="DB369" s="157" t="n"/>
      <c r="DC369" s="143" t="n"/>
      <c r="DD369" s="156" t="n"/>
      <c r="DE369" s="157" t="n"/>
      <c r="DF369" s="143" t="n"/>
      <c r="DG369" s="143" t="n"/>
      <c r="DH369" s="143" t="n"/>
      <c r="DI369" s="143" t="n"/>
      <c r="DJ369" s="143" t="n"/>
      <c r="DK369" s="143" t="n"/>
      <c r="DL369" s="143" t="n"/>
      <c r="DM369" s="143" t="n"/>
      <c r="DN369" s="143" t="n"/>
      <c r="DO369" s="156" t="n"/>
      <c r="DP369" s="157" t="n"/>
      <c r="DQ369" s="20">
        <f>SUM(CN369:DP369)</f>
        <v/>
      </c>
      <c r="DR369" s="20">
        <f>SUM(CV369:DP369)</f>
        <v/>
      </c>
      <c r="DS369" s="20">
        <f>IFERROR((IF(AND($F369="Produit Vente",CO369&gt;0),VLOOKUP($C369,'[1]Paramètres Articles'!$B:$H,7,FALSE)*$CO369)*(1-20%)),0)</f>
        <v/>
      </c>
      <c r="DT369" s="20">
        <f>IFERROR((IF(AND($F369="Produit Vente",DR369&gt;0),VLOOKUP($C369,'[1]Paramètres Articles'!$B:$H,6,FALSE)*$DR369)*(1-15%)),0)</f>
        <v/>
      </c>
      <c r="DU369" s="20">
        <f>IFERROR(DQ369*J369,0)</f>
        <v/>
      </c>
    </row>
    <row r="370" outlineLevel="1" collapsed="1" ht="12.95" customHeight="1">
      <c r="B370" s="1">
        <f>IF(C370="",0,COUNTIFS($B$22:B369,"&gt;"&amp;0)+1)</f>
        <v/>
      </c>
      <c r="C370" s="90" t="n"/>
      <c r="D370" s="91">
        <f>IFERROR(IF($C370="","",VLOOKUP($C370,'[1]Paramètres Articles'!$B:$G,2,FALSE)),"Non Trouvé")</f>
        <v/>
      </c>
      <c r="E370" s="92">
        <f>IFERROR(IF($C370="","",_xlfn.XLOOKUP(REGENERANTS!$C370,'[1]New Base PA'!$F:$F,'[1]New Base PA'!$D:$D,"Not Found",0)),"Non Trouvé")</f>
        <v/>
      </c>
      <c r="F370" s="93" t="n"/>
      <c r="H370" s="106" t="n"/>
      <c r="J370" s="95">
        <f>IFERROR(IF($C370="","",VLOOKUP($C370,'[1]New Base PA'!$F:$J,5,FALSE)),"Non Trouvé")</f>
        <v/>
      </c>
      <c r="K370" s="136">
        <f>IFERROR(IF($C370="","",$J370*$H370),"Non Trouvé")</f>
        <v/>
      </c>
      <c r="L370" s="137" t="n"/>
      <c r="M370" s="136">
        <f>IFERROR(IF(AND($F370="Produit Vente",H370&gt;0),VLOOKUP($C370,'[1]Paramètres Articles'!$B:$G,6,FALSE),0),"Non Trouvé")</f>
        <v/>
      </c>
      <c r="N370" s="136">
        <f>IFERROR(IF($C370="","",$M370*$H370),"Non Trouvé")</f>
        <v/>
      </c>
      <c r="P370" s="97" t="n"/>
      <c r="R370" s="95">
        <f>IFERROR(IF($C370="","",$N370*(1-$P370)),"Non Trouvé")</f>
        <v/>
      </c>
      <c r="S370" s="96" t="n"/>
      <c r="T370" s="95">
        <f>IFERROR(IF($C370="","",VLOOKUP($C370,'[1]Paramètres Articles'!$B:$H,7,FALSE)),"Non Trouvé")</f>
        <v/>
      </c>
      <c r="U370" s="98" t="n"/>
      <c r="V370" s="95">
        <f>IFERROR(IF($C370="","",IF($P370="","",$T370*(1-$P370))),"Non Trouvé")</f>
        <v/>
      </c>
      <c r="W370" s="96" t="n"/>
      <c r="X370" s="95">
        <f>IFERROR(T370-V370,"")</f>
        <v/>
      </c>
      <c r="Y370" s="96" t="n"/>
      <c r="Z370" s="95">
        <f>IFERROR(IF(OR(T370=0,T370=""),0,T370*H370),"Non Trouvé")</f>
        <v/>
      </c>
      <c r="AB370" s="99">
        <f>AB369</f>
        <v/>
      </c>
      <c r="AC370" s="99">
        <f>AC369</f>
        <v/>
      </c>
      <c r="AD370" s="95">
        <f>IFERROR(IF($C370="","",IF($P$15="Cascade",$R370*(1-AC370)*AB370,IF($P$15="Additionnelle",($N370-($N370*($P370+AC370)))*AB370))),"Non Trouvé")</f>
        <v/>
      </c>
      <c r="AG370" s="99">
        <f>AG369</f>
        <v/>
      </c>
      <c r="AH370" s="99">
        <f>AH369</f>
        <v/>
      </c>
      <c r="AI370" s="95">
        <f>IFERROR(IF($C370="","",IF($P$15="Cascade",$R370*(1-AH370)*AG370,IF($P$15="Additionnelle",($N370-($N370*($P370+AH370)))*AG370))),"Non Trouvé")</f>
        <v/>
      </c>
      <c r="AL370" s="99">
        <f>AL369</f>
        <v/>
      </c>
      <c r="AM370" s="99">
        <f>AM369</f>
        <v/>
      </c>
      <c r="AN370" s="95">
        <f>IFERROR(IF($C370="","",IF($P$15="Cascade",$R370*(1-AM370)*AL370,IF($P$15="Additionnelle",($N370-($N370*($P370+AM370)))*AL370))),"Non Trouvé")</f>
        <v/>
      </c>
      <c r="AQ370" s="99">
        <f>AQ369</f>
        <v/>
      </c>
      <c r="AR370" s="99">
        <f>AR369</f>
        <v/>
      </c>
      <c r="AS370" s="95">
        <f>IFERROR(IF($C370="","",IF($P$15="Cascade",$R370*(1-AR370)*AQ370,IF($P$15="Additionnelle",($N370-($N370*($P370+AR370)))*AQ370))),"Non Trouvé")</f>
        <v/>
      </c>
      <c r="AV370" s="99">
        <f>AV369</f>
        <v/>
      </c>
      <c r="AW370" s="99">
        <f>AW369</f>
        <v/>
      </c>
      <c r="AX370" s="95">
        <f>IFERROR(IF($C370="","",IF($P$15="Cascade",$R370*(1-AW370)*AV370,IF($P$15="Additionnelle",($N370-($N370*($P370+AW370)))*AV370))),"Non Trouvé")</f>
        <v/>
      </c>
      <c r="BA370" s="99">
        <f>BA369</f>
        <v/>
      </c>
      <c r="BB370" s="99">
        <f>BB369</f>
        <v/>
      </c>
      <c r="BC370" s="95">
        <f>IFERROR(IF($C370="","",IF($P$15="Cascade",$R370*(1-BB370)*BA370,IF($P$15="Additionnelle",($N370-($N370*($P370+BB370)))*BA370))),"Non Trouvé")</f>
        <v/>
      </c>
      <c r="BF370" s="99">
        <f>BF369</f>
        <v/>
      </c>
      <c r="BG370" s="99">
        <f>BG369</f>
        <v/>
      </c>
      <c r="BH370" s="95">
        <f>IFERROR(IF($C370="","",IF($P$15="Cascade",$R370*(1-BG370)*BF370,IF($P$15="Additionnelle",($N370-($N370*($P370+BG370)))*BF370))),"Non Trouvé")</f>
        <v/>
      </c>
      <c r="BK370" s="99">
        <f>BK369</f>
        <v/>
      </c>
      <c r="BL370" s="99">
        <f>BL369</f>
        <v/>
      </c>
      <c r="BM370" s="95">
        <f>IFERROR(IF($C370="","",IF($P$15="Cascade",$R370*(1-BL370)*BK370,IF($P$15="Additionnelle",($N370-($N370*($P370+BL370)))*BK370))),"Non Trouvé")</f>
        <v/>
      </c>
      <c r="BP370" s="99">
        <f>BP369</f>
        <v/>
      </c>
      <c r="BQ370" s="99">
        <f>BQ369</f>
        <v/>
      </c>
      <c r="BR370" s="95">
        <f>IFERROR(IF($C370="","",IF($P$15="Cascade",$R370*(1-BQ370)*BP370,IF($P$15="Additionnelle",($N370-($N370*($P370+BQ370)))*BP370))),"Non Trouvé")</f>
        <v/>
      </c>
      <c r="BU370" s="99">
        <f>BU369</f>
        <v/>
      </c>
      <c r="BV370" s="99">
        <f>BV369</f>
        <v/>
      </c>
      <c r="BW370" s="95">
        <f>IFERROR(IF($C370="","",IF($P$15="Cascade",$R370*(1-BV370)*BU370,IF($P$15="Additionnelle",($N370-($N370*($P370+BV370)))*BU370))),"Non Trouvé")</f>
        <v/>
      </c>
      <c r="BZ370" s="99">
        <f>BZ369</f>
        <v/>
      </c>
      <c r="CA370" s="99">
        <f>CA369</f>
        <v/>
      </c>
      <c r="CB370" s="95">
        <f>IFERROR(IF($C370="","",IF($P$15="Cascade",$R370*(1-CA370)*BZ370,IF($P$15="Additionnelle",($N370-($N370*($P370+CA370)))*BZ370))),"Non Trouvé")</f>
        <v/>
      </c>
      <c r="CE370" s="162" t="n"/>
      <c r="CF370" s="185" t="n"/>
      <c r="CG370" s="163" t="n"/>
      <c r="CH370" s="163" t="n"/>
      <c r="CI370" s="164" t="n"/>
      <c r="CK370" s="104">
        <f>IFERROR(IF(F370='[1]Paramètres Généraux'!$K$12,ROUNDUP((REGENERANTS!H370*REGENERANTS!$CF$329)*'[1]Paramètres Généraux'!$M$12,-1),IF(F370='[1]Paramètres Généraux'!$K$15,ROUNDUP((REGENERANTS!H370*REGENERANTS!$CF$329)*'[1]Paramètres Généraux'!$M$15,-1),REGENERANTS!H370*REGENERANTS!$CF$329)),"nd")</f>
        <v/>
      </c>
      <c r="CN370" s="153" t="n"/>
      <c r="CO370" s="154" t="n"/>
      <c r="CP370" s="154" t="n"/>
      <c r="CQ370" s="154" t="n"/>
      <c r="CR370" s="154" t="n"/>
      <c r="CS370" s="180" t="n"/>
      <c r="CT370" s="181" t="n"/>
      <c r="CU370" s="154" t="n"/>
      <c r="CV370" s="180" t="n"/>
      <c r="CW370" s="157" t="n"/>
      <c r="CX370" s="156" t="n"/>
      <c r="CY370" s="157" t="n"/>
      <c r="CZ370" s="143" t="n"/>
      <c r="DA370" s="156" t="n"/>
      <c r="DB370" s="157" t="n"/>
      <c r="DC370" s="143" t="n"/>
      <c r="DD370" s="156" t="n"/>
      <c r="DE370" s="157" t="n"/>
      <c r="DF370" s="143" t="n"/>
      <c r="DG370" s="143" t="n"/>
      <c r="DH370" s="143" t="n"/>
      <c r="DI370" s="143" t="n"/>
      <c r="DJ370" s="143" t="n"/>
      <c r="DK370" s="143" t="n"/>
      <c r="DL370" s="143" t="n"/>
      <c r="DM370" s="143" t="n"/>
      <c r="DN370" s="143" t="n"/>
      <c r="DO370" s="156" t="n"/>
      <c r="DP370" s="157" t="n"/>
      <c r="DQ370" s="20">
        <f>SUM(CN370:DP370)</f>
        <v/>
      </c>
      <c r="DR370" s="20">
        <f>SUM(CV370:DP370)</f>
        <v/>
      </c>
      <c r="DS370" s="20">
        <f>IFERROR((IF(AND($F370="Produit Vente",CO370&gt;0),VLOOKUP($C370,'[1]Paramètres Articles'!$B:$H,7,FALSE)*$CO370)*(1-20%)),0)</f>
        <v/>
      </c>
      <c r="DT370" s="20">
        <f>IFERROR((IF(AND($F370="Produit Vente",DR370&gt;0),VLOOKUP($C370,'[1]Paramètres Articles'!$B:$H,6,FALSE)*$DR370)*(1-15%)),0)</f>
        <v/>
      </c>
      <c r="DU370" s="20">
        <f>IFERROR(DQ370*J370,0)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tlzC9nRnYwLjG5QU8N/dw==" formatRows="1" sort="1" spinCount="100000" hashValue="yAjgSdex6muW/1I9NCtHnH8IQ4wDawhIEgWeytaVFjLtOrlhtIzZJrlXHt6sK5TfTO1Zyd29h+3NYAjCW6/rwA=="/>
  <mergeCells count="8">
    <mergeCell ref="CN17:CS17"/>
    <mergeCell ref="DB17:DD17"/>
    <mergeCell ref="EA36:EA37"/>
    <mergeCell ref="DX17:DZ17"/>
    <mergeCell ref="CT17:CU17"/>
    <mergeCell ref="DX36:DZ37"/>
    <mergeCell ref="DE17:DO17"/>
    <mergeCell ref="CY17:DA17"/>
  </mergeCells>
  <conditionalFormatting sqref="D22:E62">
    <cfRule type="cellIs" priority="121" operator="equal" dxfId="0">
      <formula>"Non trouvé"</formula>
    </cfRule>
  </conditionalFormatting>
  <conditionalFormatting sqref="D77:E98">
    <cfRule type="cellIs" priority="18" operator="equal" dxfId="0">
      <formula>"Non trouvé"</formula>
    </cfRule>
  </conditionalFormatting>
  <conditionalFormatting sqref="D114:E153">
    <cfRule type="cellIs" priority="102" operator="equal" dxfId="0">
      <formula>"Non trouvé"</formula>
    </cfRule>
  </conditionalFormatting>
  <conditionalFormatting sqref="D168:E207">
    <cfRule type="cellIs" priority="101" operator="equal" dxfId="0">
      <formula>"Non trouvé"</formula>
    </cfRule>
  </conditionalFormatting>
  <conditionalFormatting sqref="D223:E262">
    <cfRule type="cellIs" priority="100" operator="equal" dxfId="0">
      <formula>"Non trouvé"</formula>
    </cfRule>
  </conditionalFormatting>
  <conditionalFormatting sqref="D277:E316">
    <cfRule type="cellIs" priority="99" operator="equal" dxfId="0">
      <formula>"Non trouvé"</formula>
    </cfRule>
  </conditionalFormatting>
  <conditionalFormatting sqref="D331:E370">
    <cfRule type="cellIs" priority="14" operator="equal" dxfId="0">
      <formula>"Non trouvé"</formula>
    </cfRule>
  </conditionalFormatting>
  <conditionalFormatting sqref="J22:K62">
    <cfRule type="cellIs" priority="120" operator="equal" dxfId="0">
      <formula>"Non trouvé"</formula>
    </cfRule>
  </conditionalFormatting>
  <conditionalFormatting sqref="J77:K98">
    <cfRule type="cellIs" priority="117" operator="equal" dxfId="0">
      <formula>"Non trouvé"</formula>
    </cfRule>
  </conditionalFormatting>
  <conditionalFormatting sqref="J114:K153">
    <cfRule type="cellIs" priority="114" operator="equal" dxfId="0">
      <formula>"Non trouvé"</formula>
    </cfRule>
  </conditionalFormatting>
  <conditionalFormatting sqref="J168:K207">
    <cfRule type="cellIs" priority="111" operator="equal" dxfId="0">
      <formula>"Non trouvé"</formula>
    </cfRule>
  </conditionalFormatting>
  <conditionalFormatting sqref="J223:K262">
    <cfRule type="cellIs" priority="108" operator="equal" dxfId="0">
      <formula>"Non trouvé"</formula>
    </cfRule>
  </conditionalFormatting>
  <conditionalFormatting sqref="J277:K316">
    <cfRule type="cellIs" priority="105" operator="equal" dxfId="0">
      <formula>"Non trouvé"</formula>
    </cfRule>
  </conditionalFormatting>
  <conditionalFormatting sqref="J331:K370">
    <cfRule type="cellIs" priority="17" operator="equal" dxfId="0">
      <formula>"Non trouvé"</formula>
    </cfRule>
  </conditionalFormatting>
  <conditionalFormatting sqref="N22:N62">
    <cfRule type="cellIs" priority="119" operator="equal" dxfId="0">
      <formula>"Non trouvé"</formula>
    </cfRule>
  </conditionalFormatting>
  <conditionalFormatting sqref="N77:N98">
    <cfRule type="cellIs" priority="116" operator="equal" dxfId="0">
      <formula>"Non trouvé"</formula>
    </cfRule>
  </conditionalFormatting>
  <conditionalFormatting sqref="N114:N153">
    <cfRule type="cellIs" priority="113" operator="equal" dxfId="0">
      <formula>"Non trouvé"</formula>
    </cfRule>
  </conditionalFormatting>
  <conditionalFormatting sqref="N168:N207">
    <cfRule type="cellIs" priority="110" operator="equal" dxfId="0">
      <formula>"Non trouvé"</formula>
    </cfRule>
  </conditionalFormatting>
  <conditionalFormatting sqref="N223:N262">
    <cfRule type="cellIs" priority="107" operator="equal" dxfId="0">
      <formula>"Non trouvé"</formula>
    </cfRule>
  </conditionalFormatting>
  <conditionalFormatting sqref="N277:N316">
    <cfRule type="cellIs" priority="104" operator="equal" dxfId="0">
      <formula>"Non trouvé"</formula>
    </cfRule>
  </conditionalFormatting>
  <conditionalFormatting sqref="N331:N370">
    <cfRule type="cellIs" priority="16" operator="equal" dxfId="0">
      <formula>"Non trouvé"</formula>
    </cfRule>
  </conditionalFormatting>
  <conditionalFormatting sqref="R22:R62">
    <cfRule type="cellIs" priority="118" operator="equal" dxfId="0">
      <formula>"Non trouvé"</formula>
    </cfRule>
  </conditionalFormatting>
  <conditionalFormatting sqref="R77:R98">
    <cfRule type="cellIs" priority="115" operator="equal" dxfId="0">
      <formula>"Non trouvé"</formula>
    </cfRule>
  </conditionalFormatting>
  <conditionalFormatting sqref="R114:R153">
    <cfRule type="cellIs" priority="112" operator="equal" dxfId="0">
      <formula>"Non trouvé"</formula>
    </cfRule>
  </conditionalFormatting>
  <conditionalFormatting sqref="R168:R207">
    <cfRule type="cellIs" priority="109" operator="equal" dxfId="0">
      <formula>"Non trouvé"</formula>
    </cfRule>
  </conditionalFormatting>
  <conditionalFormatting sqref="R223:R262">
    <cfRule type="cellIs" priority="106" operator="equal" dxfId="0">
      <formula>"Non trouvé"</formula>
    </cfRule>
  </conditionalFormatting>
  <conditionalFormatting sqref="R277:R316">
    <cfRule type="cellIs" priority="103" operator="equal" dxfId="0">
      <formula>"Non trouvé"</formula>
    </cfRule>
  </conditionalFormatting>
  <conditionalFormatting sqref="R331:R370">
    <cfRule type="cellIs" priority="15" operator="equal" dxfId="0">
      <formula>"Non trouvé"</formula>
    </cfRule>
  </conditionalFormatting>
  <conditionalFormatting sqref="T22:X62">
    <cfRule type="cellIs" priority="92" operator="equal" dxfId="0">
      <formula>"Non trouvé"</formula>
    </cfRule>
  </conditionalFormatting>
  <conditionalFormatting sqref="T77:X98">
    <cfRule type="cellIs" priority="91" operator="equal" dxfId="0">
      <formula>"Non trouvé"</formula>
    </cfRule>
  </conditionalFormatting>
  <conditionalFormatting sqref="T114:X153">
    <cfRule type="cellIs" priority="90" operator="equal" dxfId="0">
      <formula>"Non trouvé"</formula>
    </cfRule>
  </conditionalFormatting>
  <conditionalFormatting sqref="T168:X207">
    <cfRule type="cellIs" priority="89" operator="equal" dxfId="0">
      <formula>"Non trouvé"</formula>
    </cfRule>
  </conditionalFormatting>
  <conditionalFormatting sqref="T223:X262">
    <cfRule type="cellIs" priority="88" operator="equal" dxfId="0">
      <formula>"Non trouvé"</formula>
    </cfRule>
  </conditionalFormatting>
  <conditionalFormatting sqref="T277:X316">
    <cfRule type="cellIs" priority="87" operator="equal" dxfId="0">
      <formula>"Non trouvé"</formula>
    </cfRule>
  </conditionalFormatting>
  <conditionalFormatting sqref="T331:X370">
    <cfRule type="cellIs" priority="12" operator="equal" dxfId="0">
      <formula>"Non trouvé"</formula>
    </cfRule>
  </conditionalFormatting>
  <conditionalFormatting sqref="Z22:Z62">
    <cfRule type="cellIs" priority="98" operator="equal" dxfId="0">
      <formula>"Non trouvé"</formula>
    </cfRule>
  </conditionalFormatting>
  <conditionalFormatting sqref="Z77:Z98">
    <cfRule type="cellIs" priority="97" operator="equal" dxfId="0">
      <formula>"Non trouvé"</formula>
    </cfRule>
  </conditionalFormatting>
  <conditionalFormatting sqref="Z114:Z153">
    <cfRule type="cellIs" priority="96" operator="equal" dxfId="0">
      <formula>"Non trouvé"</formula>
    </cfRule>
  </conditionalFormatting>
  <conditionalFormatting sqref="Z168:Z207">
    <cfRule type="cellIs" priority="95" operator="equal" dxfId="0">
      <formula>"Non trouvé"</formula>
    </cfRule>
  </conditionalFormatting>
  <conditionalFormatting sqref="Z223:Z262">
    <cfRule type="cellIs" priority="94" operator="equal" dxfId="0">
      <formula>"Non trouvé"</formula>
    </cfRule>
  </conditionalFormatting>
  <conditionalFormatting sqref="Z277:Z316">
    <cfRule type="cellIs" priority="93" operator="equal" dxfId="0">
      <formula>"Non trouvé"</formula>
    </cfRule>
  </conditionalFormatting>
  <conditionalFormatting sqref="Z331:Z370">
    <cfRule type="cellIs" priority="13" operator="equal" dxfId="0">
      <formula>"Non trouvé"</formula>
    </cfRule>
  </conditionalFormatting>
  <conditionalFormatting sqref="AD22:AD62">
    <cfRule type="cellIs" priority="86" operator="equal" dxfId="0">
      <formula>"Non trouvé"</formula>
    </cfRule>
  </conditionalFormatting>
  <conditionalFormatting sqref="AD77:AD98">
    <cfRule type="cellIs" priority="75" operator="equal" dxfId="0">
      <formula>"Non trouvé"</formula>
    </cfRule>
  </conditionalFormatting>
  <conditionalFormatting sqref="AD114:AD153">
    <cfRule type="cellIs" priority="64" operator="equal" dxfId="0">
      <formula>"Non trouvé"</formula>
    </cfRule>
  </conditionalFormatting>
  <conditionalFormatting sqref="AD168:AD207">
    <cfRule type="cellIs" priority="53" operator="equal" dxfId="0">
      <formula>"Non trouvé"</formula>
    </cfRule>
  </conditionalFormatting>
  <conditionalFormatting sqref="AD223:AD262">
    <cfRule type="cellIs" priority="42" operator="equal" dxfId="0">
      <formula>"Non trouvé"</formula>
    </cfRule>
  </conditionalFormatting>
  <conditionalFormatting sqref="AD277:AD316">
    <cfRule type="cellIs" priority="31" operator="equal" dxfId="0">
      <formula>"Non trouvé"</formula>
    </cfRule>
  </conditionalFormatting>
  <conditionalFormatting sqref="AD331:AD370">
    <cfRule type="cellIs" priority="11" operator="equal" dxfId="0">
      <formula>"Non trouvé"</formula>
    </cfRule>
  </conditionalFormatting>
  <conditionalFormatting sqref="AI22:AI62">
    <cfRule type="cellIs" priority="85" operator="equal" dxfId="0">
      <formula>"Non trouvé"</formula>
    </cfRule>
  </conditionalFormatting>
  <conditionalFormatting sqref="AI77:AI98">
    <cfRule type="cellIs" priority="74" operator="equal" dxfId="0">
      <formula>"Non trouvé"</formula>
    </cfRule>
  </conditionalFormatting>
  <conditionalFormatting sqref="AI114:AI153">
    <cfRule type="cellIs" priority="63" operator="equal" dxfId="0">
      <formula>"Non trouvé"</formula>
    </cfRule>
  </conditionalFormatting>
  <conditionalFormatting sqref="AI168:AI207">
    <cfRule type="cellIs" priority="52" operator="equal" dxfId="0">
      <formula>"Non trouvé"</formula>
    </cfRule>
  </conditionalFormatting>
  <conditionalFormatting sqref="AI223:AI262">
    <cfRule type="cellIs" priority="41" operator="equal" dxfId="0">
      <formula>"Non trouvé"</formula>
    </cfRule>
  </conditionalFormatting>
  <conditionalFormatting sqref="AI277:AI316">
    <cfRule type="cellIs" priority="30" operator="equal" dxfId="0">
      <formula>"Non trouvé"</formula>
    </cfRule>
  </conditionalFormatting>
  <conditionalFormatting sqref="AI331:AI370">
    <cfRule type="cellIs" priority="10" operator="equal" dxfId="0">
      <formula>"Non trouvé"</formula>
    </cfRule>
  </conditionalFormatting>
  <conditionalFormatting sqref="AN22:AN62">
    <cfRule type="cellIs" priority="84" operator="equal" dxfId="0">
      <formula>"Non trouvé"</formula>
    </cfRule>
  </conditionalFormatting>
  <conditionalFormatting sqref="AN77:AN98">
    <cfRule type="cellIs" priority="73" operator="equal" dxfId="0">
      <formula>"Non trouvé"</formula>
    </cfRule>
  </conditionalFormatting>
  <conditionalFormatting sqref="AN114:AN153">
    <cfRule type="cellIs" priority="62" operator="equal" dxfId="0">
      <formula>"Non trouvé"</formula>
    </cfRule>
  </conditionalFormatting>
  <conditionalFormatting sqref="AN168:AN207">
    <cfRule type="cellIs" priority="51" operator="equal" dxfId="0">
      <formula>"Non trouvé"</formula>
    </cfRule>
  </conditionalFormatting>
  <conditionalFormatting sqref="AN223:AN262">
    <cfRule type="cellIs" priority="40" operator="equal" dxfId="0">
      <formula>"Non trouvé"</formula>
    </cfRule>
  </conditionalFormatting>
  <conditionalFormatting sqref="AN277:AN316">
    <cfRule type="cellIs" priority="29" operator="equal" dxfId="0">
      <formula>"Non trouvé"</formula>
    </cfRule>
  </conditionalFormatting>
  <conditionalFormatting sqref="AN331:AN370">
    <cfRule type="cellIs" priority="9" operator="equal" dxfId="0">
      <formula>"Non trouvé"</formula>
    </cfRule>
  </conditionalFormatting>
  <conditionalFormatting sqref="AS22:AS62">
    <cfRule type="cellIs" priority="83" operator="equal" dxfId="0">
      <formula>"Non trouvé"</formula>
    </cfRule>
  </conditionalFormatting>
  <conditionalFormatting sqref="AS77:AS98">
    <cfRule type="cellIs" priority="72" operator="equal" dxfId="0">
      <formula>"Non trouvé"</formula>
    </cfRule>
  </conditionalFormatting>
  <conditionalFormatting sqref="AS114:AS153">
    <cfRule type="cellIs" priority="61" operator="equal" dxfId="0">
      <formula>"Non trouvé"</formula>
    </cfRule>
  </conditionalFormatting>
  <conditionalFormatting sqref="AS168:AS207">
    <cfRule type="cellIs" priority="50" operator="equal" dxfId="0">
      <formula>"Non trouvé"</formula>
    </cfRule>
  </conditionalFormatting>
  <conditionalFormatting sqref="AS223:AS262">
    <cfRule type="cellIs" priority="39" operator="equal" dxfId="0">
      <formula>"Non trouvé"</formula>
    </cfRule>
  </conditionalFormatting>
  <conditionalFormatting sqref="AS277:AS316">
    <cfRule type="cellIs" priority="28" operator="equal" dxfId="0">
      <formula>"Non trouvé"</formula>
    </cfRule>
  </conditionalFormatting>
  <conditionalFormatting sqref="AS331:AS370">
    <cfRule type="cellIs" priority="8" operator="equal" dxfId="0">
      <formula>"Non trouvé"</formula>
    </cfRule>
  </conditionalFormatting>
  <conditionalFormatting sqref="AX22:AX62">
    <cfRule type="cellIs" priority="82" operator="equal" dxfId="0">
      <formula>"Non trouvé"</formula>
    </cfRule>
  </conditionalFormatting>
  <conditionalFormatting sqref="AX77:AX98">
    <cfRule type="cellIs" priority="71" operator="equal" dxfId="0">
      <formula>"Non trouvé"</formula>
    </cfRule>
  </conditionalFormatting>
  <conditionalFormatting sqref="AX114:AX153">
    <cfRule type="cellIs" priority="60" operator="equal" dxfId="0">
      <formula>"Non trouvé"</formula>
    </cfRule>
  </conditionalFormatting>
  <conditionalFormatting sqref="AX168:AX207">
    <cfRule type="cellIs" priority="49" operator="equal" dxfId="0">
      <formula>"Non trouvé"</formula>
    </cfRule>
  </conditionalFormatting>
  <conditionalFormatting sqref="AX223:AX262">
    <cfRule type="cellIs" priority="38" operator="equal" dxfId="0">
      <formula>"Non trouvé"</formula>
    </cfRule>
  </conditionalFormatting>
  <conditionalFormatting sqref="AX277:AX316">
    <cfRule type="cellIs" priority="27" operator="equal" dxfId="0">
      <formula>"Non trouvé"</formula>
    </cfRule>
  </conditionalFormatting>
  <conditionalFormatting sqref="AX331:AX370">
    <cfRule type="cellIs" priority="7" operator="equal" dxfId="0">
      <formula>"Non trouvé"</formula>
    </cfRule>
  </conditionalFormatting>
  <conditionalFormatting sqref="BC22:BC62">
    <cfRule type="cellIs" priority="81" operator="equal" dxfId="0">
      <formula>"Non trouvé"</formula>
    </cfRule>
  </conditionalFormatting>
  <conditionalFormatting sqref="BC77:BC98">
    <cfRule type="cellIs" priority="70" operator="equal" dxfId="0">
      <formula>"Non trouvé"</formula>
    </cfRule>
  </conditionalFormatting>
  <conditionalFormatting sqref="BC114:BC153">
    <cfRule type="cellIs" priority="59" operator="equal" dxfId="0">
      <formula>"Non trouvé"</formula>
    </cfRule>
  </conditionalFormatting>
  <conditionalFormatting sqref="BC168:BC207">
    <cfRule type="cellIs" priority="48" operator="equal" dxfId="0">
      <formula>"Non trouvé"</formula>
    </cfRule>
  </conditionalFormatting>
  <conditionalFormatting sqref="BC223:BC262">
    <cfRule type="cellIs" priority="37" operator="equal" dxfId="0">
      <formula>"Non trouvé"</formula>
    </cfRule>
  </conditionalFormatting>
  <conditionalFormatting sqref="BC277:BC316">
    <cfRule type="cellIs" priority="26" operator="equal" dxfId="0">
      <formula>"Non trouvé"</formula>
    </cfRule>
  </conditionalFormatting>
  <conditionalFormatting sqref="BC331:BC370">
    <cfRule type="cellIs" priority="6" operator="equal" dxfId="0">
      <formula>"Non trouvé"</formula>
    </cfRule>
  </conditionalFormatting>
  <conditionalFormatting sqref="BH22:BH62">
    <cfRule type="cellIs" priority="80" operator="equal" dxfId="0">
      <formula>"Non trouvé"</formula>
    </cfRule>
  </conditionalFormatting>
  <conditionalFormatting sqref="BH77:BH98">
    <cfRule type="cellIs" priority="69" operator="equal" dxfId="0">
      <formula>"Non trouvé"</formula>
    </cfRule>
  </conditionalFormatting>
  <conditionalFormatting sqref="BH114:BH153">
    <cfRule type="cellIs" priority="58" operator="equal" dxfId="0">
      <formula>"Non trouvé"</formula>
    </cfRule>
  </conditionalFormatting>
  <conditionalFormatting sqref="BH168:BH207">
    <cfRule type="cellIs" priority="47" operator="equal" dxfId="0">
      <formula>"Non trouvé"</formula>
    </cfRule>
  </conditionalFormatting>
  <conditionalFormatting sqref="BH223:BH262">
    <cfRule type="cellIs" priority="36" operator="equal" dxfId="0">
      <formula>"Non trouvé"</formula>
    </cfRule>
  </conditionalFormatting>
  <conditionalFormatting sqref="BH277:BH316">
    <cfRule type="cellIs" priority="25" operator="equal" dxfId="0">
      <formula>"Non trouvé"</formula>
    </cfRule>
  </conditionalFormatting>
  <conditionalFormatting sqref="BH331:BH370">
    <cfRule type="cellIs" priority="5" operator="equal" dxfId="0">
      <formula>"Non trouvé"</formula>
    </cfRule>
  </conditionalFormatting>
  <conditionalFormatting sqref="BM22:BM62">
    <cfRule type="cellIs" priority="79" operator="equal" dxfId="0">
      <formula>"Non trouvé"</formula>
    </cfRule>
  </conditionalFormatting>
  <conditionalFormatting sqref="BM77:BM98">
    <cfRule type="cellIs" priority="68" operator="equal" dxfId="0">
      <formula>"Non trouvé"</formula>
    </cfRule>
  </conditionalFormatting>
  <conditionalFormatting sqref="BM114:BM153">
    <cfRule type="cellIs" priority="57" operator="equal" dxfId="0">
      <formula>"Non trouvé"</formula>
    </cfRule>
  </conditionalFormatting>
  <conditionalFormatting sqref="BM168:BM207">
    <cfRule type="cellIs" priority="46" operator="equal" dxfId="0">
      <formula>"Non trouvé"</formula>
    </cfRule>
  </conditionalFormatting>
  <conditionalFormatting sqref="BM223:BM262">
    <cfRule type="cellIs" priority="35" operator="equal" dxfId="0">
      <formula>"Non trouvé"</formula>
    </cfRule>
  </conditionalFormatting>
  <conditionalFormatting sqref="BM277:BM316">
    <cfRule type="cellIs" priority="24" operator="equal" dxfId="0">
      <formula>"Non trouvé"</formula>
    </cfRule>
  </conditionalFormatting>
  <conditionalFormatting sqref="BM331:BM370">
    <cfRule type="cellIs" priority="4" operator="equal" dxfId="0">
      <formula>"Non trouvé"</formula>
    </cfRule>
  </conditionalFormatting>
  <conditionalFormatting sqref="BR22:BR62">
    <cfRule type="cellIs" priority="78" operator="equal" dxfId="0">
      <formula>"Non trouvé"</formula>
    </cfRule>
  </conditionalFormatting>
  <conditionalFormatting sqref="BR77:BR98">
    <cfRule type="cellIs" priority="67" operator="equal" dxfId="0">
      <formula>"Non trouvé"</formula>
    </cfRule>
  </conditionalFormatting>
  <conditionalFormatting sqref="BR114:BR153">
    <cfRule type="cellIs" priority="56" operator="equal" dxfId="0">
      <formula>"Non trouvé"</formula>
    </cfRule>
  </conditionalFormatting>
  <conditionalFormatting sqref="BR168:BR207">
    <cfRule type="cellIs" priority="45" operator="equal" dxfId="0">
      <formula>"Non trouvé"</formula>
    </cfRule>
  </conditionalFormatting>
  <conditionalFormatting sqref="BR223:BR262">
    <cfRule type="cellIs" priority="34" operator="equal" dxfId="0">
      <formula>"Non trouvé"</formula>
    </cfRule>
  </conditionalFormatting>
  <conditionalFormatting sqref="BR277:BR316">
    <cfRule type="cellIs" priority="23" operator="equal" dxfId="0">
      <formula>"Non trouvé"</formula>
    </cfRule>
  </conditionalFormatting>
  <conditionalFormatting sqref="BR331:BR370">
    <cfRule type="cellIs" priority="3" operator="equal" dxfId="0">
      <formula>"Non trouvé"</formula>
    </cfRule>
  </conditionalFormatting>
  <conditionalFormatting sqref="BW22:BW62">
    <cfRule type="cellIs" priority="77" operator="equal" dxfId="0">
      <formula>"Non trouvé"</formula>
    </cfRule>
  </conditionalFormatting>
  <conditionalFormatting sqref="BW77:BW98">
    <cfRule type="cellIs" priority="66" operator="equal" dxfId="0">
      <formula>"Non trouvé"</formula>
    </cfRule>
  </conditionalFormatting>
  <conditionalFormatting sqref="BW114:BW153">
    <cfRule type="cellIs" priority="55" operator="equal" dxfId="0">
      <formula>"Non trouvé"</formula>
    </cfRule>
  </conditionalFormatting>
  <conditionalFormatting sqref="BW168:BW207">
    <cfRule type="cellIs" priority="44" operator="equal" dxfId="0">
      <formula>"Non trouvé"</formula>
    </cfRule>
  </conditionalFormatting>
  <conditionalFormatting sqref="BW223:BW262">
    <cfRule type="cellIs" priority="33" operator="equal" dxfId="0">
      <formula>"Non trouvé"</formula>
    </cfRule>
  </conditionalFormatting>
  <conditionalFormatting sqref="BW277:BW316">
    <cfRule type="cellIs" priority="22" operator="equal" dxfId="0">
      <formula>"Non trouvé"</formula>
    </cfRule>
  </conditionalFormatting>
  <conditionalFormatting sqref="BW331:BW370">
    <cfRule type="cellIs" priority="2" operator="equal" dxfId="0">
      <formula>"Non trouvé"</formula>
    </cfRule>
  </conditionalFormatting>
  <conditionalFormatting sqref="CB22:CB62">
    <cfRule type="cellIs" priority="76" operator="equal" dxfId="0">
      <formula>"Non trouvé"</formula>
    </cfRule>
  </conditionalFormatting>
  <conditionalFormatting sqref="CB77:CB98">
    <cfRule type="cellIs" priority="65" operator="equal" dxfId="0">
      <formula>"Non trouvé"</formula>
    </cfRule>
  </conditionalFormatting>
  <conditionalFormatting sqref="CB114:CB153">
    <cfRule type="cellIs" priority="54" operator="equal" dxfId="0">
      <formula>"Non trouvé"</formula>
    </cfRule>
  </conditionalFormatting>
  <conditionalFormatting sqref="CB168:CB207">
    <cfRule type="cellIs" priority="43" operator="equal" dxfId="0">
      <formula>"Non trouvé"</formula>
    </cfRule>
  </conditionalFormatting>
  <conditionalFormatting sqref="CB223:CB262">
    <cfRule type="cellIs" priority="32" operator="equal" dxfId="0">
      <formula>"Non trouvé"</formula>
    </cfRule>
  </conditionalFormatting>
  <conditionalFormatting sqref="CB277:CB316">
    <cfRule type="cellIs" priority="21" operator="equal" dxfId="0">
      <formula>"Non trouvé"</formula>
    </cfRule>
  </conditionalFormatting>
  <conditionalFormatting sqref="CB331:CB370">
    <cfRule type="cellIs" priority="1" operator="equal" dxfId="0">
      <formula>"Non trouvé"</formula>
    </cfRule>
  </conditionalFormatting>
  <conditionalFormatting sqref="CK2">
    <cfRule type="containsText" priority="19" dxfId="119">
      <formula>NOT(ISERROR(SEARCH("VRAI",CK2)))</formula>
    </cfRule>
    <cfRule type="containsText" priority="20" dxfId="120">
      <formula>NOT(ISERROR(SEARCH("FAUX",CK2)))</formula>
    </cfRule>
  </conditionalFormatting>
  <dataValidations count="7">
    <dataValidation sqref="P107" showDropDown="0" showInputMessage="1" showErrorMessage="1" allowBlank="1" type="list">
      <formula1>"Cascade, Additionnelle"</formula1>
    </dataValidation>
    <dataValidation sqref="P15" showDropDown="0" showInputMessage="1" showErrorMessage="1" allowBlank="1" type="list">
      <formula1>"Cascade, Additionnelle"</formula1>
    </dataValidation>
    <dataValidation sqref="P161" showDropDown="0" showInputMessage="1" showErrorMessage="1" allowBlank="1" type="list">
      <formula1>"Cascade, Additionnelle"</formula1>
    </dataValidation>
    <dataValidation sqref="P216" showDropDown="0" showInputMessage="1" showErrorMessage="1" allowBlank="1" type="list">
      <formula1>"Cascade, Additionnelle"</formula1>
    </dataValidation>
    <dataValidation sqref="P270" showDropDown="0" showInputMessage="1" showErrorMessage="1" allowBlank="1" type="list">
      <formula1>"Cascade, Additionnelle"</formula1>
    </dataValidation>
    <dataValidation sqref="P324" showDropDown="0" showInputMessage="1" showErrorMessage="1" allowBlank="1" type="list">
      <formula1>"Cascade, Additionnelle"</formula1>
    </dataValidation>
    <dataValidation sqref="P70" showDropDown="0" showInputMessage="1" showErrorMessage="1" allowBlank="1" type="list">
      <formula1>"Cascade, Additionnelle"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25"/>
  <sheetViews>
    <sheetView showGridLines="0" zoomScale="100" zoomScaleNormal="100" workbookViewId="0">
      <selection activeCell="B34" sqref="B34"/>
    </sheetView>
  </sheetViews>
  <sheetFormatPr baseColWidth="8" defaultRowHeight="15" outlineLevelRow="0"/>
  <cols>
    <col width="134.5703125" customWidth="1" min="2" max="2"/>
  </cols>
  <sheetData>
    <row r="3">
      <c r="B3" s="186" t="inlineStr">
        <is>
          <t>Date de démarrage campagne</t>
        </is>
      </c>
      <c r="C3" s="186" t="n"/>
    </row>
    <row r="4">
      <c r="B4" s="186" t="inlineStr">
        <is>
          <t>Date de fin de campagne</t>
        </is>
      </c>
      <c r="C4" s="186" t="n"/>
    </row>
    <row r="5">
      <c r="B5" s="186" t="inlineStr">
        <is>
          <t>Campagne répétée</t>
        </is>
      </c>
      <c r="C5" s="186" t="inlineStr">
        <is>
          <t>Oui/Non</t>
        </is>
      </c>
    </row>
    <row r="6">
      <c r="B6" s="186" t="inlineStr">
        <is>
          <t>Si campagne répétée, entrez le nom</t>
        </is>
      </c>
      <c r="C6" s="186" t="n"/>
    </row>
    <row r="7">
      <c r="B7" s="186" t="inlineStr">
        <is>
          <t>Si campagne répétée, je veux une recommandation du nombre d'offre par palier et par statut client (hors grands comptes), de quantités de produits et le mix produits par palier</t>
        </is>
      </c>
      <c r="C7" s="186" t="inlineStr">
        <is>
          <t>Oui/Non</t>
        </is>
      </c>
    </row>
    <row r="8">
      <c r="B8" s="186" t="inlineStr">
        <is>
          <t>Augmentation du % d'offres par palier vs N-1</t>
        </is>
      </c>
      <c r="C8" s="187" t="n">
        <v>0.1</v>
      </c>
    </row>
    <row r="9">
      <c r="B9" s="186" t="inlineStr">
        <is>
          <t>Je veux entrer moi-même les paliers et les articles</t>
        </is>
      </c>
      <c r="C9" s="186" t="inlineStr">
        <is>
          <t>Oui/Non</t>
        </is>
      </c>
    </row>
    <row r="10">
      <c r="B10" s="186" t="inlineStr">
        <is>
          <t>Je veux ajouter un palier supplémentaire</t>
        </is>
      </c>
      <c r="C10" s="186" t="inlineStr">
        <is>
          <t>Oui/Non</t>
        </is>
      </c>
    </row>
    <row r="11">
      <c r="B11" s="186" t="inlineStr">
        <is>
          <t>Je veux modifier la liste des produits par palier</t>
        </is>
      </c>
      <c r="C11" s="186" t="inlineStr">
        <is>
          <t>Oui/Non</t>
        </is>
      </c>
    </row>
    <row r="12">
      <c r="B12" s="186" t="inlineStr">
        <is>
          <t>Remise additionnelle</t>
        </is>
      </c>
      <c r="C12" s="186" t="inlineStr">
        <is>
          <t>Oui/non</t>
        </is>
      </c>
    </row>
    <row r="13">
      <c r="B13" s="186" t="inlineStr">
        <is>
          <t>Modifier la data comme on le souhaite une fois que c'est pré-rempli</t>
        </is>
      </c>
      <c r="C13" s="186" t="n"/>
    </row>
    <row r="14">
      <c r="B14" s="186" t="inlineStr">
        <is>
          <t>Un fichier de synthèse avec toutes les campagnes (Ca total; phasing du CA par mois et besoins produits par mois)</t>
        </is>
      </c>
      <c r="C14" s="186" t="n"/>
    </row>
    <row r="19">
      <c r="B19" s="188" t="inlineStr">
        <is>
          <t>à compléter automatiquement en fonction de la reco Claude (ou manuellement)</t>
        </is>
      </c>
    </row>
    <row r="21">
      <c r="B21" s="189" t="inlineStr">
        <is>
          <t>Données sur Odoo</t>
        </is>
      </c>
    </row>
    <row r="23">
      <c r="B23" s="190" t="inlineStr">
        <is>
          <t>calcul mathématique</t>
        </is>
      </c>
    </row>
    <row r="25">
      <c r="B25" s="191" t="inlineStr">
        <is>
          <t>remplissage manuel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I227"/>
  <sheetViews>
    <sheetView showGridLines="0" zoomScale="100" zoomScaleNormal="100" workbookViewId="0">
      <selection activeCell="C84" sqref="C84"/>
    </sheetView>
  </sheetViews>
  <sheetFormatPr baseColWidth="8" defaultRowHeight="15" outlineLevelRow="0"/>
  <cols>
    <col width="17.140625" customWidth="1" min="1" max="1"/>
    <col width="21.28515625" customWidth="1" min="2" max="2"/>
    <col width="15.140625" customWidth="1" min="3" max="3"/>
    <col width="12.28515625" customWidth="1" min="4" max="4"/>
    <col width="14.140625" customWidth="1" min="5" max="5"/>
    <col width="12.28515625" customWidth="1" min="6" max="6"/>
    <col width="15.140625" customWidth="1" min="8" max="8"/>
    <col width="12.28515625" customWidth="1" min="12" max="12"/>
  </cols>
  <sheetData>
    <row r="1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9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20" t="n"/>
    </row>
    <row r="3">
      <c r="A3" s="22" t="inlineStr">
        <is>
          <t>7021433 — MEA Régénérants 2026 - Premium (50 unités - 15% remise)</t>
        </is>
      </c>
      <c r="B3" s="23" t="n"/>
      <c r="C3" s="24" t="n"/>
      <c r="D3" s="25" t="inlineStr">
        <is>
          <t>Panachage 50 unités // Remise 15% pour BRI conso 10€ sur 4 produits : Sérum J/N, CDJR, CDJRI, sérum nuit RI (-10€ = prix plancher, à imprimer sur 1 SR sur le présentoir)</t>
        </is>
      </c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0" t="n"/>
    </row>
    <row r="4" ht="15.75" customHeight="1">
      <c r="A4" s="69" t="inlineStr">
        <is>
          <t>Nombre d'offres</t>
        </is>
      </c>
      <c r="B4" s="192" t="n">
        <v>47</v>
      </c>
      <c r="C4" s="2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5.75" customHeight="1">
      <c r="A5" s="69" t="inlineStr">
        <is>
          <t>Nombre de produits</t>
        </is>
      </c>
      <c r="B5" s="192" t="n">
        <v>62</v>
      </c>
      <c r="C5" s="2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93" t="n"/>
      <c r="AB5" s="194" t="n"/>
      <c r="AC5" s="194" t="n"/>
      <c r="AD5" s="194" t="n"/>
      <c r="AE5" s="195" t="n"/>
      <c r="AF5" s="1" t="n"/>
    </row>
    <row r="6" ht="15.75" customHeight="1">
      <c r="A6" s="1" t="n"/>
      <c r="B6" s="1" t="n"/>
      <c r="C6" s="2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96" t="inlineStr">
        <is>
          <t>RETAIL</t>
        </is>
      </c>
      <c r="N6" s="290" t="n"/>
      <c r="O6" s="290" t="n"/>
      <c r="P6" s="290" t="n"/>
      <c r="Q6" s="290" t="n"/>
      <c r="R6" s="290" t="n"/>
      <c r="S6" s="197" t="inlineStr">
        <is>
          <t>INSTITUT</t>
        </is>
      </c>
      <c r="T6" s="198" t="n"/>
      <c r="U6" s="199" t="n"/>
      <c r="V6" s="199" t="n"/>
      <c r="W6" s="199" t="n"/>
      <c r="X6" s="199" t="n"/>
      <c r="Y6" s="197" t="n"/>
      <c r="Z6" s="198" t="n"/>
      <c r="AA6" s="39" t="n"/>
      <c r="AB6" s="34" t="inlineStr">
        <is>
          <t>Retail + Institut</t>
        </is>
      </c>
      <c r="AC6" s="34" t="n"/>
      <c r="AD6" s="34" t="n"/>
      <c r="AE6" s="200" t="n"/>
      <c r="AF6" s="1" t="n"/>
    </row>
    <row r="7">
      <c r="A7" s="1" t="n"/>
      <c r="B7" s="1" t="n"/>
      <c r="C7" s="2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201" t="n"/>
      <c r="N7" s="202" t="n"/>
      <c r="O7" s="201" t="n"/>
      <c r="P7" s="202" t="n"/>
      <c r="Q7" s="203" t="n"/>
      <c r="R7" s="203" t="n"/>
      <c r="S7" s="201" t="n"/>
      <c r="T7" s="202" t="n"/>
      <c r="U7" s="203" t="n"/>
      <c r="V7" s="202" t="n"/>
      <c r="W7" s="203" t="n"/>
      <c r="X7" s="203" t="n"/>
      <c r="Y7" s="204" t="n"/>
      <c r="Z7" s="205" t="n"/>
      <c r="AA7" s="206" t="n"/>
      <c r="AB7" s="39" t="n"/>
      <c r="AC7" s="39" t="n"/>
      <c r="AD7" s="39" t="n"/>
      <c r="AE7" s="200" t="n"/>
      <c r="AF7" s="1" t="n"/>
    </row>
    <row r="8">
      <c r="A8" s="1" t="n"/>
      <c r="B8" s="1" t="n"/>
      <c r="C8" s="2" t="n"/>
      <c r="D8" s="1" t="n"/>
      <c r="E8" s="1" t="n"/>
      <c r="F8" s="1" t="n"/>
      <c r="G8" s="1" t="n"/>
      <c r="H8" s="1" t="n"/>
      <c r="J8" s="1" t="n"/>
      <c r="K8" s="1" t="n"/>
      <c r="L8" s="1" t="n"/>
      <c r="M8" s="207" t="inlineStr">
        <is>
          <t>Ambassadeur</t>
        </is>
      </c>
      <c r="O8" s="207" t="inlineStr">
        <is>
          <t>Compagnon</t>
        </is>
      </c>
      <c r="Q8" s="207" t="inlineStr">
        <is>
          <t>Challenger</t>
        </is>
      </c>
      <c r="S8" s="208" t="inlineStr">
        <is>
          <t>Rose</t>
        </is>
      </c>
      <c r="U8" s="208" t="inlineStr">
        <is>
          <t>Prunelier</t>
        </is>
      </c>
      <c r="W8" s="208" t="inlineStr">
        <is>
          <t>Anthylide</t>
        </is>
      </c>
      <c r="Y8" s="208" t="inlineStr">
        <is>
          <t>Calendula</t>
        </is>
      </c>
      <c r="AA8" s="206" t="n"/>
      <c r="AB8" s="45" t="inlineStr">
        <is>
          <t>Total</t>
        </is>
      </c>
      <c r="AC8" s="45" t="n"/>
      <c r="AD8" s="45" t="n"/>
      <c r="AE8" s="200" t="n"/>
      <c r="AF8" s="1" t="n"/>
    </row>
    <row r="9">
      <c r="A9" s="1" t="n"/>
      <c r="B9" s="1" t="n"/>
      <c r="C9" s="2" t="n"/>
      <c r="D9" s="1" t="n"/>
      <c r="E9" s="1" t="n"/>
      <c r="F9" s="1" t="n"/>
      <c r="G9" s="1" t="n"/>
      <c r="H9" s="1" t="n"/>
      <c r="J9" s="1" t="n"/>
      <c r="K9" s="1" t="n"/>
      <c r="L9" s="1" t="n"/>
      <c r="M9" s="209" t="inlineStr">
        <is>
          <t>% Offres</t>
        </is>
      </c>
      <c r="N9" s="210" t="n">
        <v>0.5</v>
      </c>
      <c r="O9" s="209" t="inlineStr">
        <is>
          <t>% Offres</t>
        </is>
      </c>
      <c r="P9" s="210" t="n">
        <v>0.1</v>
      </c>
      <c r="Q9" s="209" t="inlineStr">
        <is>
          <t>% Offres</t>
        </is>
      </c>
      <c r="R9" s="210" t="n">
        <v>0.1</v>
      </c>
      <c r="S9" s="209" t="inlineStr">
        <is>
          <t>% Offres</t>
        </is>
      </c>
      <c r="T9" s="210" t="n">
        <v>0.1</v>
      </c>
      <c r="U9" s="211" t="inlineStr">
        <is>
          <t>% Offres</t>
        </is>
      </c>
      <c r="V9" s="212" t="n">
        <v>0.1</v>
      </c>
      <c r="W9" s="209" t="inlineStr">
        <is>
          <t>% Offres</t>
        </is>
      </c>
      <c r="X9" s="212" t="n">
        <v>0.05</v>
      </c>
      <c r="Y9" s="213" t="n"/>
      <c r="Z9" s="210" t="n">
        <v>0.05</v>
      </c>
      <c r="AA9" s="204" t="n"/>
      <c r="AB9" s="214" t="n"/>
      <c r="AC9" s="214" t="n"/>
      <c r="AD9" s="214" t="n"/>
      <c r="AE9" s="205" t="n"/>
      <c r="AF9" s="1" t="n"/>
    </row>
    <row r="10">
      <c r="A10" s="1" t="n"/>
      <c r="B10" s="1" t="n"/>
      <c r="C10" s="2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209" t="inlineStr">
        <is>
          <t>Remise</t>
        </is>
      </c>
      <c r="N10" s="215" t="n">
        <v>0.17</v>
      </c>
      <c r="O10" s="209" t="inlineStr">
        <is>
          <t>Remise</t>
        </is>
      </c>
      <c r="P10" s="215" t="n">
        <v>0.13</v>
      </c>
      <c r="Q10" s="209" t="inlineStr">
        <is>
          <t>Remise</t>
        </is>
      </c>
      <c r="R10" s="215" t="n">
        <v>0.08</v>
      </c>
      <c r="S10" s="209" t="inlineStr">
        <is>
          <t>Remise</t>
        </is>
      </c>
      <c r="T10" s="216" t="n">
        <v>0.325</v>
      </c>
      <c r="U10" s="211" t="inlineStr">
        <is>
          <t>Remise</t>
        </is>
      </c>
      <c r="V10" s="217" t="n">
        <v>0.3</v>
      </c>
      <c r="W10" s="209" t="inlineStr">
        <is>
          <t>Remise</t>
        </is>
      </c>
      <c r="X10" s="217" t="n">
        <v>0.28</v>
      </c>
      <c r="Y10" s="209" t="inlineStr">
        <is>
          <t>Remise</t>
        </is>
      </c>
      <c r="Z10" s="215" t="n">
        <v>0.25</v>
      </c>
      <c r="AA10" s="206" t="n"/>
      <c r="AB10" s="39" t="n"/>
      <c r="AC10" s="39" t="n"/>
      <c r="AD10" s="39" t="n"/>
      <c r="AE10" s="200" t="n"/>
      <c r="AF10" s="1" t="n"/>
    </row>
    <row r="11">
      <c r="A11" s="1" t="n"/>
      <c r="B11" s="1" t="n"/>
      <c r="C11" s="2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209" t="inlineStr">
        <is>
          <t>Nb Offres</t>
        </is>
      </c>
      <c r="N11" s="218">
        <f>N9*$B$4</f>
        <v/>
      </c>
      <c r="O11" s="209" t="inlineStr">
        <is>
          <t>Nb Offres</t>
        </is>
      </c>
      <c r="P11" s="218">
        <f>P9*$B$4</f>
        <v/>
      </c>
      <c r="Q11" s="209" t="inlineStr">
        <is>
          <t>Nb Offres</t>
        </is>
      </c>
      <c r="R11" s="218">
        <f>R9*$B$4</f>
        <v/>
      </c>
      <c r="S11" s="209" t="inlineStr">
        <is>
          <t>Nb Offres</t>
        </is>
      </c>
      <c r="T11" s="218">
        <f>T9*$B$4</f>
        <v/>
      </c>
      <c r="U11" s="211" t="inlineStr">
        <is>
          <t>Nb Offres</t>
        </is>
      </c>
      <c r="V11" s="218">
        <f>V9*$B$4</f>
        <v/>
      </c>
      <c r="W11" s="209" t="inlineStr">
        <is>
          <t>Nb Offres</t>
        </is>
      </c>
      <c r="X11" s="219">
        <f>X9*$B$4</f>
        <v/>
      </c>
      <c r="Y11" s="209" t="inlineStr">
        <is>
          <t>Nb Offres</t>
        </is>
      </c>
      <c r="Z11" s="218">
        <f>Z9*$B$4</f>
        <v/>
      </c>
      <c r="AA11" s="206" t="n"/>
      <c r="AB11" s="39" t="n"/>
      <c r="AC11" s="39" t="n"/>
      <c r="AD11" s="39" t="n"/>
      <c r="AE11" s="200" t="n"/>
      <c r="AF11" s="1" t="n"/>
    </row>
    <row r="12" ht="93" customHeight="1">
      <c r="A12" s="46" t="n"/>
      <c r="B12" s="46" t="n"/>
      <c r="C12" s="47" t="n"/>
      <c r="D12" s="46" t="n"/>
      <c r="E12" s="48" t="inlineStr">
        <is>
          <t>Pdt dans offre</t>
        </is>
      </c>
      <c r="F12" s="48" t="inlineStr">
        <is>
          <t>Coût achat unitaire</t>
        </is>
      </c>
      <c r="G12" s="48" t="inlineStr">
        <is>
          <t>Coûts achats total</t>
        </is>
      </c>
      <c r="H12" s="48" t="inlineStr">
        <is>
          <t>Tarif revendeur unitaire</t>
        </is>
      </c>
      <c r="I12" s="48" t="inlineStr">
        <is>
          <t>Remise additionnelle</t>
        </is>
      </c>
      <c r="J12" s="48" t="inlineStr">
        <is>
          <t>PPC</t>
        </is>
      </c>
      <c r="K12" s="48" t="inlineStr">
        <is>
          <t>PPC Remisé</t>
        </is>
      </c>
      <c r="L12" s="48" t="inlineStr">
        <is>
          <t>Montant BRI</t>
        </is>
      </c>
      <c r="M12" s="220" t="inlineStr">
        <is>
          <t>CA</t>
        </is>
      </c>
      <c r="N12" s="221" t="inlineStr">
        <is>
          <t>Marges</t>
        </is>
      </c>
      <c r="O12" s="220" t="inlineStr">
        <is>
          <t>CA</t>
        </is>
      </c>
      <c r="P12" s="221" t="inlineStr">
        <is>
          <t>Marges</t>
        </is>
      </c>
      <c r="Q12" s="220" t="inlineStr">
        <is>
          <t>CA</t>
        </is>
      </c>
      <c r="R12" s="221" t="inlineStr">
        <is>
          <t>Marges</t>
        </is>
      </c>
      <c r="S12" s="220" t="inlineStr">
        <is>
          <t>CA</t>
        </is>
      </c>
      <c r="T12" s="221" t="inlineStr">
        <is>
          <t>Marges</t>
        </is>
      </c>
      <c r="U12" s="48" t="inlineStr">
        <is>
          <t>CA</t>
        </is>
      </c>
      <c r="V12" s="221" t="inlineStr">
        <is>
          <t>Marges</t>
        </is>
      </c>
      <c r="W12" s="48" t="inlineStr">
        <is>
          <t>CA</t>
        </is>
      </c>
      <c r="X12" s="48" t="inlineStr">
        <is>
          <t>Marges</t>
        </is>
      </c>
      <c r="Y12" s="220" t="inlineStr">
        <is>
          <t>CA</t>
        </is>
      </c>
      <c r="Z12" s="221" t="inlineStr">
        <is>
          <t>Marges</t>
        </is>
      </c>
      <c r="AA12" s="222" t="n"/>
      <c r="AB12" s="50" t="inlineStr">
        <is>
          <t>Nbrs Offres planifiées</t>
        </is>
      </c>
      <c r="AC12" s="50" t="inlineStr">
        <is>
          <t>CA</t>
        </is>
      </c>
      <c r="AD12" s="50" t="inlineStr">
        <is>
          <t>Marges</t>
        </is>
      </c>
      <c r="AE12" s="223" t="n"/>
    </row>
    <row r="13" ht="26.25" customHeight="1">
      <c r="A13" s="66" t="inlineStr">
        <is>
          <t>Code article</t>
        </is>
      </c>
      <c r="B13" s="66" t="inlineStr">
        <is>
          <t>Libellé article</t>
        </is>
      </c>
      <c r="C13" s="66" t="inlineStr">
        <is>
          <t>Code à barres (EAN)</t>
        </is>
      </c>
      <c r="D13" s="66" t="inlineStr">
        <is>
          <t>Typ. Prod</t>
        </is>
      </c>
      <c r="E13" s="66" t="inlineStr">
        <is>
          <t>'#</t>
        </is>
      </c>
      <c r="F13" s="66" t="inlineStr">
        <is>
          <t>'€</t>
        </is>
      </c>
      <c r="G13" s="66" t="inlineStr">
        <is>
          <t>'€</t>
        </is>
      </c>
      <c r="H13" s="66" t="inlineStr">
        <is>
          <t>'€</t>
        </is>
      </c>
      <c r="I13" s="66" t="inlineStr">
        <is>
          <t>'€</t>
        </is>
      </c>
      <c r="J13" s="66" t="inlineStr">
        <is>
          <t>'€</t>
        </is>
      </c>
      <c r="K13" s="66" t="inlineStr">
        <is>
          <t>'€</t>
        </is>
      </c>
      <c r="L13" s="66" t="inlineStr">
        <is>
          <t>'€</t>
        </is>
      </c>
      <c r="M13" s="224" t="inlineStr">
        <is>
          <t>'€</t>
        </is>
      </c>
      <c r="N13" s="225" t="inlineStr">
        <is>
          <t>'€</t>
        </is>
      </c>
      <c r="O13" s="224" t="inlineStr">
        <is>
          <t>'€</t>
        </is>
      </c>
      <c r="P13" s="225" t="inlineStr">
        <is>
          <t>'€</t>
        </is>
      </c>
      <c r="Q13" s="224" t="inlineStr">
        <is>
          <t>'€</t>
        </is>
      </c>
      <c r="R13" s="225" t="inlineStr">
        <is>
          <t>'€</t>
        </is>
      </c>
      <c r="S13" s="224" t="inlineStr">
        <is>
          <t>'€</t>
        </is>
      </c>
      <c r="T13" s="225" t="inlineStr">
        <is>
          <t>'€</t>
        </is>
      </c>
      <c r="U13" s="66" t="inlineStr">
        <is>
          <t>'€</t>
        </is>
      </c>
      <c r="V13" s="225" t="inlineStr">
        <is>
          <t>'€</t>
        </is>
      </c>
      <c r="W13" s="66" t="inlineStr">
        <is>
          <t>'€</t>
        </is>
      </c>
      <c r="X13" s="66" t="inlineStr">
        <is>
          <t>'€</t>
        </is>
      </c>
      <c r="Y13" s="226" t="inlineStr">
        <is>
          <t>'€</t>
        </is>
      </c>
      <c r="Z13" s="227" t="inlineStr">
        <is>
          <t>'€</t>
        </is>
      </c>
      <c r="AA13" s="206" t="n"/>
      <c r="AB13" s="68" t="inlineStr">
        <is>
          <t>'#</t>
        </is>
      </c>
      <c r="AC13" s="68" t="inlineStr">
        <is>
          <t>'€</t>
        </is>
      </c>
      <c r="AD13" s="68" t="inlineStr">
        <is>
          <t>'€</t>
        </is>
      </c>
      <c r="AE13" s="200" t="n"/>
    </row>
    <row r="14">
      <c r="A14" s="1" t="n"/>
      <c r="B14" s="1" t="n"/>
      <c r="C14" s="2" t="n"/>
      <c r="D14" s="1" t="n"/>
      <c r="E14" s="1" t="n"/>
      <c r="F14" s="1" t="n"/>
      <c r="G14" s="1" t="n"/>
      <c r="H14" s="1" t="n"/>
      <c r="I14" s="1" t="n"/>
      <c r="J14" s="1" t="n"/>
      <c r="M14" s="204" t="n"/>
      <c r="N14" s="205" t="n"/>
      <c r="O14" s="204" t="n"/>
      <c r="P14" s="205" t="n"/>
      <c r="Q14" s="204" t="n"/>
      <c r="R14" s="205" t="n"/>
      <c r="S14" s="204" t="n"/>
      <c r="T14" s="205" t="n"/>
      <c r="U14" s="1" t="n"/>
      <c r="V14" s="205" t="n"/>
      <c r="W14" s="1" t="n"/>
      <c r="X14" s="205" t="n"/>
      <c r="Y14" s="1" t="n"/>
      <c r="Z14" s="1" t="n"/>
      <c r="AA14" s="206" t="n"/>
      <c r="AB14" s="39" t="n"/>
      <c r="AC14" s="39" t="n"/>
      <c r="AD14" s="39" t="n"/>
      <c r="AE14" s="200" t="n"/>
    </row>
    <row r="15" ht="23.1" customHeight="1">
      <c r="A15" s="70" t="inlineStr">
        <is>
          <t>Synthèse</t>
        </is>
      </c>
      <c r="B15" s="70" t="n"/>
      <c r="C15" s="71" t="n"/>
      <c r="D15" s="70" t="n"/>
      <c r="E15" s="228">
        <f>IFERROR(SUMIFS(E17:E36,D17:D36,"Produit Vente"),"Non trouvé")</f>
        <v/>
      </c>
      <c r="F15" s="73" t="n"/>
      <c r="G15" s="73">
        <f>IFERROR(SUM(G17:G36),"Non Trouvé")</f>
        <v/>
      </c>
      <c r="H15" s="73">
        <f>IFERROR(#REF!/#REF!,"Non Trouvé")</f>
        <v/>
      </c>
      <c r="I15" s="74">
        <f>IFERROR(-(#REF!-#REF!)/#REF!,"Non Trouvé")</f>
        <v/>
      </c>
      <c r="J15" s="73">
        <f>IFERROR(SUM(J17:J36),"Non Trouvé")</f>
        <v/>
      </c>
      <c r="K15" s="73">
        <f>IFERROR(SUM(K17:K36),"Non Trouvé")</f>
        <v/>
      </c>
      <c r="L15" s="73">
        <f>IFERROR(SUM(L17:L36),"Non Trouvé")</f>
        <v/>
      </c>
      <c r="M15" s="229">
        <f>SUM(M17:M36)</f>
        <v/>
      </c>
      <c r="N15" s="230">
        <f>SUM(N17:N36)</f>
        <v/>
      </c>
      <c r="O15" s="229">
        <f>SUM(O17:O36)</f>
        <v/>
      </c>
      <c r="P15" s="230">
        <f>SUM(P17:P36)</f>
        <v/>
      </c>
      <c r="Q15" s="229">
        <f>SUM(Q17:Q36)</f>
        <v/>
      </c>
      <c r="R15" s="230">
        <f>SUM(R17:R36)</f>
        <v/>
      </c>
      <c r="S15" s="229">
        <f>SUM(S17:S36)</f>
        <v/>
      </c>
      <c r="T15" s="230">
        <f>SUM(T17:T36)</f>
        <v/>
      </c>
      <c r="U15" s="231">
        <f>SUM(U17:U36)</f>
        <v/>
      </c>
      <c r="V15" s="230">
        <f>SUM(V17:V36)</f>
        <v/>
      </c>
      <c r="W15" s="231">
        <f>SUM(W17:W36)</f>
        <v/>
      </c>
      <c r="X15" s="230">
        <f>SUM(X17:X36)</f>
        <v/>
      </c>
      <c r="Y15" s="231">
        <f>SUM(Y17:Y36)</f>
        <v/>
      </c>
      <c r="Z15" s="232">
        <f>SUM(Z17:Z36)</f>
        <v/>
      </c>
      <c r="AA15" s="233" t="n"/>
      <c r="AB15" s="72">
        <f>B4</f>
        <v/>
      </c>
      <c r="AC15" s="234">
        <f>Y15+W15+U15+S15+O15+M15+Q15</f>
        <v/>
      </c>
      <c r="AD15" s="235">
        <f>Z15+X15+V15+T15+P15+N15+R15</f>
        <v/>
      </c>
      <c r="AE15" s="236" t="n"/>
    </row>
    <row r="16">
      <c r="A16" s="1" t="n"/>
      <c r="B16" s="1" t="n"/>
      <c r="C16" s="2" t="n"/>
      <c r="D16" s="1" t="n"/>
      <c r="E16" s="1" t="n"/>
      <c r="F16" s="1" t="n"/>
      <c r="G16" s="1" t="n"/>
      <c r="H16" s="1" t="n"/>
      <c r="I16" s="1" t="n"/>
      <c r="J16" s="1" t="n"/>
      <c r="M16" s="204" t="n"/>
      <c r="N16" s="205" t="n"/>
      <c r="O16" s="204" t="n"/>
      <c r="P16" s="205" t="n"/>
      <c r="Q16" s="204" t="n"/>
      <c r="R16" s="205" t="n"/>
      <c r="S16" s="204" t="n"/>
      <c r="T16" s="205" t="n"/>
      <c r="U16" s="1" t="n"/>
      <c r="V16" s="205" t="n"/>
      <c r="W16" s="1" t="n"/>
      <c r="X16" s="205" t="n"/>
      <c r="Y16" s="1" t="n"/>
      <c r="Z16" s="1" t="n"/>
      <c r="AA16" s="206" t="n"/>
      <c r="AB16" s="39" t="n"/>
      <c r="AC16" s="39" t="n"/>
      <c r="AD16" s="39" t="n"/>
      <c r="AE16" s="200" t="n"/>
    </row>
    <row r="17" ht="15.75" customHeight="1">
      <c r="A17" s="237" t="inlineStr">
        <is>
          <t>1020720</t>
        </is>
      </c>
      <c r="B17" s="238" t="inlineStr">
        <is>
          <t>[1020720] Crème de Jour - Régénérant Intensif - 40ml</t>
        </is>
      </c>
      <c r="C17" s="239" t="inlineStr">
        <is>
          <t>4020829102972</t>
        </is>
      </c>
      <c r="D17" s="240" t="inlineStr">
        <is>
          <t>Produit Vente</t>
        </is>
      </c>
      <c r="E17" s="241" t="n">
        <v>12</v>
      </c>
      <c r="F17" s="242" t="n">
        <v>17.19</v>
      </c>
      <c r="G17" s="243">
        <f>E17*F17</f>
        <v/>
      </c>
      <c r="H17" s="242" t="n">
        <v>44.65</v>
      </c>
      <c r="I17" s="244" t="n">
        <v>0.15</v>
      </c>
      <c r="J17" s="242" t="n">
        <v>75.90000000000001</v>
      </c>
      <c r="K17" s="245">
        <f>J17*(1-I17)</f>
        <v/>
      </c>
      <c r="L17" s="246">
        <f>IFERROR(J17-K17,"")</f>
        <v/>
      </c>
      <c r="M17" s="247">
        <f>E17*H17*(1-I17)*$N$11*(1-$N$10)</f>
        <v/>
      </c>
      <c r="N17" s="248">
        <f>M17-E17*F17*$N$11</f>
        <v/>
      </c>
      <c r="O17" s="247">
        <f>E17*H17*(1-I17)*$P$11*(1-$P$10)</f>
        <v/>
      </c>
      <c r="P17" s="248">
        <f>O17-E17*F17*$P$11</f>
        <v/>
      </c>
      <c r="Q17" s="247">
        <f>E17*H17*(1-I17)*$R$11*(1-$R$10)</f>
        <v/>
      </c>
      <c r="R17" s="248">
        <f>Q17-E17*F17*$R$11</f>
        <v/>
      </c>
      <c r="S17" s="247">
        <f>E17*H17*(1-I17)*$T$11*(1-$T$10)</f>
        <v/>
      </c>
      <c r="T17" s="248">
        <f>S17-E17*F17*$T$11</f>
        <v/>
      </c>
      <c r="U17" s="249">
        <f>E17*H17*(1-I17)*$V$11*(1-$V$10)</f>
        <v/>
      </c>
      <c r="V17" s="248">
        <f>U17-E17*F17*$V$11</f>
        <v/>
      </c>
      <c r="W17" s="250">
        <f>E17*H17*(1-I17)*$X$11*(1-$X$10)</f>
        <v/>
      </c>
      <c r="X17" s="248">
        <f>W17-E17*F17*$X$11</f>
        <v/>
      </c>
      <c r="Y17" s="251">
        <f>E17*H17*(1-I17)*$Z$11*(1-$Z$10)</f>
        <v/>
      </c>
      <c r="Z17" s="252">
        <f>Y17-E17*F17*$Z$11</f>
        <v/>
      </c>
      <c r="AA17" s="253" t="n"/>
      <c r="AB17" s="101" t="n"/>
      <c r="AC17" s="102" t="n"/>
      <c r="AD17" s="102" t="n"/>
      <c r="AE17" s="254" t="n"/>
    </row>
    <row r="18" ht="15.75" customHeight="1">
      <c r="A18" s="237" t="inlineStr">
        <is>
          <t>1020202</t>
        </is>
      </c>
      <c r="B18" s="238" t="inlineStr">
        <is>
          <t>[1020202] Sérum Jour/Nuit - Régénérant - 30 ml</t>
        </is>
      </c>
      <c r="C18" s="239" t="inlineStr">
        <is>
          <t>4020829103115</t>
        </is>
      </c>
      <c r="D18" s="240" t="inlineStr">
        <is>
          <t>Produit Vente</t>
        </is>
      </c>
      <c r="E18" s="241" t="n">
        <v>10</v>
      </c>
      <c r="F18" s="242" t="n">
        <v>15.84</v>
      </c>
      <c r="G18" s="243">
        <f>E18*F18</f>
        <v/>
      </c>
      <c r="H18" s="242" t="n">
        <v>41.12</v>
      </c>
      <c r="I18" s="244" t="n">
        <v>0.15</v>
      </c>
      <c r="J18" s="242" t="n">
        <v>69.90000000000001</v>
      </c>
      <c r="K18" s="245">
        <f>J18*(1-I18)</f>
        <v/>
      </c>
      <c r="L18" s="246">
        <f>IFERROR(J18-K18,"")</f>
        <v/>
      </c>
      <c r="M18" s="247">
        <f>E18*H18*(1-I18)*$N$11*(1-$N$10)</f>
        <v/>
      </c>
      <c r="N18" s="248">
        <f>M18-E18*F18*$N$11</f>
        <v/>
      </c>
      <c r="O18" s="247">
        <f>E18*H18*(1-I18)*$P$11*(1-$P$10)</f>
        <v/>
      </c>
      <c r="P18" s="248">
        <f>O18-E18*F18*$P$11</f>
        <v/>
      </c>
      <c r="Q18" s="247">
        <f>E18*H18*(1-I18)*$R$11*(1-$R$10)</f>
        <v/>
      </c>
      <c r="R18" s="248">
        <f>Q18-E18*F18*$R$11</f>
        <v/>
      </c>
      <c r="S18" s="247">
        <f>E18*H18*(1-I18)*$T$11*(1-$T$10)</f>
        <v/>
      </c>
      <c r="T18" s="248">
        <f>S18-E18*F18*$T$11</f>
        <v/>
      </c>
      <c r="U18" s="249">
        <f>E18*H18*(1-I18)*$V$11*(1-$V$10)</f>
        <v/>
      </c>
      <c r="V18" s="248">
        <f>U18-E18*F18*$V$11</f>
        <v/>
      </c>
      <c r="W18" s="250">
        <f>E18*H18*(1-I18)*$X$11*(1-$X$10)</f>
        <v/>
      </c>
      <c r="X18" s="248">
        <f>W18-E18*F18*$X$11</f>
        <v/>
      </c>
      <c r="Y18" s="251">
        <f>E18*H18*(1-I18)*$Z$11*(1-$Z$10)</f>
        <v/>
      </c>
      <c r="Z18" s="252">
        <f>Y18-E18*F18*$Z$11</f>
        <v/>
      </c>
      <c r="AA18" s="255" t="n"/>
      <c r="AB18" s="256" t="n"/>
      <c r="AC18" s="257" t="n"/>
      <c r="AD18" s="121" t="n"/>
      <c r="AE18" s="254" t="n"/>
    </row>
    <row r="19" ht="15.75" customHeight="1">
      <c r="A19" s="237" t="inlineStr">
        <is>
          <t>1020301</t>
        </is>
      </c>
      <c r="B19" s="238" t="inlineStr">
        <is>
          <t>[1020301] Crème de Jour - Régénérant - 40 ml</t>
        </is>
      </c>
      <c r="C19" s="239" t="inlineStr">
        <is>
          <t>4020829007383</t>
        </is>
      </c>
      <c r="D19" s="240" t="inlineStr">
        <is>
          <t>Produit Vente</t>
        </is>
      </c>
      <c r="E19" s="241" t="n">
        <v>10</v>
      </c>
      <c r="F19" s="242" t="n">
        <v>14.8</v>
      </c>
      <c r="G19" s="243">
        <f>E19*F19</f>
        <v/>
      </c>
      <c r="H19" s="242" t="n">
        <v>38.53</v>
      </c>
      <c r="I19" s="244" t="n">
        <v>0.15</v>
      </c>
      <c r="J19" s="242" t="n">
        <v>65.5</v>
      </c>
      <c r="K19" s="245">
        <f>J19*(1-I19)</f>
        <v/>
      </c>
      <c r="L19" s="246">
        <f>IFERROR(J19-K19,"")</f>
        <v/>
      </c>
      <c r="M19" s="247">
        <f>E19*H19*(1-I19)*$N$11*(1-$N$10)</f>
        <v/>
      </c>
      <c r="N19" s="248">
        <f>M19-E19*F19*$N$11</f>
        <v/>
      </c>
      <c r="O19" s="247">
        <f>E19*H19*(1-I19)*$P$11*(1-$P$10)</f>
        <v/>
      </c>
      <c r="P19" s="248">
        <f>O19-E19*F19*$P$11</f>
        <v/>
      </c>
      <c r="Q19" s="247">
        <f>E19*H19*(1-I19)*$R$11*(1-$R$10)</f>
        <v/>
      </c>
      <c r="R19" s="248">
        <f>Q19-E19*F19*$R$11</f>
        <v/>
      </c>
      <c r="S19" s="247">
        <f>E19*H19*(1-I19)*$T$11*(1-$T$10)</f>
        <v/>
      </c>
      <c r="T19" s="248">
        <f>S19-E19*F19*$T$11</f>
        <v/>
      </c>
      <c r="U19" s="249">
        <f>E19*H19*(1-I19)*$V$11*(1-$V$10)</f>
        <v/>
      </c>
      <c r="V19" s="248">
        <f>U19-E19*F19*$V$11</f>
        <v/>
      </c>
      <c r="W19" s="250">
        <f>E19*H19*(1-I19)*$X$11*(1-$X$10)</f>
        <v/>
      </c>
      <c r="X19" s="248">
        <f>W19-E19*F19*$X$11</f>
        <v/>
      </c>
      <c r="Y19" s="251">
        <f>E19*H19*(1-I19)*$Z$11*(1-$Z$10)</f>
        <v/>
      </c>
      <c r="Z19" s="252">
        <f>Y19-E19*F19*$Z$11</f>
        <v/>
      </c>
      <c r="AA19" s="255" t="n"/>
      <c r="AB19" s="256" t="n"/>
      <c r="AC19" s="257" t="n"/>
      <c r="AD19" s="123" t="n"/>
      <c r="AE19" s="254" t="n"/>
    </row>
    <row r="20">
      <c r="A20" s="237" t="inlineStr">
        <is>
          <t>1020718</t>
        </is>
      </c>
      <c r="B20" s="238" t="inlineStr">
        <is>
          <t>[1020718] Sérum de Nuit - Régénérant Intensif - 30 ml</t>
        </is>
      </c>
      <c r="C20" s="239" t="inlineStr">
        <is>
          <t>4020829101111</t>
        </is>
      </c>
      <c r="D20" s="240" t="inlineStr">
        <is>
          <t>Produit Vente</t>
        </is>
      </c>
      <c r="E20" s="241" t="n">
        <v>7</v>
      </c>
      <c r="F20" s="242" t="n">
        <v>18.28</v>
      </c>
      <c r="G20" s="243">
        <f>E20*F20</f>
        <v/>
      </c>
      <c r="H20" s="242" t="n">
        <v>46.76</v>
      </c>
      <c r="I20" s="244" t="n">
        <v>0.15</v>
      </c>
      <c r="J20" s="242" t="n">
        <v>79.5</v>
      </c>
      <c r="K20" s="245">
        <f>J20*(1-I20)</f>
        <v/>
      </c>
      <c r="L20" s="246">
        <f>IFERROR(J20-K20,"")</f>
        <v/>
      </c>
      <c r="M20" s="247">
        <f>E20*H20*(1-I20)*$N$11*(1-$N$10)</f>
        <v/>
      </c>
      <c r="N20" s="248">
        <f>M20-E20*F20*$N$11</f>
        <v/>
      </c>
      <c r="O20" s="247">
        <f>E20*H20*(1-I20)*$P$11*(1-$P$10)</f>
        <v/>
      </c>
      <c r="P20" s="248">
        <f>O20-E20*F20*$P$11</f>
        <v/>
      </c>
      <c r="Q20" s="247">
        <f>E20*H20*(1-I20)*$R$11*(1-$R$10)</f>
        <v/>
      </c>
      <c r="R20" s="248">
        <f>Q20-E20*F20*$R$11</f>
        <v/>
      </c>
      <c r="S20" s="247">
        <f>E20*H20*(1-I20)*$T$11*(1-$T$10)</f>
        <v/>
      </c>
      <c r="T20" s="248">
        <f>S20-E20*F20*$T$11</f>
        <v/>
      </c>
      <c r="U20" s="249">
        <f>E20*H20*(1-I20)*$V$11*(1-$V$10)</f>
        <v/>
      </c>
      <c r="V20" s="248">
        <f>U20-E20*F20*$V$11</f>
        <v/>
      </c>
      <c r="W20" s="250">
        <f>E20*H20*(1-I20)*$X$11*(1-$X$10)</f>
        <v/>
      </c>
      <c r="X20" s="248">
        <f>W20-E20*F20*$X$11</f>
        <v/>
      </c>
      <c r="Y20" s="251">
        <f>E20*H20*(1-I20)*$Z$11*(1-$Z$10)</f>
        <v/>
      </c>
      <c r="Z20" s="252">
        <f>Y20-E20*F20*$Z$11</f>
        <v/>
      </c>
      <c r="AA20" s="253" t="n"/>
      <c r="AB20" s="101" t="n"/>
      <c r="AC20" s="102" t="n"/>
      <c r="AD20" s="102" t="n"/>
      <c r="AE20" s="254" t="n"/>
    </row>
    <row r="21">
      <c r="A21" s="237" t="inlineStr">
        <is>
          <t>1020401</t>
        </is>
      </c>
      <c r="B21" s="238" t="inlineStr">
        <is>
          <t>[1020401] Crème Contour des Yeux - Régénérant - 15 ml</t>
        </is>
      </c>
      <c r="C21" s="239" t="inlineStr">
        <is>
          <t>4020829013919</t>
        </is>
      </c>
      <c r="D21" s="240" t="inlineStr">
        <is>
          <t>Produit Vente</t>
        </is>
      </c>
      <c r="E21" s="241" t="n">
        <v>4</v>
      </c>
      <c r="F21" s="242" t="n">
        <v>15.34</v>
      </c>
      <c r="G21" s="243">
        <f>E21*F21</f>
        <v/>
      </c>
      <c r="H21" s="242" t="n">
        <v>39.71</v>
      </c>
      <c r="I21" s="244" t="n">
        <v>0.15</v>
      </c>
      <c r="J21" s="242" t="n">
        <v>67.5</v>
      </c>
      <c r="K21" s="245">
        <f>J21*(1-I21)</f>
        <v/>
      </c>
      <c r="L21" s="246">
        <f>IFERROR(J21-K21,"")</f>
        <v/>
      </c>
      <c r="M21" s="247">
        <f>E21*H21*(1-I21)*$N$11*(1-$N$10)</f>
        <v/>
      </c>
      <c r="N21" s="248">
        <f>M21-E21*F21*$N$11</f>
        <v/>
      </c>
      <c r="O21" s="247">
        <f>E21*H21*(1-I21)*$P$11*(1-$P$10)</f>
        <v/>
      </c>
      <c r="P21" s="248">
        <f>O21-E21*F21*$P$11</f>
        <v/>
      </c>
      <c r="Q21" s="247">
        <f>E21*H21*(1-I21)*$R$11*(1-$R$10)</f>
        <v/>
      </c>
      <c r="R21" s="248">
        <f>Q21-E21*F21*$R$11</f>
        <v/>
      </c>
      <c r="S21" s="247">
        <f>E21*H21*(1-I21)*$T$11*(1-$T$10)</f>
        <v/>
      </c>
      <c r="T21" s="248">
        <f>S21-E21*F21*$T$11</f>
        <v/>
      </c>
      <c r="U21" s="249">
        <f>E21*H21*(1-I21)*$V$11*(1-$V$10)</f>
        <v/>
      </c>
      <c r="V21" s="248">
        <f>U21-E21*F21*$V$11</f>
        <v/>
      </c>
      <c r="W21" s="250">
        <f>E21*H21*(1-I21)*$X$11*(1-$X$10)</f>
        <v/>
      </c>
      <c r="X21" s="248">
        <f>W21-E21*F21*$X$11</f>
        <v/>
      </c>
      <c r="Y21" s="251">
        <f>E21*H21*(1-I21)*$Z$11*(1-$Z$10)</f>
        <v/>
      </c>
      <c r="Z21" s="252">
        <f>Y21-E21*F21*$Z$11</f>
        <v/>
      </c>
      <c r="AA21" s="253" t="n"/>
      <c r="AB21" s="101" t="n"/>
      <c r="AC21" s="93" t="n"/>
      <c r="AD21" s="125" t="n"/>
      <c r="AE21" s="254" t="n"/>
    </row>
    <row r="22">
      <c r="A22" s="237" t="inlineStr">
        <is>
          <t>1020310</t>
        </is>
      </c>
      <c r="B22" s="238" t="inlineStr">
        <is>
          <t>[1020310] Crème de Jour Eclat du Teint - Régénérant - 40 ml</t>
        </is>
      </c>
      <c r="C22" s="239" t="inlineStr">
        <is>
          <t>4020829060999</t>
        </is>
      </c>
      <c r="D22" s="240" t="inlineStr">
        <is>
          <t>Produit Vente</t>
        </is>
      </c>
      <c r="E22" s="241" t="n">
        <v>3</v>
      </c>
      <c r="F22" s="242" t="n">
        <v>16.22</v>
      </c>
      <c r="G22" s="243">
        <f>E22*F22</f>
        <v/>
      </c>
      <c r="H22" s="242" t="n">
        <v>41.12</v>
      </c>
      <c r="I22" s="244" t="n">
        <v>0.15</v>
      </c>
      <c r="J22" s="242" t="n">
        <v>69.90000000000001</v>
      </c>
      <c r="K22" s="245">
        <f>J22*(1-I22)</f>
        <v/>
      </c>
      <c r="L22" s="246">
        <f>IFERROR(J22-K22,"")</f>
        <v/>
      </c>
      <c r="M22" s="247">
        <f>E22*H22*(1-I22)*$N$11*(1-$N$10)</f>
        <v/>
      </c>
      <c r="N22" s="248">
        <f>M22-E22*F22*$N$11</f>
        <v/>
      </c>
      <c r="O22" s="247">
        <f>E22*H22*(1-I22)*$P$11*(1-$P$10)</f>
        <v/>
      </c>
      <c r="P22" s="248">
        <f>O22-E22*F22*$P$11</f>
        <v/>
      </c>
      <c r="Q22" s="247">
        <f>E22*H22*(1-I22)*$R$11*(1-$R$10)</f>
        <v/>
      </c>
      <c r="R22" s="248">
        <f>Q22-E22*F22*$R$11</f>
        <v/>
      </c>
      <c r="S22" s="247">
        <f>E22*H22*(1-I22)*$T$11*(1-$T$10)</f>
        <v/>
      </c>
      <c r="T22" s="248">
        <f>S22-E22*F22*$T$11</f>
        <v/>
      </c>
      <c r="U22" s="249">
        <f>E22*H22*(1-I22)*$V$11*(1-$V$10)</f>
        <v/>
      </c>
      <c r="V22" s="248">
        <f>U22-E22*F22*$V$11</f>
        <v/>
      </c>
      <c r="W22" s="250">
        <f>E22*H22*(1-I22)*$X$11*(1-$X$10)</f>
        <v/>
      </c>
      <c r="X22" s="248">
        <f>W22-E22*F22*$X$11</f>
        <v/>
      </c>
      <c r="Y22" s="251">
        <f>E22*H22*(1-I22)*$Z$11*(1-$Z$10)</f>
        <v/>
      </c>
      <c r="Z22" s="252">
        <f>Y22-E22*F22*$Z$11</f>
        <v/>
      </c>
      <c r="AA22" s="253" t="n"/>
      <c r="AB22" s="101" t="n"/>
      <c r="AC22" s="93" t="n"/>
      <c r="AD22" s="125" t="n"/>
      <c r="AE22" s="254" t="n"/>
    </row>
    <row r="23">
      <c r="A23" s="237" t="inlineStr">
        <is>
          <t>1020717</t>
        </is>
      </c>
      <c r="B23" s="238" t="inlineStr">
        <is>
          <t>[1020717] Sérum Contour des Yeux - Régénérant Intensif -15 ml</t>
        </is>
      </c>
      <c r="C23" s="239" t="inlineStr">
        <is>
          <t>4020829101067</t>
        </is>
      </c>
      <c r="D23" s="240" t="inlineStr">
        <is>
          <t>Produit Vente</t>
        </is>
      </c>
      <c r="E23" s="241" t="n">
        <v>3</v>
      </c>
      <c r="F23" s="242" t="n">
        <v>17.64</v>
      </c>
      <c r="G23" s="243">
        <f>E23*F23</f>
        <v/>
      </c>
      <c r="H23" s="242" t="n">
        <v>44.12</v>
      </c>
      <c r="I23" s="244" t="n">
        <v>0.15</v>
      </c>
      <c r="J23" s="242" t="n">
        <v>75</v>
      </c>
      <c r="K23" s="245">
        <f>J23*(1-I23)</f>
        <v/>
      </c>
      <c r="L23" s="246">
        <f>IFERROR(J23-K23,"")</f>
        <v/>
      </c>
      <c r="M23" s="247">
        <f>E23*H23*(1-I23)*$N$11*(1-$N$10)</f>
        <v/>
      </c>
      <c r="N23" s="248">
        <f>M23-E23*F23*$N$11</f>
        <v/>
      </c>
      <c r="O23" s="247">
        <f>E23*H23*(1-I23)*$P$11*(1-$P$10)</f>
        <v/>
      </c>
      <c r="P23" s="248">
        <f>O23-E23*F23*$P$11</f>
        <v/>
      </c>
      <c r="Q23" s="247">
        <f>E23*H23*(1-I23)*$R$11*(1-$R$10)</f>
        <v/>
      </c>
      <c r="R23" s="248">
        <f>Q23-E23*F23*$R$11</f>
        <v/>
      </c>
      <c r="S23" s="247">
        <f>E23*H23*(1-I23)*$T$11*(1-$T$10)</f>
        <v/>
      </c>
      <c r="T23" s="248">
        <f>S23-E23*F23*$T$11</f>
        <v/>
      </c>
      <c r="U23" s="249">
        <f>E23*H23*(1-I23)*$V$11*(1-$V$10)</f>
        <v/>
      </c>
      <c r="V23" s="248">
        <f>U23-E23*F23*$V$11</f>
        <v/>
      </c>
      <c r="W23" s="250">
        <f>E23*H23*(1-I23)*$X$11*(1-$X$10)</f>
        <v/>
      </c>
      <c r="X23" s="248">
        <f>W23-E23*F23*$X$11</f>
        <v/>
      </c>
      <c r="Y23" s="251">
        <f>E23*H23*(1-I23)*$Z$11*(1-$Z$10)</f>
        <v/>
      </c>
      <c r="Z23" s="252">
        <f>Y23-E23*F23*$Z$11</f>
        <v/>
      </c>
      <c r="AA23" s="253" t="n"/>
      <c r="AB23" s="101" t="n"/>
      <c r="AC23" s="93" t="n"/>
      <c r="AD23" s="125" t="n"/>
      <c r="AE23" s="254" t="n"/>
    </row>
    <row r="24">
      <c r="A24" s="237" t="inlineStr">
        <is>
          <t>1020719</t>
        </is>
      </c>
      <c r="B24" s="238" t="inlineStr">
        <is>
          <t>[1020719] Huile Fortifiante - Régénérant Intensif - 20ml</t>
        </is>
      </c>
      <c r="C24" s="239" t="inlineStr">
        <is>
          <t>4020829103030</t>
        </is>
      </c>
      <c r="D24" s="240" t="inlineStr">
        <is>
          <t>Produit Vente</t>
        </is>
      </c>
      <c r="E24" s="241" t="n">
        <v>2</v>
      </c>
      <c r="F24" s="242" t="n">
        <v>18.42</v>
      </c>
      <c r="G24" s="243">
        <f>E24*F24</f>
        <v/>
      </c>
      <c r="H24" s="242" t="n">
        <v>46.77</v>
      </c>
      <c r="I24" s="244" t="n">
        <v>0.15</v>
      </c>
      <c r="J24" s="242" t="n">
        <v>79.5</v>
      </c>
      <c r="K24" s="245">
        <f>J24*(1-I24)</f>
        <v/>
      </c>
      <c r="L24" s="246">
        <f>IFERROR(J24-K24,"")</f>
        <v/>
      </c>
      <c r="M24" s="247">
        <f>E24*H24*(1-I24)*$N$11*(1-$N$10)</f>
        <v/>
      </c>
      <c r="N24" s="248">
        <f>M24-E24*F24*$N$11</f>
        <v/>
      </c>
      <c r="O24" s="247">
        <f>E24*H24*(1-I24)*$P$11*(1-$P$10)</f>
        <v/>
      </c>
      <c r="P24" s="248">
        <f>O24-E24*F24*$P$11</f>
        <v/>
      </c>
      <c r="Q24" s="247">
        <f>E24*H24*(1-I24)*$R$11*(1-$R$10)</f>
        <v/>
      </c>
      <c r="R24" s="248">
        <f>Q24-E24*F24*$R$11</f>
        <v/>
      </c>
      <c r="S24" s="247">
        <f>E24*H24*(1-I24)*$T$11*(1-$T$10)</f>
        <v/>
      </c>
      <c r="T24" s="248">
        <f>S24-E24*F24*$T$11</f>
        <v/>
      </c>
      <c r="U24" s="249">
        <f>E24*H24*(1-I24)*$V$11*(1-$V$10)</f>
        <v/>
      </c>
      <c r="V24" s="248">
        <f>U24-E24*F24*$V$11</f>
        <v/>
      </c>
      <c r="W24" s="250">
        <f>E24*H24*(1-I24)*$X$11*(1-$X$10)</f>
        <v/>
      </c>
      <c r="X24" s="248">
        <f>W24-E24*F24*$X$11</f>
        <v/>
      </c>
      <c r="Y24" s="251">
        <f>E24*H24*(1-I24)*$Z$11*(1-$Z$10)</f>
        <v/>
      </c>
      <c r="Z24" s="252">
        <f>Y24-E24*F24*$Z$11</f>
        <v/>
      </c>
      <c r="AA24" s="253" t="n"/>
      <c r="AB24" s="101" t="n"/>
      <c r="AC24" s="93" t="n"/>
      <c r="AD24" s="125" t="n"/>
      <c r="AE24" s="254" t="n"/>
    </row>
    <row r="25">
      <c r="A25" s="237" t="inlineStr">
        <is>
          <t>1020302</t>
        </is>
      </c>
      <c r="B25" s="238" t="inlineStr">
        <is>
          <t>[1020302] Crème Cou et Décolleté - Régénérant - 40 ml</t>
        </is>
      </c>
      <c r="C25" s="239" t="inlineStr">
        <is>
          <t>4020829008366</t>
        </is>
      </c>
      <c r="D25" s="240" t="inlineStr">
        <is>
          <t>Produit Vente</t>
        </is>
      </c>
      <c r="E25" s="241" t="n">
        <v>2</v>
      </c>
      <c r="F25" s="242" t="n">
        <v>13.77</v>
      </c>
      <c r="G25" s="243">
        <f>E25*F25</f>
        <v/>
      </c>
      <c r="H25" s="242" t="n">
        <v>35.88</v>
      </c>
      <c r="I25" s="244" t="n">
        <v>0.15</v>
      </c>
      <c r="J25" s="242" t="n">
        <v>61</v>
      </c>
      <c r="K25" s="245">
        <f>J25*(1-I25)</f>
        <v/>
      </c>
      <c r="L25" s="246">
        <f>IFERROR(J25-K25,"")</f>
        <v/>
      </c>
      <c r="M25" s="247">
        <f>E25*H25*(1-I25)*$N$11*(1-$N$10)</f>
        <v/>
      </c>
      <c r="N25" s="248">
        <f>M25-E25*F25*$N$11</f>
        <v/>
      </c>
      <c r="O25" s="247">
        <f>E25*H25*(1-I25)*$P$11*(1-$P$10)</f>
        <v/>
      </c>
      <c r="P25" s="248">
        <f>O25-E25*F25*$P$11</f>
        <v/>
      </c>
      <c r="Q25" s="247">
        <f>E25*H25*(1-I25)*$R$11*(1-$R$10)</f>
        <v/>
      </c>
      <c r="R25" s="248">
        <f>Q25-E25*F25*$R$11</f>
        <v/>
      </c>
      <c r="S25" s="247">
        <f>E25*H25*(1-I25)*$T$11*(1-$T$10)</f>
        <v/>
      </c>
      <c r="T25" s="248">
        <f>S25-E25*F25*$T$11</f>
        <v/>
      </c>
      <c r="U25" s="249">
        <f>E25*H25*(1-I25)*$V$11*(1-$V$10)</f>
        <v/>
      </c>
      <c r="V25" s="248">
        <f>U25-E25*F25*$V$11</f>
        <v/>
      </c>
      <c r="W25" s="250">
        <f>E25*H25*(1-I25)*$X$11*(1-$X$10)</f>
        <v/>
      </c>
      <c r="X25" s="248">
        <f>W25-E25*F25*$X$11</f>
        <v/>
      </c>
      <c r="Y25" s="251">
        <f>E25*H25*(1-I25)*$Z$11*(1-$Z$10)</f>
        <v/>
      </c>
      <c r="Z25" s="252">
        <f>Y25-E25*F25*$Z$11</f>
        <v/>
      </c>
      <c r="AA25" s="253" t="n"/>
      <c r="AB25" s="101" t="n"/>
      <c r="AC25" s="102" t="n"/>
      <c r="AD25" s="102" t="n"/>
      <c r="AE25" s="254" t="n"/>
    </row>
    <row r="26">
      <c r="A26" s="237" t="inlineStr">
        <is>
          <t>1020107</t>
        </is>
      </c>
      <c r="B26" s="238" t="inlineStr">
        <is>
          <t>[1020107] Lait pour le Corps - Régénérant - 150 ml</t>
        </is>
      </c>
      <c r="C26" s="239" t="inlineStr">
        <is>
          <t>4020829103160</t>
        </is>
      </c>
      <c r="D26" s="240" t="inlineStr">
        <is>
          <t>Produit Vente</t>
        </is>
      </c>
      <c r="E26" s="241" t="n">
        <v>2</v>
      </c>
      <c r="F26" s="242" t="n">
        <v>10.34</v>
      </c>
      <c r="G26" s="243">
        <f>E26*F26</f>
        <v/>
      </c>
      <c r="H26" s="242" t="n">
        <v>26.12</v>
      </c>
      <c r="I26" s="244" t="n">
        <v>0.15</v>
      </c>
      <c r="J26" s="242" t="n">
        <v>44.4</v>
      </c>
      <c r="K26" s="245">
        <f>J26*(1-I26)</f>
        <v/>
      </c>
      <c r="L26" s="246">
        <f>IFERROR(J26-K26,"")</f>
        <v/>
      </c>
      <c r="M26" s="247">
        <f>E26*H26*(1-I26)*$N$11*(1-$N$10)</f>
        <v/>
      </c>
      <c r="N26" s="248">
        <f>M26-E26*F26*$N$11</f>
        <v/>
      </c>
      <c r="O26" s="247">
        <f>E26*H26*(1-I26)*$P$11*(1-$P$10)</f>
        <v/>
      </c>
      <c r="P26" s="248">
        <f>O26-E26*F26*$P$11</f>
        <v/>
      </c>
      <c r="Q26" s="247">
        <f>E26*H26*(1-I26)*$R$11*(1-$R$10)</f>
        <v/>
      </c>
      <c r="R26" s="248">
        <f>Q26-E26*F26*$R$11</f>
        <v/>
      </c>
      <c r="S26" s="247">
        <f>E26*H26*(1-I26)*$T$11*(1-$T$10)</f>
        <v/>
      </c>
      <c r="T26" s="248">
        <f>S26-E26*F26*$T$11</f>
        <v/>
      </c>
      <c r="U26" s="249">
        <f>E26*H26*(1-I26)*$V$11*(1-$V$10)</f>
        <v/>
      </c>
      <c r="V26" s="248">
        <f>U26-E26*F26*$V$11</f>
        <v/>
      </c>
      <c r="W26" s="250">
        <f>E26*H26*(1-I26)*$X$11*(1-$X$10)</f>
        <v/>
      </c>
      <c r="X26" s="248">
        <f>W26-E26*F26*$X$11</f>
        <v/>
      </c>
      <c r="Y26" s="251">
        <f>E26*H26*(1-I26)*$Z$11*(1-$Z$10)</f>
        <v/>
      </c>
      <c r="Z26" s="252">
        <f>Y26-E26*F26*$Z$11</f>
        <v/>
      </c>
      <c r="AA26" s="253" t="n"/>
      <c r="AB26" s="101" t="n"/>
      <c r="AC26" s="102" t="n"/>
      <c r="AD26" s="102" t="n"/>
      <c r="AE26" s="254" t="n"/>
    </row>
    <row r="27">
      <c r="A27" s="237" t="inlineStr">
        <is>
          <t>1020721</t>
        </is>
      </c>
      <c r="B27" s="238" t="inlineStr">
        <is>
          <t>[1020721] Cure Intensive Fortifiante - Régénérant - 40ml</t>
        </is>
      </c>
      <c r="C27" s="239" t="inlineStr">
        <is>
          <t>4020829102941</t>
        </is>
      </c>
      <c r="D27" s="240" t="inlineStr">
        <is>
          <t>Produit Vente</t>
        </is>
      </c>
      <c r="E27" s="241" t="n">
        <v>1</v>
      </c>
      <c r="F27" s="242" t="n">
        <v>16.71</v>
      </c>
      <c r="G27" s="243">
        <f>E27*F27</f>
        <v/>
      </c>
      <c r="H27" s="242" t="n">
        <v>42.88</v>
      </c>
      <c r="I27" s="244" t="n">
        <v>0.15</v>
      </c>
      <c r="J27" s="242" t="n">
        <v>72.90000000000001</v>
      </c>
      <c r="K27" s="245">
        <f>J27*(1-I27)</f>
        <v/>
      </c>
      <c r="L27" s="246">
        <f>IFERROR(J27-K27,"")</f>
        <v/>
      </c>
      <c r="M27" s="247">
        <f>E27*H27*(1-I27)*$N$11*(1-$N$10)</f>
        <v/>
      </c>
      <c r="N27" s="248">
        <f>M27-E27*F27*$N$11</f>
        <v/>
      </c>
      <c r="O27" s="247">
        <f>E27*H27*(1-I27)*$P$11*(1-$P$10)</f>
        <v/>
      </c>
      <c r="P27" s="248">
        <f>O27-E27*F27*$P$11</f>
        <v/>
      </c>
      <c r="Q27" s="247">
        <f>E27*H27*(1-I27)*$R$11*(1-$R$10)</f>
        <v/>
      </c>
      <c r="R27" s="248">
        <f>Q27-E27*F27*$R$11</f>
        <v/>
      </c>
      <c r="S27" s="247">
        <f>E27*H27*(1-I27)*$T$11*(1-$T$10)</f>
        <v/>
      </c>
      <c r="T27" s="248">
        <f>S27-E27*F27*$T$11</f>
        <v/>
      </c>
      <c r="U27" s="249">
        <f>E27*H27*(1-I27)*$V$11*(1-$V$10)</f>
        <v/>
      </c>
      <c r="V27" s="248">
        <f>U27-E27*F27*$V$11</f>
        <v/>
      </c>
      <c r="W27" s="250">
        <f>E27*H27*(1-I27)*$X$11*(1-$X$10)</f>
        <v/>
      </c>
      <c r="X27" s="248">
        <f>W27-E27*F27*$X$11</f>
        <v/>
      </c>
      <c r="Y27" s="251">
        <f>E27*H27*(1-I27)*$Z$11*(1-$Z$10)</f>
        <v/>
      </c>
      <c r="Z27" s="252">
        <f>Y27-E27*F27*$Z$11</f>
        <v/>
      </c>
      <c r="AA27" s="253" t="n"/>
      <c r="AB27" s="101" t="n"/>
      <c r="AC27" s="102" t="n"/>
      <c r="AD27" s="102" t="n"/>
      <c r="AE27" s="254" t="n"/>
    </row>
    <row r="28">
      <c r="A28" s="237" t="inlineStr">
        <is>
          <t>1020722</t>
        </is>
      </c>
      <c r="B28" s="238" t="inlineStr">
        <is>
          <t>[1020722] Cure Intensive Rééquilibrante - Régénérant Intensif - 40ml</t>
        </is>
      </c>
      <c r="C28" s="239" t="inlineStr">
        <is>
          <t>4020829102934</t>
        </is>
      </c>
      <c r="D28" s="240" t="inlineStr">
        <is>
          <t>Produit Vente</t>
        </is>
      </c>
      <c r="E28" s="241" t="n">
        <v>1</v>
      </c>
      <c r="F28" s="242" t="n">
        <v>16.71</v>
      </c>
      <c r="G28" s="243">
        <f>E28*F28</f>
        <v/>
      </c>
      <c r="H28" s="242" t="n">
        <v>42.88</v>
      </c>
      <c r="I28" s="244" t="n">
        <v>0.15</v>
      </c>
      <c r="J28" s="242" t="n">
        <v>72.90000000000001</v>
      </c>
      <c r="K28" s="245">
        <f>J28*(1-I28)</f>
        <v/>
      </c>
      <c r="L28" s="246">
        <f>IFERROR(J28-K28,"")</f>
        <v/>
      </c>
      <c r="M28" s="247">
        <f>E28*H28*(1-I28)*$N$11*(1-$N$10)</f>
        <v/>
      </c>
      <c r="N28" s="248">
        <f>M28-E28*F28*$N$11</f>
        <v/>
      </c>
      <c r="O28" s="247">
        <f>E28*H28*(1-I28)*$P$11*(1-$P$10)</f>
        <v/>
      </c>
      <c r="P28" s="248">
        <f>O28-E28*F28*$P$11</f>
        <v/>
      </c>
      <c r="Q28" s="247">
        <f>E28*H28*(1-I28)*$R$11*(1-$R$10)</f>
        <v/>
      </c>
      <c r="R28" s="248">
        <f>Q28-E28*F28*$R$11</f>
        <v/>
      </c>
      <c r="S28" s="247">
        <f>E28*H28*(1-I28)*$T$11*(1-$T$10)</f>
        <v/>
      </c>
      <c r="T28" s="248">
        <f>S28-E28*F28*$T$11</f>
        <v/>
      </c>
      <c r="U28" s="249">
        <f>E28*H28*(1-I28)*$V$11*(1-$V$10)</f>
        <v/>
      </c>
      <c r="V28" s="248">
        <f>U28-E28*F28*$V$11</f>
        <v/>
      </c>
      <c r="W28" s="250">
        <f>E28*H28*(1-I28)*$X$11*(1-$X$10)</f>
        <v/>
      </c>
      <c r="X28" s="248">
        <f>W28-E28*F28*$X$11</f>
        <v/>
      </c>
      <c r="Y28" s="251">
        <f>E28*H28*(1-I28)*$Z$11*(1-$Z$10)</f>
        <v/>
      </c>
      <c r="Z28" s="252">
        <f>Y28-E28*F28*$Z$11</f>
        <v/>
      </c>
      <c r="AA28" s="253" t="n"/>
      <c r="AB28" s="101" t="n"/>
      <c r="AC28" s="102" t="n"/>
      <c r="AD28" s="102" t="n"/>
      <c r="AE28" s="254" t="n"/>
    </row>
    <row r="29">
      <c r="A29" s="237" t="inlineStr">
        <is>
          <t>1020102</t>
        </is>
      </c>
      <c r="B29" s="238" t="inlineStr">
        <is>
          <t>[1020102] Crème pour les Mains - Régénérant - 50 ml</t>
        </is>
      </c>
      <c r="C29" s="239" t="inlineStr">
        <is>
          <t>4020829049666</t>
        </is>
      </c>
      <c r="D29" s="240" t="inlineStr">
        <is>
          <t>Produit Vente</t>
        </is>
      </c>
      <c r="E29" s="241" t="n">
        <v>2</v>
      </c>
      <c r="F29" s="242" t="n">
        <v>6.48</v>
      </c>
      <c r="G29" s="243">
        <f>E29*F29</f>
        <v/>
      </c>
      <c r="H29" s="242" t="n">
        <v>17.35</v>
      </c>
      <c r="I29" s="244" t="n">
        <v>0.15</v>
      </c>
      <c r="J29" s="242" t="n">
        <v>29.5</v>
      </c>
      <c r="K29" s="245">
        <f>J29*(1-I29)</f>
        <v/>
      </c>
      <c r="L29" s="246">
        <f>IFERROR(J29-K29,"")</f>
        <v/>
      </c>
      <c r="M29" s="247">
        <f>E29*H29*(1-I29)*$N$11*(1-$N$10)</f>
        <v/>
      </c>
      <c r="N29" s="248">
        <f>M29-E29*F29*$N$11</f>
        <v/>
      </c>
      <c r="O29" s="247">
        <f>E29*H29*(1-I29)*$P$11*(1-$P$10)</f>
        <v/>
      </c>
      <c r="P29" s="248">
        <f>O29-E29*F29*$P$11</f>
        <v/>
      </c>
      <c r="Q29" s="247">
        <f>E29*H29*(1-I29)*$R$11*(1-$R$10)</f>
        <v/>
      </c>
      <c r="R29" s="248">
        <f>Q29-E29*F29*$R$11</f>
        <v/>
      </c>
      <c r="S29" s="247">
        <f>E29*H29*(1-I29)*$T$11*(1-$T$10)</f>
        <v/>
      </c>
      <c r="T29" s="248">
        <f>S29-E29*F29*$T$11</f>
        <v/>
      </c>
      <c r="U29" s="249">
        <f>E29*H29*(1-I29)*$V$11*(1-$V$10)</f>
        <v/>
      </c>
      <c r="V29" s="248">
        <f>U29-E29*F29*$V$11</f>
        <v/>
      </c>
      <c r="W29" s="250">
        <f>E29*H29*(1-I29)*$X$11*(1-$X$10)</f>
        <v/>
      </c>
      <c r="X29" s="248">
        <f>W29-E29*F29*$X$11</f>
        <v/>
      </c>
      <c r="Y29" s="251">
        <f>E29*H29*(1-I29)*$Z$11*(1-$Z$10)</f>
        <v/>
      </c>
      <c r="Z29" s="252">
        <f>Y29-E29*F29*$Z$11</f>
        <v/>
      </c>
      <c r="AA29" s="253" t="n"/>
      <c r="AB29" s="101" t="n"/>
      <c r="AC29" s="133" t="n"/>
      <c r="AD29" s="102" t="n"/>
      <c r="AE29" s="254" t="n"/>
    </row>
    <row r="30">
      <c r="A30" s="258" t="inlineStr">
        <is>
          <t>7000431</t>
        </is>
      </c>
      <c r="B30" s="259" t="inlineStr">
        <is>
          <t>[7000431] Présentoir Régénérants 2026 vide + 4 testeurs</t>
        </is>
      </c>
      <c r="C30" s="260" t="inlineStr"/>
      <c r="D30" s="261" t="inlineStr">
        <is>
          <t>Produit Vente</t>
        </is>
      </c>
      <c r="E30" s="262" t="n">
        <v>1</v>
      </c>
      <c r="F30" s="242" t="n">
        <v>47.97</v>
      </c>
      <c r="G30" s="243">
        <f>E30*F30</f>
        <v/>
      </c>
      <c r="H30" s="263" t="n">
        <v>0</v>
      </c>
      <c r="I30" s="244" t="n">
        <v>0.15</v>
      </c>
      <c r="J30" s="242" t="n">
        <v>0</v>
      </c>
      <c r="K30" s="245">
        <f>J30*(1-I30)</f>
        <v/>
      </c>
      <c r="L30" s="246">
        <f>IFERROR(J30-K30,"")</f>
        <v/>
      </c>
      <c r="M30" s="247">
        <f>E30*H30*(1-I30)*$N$11*(1-$N$10)</f>
        <v/>
      </c>
      <c r="N30" s="248">
        <f>M30-E30*F30*$N$11</f>
        <v/>
      </c>
      <c r="O30" s="247">
        <f>E30*H30*(1-I30)*$P$11*(1-$P$10)</f>
        <v/>
      </c>
      <c r="P30" s="248">
        <f>O30-E30*F30*$P$11</f>
        <v/>
      </c>
      <c r="Q30" s="247">
        <f>E30*H30*(1-I30)*$R$11*(1-$R$10)</f>
        <v/>
      </c>
      <c r="R30" s="248">
        <f>Q30-E30*F30*$R$11</f>
        <v/>
      </c>
      <c r="S30" s="247">
        <f>E30*H30*(1-I30)*$T$11*(1-$T$10)</f>
        <v/>
      </c>
      <c r="T30" s="248">
        <f>S30-E30*F30*$T$11</f>
        <v/>
      </c>
      <c r="U30" s="249">
        <f>E30*H30*(1-I30)*$V$11*(1-$V$10)</f>
        <v/>
      </c>
      <c r="V30" s="248">
        <f>U30-E30*F30*$V$11</f>
        <v/>
      </c>
      <c r="W30" s="250">
        <f>E30*H30*(1-I30)*$X$11*(1-$X$10)</f>
        <v/>
      </c>
      <c r="X30" s="248">
        <f>W30-E30*F30*$X$11</f>
        <v/>
      </c>
      <c r="Y30" s="251">
        <f>E30*H30*(1-I30)*$Z$11*(1-$Z$10)</f>
        <v/>
      </c>
      <c r="Z30" s="252">
        <f>Y30-E30*F30*$Z$11</f>
        <v/>
      </c>
      <c r="AA30" s="253" t="n"/>
      <c r="AB30" s="101" t="n"/>
      <c r="AC30" s="102" t="n"/>
      <c r="AD30" s="138" t="n"/>
      <c r="AE30" s="254" t="n"/>
    </row>
    <row r="31" ht="14.45" customHeight="1">
      <c r="A31" s="258" t="inlineStr">
        <is>
          <t>7021433</t>
        </is>
      </c>
      <c r="B31" s="259" t="inlineStr">
        <is>
          <t>[7021433] MEA Régénérants 2026 - Premium (copie)</t>
        </is>
      </c>
      <c r="C31" s="260" t="inlineStr"/>
      <c r="D31" s="261" t="inlineStr">
        <is>
          <t>Produit Vente</t>
        </is>
      </c>
      <c r="E31" s="262" t="n">
        <v>1</v>
      </c>
      <c r="F31" s="242" t="n">
        <v>0</v>
      </c>
      <c r="G31" s="243">
        <f>E31*F31</f>
        <v/>
      </c>
      <c r="H31" s="263" t="n">
        <v>0</v>
      </c>
      <c r="I31" s="244" t="n">
        <v>0.15</v>
      </c>
      <c r="J31" s="242" t="n">
        <v>0</v>
      </c>
      <c r="K31" s="245">
        <f>J31*(1-I31)</f>
        <v/>
      </c>
      <c r="L31" s="246">
        <f>IFERROR(J31-K31,"")</f>
        <v/>
      </c>
      <c r="M31" s="247">
        <f>E31*H31*(1-I31)*$N$11*(1-$N$10)</f>
        <v/>
      </c>
      <c r="N31" s="248">
        <f>M31-E31*F31*$N$11</f>
        <v/>
      </c>
      <c r="O31" s="247">
        <f>E31*H31*(1-I31)*$P$11*(1-$P$10)</f>
        <v/>
      </c>
      <c r="P31" s="248">
        <f>O31-E31*F31*$P$11</f>
        <v/>
      </c>
      <c r="Q31" s="247">
        <f>E31*H31*(1-I31)*$R$11*(1-$R$10)</f>
        <v/>
      </c>
      <c r="R31" s="248">
        <f>Q31-E31*F31*$R$11</f>
        <v/>
      </c>
      <c r="S31" s="247">
        <f>E31*H31*(1-I31)*$T$11*(1-$T$10)</f>
        <v/>
      </c>
      <c r="T31" s="248">
        <f>S31-E31*F31*$T$11</f>
        <v/>
      </c>
      <c r="U31" s="249">
        <f>E31*H31*(1-I31)*$V$11*(1-$V$10)</f>
        <v/>
      </c>
      <c r="V31" s="248">
        <f>U31-E31*F31*$V$11</f>
        <v/>
      </c>
      <c r="W31" s="250">
        <f>E31*H31*(1-I31)*$X$11*(1-$X$10)</f>
        <v/>
      </c>
      <c r="X31" s="248">
        <f>W31-E31*F31*$X$11</f>
        <v/>
      </c>
      <c r="Y31" s="251">
        <f>E31*H31*(1-I31)*$Z$11*(1-$Z$10)</f>
        <v/>
      </c>
      <c r="Z31" s="252">
        <f>Y31-E31*F31*$Z$11</f>
        <v/>
      </c>
      <c r="AA31" s="253" t="n"/>
      <c r="AB31" s="101" t="n"/>
      <c r="AC31" s="102" t="n"/>
      <c r="AD31" s="139" t="n"/>
      <c r="AE31" s="254" t="n"/>
    </row>
    <row r="32" ht="14.45" customHeight="1">
      <c r="A32" s="258" t="inlineStr">
        <is>
          <t>6500174</t>
        </is>
      </c>
      <c r="B32" s="259" t="inlineStr">
        <is>
          <t>[6500174] Stop-rayon promo -10€ Régénérants 2026</t>
        </is>
      </c>
      <c r="C32" s="260" t="inlineStr"/>
      <c r="D32" s="261" t="inlineStr">
        <is>
          <t>Produit Vente</t>
        </is>
      </c>
      <c r="E32" s="262" t="n">
        <v>1</v>
      </c>
      <c r="F32" s="242" t="n">
        <v>1.59</v>
      </c>
      <c r="G32" s="243">
        <f>E32*F32</f>
        <v/>
      </c>
      <c r="H32" s="263" t="n">
        <v>0</v>
      </c>
      <c r="I32" s="244" t="n">
        <v>0.15</v>
      </c>
      <c r="J32" s="242" t="n">
        <v>0</v>
      </c>
      <c r="K32" s="245">
        <f>J32*(1-I32)</f>
        <v/>
      </c>
      <c r="L32" s="246">
        <f>IFERROR(J32-K32,"")</f>
        <v/>
      </c>
      <c r="M32" s="247">
        <f>E32*H32*(1-I32)*$N$11*(1-$N$10)</f>
        <v/>
      </c>
      <c r="N32" s="248">
        <f>M32-E32*F32*$N$11</f>
        <v/>
      </c>
      <c r="O32" s="247">
        <f>E32*H32*(1-I32)*$P$11*(1-$P$10)</f>
        <v/>
      </c>
      <c r="P32" s="248">
        <f>O32-E32*F32*$P$11</f>
        <v/>
      </c>
      <c r="Q32" s="247">
        <f>E32*H32*(1-I32)*$R$11*(1-$R$10)</f>
        <v/>
      </c>
      <c r="R32" s="248">
        <f>Q32-E32*F32*$R$11</f>
        <v/>
      </c>
      <c r="S32" s="247">
        <f>E32*H32*(1-I32)*$T$11*(1-$T$10)</f>
        <v/>
      </c>
      <c r="T32" s="248">
        <f>S32-E32*F32*$T$11</f>
        <v/>
      </c>
      <c r="U32" s="249">
        <f>E32*H32*(1-I32)*$V$11*(1-$V$10)</f>
        <v/>
      </c>
      <c r="V32" s="248">
        <f>U32-E32*F32*$V$11</f>
        <v/>
      </c>
      <c r="W32" s="250">
        <f>E32*H32*(1-I32)*$X$11*(1-$X$10)</f>
        <v/>
      </c>
      <c r="X32" s="248">
        <f>W32-E32*F32*$X$11</f>
        <v/>
      </c>
      <c r="Y32" s="251">
        <f>E32*H32*(1-I32)*$Z$11*(1-$Z$10)</f>
        <v/>
      </c>
      <c r="Z32" s="252">
        <f>Y32-E32*F32*$Z$11</f>
        <v/>
      </c>
      <c r="AA32" s="253" t="n"/>
      <c r="AB32" s="101" t="n"/>
      <c r="AC32" s="102" t="n"/>
      <c r="AD32" s="142" t="n"/>
      <c r="AE32" s="254" t="n"/>
    </row>
    <row r="33">
      <c r="A33" s="258" t="n"/>
      <c r="B33" s="259" t="n"/>
      <c r="C33" s="260" t="n"/>
      <c r="D33" s="261" t="n"/>
      <c r="E33" s="262" t="n"/>
      <c r="F33" s="242" t="n"/>
      <c r="G33" s="243" t="n"/>
      <c r="H33" s="263" t="n"/>
      <c r="I33" s="244" t="n"/>
      <c r="J33" s="242" t="n"/>
      <c r="K33" s="245" t="n"/>
      <c r="L33" s="246" t="n"/>
      <c r="M33" s="247" t="n"/>
      <c r="N33" s="248" t="n"/>
      <c r="O33" s="247" t="n"/>
      <c r="P33" s="248" t="n"/>
      <c r="Q33" s="247" t="n"/>
      <c r="R33" s="248" t="n"/>
      <c r="S33" s="247" t="n"/>
      <c r="T33" s="248" t="n"/>
      <c r="U33" s="249" t="n"/>
      <c r="V33" s="248" t="n"/>
      <c r="W33" s="250" t="n"/>
      <c r="X33" s="248" t="n"/>
      <c r="Y33" s="251" t="n"/>
      <c r="Z33" s="252" t="n"/>
      <c r="AA33" s="253" t="n"/>
      <c r="AB33" s="101" t="n"/>
      <c r="AC33" s="102" t="n"/>
      <c r="AD33" s="139" t="n"/>
      <c r="AE33" s="254" t="n"/>
    </row>
    <row r="34">
      <c r="A34" s="258" t="n"/>
      <c r="B34" s="259" t="n"/>
      <c r="C34" s="260" t="n"/>
      <c r="D34" s="261" t="n"/>
      <c r="E34" s="262" t="n"/>
      <c r="F34" s="242" t="n"/>
      <c r="G34" s="243" t="n"/>
      <c r="H34" s="263" t="n"/>
      <c r="I34" s="244" t="n"/>
      <c r="J34" s="242" t="n"/>
      <c r="K34" s="245" t="n"/>
      <c r="L34" s="246" t="n"/>
      <c r="M34" s="247" t="n"/>
      <c r="N34" s="248" t="n"/>
      <c r="O34" s="247" t="n"/>
      <c r="P34" s="248" t="n"/>
      <c r="Q34" s="247" t="n"/>
      <c r="R34" s="248" t="n"/>
      <c r="S34" s="247" t="n"/>
      <c r="T34" s="248" t="n"/>
      <c r="U34" s="249" t="n"/>
      <c r="V34" s="248" t="n"/>
      <c r="W34" s="250" t="n"/>
      <c r="X34" s="248" t="n"/>
      <c r="Y34" s="251" t="n"/>
      <c r="Z34" s="252" t="n"/>
      <c r="AA34" s="253" t="n"/>
      <c r="AB34" s="101" t="n"/>
      <c r="AC34" s="101" t="n"/>
      <c r="AD34" s="101" t="n"/>
      <c r="AE34" s="254" t="n"/>
    </row>
    <row r="35">
      <c r="A35" s="258" t="n"/>
      <c r="B35" s="259" t="n"/>
      <c r="C35" s="260" t="n"/>
      <c r="D35" s="261" t="n"/>
      <c r="E35" s="262" t="n"/>
      <c r="F35" s="242" t="n"/>
      <c r="G35" s="243" t="n"/>
      <c r="H35" s="263" t="n"/>
      <c r="I35" s="244" t="n"/>
      <c r="J35" s="242" t="n"/>
      <c r="K35" s="245" t="n"/>
      <c r="L35" s="246" t="n"/>
      <c r="M35" s="247" t="n"/>
      <c r="N35" s="248" t="n"/>
      <c r="O35" s="247" t="n"/>
      <c r="P35" s="248" t="n"/>
      <c r="Q35" s="247" t="n"/>
      <c r="R35" s="248" t="n"/>
      <c r="S35" s="247" t="n"/>
      <c r="T35" s="248" t="n"/>
      <c r="U35" s="249" t="n"/>
      <c r="V35" s="248" t="n"/>
      <c r="W35" s="250" t="n"/>
      <c r="X35" s="248" t="n"/>
      <c r="Y35" s="251" t="n"/>
      <c r="Z35" s="252" t="n"/>
      <c r="AA35" s="253" t="n"/>
      <c r="AB35" s="101" t="n"/>
      <c r="AC35" s="133" t="n"/>
      <c r="AD35" s="101" t="n"/>
      <c r="AE35" s="254" t="n"/>
    </row>
    <row r="36" ht="15.75" customHeight="1">
      <c r="A36" s="258" t="n"/>
      <c r="B36" s="259" t="n"/>
      <c r="C36" s="260" t="n"/>
      <c r="D36" s="261" t="n"/>
      <c r="E36" s="262" t="n"/>
      <c r="F36" s="242" t="n"/>
      <c r="G36" s="243" t="n"/>
      <c r="H36" s="263" t="n"/>
      <c r="I36" s="244" t="n"/>
      <c r="J36" s="242" t="n"/>
      <c r="K36" s="245" t="n"/>
      <c r="L36" s="246" t="n"/>
      <c r="M36" s="264" t="n"/>
      <c r="N36" s="265" t="n"/>
      <c r="O36" s="264" t="n"/>
      <c r="P36" s="265" t="n"/>
      <c r="Q36" s="264" t="n"/>
      <c r="R36" s="265" t="n"/>
      <c r="S36" s="264" t="n"/>
      <c r="T36" s="265" t="n"/>
      <c r="U36" s="266" t="n"/>
      <c r="V36" s="265" t="n"/>
      <c r="W36" s="267" t="n"/>
      <c r="X36" s="265" t="n"/>
      <c r="Y36" s="268" t="n"/>
      <c r="Z36" s="269" t="n"/>
      <c r="AA36" s="270" t="n"/>
      <c r="AB36" s="271" t="n"/>
      <c r="AC36" s="272" t="n"/>
      <c r="AD36" s="273" t="n"/>
      <c r="AE36" s="274" t="n"/>
    </row>
    <row r="40">
      <c r="A40" s="22" t="inlineStr">
        <is>
          <t>REGENERANTS 2 - Standard</t>
        </is>
      </c>
      <c r="B40" s="23" t="n"/>
      <c r="C40" s="24" t="n"/>
      <c r="D40" s="25" t="inlineStr">
        <is>
          <t>Panachage 24 unités // Remise 10% pour BRI conso 10€ sur 4 produits : Sérum J/N, CDJR, CDJRI, sérum nuit RI (-10€ = prix plancher, à imprimer sur 1 SR sur le présentoir)</t>
        </is>
      </c>
      <c r="E40" s="23" t="n"/>
      <c r="F40" s="23" t="n"/>
      <c r="G40" s="23" t="n"/>
      <c r="H40" s="23" t="n"/>
      <c r="I40" s="23" t="n"/>
      <c r="J40" s="23" t="n"/>
      <c r="K40" s="23" t="n"/>
      <c r="L40" s="23" t="n"/>
      <c r="M40" s="275" t="n"/>
      <c r="N40" s="276" t="n"/>
      <c r="O40" s="275" t="n"/>
      <c r="P40" s="276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165" t="n"/>
    </row>
    <row r="42" ht="15.75" customHeight="1">
      <c r="A42" s="69" t="n"/>
      <c r="B42" s="19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5.75" customHeight="1">
      <c r="A43" s="22" t="inlineStr">
        <is>
          <t>7021432 — MEA Régénérants 2026 - TG VIP Retail (90 unités - 15% remise)</t>
        </is>
      </c>
      <c r="B43" s="23" t="n"/>
      <c r="C43" s="24" t="n"/>
      <c r="D43" s="25" t="inlineStr">
        <is>
          <t>Panachage 50 unités // Remise 15% pour BRI conso 10€ sur 4 produits : Sérum J/N, CDJR, CDJRI, sérum nuit RI (-10€ = prix plancher, à imprimer sur 1 SR sur le présentoir)</t>
        </is>
      </c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0" t="n"/>
    </row>
    <row r="44" ht="15.75" customHeight="1">
      <c r="A44" s="69" t="inlineStr">
        <is>
          <t>Nombre d'offres</t>
        </is>
      </c>
      <c r="B44" s="192" t="n">
        <v>15</v>
      </c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69" t="inlineStr">
        <is>
          <t>Nombre de produits</t>
        </is>
      </c>
      <c r="B45" s="192" t="n">
        <v>116</v>
      </c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193" t="n"/>
      <c r="AB45" s="194" t="n"/>
      <c r="AC45" s="194" t="n"/>
      <c r="AD45" s="194" t="n"/>
      <c r="AE45" s="195" t="n"/>
      <c r="AF45" s="1" t="n"/>
    </row>
    <row r="46">
      <c r="A46" s="1" t="n"/>
      <c r="B46" s="1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96" t="inlineStr">
        <is>
          <t>RETAIL</t>
        </is>
      </c>
      <c r="N46" s="290" t="n"/>
      <c r="O46" s="290" t="n"/>
      <c r="P46" s="290" t="n"/>
      <c r="Q46" s="290" t="n"/>
      <c r="R46" s="290" t="n"/>
      <c r="S46" s="197" t="inlineStr">
        <is>
          <t>INSTITUT</t>
        </is>
      </c>
      <c r="T46" s="198" t="n"/>
      <c r="U46" s="199" t="n"/>
      <c r="V46" s="199" t="n"/>
      <c r="W46" s="199" t="n"/>
      <c r="X46" s="199" t="n"/>
      <c r="Y46" s="197" t="n"/>
      <c r="Z46" s="198" t="n"/>
      <c r="AA46" s="39" t="n"/>
      <c r="AB46" s="34" t="inlineStr">
        <is>
          <t>Retail + Institut</t>
        </is>
      </c>
      <c r="AC46" s="34" t="n"/>
      <c r="AD46" s="34" t="n"/>
      <c r="AE46" s="200" t="n"/>
      <c r="AF46" s="1" t="n"/>
    </row>
    <row r="47">
      <c r="A47" s="1" t="n"/>
      <c r="B47" s="1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201" t="n"/>
      <c r="N47" s="202" t="n"/>
      <c r="O47" s="201" t="n"/>
      <c r="P47" s="202" t="n"/>
      <c r="Q47" s="203" t="n"/>
      <c r="R47" s="203" t="n"/>
      <c r="S47" s="201" t="n"/>
      <c r="T47" s="202" t="n"/>
      <c r="U47" s="203" t="n"/>
      <c r="V47" s="202" t="n"/>
      <c r="W47" s="203" t="n"/>
      <c r="X47" s="203" t="n"/>
      <c r="Y47" s="204" t="n"/>
      <c r="Z47" s="205" t="n"/>
      <c r="AA47" s="206" t="n"/>
      <c r="AB47" s="39" t="n"/>
      <c r="AC47" s="39" t="n"/>
      <c r="AD47" s="39" t="n"/>
      <c r="AE47" s="200" t="n"/>
      <c r="AF47" s="1" t="n"/>
    </row>
    <row r="48">
      <c r="A48" s="1" t="n"/>
      <c r="B48" s="1" t="n"/>
      <c r="C48" s="2" t="n"/>
      <c r="D48" s="1" t="n"/>
      <c r="E48" s="1" t="n"/>
      <c r="F48" s="1" t="n"/>
      <c r="G48" s="1" t="n"/>
      <c r="H48" s="1" t="n"/>
      <c r="J48" s="1" t="n"/>
      <c r="K48" s="1" t="n"/>
      <c r="L48" s="1" t="n"/>
      <c r="M48" s="207" t="inlineStr">
        <is>
          <t>Ambassadeur</t>
        </is>
      </c>
      <c r="O48" s="207" t="inlineStr">
        <is>
          <t>Compagnon</t>
        </is>
      </c>
      <c r="Q48" s="207" t="inlineStr">
        <is>
          <t>Challenger</t>
        </is>
      </c>
      <c r="S48" s="208" t="inlineStr">
        <is>
          <t>Rose</t>
        </is>
      </c>
      <c r="U48" s="208" t="inlineStr">
        <is>
          <t>Prunelier</t>
        </is>
      </c>
      <c r="W48" s="208" t="inlineStr">
        <is>
          <t>Anthylide</t>
        </is>
      </c>
      <c r="Y48" s="208" t="inlineStr">
        <is>
          <t>Calendula</t>
        </is>
      </c>
      <c r="AA48" s="206" t="n"/>
      <c r="AB48" s="45" t="inlineStr">
        <is>
          <t>Total</t>
        </is>
      </c>
      <c r="AC48" s="45" t="n"/>
      <c r="AD48" s="45" t="n"/>
      <c r="AE48" s="200" t="n"/>
      <c r="AF48" s="1" t="n"/>
    </row>
    <row r="49">
      <c r="A49" s="1" t="n"/>
      <c r="B49" s="1" t="n"/>
      <c r="C49" s="2" t="n"/>
      <c r="D49" s="1" t="n"/>
      <c r="E49" s="1" t="n"/>
      <c r="F49" s="1" t="n"/>
      <c r="G49" s="1" t="n"/>
      <c r="H49" s="1" t="n"/>
      <c r="J49" s="1" t="n"/>
      <c r="K49" s="1" t="n"/>
      <c r="L49" s="1" t="n"/>
      <c r="M49" s="209" t="inlineStr">
        <is>
          <t>% Offres</t>
        </is>
      </c>
      <c r="N49" s="210" t="n">
        <v>0.5</v>
      </c>
      <c r="O49" s="209" t="inlineStr">
        <is>
          <t>% Offres</t>
        </is>
      </c>
      <c r="P49" s="210" t="n">
        <v>0.1</v>
      </c>
      <c r="Q49" s="209" t="inlineStr">
        <is>
          <t>% Offres</t>
        </is>
      </c>
      <c r="R49" s="210" t="n">
        <v>0.1</v>
      </c>
      <c r="S49" s="209" t="inlineStr">
        <is>
          <t>% Offres</t>
        </is>
      </c>
      <c r="T49" s="210" t="n">
        <v>0.1</v>
      </c>
      <c r="U49" s="211" t="inlineStr">
        <is>
          <t>% Offres</t>
        </is>
      </c>
      <c r="V49" s="212" t="n">
        <v>0.1</v>
      </c>
      <c r="W49" s="209" t="inlineStr">
        <is>
          <t>% Offres</t>
        </is>
      </c>
      <c r="X49" s="212" t="n">
        <v>0.05</v>
      </c>
      <c r="Y49" s="213" t="n"/>
      <c r="Z49" s="210" t="n">
        <v>0.05</v>
      </c>
      <c r="AA49" s="204" t="n"/>
      <c r="AB49" s="214" t="n"/>
      <c r="AC49" s="214" t="n"/>
      <c r="AD49" s="214" t="n"/>
      <c r="AE49" s="205" t="n"/>
      <c r="AF49" s="1" t="n"/>
    </row>
    <row r="50" ht="51.75" customHeight="1">
      <c r="A50" s="1" t="n"/>
      <c r="B50" s="1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209" t="inlineStr">
        <is>
          <t>Remise</t>
        </is>
      </c>
      <c r="N50" s="215" t="n">
        <v>0.17</v>
      </c>
      <c r="O50" s="209" t="inlineStr">
        <is>
          <t>Remise</t>
        </is>
      </c>
      <c r="P50" s="215" t="n">
        <v>0.13</v>
      </c>
      <c r="Q50" s="209" t="inlineStr">
        <is>
          <t>Remise</t>
        </is>
      </c>
      <c r="R50" s="215" t="n">
        <v>0.08</v>
      </c>
      <c r="S50" s="209" t="inlineStr">
        <is>
          <t>Remise</t>
        </is>
      </c>
      <c r="T50" s="216" t="n">
        <v>0.325</v>
      </c>
      <c r="U50" s="211" t="inlineStr">
        <is>
          <t>Remise</t>
        </is>
      </c>
      <c r="V50" s="217" t="n">
        <v>0.3</v>
      </c>
      <c r="W50" s="209" t="inlineStr">
        <is>
          <t>Remise</t>
        </is>
      </c>
      <c r="X50" s="217" t="n">
        <v>0.28</v>
      </c>
      <c r="Y50" s="209" t="inlineStr">
        <is>
          <t>Remise</t>
        </is>
      </c>
      <c r="Z50" s="215" t="n">
        <v>0.25</v>
      </c>
      <c r="AA50" s="206" t="n"/>
      <c r="AB50" s="39" t="n"/>
      <c r="AC50" s="39" t="n"/>
      <c r="AD50" s="39" t="n"/>
      <c r="AE50" s="200" t="n"/>
      <c r="AF50" s="1" t="n"/>
    </row>
    <row r="51" ht="26.25" customHeight="1">
      <c r="A51" s="1" t="n"/>
      <c r="B51" s="1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09" t="inlineStr">
        <is>
          <t>Nb Offres</t>
        </is>
      </c>
      <c r="N51" s="218">
        <f>N9*$B$44</f>
        <v/>
      </c>
      <c r="O51" s="209" t="inlineStr">
        <is>
          <t>Nb Offres</t>
        </is>
      </c>
      <c r="P51" s="218">
        <f>P9*$B$44</f>
        <v/>
      </c>
      <c r="Q51" s="209" t="inlineStr">
        <is>
          <t>Nb Offres</t>
        </is>
      </c>
      <c r="R51" s="218">
        <f>R9*$B$44</f>
        <v/>
      </c>
      <c r="S51" s="209" t="inlineStr">
        <is>
          <t>Nb Offres</t>
        </is>
      </c>
      <c r="T51" s="218">
        <f>T9*$B$44</f>
        <v/>
      </c>
      <c r="U51" s="211" t="inlineStr">
        <is>
          <t>Nb Offres</t>
        </is>
      </c>
      <c r="V51" s="218">
        <f>V9*$B$44</f>
        <v/>
      </c>
      <c r="W51" s="209" t="inlineStr">
        <is>
          <t>Nb Offres</t>
        </is>
      </c>
      <c r="X51" s="219">
        <f>X9*$B$44</f>
        <v/>
      </c>
      <c r="Y51" s="209" t="inlineStr">
        <is>
          <t>Nb Offres</t>
        </is>
      </c>
      <c r="Z51" s="218">
        <f>Z9*$B$44</f>
        <v/>
      </c>
      <c r="AA51" s="206" t="n"/>
      <c r="AB51" s="39" t="n"/>
      <c r="AC51" s="39" t="n"/>
      <c r="AD51" s="39" t="n"/>
      <c r="AE51" s="200" t="n"/>
      <c r="AF51" s="1" t="n"/>
    </row>
    <row r="52">
      <c r="A52" s="46" t="n"/>
      <c r="B52" s="46" t="n"/>
      <c r="C52" s="47" t="n"/>
      <c r="D52" s="46" t="n"/>
      <c r="E52" s="48" t="inlineStr">
        <is>
          <t>Pdt dans offre</t>
        </is>
      </c>
      <c r="F52" s="48" t="inlineStr">
        <is>
          <t>Coût achat unitaire</t>
        </is>
      </c>
      <c r="G52" s="48" t="inlineStr">
        <is>
          <t>Coûts achats total</t>
        </is>
      </c>
      <c r="H52" s="48" t="inlineStr">
        <is>
          <t>Tarif revendeur unitaire</t>
        </is>
      </c>
      <c r="I52" s="48" t="inlineStr">
        <is>
          <t>Remise additionnelle</t>
        </is>
      </c>
      <c r="J52" s="48" t="inlineStr">
        <is>
          <t>PPC</t>
        </is>
      </c>
      <c r="K52" s="48" t="inlineStr">
        <is>
          <t>PPC Remisé</t>
        </is>
      </c>
      <c r="L52" s="48" t="inlineStr">
        <is>
          <t>Montant BRI</t>
        </is>
      </c>
      <c r="M52" s="220" t="inlineStr">
        <is>
          <t>CA</t>
        </is>
      </c>
      <c r="N52" s="221" t="inlineStr">
        <is>
          <t>Marges</t>
        </is>
      </c>
      <c r="O52" s="220" t="inlineStr">
        <is>
          <t>CA</t>
        </is>
      </c>
      <c r="P52" s="221" t="inlineStr">
        <is>
          <t>Marges</t>
        </is>
      </c>
      <c r="Q52" s="220" t="inlineStr">
        <is>
          <t>CA</t>
        </is>
      </c>
      <c r="R52" s="221" t="inlineStr">
        <is>
          <t>Marges</t>
        </is>
      </c>
      <c r="S52" s="220" t="inlineStr">
        <is>
          <t>CA</t>
        </is>
      </c>
      <c r="T52" s="221" t="inlineStr">
        <is>
          <t>Marges</t>
        </is>
      </c>
      <c r="U52" s="48" t="inlineStr">
        <is>
          <t>CA</t>
        </is>
      </c>
      <c r="V52" s="221" t="inlineStr">
        <is>
          <t>Marges</t>
        </is>
      </c>
      <c r="W52" s="48" t="inlineStr">
        <is>
          <t>CA</t>
        </is>
      </c>
      <c r="X52" s="48" t="inlineStr">
        <is>
          <t>Marges</t>
        </is>
      </c>
      <c r="Y52" s="220" t="inlineStr">
        <is>
          <t>CA</t>
        </is>
      </c>
      <c r="Z52" s="221" t="inlineStr">
        <is>
          <t>Marges</t>
        </is>
      </c>
      <c r="AA52" s="222" t="n"/>
      <c r="AB52" s="50" t="inlineStr">
        <is>
          <t>Nbrs Offres planifiées</t>
        </is>
      </c>
      <c r="AC52" s="50" t="inlineStr">
        <is>
          <t>CA</t>
        </is>
      </c>
      <c r="AD52" s="50" t="inlineStr">
        <is>
          <t>Marges</t>
        </is>
      </c>
      <c r="AE52" s="223" t="n"/>
    </row>
    <row r="53">
      <c r="A53" s="66" t="inlineStr">
        <is>
          <t>Code article</t>
        </is>
      </c>
      <c r="B53" s="66" t="inlineStr">
        <is>
          <t>Libellé article</t>
        </is>
      </c>
      <c r="C53" s="66" t="inlineStr">
        <is>
          <t>Code à barres (EAN)</t>
        </is>
      </c>
      <c r="D53" s="66" t="inlineStr">
        <is>
          <t>Typ. Prod</t>
        </is>
      </c>
      <c r="E53" s="66" t="inlineStr">
        <is>
          <t>'#</t>
        </is>
      </c>
      <c r="F53" s="66" t="inlineStr">
        <is>
          <t>'€</t>
        </is>
      </c>
      <c r="G53" s="66" t="inlineStr">
        <is>
          <t>'€</t>
        </is>
      </c>
      <c r="H53" s="66" t="inlineStr">
        <is>
          <t>'€</t>
        </is>
      </c>
      <c r="I53" s="66" t="inlineStr">
        <is>
          <t>'€</t>
        </is>
      </c>
      <c r="J53" s="66" t="inlineStr">
        <is>
          <t>'€</t>
        </is>
      </c>
      <c r="K53" s="66" t="inlineStr">
        <is>
          <t>'€</t>
        </is>
      </c>
      <c r="L53" s="66" t="inlineStr">
        <is>
          <t>'€</t>
        </is>
      </c>
      <c r="M53" s="224" t="inlineStr">
        <is>
          <t>'€</t>
        </is>
      </c>
      <c r="N53" s="225" t="inlineStr">
        <is>
          <t>'€</t>
        </is>
      </c>
      <c r="O53" s="224" t="inlineStr">
        <is>
          <t>'€</t>
        </is>
      </c>
      <c r="P53" s="225" t="inlineStr">
        <is>
          <t>'€</t>
        </is>
      </c>
      <c r="Q53" s="224" t="inlineStr">
        <is>
          <t>'€</t>
        </is>
      </c>
      <c r="R53" s="225" t="inlineStr">
        <is>
          <t>'€</t>
        </is>
      </c>
      <c r="S53" s="224" t="inlineStr">
        <is>
          <t>'€</t>
        </is>
      </c>
      <c r="T53" s="225" t="inlineStr">
        <is>
          <t>'€</t>
        </is>
      </c>
      <c r="U53" s="66" t="inlineStr">
        <is>
          <t>'€</t>
        </is>
      </c>
      <c r="V53" s="225" t="inlineStr">
        <is>
          <t>'€</t>
        </is>
      </c>
      <c r="W53" s="66" t="inlineStr">
        <is>
          <t>'€</t>
        </is>
      </c>
      <c r="X53" s="66" t="inlineStr">
        <is>
          <t>'€</t>
        </is>
      </c>
      <c r="Y53" s="226" t="inlineStr">
        <is>
          <t>'€</t>
        </is>
      </c>
      <c r="Z53" s="227" t="inlineStr">
        <is>
          <t>'€</t>
        </is>
      </c>
      <c r="AA53" s="206" t="n"/>
      <c r="AB53" s="68" t="inlineStr">
        <is>
          <t>'#</t>
        </is>
      </c>
      <c r="AC53" s="68" t="inlineStr">
        <is>
          <t>'€</t>
        </is>
      </c>
      <c r="AD53" s="68" t="inlineStr">
        <is>
          <t>'€</t>
        </is>
      </c>
      <c r="AE53" s="200" t="n"/>
    </row>
    <row r="54">
      <c r="A54" s="1" t="n"/>
      <c r="B54" s="1" t="n"/>
      <c r="C54" s="2" t="n"/>
      <c r="D54" s="1" t="n"/>
      <c r="E54" s="1" t="n"/>
      <c r="F54" s="1" t="n"/>
      <c r="G54" s="1" t="n"/>
      <c r="H54" s="1" t="n"/>
      <c r="I54" s="1" t="n"/>
      <c r="J54" s="1" t="n"/>
      <c r="M54" s="204" t="n"/>
      <c r="N54" s="205" t="n"/>
      <c r="O54" s="204" t="n"/>
      <c r="P54" s="205" t="n"/>
      <c r="Q54" s="204" t="n"/>
      <c r="R54" s="205" t="n"/>
      <c r="S54" s="204" t="n"/>
      <c r="T54" s="205" t="n"/>
      <c r="U54" s="1" t="n"/>
      <c r="V54" s="205" t="n"/>
      <c r="W54" s="1" t="n"/>
      <c r="X54" s="205" t="n"/>
      <c r="Y54" s="1" t="n"/>
      <c r="Z54" s="1" t="n"/>
      <c r="AA54" s="206" t="n"/>
      <c r="AB54" s="39" t="n"/>
      <c r="AC54" s="39" t="n"/>
      <c r="AD54" s="39" t="n"/>
      <c r="AE54" s="200" t="n"/>
    </row>
    <row r="55" ht="15.75" customHeight="1">
      <c r="A55" s="70" t="inlineStr">
        <is>
          <t>Synthèse</t>
        </is>
      </c>
      <c r="B55" s="70" t="n"/>
      <c r="C55" s="71" t="n"/>
      <c r="D55" s="70" t="n"/>
      <c r="E55" s="228">
        <f>IFERROR(SUMIFS(E57:E76,D57:D76,"Produit Vente"),"Non trouvé")</f>
        <v/>
      </c>
      <c r="F55" s="73" t="n"/>
      <c r="G55" s="73">
        <f>IFERROR(SUM(G57:G76),"Non Trouvé")</f>
        <v/>
      </c>
      <c r="H55" s="73">
        <f>IFERROR(#REF!/#REF!,"Non Trouvé")</f>
        <v/>
      </c>
      <c r="I55" s="74">
        <f>IFERROR(-(#REF!-#REF!)/#REF!,"Non Trouvé")</f>
        <v/>
      </c>
      <c r="J55" s="73">
        <f>IFERROR(SUM(J57:J76),"Non Trouvé")</f>
        <v/>
      </c>
      <c r="K55" s="73">
        <f>IFERROR(SUM(K57:K76),"Non Trouvé")</f>
        <v/>
      </c>
      <c r="L55" s="73">
        <f>IFERROR(SUM(L57:L76),"Non Trouvé")</f>
        <v/>
      </c>
      <c r="M55" s="229">
        <f>SUM(M57:M76)</f>
        <v/>
      </c>
      <c r="N55" s="230">
        <f>SUM(N57:N76)</f>
        <v/>
      </c>
      <c r="O55" s="229">
        <f>SUM(O57:O76)</f>
        <v/>
      </c>
      <c r="P55" s="230">
        <f>SUM(P57:P76)</f>
        <v/>
      </c>
      <c r="Q55" s="229">
        <f>SUM(Q57:Q76)</f>
        <v/>
      </c>
      <c r="R55" s="230">
        <f>SUM(R57:R76)</f>
        <v/>
      </c>
      <c r="S55" s="229">
        <f>SUM(S57:S76)</f>
        <v/>
      </c>
      <c r="T55" s="230">
        <f>SUM(T57:T76)</f>
        <v/>
      </c>
      <c r="U55" s="231">
        <f>SUM(U57:U76)</f>
        <v/>
      </c>
      <c r="V55" s="230">
        <f>SUM(V57:V76)</f>
        <v/>
      </c>
      <c r="W55" s="231">
        <f>SUM(W57:W76)</f>
        <v/>
      </c>
      <c r="X55" s="230">
        <f>SUM(X57:X76)</f>
        <v/>
      </c>
      <c r="Y55" s="231">
        <f>SUM(Y57:Y76)</f>
        <v/>
      </c>
      <c r="Z55" s="232">
        <f>SUM(Z57:Z76)</f>
        <v/>
      </c>
      <c r="AA55" s="233" t="n"/>
      <c r="AB55" s="72">
        <f>B44</f>
        <v/>
      </c>
      <c r="AC55" s="234">
        <f>Y55+W55+U55+S55+O55+M55+Q55</f>
        <v/>
      </c>
      <c r="AD55" s="235">
        <f>Z55+X55+V55+T55+P55+N55+R55</f>
        <v/>
      </c>
      <c r="AE55" s="236" t="n"/>
    </row>
    <row r="56" ht="15.75" customHeight="1">
      <c r="A56" s="1" t="n"/>
      <c r="B56" s="1" t="n"/>
      <c r="C56" s="2" t="n"/>
      <c r="D56" s="1" t="n"/>
      <c r="E56" s="1" t="n"/>
      <c r="F56" s="1" t="n"/>
      <c r="G56" s="1" t="n"/>
      <c r="H56" s="1" t="n"/>
      <c r="I56" s="1" t="n"/>
      <c r="J56" s="1" t="n"/>
      <c r="M56" s="204" t="n"/>
      <c r="N56" s="205" t="n"/>
      <c r="O56" s="204" t="n"/>
      <c r="P56" s="205" t="n"/>
      <c r="Q56" s="204" t="n"/>
      <c r="R56" s="205" t="n"/>
      <c r="S56" s="204" t="n"/>
      <c r="T56" s="205" t="n"/>
      <c r="U56" s="1" t="n"/>
      <c r="V56" s="205" t="n"/>
      <c r="W56" s="1" t="n"/>
      <c r="X56" s="205" t="n"/>
      <c r="Y56" s="1" t="n"/>
      <c r="Z56" s="1" t="n"/>
      <c r="AA56" s="206" t="n"/>
      <c r="AB56" s="39" t="n"/>
      <c r="AC56" s="39" t="n"/>
      <c r="AD56" s="39" t="n"/>
      <c r="AE56" s="200" t="n"/>
    </row>
    <row r="57" ht="15.75" customHeight="1">
      <c r="A57" s="237" t="inlineStr">
        <is>
          <t>1020720</t>
        </is>
      </c>
      <c r="B57" s="238" t="inlineStr">
        <is>
          <t>[1020720] Crème de Jour - Régénérant Intensif - 40ml</t>
        </is>
      </c>
      <c r="C57" s="239" t="inlineStr">
        <is>
          <t>4020829102972</t>
        </is>
      </c>
      <c r="D57" s="240" t="inlineStr">
        <is>
          <t>Produit Vente</t>
        </is>
      </c>
      <c r="E57" s="241" t="n">
        <v>21</v>
      </c>
      <c r="F57" s="242" t="n">
        <v>17.19</v>
      </c>
      <c r="G57" s="243">
        <f>E57*F57</f>
        <v/>
      </c>
      <c r="H57" s="242" t="n">
        <v>44.65</v>
      </c>
      <c r="I57" s="244" t="n">
        <v>0.15</v>
      </c>
      <c r="J57" s="242" t="n">
        <v>75.90000000000001</v>
      </c>
      <c r="K57" s="245">
        <f>J57*(1-I57)</f>
        <v/>
      </c>
      <c r="L57" s="246">
        <f>IFERROR(J57-K57,"")</f>
        <v/>
      </c>
      <c r="M57" s="247">
        <f>E57*H57*(1-I57)*$N$51*(1-$N$50)</f>
        <v/>
      </c>
      <c r="N57" s="248">
        <f>M57-E57*F57*$N$51</f>
        <v/>
      </c>
      <c r="O57" s="247">
        <f>E57*H57*(1-I57)*$P$51*(1-$P$50)</f>
        <v/>
      </c>
      <c r="P57" s="248">
        <f>O57-E57*F57*$P$51</f>
        <v/>
      </c>
      <c r="Q57" s="247">
        <f>E57*H57*(1-I57)*$R$51*(1-$R$50)</f>
        <v/>
      </c>
      <c r="R57" s="248">
        <f>Q57-E57*F57*$R$51</f>
        <v/>
      </c>
      <c r="S57" s="247">
        <f>E57*H57*(1-I57)*$T$51*(1-$T$50)</f>
        <v/>
      </c>
      <c r="T57" s="248">
        <f>S57-E57*F57*$T$51</f>
        <v/>
      </c>
      <c r="U57" s="249">
        <f>E57*H57*(1-I57)*$V$51*(1-$V$50)</f>
        <v/>
      </c>
      <c r="V57" s="248">
        <f>U57-E57*F57*$V$51</f>
        <v/>
      </c>
      <c r="W57" s="250">
        <f>E57*H57*(1-I57)*$X$51*(1-$X$50)</f>
        <v/>
      </c>
      <c r="X57" s="248">
        <f>W57-E57*F57*$X$51</f>
        <v/>
      </c>
      <c r="Y57" s="251">
        <f>E57*H57*(1-I57)*$Z$51*(1-$Z$50)</f>
        <v/>
      </c>
      <c r="Z57" s="252">
        <f>Y57-E57*F57*$Z$51</f>
        <v/>
      </c>
      <c r="AA57" s="253" t="n"/>
      <c r="AB57" s="101" t="n"/>
      <c r="AC57" s="102" t="n"/>
      <c r="AD57" s="102" t="n"/>
      <c r="AE57" s="254" t="n"/>
    </row>
    <row r="58">
      <c r="A58" s="237" t="inlineStr">
        <is>
          <t>1020718</t>
        </is>
      </c>
      <c r="B58" s="238" t="inlineStr">
        <is>
          <t>[1020718] Sérum de Nuit - Régénérant Intensif - 30 ml</t>
        </is>
      </c>
      <c r="C58" s="239" t="inlineStr">
        <is>
          <t>4020829101111</t>
        </is>
      </c>
      <c r="D58" s="240" t="inlineStr">
        <is>
          <t>Produit Vente</t>
        </is>
      </c>
      <c r="E58" s="241" t="n">
        <v>17</v>
      </c>
      <c r="F58" s="242" t="n">
        <v>18.28</v>
      </c>
      <c r="G58" s="243">
        <f>E58*F58</f>
        <v/>
      </c>
      <c r="H58" s="242" t="n">
        <v>46.76</v>
      </c>
      <c r="I58" s="244" t="n">
        <v>0.15</v>
      </c>
      <c r="J58" s="242" t="n">
        <v>79.5</v>
      </c>
      <c r="K58" s="245">
        <f>J58*(1-I58)</f>
        <v/>
      </c>
      <c r="L58" s="246">
        <f>IFERROR(J58-K58,"")</f>
        <v/>
      </c>
      <c r="M58" s="247">
        <f>E58*H58*(1-I58)*$N$51*(1-$N$50)</f>
        <v/>
      </c>
      <c r="N58" s="248">
        <f>M58-E58*F58*$N$51</f>
        <v/>
      </c>
      <c r="O58" s="247">
        <f>E58*H58*(1-I58)*$P$51*(1-$P$50)</f>
        <v/>
      </c>
      <c r="P58" s="248">
        <f>O58-E58*F58*$P$51</f>
        <v/>
      </c>
      <c r="Q58" s="247">
        <f>E58*H58*(1-I58)*$R$51*(1-$R$50)</f>
        <v/>
      </c>
      <c r="R58" s="248">
        <f>Q58-E58*F58*$R$51</f>
        <v/>
      </c>
      <c r="S58" s="247">
        <f>E58*H58*(1-I58)*$T$51*(1-$T$50)</f>
        <v/>
      </c>
      <c r="T58" s="248">
        <f>S58-E58*F58*$T$51</f>
        <v/>
      </c>
      <c r="U58" s="249">
        <f>E58*H58*(1-I58)*$V$51*(1-$V$50)</f>
        <v/>
      </c>
      <c r="V58" s="248">
        <f>U58-E58*F58*$V$51</f>
        <v/>
      </c>
      <c r="W58" s="250">
        <f>E58*H58*(1-I58)*$X$51*(1-$X$50)</f>
        <v/>
      </c>
      <c r="X58" s="248">
        <f>W58-E58*F58*$X$51</f>
        <v/>
      </c>
      <c r="Y58" s="251">
        <f>E58*H58*(1-I58)*$Z$51*(1-$Z$50)</f>
        <v/>
      </c>
      <c r="Z58" s="252">
        <f>Y58-E58*F58*$Z$51</f>
        <v/>
      </c>
      <c r="AA58" s="255" t="n"/>
      <c r="AB58" s="256" t="n"/>
      <c r="AC58" s="257" t="n"/>
      <c r="AD58" s="121" t="n"/>
      <c r="AE58" s="254" t="n"/>
    </row>
    <row r="59">
      <c r="A59" s="237" t="inlineStr">
        <is>
          <t>1020202</t>
        </is>
      </c>
      <c r="B59" s="238" t="inlineStr">
        <is>
          <t>[1020202] Sérum Jour/Nuit - Régénérant - 30 ml</t>
        </is>
      </c>
      <c r="C59" s="239" t="inlineStr">
        <is>
          <t>4020829103115</t>
        </is>
      </c>
      <c r="D59" s="240" t="inlineStr">
        <is>
          <t>Produit Vente</t>
        </is>
      </c>
      <c r="E59" s="241" t="n">
        <v>19</v>
      </c>
      <c r="F59" s="242" t="n">
        <v>15.84</v>
      </c>
      <c r="G59" s="243">
        <f>E59*F59</f>
        <v/>
      </c>
      <c r="H59" s="242" t="n">
        <v>41.12</v>
      </c>
      <c r="I59" s="244" t="n">
        <v>0.15</v>
      </c>
      <c r="J59" s="242" t="n">
        <v>69.90000000000001</v>
      </c>
      <c r="K59" s="245">
        <f>J59*(1-I59)</f>
        <v/>
      </c>
      <c r="L59" s="246">
        <f>IFERROR(J59-K59,"")</f>
        <v/>
      </c>
      <c r="M59" s="247">
        <f>E59*H59*(1-I59)*$N$51*(1-$N$50)</f>
        <v/>
      </c>
      <c r="N59" s="248">
        <f>M59-E59*F59*$N$51</f>
        <v/>
      </c>
      <c r="O59" s="247">
        <f>E59*H59*(1-I59)*$P$51*(1-$P$50)</f>
        <v/>
      </c>
      <c r="P59" s="248">
        <f>O59-E59*F59*$P$51</f>
        <v/>
      </c>
      <c r="Q59" s="247">
        <f>E59*H59*(1-I59)*$R$51*(1-$R$50)</f>
        <v/>
      </c>
      <c r="R59" s="248">
        <f>Q59-E59*F59*$R$51</f>
        <v/>
      </c>
      <c r="S59" s="247">
        <f>E59*H59*(1-I59)*$T$51*(1-$T$50)</f>
        <v/>
      </c>
      <c r="T59" s="248">
        <f>S59-E59*F59*$T$51</f>
        <v/>
      </c>
      <c r="U59" s="249">
        <f>E59*H59*(1-I59)*$V$51*(1-$V$50)</f>
        <v/>
      </c>
      <c r="V59" s="248">
        <f>U59-E59*F59*$V$51</f>
        <v/>
      </c>
      <c r="W59" s="250">
        <f>E59*H59*(1-I59)*$X$51*(1-$X$50)</f>
        <v/>
      </c>
      <c r="X59" s="248">
        <f>W59-E59*F59*$X$51</f>
        <v/>
      </c>
      <c r="Y59" s="251">
        <f>E59*H59*(1-I59)*$Z$51*(1-$Z$50)</f>
        <v/>
      </c>
      <c r="Z59" s="252">
        <f>Y59-E59*F59*$Z$51</f>
        <v/>
      </c>
      <c r="AA59" s="255" t="n"/>
      <c r="AB59" s="256" t="n"/>
      <c r="AC59" s="257" t="n"/>
      <c r="AD59" s="123" t="n"/>
      <c r="AE59" s="254" t="n"/>
    </row>
    <row r="60">
      <c r="A60" s="237" t="inlineStr">
        <is>
          <t>1020301</t>
        </is>
      </c>
      <c r="B60" s="238" t="inlineStr">
        <is>
          <t>[1020301] Crème de Jour - Régénérant - 40 ml</t>
        </is>
      </c>
      <c r="C60" s="239" t="inlineStr">
        <is>
          <t>4020829007383</t>
        </is>
      </c>
      <c r="D60" s="240" t="inlineStr">
        <is>
          <t>Produit Vente</t>
        </is>
      </c>
      <c r="E60" s="241" t="n">
        <v>19</v>
      </c>
      <c r="F60" s="242" t="n">
        <v>14.8</v>
      </c>
      <c r="G60" s="243">
        <f>E60*F60</f>
        <v/>
      </c>
      <c r="H60" s="242" t="n">
        <v>38.53</v>
      </c>
      <c r="I60" s="244" t="n">
        <v>0.15</v>
      </c>
      <c r="J60" s="242" t="n">
        <v>65.5</v>
      </c>
      <c r="K60" s="245">
        <f>J60*(1-I60)</f>
        <v/>
      </c>
      <c r="L60" s="246">
        <f>IFERROR(J60-K60,"")</f>
        <v/>
      </c>
      <c r="M60" s="247">
        <f>E60*H60*(1-I60)*$N$51*(1-$N$50)</f>
        <v/>
      </c>
      <c r="N60" s="248">
        <f>M60-E60*F60*$N$51</f>
        <v/>
      </c>
      <c r="O60" s="247">
        <f>E60*H60*(1-I60)*$P$51*(1-$P$50)</f>
        <v/>
      </c>
      <c r="P60" s="248">
        <f>O60-E60*F60*$P$51</f>
        <v/>
      </c>
      <c r="Q60" s="247">
        <f>E60*H60*(1-I60)*$R$51*(1-$R$50)</f>
        <v/>
      </c>
      <c r="R60" s="248">
        <f>Q60-E60*F60*$R$51</f>
        <v/>
      </c>
      <c r="S60" s="247">
        <f>E60*H60*(1-I60)*$T$51*(1-$T$50)</f>
        <v/>
      </c>
      <c r="T60" s="248">
        <f>S60-E60*F60*$T$51</f>
        <v/>
      </c>
      <c r="U60" s="249">
        <f>E60*H60*(1-I60)*$V$51*(1-$V$50)</f>
        <v/>
      </c>
      <c r="V60" s="248">
        <f>U60-E60*F60*$V$51</f>
        <v/>
      </c>
      <c r="W60" s="250">
        <f>E60*H60*(1-I60)*$X$51*(1-$X$50)</f>
        <v/>
      </c>
      <c r="X60" s="248">
        <f>W60-E60*F60*$X$51</f>
        <v/>
      </c>
      <c r="Y60" s="251">
        <f>E60*H60*(1-I60)*$Z$51*(1-$Z$50)</f>
        <v/>
      </c>
      <c r="Z60" s="252">
        <f>Y60-E60*F60*$Z$51</f>
        <v/>
      </c>
      <c r="AA60" s="253" t="n"/>
      <c r="AB60" s="101" t="n"/>
      <c r="AC60" s="102" t="n"/>
      <c r="AD60" s="102" t="n"/>
      <c r="AE60" s="254" t="n"/>
    </row>
    <row r="61">
      <c r="A61" s="237" t="inlineStr">
        <is>
          <t>1020401</t>
        </is>
      </c>
      <c r="B61" s="238" t="inlineStr">
        <is>
          <t>[1020401] Crème Contour des Yeux - Régénérant - 15 ml</t>
        </is>
      </c>
      <c r="C61" s="239" t="inlineStr">
        <is>
          <t>4020829013919</t>
        </is>
      </c>
      <c r="D61" s="240" t="inlineStr">
        <is>
          <t>Produit Vente</t>
        </is>
      </c>
      <c r="E61" s="241" t="n">
        <v>7</v>
      </c>
      <c r="F61" s="242" t="n">
        <v>15.34</v>
      </c>
      <c r="G61" s="243">
        <f>E61*F61</f>
        <v/>
      </c>
      <c r="H61" s="242" t="n">
        <v>39.71</v>
      </c>
      <c r="I61" s="244" t="n">
        <v>0.15</v>
      </c>
      <c r="J61" s="242" t="n">
        <v>67.5</v>
      </c>
      <c r="K61" s="245">
        <f>J61*(1-I61)</f>
        <v/>
      </c>
      <c r="L61" s="246">
        <f>IFERROR(J61-K61,"")</f>
        <v/>
      </c>
      <c r="M61" s="247">
        <f>E61*H61*(1-I61)*$N$51*(1-$N$50)</f>
        <v/>
      </c>
      <c r="N61" s="248">
        <f>M61-E61*F61*$N$51</f>
        <v/>
      </c>
      <c r="O61" s="247">
        <f>E61*H61*(1-I61)*$P$51*(1-$P$50)</f>
        <v/>
      </c>
      <c r="P61" s="248">
        <f>O61-E61*F61*$P$51</f>
        <v/>
      </c>
      <c r="Q61" s="247">
        <f>E61*H61*(1-I61)*$R$51*(1-$R$50)</f>
        <v/>
      </c>
      <c r="R61" s="248">
        <f>Q61-E61*F61*$R$51</f>
        <v/>
      </c>
      <c r="S61" s="247">
        <f>E61*H61*(1-I61)*$T$51*(1-$T$50)</f>
        <v/>
      </c>
      <c r="T61" s="248">
        <f>S61-E61*F61*$T$51</f>
        <v/>
      </c>
      <c r="U61" s="249">
        <f>E61*H61*(1-I61)*$V$51*(1-$V$50)</f>
        <v/>
      </c>
      <c r="V61" s="248">
        <f>U61-E61*F61*$V$51</f>
        <v/>
      </c>
      <c r="W61" s="250">
        <f>E61*H61*(1-I61)*$X$51*(1-$X$50)</f>
        <v/>
      </c>
      <c r="X61" s="248">
        <f>W61-E61*F61*$X$51</f>
        <v/>
      </c>
      <c r="Y61" s="251">
        <f>E61*H61*(1-I61)*$Z$51*(1-$Z$50)</f>
        <v/>
      </c>
      <c r="Z61" s="252">
        <f>Y61-E61*F61*$Z$51</f>
        <v/>
      </c>
      <c r="AA61" s="253" t="n"/>
      <c r="AB61" s="101" t="n"/>
      <c r="AC61" s="93" t="n"/>
      <c r="AD61" s="125" t="n"/>
      <c r="AE61" s="254" t="n"/>
    </row>
    <row r="62">
      <c r="A62" s="237" t="inlineStr">
        <is>
          <t>1020717</t>
        </is>
      </c>
      <c r="B62" s="238" t="inlineStr">
        <is>
          <t>[1020717] Sérum Contour des Yeux - Régénérant Intensif -15 ml</t>
        </is>
      </c>
      <c r="C62" s="239" t="inlineStr">
        <is>
          <t>4020829101067</t>
        </is>
      </c>
      <c r="D62" s="240" t="inlineStr">
        <is>
          <t>Produit Vente</t>
        </is>
      </c>
      <c r="E62" s="241" t="n">
        <v>6</v>
      </c>
      <c r="F62" s="242" t="n">
        <v>17.64</v>
      </c>
      <c r="G62" s="243">
        <f>E62*F62</f>
        <v/>
      </c>
      <c r="H62" s="242" t="n">
        <v>44.12</v>
      </c>
      <c r="I62" s="244" t="n">
        <v>0.15</v>
      </c>
      <c r="J62" s="242" t="n">
        <v>75</v>
      </c>
      <c r="K62" s="245">
        <f>J62*(1-I62)</f>
        <v/>
      </c>
      <c r="L62" s="246">
        <f>IFERROR(J62-K62,"")</f>
        <v/>
      </c>
      <c r="M62" s="247">
        <f>E62*H62*(1-I62)*$N$51*(1-$N$50)</f>
        <v/>
      </c>
      <c r="N62" s="248">
        <f>M62-E62*F62*$N$51</f>
        <v/>
      </c>
      <c r="O62" s="247">
        <f>E62*H62*(1-I62)*$P$51*(1-$P$50)</f>
        <v/>
      </c>
      <c r="P62" s="248">
        <f>O62-E62*F62*$P$51</f>
        <v/>
      </c>
      <c r="Q62" s="247">
        <f>E62*H62*(1-I62)*$R$51*(1-$R$50)</f>
        <v/>
      </c>
      <c r="R62" s="248">
        <f>Q62-E62*F62*$R$51</f>
        <v/>
      </c>
      <c r="S62" s="247">
        <f>E62*H62*(1-I62)*$T$51*(1-$T$50)</f>
        <v/>
      </c>
      <c r="T62" s="248">
        <f>S62-E62*F62*$T$51</f>
        <v/>
      </c>
      <c r="U62" s="249">
        <f>E62*H62*(1-I62)*$V$51*(1-$V$50)</f>
        <v/>
      </c>
      <c r="V62" s="248">
        <f>U62-E62*F62*$V$51</f>
        <v/>
      </c>
      <c r="W62" s="250">
        <f>E62*H62*(1-I62)*$X$51*(1-$X$50)</f>
        <v/>
      </c>
      <c r="X62" s="248">
        <f>W62-E62*F62*$X$51</f>
        <v/>
      </c>
      <c r="Y62" s="251">
        <f>E62*H62*(1-I62)*$Z$51*(1-$Z$50)</f>
        <v/>
      </c>
      <c r="Z62" s="252">
        <f>Y62-E62*F62*$Z$51</f>
        <v/>
      </c>
      <c r="AA62" s="253" t="n"/>
      <c r="AB62" s="101" t="n"/>
      <c r="AC62" s="93" t="n"/>
      <c r="AD62" s="125" t="n"/>
      <c r="AE62" s="254" t="n"/>
    </row>
    <row r="63">
      <c r="A63" s="237" t="inlineStr">
        <is>
          <t>1020719</t>
        </is>
      </c>
      <c r="B63" s="238" t="inlineStr">
        <is>
          <t>[1020719] Huile Fortifiante - Régénérant Intensif - 20ml</t>
        </is>
      </c>
      <c r="C63" s="239" t="inlineStr">
        <is>
          <t>4020829103030</t>
        </is>
      </c>
      <c r="D63" s="240" t="inlineStr">
        <is>
          <t>Produit Vente</t>
        </is>
      </c>
      <c r="E63" s="241" t="n">
        <v>5</v>
      </c>
      <c r="F63" s="242" t="n">
        <v>18.42</v>
      </c>
      <c r="G63" s="243">
        <f>E63*F63</f>
        <v/>
      </c>
      <c r="H63" s="242" t="n">
        <v>46.77</v>
      </c>
      <c r="I63" s="244" t="n">
        <v>0.15</v>
      </c>
      <c r="J63" s="242" t="n">
        <v>79.5</v>
      </c>
      <c r="K63" s="245">
        <f>J63*(1-I63)</f>
        <v/>
      </c>
      <c r="L63" s="246">
        <f>IFERROR(J63-K63,"")</f>
        <v/>
      </c>
      <c r="M63" s="247">
        <f>E63*H63*(1-I63)*$N$51*(1-$N$50)</f>
        <v/>
      </c>
      <c r="N63" s="248">
        <f>M63-E63*F63*$N$51</f>
        <v/>
      </c>
      <c r="O63" s="247">
        <f>E63*H63*(1-I63)*$P$51*(1-$P$50)</f>
        <v/>
      </c>
      <c r="P63" s="248">
        <f>O63-E63*F63*$P$51</f>
        <v/>
      </c>
      <c r="Q63" s="247">
        <f>E63*H63*(1-I63)*$R$51*(1-$R$50)</f>
        <v/>
      </c>
      <c r="R63" s="248">
        <f>Q63-E63*F63*$R$51</f>
        <v/>
      </c>
      <c r="S63" s="247">
        <f>E63*H63*(1-I63)*$T$51*(1-$T$50)</f>
        <v/>
      </c>
      <c r="T63" s="248">
        <f>S63-E63*F63*$T$51</f>
        <v/>
      </c>
      <c r="U63" s="249">
        <f>E63*H63*(1-I63)*$V$51*(1-$V$50)</f>
        <v/>
      </c>
      <c r="V63" s="248">
        <f>U63-E63*F63*$V$51</f>
        <v/>
      </c>
      <c r="W63" s="250">
        <f>E63*H63*(1-I63)*$X$51*(1-$X$50)</f>
        <v/>
      </c>
      <c r="X63" s="248">
        <f>W63-E63*F63*$X$51</f>
        <v/>
      </c>
      <c r="Y63" s="251">
        <f>E63*H63*(1-I63)*$Z$51*(1-$Z$50)</f>
        <v/>
      </c>
      <c r="Z63" s="252">
        <f>Y63-E63*F63*$Z$51</f>
        <v/>
      </c>
      <c r="AA63" s="253" t="n"/>
      <c r="AB63" s="101" t="n"/>
      <c r="AC63" s="93" t="n"/>
      <c r="AD63" s="125" t="n"/>
      <c r="AE63" s="254" t="n"/>
    </row>
    <row r="64">
      <c r="A64" s="237" t="inlineStr">
        <is>
          <t>1020302</t>
        </is>
      </c>
      <c r="B64" s="238" t="inlineStr">
        <is>
          <t>[1020302] Crème Cou et Décolleté - Régénérant - 40 ml</t>
        </is>
      </c>
      <c r="C64" s="239" t="inlineStr">
        <is>
          <t>4020829008366</t>
        </is>
      </c>
      <c r="D64" s="240" t="inlineStr">
        <is>
          <t>Produit Vente</t>
        </is>
      </c>
      <c r="E64" s="241" t="n">
        <v>5</v>
      </c>
      <c r="F64" s="242" t="n">
        <v>13.77</v>
      </c>
      <c r="G64" s="243">
        <f>E64*F64</f>
        <v/>
      </c>
      <c r="H64" s="242" t="n">
        <v>35.88</v>
      </c>
      <c r="I64" s="244" t="n">
        <v>0.15</v>
      </c>
      <c r="J64" s="242" t="n">
        <v>61</v>
      </c>
      <c r="K64" s="245">
        <f>J64*(1-I64)</f>
        <v/>
      </c>
      <c r="L64" s="246">
        <f>IFERROR(J64-K64,"")</f>
        <v/>
      </c>
      <c r="M64" s="247">
        <f>E64*H64*(1-I64)*$N$51*(1-$N$50)</f>
        <v/>
      </c>
      <c r="N64" s="248">
        <f>M64-E64*F64*$N$51</f>
        <v/>
      </c>
      <c r="O64" s="247">
        <f>E64*H64*(1-I64)*$P$51*(1-$P$50)</f>
        <v/>
      </c>
      <c r="P64" s="248">
        <f>O64-E64*F64*$P$51</f>
        <v/>
      </c>
      <c r="Q64" s="247">
        <f>E64*H64*(1-I64)*$R$51*(1-$R$50)</f>
        <v/>
      </c>
      <c r="R64" s="248">
        <f>Q64-E64*F64*$R$51</f>
        <v/>
      </c>
      <c r="S64" s="247">
        <f>E64*H64*(1-I64)*$T$51*(1-$T$50)</f>
        <v/>
      </c>
      <c r="T64" s="248">
        <f>S64-E64*F64*$T$51</f>
        <v/>
      </c>
      <c r="U64" s="249">
        <f>E64*H64*(1-I64)*$V$51*(1-$V$50)</f>
        <v/>
      </c>
      <c r="V64" s="248">
        <f>U64-E64*F64*$V$51</f>
        <v/>
      </c>
      <c r="W64" s="250">
        <f>E64*H64*(1-I64)*$X$51*(1-$X$50)</f>
        <v/>
      </c>
      <c r="X64" s="248">
        <f>W64-E64*F64*$X$51</f>
        <v/>
      </c>
      <c r="Y64" s="251">
        <f>E64*H64*(1-I64)*$Z$51*(1-$Z$50)</f>
        <v/>
      </c>
      <c r="Z64" s="252">
        <f>Y64-E64*F64*$Z$51</f>
        <v/>
      </c>
      <c r="AA64" s="253" t="n"/>
      <c r="AB64" s="101" t="n"/>
      <c r="AC64" s="93" t="n"/>
      <c r="AD64" s="125" t="n"/>
      <c r="AE64" s="254" t="n"/>
    </row>
    <row r="65">
      <c r="A65" s="237" t="inlineStr">
        <is>
          <t>1020310</t>
        </is>
      </c>
      <c r="B65" s="238" t="inlineStr">
        <is>
          <t>[1020310] Crème de Jour Eclat du Teint - Régénérant - 40 ml</t>
        </is>
      </c>
      <c r="C65" s="239" t="inlineStr">
        <is>
          <t>4020829060999</t>
        </is>
      </c>
      <c r="D65" s="240" t="inlineStr">
        <is>
          <t>Produit Vente</t>
        </is>
      </c>
      <c r="E65" s="241" t="n">
        <v>3</v>
      </c>
      <c r="F65" s="242" t="n">
        <v>16.22</v>
      </c>
      <c r="G65" s="243">
        <f>E65*F65</f>
        <v/>
      </c>
      <c r="H65" s="242" t="n">
        <v>41.12</v>
      </c>
      <c r="I65" s="244" t="n">
        <v>0.15</v>
      </c>
      <c r="J65" s="242" t="n">
        <v>69.90000000000001</v>
      </c>
      <c r="K65" s="245">
        <f>J65*(1-I65)</f>
        <v/>
      </c>
      <c r="L65" s="246">
        <f>IFERROR(J65-K65,"")</f>
        <v/>
      </c>
      <c r="M65" s="247">
        <f>E65*H65*(1-I65)*$N$51*(1-$N$50)</f>
        <v/>
      </c>
      <c r="N65" s="248">
        <f>M65-E65*F65*$N$51</f>
        <v/>
      </c>
      <c r="O65" s="247">
        <f>E65*H65*(1-I65)*$P$51*(1-$P$50)</f>
        <v/>
      </c>
      <c r="P65" s="248">
        <f>O65-E65*F65*$P$51</f>
        <v/>
      </c>
      <c r="Q65" s="247">
        <f>E65*H65*(1-I65)*$R$51*(1-$R$50)</f>
        <v/>
      </c>
      <c r="R65" s="248">
        <f>Q65-E65*F65*$R$51</f>
        <v/>
      </c>
      <c r="S65" s="247">
        <f>E65*H65*(1-I65)*$T$51*(1-$T$50)</f>
        <v/>
      </c>
      <c r="T65" s="248">
        <f>S65-E65*F65*$T$51</f>
        <v/>
      </c>
      <c r="U65" s="249">
        <f>E65*H65*(1-I65)*$V$51*(1-$V$50)</f>
        <v/>
      </c>
      <c r="V65" s="248">
        <f>U65-E65*F65*$V$51</f>
        <v/>
      </c>
      <c r="W65" s="250">
        <f>E65*H65*(1-I65)*$X$51*(1-$X$50)</f>
        <v/>
      </c>
      <c r="X65" s="248">
        <f>W65-E65*F65*$X$51</f>
        <v/>
      </c>
      <c r="Y65" s="251">
        <f>E65*H65*(1-I65)*$Z$51*(1-$Z$50)</f>
        <v/>
      </c>
      <c r="Z65" s="252">
        <f>Y65-E65*F65*$Z$51</f>
        <v/>
      </c>
      <c r="AA65" s="253" t="n"/>
      <c r="AB65" s="101" t="n"/>
      <c r="AC65" s="102" t="n"/>
      <c r="AD65" s="102" t="n"/>
      <c r="AE65" s="254" t="n"/>
    </row>
    <row r="66">
      <c r="A66" s="237" t="inlineStr">
        <is>
          <t>1020107</t>
        </is>
      </c>
      <c r="B66" s="238" t="inlineStr">
        <is>
          <t>[1020107] Lait pour le Corps - Régénérant - 150 ml</t>
        </is>
      </c>
      <c r="C66" s="239" t="inlineStr">
        <is>
          <t>4020829103160</t>
        </is>
      </c>
      <c r="D66" s="240" t="inlineStr">
        <is>
          <t>Produit Vente</t>
        </is>
      </c>
      <c r="E66" s="241" t="n">
        <v>4</v>
      </c>
      <c r="F66" s="242" t="n">
        <v>10.34</v>
      </c>
      <c r="G66" s="243">
        <f>E66*F66</f>
        <v/>
      </c>
      <c r="H66" s="242" t="n">
        <v>26.12</v>
      </c>
      <c r="I66" s="244" t="n">
        <v>0.15</v>
      </c>
      <c r="J66" s="242" t="n">
        <v>44.4</v>
      </c>
      <c r="K66" s="245">
        <f>J66*(1-I66)</f>
        <v/>
      </c>
      <c r="L66" s="246">
        <f>IFERROR(J66-K66,"")</f>
        <v/>
      </c>
      <c r="M66" s="247">
        <f>E66*H66*(1-I66)*$N$51*(1-$N$50)</f>
        <v/>
      </c>
      <c r="N66" s="248">
        <f>M66-E66*F66*$N$51</f>
        <v/>
      </c>
      <c r="O66" s="247">
        <f>E66*H66*(1-I66)*$P$51*(1-$P$50)</f>
        <v/>
      </c>
      <c r="P66" s="248">
        <f>O66-E66*F66*$P$51</f>
        <v/>
      </c>
      <c r="Q66" s="247">
        <f>E66*H66*(1-I66)*$R$51*(1-$R$50)</f>
        <v/>
      </c>
      <c r="R66" s="248">
        <f>Q66-E66*F66*$R$51</f>
        <v/>
      </c>
      <c r="S66" s="247">
        <f>E66*H66*(1-I66)*$T$51*(1-$T$50)</f>
        <v/>
      </c>
      <c r="T66" s="248">
        <f>S66-E66*F66*$T$51</f>
        <v/>
      </c>
      <c r="U66" s="249">
        <f>E66*H66*(1-I66)*$V$51*(1-$V$50)</f>
        <v/>
      </c>
      <c r="V66" s="248">
        <f>U66-E66*F66*$V$51</f>
        <v/>
      </c>
      <c r="W66" s="250">
        <f>E66*H66*(1-I66)*$X$51*(1-$X$50)</f>
        <v/>
      </c>
      <c r="X66" s="248">
        <f>W66-E66*F66*$X$51</f>
        <v/>
      </c>
      <c r="Y66" s="251">
        <f>E66*H66*(1-I66)*$Z$51*(1-$Z$50)</f>
        <v/>
      </c>
      <c r="Z66" s="252">
        <f>Y66-E66*F66*$Z$51</f>
        <v/>
      </c>
      <c r="AA66" s="253" t="n"/>
      <c r="AB66" s="101" t="n"/>
      <c r="AC66" s="102" t="n"/>
      <c r="AD66" s="102" t="n"/>
      <c r="AE66" s="254" t="n"/>
    </row>
    <row r="67">
      <c r="A67" s="237" t="inlineStr">
        <is>
          <t>1020721</t>
        </is>
      </c>
      <c r="B67" s="238" t="inlineStr">
        <is>
          <t>[1020721] Cure Intensive Fortifiante - Régénérant - 40ml</t>
        </is>
      </c>
      <c r="C67" s="239" t="inlineStr">
        <is>
          <t>4020829102941</t>
        </is>
      </c>
      <c r="D67" s="240" t="inlineStr">
        <is>
          <t>Produit Vente</t>
        </is>
      </c>
      <c r="E67" s="241" t="n">
        <v>2</v>
      </c>
      <c r="F67" s="242" t="n">
        <v>16.71</v>
      </c>
      <c r="G67" s="243">
        <f>E67*F67</f>
        <v/>
      </c>
      <c r="H67" s="242" t="n">
        <v>42.88</v>
      </c>
      <c r="I67" s="244" t="n">
        <v>0.15</v>
      </c>
      <c r="J67" s="242" t="n">
        <v>72.90000000000001</v>
      </c>
      <c r="K67" s="245">
        <f>J67*(1-I67)</f>
        <v/>
      </c>
      <c r="L67" s="246">
        <f>IFERROR(J67-K67,"")</f>
        <v/>
      </c>
      <c r="M67" s="247">
        <f>E67*H67*(1-I67)*$N$51*(1-$N$50)</f>
        <v/>
      </c>
      <c r="N67" s="248">
        <f>M67-E67*F67*$N$51</f>
        <v/>
      </c>
      <c r="O67" s="247">
        <f>E67*H67*(1-I67)*$P$51*(1-$P$50)</f>
        <v/>
      </c>
      <c r="P67" s="248">
        <f>O67-E67*F67*$P$51</f>
        <v/>
      </c>
      <c r="Q67" s="247">
        <f>E67*H67*(1-I67)*$R$51*(1-$R$50)</f>
        <v/>
      </c>
      <c r="R67" s="248">
        <f>Q67-E67*F67*$R$51</f>
        <v/>
      </c>
      <c r="S67" s="247">
        <f>E67*H67*(1-I67)*$T$51*(1-$T$50)</f>
        <v/>
      </c>
      <c r="T67" s="248">
        <f>S67-E67*F67*$T$51</f>
        <v/>
      </c>
      <c r="U67" s="249">
        <f>E67*H67*(1-I67)*$V$51*(1-$V$50)</f>
        <v/>
      </c>
      <c r="V67" s="248">
        <f>U67-E67*F67*$V$51</f>
        <v/>
      </c>
      <c r="W67" s="250">
        <f>E67*H67*(1-I67)*$X$51*(1-$X$50)</f>
        <v/>
      </c>
      <c r="X67" s="248">
        <f>W67-E67*F67*$X$51</f>
        <v/>
      </c>
      <c r="Y67" s="251">
        <f>E67*H67*(1-I67)*$Z$51*(1-$Z$50)</f>
        <v/>
      </c>
      <c r="Z67" s="252">
        <f>Y67-E67*F67*$Z$51</f>
        <v/>
      </c>
      <c r="AA67" s="253" t="n"/>
      <c r="AB67" s="101" t="n"/>
      <c r="AC67" s="102" t="n"/>
      <c r="AD67" s="102" t="n"/>
      <c r="AE67" s="254" t="n"/>
    </row>
    <row r="68">
      <c r="A68" s="237" t="inlineStr">
        <is>
          <t>1020102</t>
        </is>
      </c>
      <c r="B68" s="238" t="inlineStr">
        <is>
          <t>[1020102] Crème pour les Mains - Régénérant - 50 ml</t>
        </is>
      </c>
      <c r="C68" s="239" t="inlineStr">
        <is>
          <t>4020829049666</t>
        </is>
      </c>
      <c r="D68" s="240" t="inlineStr">
        <is>
          <t>Produit Vente</t>
        </is>
      </c>
      <c r="E68" s="241" t="n">
        <v>4</v>
      </c>
      <c r="F68" s="242" t="n">
        <v>6.48</v>
      </c>
      <c r="G68" s="243">
        <f>E68*F68</f>
        <v/>
      </c>
      <c r="H68" s="242" t="n">
        <v>17.35</v>
      </c>
      <c r="I68" s="244" t="n">
        <v>0.15</v>
      </c>
      <c r="J68" s="242" t="n">
        <v>29.5</v>
      </c>
      <c r="K68" s="245">
        <f>J68*(1-I68)</f>
        <v/>
      </c>
      <c r="L68" s="246">
        <f>IFERROR(J68-K68,"")</f>
        <v/>
      </c>
      <c r="M68" s="247">
        <f>E68*H68*(1-I68)*$N$51*(1-$N$50)</f>
        <v/>
      </c>
      <c r="N68" s="248">
        <f>M68-E68*F68*$N$51</f>
        <v/>
      </c>
      <c r="O68" s="247">
        <f>E68*H68*(1-I68)*$P$51*(1-$P$50)</f>
        <v/>
      </c>
      <c r="P68" s="248">
        <f>O68-E68*F68*$P$51</f>
        <v/>
      </c>
      <c r="Q68" s="247">
        <f>E68*H68*(1-I68)*$R$51*(1-$R$50)</f>
        <v/>
      </c>
      <c r="R68" s="248">
        <f>Q68-E68*F68*$R$51</f>
        <v/>
      </c>
      <c r="S68" s="247">
        <f>E68*H68*(1-I68)*$T$51*(1-$T$50)</f>
        <v/>
      </c>
      <c r="T68" s="248">
        <f>S68-E68*F68*$T$51</f>
        <v/>
      </c>
      <c r="U68" s="249">
        <f>E68*H68*(1-I68)*$V$51*(1-$V$50)</f>
        <v/>
      </c>
      <c r="V68" s="248">
        <f>U68-E68*F68*$V$51</f>
        <v/>
      </c>
      <c r="W68" s="250">
        <f>E68*H68*(1-I68)*$X$51*(1-$X$50)</f>
        <v/>
      </c>
      <c r="X68" s="248">
        <f>W68-E68*F68*$X$51</f>
        <v/>
      </c>
      <c r="Y68" s="251">
        <f>E68*H68*(1-I68)*$Z$51*(1-$Z$50)</f>
        <v/>
      </c>
      <c r="Z68" s="252">
        <f>Y68-E68*F68*$Z$51</f>
        <v/>
      </c>
      <c r="AA68" s="253" t="n"/>
      <c r="AB68" s="101" t="n"/>
      <c r="AC68" s="102" t="n"/>
      <c r="AD68" s="102" t="n"/>
      <c r="AE68" s="254" t="n"/>
    </row>
    <row r="69">
      <c r="A69" s="237" t="inlineStr">
        <is>
          <t>1020722</t>
        </is>
      </c>
      <c r="B69" s="238" t="inlineStr">
        <is>
          <t>[1020722] Cure Intensive Rééquilibrante - Régénérant Intensif - 40ml</t>
        </is>
      </c>
      <c r="C69" s="239" t="inlineStr">
        <is>
          <t>4020829102934</t>
        </is>
      </c>
      <c r="D69" s="240" t="inlineStr">
        <is>
          <t>Produit Vente</t>
        </is>
      </c>
      <c r="E69" s="241" t="n">
        <v>1</v>
      </c>
      <c r="F69" s="242" t="n">
        <v>16.71</v>
      </c>
      <c r="G69" s="243">
        <f>E69*F69</f>
        <v/>
      </c>
      <c r="H69" s="242" t="n">
        <v>42.88</v>
      </c>
      <c r="I69" s="244" t="n">
        <v>0.15</v>
      </c>
      <c r="J69" s="242" t="n">
        <v>72.90000000000001</v>
      </c>
      <c r="K69" s="245">
        <f>J69*(1-I69)</f>
        <v/>
      </c>
      <c r="L69" s="246">
        <f>IFERROR(J69-K69,"")</f>
        <v/>
      </c>
      <c r="M69" s="247">
        <f>E69*H69*(1-I69)*$N$51*(1-$N$50)</f>
        <v/>
      </c>
      <c r="N69" s="248">
        <f>M69-E69*F69*$N$51</f>
        <v/>
      </c>
      <c r="O69" s="247">
        <f>E69*H69*(1-I69)*$P$51*(1-$P$50)</f>
        <v/>
      </c>
      <c r="P69" s="248">
        <f>O69-E69*F69*$P$51</f>
        <v/>
      </c>
      <c r="Q69" s="247">
        <f>E69*H69*(1-I69)*$R$51*(1-$R$50)</f>
        <v/>
      </c>
      <c r="R69" s="248">
        <f>Q69-E69*F69*$R$51</f>
        <v/>
      </c>
      <c r="S69" s="247">
        <f>E69*H69*(1-I69)*$T$51*(1-$T$50)</f>
        <v/>
      </c>
      <c r="T69" s="248">
        <f>S69-E69*F69*$T$51</f>
        <v/>
      </c>
      <c r="U69" s="249">
        <f>E69*H69*(1-I69)*$V$51*(1-$V$50)</f>
        <v/>
      </c>
      <c r="V69" s="248">
        <f>U69-E69*F69*$V$51</f>
        <v/>
      </c>
      <c r="W69" s="250">
        <f>E69*H69*(1-I69)*$X$51*(1-$X$50)</f>
        <v/>
      </c>
      <c r="X69" s="248">
        <f>W69-E69*F69*$X$51</f>
        <v/>
      </c>
      <c r="Y69" s="251">
        <f>E69*H69*(1-I69)*$Z$51*(1-$Z$50)</f>
        <v/>
      </c>
      <c r="Z69" s="252">
        <f>Y69-E69*F69*$Z$51</f>
        <v/>
      </c>
      <c r="AA69" s="253" t="n"/>
      <c r="AB69" s="101" t="n"/>
      <c r="AC69" s="133" t="n"/>
      <c r="AD69" s="102" t="n"/>
      <c r="AE69" s="254" t="n"/>
    </row>
    <row r="70">
      <c r="A70" s="258" t="inlineStr">
        <is>
          <t>7000431</t>
        </is>
      </c>
      <c r="B70" s="259" t="inlineStr">
        <is>
          <t>[7000431] Présentoir Régénérants 2026 vide + 4 testeurs</t>
        </is>
      </c>
      <c r="C70" s="260" t="inlineStr"/>
      <c r="D70" s="261" t="inlineStr">
        <is>
          <t>Produit Vente</t>
        </is>
      </c>
      <c r="E70" s="262" t="n">
        <v>1</v>
      </c>
      <c r="F70" s="242" t="n">
        <v>47.97</v>
      </c>
      <c r="G70" s="243">
        <f>E70*F70</f>
        <v/>
      </c>
      <c r="H70" s="263" t="n">
        <v>0</v>
      </c>
      <c r="I70" s="244" t="n">
        <v>0.15</v>
      </c>
      <c r="J70" s="242" t="n">
        <v>0</v>
      </c>
      <c r="K70" s="245">
        <f>J70*(1-I70)</f>
        <v/>
      </c>
      <c r="L70" s="246">
        <f>IFERROR(J70-K70,"")</f>
        <v/>
      </c>
      <c r="M70" s="247">
        <f>E70*H70*(1-I70)*$N$51*(1-$N$50)</f>
        <v/>
      </c>
      <c r="N70" s="248">
        <f>M70-E70*F70*$N$51</f>
        <v/>
      </c>
      <c r="O70" s="247">
        <f>E70*H70*(1-I70)*$P$51*(1-$P$50)</f>
        <v/>
      </c>
      <c r="P70" s="248">
        <f>O70-E70*F70*$P$51</f>
        <v/>
      </c>
      <c r="Q70" s="247">
        <f>E70*H70*(1-I70)*$R$51*(1-$R$50)</f>
        <v/>
      </c>
      <c r="R70" s="248">
        <f>Q70-E70*F70*$R$51</f>
        <v/>
      </c>
      <c r="S70" s="247">
        <f>E70*H70*(1-I70)*$T$51*(1-$T$50)</f>
        <v/>
      </c>
      <c r="T70" s="248">
        <f>S70-E70*F70*$T$51</f>
        <v/>
      </c>
      <c r="U70" s="249">
        <f>E70*H70*(1-I70)*$V$51*(1-$V$50)</f>
        <v/>
      </c>
      <c r="V70" s="248">
        <f>U70-E70*F70*$V$51</f>
        <v/>
      </c>
      <c r="W70" s="250">
        <f>E70*H70*(1-I70)*$X$51*(1-$X$50)</f>
        <v/>
      </c>
      <c r="X70" s="248">
        <f>W70-E70*F70*$X$51</f>
        <v/>
      </c>
      <c r="Y70" s="251">
        <f>E70*H70*(1-I70)*$Z$51*(1-$Z$50)</f>
        <v/>
      </c>
      <c r="Z70" s="252">
        <f>Y70-E70*F70*$Z$51</f>
        <v/>
      </c>
      <c r="AA70" s="253" t="n"/>
      <c r="AB70" s="101" t="n"/>
      <c r="AC70" s="102" t="n"/>
      <c r="AD70" s="138" t="n"/>
      <c r="AE70" s="254" t="n"/>
    </row>
    <row r="71">
      <c r="A71" s="258" t="inlineStr">
        <is>
          <t>7021432</t>
        </is>
      </c>
      <c r="B71" s="259" t="inlineStr">
        <is>
          <t>[7021432] MEA Régénérants 2026 - TG VIP Retail (copie)</t>
        </is>
      </c>
      <c r="C71" s="260" t="inlineStr"/>
      <c r="D71" s="261" t="inlineStr">
        <is>
          <t>Produit Vente</t>
        </is>
      </c>
      <c r="E71" s="262" t="n">
        <v>1</v>
      </c>
      <c r="F71" s="242" t="n">
        <v>0</v>
      </c>
      <c r="G71" s="243">
        <f>E71*F71</f>
        <v/>
      </c>
      <c r="H71" s="263" t="n">
        <v>0</v>
      </c>
      <c r="I71" s="244" t="n">
        <v>0.15</v>
      </c>
      <c r="J71" s="242" t="n">
        <v>0</v>
      </c>
      <c r="K71" s="245">
        <f>J71*(1-I71)</f>
        <v/>
      </c>
      <c r="L71" s="246">
        <f>IFERROR(J71-K71,"")</f>
        <v/>
      </c>
      <c r="M71" s="247">
        <f>E71*H71*(1-I71)*$N$51*(1-$N$50)</f>
        <v/>
      </c>
      <c r="N71" s="248">
        <f>M71-E71*F71*$N$51</f>
        <v/>
      </c>
      <c r="O71" s="247">
        <f>E71*H71*(1-I71)*$P$51*(1-$P$50)</f>
        <v/>
      </c>
      <c r="P71" s="248">
        <f>O71-E71*F71*$P$51</f>
        <v/>
      </c>
      <c r="Q71" s="247">
        <f>E71*H71*(1-I71)*$R$51*(1-$R$50)</f>
        <v/>
      </c>
      <c r="R71" s="248">
        <f>Q71-E71*F71*$R$51</f>
        <v/>
      </c>
      <c r="S71" s="247">
        <f>E71*H71*(1-I71)*$T$51*(1-$T$50)</f>
        <v/>
      </c>
      <c r="T71" s="248">
        <f>S71-E71*F71*$T$51</f>
        <v/>
      </c>
      <c r="U71" s="249">
        <f>E71*H71*(1-I71)*$V$51*(1-$V$50)</f>
        <v/>
      </c>
      <c r="V71" s="248">
        <f>U71-E71*F71*$V$51</f>
        <v/>
      </c>
      <c r="W71" s="250">
        <f>E71*H71*(1-I71)*$X$51*(1-$X$50)</f>
        <v/>
      </c>
      <c r="X71" s="248">
        <f>W71-E71*F71*$X$51</f>
        <v/>
      </c>
      <c r="Y71" s="251">
        <f>E71*H71*(1-I71)*$Z$51*(1-$Z$50)</f>
        <v/>
      </c>
      <c r="Z71" s="252">
        <f>Y71-E71*F71*$Z$51</f>
        <v/>
      </c>
      <c r="AA71" s="253" t="n"/>
      <c r="AB71" s="101" t="n"/>
      <c r="AC71" s="102" t="n"/>
      <c r="AD71" s="139" t="n"/>
      <c r="AE71" s="254" t="n"/>
    </row>
    <row r="72">
      <c r="A72" s="258" t="inlineStr">
        <is>
          <t>7000436</t>
        </is>
      </c>
      <c r="B72" s="259" t="inlineStr">
        <is>
          <t>[7000436] Lot 4 testeurs Kit TG VIP Retail Régénérants 2026</t>
        </is>
      </c>
      <c r="C72" s="260" t="inlineStr"/>
      <c r="D72" s="261" t="inlineStr">
        <is>
          <t>Produit Vente</t>
        </is>
      </c>
      <c r="E72" s="262" t="n">
        <v>1</v>
      </c>
      <c r="F72" s="242" t="n">
        <v>48.33</v>
      </c>
      <c r="G72" s="243">
        <f>E72*F72</f>
        <v/>
      </c>
      <c r="H72" s="263" t="n">
        <v>0</v>
      </c>
      <c r="I72" s="244" t="n">
        <v>0.15</v>
      </c>
      <c r="J72" s="242" t="n">
        <v>0</v>
      </c>
      <c r="K72" s="245">
        <f>J72*(1-I72)</f>
        <v/>
      </c>
      <c r="L72" s="246">
        <f>IFERROR(J72-K72,"")</f>
        <v/>
      </c>
      <c r="M72" s="247">
        <f>E72*H72*(1-I72)*$N$51*(1-$N$50)</f>
        <v/>
      </c>
      <c r="N72" s="248">
        <f>M72-E72*F72*$N$51</f>
        <v/>
      </c>
      <c r="O72" s="247">
        <f>E72*H72*(1-I72)*$P$51*(1-$P$50)</f>
        <v/>
      </c>
      <c r="P72" s="248">
        <f>O72-E72*F72*$P$51</f>
        <v/>
      </c>
      <c r="Q72" s="247">
        <f>E72*H72*(1-I72)*$R$51*(1-$R$50)</f>
        <v/>
      </c>
      <c r="R72" s="248">
        <f>Q72-E72*F72*$R$51</f>
        <v/>
      </c>
      <c r="S72" s="247">
        <f>E72*H72*(1-I72)*$T$51*(1-$T$50)</f>
        <v/>
      </c>
      <c r="T72" s="248">
        <f>S72-E72*F72*$T$51</f>
        <v/>
      </c>
      <c r="U72" s="249">
        <f>E72*H72*(1-I72)*$V$51*(1-$V$50)</f>
        <v/>
      </c>
      <c r="V72" s="248">
        <f>U72-E72*F72*$V$51</f>
        <v/>
      </c>
      <c r="W72" s="250">
        <f>E72*H72*(1-I72)*$X$51*(1-$X$50)</f>
        <v/>
      </c>
      <c r="X72" s="248">
        <f>W72-E72*F72*$X$51</f>
        <v/>
      </c>
      <c r="Y72" s="251">
        <f>E72*H72*(1-I72)*$Z$51*(1-$Z$50)</f>
        <v/>
      </c>
      <c r="Z72" s="252">
        <f>Y72-E72*F72*$Z$51</f>
        <v/>
      </c>
      <c r="AA72" s="253" t="n"/>
      <c r="AB72" s="101" t="n"/>
      <c r="AC72" s="102" t="n"/>
      <c r="AD72" s="142" t="n"/>
      <c r="AE72" s="254" t="n"/>
    </row>
    <row r="73">
      <c r="A73" s="258" t="n"/>
      <c r="B73" s="259" t="n"/>
      <c r="C73" s="260" t="n"/>
      <c r="D73" s="261" t="n"/>
      <c r="E73" s="262" t="n"/>
      <c r="F73" s="242" t="n"/>
      <c r="G73" s="243" t="n"/>
      <c r="H73" s="263" t="n"/>
      <c r="I73" s="244" t="n"/>
      <c r="J73" s="242" t="n"/>
      <c r="K73" s="245" t="n"/>
      <c r="L73" s="246" t="n"/>
      <c r="M73" s="247" t="n"/>
      <c r="N73" s="248" t="n"/>
      <c r="O73" s="247" t="n"/>
      <c r="P73" s="248" t="n"/>
      <c r="Q73" s="247" t="n"/>
      <c r="R73" s="248" t="n"/>
      <c r="S73" s="247" t="n"/>
      <c r="T73" s="248" t="n"/>
      <c r="U73" s="249" t="n"/>
      <c r="V73" s="248" t="n"/>
      <c r="W73" s="250" t="n"/>
      <c r="X73" s="248" t="n"/>
      <c r="Y73" s="251" t="n"/>
      <c r="Z73" s="252" t="n"/>
      <c r="AA73" s="253" t="n"/>
      <c r="AB73" s="101" t="n"/>
      <c r="AC73" s="102" t="n"/>
      <c r="AD73" s="139" t="n"/>
      <c r="AE73" s="254" t="n"/>
    </row>
    <row r="74" ht="15.75" customHeight="1">
      <c r="A74" s="258" t="n"/>
      <c r="B74" s="259" t="n"/>
      <c r="C74" s="260" t="n"/>
      <c r="D74" s="261" t="n"/>
      <c r="E74" s="262" t="n"/>
      <c r="F74" s="242" t="n"/>
      <c r="G74" s="243" t="n"/>
      <c r="H74" s="263" t="n"/>
      <c r="I74" s="244" t="n"/>
      <c r="J74" s="242" t="n"/>
      <c r="K74" s="245" t="n"/>
      <c r="L74" s="246" t="n"/>
      <c r="M74" s="247" t="n"/>
      <c r="N74" s="248" t="n"/>
      <c r="O74" s="247" t="n"/>
      <c r="P74" s="248" t="n"/>
      <c r="Q74" s="247" t="n"/>
      <c r="R74" s="248" t="n"/>
      <c r="S74" s="247" t="n"/>
      <c r="T74" s="248" t="n"/>
      <c r="U74" s="249" t="n"/>
      <c r="V74" s="248" t="n"/>
      <c r="W74" s="250" t="n"/>
      <c r="X74" s="248" t="n"/>
      <c r="Y74" s="251" t="n"/>
      <c r="Z74" s="252" t="n"/>
      <c r="AA74" s="253" t="n"/>
      <c r="AB74" s="101" t="n"/>
      <c r="AC74" s="101" t="n"/>
      <c r="AD74" s="101" t="n"/>
      <c r="AE74" s="254" t="n"/>
    </row>
    <row r="75">
      <c r="A75" s="258" t="n"/>
      <c r="B75" s="259" t="n"/>
      <c r="C75" s="260" t="n"/>
      <c r="D75" s="261" t="n"/>
      <c r="E75" s="262" t="n"/>
      <c r="F75" s="242" t="n"/>
      <c r="G75" s="243" t="n"/>
      <c r="H75" s="263" t="n"/>
      <c r="I75" s="244" t="n"/>
      <c r="J75" s="242" t="n"/>
      <c r="K75" s="245" t="n"/>
      <c r="L75" s="246" t="n"/>
      <c r="M75" s="247" t="n"/>
      <c r="N75" s="248" t="n"/>
      <c r="O75" s="247" t="n"/>
      <c r="P75" s="248" t="n"/>
      <c r="Q75" s="247" t="n"/>
      <c r="R75" s="248" t="n"/>
      <c r="S75" s="247" t="n"/>
      <c r="T75" s="248" t="n"/>
      <c r="U75" s="249" t="n"/>
      <c r="V75" s="248" t="n"/>
      <c r="W75" s="250" t="n"/>
      <c r="X75" s="248" t="n"/>
      <c r="Y75" s="251" t="n"/>
      <c r="Z75" s="252" t="n"/>
      <c r="AA75" s="253" t="n"/>
      <c r="AB75" s="101" t="n"/>
      <c r="AC75" s="133" t="n"/>
      <c r="AD75" s="101" t="n"/>
      <c r="AE75" s="254" t="n"/>
    </row>
    <row r="76">
      <c r="A76" s="258" t="n"/>
      <c r="B76" s="259" t="n"/>
      <c r="C76" s="260" t="n"/>
      <c r="D76" s="261" t="n"/>
      <c r="E76" s="262" t="n"/>
      <c r="F76" s="242" t="n"/>
      <c r="G76" s="243" t="n"/>
      <c r="H76" s="263" t="n"/>
      <c r="I76" s="244" t="n"/>
      <c r="J76" s="242" t="n"/>
      <c r="K76" s="245" t="n"/>
      <c r="L76" s="246" t="n"/>
      <c r="M76" s="264" t="n"/>
      <c r="N76" s="265" t="n"/>
      <c r="O76" s="264" t="n"/>
      <c r="P76" s="265" t="n"/>
      <c r="Q76" s="264" t="n"/>
      <c r="R76" s="265" t="n"/>
      <c r="S76" s="264" t="n"/>
      <c r="T76" s="265" t="n"/>
      <c r="U76" s="266" t="n"/>
      <c r="V76" s="265" t="n"/>
      <c r="W76" s="267" t="n"/>
      <c r="X76" s="265" t="n"/>
      <c r="Y76" s="268" t="n"/>
      <c r="Z76" s="269" t="n"/>
      <c r="AA76" s="270" t="n"/>
      <c r="AB76" s="271" t="n"/>
      <c r="AC76" s="272" t="n"/>
      <c r="AD76" s="273" t="n"/>
      <c r="AE76" s="274" t="n"/>
    </row>
    <row r="78" ht="15.75" customHeight="1"/>
    <row r="79" ht="15.75" customHeight="1"/>
    <row r="80" ht="15.75" customHeight="1">
      <c r="A80" s="22" t="inlineStr">
        <is>
          <t>REGENERANTS 2 - Standard</t>
        </is>
      </c>
      <c r="B80" s="23" t="n"/>
      <c r="C80" s="24" t="n"/>
      <c r="D80" s="25" t="inlineStr">
        <is>
          <t>Panachage 24 unités // Remise 10% pour BRI conso 10€ sur 4 produits : Sérum J/N, CDJR, CDJRI, sérum nuit RI (-10€ = prix plancher, à imprimer sur 1 SR sur le présentoir)</t>
        </is>
      </c>
      <c r="E80" s="23" t="n"/>
      <c r="F80" s="23" t="n"/>
      <c r="G80" s="23" t="n"/>
      <c r="H80" s="23" t="n"/>
      <c r="I80" s="23" t="n"/>
      <c r="J80" s="23" t="n"/>
      <c r="K80" s="23" t="n"/>
      <c r="L80" s="23" t="n"/>
      <c r="M80" s="275" t="n"/>
      <c r="N80" s="276" t="n"/>
      <c r="O80" s="275" t="n"/>
      <c r="P80" s="276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165" t="n"/>
    </row>
    <row r="82">
      <c r="A82" s="1" t="n"/>
      <c r="B82" s="1" t="n"/>
      <c r="C82" s="2" t="n"/>
      <c r="D82" s="1" t="n"/>
      <c r="E82" s="1" t="n"/>
      <c r="F82" s="1" t="n"/>
      <c r="G82" s="1" t="n"/>
      <c r="H82" s="1" t="n"/>
      <c r="J82" s="1" t="n"/>
      <c r="K82" s="1" t="n"/>
      <c r="L82" s="1" t="n"/>
      <c r="M82" s="207" t="n"/>
      <c r="O82" s="207" t="n"/>
      <c r="Q82" s="207" t="n"/>
      <c r="S82" s="208" t="n"/>
      <c r="U82" s="208" t="n"/>
      <c r="W82" s="208" t="n"/>
      <c r="Y82" s="208" t="n"/>
      <c r="AA82" s="206" t="n"/>
      <c r="AB82" s="45" t="n"/>
      <c r="AC82" s="45" t="n"/>
      <c r="AD82" s="45" t="n"/>
      <c r="AE82" s="200" t="n"/>
    </row>
    <row r="83">
      <c r="A83" s="22" t="inlineStr">
        <is>
          <t>7021434 — MEA Régénérants 2026 - Standard (24 unités - 10% remise)</t>
        </is>
      </c>
      <c r="B83" s="23" t="n"/>
      <c r="C83" s="24" t="n"/>
      <c r="D83" s="25" t="inlineStr">
        <is>
          <t>Panachage 50 unités // Remise 15% pour BRI conso 10€ sur 4 produits : Sérum J/N, CDJR, CDJRI, sérum nuit RI (-10€ = prix plancher, à imprimer sur 1 SR sur le présentoir)</t>
        </is>
      </c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0" t="n"/>
    </row>
    <row r="84">
      <c r="A84" s="69" t="inlineStr">
        <is>
          <t>Nombre d'offres</t>
        </is>
      </c>
      <c r="B84" s="192" t="n">
        <v>126</v>
      </c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69" t="inlineStr">
        <is>
          <t>Nombre de produits</t>
        </is>
      </c>
      <c r="B85" s="192" t="n">
        <v>35</v>
      </c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193" t="n"/>
      <c r="AB85" s="194" t="n"/>
      <c r="AC85" s="194" t="n"/>
      <c r="AD85" s="194" t="n"/>
      <c r="AE85" s="195" t="n"/>
      <c r="AF85" s="1" t="n"/>
    </row>
    <row r="86" ht="51.75" customHeight="1">
      <c r="A86" s="1" t="n"/>
      <c r="B86" s="1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96" t="inlineStr">
        <is>
          <t>RETAIL</t>
        </is>
      </c>
      <c r="N86" s="290" t="n"/>
      <c r="O86" s="290" t="n"/>
      <c r="P86" s="290" t="n"/>
      <c r="Q86" s="290" t="n"/>
      <c r="R86" s="290" t="n"/>
      <c r="S86" s="197" t="inlineStr">
        <is>
          <t>INSTITUT</t>
        </is>
      </c>
      <c r="T86" s="198" t="n"/>
      <c r="U86" s="199" t="n"/>
      <c r="V86" s="199" t="n"/>
      <c r="W86" s="199" t="n"/>
      <c r="X86" s="199" t="n"/>
      <c r="Y86" s="197" t="n"/>
      <c r="Z86" s="198" t="n"/>
      <c r="AA86" s="39" t="n"/>
      <c r="AB86" s="34" t="inlineStr">
        <is>
          <t>Retail + Institut</t>
        </is>
      </c>
      <c r="AC86" s="34" t="n"/>
      <c r="AD86" s="34" t="n"/>
      <c r="AE86" s="200" t="n"/>
      <c r="AF86" s="1" t="n"/>
    </row>
    <row r="87" ht="26.25" customHeight="1">
      <c r="A87" s="1" t="n"/>
      <c r="B87" s="1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201" t="n"/>
      <c r="N87" s="202" t="n"/>
      <c r="O87" s="201" t="n"/>
      <c r="P87" s="202" t="n"/>
      <c r="Q87" s="203" t="n"/>
      <c r="R87" s="203" t="n"/>
      <c r="S87" s="201" t="n"/>
      <c r="T87" s="202" t="n"/>
      <c r="U87" s="203" t="n"/>
      <c r="V87" s="202" t="n"/>
      <c r="W87" s="203" t="n"/>
      <c r="X87" s="203" t="n"/>
      <c r="Y87" s="204" t="n"/>
      <c r="Z87" s="205" t="n"/>
      <c r="AA87" s="206" t="n"/>
      <c r="AB87" s="39" t="n"/>
      <c r="AC87" s="39" t="n"/>
      <c r="AD87" s="39" t="n"/>
      <c r="AE87" s="200" t="n"/>
      <c r="AF87" s="1" t="n"/>
    </row>
    <row r="88">
      <c r="A88" s="1" t="n"/>
      <c r="B88" s="1" t="n"/>
      <c r="C88" s="2" t="n"/>
      <c r="D88" s="1" t="n"/>
      <c r="E88" s="1" t="n"/>
      <c r="F88" s="1" t="n"/>
      <c r="G88" s="1" t="n"/>
      <c r="H88" s="1" t="n"/>
      <c r="J88" s="1" t="n"/>
      <c r="K88" s="1" t="n"/>
      <c r="L88" s="1" t="n"/>
      <c r="M88" s="207" t="inlineStr">
        <is>
          <t>Ambassadeur</t>
        </is>
      </c>
      <c r="O88" s="207" t="inlineStr">
        <is>
          <t>Compagnon</t>
        </is>
      </c>
      <c r="Q88" s="207" t="inlineStr">
        <is>
          <t>Challenger</t>
        </is>
      </c>
      <c r="S88" s="208" t="inlineStr">
        <is>
          <t>Rose</t>
        </is>
      </c>
      <c r="U88" s="208" t="inlineStr">
        <is>
          <t>Prunelier</t>
        </is>
      </c>
      <c r="W88" s="208" t="inlineStr">
        <is>
          <t>Anthylide</t>
        </is>
      </c>
      <c r="Y88" s="208" t="inlineStr">
        <is>
          <t>Calendula</t>
        </is>
      </c>
      <c r="AA88" s="206" t="n"/>
      <c r="AB88" s="45" t="inlineStr">
        <is>
          <t>Total</t>
        </is>
      </c>
      <c r="AC88" s="45" t="n"/>
      <c r="AD88" s="45" t="n"/>
      <c r="AE88" s="200" t="n"/>
      <c r="AF88" s="1" t="n"/>
    </row>
    <row r="89">
      <c r="A89" s="1" t="n"/>
      <c r="B89" s="1" t="n"/>
      <c r="C89" s="2" t="n"/>
      <c r="D89" s="1" t="n"/>
      <c r="E89" s="1" t="n"/>
      <c r="F89" s="1" t="n"/>
      <c r="G89" s="1" t="n"/>
      <c r="H89" s="1" t="n"/>
      <c r="J89" s="1" t="n"/>
      <c r="K89" s="1" t="n"/>
      <c r="L89" s="1" t="n"/>
      <c r="M89" s="209" t="inlineStr">
        <is>
          <t>% Offres</t>
        </is>
      </c>
      <c r="N89" s="210" t="n">
        <v>0.5</v>
      </c>
      <c r="O89" s="209" t="inlineStr">
        <is>
          <t>% Offres</t>
        </is>
      </c>
      <c r="P89" s="210" t="n">
        <v>0.1</v>
      </c>
      <c r="Q89" s="209" t="inlineStr">
        <is>
          <t>% Offres</t>
        </is>
      </c>
      <c r="R89" s="210" t="n">
        <v>0.1</v>
      </c>
      <c r="S89" s="209" t="inlineStr">
        <is>
          <t>% Offres</t>
        </is>
      </c>
      <c r="T89" s="210" t="n">
        <v>0.1</v>
      </c>
      <c r="U89" s="211" t="inlineStr">
        <is>
          <t>% Offres</t>
        </is>
      </c>
      <c r="V89" s="212" t="n">
        <v>0.1</v>
      </c>
      <c r="W89" s="209" t="inlineStr">
        <is>
          <t>% Offres</t>
        </is>
      </c>
      <c r="X89" s="212" t="n">
        <v>0.05</v>
      </c>
      <c r="Y89" s="213" t="n"/>
      <c r="Z89" s="210" t="n">
        <v>0.05</v>
      </c>
      <c r="AA89" s="204" t="n"/>
      <c r="AB89" s="214" t="n"/>
      <c r="AC89" s="214" t="n"/>
      <c r="AD89" s="214" t="n"/>
      <c r="AE89" s="205" t="n"/>
      <c r="AF89" s="1" t="n"/>
    </row>
    <row r="90">
      <c r="A90" s="1" t="n"/>
      <c r="B90" s="1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09" t="inlineStr">
        <is>
          <t>Remise</t>
        </is>
      </c>
      <c r="N90" s="215" t="n">
        <v>0.17</v>
      </c>
      <c r="O90" s="209" t="inlineStr">
        <is>
          <t>Remise</t>
        </is>
      </c>
      <c r="P90" s="215" t="n">
        <v>0.13</v>
      </c>
      <c r="Q90" s="209" t="inlineStr">
        <is>
          <t>Remise</t>
        </is>
      </c>
      <c r="R90" s="215" t="n">
        <v>0.08</v>
      </c>
      <c r="S90" s="209" t="inlineStr">
        <is>
          <t>Remise</t>
        </is>
      </c>
      <c r="T90" s="216" t="n">
        <v>0.325</v>
      </c>
      <c r="U90" s="211" t="inlineStr">
        <is>
          <t>Remise</t>
        </is>
      </c>
      <c r="V90" s="217" t="n">
        <v>0.3</v>
      </c>
      <c r="W90" s="209" t="inlineStr">
        <is>
          <t>Remise</t>
        </is>
      </c>
      <c r="X90" s="217" t="n">
        <v>0.28</v>
      </c>
      <c r="Y90" s="209" t="inlineStr">
        <is>
          <t>Remise</t>
        </is>
      </c>
      <c r="Z90" s="215" t="n">
        <v>0.25</v>
      </c>
      <c r="AA90" s="206" t="n"/>
      <c r="AB90" s="39" t="n"/>
      <c r="AC90" s="39" t="n"/>
      <c r="AD90" s="39" t="n"/>
      <c r="AE90" s="200" t="n"/>
      <c r="AF90" s="1" t="n"/>
    </row>
    <row r="91" ht="15.75" customHeight="1">
      <c r="A91" s="1" t="n"/>
      <c r="B91" s="1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09" t="inlineStr">
        <is>
          <t>Nb Offres</t>
        </is>
      </c>
      <c r="N91" s="218">
        <f>N9*$B$84</f>
        <v/>
      </c>
      <c r="O91" s="209" t="inlineStr">
        <is>
          <t>Nb Offres</t>
        </is>
      </c>
      <c r="P91" s="218">
        <f>P9*$B$84</f>
        <v/>
      </c>
      <c r="Q91" s="209" t="inlineStr">
        <is>
          <t>Nb Offres</t>
        </is>
      </c>
      <c r="R91" s="218">
        <f>R9*$B$84</f>
        <v/>
      </c>
      <c r="S91" s="209" t="inlineStr">
        <is>
          <t>Nb Offres</t>
        </is>
      </c>
      <c r="T91" s="218">
        <f>T9*$B$84</f>
        <v/>
      </c>
      <c r="U91" s="211" t="inlineStr">
        <is>
          <t>Nb Offres</t>
        </is>
      </c>
      <c r="V91" s="218">
        <f>V9*$B$84</f>
        <v/>
      </c>
      <c r="W91" s="209" t="inlineStr">
        <is>
          <t>Nb Offres</t>
        </is>
      </c>
      <c r="X91" s="219">
        <f>X9*$B$84</f>
        <v/>
      </c>
      <c r="Y91" s="209" t="inlineStr">
        <is>
          <t>Nb Offres</t>
        </is>
      </c>
      <c r="Z91" s="218">
        <f>Z9*$B$84</f>
        <v/>
      </c>
      <c r="AA91" s="206" t="n"/>
      <c r="AB91" s="39" t="n"/>
      <c r="AC91" s="39" t="n"/>
      <c r="AD91" s="39" t="n"/>
      <c r="AE91" s="200" t="n"/>
      <c r="AF91" s="1" t="n"/>
    </row>
    <row r="92" ht="15.75" customHeight="1">
      <c r="A92" s="46" t="n"/>
      <c r="B92" s="46" t="n"/>
      <c r="C92" s="47" t="n"/>
      <c r="D92" s="46" t="n"/>
      <c r="E92" s="48" t="inlineStr">
        <is>
          <t>Pdt dans offre</t>
        </is>
      </c>
      <c r="F92" s="48" t="inlineStr">
        <is>
          <t>Coût achat unitaire</t>
        </is>
      </c>
      <c r="G92" s="48" t="inlineStr">
        <is>
          <t>Coûts achats total</t>
        </is>
      </c>
      <c r="H92" s="48" t="inlineStr">
        <is>
          <t>Tarif revendeur unitaire</t>
        </is>
      </c>
      <c r="I92" s="48" t="inlineStr">
        <is>
          <t>Remise additionnelle</t>
        </is>
      </c>
      <c r="J92" s="48" t="inlineStr">
        <is>
          <t>PPC</t>
        </is>
      </c>
      <c r="K92" s="48" t="inlineStr">
        <is>
          <t>PPC Remisé</t>
        </is>
      </c>
      <c r="L92" s="48" t="inlineStr">
        <is>
          <t>Montant BRI</t>
        </is>
      </c>
      <c r="M92" s="220" t="inlineStr">
        <is>
          <t>CA</t>
        </is>
      </c>
      <c r="N92" s="221" t="inlineStr">
        <is>
          <t>Marges</t>
        </is>
      </c>
      <c r="O92" s="220" t="inlineStr">
        <is>
          <t>CA</t>
        </is>
      </c>
      <c r="P92" s="221" t="inlineStr">
        <is>
          <t>Marges</t>
        </is>
      </c>
      <c r="Q92" s="220" t="inlineStr">
        <is>
          <t>CA</t>
        </is>
      </c>
      <c r="R92" s="221" t="inlineStr">
        <is>
          <t>Marges</t>
        </is>
      </c>
      <c r="S92" s="220" t="inlineStr">
        <is>
          <t>CA</t>
        </is>
      </c>
      <c r="T92" s="221" t="inlineStr">
        <is>
          <t>Marges</t>
        </is>
      </c>
      <c r="U92" s="48" t="inlineStr">
        <is>
          <t>CA</t>
        </is>
      </c>
      <c r="V92" s="221" t="inlineStr">
        <is>
          <t>Marges</t>
        </is>
      </c>
      <c r="W92" s="48" t="inlineStr">
        <is>
          <t>CA</t>
        </is>
      </c>
      <c r="X92" s="48" t="inlineStr">
        <is>
          <t>Marges</t>
        </is>
      </c>
      <c r="Y92" s="220" t="inlineStr">
        <is>
          <t>CA</t>
        </is>
      </c>
      <c r="Z92" s="221" t="inlineStr">
        <is>
          <t>Marges</t>
        </is>
      </c>
      <c r="AA92" s="222" t="n"/>
      <c r="AB92" s="50" t="inlineStr">
        <is>
          <t>Nbrs Offres planifiées</t>
        </is>
      </c>
      <c r="AC92" s="50" t="inlineStr">
        <is>
          <t>CA</t>
        </is>
      </c>
      <c r="AD92" s="50" t="inlineStr">
        <is>
          <t>Marges</t>
        </is>
      </c>
      <c r="AE92" s="223" t="n"/>
    </row>
    <row r="93" ht="15.75" customHeight="1">
      <c r="A93" s="66" t="inlineStr">
        <is>
          <t>Code article</t>
        </is>
      </c>
      <c r="B93" s="66" t="inlineStr">
        <is>
          <t>Libellé article</t>
        </is>
      </c>
      <c r="C93" s="66" t="inlineStr">
        <is>
          <t>Code à barres (EAN)</t>
        </is>
      </c>
      <c r="D93" s="66" t="inlineStr">
        <is>
          <t>Typ. Prod</t>
        </is>
      </c>
      <c r="E93" s="66" t="inlineStr">
        <is>
          <t>'#</t>
        </is>
      </c>
      <c r="F93" s="66" t="inlineStr">
        <is>
          <t>'€</t>
        </is>
      </c>
      <c r="G93" s="66" t="inlineStr">
        <is>
          <t>'€</t>
        </is>
      </c>
      <c r="H93" s="66" t="inlineStr">
        <is>
          <t>'€</t>
        </is>
      </c>
      <c r="I93" s="66" t="inlineStr">
        <is>
          <t>'€</t>
        </is>
      </c>
      <c r="J93" s="66" t="inlineStr">
        <is>
          <t>'€</t>
        </is>
      </c>
      <c r="K93" s="66" t="inlineStr">
        <is>
          <t>'€</t>
        </is>
      </c>
      <c r="L93" s="66" t="inlineStr">
        <is>
          <t>'€</t>
        </is>
      </c>
      <c r="M93" s="224" t="inlineStr">
        <is>
          <t>'€</t>
        </is>
      </c>
      <c r="N93" s="225" t="inlineStr">
        <is>
          <t>'€</t>
        </is>
      </c>
      <c r="O93" s="224" t="inlineStr">
        <is>
          <t>'€</t>
        </is>
      </c>
      <c r="P93" s="225" t="inlineStr">
        <is>
          <t>'€</t>
        </is>
      </c>
      <c r="Q93" s="224" t="inlineStr">
        <is>
          <t>'€</t>
        </is>
      </c>
      <c r="R93" s="225" t="inlineStr">
        <is>
          <t>'€</t>
        </is>
      </c>
      <c r="S93" s="224" t="inlineStr">
        <is>
          <t>'€</t>
        </is>
      </c>
      <c r="T93" s="225" t="inlineStr">
        <is>
          <t>'€</t>
        </is>
      </c>
      <c r="U93" s="66" t="inlineStr">
        <is>
          <t>'€</t>
        </is>
      </c>
      <c r="V93" s="225" t="inlineStr">
        <is>
          <t>'€</t>
        </is>
      </c>
      <c r="W93" s="66" t="inlineStr">
        <is>
          <t>'€</t>
        </is>
      </c>
      <c r="X93" s="66" t="inlineStr">
        <is>
          <t>'€</t>
        </is>
      </c>
      <c r="Y93" s="226" t="inlineStr">
        <is>
          <t>'€</t>
        </is>
      </c>
      <c r="Z93" s="227" t="inlineStr">
        <is>
          <t>'€</t>
        </is>
      </c>
      <c r="AA93" s="206" t="n"/>
      <c r="AB93" s="68" t="inlineStr">
        <is>
          <t>'#</t>
        </is>
      </c>
      <c r="AC93" s="68" t="inlineStr">
        <is>
          <t>'€</t>
        </is>
      </c>
      <c r="AD93" s="68" t="inlineStr">
        <is>
          <t>'€</t>
        </is>
      </c>
      <c r="AE93" s="200" t="n"/>
    </row>
    <row r="94">
      <c r="A94" s="1" t="n"/>
      <c r="B94" s="1" t="n"/>
      <c r="C94" s="2" t="n"/>
      <c r="D94" s="1" t="n"/>
      <c r="E94" s="1" t="n"/>
      <c r="F94" s="1" t="n"/>
      <c r="G94" s="1" t="n"/>
      <c r="H94" s="1" t="n"/>
      <c r="I94" s="1" t="n"/>
      <c r="J94" s="1" t="n"/>
      <c r="M94" s="204" t="n"/>
      <c r="N94" s="205" t="n"/>
      <c r="O94" s="204" t="n"/>
      <c r="P94" s="205" t="n"/>
      <c r="Q94" s="204" t="n"/>
      <c r="R94" s="205" t="n"/>
      <c r="S94" s="204" t="n"/>
      <c r="T94" s="205" t="n"/>
      <c r="U94" s="1" t="n"/>
      <c r="V94" s="205" t="n"/>
      <c r="W94" s="1" t="n"/>
      <c r="X94" s="205" t="n"/>
      <c r="Y94" s="1" t="n"/>
      <c r="Z94" s="1" t="n"/>
      <c r="AA94" s="206" t="n"/>
      <c r="AB94" s="39" t="n"/>
      <c r="AC94" s="39" t="n"/>
      <c r="AD94" s="39" t="n"/>
      <c r="AE94" s="200" t="n"/>
    </row>
    <row r="95">
      <c r="A95" s="70" t="inlineStr">
        <is>
          <t>Synthèse</t>
        </is>
      </c>
      <c r="B95" s="70" t="n"/>
      <c r="C95" s="71" t="n"/>
      <c r="D95" s="70" t="n"/>
      <c r="E95" s="228">
        <f>IFERROR(SUMIFS(E97:E116,D97:D116,"Produit Vente"),"Non trouvé")</f>
        <v/>
      </c>
      <c r="F95" s="73" t="n"/>
      <c r="G95" s="73">
        <f>IFERROR(SUM(G97:G116),"Non Trouvé")</f>
        <v/>
      </c>
      <c r="H95" s="73">
        <f>IFERROR(#REF!/#REF!,"Non Trouvé")</f>
        <v/>
      </c>
      <c r="I95" s="74">
        <f>IFERROR(-(#REF!-#REF!)/#REF!,"Non Trouvé")</f>
        <v/>
      </c>
      <c r="J95" s="73">
        <f>IFERROR(SUM(J97:J116),"Non Trouvé")</f>
        <v/>
      </c>
      <c r="K95" s="73">
        <f>IFERROR(SUM(K97:K116),"Non Trouvé")</f>
        <v/>
      </c>
      <c r="L95" s="73">
        <f>IFERROR(SUM(L97:L116),"Non Trouvé")</f>
        <v/>
      </c>
      <c r="M95" s="229">
        <f>SUM(M97:M116)</f>
        <v/>
      </c>
      <c r="N95" s="230">
        <f>SUM(N97:N116)</f>
        <v/>
      </c>
      <c r="O95" s="229">
        <f>SUM(O97:O116)</f>
        <v/>
      </c>
      <c r="P95" s="230">
        <f>SUM(P97:P116)</f>
        <v/>
      </c>
      <c r="Q95" s="229">
        <f>SUM(Q97:Q116)</f>
        <v/>
      </c>
      <c r="R95" s="230">
        <f>SUM(R97:R116)</f>
        <v/>
      </c>
      <c r="S95" s="229">
        <f>SUM(S97:S116)</f>
        <v/>
      </c>
      <c r="T95" s="230">
        <f>SUM(T97:T116)</f>
        <v/>
      </c>
      <c r="U95" s="231">
        <f>SUM(U97:U116)</f>
        <v/>
      </c>
      <c r="V95" s="230">
        <f>SUM(V97:V116)</f>
        <v/>
      </c>
      <c r="W95" s="231">
        <f>SUM(W97:W116)</f>
        <v/>
      </c>
      <c r="X95" s="230">
        <f>SUM(X97:X116)</f>
        <v/>
      </c>
      <c r="Y95" s="231">
        <f>SUM(Y97:Y116)</f>
        <v/>
      </c>
      <c r="Z95" s="232">
        <f>SUM(Z97:Z116)</f>
        <v/>
      </c>
      <c r="AA95" s="233" t="n"/>
      <c r="AB95" s="72">
        <f>B84</f>
        <v/>
      </c>
      <c r="AC95" s="234">
        <f>Y95+W95+U95+S95+O95+M95+Q95</f>
        <v/>
      </c>
      <c r="AD95" s="235">
        <f>Z95+X95+V95+T95+P95+N95+R95</f>
        <v/>
      </c>
      <c r="AE95" s="236" t="n"/>
    </row>
    <row r="96">
      <c r="A96" s="1" t="n"/>
      <c r="B96" s="1" t="n"/>
      <c r="C96" s="2" t="n"/>
      <c r="D96" s="1" t="n"/>
      <c r="E96" s="1" t="n"/>
      <c r="F96" s="1" t="n"/>
      <c r="G96" s="1" t="n"/>
      <c r="H96" s="1" t="n"/>
      <c r="I96" s="1" t="n"/>
      <c r="J96" s="1" t="n"/>
      <c r="M96" s="204" t="n"/>
      <c r="N96" s="205" t="n"/>
      <c r="O96" s="204" t="n"/>
      <c r="P96" s="205" t="n"/>
      <c r="Q96" s="204" t="n"/>
      <c r="R96" s="205" t="n"/>
      <c r="S96" s="204" t="n"/>
      <c r="T96" s="205" t="n"/>
      <c r="U96" s="1" t="n"/>
      <c r="V96" s="205" t="n"/>
      <c r="W96" s="1" t="n"/>
      <c r="X96" s="205" t="n"/>
      <c r="Y96" s="1" t="n"/>
      <c r="Z96" s="1" t="n"/>
      <c r="AA96" s="206" t="n"/>
      <c r="AB96" s="39" t="n"/>
      <c r="AC96" s="39" t="n"/>
      <c r="AD96" s="39" t="n"/>
      <c r="AE96" s="200" t="n"/>
    </row>
    <row r="97">
      <c r="A97" s="237" t="inlineStr">
        <is>
          <t>1020720</t>
        </is>
      </c>
      <c r="B97" s="238" t="inlineStr">
        <is>
          <t>[1020720] Crème de Jour - Régénérant Intensif - 40ml</t>
        </is>
      </c>
      <c r="C97" s="239" t="inlineStr">
        <is>
          <t>4020829102972</t>
        </is>
      </c>
      <c r="D97" s="240" t="inlineStr">
        <is>
          <t>Produit Vente</t>
        </is>
      </c>
      <c r="E97" s="241" t="n">
        <v>6</v>
      </c>
      <c r="F97" s="242" t="n">
        <v>17.19</v>
      </c>
      <c r="G97" s="243">
        <f>E97*F97</f>
        <v/>
      </c>
      <c r="H97" s="242" t="n">
        <v>44.65</v>
      </c>
      <c r="I97" s="244" t="n">
        <v>0.15</v>
      </c>
      <c r="J97" s="242" t="n">
        <v>75.90000000000001</v>
      </c>
      <c r="K97" s="245">
        <f>J97*(1-I97)</f>
        <v/>
      </c>
      <c r="L97" s="246">
        <f>IFERROR(J97-K97,"")</f>
        <v/>
      </c>
      <c r="M97" s="247">
        <f>E97*H97*(1-I97)*$N$91*(1-$N$90)</f>
        <v/>
      </c>
      <c r="N97" s="248">
        <f>M97-E97*F97*$N$91</f>
        <v/>
      </c>
      <c r="O97" s="247">
        <f>E97*H97*(1-I97)*$P$91*(1-$P$90)</f>
        <v/>
      </c>
      <c r="P97" s="248">
        <f>O97-E97*F97*$P$91</f>
        <v/>
      </c>
      <c r="Q97" s="247">
        <f>E97*H97*(1-I97)*$R$91*(1-$R$90)</f>
        <v/>
      </c>
      <c r="R97" s="248">
        <f>Q97-E97*F97*$R$91</f>
        <v/>
      </c>
      <c r="S97" s="247">
        <f>E97*H97*(1-I97)*$T$91*(1-$T$90)</f>
        <v/>
      </c>
      <c r="T97" s="248">
        <f>S97-E97*F97*$T$91</f>
        <v/>
      </c>
      <c r="U97" s="249">
        <f>E97*H97*(1-I97)*$V$91*(1-$V$90)</f>
        <v/>
      </c>
      <c r="V97" s="248">
        <f>U97-E97*F97*$V$91</f>
        <v/>
      </c>
      <c r="W97" s="250">
        <f>E97*H97*(1-I97)*$X$91*(1-$X$90)</f>
        <v/>
      </c>
      <c r="X97" s="248">
        <f>W97-E97*F97*$X$91</f>
        <v/>
      </c>
      <c r="Y97" s="251">
        <f>E97*H97*(1-I97)*$Z$91*(1-$Z$90)</f>
        <v/>
      </c>
      <c r="Z97" s="252">
        <f>Y97-E97*F97*$Z$91</f>
        <v/>
      </c>
      <c r="AA97" s="253" t="n"/>
      <c r="AB97" s="101" t="n"/>
      <c r="AC97" s="102" t="n"/>
      <c r="AD97" s="102" t="n"/>
      <c r="AE97" s="254" t="n"/>
    </row>
    <row r="98">
      <c r="A98" s="237" t="inlineStr">
        <is>
          <t>1020202</t>
        </is>
      </c>
      <c r="B98" s="238" t="inlineStr">
        <is>
          <t>[1020202] Sérum Jour/Nuit - Régénérant - 30 ml</t>
        </is>
      </c>
      <c r="C98" s="239" t="inlineStr">
        <is>
          <t>4020829103115</t>
        </is>
      </c>
      <c r="D98" s="240" t="inlineStr">
        <is>
          <t>Produit Vente</t>
        </is>
      </c>
      <c r="E98" s="241" t="n">
        <v>5</v>
      </c>
      <c r="F98" s="242" t="n">
        <v>15.84</v>
      </c>
      <c r="G98" s="243">
        <f>E98*F98</f>
        <v/>
      </c>
      <c r="H98" s="242" t="n">
        <v>41.12</v>
      </c>
      <c r="I98" s="244" t="n">
        <v>0.15</v>
      </c>
      <c r="J98" s="242" t="n">
        <v>69.90000000000001</v>
      </c>
      <c r="K98" s="245">
        <f>J98*(1-I98)</f>
        <v/>
      </c>
      <c r="L98" s="246">
        <f>IFERROR(J98-K98,"")</f>
        <v/>
      </c>
      <c r="M98" s="247">
        <f>E98*H98*(1-I98)*$N$91*(1-$N$90)</f>
        <v/>
      </c>
      <c r="N98" s="248">
        <f>M98-E98*F98*$N$91</f>
        <v/>
      </c>
      <c r="O98" s="247">
        <f>E98*H98*(1-I98)*$P$91*(1-$P$90)</f>
        <v/>
      </c>
      <c r="P98" s="248">
        <f>O98-E98*F98*$P$91</f>
        <v/>
      </c>
      <c r="Q98" s="247">
        <f>E98*H98*(1-I98)*$R$91*(1-$R$90)</f>
        <v/>
      </c>
      <c r="R98" s="248">
        <f>Q98-E98*F98*$R$91</f>
        <v/>
      </c>
      <c r="S98" s="247">
        <f>E98*H98*(1-I98)*$T$91*(1-$T$90)</f>
        <v/>
      </c>
      <c r="T98" s="248">
        <f>S98-E98*F98*$T$91</f>
        <v/>
      </c>
      <c r="U98" s="249">
        <f>E98*H98*(1-I98)*$V$91*(1-$V$90)</f>
        <v/>
      </c>
      <c r="V98" s="248">
        <f>U98-E98*F98*$V$91</f>
        <v/>
      </c>
      <c r="W98" s="250">
        <f>E98*H98*(1-I98)*$X$91*(1-$X$90)</f>
        <v/>
      </c>
      <c r="X98" s="248">
        <f>W98-E98*F98*$X$91</f>
        <v/>
      </c>
      <c r="Y98" s="251">
        <f>E98*H98*(1-I98)*$Z$91*(1-$Z$90)</f>
        <v/>
      </c>
      <c r="Z98" s="252">
        <f>Y98-E98*F98*$Z$91</f>
        <v/>
      </c>
      <c r="AA98" s="255" t="n"/>
      <c r="AB98" s="256" t="n"/>
      <c r="AC98" s="257" t="n"/>
      <c r="AD98" s="121" t="n"/>
      <c r="AE98" s="254" t="n"/>
    </row>
    <row r="99">
      <c r="A99" s="237" t="inlineStr">
        <is>
          <t>1020718</t>
        </is>
      </c>
      <c r="B99" s="238" t="inlineStr">
        <is>
          <t>[1020718] Sérum de Nuit - Régénérant Intensif - 30 ml</t>
        </is>
      </c>
      <c r="C99" s="239" t="inlineStr">
        <is>
          <t>4020829101111</t>
        </is>
      </c>
      <c r="D99" s="240" t="inlineStr">
        <is>
          <t>Produit Vente</t>
        </is>
      </c>
      <c r="E99" s="241" t="n">
        <v>4</v>
      </c>
      <c r="F99" s="242" t="n">
        <v>18.28</v>
      </c>
      <c r="G99" s="243">
        <f>E99*F99</f>
        <v/>
      </c>
      <c r="H99" s="242" t="n">
        <v>46.76</v>
      </c>
      <c r="I99" s="244" t="n">
        <v>0.15</v>
      </c>
      <c r="J99" s="242" t="n">
        <v>79.5</v>
      </c>
      <c r="K99" s="245">
        <f>J99*(1-I99)</f>
        <v/>
      </c>
      <c r="L99" s="246">
        <f>IFERROR(J99-K99,"")</f>
        <v/>
      </c>
      <c r="M99" s="247">
        <f>E99*H99*(1-I99)*$N$91*(1-$N$90)</f>
        <v/>
      </c>
      <c r="N99" s="248">
        <f>M99-E99*F99*$N$91</f>
        <v/>
      </c>
      <c r="O99" s="247">
        <f>E99*H99*(1-I99)*$P$91*(1-$P$90)</f>
        <v/>
      </c>
      <c r="P99" s="248">
        <f>O99-E99*F99*$P$91</f>
        <v/>
      </c>
      <c r="Q99" s="247">
        <f>E99*H99*(1-I99)*$R$91*(1-$R$90)</f>
        <v/>
      </c>
      <c r="R99" s="248">
        <f>Q99-E99*F99*$R$91</f>
        <v/>
      </c>
      <c r="S99" s="247">
        <f>E99*H99*(1-I99)*$T$91*(1-$T$90)</f>
        <v/>
      </c>
      <c r="T99" s="248">
        <f>S99-E99*F99*$T$91</f>
        <v/>
      </c>
      <c r="U99" s="249">
        <f>E99*H99*(1-I99)*$V$91*(1-$V$90)</f>
        <v/>
      </c>
      <c r="V99" s="248">
        <f>U99-E99*F99*$V$91</f>
        <v/>
      </c>
      <c r="W99" s="250">
        <f>E99*H99*(1-I99)*$X$91*(1-$X$90)</f>
        <v/>
      </c>
      <c r="X99" s="248">
        <f>W99-E99*F99*$X$91</f>
        <v/>
      </c>
      <c r="Y99" s="251">
        <f>E99*H99*(1-I99)*$Z$91*(1-$Z$90)</f>
        <v/>
      </c>
      <c r="Z99" s="252">
        <f>Y99-E99*F99*$Z$91</f>
        <v/>
      </c>
      <c r="AA99" s="255" t="n"/>
      <c r="AB99" s="256" t="n"/>
      <c r="AC99" s="257" t="n"/>
      <c r="AD99" s="123" t="n"/>
      <c r="AE99" s="254" t="n"/>
    </row>
    <row r="100">
      <c r="A100" s="237" t="inlineStr">
        <is>
          <t>1020301</t>
        </is>
      </c>
      <c r="B100" s="238" t="inlineStr">
        <is>
          <t>[1020301] Crème de Jour - Régénérant - 40 ml</t>
        </is>
      </c>
      <c r="C100" s="239" t="inlineStr">
        <is>
          <t>4020829007383</t>
        </is>
      </c>
      <c r="D100" s="240" t="inlineStr">
        <is>
          <t>Produit Vente</t>
        </is>
      </c>
      <c r="E100" s="241" t="n">
        <v>5</v>
      </c>
      <c r="F100" s="242" t="n">
        <v>14.8</v>
      </c>
      <c r="G100" s="243">
        <f>E100*F100</f>
        <v/>
      </c>
      <c r="H100" s="242" t="n">
        <v>38.53</v>
      </c>
      <c r="I100" s="244" t="n">
        <v>0.15</v>
      </c>
      <c r="J100" s="242" t="n">
        <v>65.5</v>
      </c>
      <c r="K100" s="245">
        <f>J100*(1-I100)</f>
        <v/>
      </c>
      <c r="L100" s="246">
        <f>IFERROR(J100-K100,"")</f>
        <v/>
      </c>
      <c r="M100" s="247">
        <f>E100*H100*(1-I100)*$N$91*(1-$N$90)</f>
        <v/>
      </c>
      <c r="N100" s="248">
        <f>M100-E100*F100*$N$91</f>
        <v/>
      </c>
      <c r="O100" s="247">
        <f>E100*H100*(1-I100)*$P$91*(1-$P$90)</f>
        <v/>
      </c>
      <c r="P100" s="248">
        <f>O100-E100*F100*$P$91</f>
        <v/>
      </c>
      <c r="Q100" s="247">
        <f>E100*H100*(1-I100)*$R$91*(1-$R$90)</f>
        <v/>
      </c>
      <c r="R100" s="248">
        <f>Q100-E100*F100*$R$91</f>
        <v/>
      </c>
      <c r="S100" s="247">
        <f>E100*H100*(1-I100)*$T$91*(1-$T$90)</f>
        <v/>
      </c>
      <c r="T100" s="248">
        <f>S100-E100*F100*$T$91</f>
        <v/>
      </c>
      <c r="U100" s="249">
        <f>E100*H100*(1-I100)*$V$91*(1-$V$90)</f>
        <v/>
      </c>
      <c r="V100" s="248">
        <f>U100-E100*F100*$V$91</f>
        <v/>
      </c>
      <c r="W100" s="250">
        <f>E100*H100*(1-I100)*$X$91*(1-$X$90)</f>
        <v/>
      </c>
      <c r="X100" s="248">
        <f>W100-E100*F100*$X$91</f>
        <v/>
      </c>
      <c r="Y100" s="251">
        <f>E100*H100*(1-I100)*$Z$91*(1-$Z$90)</f>
        <v/>
      </c>
      <c r="Z100" s="252">
        <f>Y100-E100*F100*$Z$91</f>
        <v/>
      </c>
      <c r="AA100" s="253" t="n"/>
      <c r="AB100" s="101" t="n"/>
      <c r="AC100" s="102" t="n"/>
      <c r="AD100" s="102" t="n"/>
      <c r="AE100" s="254" t="n"/>
    </row>
    <row r="101">
      <c r="A101" s="237" t="inlineStr">
        <is>
          <t>1020401</t>
        </is>
      </c>
      <c r="B101" s="238" t="inlineStr">
        <is>
          <t>[1020401] Crème Contour des Yeux - Régénérant - 15 ml</t>
        </is>
      </c>
      <c r="C101" s="239" t="inlineStr">
        <is>
          <t>4020829013919</t>
        </is>
      </c>
      <c r="D101" s="240" t="inlineStr">
        <is>
          <t>Produit Vente</t>
        </is>
      </c>
      <c r="E101" s="241" t="n">
        <v>3</v>
      </c>
      <c r="F101" s="242" t="n">
        <v>15.34</v>
      </c>
      <c r="G101" s="243">
        <f>E101*F101</f>
        <v/>
      </c>
      <c r="H101" s="242" t="n">
        <v>39.71</v>
      </c>
      <c r="I101" s="244" t="n">
        <v>0.15</v>
      </c>
      <c r="J101" s="242" t="n">
        <v>67.5</v>
      </c>
      <c r="K101" s="245">
        <f>J101*(1-I101)</f>
        <v/>
      </c>
      <c r="L101" s="246">
        <f>IFERROR(J101-K101,"")</f>
        <v/>
      </c>
      <c r="M101" s="247">
        <f>E101*H101*(1-I101)*$N$91*(1-$N$90)</f>
        <v/>
      </c>
      <c r="N101" s="248">
        <f>M101-E101*F101*$N$91</f>
        <v/>
      </c>
      <c r="O101" s="247">
        <f>E101*H101*(1-I101)*$P$91*(1-$P$90)</f>
        <v/>
      </c>
      <c r="P101" s="248">
        <f>O101-E101*F101*$P$91</f>
        <v/>
      </c>
      <c r="Q101" s="247">
        <f>E101*H101*(1-I101)*$R$91*(1-$R$90)</f>
        <v/>
      </c>
      <c r="R101" s="248">
        <f>Q101-E101*F101*$R$91</f>
        <v/>
      </c>
      <c r="S101" s="247">
        <f>E101*H101*(1-I101)*$T$91*(1-$T$90)</f>
        <v/>
      </c>
      <c r="T101" s="248">
        <f>S101-E101*F101*$T$91</f>
        <v/>
      </c>
      <c r="U101" s="249">
        <f>E101*H101*(1-I101)*$V$91*(1-$V$90)</f>
        <v/>
      </c>
      <c r="V101" s="248">
        <f>U101-E101*F101*$V$91</f>
        <v/>
      </c>
      <c r="W101" s="250">
        <f>E101*H101*(1-I101)*$X$91*(1-$X$90)</f>
        <v/>
      </c>
      <c r="X101" s="248">
        <f>W101-E101*F101*$X$91</f>
        <v/>
      </c>
      <c r="Y101" s="251">
        <f>E101*H101*(1-I101)*$Z$91*(1-$Z$90)</f>
        <v/>
      </c>
      <c r="Z101" s="252">
        <f>Y101-E101*F101*$Z$91</f>
        <v/>
      </c>
      <c r="AA101" s="253" t="n"/>
      <c r="AB101" s="101" t="n"/>
      <c r="AC101" s="93" t="n"/>
      <c r="AD101" s="125" t="n"/>
      <c r="AE101" s="254" t="n"/>
    </row>
    <row r="102">
      <c r="A102" s="237" t="inlineStr">
        <is>
          <t>1020717</t>
        </is>
      </c>
      <c r="B102" s="238" t="inlineStr">
        <is>
          <t>[1020717] Sérum Contour des Yeux - Régénérant Intensif -15 ml</t>
        </is>
      </c>
      <c r="C102" s="239" t="inlineStr">
        <is>
          <t>4020829101067</t>
        </is>
      </c>
      <c r="D102" s="240" t="inlineStr">
        <is>
          <t>Produit Vente</t>
        </is>
      </c>
      <c r="E102" s="241" t="n">
        <v>2</v>
      </c>
      <c r="F102" s="242" t="n">
        <v>17.64</v>
      </c>
      <c r="G102" s="243">
        <f>E102*F102</f>
        <v/>
      </c>
      <c r="H102" s="242" t="n">
        <v>44.12</v>
      </c>
      <c r="I102" s="244" t="n">
        <v>0.15</v>
      </c>
      <c r="J102" s="242" t="n">
        <v>75</v>
      </c>
      <c r="K102" s="245">
        <f>J102*(1-I102)</f>
        <v/>
      </c>
      <c r="L102" s="246">
        <f>IFERROR(J102-K102,"")</f>
        <v/>
      </c>
      <c r="M102" s="247">
        <f>E102*H102*(1-I102)*$N$91*(1-$N$90)</f>
        <v/>
      </c>
      <c r="N102" s="248">
        <f>M102-E102*F102*$N$91</f>
        <v/>
      </c>
      <c r="O102" s="247">
        <f>E102*H102*(1-I102)*$P$91*(1-$P$90)</f>
        <v/>
      </c>
      <c r="P102" s="248">
        <f>O102-E102*F102*$P$91</f>
        <v/>
      </c>
      <c r="Q102" s="247">
        <f>E102*H102*(1-I102)*$R$91*(1-$R$90)</f>
        <v/>
      </c>
      <c r="R102" s="248">
        <f>Q102-E102*F102*$R$91</f>
        <v/>
      </c>
      <c r="S102" s="247">
        <f>E102*H102*(1-I102)*$T$91*(1-$T$90)</f>
        <v/>
      </c>
      <c r="T102" s="248">
        <f>S102-E102*F102*$T$91</f>
        <v/>
      </c>
      <c r="U102" s="249">
        <f>E102*H102*(1-I102)*$V$91*(1-$V$90)</f>
        <v/>
      </c>
      <c r="V102" s="248">
        <f>U102-E102*F102*$V$91</f>
        <v/>
      </c>
      <c r="W102" s="250">
        <f>E102*H102*(1-I102)*$X$91*(1-$X$90)</f>
        <v/>
      </c>
      <c r="X102" s="248">
        <f>W102-E102*F102*$X$91</f>
        <v/>
      </c>
      <c r="Y102" s="251">
        <f>E102*H102*(1-I102)*$Z$91*(1-$Z$90)</f>
        <v/>
      </c>
      <c r="Z102" s="252">
        <f>Y102-E102*F102*$Z$91</f>
        <v/>
      </c>
      <c r="AA102" s="253" t="n"/>
      <c r="AB102" s="101" t="n"/>
      <c r="AC102" s="93" t="n"/>
      <c r="AD102" s="125" t="n"/>
      <c r="AE102" s="254" t="n"/>
    </row>
    <row r="103">
      <c r="A103" s="237" t="inlineStr">
        <is>
          <t>1020310</t>
        </is>
      </c>
      <c r="B103" s="238" t="inlineStr">
        <is>
          <t>[1020310] Crème de Jour Eclat du Teint - Régénérant - 40 ml</t>
        </is>
      </c>
      <c r="C103" s="239" t="inlineStr">
        <is>
          <t>4020829060999</t>
        </is>
      </c>
      <c r="D103" s="240" t="inlineStr">
        <is>
          <t>Produit Vente</t>
        </is>
      </c>
      <c r="E103" s="241" t="n">
        <v>2</v>
      </c>
      <c r="F103" s="242" t="n">
        <v>16.22</v>
      </c>
      <c r="G103" s="243">
        <f>E103*F103</f>
        <v/>
      </c>
      <c r="H103" s="242" t="n">
        <v>41.12</v>
      </c>
      <c r="I103" s="244" t="n">
        <v>0.15</v>
      </c>
      <c r="J103" s="242" t="n">
        <v>69.90000000000001</v>
      </c>
      <c r="K103" s="245">
        <f>J103*(1-I103)</f>
        <v/>
      </c>
      <c r="L103" s="246">
        <f>IFERROR(J103-K103,"")</f>
        <v/>
      </c>
      <c r="M103" s="247">
        <f>E103*H103*(1-I103)*$N$91*(1-$N$90)</f>
        <v/>
      </c>
      <c r="N103" s="248">
        <f>M103-E103*F103*$N$91</f>
        <v/>
      </c>
      <c r="O103" s="247">
        <f>E103*H103*(1-I103)*$P$91*(1-$P$90)</f>
        <v/>
      </c>
      <c r="P103" s="248">
        <f>O103-E103*F103*$P$91</f>
        <v/>
      </c>
      <c r="Q103" s="247">
        <f>E103*H103*(1-I103)*$R$91*(1-$R$90)</f>
        <v/>
      </c>
      <c r="R103" s="248">
        <f>Q103-E103*F103*$R$91</f>
        <v/>
      </c>
      <c r="S103" s="247">
        <f>E103*H103*(1-I103)*$T$91*(1-$T$90)</f>
        <v/>
      </c>
      <c r="T103" s="248">
        <f>S103-E103*F103*$T$91</f>
        <v/>
      </c>
      <c r="U103" s="249">
        <f>E103*H103*(1-I103)*$V$91*(1-$V$90)</f>
        <v/>
      </c>
      <c r="V103" s="248">
        <f>U103-E103*F103*$V$91</f>
        <v/>
      </c>
      <c r="W103" s="250">
        <f>E103*H103*(1-I103)*$X$91*(1-$X$90)</f>
        <v/>
      </c>
      <c r="X103" s="248">
        <f>W103-E103*F103*$X$91</f>
        <v/>
      </c>
      <c r="Y103" s="251">
        <f>E103*H103*(1-I103)*$Z$91*(1-$Z$90)</f>
        <v/>
      </c>
      <c r="Z103" s="252">
        <f>Y103-E103*F103*$Z$91</f>
        <v/>
      </c>
      <c r="AA103" s="253" t="n"/>
      <c r="AB103" s="101" t="n"/>
      <c r="AC103" s="93" t="n"/>
      <c r="AD103" s="125" t="n"/>
      <c r="AE103" s="254" t="n"/>
    </row>
    <row r="104">
      <c r="A104" s="237" t="inlineStr">
        <is>
          <t>1020302</t>
        </is>
      </c>
      <c r="B104" s="238" t="inlineStr">
        <is>
          <t>[1020302] Crème Cou et Décolleté - Régénérant - 40 ml</t>
        </is>
      </c>
      <c r="C104" s="239" t="inlineStr">
        <is>
          <t>4020829008366</t>
        </is>
      </c>
      <c r="D104" s="240" t="inlineStr">
        <is>
          <t>Produit Vente</t>
        </is>
      </c>
      <c r="E104" s="241" t="n">
        <v>2</v>
      </c>
      <c r="F104" s="242" t="n">
        <v>13.77</v>
      </c>
      <c r="G104" s="243">
        <f>E104*F104</f>
        <v/>
      </c>
      <c r="H104" s="242" t="n">
        <v>35.88</v>
      </c>
      <c r="I104" s="244" t="n">
        <v>0.15</v>
      </c>
      <c r="J104" s="242" t="n">
        <v>61</v>
      </c>
      <c r="K104" s="245">
        <f>J104*(1-I104)</f>
        <v/>
      </c>
      <c r="L104" s="246">
        <f>IFERROR(J104-K104,"")</f>
        <v/>
      </c>
      <c r="M104" s="247">
        <f>E104*H104*(1-I104)*$N$91*(1-$N$90)</f>
        <v/>
      </c>
      <c r="N104" s="248">
        <f>M104-E104*F104*$N$91</f>
        <v/>
      </c>
      <c r="O104" s="247">
        <f>E104*H104*(1-I104)*$P$91*(1-$P$90)</f>
        <v/>
      </c>
      <c r="P104" s="248">
        <f>O104-E104*F104*$P$91</f>
        <v/>
      </c>
      <c r="Q104" s="247">
        <f>E104*H104*(1-I104)*$R$91*(1-$R$90)</f>
        <v/>
      </c>
      <c r="R104" s="248">
        <f>Q104-E104*F104*$R$91</f>
        <v/>
      </c>
      <c r="S104" s="247">
        <f>E104*H104*(1-I104)*$T$91*(1-$T$90)</f>
        <v/>
      </c>
      <c r="T104" s="248">
        <f>S104-E104*F104*$T$91</f>
        <v/>
      </c>
      <c r="U104" s="249">
        <f>E104*H104*(1-I104)*$V$91*(1-$V$90)</f>
        <v/>
      </c>
      <c r="V104" s="248">
        <f>U104-E104*F104*$V$91</f>
        <v/>
      </c>
      <c r="W104" s="250">
        <f>E104*H104*(1-I104)*$X$91*(1-$X$90)</f>
        <v/>
      </c>
      <c r="X104" s="248">
        <f>W104-E104*F104*$X$91</f>
        <v/>
      </c>
      <c r="Y104" s="251">
        <f>E104*H104*(1-I104)*$Z$91*(1-$Z$90)</f>
        <v/>
      </c>
      <c r="Z104" s="252">
        <f>Y104-E104*F104*$Z$91</f>
        <v/>
      </c>
      <c r="AA104" s="253" t="n"/>
      <c r="AB104" s="101" t="n"/>
      <c r="AC104" s="93" t="n"/>
      <c r="AD104" s="125" t="n"/>
      <c r="AE104" s="254" t="n"/>
    </row>
    <row r="105">
      <c r="A105" s="237" t="inlineStr">
        <is>
          <t>1020719</t>
        </is>
      </c>
      <c r="B105" s="238" t="inlineStr">
        <is>
          <t>[1020719] Huile Fortifiante - Régénérant Intensif - 20ml</t>
        </is>
      </c>
      <c r="C105" s="239" t="inlineStr">
        <is>
          <t>4020829103030</t>
        </is>
      </c>
      <c r="D105" s="240" t="inlineStr">
        <is>
          <t>Produit Vente</t>
        </is>
      </c>
      <c r="E105" s="241" t="n">
        <v>1</v>
      </c>
      <c r="F105" s="242" t="n">
        <v>18.42</v>
      </c>
      <c r="G105" s="243">
        <f>E105*F105</f>
        <v/>
      </c>
      <c r="H105" s="242" t="n">
        <v>46.77</v>
      </c>
      <c r="I105" s="244" t="n">
        <v>0.15</v>
      </c>
      <c r="J105" s="242" t="n">
        <v>79.5</v>
      </c>
      <c r="K105" s="245">
        <f>J105*(1-I105)</f>
        <v/>
      </c>
      <c r="L105" s="246">
        <f>IFERROR(J105-K105,"")</f>
        <v/>
      </c>
      <c r="M105" s="247">
        <f>E105*H105*(1-I105)*$N$91*(1-$N$90)</f>
        <v/>
      </c>
      <c r="N105" s="248">
        <f>M105-E105*F105*$N$91</f>
        <v/>
      </c>
      <c r="O105" s="247">
        <f>E105*H105*(1-I105)*$P$91*(1-$P$90)</f>
        <v/>
      </c>
      <c r="P105" s="248">
        <f>O105-E105*F105*$P$91</f>
        <v/>
      </c>
      <c r="Q105" s="247">
        <f>E105*H105*(1-I105)*$R$91*(1-$R$90)</f>
        <v/>
      </c>
      <c r="R105" s="248">
        <f>Q105-E105*F105*$R$91</f>
        <v/>
      </c>
      <c r="S105" s="247">
        <f>E105*H105*(1-I105)*$T$91*(1-$T$90)</f>
        <v/>
      </c>
      <c r="T105" s="248">
        <f>S105-E105*F105*$T$91</f>
        <v/>
      </c>
      <c r="U105" s="249">
        <f>E105*H105*(1-I105)*$V$91*(1-$V$90)</f>
        <v/>
      </c>
      <c r="V105" s="248">
        <f>U105-E105*F105*$V$91</f>
        <v/>
      </c>
      <c r="W105" s="250">
        <f>E105*H105*(1-I105)*$X$91*(1-$X$90)</f>
        <v/>
      </c>
      <c r="X105" s="248">
        <f>W105-E105*F105*$X$91</f>
        <v/>
      </c>
      <c r="Y105" s="251">
        <f>E105*H105*(1-I105)*$Z$91*(1-$Z$90)</f>
        <v/>
      </c>
      <c r="Z105" s="252">
        <f>Y105-E105*F105*$Z$91</f>
        <v/>
      </c>
      <c r="AA105" s="253" t="n"/>
      <c r="AB105" s="101" t="n"/>
      <c r="AC105" s="102" t="n"/>
      <c r="AD105" s="102" t="n"/>
      <c r="AE105" s="254" t="n"/>
    </row>
    <row r="106">
      <c r="A106" s="237" t="inlineStr">
        <is>
          <t>1020107</t>
        </is>
      </c>
      <c r="B106" s="238" t="inlineStr">
        <is>
          <t>[1020107] Lait pour le Corps - Régénérant - 150 ml</t>
        </is>
      </c>
      <c r="C106" s="239" t="inlineStr">
        <is>
          <t>4020829103160</t>
        </is>
      </c>
      <c r="D106" s="240" t="inlineStr">
        <is>
          <t>Produit Vente</t>
        </is>
      </c>
      <c r="E106" s="241" t="n">
        <v>1</v>
      </c>
      <c r="F106" s="242" t="n">
        <v>10.34</v>
      </c>
      <c r="G106" s="243">
        <f>E106*F106</f>
        <v/>
      </c>
      <c r="H106" s="242" t="n">
        <v>26.12</v>
      </c>
      <c r="I106" s="244" t="n">
        <v>0.15</v>
      </c>
      <c r="J106" s="242" t="n">
        <v>44.4</v>
      </c>
      <c r="K106" s="245">
        <f>J106*(1-I106)</f>
        <v/>
      </c>
      <c r="L106" s="246">
        <f>IFERROR(J106-K106,"")</f>
        <v/>
      </c>
      <c r="M106" s="247">
        <f>E106*H106*(1-I106)*$N$91*(1-$N$90)</f>
        <v/>
      </c>
      <c r="N106" s="248">
        <f>M106-E106*F106*$N$91</f>
        <v/>
      </c>
      <c r="O106" s="247">
        <f>E106*H106*(1-I106)*$P$91*(1-$P$90)</f>
        <v/>
      </c>
      <c r="P106" s="248">
        <f>O106-E106*F106*$P$91</f>
        <v/>
      </c>
      <c r="Q106" s="247">
        <f>E106*H106*(1-I106)*$R$91*(1-$R$90)</f>
        <v/>
      </c>
      <c r="R106" s="248">
        <f>Q106-E106*F106*$R$91</f>
        <v/>
      </c>
      <c r="S106" s="247">
        <f>E106*H106*(1-I106)*$T$91*(1-$T$90)</f>
        <v/>
      </c>
      <c r="T106" s="248">
        <f>S106-E106*F106*$T$91</f>
        <v/>
      </c>
      <c r="U106" s="249">
        <f>E106*H106*(1-I106)*$V$91*(1-$V$90)</f>
        <v/>
      </c>
      <c r="V106" s="248">
        <f>U106-E106*F106*$V$91</f>
        <v/>
      </c>
      <c r="W106" s="250">
        <f>E106*H106*(1-I106)*$X$91*(1-$X$90)</f>
        <v/>
      </c>
      <c r="X106" s="248">
        <f>W106-E106*F106*$X$91</f>
        <v/>
      </c>
      <c r="Y106" s="251">
        <f>E106*H106*(1-I106)*$Z$91*(1-$Z$90)</f>
        <v/>
      </c>
      <c r="Z106" s="252">
        <f>Y106-E106*F106*$Z$91</f>
        <v/>
      </c>
      <c r="AA106" s="253" t="n"/>
      <c r="AB106" s="101" t="n"/>
      <c r="AC106" s="102" t="n"/>
      <c r="AD106" s="102" t="n"/>
      <c r="AE106" s="254" t="n"/>
    </row>
    <row r="107">
      <c r="A107" s="237" t="inlineStr">
        <is>
          <t>1020102</t>
        </is>
      </c>
      <c r="B107" s="238" t="inlineStr">
        <is>
          <t>[1020102] Crème pour les Mains - Régénérant - 50 ml</t>
        </is>
      </c>
      <c r="C107" s="239" t="inlineStr">
        <is>
          <t>4020829049666</t>
        </is>
      </c>
      <c r="D107" s="240" t="inlineStr">
        <is>
          <t>Produit Vente</t>
        </is>
      </c>
      <c r="E107" s="241" t="n">
        <v>1</v>
      </c>
      <c r="F107" s="242" t="n">
        <v>6.48</v>
      </c>
      <c r="G107" s="243">
        <f>E107*F107</f>
        <v/>
      </c>
      <c r="H107" s="242" t="n">
        <v>17.35</v>
      </c>
      <c r="I107" s="244" t="n">
        <v>0.15</v>
      </c>
      <c r="J107" s="242" t="n">
        <v>29.5</v>
      </c>
      <c r="K107" s="245">
        <f>J107*(1-I107)</f>
        <v/>
      </c>
      <c r="L107" s="246">
        <f>IFERROR(J107-K107,"")</f>
        <v/>
      </c>
      <c r="M107" s="247">
        <f>E107*H107*(1-I107)*$N$91*(1-$N$90)</f>
        <v/>
      </c>
      <c r="N107" s="248">
        <f>M107-E107*F107*$N$91</f>
        <v/>
      </c>
      <c r="O107" s="247">
        <f>E107*H107*(1-I107)*$P$91*(1-$P$90)</f>
        <v/>
      </c>
      <c r="P107" s="248">
        <f>O107-E107*F107*$P$91</f>
        <v/>
      </c>
      <c r="Q107" s="247">
        <f>E107*H107*(1-I107)*$R$91*(1-$R$90)</f>
        <v/>
      </c>
      <c r="R107" s="248">
        <f>Q107-E107*F107*$R$91</f>
        <v/>
      </c>
      <c r="S107" s="247">
        <f>E107*H107*(1-I107)*$T$91*(1-$T$90)</f>
        <v/>
      </c>
      <c r="T107" s="248">
        <f>S107-E107*F107*$T$91</f>
        <v/>
      </c>
      <c r="U107" s="249">
        <f>E107*H107*(1-I107)*$V$91*(1-$V$90)</f>
        <v/>
      </c>
      <c r="V107" s="248">
        <f>U107-E107*F107*$V$91</f>
        <v/>
      </c>
      <c r="W107" s="250">
        <f>E107*H107*(1-I107)*$X$91*(1-$X$90)</f>
        <v/>
      </c>
      <c r="X107" s="248">
        <f>W107-E107*F107*$X$91</f>
        <v/>
      </c>
      <c r="Y107" s="251">
        <f>E107*H107*(1-I107)*$Z$91*(1-$Z$90)</f>
        <v/>
      </c>
      <c r="Z107" s="252">
        <f>Y107-E107*F107*$Z$91</f>
        <v/>
      </c>
      <c r="AA107" s="253" t="n"/>
      <c r="AB107" s="101" t="n"/>
      <c r="AC107" s="102" t="n"/>
      <c r="AD107" s="102" t="n"/>
      <c r="AE107" s="254" t="n"/>
    </row>
    <row r="108">
      <c r="A108" s="237" t="inlineStr">
        <is>
          <t>1020721</t>
        </is>
      </c>
      <c r="B108" s="238" t="inlineStr">
        <is>
          <t>[1020721] Cure Intensive Fortifiante - Régénérant - 40ml</t>
        </is>
      </c>
      <c r="C108" s="239" t="inlineStr">
        <is>
          <t>4020829102941</t>
        </is>
      </c>
      <c r="D108" s="240" t="inlineStr">
        <is>
          <t>Produit Vente</t>
        </is>
      </c>
      <c r="E108" s="241" t="n">
        <v>0</v>
      </c>
      <c r="F108" s="242" t="n">
        <v>16.71</v>
      </c>
      <c r="G108" s="243">
        <f>E108*F108</f>
        <v/>
      </c>
      <c r="H108" s="242" t="n">
        <v>42.88</v>
      </c>
      <c r="I108" s="244" t="n">
        <v>0.15</v>
      </c>
      <c r="J108" s="242" t="n">
        <v>72.90000000000001</v>
      </c>
      <c r="K108" s="245">
        <f>J108*(1-I108)</f>
        <v/>
      </c>
      <c r="L108" s="246">
        <f>IFERROR(J108-K108,"")</f>
        <v/>
      </c>
      <c r="M108" s="247">
        <f>E108*H108*(1-I108)*$N$91*(1-$N$90)</f>
        <v/>
      </c>
      <c r="N108" s="248">
        <f>M108-E108*F108*$N$91</f>
        <v/>
      </c>
      <c r="O108" s="247">
        <f>E108*H108*(1-I108)*$P$91*(1-$P$90)</f>
        <v/>
      </c>
      <c r="P108" s="248">
        <f>O108-E108*F108*$P$91</f>
        <v/>
      </c>
      <c r="Q108" s="247">
        <f>E108*H108*(1-I108)*$R$91*(1-$R$90)</f>
        <v/>
      </c>
      <c r="R108" s="248">
        <f>Q108-E108*F108*$R$91</f>
        <v/>
      </c>
      <c r="S108" s="247">
        <f>E108*H108*(1-I108)*$T$91*(1-$T$90)</f>
        <v/>
      </c>
      <c r="T108" s="248">
        <f>S108-E108*F108*$T$91</f>
        <v/>
      </c>
      <c r="U108" s="249">
        <f>E108*H108*(1-I108)*$V$91*(1-$V$90)</f>
        <v/>
      </c>
      <c r="V108" s="248">
        <f>U108-E108*F108*$V$91</f>
        <v/>
      </c>
      <c r="W108" s="250">
        <f>E108*H108*(1-I108)*$X$91*(1-$X$90)</f>
        <v/>
      </c>
      <c r="X108" s="248">
        <f>W108-E108*F108*$X$91</f>
        <v/>
      </c>
      <c r="Y108" s="251">
        <f>E108*H108*(1-I108)*$Z$91*(1-$Z$90)</f>
        <v/>
      </c>
      <c r="Z108" s="252">
        <f>Y108-E108*F108*$Z$91</f>
        <v/>
      </c>
      <c r="AA108" s="253" t="n"/>
      <c r="AB108" s="101" t="n"/>
      <c r="AC108" s="102" t="n"/>
      <c r="AD108" s="102" t="n"/>
      <c r="AE108" s="254" t="n"/>
    </row>
    <row r="109">
      <c r="A109" s="237" t="inlineStr">
        <is>
          <t>1020722</t>
        </is>
      </c>
      <c r="B109" s="238" t="inlineStr">
        <is>
          <t>[1020722] Cure Intensive Rééquilibrante - Régénérant Intensif - 40ml</t>
        </is>
      </c>
      <c r="C109" s="239" t="inlineStr">
        <is>
          <t>4020829102934</t>
        </is>
      </c>
      <c r="D109" s="240" t="inlineStr">
        <is>
          <t>Produit Vente</t>
        </is>
      </c>
      <c r="E109" s="241" t="n">
        <v>0</v>
      </c>
      <c r="F109" s="242" t="n">
        <v>16.71</v>
      </c>
      <c r="G109" s="243">
        <f>E109*F109</f>
        <v/>
      </c>
      <c r="H109" s="242" t="n">
        <v>42.88</v>
      </c>
      <c r="I109" s="244" t="n">
        <v>0.15</v>
      </c>
      <c r="J109" s="242" t="n">
        <v>72.90000000000001</v>
      </c>
      <c r="K109" s="245">
        <f>J109*(1-I109)</f>
        <v/>
      </c>
      <c r="L109" s="246">
        <f>IFERROR(J109-K109,"")</f>
        <v/>
      </c>
      <c r="M109" s="247">
        <f>E109*H109*(1-I109)*$N$91*(1-$N$90)</f>
        <v/>
      </c>
      <c r="N109" s="248">
        <f>M109-E109*F109*$N$91</f>
        <v/>
      </c>
      <c r="O109" s="247">
        <f>E109*H109*(1-I109)*$P$91*(1-$P$90)</f>
        <v/>
      </c>
      <c r="P109" s="248">
        <f>O109-E109*F109*$P$91</f>
        <v/>
      </c>
      <c r="Q109" s="247">
        <f>E109*H109*(1-I109)*$R$91*(1-$R$90)</f>
        <v/>
      </c>
      <c r="R109" s="248">
        <f>Q109-E109*F109*$R$91</f>
        <v/>
      </c>
      <c r="S109" s="247">
        <f>E109*H109*(1-I109)*$T$91*(1-$T$90)</f>
        <v/>
      </c>
      <c r="T109" s="248">
        <f>S109-E109*F109*$T$91</f>
        <v/>
      </c>
      <c r="U109" s="249">
        <f>E109*H109*(1-I109)*$V$91*(1-$V$90)</f>
        <v/>
      </c>
      <c r="V109" s="248">
        <f>U109-E109*F109*$V$91</f>
        <v/>
      </c>
      <c r="W109" s="250">
        <f>E109*H109*(1-I109)*$X$91*(1-$X$90)</f>
        <v/>
      </c>
      <c r="X109" s="248">
        <f>W109-E109*F109*$X$91</f>
        <v/>
      </c>
      <c r="Y109" s="251">
        <f>E109*H109*(1-I109)*$Z$91*(1-$Z$90)</f>
        <v/>
      </c>
      <c r="Z109" s="252">
        <f>Y109-E109*F109*$Z$91</f>
        <v/>
      </c>
      <c r="AA109" s="253" t="n"/>
      <c r="AB109" s="101" t="n"/>
      <c r="AC109" s="133" t="n"/>
      <c r="AD109" s="102" t="n"/>
      <c r="AE109" s="254" t="n"/>
    </row>
    <row r="110" ht="15.75" customHeight="1">
      <c r="A110" s="258" t="inlineStr">
        <is>
          <t>7000431</t>
        </is>
      </c>
      <c r="B110" s="259" t="inlineStr">
        <is>
          <t>[7000431] Présentoir Régénérants 2026 vide + 4 testeurs</t>
        </is>
      </c>
      <c r="C110" s="260" t="inlineStr"/>
      <c r="D110" s="261" t="inlineStr">
        <is>
          <t>Produit Vente</t>
        </is>
      </c>
      <c r="E110" s="262" t="n">
        <v>1</v>
      </c>
      <c r="F110" s="242" t="n">
        <v>47.97</v>
      </c>
      <c r="G110" s="243">
        <f>E110*F110</f>
        <v/>
      </c>
      <c r="H110" s="263" t="n">
        <v>0</v>
      </c>
      <c r="I110" s="244" t="n">
        <v>0.15</v>
      </c>
      <c r="J110" s="242" t="n">
        <v>0</v>
      </c>
      <c r="K110" s="245">
        <f>J110*(1-I110)</f>
        <v/>
      </c>
      <c r="L110" s="246">
        <f>IFERROR(J110-K110,"")</f>
        <v/>
      </c>
      <c r="M110" s="247">
        <f>E110*H110*(1-I110)*$N$91*(1-$N$90)</f>
        <v/>
      </c>
      <c r="N110" s="248">
        <f>M110-E110*F110*$N$91</f>
        <v/>
      </c>
      <c r="O110" s="247">
        <f>E110*H110*(1-I110)*$P$91*(1-$P$90)</f>
        <v/>
      </c>
      <c r="P110" s="248">
        <f>O110-E110*F110*$P$91</f>
        <v/>
      </c>
      <c r="Q110" s="247">
        <f>E110*H110*(1-I110)*$R$91*(1-$R$90)</f>
        <v/>
      </c>
      <c r="R110" s="248">
        <f>Q110-E110*F110*$R$91</f>
        <v/>
      </c>
      <c r="S110" s="247">
        <f>E110*H110*(1-I110)*$T$91*(1-$T$90)</f>
        <v/>
      </c>
      <c r="T110" s="248">
        <f>S110-E110*F110*$T$91</f>
        <v/>
      </c>
      <c r="U110" s="249">
        <f>E110*H110*(1-I110)*$V$91*(1-$V$90)</f>
        <v/>
      </c>
      <c r="V110" s="248">
        <f>U110-E110*F110*$V$91</f>
        <v/>
      </c>
      <c r="W110" s="250">
        <f>E110*H110*(1-I110)*$X$91*(1-$X$90)</f>
        <v/>
      </c>
      <c r="X110" s="248">
        <f>W110-E110*F110*$X$91</f>
        <v/>
      </c>
      <c r="Y110" s="251">
        <f>E110*H110*(1-I110)*$Z$91*(1-$Z$90)</f>
        <v/>
      </c>
      <c r="Z110" s="252">
        <f>Y110-E110*F110*$Z$91</f>
        <v/>
      </c>
      <c r="AA110" s="253" t="n"/>
      <c r="AB110" s="101" t="n"/>
      <c r="AC110" s="102" t="n"/>
      <c r="AD110" s="138" t="n"/>
      <c r="AE110" s="254" t="n"/>
    </row>
    <row r="111">
      <c r="A111" s="258" t="inlineStr">
        <is>
          <t>7021434</t>
        </is>
      </c>
      <c r="B111" s="259" t="inlineStr">
        <is>
          <t>[7021434] MEA Régénérants 2026 - Standard (copie)</t>
        </is>
      </c>
      <c r="C111" s="260" t="inlineStr"/>
      <c r="D111" s="261" t="inlineStr">
        <is>
          <t>Produit Vente</t>
        </is>
      </c>
      <c r="E111" s="262" t="n">
        <v>1</v>
      </c>
      <c r="F111" s="242" t="n">
        <v>0</v>
      </c>
      <c r="G111" s="243">
        <f>E111*F111</f>
        <v/>
      </c>
      <c r="H111" s="263" t="n">
        <v>0</v>
      </c>
      <c r="I111" s="244" t="n">
        <v>0.15</v>
      </c>
      <c r="J111" s="242" t="n">
        <v>0</v>
      </c>
      <c r="K111" s="245">
        <f>J111*(1-I111)</f>
        <v/>
      </c>
      <c r="L111" s="246">
        <f>IFERROR(J111-K111,"")</f>
        <v/>
      </c>
      <c r="M111" s="247">
        <f>E111*H111*(1-I111)*$N$91*(1-$N$90)</f>
        <v/>
      </c>
      <c r="N111" s="248">
        <f>M111-E111*F111*$N$91</f>
        <v/>
      </c>
      <c r="O111" s="247">
        <f>E111*H111*(1-I111)*$P$91*(1-$P$90)</f>
        <v/>
      </c>
      <c r="P111" s="248">
        <f>O111-E111*F111*$P$91</f>
        <v/>
      </c>
      <c r="Q111" s="247">
        <f>E111*H111*(1-I111)*$R$91*(1-$R$90)</f>
        <v/>
      </c>
      <c r="R111" s="248">
        <f>Q111-E111*F111*$R$91</f>
        <v/>
      </c>
      <c r="S111" s="247">
        <f>E111*H111*(1-I111)*$T$91*(1-$T$90)</f>
        <v/>
      </c>
      <c r="T111" s="248">
        <f>S111-E111*F111*$T$91</f>
        <v/>
      </c>
      <c r="U111" s="249">
        <f>E111*H111*(1-I111)*$V$91*(1-$V$90)</f>
        <v/>
      </c>
      <c r="V111" s="248">
        <f>U111-E111*F111*$V$91</f>
        <v/>
      </c>
      <c r="W111" s="250">
        <f>E111*H111*(1-I111)*$X$91*(1-$X$90)</f>
        <v/>
      </c>
      <c r="X111" s="248">
        <f>W111-E111*F111*$X$91</f>
        <v/>
      </c>
      <c r="Y111" s="251">
        <f>E111*H111*(1-I111)*$Z$91*(1-$Z$90)</f>
        <v/>
      </c>
      <c r="Z111" s="252">
        <f>Y111-E111*F111*$Z$91</f>
        <v/>
      </c>
      <c r="AA111" s="253" t="n"/>
      <c r="AB111" s="101" t="n"/>
      <c r="AC111" s="102" t="n"/>
      <c r="AD111" s="139" t="n"/>
      <c r="AE111" s="254" t="n"/>
    </row>
    <row r="112">
      <c r="A112" s="258" t="inlineStr">
        <is>
          <t>6500174</t>
        </is>
      </c>
      <c r="B112" s="259" t="inlineStr">
        <is>
          <t>[6500174] Stop-rayon promo -10€ Régénérants 2026</t>
        </is>
      </c>
      <c r="C112" s="260" t="inlineStr"/>
      <c r="D112" s="261" t="inlineStr">
        <is>
          <t>Produit Vente</t>
        </is>
      </c>
      <c r="E112" s="262" t="n">
        <v>1</v>
      </c>
      <c r="F112" s="242" t="n">
        <v>1.59</v>
      </c>
      <c r="G112" s="243">
        <f>E112*F112</f>
        <v/>
      </c>
      <c r="H112" s="263" t="n">
        <v>0</v>
      </c>
      <c r="I112" s="244" t="n">
        <v>0.15</v>
      </c>
      <c r="J112" s="242" t="n">
        <v>0</v>
      </c>
      <c r="K112" s="245">
        <f>J112*(1-I112)</f>
        <v/>
      </c>
      <c r="L112" s="246">
        <f>IFERROR(J112-K112,"")</f>
        <v/>
      </c>
      <c r="M112" s="247">
        <f>E112*H112*(1-I112)*$N$91*(1-$N$90)</f>
        <v/>
      </c>
      <c r="N112" s="248">
        <f>M112-E112*F112*$N$91</f>
        <v/>
      </c>
      <c r="O112" s="247">
        <f>E112*H112*(1-I112)*$P$91*(1-$P$90)</f>
        <v/>
      </c>
      <c r="P112" s="248">
        <f>O112-E112*F112*$P$91</f>
        <v/>
      </c>
      <c r="Q112" s="247">
        <f>E112*H112*(1-I112)*$R$91*(1-$R$90)</f>
        <v/>
      </c>
      <c r="R112" s="248">
        <f>Q112-E112*F112*$R$91</f>
        <v/>
      </c>
      <c r="S112" s="247">
        <f>E112*H112*(1-I112)*$T$91*(1-$T$90)</f>
        <v/>
      </c>
      <c r="T112" s="248">
        <f>S112-E112*F112*$T$91</f>
        <v/>
      </c>
      <c r="U112" s="249">
        <f>E112*H112*(1-I112)*$V$91*(1-$V$90)</f>
        <v/>
      </c>
      <c r="V112" s="248">
        <f>U112-E112*F112*$V$91</f>
        <v/>
      </c>
      <c r="W112" s="250">
        <f>E112*H112*(1-I112)*$X$91*(1-$X$90)</f>
        <v/>
      </c>
      <c r="X112" s="248">
        <f>W112-E112*F112*$X$91</f>
        <v/>
      </c>
      <c r="Y112" s="251">
        <f>E112*H112*(1-I112)*$Z$91*(1-$Z$90)</f>
        <v/>
      </c>
      <c r="Z112" s="252">
        <f>Y112-E112*F112*$Z$91</f>
        <v/>
      </c>
      <c r="AA112" s="253" t="n"/>
      <c r="AB112" s="101" t="n"/>
      <c r="AC112" s="102" t="n"/>
      <c r="AD112" s="142" t="n"/>
      <c r="AE112" s="254" t="n"/>
    </row>
    <row r="113">
      <c r="A113" s="258" t="n"/>
      <c r="B113" s="259" t="n"/>
      <c r="C113" s="260" t="n"/>
      <c r="D113" s="261" t="n"/>
      <c r="E113" s="262" t="n"/>
      <c r="F113" s="242" t="n"/>
      <c r="G113" s="243" t="n"/>
      <c r="H113" s="263" t="n"/>
      <c r="I113" s="244" t="n"/>
      <c r="J113" s="242" t="n"/>
      <c r="K113" s="245" t="n"/>
      <c r="L113" s="246" t="n"/>
      <c r="M113" s="247" t="n"/>
      <c r="N113" s="248" t="n"/>
      <c r="O113" s="247" t="n"/>
      <c r="P113" s="248" t="n"/>
      <c r="Q113" s="247" t="n"/>
      <c r="R113" s="248" t="n"/>
      <c r="S113" s="247" t="n"/>
      <c r="T113" s="248" t="n"/>
      <c r="U113" s="249" t="n"/>
      <c r="V113" s="248" t="n"/>
      <c r="W113" s="250" t="n"/>
      <c r="X113" s="248" t="n"/>
      <c r="Y113" s="251" t="n"/>
      <c r="Z113" s="252" t="n"/>
      <c r="AA113" s="253" t="n"/>
      <c r="AB113" s="101" t="n"/>
      <c r="AC113" s="102" t="n"/>
      <c r="AD113" s="139" t="n"/>
      <c r="AE113" s="254" t="n"/>
    </row>
    <row r="114" ht="15.75" customHeight="1">
      <c r="A114" s="258" t="n"/>
      <c r="B114" s="259" t="n"/>
      <c r="C114" s="260" t="n"/>
      <c r="D114" s="261" t="n"/>
      <c r="E114" s="262" t="n"/>
      <c r="F114" s="242" t="n"/>
      <c r="G114" s="243" t="n"/>
      <c r="H114" s="263" t="n"/>
      <c r="I114" s="244" t="n"/>
      <c r="J114" s="242" t="n"/>
      <c r="K114" s="245" t="n"/>
      <c r="L114" s="246" t="n"/>
      <c r="M114" s="247" t="n"/>
      <c r="N114" s="248" t="n"/>
      <c r="O114" s="247" t="n"/>
      <c r="P114" s="248" t="n"/>
      <c r="Q114" s="247" t="n"/>
      <c r="R114" s="248" t="n"/>
      <c r="S114" s="247" t="n"/>
      <c r="T114" s="248" t="n"/>
      <c r="U114" s="249" t="n"/>
      <c r="V114" s="248" t="n"/>
      <c r="W114" s="250" t="n"/>
      <c r="X114" s="248" t="n"/>
      <c r="Y114" s="251" t="n"/>
      <c r="Z114" s="252" t="n"/>
      <c r="AA114" s="253" t="n"/>
      <c r="AB114" s="101" t="n"/>
      <c r="AC114" s="101" t="n"/>
      <c r="AD114" s="101" t="n"/>
      <c r="AE114" s="254" t="n"/>
    </row>
    <row r="115">
      <c r="A115" s="258" t="n"/>
      <c r="B115" s="259" t="n"/>
      <c r="C115" s="260" t="n"/>
      <c r="D115" s="261" t="n"/>
      <c r="E115" s="262" t="n"/>
      <c r="F115" s="242" t="n"/>
      <c r="G115" s="243" t="n"/>
      <c r="H115" s="263" t="n"/>
      <c r="I115" s="244" t="n"/>
      <c r="J115" s="242" t="n"/>
      <c r="K115" s="245" t="n"/>
      <c r="L115" s="246" t="n"/>
      <c r="M115" s="247" t="n"/>
      <c r="N115" s="248" t="n"/>
      <c r="O115" s="247" t="n"/>
      <c r="P115" s="248" t="n"/>
      <c r="Q115" s="247" t="n"/>
      <c r="R115" s="248" t="n"/>
      <c r="S115" s="247" t="n"/>
      <c r="T115" s="248" t="n"/>
      <c r="U115" s="249" t="n"/>
      <c r="V115" s="248" t="n"/>
      <c r="W115" s="250" t="n"/>
      <c r="X115" s="248" t="n"/>
      <c r="Y115" s="251" t="n"/>
      <c r="Z115" s="252" t="n"/>
      <c r="AA115" s="253" t="n"/>
      <c r="AB115" s="101" t="n"/>
      <c r="AC115" s="133" t="n"/>
      <c r="AD115" s="101" t="n"/>
      <c r="AE115" s="254" t="n"/>
    </row>
    <row r="116">
      <c r="A116" s="258" t="n"/>
      <c r="B116" s="259" t="n"/>
      <c r="C116" s="260" t="n"/>
      <c r="D116" s="261" t="n"/>
      <c r="E116" s="262" t="n"/>
      <c r="F116" s="242" t="n"/>
      <c r="G116" s="243" t="n"/>
      <c r="H116" s="263" t="n"/>
      <c r="I116" s="244" t="n"/>
      <c r="J116" s="242" t="n"/>
      <c r="K116" s="245" t="n"/>
      <c r="L116" s="246" t="n"/>
      <c r="M116" s="264" t="n"/>
      <c r="N116" s="265" t="n"/>
      <c r="O116" s="264" t="n"/>
      <c r="P116" s="265" t="n"/>
      <c r="Q116" s="264" t="n"/>
      <c r="R116" s="265" t="n"/>
      <c r="S116" s="264" t="n"/>
      <c r="T116" s="265" t="n"/>
      <c r="U116" s="266" t="n"/>
      <c r="V116" s="265" t="n"/>
      <c r="W116" s="267" t="n"/>
      <c r="X116" s="265" t="n"/>
      <c r="Y116" s="268" t="n"/>
      <c r="Z116" s="269" t="n"/>
      <c r="AA116" s="270" t="n"/>
      <c r="AB116" s="271" t="n"/>
      <c r="AC116" s="272" t="n"/>
      <c r="AD116" s="273" t="n"/>
      <c r="AE116" s="274" t="n"/>
    </row>
    <row r="118" ht="39" customHeight="1"/>
    <row r="119" ht="26.25" customHeight="1"/>
    <row r="120">
      <c r="A120" s="22" t="inlineStr">
        <is>
          <t>REGENERANTS 2 - Standard</t>
        </is>
      </c>
      <c r="B120" s="23" t="n"/>
      <c r="C120" s="24" t="n"/>
      <c r="D120" s="25" t="inlineStr">
        <is>
          <t>Panachage 24 unités // Remise 10% pour BRI conso 10€ sur 4 produits : Sérum J/N, CDJR, CDJRI, sérum nuit RI (-10€ = prix plancher, à imprimer sur 1 SR sur le présentoir)</t>
        </is>
      </c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75" t="n"/>
      <c r="N120" s="276" t="n"/>
      <c r="O120" s="275" t="n"/>
      <c r="P120" s="276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165" t="n"/>
    </row>
    <row r="122">
      <c r="A122" s="1" t="n"/>
      <c r="B122" s="1" t="n"/>
      <c r="C122" s="2" t="n"/>
      <c r="D122" s="1" t="n"/>
      <c r="E122" s="1" t="n"/>
      <c r="F122" s="1" t="n"/>
      <c r="H122" s="1" t="n"/>
      <c r="I122" s="1" t="n"/>
      <c r="J122" s="1" t="n"/>
      <c r="M122" s="1" t="n"/>
      <c r="N122" s="1" t="n"/>
      <c r="O122" s="205" t="n"/>
      <c r="P122" s="1" t="n"/>
      <c r="Q122" s="1" t="n"/>
      <c r="R122" s="205" t="n"/>
      <c r="S122" s="1" t="n"/>
      <c r="T122" s="1" t="n"/>
      <c r="U122" s="205" t="n"/>
      <c r="V122" s="1" t="n"/>
      <c r="W122" s="1" t="n"/>
      <c r="X122" s="205" t="n"/>
      <c r="Y122" s="1" t="n"/>
      <c r="Z122" s="1" t="n"/>
      <c r="AA122" s="205" t="n"/>
      <c r="AB122" s="1" t="n"/>
      <c r="AC122" s="1" t="n"/>
      <c r="AD122" s="205" t="n"/>
    </row>
    <row r="123">
      <c r="A123" s="22" t="inlineStr">
        <is>
          <t>7021435 — MEA Régénérants 2026 - Essentiel (12 unités - 5% remise)</t>
        </is>
      </c>
      <c r="B123" s="23" t="n"/>
      <c r="C123" s="24" t="n"/>
      <c r="D123" s="25" t="inlineStr">
        <is>
          <t>Panachage 50 unités // Remise 15% pour BRI conso 10€ sur 4 produits : Sérum J/N, CDJR, CDJRI, sérum nuit RI (-10€ = prix plancher, à imprimer sur 1 SR sur le présentoir)</t>
        </is>
      </c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0" t="n"/>
    </row>
    <row r="124">
      <c r="A124" s="69" t="inlineStr">
        <is>
          <t>Nombre d'offres</t>
        </is>
      </c>
      <c r="B124" s="192" t="n">
        <v>183</v>
      </c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69" t="inlineStr">
        <is>
          <t>Nombre de produits</t>
        </is>
      </c>
      <c r="B125" s="192" t="n">
        <v>15</v>
      </c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193" t="n"/>
      <c r="AB125" s="194" t="n"/>
      <c r="AC125" s="194" t="n"/>
      <c r="AD125" s="194" t="n"/>
      <c r="AE125" s="195" t="n"/>
      <c r="AF125" s="1" t="n"/>
    </row>
    <row r="126">
      <c r="A126" s="1" t="n"/>
      <c r="B126" s="1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96" t="inlineStr">
        <is>
          <t>RETAIL</t>
        </is>
      </c>
      <c r="N126" s="290" t="n"/>
      <c r="O126" s="290" t="n"/>
      <c r="P126" s="290" t="n"/>
      <c r="Q126" s="290" t="n"/>
      <c r="R126" s="290" t="n"/>
      <c r="S126" s="197" t="inlineStr">
        <is>
          <t>INSTITUT</t>
        </is>
      </c>
      <c r="T126" s="198" t="n"/>
      <c r="U126" s="199" t="n"/>
      <c r="V126" s="199" t="n"/>
      <c r="W126" s="199" t="n"/>
      <c r="X126" s="199" t="n"/>
      <c r="Y126" s="197" t="n"/>
      <c r="Z126" s="198" t="n"/>
      <c r="AA126" s="39" t="n"/>
      <c r="AB126" s="34" t="inlineStr">
        <is>
          <t>Retail + Institut</t>
        </is>
      </c>
      <c r="AC126" s="34" t="n"/>
      <c r="AD126" s="34" t="n"/>
      <c r="AE126" s="200" t="n"/>
      <c r="AF126" s="1" t="n"/>
    </row>
    <row r="127">
      <c r="A127" s="1" t="n"/>
      <c r="B127" s="1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201" t="n"/>
      <c r="N127" s="202" t="n"/>
      <c r="O127" s="201" t="n"/>
      <c r="P127" s="202" t="n"/>
      <c r="Q127" s="203" t="n"/>
      <c r="R127" s="203" t="n"/>
      <c r="S127" s="201" t="n"/>
      <c r="T127" s="202" t="n"/>
      <c r="U127" s="203" t="n"/>
      <c r="V127" s="202" t="n"/>
      <c r="W127" s="203" t="n"/>
      <c r="X127" s="203" t="n"/>
      <c r="Y127" s="204" t="n"/>
      <c r="Z127" s="205" t="n"/>
      <c r="AA127" s="206" t="n"/>
      <c r="AB127" s="39" t="n"/>
      <c r="AC127" s="39" t="n"/>
      <c r="AD127" s="39" t="n"/>
      <c r="AE127" s="200" t="n"/>
      <c r="AF127" s="1" t="n"/>
    </row>
    <row r="128">
      <c r="A128" s="1" t="n"/>
      <c r="B128" s="1" t="n"/>
      <c r="C128" s="2" t="n"/>
      <c r="D128" s="1" t="n"/>
      <c r="E128" s="1" t="n"/>
      <c r="F128" s="1" t="n"/>
      <c r="G128" s="1" t="n"/>
      <c r="H128" s="1" t="n"/>
      <c r="J128" s="1" t="n"/>
      <c r="K128" s="1" t="n"/>
      <c r="L128" s="1" t="n"/>
      <c r="M128" s="207" t="inlineStr">
        <is>
          <t>Ambassadeur</t>
        </is>
      </c>
      <c r="O128" s="207" t="inlineStr">
        <is>
          <t>Compagnon</t>
        </is>
      </c>
      <c r="Q128" s="207" t="inlineStr">
        <is>
          <t>Challenger</t>
        </is>
      </c>
      <c r="S128" s="208" t="inlineStr">
        <is>
          <t>Rose</t>
        </is>
      </c>
      <c r="U128" s="208" t="inlineStr">
        <is>
          <t>Prunelier</t>
        </is>
      </c>
      <c r="W128" s="208" t="inlineStr">
        <is>
          <t>Anthylide</t>
        </is>
      </c>
      <c r="Y128" s="208" t="inlineStr">
        <is>
          <t>Calendula</t>
        </is>
      </c>
      <c r="AA128" s="206" t="n"/>
      <c r="AB128" s="45" t="inlineStr">
        <is>
          <t>Total</t>
        </is>
      </c>
      <c r="AC128" s="45" t="n"/>
      <c r="AD128" s="45" t="n"/>
      <c r="AE128" s="200" t="n"/>
      <c r="AF128" s="1" t="n"/>
    </row>
    <row r="129">
      <c r="A129" s="1" t="n"/>
      <c r="B129" s="1" t="n"/>
      <c r="C129" s="2" t="n"/>
      <c r="D129" s="1" t="n"/>
      <c r="E129" s="1" t="n"/>
      <c r="F129" s="1" t="n"/>
      <c r="G129" s="1" t="n"/>
      <c r="H129" s="1" t="n"/>
      <c r="J129" s="1" t="n"/>
      <c r="K129" s="1" t="n"/>
      <c r="L129" s="1" t="n"/>
      <c r="M129" s="209" t="inlineStr">
        <is>
          <t>% Offres</t>
        </is>
      </c>
      <c r="N129" s="210" t="n">
        <v>0.5</v>
      </c>
      <c r="O129" s="209" t="inlineStr">
        <is>
          <t>% Offres</t>
        </is>
      </c>
      <c r="P129" s="210" t="n">
        <v>0.1</v>
      </c>
      <c r="Q129" s="209" t="inlineStr">
        <is>
          <t>% Offres</t>
        </is>
      </c>
      <c r="R129" s="210" t="n">
        <v>0.1</v>
      </c>
      <c r="S129" s="209" t="inlineStr">
        <is>
          <t>% Offres</t>
        </is>
      </c>
      <c r="T129" s="210" t="n">
        <v>0.1</v>
      </c>
      <c r="U129" s="211" t="inlineStr">
        <is>
          <t>% Offres</t>
        </is>
      </c>
      <c r="V129" s="212" t="n">
        <v>0.1</v>
      </c>
      <c r="W129" s="209" t="inlineStr">
        <is>
          <t>% Offres</t>
        </is>
      </c>
      <c r="X129" s="212" t="n">
        <v>0.05</v>
      </c>
      <c r="Y129" s="213" t="n"/>
      <c r="Z129" s="210" t="n">
        <v>0.05</v>
      </c>
      <c r="AA129" s="204" t="n"/>
      <c r="AB129" s="214" t="n"/>
      <c r="AC129" s="214" t="n"/>
      <c r="AD129" s="214" t="n"/>
      <c r="AE129" s="205" t="n"/>
      <c r="AF129" s="1" t="n"/>
    </row>
    <row r="130">
      <c r="A130" s="1" t="n"/>
      <c r="B130" s="1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209" t="inlineStr">
        <is>
          <t>Remise</t>
        </is>
      </c>
      <c r="N130" s="215" t="n">
        <v>0.17</v>
      </c>
      <c r="O130" s="209" t="inlineStr">
        <is>
          <t>Remise</t>
        </is>
      </c>
      <c r="P130" s="215" t="n">
        <v>0.13</v>
      </c>
      <c r="Q130" s="209" t="inlineStr">
        <is>
          <t>Remise</t>
        </is>
      </c>
      <c r="R130" s="215" t="n">
        <v>0.08</v>
      </c>
      <c r="S130" s="209" t="inlineStr">
        <is>
          <t>Remise</t>
        </is>
      </c>
      <c r="T130" s="216" t="n">
        <v>0.325</v>
      </c>
      <c r="U130" s="211" t="inlineStr">
        <is>
          <t>Remise</t>
        </is>
      </c>
      <c r="V130" s="217" t="n">
        <v>0.3</v>
      </c>
      <c r="W130" s="209" t="inlineStr">
        <is>
          <t>Remise</t>
        </is>
      </c>
      <c r="X130" s="217" t="n">
        <v>0.28</v>
      </c>
      <c r="Y130" s="209" t="inlineStr">
        <is>
          <t>Remise</t>
        </is>
      </c>
      <c r="Z130" s="215" t="n">
        <v>0.25</v>
      </c>
      <c r="AA130" s="206" t="n"/>
      <c r="AB130" s="39" t="n"/>
      <c r="AC130" s="39" t="n"/>
      <c r="AD130" s="39" t="n"/>
      <c r="AE130" s="200" t="n"/>
      <c r="AF130" s="1" t="n"/>
    </row>
    <row r="131">
      <c r="A131" s="1" t="n"/>
      <c r="B131" s="1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09" t="inlineStr">
        <is>
          <t>Nb Offres</t>
        </is>
      </c>
      <c r="N131" s="218">
        <f>N9*$B$124</f>
        <v/>
      </c>
      <c r="O131" s="209" t="inlineStr">
        <is>
          <t>Nb Offres</t>
        </is>
      </c>
      <c r="P131" s="218">
        <f>P9*$B$124</f>
        <v/>
      </c>
      <c r="Q131" s="209" t="inlineStr">
        <is>
          <t>Nb Offres</t>
        </is>
      </c>
      <c r="R131" s="218">
        <f>R9*$B$124</f>
        <v/>
      </c>
      <c r="S131" s="209" t="inlineStr">
        <is>
          <t>Nb Offres</t>
        </is>
      </c>
      <c r="T131" s="218">
        <f>T9*$B$124</f>
        <v/>
      </c>
      <c r="U131" s="211" t="inlineStr">
        <is>
          <t>Nb Offres</t>
        </is>
      </c>
      <c r="V131" s="218">
        <f>V9*$B$124</f>
        <v/>
      </c>
      <c r="W131" s="209" t="inlineStr">
        <is>
          <t>Nb Offres</t>
        </is>
      </c>
      <c r="X131" s="219">
        <f>X9*$B$124</f>
        <v/>
      </c>
      <c r="Y131" s="209" t="inlineStr">
        <is>
          <t>Nb Offres</t>
        </is>
      </c>
      <c r="Z131" s="218">
        <f>Z9*$B$124</f>
        <v/>
      </c>
      <c r="AA131" s="206" t="n"/>
      <c r="AB131" s="39" t="n"/>
      <c r="AC131" s="39" t="n"/>
      <c r="AD131" s="39" t="n"/>
      <c r="AE131" s="200" t="n"/>
      <c r="AF131" s="1" t="n"/>
    </row>
    <row r="132">
      <c r="A132" s="46" t="n"/>
      <c r="B132" s="46" t="n"/>
      <c r="C132" s="47" t="n"/>
      <c r="D132" s="46" t="n"/>
      <c r="E132" s="48" t="inlineStr">
        <is>
          <t>Pdt dans offre</t>
        </is>
      </c>
      <c r="F132" s="48" t="inlineStr">
        <is>
          <t>Coût achat unitaire</t>
        </is>
      </c>
      <c r="G132" s="48" t="inlineStr">
        <is>
          <t>Coûts achats total</t>
        </is>
      </c>
      <c r="H132" s="48" t="inlineStr">
        <is>
          <t>Tarif revendeur unitaire</t>
        </is>
      </c>
      <c r="I132" s="48" t="inlineStr">
        <is>
          <t>Remise additionnelle</t>
        </is>
      </c>
      <c r="J132" s="48" t="inlineStr">
        <is>
          <t>PPC</t>
        </is>
      </c>
      <c r="K132" s="48" t="inlineStr">
        <is>
          <t>PPC Remisé</t>
        </is>
      </c>
      <c r="L132" s="48" t="inlineStr">
        <is>
          <t>Montant BRI</t>
        </is>
      </c>
      <c r="M132" s="220" t="inlineStr">
        <is>
          <t>CA</t>
        </is>
      </c>
      <c r="N132" s="221" t="inlineStr">
        <is>
          <t>Marges</t>
        </is>
      </c>
      <c r="O132" s="220" t="inlineStr">
        <is>
          <t>CA</t>
        </is>
      </c>
      <c r="P132" s="221" t="inlineStr">
        <is>
          <t>Marges</t>
        </is>
      </c>
      <c r="Q132" s="220" t="inlineStr">
        <is>
          <t>CA</t>
        </is>
      </c>
      <c r="R132" s="221" t="inlineStr">
        <is>
          <t>Marges</t>
        </is>
      </c>
      <c r="S132" s="220" t="inlineStr">
        <is>
          <t>CA</t>
        </is>
      </c>
      <c r="T132" s="221" t="inlineStr">
        <is>
          <t>Marges</t>
        </is>
      </c>
      <c r="U132" s="48" t="inlineStr">
        <is>
          <t>CA</t>
        </is>
      </c>
      <c r="V132" s="221" t="inlineStr">
        <is>
          <t>Marges</t>
        </is>
      </c>
      <c r="W132" s="48" t="inlineStr">
        <is>
          <t>CA</t>
        </is>
      </c>
      <c r="X132" s="48" t="inlineStr">
        <is>
          <t>Marges</t>
        </is>
      </c>
      <c r="Y132" s="220" t="inlineStr">
        <is>
          <t>CA</t>
        </is>
      </c>
      <c r="Z132" s="221" t="inlineStr">
        <is>
          <t>Marges</t>
        </is>
      </c>
      <c r="AA132" s="222" t="n"/>
      <c r="AB132" s="50" t="inlineStr">
        <is>
          <t>Nbrs Offres planifiées</t>
        </is>
      </c>
      <c r="AC132" s="50" t="inlineStr">
        <is>
          <t>CA</t>
        </is>
      </c>
      <c r="AD132" s="50" t="inlineStr">
        <is>
          <t>Marges</t>
        </is>
      </c>
      <c r="AE132" s="223" t="n"/>
    </row>
    <row r="133">
      <c r="A133" s="66" t="inlineStr">
        <is>
          <t>Code article</t>
        </is>
      </c>
      <c r="B133" s="66" t="inlineStr">
        <is>
          <t>Libellé article</t>
        </is>
      </c>
      <c r="C133" s="66" t="inlineStr">
        <is>
          <t>Code à barres (EAN)</t>
        </is>
      </c>
      <c r="D133" s="66" t="inlineStr">
        <is>
          <t>Typ. Prod</t>
        </is>
      </c>
      <c r="E133" s="66" t="inlineStr">
        <is>
          <t>'#</t>
        </is>
      </c>
      <c r="F133" s="66" t="inlineStr">
        <is>
          <t>'€</t>
        </is>
      </c>
      <c r="G133" s="66" t="inlineStr">
        <is>
          <t>'€</t>
        </is>
      </c>
      <c r="H133" s="66" t="inlineStr">
        <is>
          <t>'€</t>
        </is>
      </c>
      <c r="I133" s="66" t="inlineStr">
        <is>
          <t>'€</t>
        </is>
      </c>
      <c r="J133" s="66" t="inlineStr">
        <is>
          <t>'€</t>
        </is>
      </c>
      <c r="K133" s="66" t="inlineStr">
        <is>
          <t>'€</t>
        </is>
      </c>
      <c r="L133" s="66" t="inlineStr">
        <is>
          <t>'€</t>
        </is>
      </c>
      <c r="M133" s="224" t="inlineStr">
        <is>
          <t>'€</t>
        </is>
      </c>
      <c r="N133" s="225" t="inlineStr">
        <is>
          <t>'€</t>
        </is>
      </c>
      <c r="O133" s="224" t="inlineStr">
        <is>
          <t>'€</t>
        </is>
      </c>
      <c r="P133" s="225" t="inlineStr">
        <is>
          <t>'€</t>
        </is>
      </c>
      <c r="Q133" s="224" t="inlineStr">
        <is>
          <t>'€</t>
        </is>
      </c>
      <c r="R133" s="225" t="inlineStr">
        <is>
          <t>'€</t>
        </is>
      </c>
      <c r="S133" s="224" t="inlineStr">
        <is>
          <t>'€</t>
        </is>
      </c>
      <c r="T133" s="225" t="inlineStr">
        <is>
          <t>'€</t>
        </is>
      </c>
      <c r="U133" s="66" t="inlineStr">
        <is>
          <t>'€</t>
        </is>
      </c>
      <c r="V133" s="225" t="inlineStr">
        <is>
          <t>'€</t>
        </is>
      </c>
      <c r="W133" s="66" t="inlineStr">
        <is>
          <t>'€</t>
        </is>
      </c>
      <c r="X133" s="66" t="inlineStr">
        <is>
          <t>'€</t>
        </is>
      </c>
      <c r="Y133" s="226" t="inlineStr">
        <is>
          <t>'€</t>
        </is>
      </c>
      <c r="Z133" s="227" t="inlineStr">
        <is>
          <t>'€</t>
        </is>
      </c>
      <c r="AA133" s="206" t="n"/>
      <c r="AB133" s="68" t="inlineStr">
        <is>
          <t>'#</t>
        </is>
      </c>
      <c r="AC133" s="68" t="inlineStr">
        <is>
          <t>'€</t>
        </is>
      </c>
      <c r="AD133" s="68" t="inlineStr">
        <is>
          <t>'€</t>
        </is>
      </c>
      <c r="AE133" s="200" t="n"/>
    </row>
    <row r="134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M134" s="204" t="n"/>
      <c r="N134" s="205" t="n"/>
      <c r="O134" s="204" t="n"/>
      <c r="P134" s="205" t="n"/>
      <c r="Q134" s="204" t="n"/>
      <c r="R134" s="205" t="n"/>
      <c r="S134" s="204" t="n"/>
      <c r="T134" s="205" t="n"/>
      <c r="U134" s="1" t="n"/>
      <c r="V134" s="205" t="n"/>
      <c r="W134" s="1" t="n"/>
      <c r="X134" s="205" t="n"/>
      <c r="Y134" s="1" t="n"/>
      <c r="Z134" s="1" t="n"/>
      <c r="AA134" s="206" t="n"/>
      <c r="AB134" s="39" t="n"/>
      <c r="AC134" s="39" t="n"/>
      <c r="AD134" s="39" t="n"/>
      <c r="AE134" s="200" t="n"/>
    </row>
    <row r="135">
      <c r="A135" s="70" t="inlineStr">
        <is>
          <t>Synthèse</t>
        </is>
      </c>
      <c r="B135" s="70" t="n"/>
      <c r="C135" s="71" t="n"/>
      <c r="D135" s="70" t="n"/>
      <c r="E135" s="228">
        <f>IFERROR(SUMIFS(E137:E156,D137:D156,"Produit Vente"),"Non trouvé")</f>
        <v/>
      </c>
      <c r="F135" s="73" t="n"/>
      <c r="G135" s="73">
        <f>IFERROR(SUM(G137:G156),"Non Trouvé")</f>
        <v/>
      </c>
      <c r="H135" s="73">
        <f>IFERROR(#REF!/#REF!,"Non Trouvé")</f>
        <v/>
      </c>
      <c r="I135" s="74" t="n"/>
      <c r="J135" s="73">
        <f>IFERROR(SUM(J137:J156),"Non Trouvé")</f>
        <v/>
      </c>
      <c r="K135" s="73">
        <f>IFERROR(SUM(K137:K156),"Non Trouvé")</f>
        <v/>
      </c>
      <c r="L135" s="73">
        <f>IFERROR(SUM(L137:L156),"Non Trouvé")</f>
        <v/>
      </c>
      <c r="M135" s="229">
        <f>SUM(M137:M156)</f>
        <v/>
      </c>
      <c r="N135" s="230">
        <f>SUM(N137:N156)</f>
        <v/>
      </c>
      <c r="O135" s="229">
        <f>SUM(O137:O156)</f>
        <v/>
      </c>
      <c r="P135" s="230">
        <f>SUM(P137:P156)</f>
        <v/>
      </c>
      <c r="Q135" s="229">
        <f>SUM(Q137:Q156)</f>
        <v/>
      </c>
      <c r="R135" s="230">
        <f>SUM(R137:R156)</f>
        <v/>
      </c>
      <c r="S135" s="229">
        <f>SUM(S137:S156)</f>
        <v/>
      </c>
      <c r="T135" s="230">
        <f>SUM(T137:T156)</f>
        <v/>
      </c>
      <c r="U135" s="231">
        <f>SUM(U137:U156)</f>
        <v/>
      </c>
      <c r="V135" s="230">
        <f>SUM(V137:V156)</f>
        <v/>
      </c>
      <c r="W135" s="231">
        <f>SUM(W137:W156)</f>
        <v/>
      </c>
      <c r="X135" s="230">
        <f>SUM(X137:X156)</f>
        <v/>
      </c>
      <c r="Y135" s="231">
        <f>SUM(Y137:Y156)</f>
        <v/>
      </c>
      <c r="Z135" s="232">
        <f>SUM(Z137:Z156)</f>
        <v/>
      </c>
      <c r="AA135" s="233" t="n"/>
      <c r="AB135" s="72">
        <f>B124</f>
        <v/>
      </c>
      <c r="AC135" s="234">
        <f>Y135+W135+U135+S135+O135+M135+Q135</f>
        <v/>
      </c>
      <c r="AD135" s="235">
        <f>Z135+X135+V135+T135+P135+N135+R135</f>
        <v/>
      </c>
      <c r="AE135" s="236" t="n"/>
    </row>
    <row r="136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M136" s="204" t="n"/>
      <c r="N136" s="205" t="n"/>
      <c r="O136" s="204" t="n"/>
      <c r="P136" s="205" t="n"/>
      <c r="Q136" s="204" t="n"/>
      <c r="R136" s="205" t="n"/>
      <c r="S136" s="204" t="n"/>
      <c r="T136" s="205" t="n"/>
      <c r="U136" s="1" t="n"/>
      <c r="V136" s="205" t="n"/>
      <c r="W136" s="1" t="n"/>
      <c r="X136" s="205" t="n"/>
      <c r="Y136" s="1" t="n"/>
      <c r="Z136" s="1" t="n"/>
      <c r="AA136" s="206" t="n"/>
      <c r="AB136" s="39" t="n"/>
      <c r="AC136" s="39" t="n"/>
      <c r="AD136" s="39" t="n"/>
      <c r="AE136" s="200" t="n"/>
    </row>
    <row r="137">
      <c r="A137" s="237" t="inlineStr">
        <is>
          <t>1020720</t>
        </is>
      </c>
      <c r="B137" s="238" t="inlineStr">
        <is>
          <t>[1020720] Crème de Jour - Régénérant Intensif - 40ml</t>
        </is>
      </c>
      <c r="C137" s="239" t="inlineStr">
        <is>
          <t>4020829102972</t>
        </is>
      </c>
      <c r="D137" s="240" t="inlineStr">
        <is>
          <t>Produit Vente</t>
        </is>
      </c>
      <c r="E137" s="241" t="n">
        <v>3</v>
      </c>
      <c r="F137" s="242" t="n">
        <v>17.19</v>
      </c>
      <c r="G137" s="243">
        <f>E137*F137</f>
        <v/>
      </c>
      <c r="H137" s="242" t="n">
        <v>44.65</v>
      </c>
      <c r="I137" s="244" t="n">
        <v>0.15</v>
      </c>
      <c r="J137" s="242" t="n">
        <v>75.90000000000001</v>
      </c>
      <c r="K137" s="245">
        <f>J137*(1-I137)</f>
        <v/>
      </c>
      <c r="L137" s="246">
        <f>IFERROR(J137-K137,"")</f>
        <v/>
      </c>
      <c r="M137" s="247">
        <f>E137*H137*(1-I137)*$N$131*(1-$N$130)</f>
        <v/>
      </c>
      <c r="N137" s="248">
        <f>M137-E137*F137*$N$131</f>
        <v/>
      </c>
      <c r="O137" s="247">
        <f>E137*H137*(1-I137)*$P$131*(1-$P$130)</f>
        <v/>
      </c>
      <c r="P137" s="248">
        <f>O137-E137*F137*$P$131</f>
        <v/>
      </c>
      <c r="Q137" s="247">
        <f>E137*H137*(1-I137)*$R$131*(1-$R$130)</f>
        <v/>
      </c>
      <c r="R137" s="248">
        <f>Q137-E137*F137*$R$131</f>
        <v/>
      </c>
      <c r="S137" s="247">
        <f>E137*H137*(1-I137)*$T$131*(1-$T$130)</f>
        <v/>
      </c>
      <c r="T137" s="248">
        <f>S137-E137*F137*$T$131</f>
        <v/>
      </c>
      <c r="U137" s="249">
        <f>E137*H137*(1-I137)*$V$131*(1-$V$130)</f>
        <v/>
      </c>
      <c r="V137" s="248">
        <f>U137-E137*F137*$V$131</f>
        <v/>
      </c>
      <c r="W137" s="250">
        <f>E137*H137*(1-I137)*$X$131*(1-$X$130)</f>
        <v/>
      </c>
      <c r="X137" s="248">
        <f>W137-E137*F137*$X$131</f>
        <v/>
      </c>
      <c r="Y137" s="251">
        <f>E137*H137*(1-I137)*$Z$131*(1-$Z$130)</f>
        <v/>
      </c>
      <c r="Z137" s="252">
        <f>Y137-E137*F137*$Z$131</f>
        <v/>
      </c>
      <c r="AA137" s="253" t="n"/>
      <c r="AB137" s="101" t="n"/>
      <c r="AC137" s="102" t="n"/>
      <c r="AD137" s="102" t="n"/>
      <c r="AE137" s="254" t="n"/>
    </row>
    <row r="138">
      <c r="A138" s="237" t="inlineStr">
        <is>
          <t>1020202</t>
        </is>
      </c>
      <c r="B138" s="238" t="inlineStr">
        <is>
          <t>[1020202] Sérum Jour/Nuit - Régénérant - 30 ml</t>
        </is>
      </c>
      <c r="C138" s="239" t="inlineStr">
        <is>
          <t>4020829103115</t>
        </is>
      </c>
      <c r="D138" s="240" t="inlineStr">
        <is>
          <t>Produit Vente</t>
        </is>
      </c>
      <c r="E138" s="241" t="n">
        <v>2</v>
      </c>
      <c r="F138" s="242" t="n">
        <v>15.84</v>
      </c>
      <c r="G138" s="243">
        <f>E138*F138</f>
        <v/>
      </c>
      <c r="H138" s="242" t="n">
        <v>41.12</v>
      </c>
      <c r="I138" s="244" t="n">
        <v>0.15</v>
      </c>
      <c r="J138" s="242" t="n">
        <v>69.90000000000001</v>
      </c>
      <c r="K138" s="245">
        <f>J138*(1-I138)</f>
        <v/>
      </c>
      <c r="L138" s="246">
        <f>IFERROR(J138-K138,"")</f>
        <v/>
      </c>
      <c r="M138" s="247">
        <f>E138*H138*(1-I138)*$N$131*(1-$N$130)</f>
        <v/>
      </c>
      <c r="N138" s="248">
        <f>M138-E138*F138*$N$131</f>
        <v/>
      </c>
      <c r="O138" s="247">
        <f>E138*H138*(1-I138)*$P$131*(1-$P$130)</f>
        <v/>
      </c>
      <c r="P138" s="248">
        <f>O138-E138*F138*$P$131</f>
        <v/>
      </c>
      <c r="Q138" s="247">
        <f>E138*H138*(1-I138)*$R$131*(1-$R$130)</f>
        <v/>
      </c>
      <c r="R138" s="248">
        <f>Q138-E138*F138*$R$131</f>
        <v/>
      </c>
      <c r="S138" s="247">
        <f>E138*H138*(1-I138)*$T$131*(1-$T$130)</f>
        <v/>
      </c>
      <c r="T138" s="248">
        <f>S138-E138*F138*$T$131</f>
        <v/>
      </c>
      <c r="U138" s="249">
        <f>E138*H138*(1-I138)*$V$131*(1-$V$130)</f>
        <v/>
      </c>
      <c r="V138" s="248">
        <f>U138-E138*F138*$V$131</f>
        <v/>
      </c>
      <c r="W138" s="250">
        <f>E138*H138*(1-I138)*$X$131*(1-$X$130)</f>
        <v/>
      </c>
      <c r="X138" s="248">
        <f>W138-E138*F138*$X$131</f>
        <v/>
      </c>
      <c r="Y138" s="251">
        <f>E138*H138*(1-I138)*$Z$131*(1-$Z$130)</f>
        <v/>
      </c>
      <c r="Z138" s="252">
        <f>Y138-E138*F138*$Z$131</f>
        <v/>
      </c>
      <c r="AA138" s="255" t="n"/>
      <c r="AB138" s="256" t="n"/>
      <c r="AC138" s="257" t="n"/>
      <c r="AD138" s="121" t="n"/>
      <c r="AE138" s="254" t="n"/>
    </row>
    <row r="139">
      <c r="A139" s="237" t="inlineStr">
        <is>
          <t>1020718</t>
        </is>
      </c>
      <c r="B139" s="238" t="inlineStr">
        <is>
          <t>[1020718] Sérum de Nuit - Régénérant Intensif - 30 ml</t>
        </is>
      </c>
      <c r="C139" s="239" t="inlineStr">
        <is>
          <t>4020829101111</t>
        </is>
      </c>
      <c r="D139" s="240" t="inlineStr">
        <is>
          <t>Produit Vente</t>
        </is>
      </c>
      <c r="E139" s="241" t="n">
        <v>2</v>
      </c>
      <c r="F139" s="242" t="n">
        <v>18.28</v>
      </c>
      <c r="G139" s="243">
        <f>E139*F139</f>
        <v/>
      </c>
      <c r="H139" s="242" t="n">
        <v>46.76</v>
      </c>
      <c r="I139" s="244" t="n">
        <v>0.15</v>
      </c>
      <c r="J139" s="242" t="n">
        <v>79.5</v>
      </c>
      <c r="K139" s="245">
        <f>J139*(1-I139)</f>
        <v/>
      </c>
      <c r="L139" s="246">
        <f>IFERROR(J139-K139,"")</f>
        <v/>
      </c>
      <c r="M139" s="247">
        <f>E139*H139*(1-I139)*$N$131*(1-$N$130)</f>
        <v/>
      </c>
      <c r="N139" s="248">
        <f>M139-E139*F139*$N$131</f>
        <v/>
      </c>
      <c r="O139" s="247">
        <f>E139*H139*(1-I139)*$P$131*(1-$P$130)</f>
        <v/>
      </c>
      <c r="P139" s="248">
        <f>O139-E139*F139*$P$131</f>
        <v/>
      </c>
      <c r="Q139" s="247">
        <f>E139*H139*(1-I139)*$R$131*(1-$R$130)</f>
        <v/>
      </c>
      <c r="R139" s="248">
        <f>Q139-E139*F139*$R$131</f>
        <v/>
      </c>
      <c r="S139" s="247">
        <f>E139*H139*(1-I139)*$T$131*(1-$T$130)</f>
        <v/>
      </c>
      <c r="T139" s="248">
        <f>S139-E139*F139*$T$131</f>
        <v/>
      </c>
      <c r="U139" s="249">
        <f>E139*H139*(1-I139)*$V$131*(1-$V$130)</f>
        <v/>
      </c>
      <c r="V139" s="248">
        <f>U139-E139*F139*$V$131</f>
        <v/>
      </c>
      <c r="W139" s="250">
        <f>E139*H139*(1-I139)*$X$131*(1-$X$130)</f>
        <v/>
      </c>
      <c r="X139" s="248">
        <f>W139-E139*F139*$X$131</f>
        <v/>
      </c>
      <c r="Y139" s="251">
        <f>E139*H139*(1-I139)*$Z$131*(1-$Z$130)</f>
        <v/>
      </c>
      <c r="Z139" s="252">
        <f>Y139-E139*F139*$Z$131</f>
        <v/>
      </c>
      <c r="AA139" s="255" t="n"/>
      <c r="AB139" s="256" t="n"/>
      <c r="AC139" s="257" t="n"/>
      <c r="AD139" s="123" t="n"/>
      <c r="AE139" s="254" t="n"/>
    </row>
    <row r="140">
      <c r="A140" s="237" t="inlineStr">
        <is>
          <t>1020301</t>
        </is>
      </c>
      <c r="B140" s="238" t="inlineStr">
        <is>
          <t>[1020301] Crème de Jour - Régénérant - 40 ml</t>
        </is>
      </c>
      <c r="C140" s="239" t="inlineStr">
        <is>
          <t>4020829007383</t>
        </is>
      </c>
      <c r="D140" s="240" t="inlineStr">
        <is>
          <t>Produit Vente</t>
        </is>
      </c>
      <c r="E140" s="241" t="n">
        <v>2</v>
      </c>
      <c r="F140" s="242" t="n">
        <v>14.8</v>
      </c>
      <c r="G140" s="243">
        <f>E140*F140</f>
        <v/>
      </c>
      <c r="H140" s="242" t="n">
        <v>38.53</v>
      </c>
      <c r="I140" s="244" t="n">
        <v>0.15</v>
      </c>
      <c r="J140" s="242" t="n">
        <v>65.5</v>
      </c>
      <c r="K140" s="245">
        <f>J140*(1-I140)</f>
        <v/>
      </c>
      <c r="L140" s="246">
        <f>IFERROR(J140-K140,"")</f>
        <v/>
      </c>
      <c r="M140" s="247">
        <f>E140*H140*(1-I140)*$N$131*(1-$N$130)</f>
        <v/>
      </c>
      <c r="N140" s="248">
        <f>M140-E140*F140*$N$131</f>
        <v/>
      </c>
      <c r="O140" s="247">
        <f>E140*H140*(1-I140)*$P$131*(1-$P$130)</f>
        <v/>
      </c>
      <c r="P140" s="248">
        <f>O140-E140*F140*$P$131</f>
        <v/>
      </c>
      <c r="Q140" s="247">
        <f>E140*H140*(1-I140)*$R$131*(1-$R$130)</f>
        <v/>
      </c>
      <c r="R140" s="248">
        <f>Q140-E140*F140*$R$131</f>
        <v/>
      </c>
      <c r="S140" s="247">
        <f>E140*H140*(1-I140)*$T$131*(1-$T$130)</f>
        <v/>
      </c>
      <c r="T140" s="248">
        <f>S140-E140*F140*$T$131</f>
        <v/>
      </c>
      <c r="U140" s="249">
        <f>E140*H140*(1-I140)*$V$131*(1-$V$130)</f>
        <v/>
      </c>
      <c r="V140" s="248">
        <f>U140-E140*F140*$V$131</f>
        <v/>
      </c>
      <c r="W140" s="250">
        <f>E140*H140*(1-I140)*$X$131*(1-$X$130)</f>
        <v/>
      </c>
      <c r="X140" s="248">
        <f>W140-E140*F140*$X$131</f>
        <v/>
      </c>
      <c r="Y140" s="251">
        <f>E140*H140*(1-I140)*$Z$131*(1-$Z$130)</f>
        <v/>
      </c>
      <c r="Z140" s="252">
        <f>Y140-E140*F140*$Z$131</f>
        <v/>
      </c>
      <c r="AA140" s="253" t="n"/>
      <c r="AB140" s="101" t="n"/>
      <c r="AC140" s="102" t="n"/>
      <c r="AD140" s="102" t="n"/>
      <c r="AE140" s="254" t="n"/>
    </row>
    <row r="141">
      <c r="A141" s="237" t="inlineStr">
        <is>
          <t>1020401</t>
        </is>
      </c>
      <c r="B141" s="238" t="inlineStr">
        <is>
          <t>[1020401] Crème Contour des Yeux - Régénérant - 15 ml</t>
        </is>
      </c>
      <c r="C141" s="239" t="inlineStr">
        <is>
          <t>4020829013919</t>
        </is>
      </c>
      <c r="D141" s="240" t="inlineStr">
        <is>
          <t>Produit Vente</t>
        </is>
      </c>
      <c r="E141" s="241" t="n">
        <v>1</v>
      </c>
      <c r="F141" s="242" t="n">
        <v>15.34</v>
      </c>
      <c r="G141" s="243">
        <f>E141*F141</f>
        <v/>
      </c>
      <c r="H141" s="242" t="n">
        <v>39.71</v>
      </c>
      <c r="I141" s="244" t="n">
        <v>0.15</v>
      </c>
      <c r="J141" s="242" t="n">
        <v>67.5</v>
      </c>
      <c r="K141" s="245">
        <f>J141*(1-I141)</f>
        <v/>
      </c>
      <c r="L141" s="246">
        <f>IFERROR(J141-K141,"")</f>
        <v/>
      </c>
      <c r="M141" s="247">
        <f>E141*H141*(1-I141)*$N$131*(1-$N$130)</f>
        <v/>
      </c>
      <c r="N141" s="248">
        <f>M141-E141*F141*$N$131</f>
        <v/>
      </c>
      <c r="O141" s="247">
        <f>E141*H141*(1-I141)*$P$131*(1-$P$130)</f>
        <v/>
      </c>
      <c r="P141" s="248">
        <f>O141-E141*F141*$P$131</f>
        <v/>
      </c>
      <c r="Q141" s="247">
        <f>E141*H141*(1-I141)*$R$131*(1-$R$130)</f>
        <v/>
      </c>
      <c r="R141" s="248">
        <f>Q141-E141*F141*$R$131</f>
        <v/>
      </c>
      <c r="S141" s="247">
        <f>E141*H141*(1-I141)*$T$131*(1-$T$130)</f>
        <v/>
      </c>
      <c r="T141" s="248">
        <f>S141-E141*F141*$T$131</f>
        <v/>
      </c>
      <c r="U141" s="249">
        <f>E141*H141*(1-I141)*$V$131*(1-$V$130)</f>
        <v/>
      </c>
      <c r="V141" s="248">
        <f>U141-E141*F141*$V$131</f>
        <v/>
      </c>
      <c r="W141" s="250">
        <f>E141*H141*(1-I141)*$X$131*(1-$X$130)</f>
        <v/>
      </c>
      <c r="X141" s="248">
        <f>W141-E141*F141*$X$131</f>
        <v/>
      </c>
      <c r="Y141" s="251">
        <f>E141*H141*(1-I141)*$Z$131*(1-$Z$130)</f>
        <v/>
      </c>
      <c r="Z141" s="252">
        <f>Y141-E141*F141*$Z$131</f>
        <v/>
      </c>
      <c r="AA141" s="253" t="n"/>
      <c r="AB141" s="101" t="n"/>
      <c r="AC141" s="93" t="n"/>
      <c r="AD141" s="125" t="n"/>
      <c r="AE141" s="254" t="n"/>
    </row>
    <row r="142" ht="15.75" customHeight="1">
      <c r="A142" s="237" t="inlineStr">
        <is>
          <t>1020717</t>
        </is>
      </c>
      <c r="B142" s="238" t="inlineStr">
        <is>
          <t>[1020717] Sérum Contour des Yeux - Régénérant Intensif -15 ml</t>
        </is>
      </c>
      <c r="C142" s="239" t="inlineStr">
        <is>
          <t>4020829101067</t>
        </is>
      </c>
      <c r="D142" s="240" t="inlineStr">
        <is>
          <t>Produit Vente</t>
        </is>
      </c>
      <c r="E142" s="241" t="n">
        <v>1</v>
      </c>
      <c r="F142" s="242" t="n">
        <v>17.64</v>
      </c>
      <c r="G142" s="243">
        <f>E142*F142</f>
        <v/>
      </c>
      <c r="H142" s="242" t="n">
        <v>44.12</v>
      </c>
      <c r="I142" s="244" t="n">
        <v>0.15</v>
      </c>
      <c r="J142" s="242" t="n">
        <v>75</v>
      </c>
      <c r="K142" s="245">
        <f>J142*(1-I142)</f>
        <v/>
      </c>
      <c r="L142" s="246">
        <f>IFERROR(J142-K142,"")</f>
        <v/>
      </c>
      <c r="M142" s="247">
        <f>E142*H142*(1-I142)*$N$131*(1-$N$130)</f>
        <v/>
      </c>
      <c r="N142" s="248">
        <f>M142-E142*F142*$N$131</f>
        <v/>
      </c>
      <c r="O142" s="247">
        <f>E142*H142*(1-I142)*$P$131*(1-$P$130)</f>
        <v/>
      </c>
      <c r="P142" s="248">
        <f>O142-E142*F142*$P$131</f>
        <v/>
      </c>
      <c r="Q142" s="247">
        <f>E142*H142*(1-I142)*$R$131*(1-$R$130)</f>
        <v/>
      </c>
      <c r="R142" s="248">
        <f>Q142-E142*F142*$R$131</f>
        <v/>
      </c>
      <c r="S142" s="247">
        <f>E142*H142*(1-I142)*$T$131*(1-$T$130)</f>
        <v/>
      </c>
      <c r="T142" s="248">
        <f>S142-E142*F142*$T$131</f>
        <v/>
      </c>
      <c r="U142" s="249">
        <f>E142*H142*(1-I142)*$V$131*(1-$V$130)</f>
        <v/>
      </c>
      <c r="V142" s="248">
        <f>U142-E142*F142*$V$131</f>
        <v/>
      </c>
      <c r="W142" s="250">
        <f>E142*H142*(1-I142)*$X$131*(1-$X$130)</f>
        <v/>
      </c>
      <c r="X142" s="248">
        <f>W142-E142*F142*$X$131</f>
        <v/>
      </c>
      <c r="Y142" s="251">
        <f>E142*H142*(1-I142)*$Z$131*(1-$Z$130)</f>
        <v/>
      </c>
      <c r="Z142" s="252">
        <f>Y142-E142*F142*$Z$131</f>
        <v/>
      </c>
      <c r="AA142" s="253" t="n"/>
      <c r="AB142" s="101" t="n"/>
      <c r="AC142" s="93" t="n"/>
      <c r="AD142" s="125" t="n"/>
      <c r="AE142" s="254" t="n"/>
    </row>
    <row r="143">
      <c r="A143" s="237" t="inlineStr">
        <is>
          <t>1020310</t>
        </is>
      </c>
      <c r="B143" s="238" t="inlineStr">
        <is>
          <t>[1020310] Crème de Jour Eclat du Teint - Régénérant - 40 ml</t>
        </is>
      </c>
      <c r="C143" s="239" t="inlineStr">
        <is>
          <t>4020829060999</t>
        </is>
      </c>
      <c r="D143" s="240" t="inlineStr">
        <is>
          <t>Produit Vente</t>
        </is>
      </c>
      <c r="E143" s="241" t="n">
        <v>1</v>
      </c>
      <c r="F143" s="242" t="n">
        <v>16.22</v>
      </c>
      <c r="G143" s="243">
        <f>E143*F143</f>
        <v/>
      </c>
      <c r="H143" s="242" t="n">
        <v>41.12</v>
      </c>
      <c r="I143" s="244" t="n">
        <v>0.15</v>
      </c>
      <c r="J143" s="242" t="n">
        <v>69.90000000000001</v>
      </c>
      <c r="K143" s="245">
        <f>J143*(1-I143)</f>
        <v/>
      </c>
      <c r="L143" s="246">
        <f>IFERROR(J143-K143,"")</f>
        <v/>
      </c>
      <c r="M143" s="247">
        <f>E143*H143*(1-I143)*$N$131*(1-$N$130)</f>
        <v/>
      </c>
      <c r="N143" s="248">
        <f>M143-E143*F143*$N$131</f>
        <v/>
      </c>
      <c r="O143" s="247">
        <f>E143*H143*(1-I143)*$P$131*(1-$P$130)</f>
        <v/>
      </c>
      <c r="P143" s="248">
        <f>O143-E143*F143*$P$131</f>
        <v/>
      </c>
      <c r="Q143" s="247">
        <f>E143*H143*(1-I143)*$R$131*(1-$R$130)</f>
        <v/>
      </c>
      <c r="R143" s="248">
        <f>Q143-E143*F143*$R$131</f>
        <v/>
      </c>
      <c r="S143" s="247">
        <f>E143*H143*(1-I143)*$T$131*(1-$T$130)</f>
        <v/>
      </c>
      <c r="T143" s="248">
        <f>S143-E143*F143*$T$131</f>
        <v/>
      </c>
      <c r="U143" s="249">
        <f>E143*H143*(1-I143)*$V$131*(1-$V$130)</f>
        <v/>
      </c>
      <c r="V143" s="248">
        <f>U143-E143*F143*$V$131</f>
        <v/>
      </c>
      <c r="W143" s="250">
        <f>E143*H143*(1-I143)*$X$131*(1-$X$130)</f>
        <v/>
      </c>
      <c r="X143" s="248">
        <f>W143-E143*F143*$X$131</f>
        <v/>
      </c>
      <c r="Y143" s="251">
        <f>E143*H143*(1-I143)*$Z$131*(1-$Z$130)</f>
        <v/>
      </c>
      <c r="Z143" s="252">
        <f>Y143-E143*F143*$Z$131</f>
        <v/>
      </c>
      <c r="AA143" s="253" t="n"/>
      <c r="AB143" s="101" t="n"/>
      <c r="AC143" s="93" t="n"/>
      <c r="AD143" s="125" t="n"/>
      <c r="AE143" s="254" t="n"/>
    </row>
    <row r="144">
      <c r="A144" s="237" t="inlineStr">
        <is>
          <t>1020719</t>
        </is>
      </c>
      <c r="B144" s="238" t="inlineStr">
        <is>
          <t>[1020719] Huile Fortifiante - Régénérant Intensif - 20ml</t>
        </is>
      </c>
      <c r="C144" s="239" t="inlineStr">
        <is>
          <t>4020829103030</t>
        </is>
      </c>
      <c r="D144" s="240" t="inlineStr">
        <is>
          <t>Produit Vente</t>
        </is>
      </c>
      <c r="E144" s="241" t="n">
        <v>0</v>
      </c>
      <c r="F144" s="242" t="n">
        <v>18.42</v>
      </c>
      <c r="G144" s="243">
        <f>E144*F144</f>
        <v/>
      </c>
      <c r="H144" s="242" t="n">
        <v>46.77</v>
      </c>
      <c r="I144" s="244" t="n">
        <v>0.15</v>
      </c>
      <c r="J144" s="242" t="n">
        <v>79.5</v>
      </c>
      <c r="K144" s="245">
        <f>J144*(1-I144)</f>
        <v/>
      </c>
      <c r="L144" s="246">
        <f>IFERROR(J144-K144,"")</f>
        <v/>
      </c>
      <c r="M144" s="247">
        <f>E144*H144*(1-I144)*$N$131*(1-$N$130)</f>
        <v/>
      </c>
      <c r="N144" s="248">
        <f>M144-E144*F144*$N$131</f>
        <v/>
      </c>
      <c r="O144" s="247">
        <f>E144*H144*(1-I144)*$P$131*(1-$P$130)</f>
        <v/>
      </c>
      <c r="P144" s="248">
        <f>O144-E144*F144*$P$131</f>
        <v/>
      </c>
      <c r="Q144" s="247">
        <f>E144*H144*(1-I144)*$R$131*(1-$R$130)</f>
        <v/>
      </c>
      <c r="R144" s="248">
        <f>Q144-E144*F144*$R$131</f>
        <v/>
      </c>
      <c r="S144" s="247">
        <f>E144*H144*(1-I144)*$T$131*(1-$T$130)</f>
        <v/>
      </c>
      <c r="T144" s="248">
        <f>S144-E144*F144*$T$131</f>
        <v/>
      </c>
      <c r="U144" s="249">
        <f>E144*H144*(1-I144)*$V$131*(1-$V$130)</f>
        <v/>
      </c>
      <c r="V144" s="248">
        <f>U144-E144*F144*$V$131</f>
        <v/>
      </c>
      <c r="W144" s="250">
        <f>E144*H144*(1-I144)*$X$131*(1-$X$130)</f>
        <v/>
      </c>
      <c r="X144" s="248">
        <f>W144-E144*F144*$X$131</f>
        <v/>
      </c>
      <c r="Y144" s="251">
        <f>E144*H144*(1-I144)*$Z$131*(1-$Z$130)</f>
        <v/>
      </c>
      <c r="Z144" s="252">
        <f>Y144-E144*F144*$Z$131</f>
        <v/>
      </c>
      <c r="AA144" s="253" t="n"/>
      <c r="AB144" s="101" t="n"/>
      <c r="AC144" s="93" t="n"/>
      <c r="AD144" s="125" t="n"/>
      <c r="AE144" s="254" t="n"/>
    </row>
    <row r="145">
      <c r="A145" s="237" t="inlineStr">
        <is>
          <t>1020302</t>
        </is>
      </c>
      <c r="B145" s="238" t="inlineStr">
        <is>
          <t>[1020302] Crème Cou et Décolleté - Régénérant - 40 ml</t>
        </is>
      </c>
      <c r="C145" s="239" t="inlineStr">
        <is>
          <t>4020829008366</t>
        </is>
      </c>
      <c r="D145" s="240" t="inlineStr">
        <is>
          <t>Produit Vente</t>
        </is>
      </c>
      <c r="E145" s="241" t="n">
        <v>0</v>
      </c>
      <c r="F145" s="242" t="n">
        <v>13.77</v>
      </c>
      <c r="G145" s="243">
        <f>E145*F145</f>
        <v/>
      </c>
      <c r="H145" s="242" t="n">
        <v>35.88</v>
      </c>
      <c r="I145" s="244" t="n">
        <v>0.15</v>
      </c>
      <c r="J145" s="242" t="n">
        <v>61</v>
      </c>
      <c r="K145" s="245">
        <f>J145*(1-I145)</f>
        <v/>
      </c>
      <c r="L145" s="246">
        <f>IFERROR(J145-K145,"")</f>
        <v/>
      </c>
      <c r="M145" s="247">
        <f>E145*H145*(1-I145)*$N$131*(1-$N$130)</f>
        <v/>
      </c>
      <c r="N145" s="248">
        <f>M145-E145*F145*$N$131</f>
        <v/>
      </c>
      <c r="O145" s="247">
        <f>E145*H145*(1-I145)*$P$131*(1-$P$130)</f>
        <v/>
      </c>
      <c r="P145" s="248">
        <f>O145-E145*F145*$P$131</f>
        <v/>
      </c>
      <c r="Q145" s="247">
        <f>E145*H145*(1-I145)*$R$131*(1-$R$130)</f>
        <v/>
      </c>
      <c r="R145" s="248">
        <f>Q145-E145*F145*$R$131</f>
        <v/>
      </c>
      <c r="S145" s="247">
        <f>E145*H145*(1-I145)*$T$131*(1-$T$130)</f>
        <v/>
      </c>
      <c r="T145" s="248">
        <f>S145-E145*F145*$T$131</f>
        <v/>
      </c>
      <c r="U145" s="249">
        <f>E145*H145*(1-I145)*$V$131*(1-$V$130)</f>
        <v/>
      </c>
      <c r="V145" s="248">
        <f>U145-E145*F145*$V$131</f>
        <v/>
      </c>
      <c r="W145" s="250">
        <f>E145*H145*(1-I145)*$X$131*(1-$X$130)</f>
        <v/>
      </c>
      <c r="X145" s="248">
        <f>W145-E145*F145*$X$131</f>
        <v/>
      </c>
      <c r="Y145" s="251">
        <f>E145*H145*(1-I145)*$Z$131*(1-$Z$130)</f>
        <v/>
      </c>
      <c r="Z145" s="252">
        <f>Y145-E145*F145*$Z$131</f>
        <v/>
      </c>
      <c r="AA145" s="253" t="n"/>
      <c r="AB145" s="101" t="n"/>
      <c r="AC145" s="102" t="n"/>
      <c r="AD145" s="102" t="n"/>
      <c r="AE145" s="254" t="n"/>
    </row>
    <row r="146" ht="15.75" customHeight="1">
      <c r="A146" s="237" t="inlineStr">
        <is>
          <t>1020107</t>
        </is>
      </c>
      <c r="B146" s="238" t="inlineStr">
        <is>
          <t>[1020107] Lait pour le Corps - Régénérant - 150 ml</t>
        </is>
      </c>
      <c r="C146" s="239" t="inlineStr">
        <is>
          <t>4020829103160</t>
        </is>
      </c>
      <c r="D146" s="240" t="inlineStr">
        <is>
          <t>Produit Vente</t>
        </is>
      </c>
      <c r="E146" s="241" t="n">
        <v>0</v>
      </c>
      <c r="F146" s="242" t="n">
        <v>10.34</v>
      </c>
      <c r="G146" s="243">
        <f>E146*F146</f>
        <v/>
      </c>
      <c r="H146" s="242" t="n">
        <v>26.12</v>
      </c>
      <c r="I146" s="244" t="n">
        <v>0.15</v>
      </c>
      <c r="J146" s="242" t="n">
        <v>44.4</v>
      </c>
      <c r="K146" s="245">
        <f>J146*(1-I146)</f>
        <v/>
      </c>
      <c r="L146" s="246">
        <f>IFERROR(J146-K146,"")</f>
        <v/>
      </c>
      <c r="M146" s="247">
        <f>E146*H146*(1-I146)*$N$131*(1-$N$130)</f>
        <v/>
      </c>
      <c r="N146" s="248">
        <f>M146-E146*F146*$N$131</f>
        <v/>
      </c>
      <c r="O146" s="247">
        <f>E146*H146*(1-I146)*$P$131*(1-$P$130)</f>
        <v/>
      </c>
      <c r="P146" s="248">
        <f>O146-E146*F146*$P$131</f>
        <v/>
      </c>
      <c r="Q146" s="247">
        <f>E146*H146*(1-I146)*$R$131*(1-$R$130)</f>
        <v/>
      </c>
      <c r="R146" s="248">
        <f>Q146-E146*F146*$R$131</f>
        <v/>
      </c>
      <c r="S146" s="247">
        <f>E146*H146*(1-I146)*$T$131*(1-$T$130)</f>
        <v/>
      </c>
      <c r="T146" s="248">
        <f>S146-E146*F146*$T$131</f>
        <v/>
      </c>
      <c r="U146" s="249">
        <f>E146*H146*(1-I146)*$V$131*(1-$V$130)</f>
        <v/>
      </c>
      <c r="V146" s="248">
        <f>U146-E146*F146*$V$131</f>
        <v/>
      </c>
      <c r="W146" s="250">
        <f>E146*H146*(1-I146)*$X$131*(1-$X$130)</f>
        <v/>
      </c>
      <c r="X146" s="248">
        <f>W146-E146*F146*$X$131</f>
        <v/>
      </c>
      <c r="Y146" s="251">
        <f>E146*H146*(1-I146)*$Z$131*(1-$Z$130)</f>
        <v/>
      </c>
      <c r="Z146" s="252">
        <f>Y146-E146*F146*$Z$131</f>
        <v/>
      </c>
      <c r="AA146" s="253" t="n"/>
      <c r="AB146" s="101" t="n"/>
      <c r="AC146" s="102" t="n"/>
      <c r="AD146" s="102" t="n"/>
      <c r="AE146" s="254" t="n"/>
    </row>
    <row r="147" ht="40.5" customHeight="1">
      <c r="A147" s="237" t="inlineStr">
        <is>
          <t>1020102</t>
        </is>
      </c>
      <c r="B147" s="238" t="inlineStr">
        <is>
          <t>[1020102] Crème pour les Mains - Régénérant - 50 ml</t>
        </is>
      </c>
      <c r="C147" s="239" t="inlineStr">
        <is>
          <t>4020829049666</t>
        </is>
      </c>
      <c r="D147" s="240" t="inlineStr">
        <is>
          <t>Produit Vente</t>
        </is>
      </c>
      <c r="E147" s="241" t="n">
        <v>0</v>
      </c>
      <c r="F147" s="242" t="n">
        <v>6.48</v>
      </c>
      <c r="G147" s="243">
        <f>E147*F147</f>
        <v/>
      </c>
      <c r="H147" s="242" t="n">
        <v>17.35</v>
      </c>
      <c r="I147" s="244" t="n">
        <v>0.15</v>
      </c>
      <c r="J147" s="242" t="n">
        <v>29.5</v>
      </c>
      <c r="K147" s="245">
        <f>J147*(1-I147)</f>
        <v/>
      </c>
      <c r="L147" s="246">
        <f>IFERROR(J147-K147,"")</f>
        <v/>
      </c>
      <c r="M147" s="247">
        <f>E147*H147*(1-I147)*$N$131*(1-$N$130)</f>
        <v/>
      </c>
      <c r="N147" s="248">
        <f>M147-E147*F147*$N$131</f>
        <v/>
      </c>
      <c r="O147" s="247">
        <f>E147*H147*(1-I147)*$P$131*(1-$P$130)</f>
        <v/>
      </c>
      <c r="P147" s="248">
        <f>O147-E147*F147*$P$131</f>
        <v/>
      </c>
      <c r="Q147" s="247">
        <f>E147*H147*(1-I147)*$R$131*(1-$R$130)</f>
        <v/>
      </c>
      <c r="R147" s="248">
        <f>Q147-E147*F147*$R$131</f>
        <v/>
      </c>
      <c r="S147" s="247">
        <f>E147*H147*(1-I147)*$T$131*(1-$T$130)</f>
        <v/>
      </c>
      <c r="T147" s="248">
        <f>S147-E147*F147*$T$131</f>
        <v/>
      </c>
      <c r="U147" s="249">
        <f>E147*H147*(1-I147)*$V$131*(1-$V$130)</f>
        <v/>
      </c>
      <c r="V147" s="248">
        <f>U147-E147*F147*$V$131</f>
        <v/>
      </c>
      <c r="W147" s="250">
        <f>E147*H147*(1-I147)*$X$131*(1-$X$130)</f>
        <v/>
      </c>
      <c r="X147" s="248">
        <f>W147-E147*F147*$X$131</f>
        <v/>
      </c>
      <c r="Y147" s="251">
        <f>E147*H147*(1-I147)*$Z$131*(1-$Z$130)</f>
        <v/>
      </c>
      <c r="Z147" s="252">
        <f>Y147-E147*F147*$Z$131</f>
        <v/>
      </c>
      <c r="AA147" s="253" t="n"/>
      <c r="AB147" s="101" t="n"/>
      <c r="AC147" s="102" t="n"/>
      <c r="AD147" s="102" t="n"/>
      <c r="AE147" s="254" t="n"/>
    </row>
    <row r="148" ht="16.5" customHeight="1">
      <c r="A148" s="237" t="inlineStr">
        <is>
          <t>1020721</t>
        </is>
      </c>
      <c r="B148" s="238" t="inlineStr">
        <is>
          <t>[1020721] Cure Intensive Fortifiante - Régénérant - 40ml</t>
        </is>
      </c>
      <c r="C148" s="239" t="inlineStr">
        <is>
          <t>4020829102941</t>
        </is>
      </c>
      <c r="D148" s="240" t="inlineStr">
        <is>
          <t>Produit Vente</t>
        </is>
      </c>
      <c r="E148" s="241" t="n">
        <v>0</v>
      </c>
      <c r="F148" s="242" t="n">
        <v>16.71</v>
      </c>
      <c r="G148" s="243">
        <f>E148*F148</f>
        <v/>
      </c>
      <c r="H148" s="242" t="n">
        <v>42.88</v>
      </c>
      <c r="I148" s="244" t="n">
        <v>0.15</v>
      </c>
      <c r="J148" s="242" t="n">
        <v>72.90000000000001</v>
      </c>
      <c r="K148" s="245">
        <f>J148*(1-I148)</f>
        <v/>
      </c>
      <c r="L148" s="246">
        <f>IFERROR(J148-K148,"")</f>
        <v/>
      </c>
      <c r="M148" s="247">
        <f>E148*H148*(1-I148)*$N$131*(1-$N$130)</f>
        <v/>
      </c>
      <c r="N148" s="248">
        <f>M148-E148*F148*$N$131</f>
        <v/>
      </c>
      <c r="O148" s="247">
        <f>E148*H148*(1-I148)*$P$131*(1-$P$130)</f>
        <v/>
      </c>
      <c r="P148" s="248">
        <f>O148-E148*F148*$P$131</f>
        <v/>
      </c>
      <c r="Q148" s="247">
        <f>E148*H148*(1-I148)*$R$131*(1-$R$130)</f>
        <v/>
      </c>
      <c r="R148" s="248">
        <f>Q148-E148*F148*$R$131</f>
        <v/>
      </c>
      <c r="S148" s="247">
        <f>E148*H148*(1-I148)*$T$131*(1-$T$130)</f>
        <v/>
      </c>
      <c r="T148" s="248">
        <f>S148-E148*F148*$T$131</f>
        <v/>
      </c>
      <c r="U148" s="249">
        <f>E148*H148*(1-I148)*$V$131*(1-$V$130)</f>
        <v/>
      </c>
      <c r="V148" s="248">
        <f>U148-E148*F148*$V$131</f>
        <v/>
      </c>
      <c r="W148" s="250">
        <f>E148*H148*(1-I148)*$X$131*(1-$X$130)</f>
        <v/>
      </c>
      <c r="X148" s="248">
        <f>W148-E148*F148*$X$131</f>
        <v/>
      </c>
      <c r="Y148" s="251">
        <f>E148*H148*(1-I148)*$Z$131*(1-$Z$130)</f>
        <v/>
      </c>
      <c r="Z148" s="252">
        <f>Y148-E148*F148*$Z$131</f>
        <v/>
      </c>
      <c r="AA148" s="253" t="n"/>
      <c r="AB148" s="101" t="n"/>
      <c r="AC148" s="102" t="n"/>
      <c r="AD148" s="102" t="n"/>
      <c r="AE148" s="254" t="n"/>
    </row>
    <row r="149">
      <c r="A149" s="237" t="inlineStr">
        <is>
          <t>1020722</t>
        </is>
      </c>
      <c r="B149" s="238" t="inlineStr">
        <is>
          <t>[1020722] Cure Intensive Rééquilibrante - Régénérant Intensif - 40ml</t>
        </is>
      </c>
      <c r="C149" s="239" t="inlineStr">
        <is>
          <t>4020829102934</t>
        </is>
      </c>
      <c r="D149" s="240" t="inlineStr">
        <is>
          <t>Produit Vente</t>
        </is>
      </c>
      <c r="E149" s="241" t="n">
        <v>0</v>
      </c>
      <c r="F149" s="242" t="n">
        <v>16.71</v>
      </c>
      <c r="G149" s="243">
        <f>E149*F149</f>
        <v/>
      </c>
      <c r="H149" s="242" t="n">
        <v>42.88</v>
      </c>
      <c r="I149" s="244" t="n">
        <v>0.15</v>
      </c>
      <c r="J149" s="242" t="n">
        <v>72.90000000000001</v>
      </c>
      <c r="K149" s="245">
        <f>J149*(1-I149)</f>
        <v/>
      </c>
      <c r="L149" s="246">
        <f>IFERROR(J149-K149,"")</f>
        <v/>
      </c>
      <c r="M149" s="247">
        <f>E149*H149*(1-I149)*$N$131*(1-$N$130)</f>
        <v/>
      </c>
      <c r="N149" s="248">
        <f>M149-E149*F149*$N$131</f>
        <v/>
      </c>
      <c r="O149" s="247">
        <f>E149*H149*(1-I149)*$P$131*(1-$P$130)</f>
        <v/>
      </c>
      <c r="P149" s="248">
        <f>O149-E149*F149*$P$131</f>
        <v/>
      </c>
      <c r="Q149" s="247">
        <f>E149*H149*(1-I149)*$R$131*(1-$R$130)</f>
        <v/>
      </c>
      <c r="R149" s="248">
        <f>Q149-E149*F149*$R$131</f>
        <v/>
      </c>
      <c r="S149" s="247">
        <f>E149*H149*(1-I149)*$T$131*(1-$T$130)</f>
        <v/>
      </c>
      <c r="T149" s="248">
        <f>S149-E149*F149*$T$131</f>
        <v/>
      </c>
      <c r="U149" s="249">
        <f>E149*H149*(1-I149)*$V$131*(1-$V$130)</f>
        <v/>
      </c>
      <c r="V149" s="248">
        <f>U149-E149*F149*$V$131</f>
        <v/>
      </c>
      <c r="W149" s="250">
        <f>E149*H149*(1-I149)*$X$131*(1-$X$130)</f>
        <v/>
      </c>
      <c r="X149" s="248">
        <f>W149-E149*F149*$X$131</f>
        <v/>
      </c>
      <c r="Y149" s="251">
        <f>E149*H149*(1-I149)*$Z$131*(1-$Z$130)</f>
        <v/>
      </c>
      <c r="Z149" s="252">
        <f>Y149-E149*F149*$Z$131</f>
        <v/>
      </c>
      <c r="AA149" s="253" t="n"/>
      <c r="AB149" s="101" t="n"/>
      <c r="AC149" s="133" t="n"/>
      <c r="AD149" s="102" t="n"/>
      <c r="AE149" s="254" t="n"/>
    </row>
    <row r="150">
      <c r="A150" s="258" t="inlineStr">
        <is>
          <t>7000431</t>
        </is>
      </c>
      <c r="B150" s="259" t="inlineStr">
        <is>
          <t>[7000431] Présentoir Régénérants 2026 vide + 4 testeurs</t>
        </is>
      </c>
      <c r="C150" s="260" t="inlineStr"/>
      <c r="D150" s="261" t="inlineStr">
        <is>
          <t>Produit Vente</t>
        </is>
      </c>
      <c r="E150" s="262" t="n">
        <v>1</v>
      </c>
      <c r="F150" s="242" t="n">
        <v>47.97</v>
      </c>
      <c r="G150" s="243">
        <f>E150*F150</f>
        <v/>
      </c>
      <c r="H150" s="263" t="n">
        <v>0</v>
      </c>
      <c r="I150" s="244" t="n">
        <v>0.15</v>
      </c>
      <c r="J150" s="242" t="n">
        <v>0</v>
      </c>
      <c r="K150" s="245">
        <f>J150*(1-I150)</f>
        <v/>
      </c>
      <c r="L150" s="246">
        <f>IFERROR(J150-K150,"")</f>
        <v/>
      </c>
      <c r="M150" s="247">
        <f>E150*H150*(1-I150)*$N$131*(1-$N$130)</f>
        <v/>
      </c>
      <c r="N150" s="248">
        <f>M150-E150*F150*$N$131</f>
        <v/>
      </c>
      <c r="O150" s="247">
        <f>E150*H150*(1-I150)*$P$131*(1-$P$130)</f>
        <v/>
      </c>
      <c r="P150" s="248">
        <f>O150-E150*F150*$P$131</f>
        <v/>
      </c>
      <c r="Q150" s="247">
        <f>E150*H150*(1-I150)*$R$131*(1-$R$130)</f>
        <v/>
      </c>
      <c r="R150" s="248">
        <f>Q150-E150*F150*$R$131</f>
        <v/>
      </c>
      <c r="S150" s="247">
        <f>E150*H150*(1-I150)*$T$131*(1-$T$130)</f>
        <v/>
      </c>
      <c r="T150" s="248">
        <f>S150-E150*F150*$T$131</f>
        <v/>
      </c>
      <c r="U150" s="249">
        <f>E150*H150*(1-I150)*$V$131*(1-$V$130)</f>
        <v/>
      </c>
      <c r="V150" s="248">
        <f>U150-E150*F150*$V$131</f>
        <v/>
      </c>
      <c r="W150" s="250">
        <f>E150*H150*(1-I150)*$X$131*(1-$X$130)</f>
        <v/>
      </c>
      <c r="X150" s="248">
        <f>W150-E150*F150*$X$131</f>
        <v/>
      </c>
      <c r="Y150" s="251">
        <f>E150*H150*(1-I150)*$Z$131*(1-$Z$130)</f>
        <v/>
      </c>
      <c r="Z150" s="252">
        <f>Y150-E150*F150*$Z$131</f>
        <v/>
      </c>
      <c r="AA150" s="253" t="n"/>
      <c r="AB150" s="101" t="n"/>
      <c r="AC150" s="102" t="n"/>
      <c r="AD150" s="138" t="n"/>
      <c r="AE150" s="254" t="n"/>
    </row>
    <row r="151">
      <c r="A151" s="258" t="inlineStr">
        <is>
          <t>7021435</t>
        </is>
      </c>
      <c r="B151" s="259" t="inlineStr">
        <is>
          <t>[7021435] MEA Régénérants 2026 - Standard (copie)</t>
        </is>
      </c>
      <c r="C151" s="260" t="inlineStr"/>
      <c r="D151" s="261" t="inlineStr">
        <is>
          <t>Produit Vente</t>
        </is>
      </c>
      <c r="E151" s="262" t="n">
        <v>1</v>
      </c>
      <c r="F151" s="242" t="n">
        <v>0</v>
      </c>
      <c r="G151" s="243">
        <f>E151*F151</f>
        <v/>
      </c>
      <c r="H151" s="263" t="n">
        <v>0</v>
      </c>
      <c r="I151" s="244" t="n">
        <v>0.15</v>
      </c>
      <c r="J151" s="242" t="n">
        <v>0</v>
      </c>
      <c r="K151" s="245">
        <f>J151*(1-I151)</f>
        <v/>
      </c>
      <c r="L151" s="246">
        <f>IFERROR(J151-K151,"")</f>
        <v/>
      </c>
      <c r="M151" s="247">
        <f>E151*H151*(1-I151)*$N$131*(1-$N$130)</f>
        <v/>
      </c>
      <c r="N151" s="248">
        <f>M151-E151*F151*$N$131</f>
        <v/>
      </c>
      <c r="O151" s="247">
        <f>E151*H151*(1-I151)*$P$131*(1-$P$130)</f>
        <v/>
      </c>
      <c r="P151" s="248">
        <f>O151-E151*F151*$P$131</f>
        <v/>
      </c>
      <c r="Q151" s="247">
        <f>E151*H151*(1-I151)*$R$131*(1-$R$130)</f>
        <v/>
      </c>
      <c r="R151" s="248">
        <f>Q151-E151*F151*$R$131</f>
        <v/>
      </c>
      <c r="S151" s="247">
        <f>E151*H151*(1-I151)*$T$131*(1-$T$130)</f>
        <v/>
      </c>
      <c r="T151" s="248">
        <f>S151-E151*F151*$T$131</f>
        <v/>
      </c>
      <c r="U151" s="249">
        <f>E151*H151*(1-I151)*$V$131*(1-$V$130)</f>
        <v/>
      </c>
      <c r="V151" s="248">
        <f>U151-E151*F151*$V$131</f>
        <v/>
      </c>
      <c r="W151" s="250">
        <f>E151*H151*(1-I151)*$X$131*(1-$X$130)</f>
        <v/>
      </c>
      <c r="X151" s="248">
        <f>W151-E151*F151*$X$131</f>
        <v/>
      </c>
      <c r="Y151" s="251">
        <f>E151*H151*(1-I151)*$Z$131*(1-$Z$130)</f>
        <v/>
      </c>
      <c r="Z151" s="252">
        <f>Y151-E151*F151*$Z$131</f>
        <v/>
      </c>
      <c r="AA151" s="253" t="n"/>
      <c r="AB151" s="101" t="n"/>
      <c r="AC151" s="102" t="n"/>
      <c r="AD151" s="139" t="n"/>
      <c r="AE151" s="254" t="n"/>
    </row>
    <row r="152">
      <c r="A152" s="258" t="inlineStr">
        <is>
          <t>6500175</t>
        </is>
      </c>
      <c r="B152" s="259" t="inlineStr">
        <is>
          <t>[6500175] Stop-rayon promo vierge Régénérants 2026</t>
        </is>
      </c>
      <c r="C152" s="260" t="inlineStr">
        <is>
          <t>6500175999999</t>
        </is>
      </c>
      <c r="D152" s="261" t="inlineStr">
        <is>
          <t>Produit Vente</t>
        </is>
      </c>
      <c r="E152" s="262" t="n">
        <v>1</v>
      </c>
      <c r="F152" s="242" t="n">
        <v>1.59</v>
      </c>
      <c r="G152" s="243">
        <f>E152*F152</f>
        <v/>
      </c>
      <c r="H152" s="263" t="n">
        <v>0</v>
      </c>
      <c r="I152" s="244" t="n">
        <v>0.15</v>
      </c>
      <c r="J152" s="242" t="n">
        <v>0</v>
      </c>
      <c r="K152" s="245">
        <f>J152*(1-I152)</f>
        <v/>
      </c>
      <c r="L152" s="246">
        <f>IFERROR(J152-K152,"")</f>
        <v/>
      </c>
      <c r="M152" s="247">
        <f>E152*H152*(1-I152)*$N$131*(1-$N$130)</f>
        <v/>
      </c>
      <c r="N152" s="248">
        <f>M152-E152*F152*$N$131</f>
        <v/>
      </c>
      <c r="O152" s="247">
        <f>E152*H152*(1-I152)*$P$131*(1-$P$130)</f>
        <v/>
      </c>
      <c r="P152" s="248">
        <f>O152-E152*F152*$P$131</f>
        <v/>
      </c>
      <c r="Q152" s="247">
        <f>E152*H152*(1-I152)*$R$131*(1-$R$130)</f>
        <v/>
      </c>
      <c r="R152" s="248">
        <f>Q152-E152*F152*$R$131</f>
        <v/>
      </c>
      <c r="S152" s="247">
        <f>E152*H152*(1-I152)*$T$131*(1-$T$130)</f>
        <v/>
      </c>
      <c r="T152" s="248">
        <f>S152-E152*F152*$T$131</f>
        <v/>
      </c>
      <c r="U152" s="249">
        <f>E152*H152*(1-I152)*$V$131*(1-$V$130)</f>
        <v/>
      </c>
      <c r="V152" s="248">
        <f>U152-E152*F152*$V$131</f>
        <v/>
      </c>
      <c r="W152" s="250">
        <f>E152*H152*(1-I152)*$X$131*(1-$X$130)</f>
        <v/>
      </c>
      <c r="X152" s="248">
        <f>W152-E152*F152*$X$131</f>
        <v/>
      </c>
      <c r="Y152" s="251">
        <f>E152*H152*(1-I152)*$Z$131*(1-$Z$130)</f>
        <v/>
      </c>
      <c r="Z152" s="252">
        <f>Y152-E152*F152*$Z$131</f>
        <v/>
      </c>
      <c r="AA152" s="253" t="n"/>
      <c r="AB152" s="101" t="n"/>
      <c r="AC152" s="102" t="n"/>
      <c r="AD152" s="142" t="n"/>
      <c r="AE152" s="254" t="n"/>
    </row>
    <row r="153">
      <c r="A153" s="258" t="n"/>
      <c r="B153" s="259" t="n"/>
      <c r="C153" s="260" t="n"/>
      <c r="D153" s="261" t="n"/>
      <c r="E153" s="262" t="n"/>
      <c r="F153" s="242" t="n"/>
      <c r="G153" s="243" t="n"/>
      <c r="H153" s="263" t="n"/>
      <c r="I153" s="244" t="n"/>
      <c r="J153" s="242" t="n"/>
      <c r="K153" s="245" t="n"/>
      <c r="L153" s="246" t="n"/>
      <c r="M153" s="247" t="n"/>
      <c r="N153" s="248" t="n"/>
      <c r="O153" s="247" t="n"/>
      <c r="P153" s="248" t="n"/>
      <c r="Q153" s="247" t="n"/>
      <c r="R153" s="248" t="n"/>
      <c r="S153" s="247" t="n"/>
      <c r="T153" s="248" t="n"/>
      <c r="U153" s="249" t="n"/>
      <c r="V153" s="248" t="n"/>
      <c r="W153" s="250" t="n"/>
      <c r="X153" s="248" t="n"/>
      <c r="Y153" s="251" t="n"/>
      <c r="Z153" s="252" t="n"/>
      <c r="AA153" s="253" t="n"/>
      <c r="AB153" s="101" t="n"/>
      <c r="AC153" s="102" t="n"/>
      <c r="AD153" s="139" t="n"/>
      <c r="AE153" s="254" t="n"/>
    </row>
    <row r="154">
      <c r="A154" s="258" t="n"/>
      <c r="B154" s="259" t="n"/>
      <c r="C154" s="260" t="n"/>
      <c r="D154" s="261" t="n"/>
      <c r="E154" s="262" t="n"/>
      <c r="F154" s="242" t="n"/>
      <c r="G154" s="243" t="n"/>
      <c r="H154" s="263" t="n"/>
      <c r="I154" s="244" t="n"/>
      <c r="J154" s="242" t="n"/>
      <c r="K154" s="245" t="n"/>
      <c r="L154" s="246" t="n"/>
      <c r="M154" s="247" t="n"/>
      <c r="N154" s="248" t="n"/>
      <c r="O154" s="247" t="n"/>
      <c r="P154" s="248" t="n"/>
      <c r="Q154" s="247" t="n"/>
      <c r="R154" s="248" t="n"/>
      <c r="S154" s="247" t="n"/>
      <c r="T154" s="248" t="n"/>
      <c r="U154" s="249" t="n"/>
      <c r="V154" s="248" t="n"/>
      <c r="W154" s="250" t="n"/>
      <c r="X154" s="248" t="n"/>
      <c r="Y154" s="251" t="n"/>
      <c r="Z154" s="252" t="n"/>
      <c r="AA154" s="253" t="n"/>
      <c r="AB154" s="101" t="n"/>
      <c r="AC154" s="101" t="n"/>
      <c r="AD154" s="101" t="n"/>
      <c r="AE154" s="254" t="n"/>
    </row>
    <row r="155">
      <c r="A155" s="258" t="n"/>
      <c r="B155" s="259" t="n"/>
      <c r="C155" s="260" t="n"/>
      <c r="D155" s="261" t="n"/>
      <c r="E155" s="262" t="n"/>
      <c r="F155" s="242" t="n"/>
      <c r="G155" s="243" t="n"/>
      <c r="H155" s="263" t="n"/>
      <c r="I155" s="244" t="n"/>
      <c r="J155" s="242" t="n"/>
      <c r="K155" s="245" t="n"/>
      <c r="L155" s="246" t="n"/>
      <c r="M155" s="247" t="n"/>
      <c r="N155" s="248" t="n"/>
      <c r="O155" s="247" t="n"/>
      <c r="P155" s="248" t="n"/>
      <c r="Q155" s="247" t="n"/>
      <c r="R155" s="248" t="n"/>
      <c r="S155" s="247" t="n"/>
      <c r="T155" s="248" t="n"/>
      <c r="U155" s="249" t="n"/>
      <c r="V155" s="248" t="n"/>
      <c r="W155" s="250" t="n"/>
      <c r="X155" s="248" t="n"/>
      <c r="Y155" s="251" t="n"/>
      <c r="Z155" s="252" t="n"/>
      <c r="AA155" s="253" t="n"/>
      <c r="AB155" s="101" t="n"/>
      <c r="AC155" s="133" t="n"/>
      <c r="AD155" s="101" t="n"/>
      <c r="AE155" s="254" t="n"/>
    </row>
    <row r="156">
      <c r="A156" s="258" t="n"/>
      <c r="B156" s="259" t="n"/>
      <c r="C156" s="260" t="n"/>
      <c r="D156" s="261" t="n"/>
      <c r="E156" s="262" t="n"/>
      <c r="F156" s="242" t="n"/>
      <c r="G156" s="243" t="n"/>
      <c r="H156" s="263" t="n"/>
      <c r="I156" s="244" t="n"/>
      <c r="J156" s="242" t="n"/>
      <c r="K156" s="245" t="n"/>
      <c r="L156" s="246" t="n"/>
      <c r="M156" s="264" t="n"/>
      <c r="N156" s="265" t="n"/>
      <c r="O156" s="264" t="n"/>
      <c r="P156" s="265" t="n"/>
      <c r="Q156" s="264" t="n"/>
      <c r="R156" s="265" t="n"/>
      <c r="S156" s="264" t="n"/>
      <c r="T156" s="265" t="n"/>
      <c r="U156" s="266" t="n"/>
      <c r="V156" s="265" t="n"/>
      <c r="W156" s="267" t="n"/>
      <c r="X156" s="265" t="n"/>
      <c r="Y156" s="268" t="n"/>
      <c r="Z156" s="269" t="n"/>
      <c r="AA156" s="270" t="n"/>
      <c r="AB156" s="271" t="n"/>
      <c r="AC156" s="272" t="n"/>
      <c r="AD156" s="273" t="n"/>
      <c r="AE156" s="274" t="n"/>
    </row>
    <row r="160">
      <c r="A160" s="22" t="inlineStr">
        <is>
          <t>REGENERANTS 2 - Standard</t>
        </is>
      </c>
      <c r="B160" s="23" t="n"/>
      <c r="C160" s="24" t="n"/>
      <c r="D160" s="25" t="inlineStr">
        <is>
          <t>Panachage 24 unités // Remise 10% pour BRI conso 10€ sur 4 produits : Sérum J/N, CDJR, CDJRI, sérum nuit RI (-10€ = prix plancher, à imprimer sur 1 SR sur le présentoir)</t>
        </is>
      </c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75" t="n"/>
      <c r="N160" s="276" t="n"/>
      <c r="O160" s="275" t="n"/>
      <c r="P160" s="276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165" t="n"/>
    </row>
    <row r="161">
      <c r="A161" s="22" t="inlineStr">
        <is>
          <t>GRANDS COMPTES</t>
        </is>
      </c>
      <c r="B161" s="23" t="n"/>
      <c r="C161" s="24" t="n"/>
      <c r="D161" s="25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</row>
    <row r="162" ht="15.75" customHeight="1">
      <c r="M162" s="291" t="inlineStr">
        <is>
          <t>BIO</t>
        </is>
      </c>
      <c r="N162" s="292" t="n"/>
      <c r="O162" s="292" t="n"/>
      <c r="P162" s="293" t="inlineStr">
        <is>
          <t>Non-Alimentaire</t>
        </is>
      </c>
      <c r="Q162" s="294" t="n"/>
      <c r="R162" s="294" t="n"/>
      <c r="S162" s="295" t="inlineStr">
        <is>
          <t>Grands Magasins</t>
        </is>
      </c>
      <c r="T162" s="296" t="n"/>
      <c r="U162" s="296" t="n"/>
      <c r="V162" s="296" t="n"/>
      <c r="W162" s="296" t="n"/>
      <c r="X162" s="296" t="n"/>
      <c r="Y162" s="297" t="inlineStr">
        <is>
          <t>PURE PLAYERS</t>
        </is>
      </c>
      <c r="Z162" s="296" t="n"/>
      <c r="AA162" s="296" t="n"/>
      <c r="AB162" s="296" t="n"/>
      <c r="AC162" s="296" t="n"/>
      <c r="AD162" s="296" t="n"/>
    </row>
    <row r="163">
      <c r="M163" s="203" t="n"/>
      <c r="N163" s="203" t="n"/>
      <c r="O163" s="202" t="n"/>
      <c r="P163" s="203" t="n"/>
      <c r="Q163" s="203" t="n"/>
      <c r="R163" s="202" t="n"/>
      <c r="S163" s="203" t="n"/>
      <c r="T163" s="203" t="n"/>
      <c r="U163" s="202" t="n"/>
      <c r="V163" s="203" t="n"/>
      <c r="W163" s="203" t="n"/>
      <c r="X163" s="202" t="n"/>
      <c r="Y163" s="203" t="n"/>
      <c r="Z163" s="203" t="n"/>
      <c r="AA163" s="202" t="n"/>
      <c r="AB163" s="203" t="n"/>
      <c r="AC163" s="203" t="n"/>
      <c r="AD163" s="202" t="n"/>
    </row>
    <row r="164">
      <c r="M164" s="298" t="inlineStr">
        <is>
          <t>BIOCOOP</t>
        </is>
      </c>
      <c r="N164" s="299" t="n"/>
      <c r="O164" s="300" t="n"/>
      <c r="P164" s="301" t="inlineStr">
        <is>
          <t>Mlle Bio</t>
        </is>
      </c>
      <c r="Q164" s="302" t="n"/>
      <c r="R164" s="303" t="n"/>
      <c r="S164" s="304" t="inlineStr">
        <is>
          <t>Galeries Lafayette</t>
        </is>
      </c>
      <c r="T164" s="305" t="n"/>
      <c r="U164" s="306" t="n"/>
      <c r="V164" s="304" t="inlineStr">
        <is>
          <t>Printemps</t>
        </is>
      </c>
      <c r="W164" s="307" t="n"/>
      <c r="X164" s="308" t="n"/>
      <c r="Y164" s="298" t="inlineStr">
        <is>
          <t>Place des tendances</t>
        </is>
      </c>
      <c r="Z164" s="309" t="n"/>
      <c r="AA164" s="310" t="n"/>
      <c r="AB164" s="298" t="inlineStr">
        <is>
          <t>NewPharma</t>
        </is>
      </c>
      <c r="AC164" s="309" t="n"/>
      <c r="AD164" s="310" t="n"/>
    </row>
    <row r="165">
      <c r="M165" s="69" t="inlineStr">
        <is>
          <t>Remise</t>
        </is>
      </c>
      <c r="N165" s="69" t="n"/>
      <c r="O165" s="311" t="n">
        <v>0.25</v>
      </c>
      <c r="P165" s="69" t="inlineStr">
        <is>
          <t>Remise</t>
        </is>
      </c>
      <c r="Q165" s="69" t="n"/>
      <c r="R165" s="311" t="n">
        <v>0.2</v>
      </c>
      <c r="S165" s="69" t="inlineStr">
        <is>
          <t>Remise</t>
        </is>
      </c>
      <c r="T165" s="69" t="n"/>
      <c r="U165" s="311" t="n">
        <v>0.16</v>
      </c>
      <c r="V165" s="69" t="inlineStr">
        <is>
          <t>Remise</t>
        </is>
      </c>
      <c r="W165" s="69" t="n"/>
      <c r="X165" s="312" t="n">
        <v>0.185</v>
      </c>
      <c r="Y165" s="69" t="inlineStr">
        <is>
          <t>Remise</t>
        </is>
      </c>
      <c r="Z165" s="69" t="n"/>
      <c r="AA165" s="311" t="n">
        <v>0.15</v>
      </c>
      <c r="AB165" s="69" t="inlineStr">
        <is>
          <t>Remise</t>
        </is>
      </c>
      <c r="AC165" s="69" t="n"/>
      <c r="AD165" s="311" t="n">
        <v>0.2</v>
      </c>
    </row>
    <row r="166" ht="39" customHeight="1">
      <c r="A166" s="46" t="n"/>
      <c r="B166" s="46" t="n"/>
      <c r="C166" s="47" t="n"/>
      <c r="D166" s="46" t="n"/>
      <c r="E166" s="48" t="n"/>
      <c r="F166" s="48" t="inlineStr">
        <is>
          <t>Coût achat unitaire</t>
        </is>
      </c>
      <c r="H166" s="48" t="inlineStr">
        <is>
          <t>Tarif revendeur unitaire</t>
        </is>
      </c>
      <c r="I166" s="48" t="inlineStr">
        <is>
          <t>Remise additionnelle</t>
        </is>
      </c>
      <c r="J166" s="48" t="inlineStr">
        <is>
          <t>PPC</t>
        </is>
      </c>
      <c r="K166" s="48" t="inlineStr">
        <is>
          <t>PPC Remisé</t>
        </is>
      </c>
      <c r="L166" s="48" t="inlineStr">
        <is>
          <t>Montant BRI</t>
        </is>
      </c>
      <c r="M166" s="48" t="inlineStr">
        <is>
          <t>Qtités</t>
        </is>
      </c>
      <c r="N166" s="48" t="inlineStr">
        <is>
          <t>CA</t>
        </is>
      </c>
      <c r="O166" s="221" t="inlineStr">
        <is>
          <t>Marges</t>
        </is>
      </c>
      <c r="P166" s="48" t="inlineStr">
        <is>
          <t>Qtités</t>
        </is>
      </c>
      <c r="Q166" s="48" t="inlineStr">
        <is>
          <t>CA</t>
        </is>
      </c>
      <c r="R166" s="221" t="inlineStr">
        <is>
          <t>Marges</t>
        </is>
      </c>
      <c r="S166" s="48" t="inlineStr">
        <is>
          <t>Qtités</t>
        </is>
      </c>
      <c r="T166" s="48" t="inlineStr">
        <is>
          <t>CA</t>
        </is>
      </c>
      <c r="U166" s="221" t="inlineStr">
        <is>
          <t>Marges</t>
        </is>
      </c>
      <c r="V166" s="48" t="inlineStr">
        <is>
          <t>Qtités</t>
        </is>
      </c>
      <c r="W166" s="48" t="inlineStr">
        <is>
          <t>CA</t>
        </is>
      </c>
      <c r="X166" s="221" t="inlineStr">
        <is>
          <t>Marges</t>
        </is>
      </c>
      <c r="Y166" s="48" t="inlineStr">
        <is>
          <t>Qtités</t>
        </is>
      </c>
      <c r="Z166" s="48" t="inlineStr">
        <is>
          <t>CA</t>
        </is>
      </c>
      <c r="AA166" s="221" t="inlineStr">
        <is>
          <t>Marges</t>
        </is>
      </c>
      <c r="AB166" s="48" t="inlineStr">
        <is>
          <t>Qtités</t>
        </is>
      </c>
      <c r="AC166" s="48" t="inlineStr">
        <is>
          <t>CA</t>
        </is>
      </c>
      <c r="AD166" s="221" t="inlineStr">
        <is>
          <t>Marges</t>
        </is>
      </c>
    </row>
    <row r="167" ht="26.25" customHeight="1">
      <c r="A167" s="66" t="inlineStr">
        <is>
          <t>Code article</t>
        </is>
      </c>
      <c r="B167" s="66" t="inlineStr">
        <is>
          <t>Libellé article</t>
        </is>
      </c>
      <c r="C167" s="66" t="inlineStr">
        <is>
          <t>Code à barres (EAN)</t>
        </is>
      </c>
      <c r="D167" s="66" t="inlineStr">
        <is>
          <t>Typ. Prod</t>
        </is>
      </c>
      <c r="E167" s="66" t="inlineStr">
        <is>
          <t>Qtités totale</t>
        </is>
      </c>
      <c r="F167" s="66" t="inlineStr">
        <is>
          <t>'€</t>
        </is>
      </c>
      <c r="H167" s="66" t="inlineStr">
        <is>
          <t>'€</t>
        </is>
      </c>
      <c r="I167" s="66" t="inlineStr">
        <is>
          <t>'€</t>
        </is>
      </c>
      <c r="J167" s="66" t="inlineStr">
        <is>
          <t>'€</t>
        </is>
      </c>
      <c r="K167" s="66" t="inlineStr">
        <is>
          <t>'€</t>
        </is>
      </c>
      <c r="L167" s="66" t="inlineStr">
        <is>
          <t>'€</t>
        </is>
      </c>
      <c r="M167" s="66" t="inlineStr">
        <is>
          <t>'#</t>
        </is>
      </c>
      <c r="N167" s="66" t="inlineStr">
        <is>
          <t>'€</t>
        </is>
      </c>
      <c r="O167" s="225" t="inlineStr">
        <is>
          <t>'€</t>
        </is>
      </c>
      <c r="P167" s="66" t="inlineStr">
        <is>
          <t>'#</t>
        </is>
      </c>
      <c r="Q167" s="66" t="inlineStr">
        <is>
          <t>'€</t>
        </is>
      </c>
      <c r="R167" s="225" t="inlineStr">
        <is>
          <t>'€</t>
        </is>
      </c>
      <c r="S167" s="66" t="inlineStr">
        <is>
          <t>'#</t>
        </is>
      </c>
      <c r="T167" s="66" t="inlineStr">
        <is>
          <t>'€</t>
        </is>
      </c>
      <c r="U167" s="225" t="inlineStr">
        <is>
          <t>'€</t>
        </is>
      </c>
      <c r="V167" s="66" t="inlineStr">
        <is>
          <t>'#</t>
        </is>
      </c>
      <c r="W167" s="66" t="inlineStr">
        <is>
          <t>'€</t>
        </is>
      </c>
      <c r="X167" s="225" t="inlineStr">
        <is>
          <t>'€</t>
        </is>
      </c>
      <c r="Y167" s="66" t="inlineStr">
        <is>
          <t>'#</t>
        </is>
      </c>
      <c r="Z167" s="66" t="inlineStr">
        <is>
          <t>'€</t>
        </is>
      </c>
      <c r="AA167" s="225" t="inlineStr">
        <is>
          <t>'€</t>
        </is>
      </c>
      <c r="AB167" s="66" t="inlineStr">
        <is>
          <t>'#</t>
        </is>
      </c>
      <c r="AC167" s="66" t="inlineStr">
        <is>
          <t>'€</t>
        </is>
      </c>
      <c r="AD167" s="225" t="inlineStr">
        <is>
          <t>'€</t>
        </is>
      </c>
    </row>
    <row r="168" ht="15.75" customHeight="1">
      <c r="A168" s="1" t="n"/>
      <c r="B168" s="1" t="n"/>
      <c r="C168" s="2" t="n"/>
      <c r="D168" s="1" t="n"/>
      <c r="E168" s="1" t="n"/>
      <c r="F168" s="1" t="n"/>
      <c r="H168" s="1" t="n"/>
      <c r="I168" s="1" t="n"/>
      <c r="J168" s="1" t="n"/>
      <c r="M168" s="1" t="n"/>
      <c r="N168" s="1" t="n"/>
      <c r="O168" s="205" t="n"/>
      <c r="P168" s="1" t="n"/>
      <c r="Q168" s="1" t="n"/>
      <c r="R168" s="205" t="n"/>
      <c r="S168" s="1" t="n"/>
      <c r="T168" s="1" t="n"/>
      <c r="U168" s="205" t="n"/>
      <c r="V168" s="1" t="n"/>
      <c r="W168" s="1" t="n"/>
      <c r="X168" s="205" t="n"/>
      <c r="Y168" s="1" t="n"/>
      <c r="Z168" s="1" t="n"/>
      <c r="AA168" s="205" t="n"/>
      <c r="AB168" s="1" t="n"/>
      <c r="AC168" s="1" t="n"/>
      <c r="AD168" s="205" t="n"/>
    </row>
    <row r="169">
      <c r="A169" s="70" t="inlineStr">
        <is>
          <t>Synthèse</t>
        </is>
      </c>
      <c r="B169" s="70" t="n"/>
      <c r="C169" s="71" t="n"/>
      <c r="D169" s="70" t="n"/>
      <c r="E169" s="313">
        <f>SUM(E123:E142)</f>
        <v/>
      </c>
      <c r="F169" s="314" t="n"/>
      <c r="H169" s="314">
        <f>IFERROR(#REF!/#REF!,"Non Trouvé")</f>
        <v/>
      </c>
      <c r="I169" s="315" t="n"/>
      <c r="J169" s="314">
        <f>IFERROR(SUM(J123:J142),"Non Trouvé")</f>
        <v/>
      </c>
      <c r="K169" s="314">
        <f>IFERROR(SUM(K123:K142),"Non Trouvé")</f>
        <v/>
      </c>
      <c r="L169" s="314">
        <f>IFERROR(SUM(L123:L142),"Non Trouvé")</f>
        <v/>
      </c>
      <c r="M169" s="313">
        <f>SUM(M123:M142)</f>
        <v/>
      </c>
      <c r="N169" s="316">
        <f>SUM(N123:N142)</f>
        <v/>
      </c>
      <c r="O169" s="317">
        <f>SUM(O123:O142)</f>
        <v/>
      </c>
      <c r="P169" s="313" t="n"/>
      <c r="Q169" s="316" t="n"/>
      <c r="R169" s="317" t="n"/>
      <c r="S169" s="313" t="n"/>
      <c r="T169" s="316" t="n"/>
      <c r="U169" s="317" t="n"/>
      <c r="V169" s="313" t="n"/>
      <c r="W169" s="316" t="n"/>
      <c r="X169" s="317" t="n"/>
      <c r="Y169" s="313" t="n"/>
      <c r="Z169" s="316" t="n"/>
      <c r="AA169" s="317" t="n"/>
      <c r="AB169" s="313" t="n"/>
      <c r="AC169" s="316" t="n"/>
      <c r="AD169" s="317" t="n"/>
    </row>
    <row r="170">
      <c r="A170" s="1" t="n"/>
      <c r="B170" s="1" t="n"/>
      <c r="C170" s="2" t="n"/>
      <c r="D170" s="1" t="n"/>
      <c r="E170" s="1" t="n"/>
      <c r="F170" s="1" t="n"/>
      <c r="H170" s="1" t="n"/>
      <c r="I170" s="1" t="n"/>
      <c r="J170" s="1" t="n"/>
      <c r="M170" s="1" t="n"/>
      <c r="N170" s="1" t="n"/>
      <c r="O170" s="205" t="n"/>
      <c r="P170" s="1" t="n"/>
      <c r="Q170" s="1" t="n"/>
      <c r="R170" s="205" t="n"/>
      <c r="S170" s="1" t="n"/>
      <c r="T170" s="1" t="n"/>
      <c r="U170" s="205" t="n"/>
      <c r="V170" s="1" t="n"/>
      <c r="W170" s="1" t="n"/>
      <c r="X170" s="205" t="n"/>
      <c r="Y170" s="1" t="n"/>
      <c r="Z170" s="1" t="n"/>
      <c r="AA170" s="205" t="n"/>
      <c r="AB170" s="1" t="n"/>
      <c r="AC170" s="1" t="n"/>
      <c r="AD170" s="205" t="n"/>
    </row>
    <row r="171">
      <c r="A171" s="237" t="n">
        <v>1020202</v>
      </c>
      <c r="B171" s="238">
        <f>IFERROR(IF($B123="","",VLOOKUP($B123,'[1]Paramètres Articles'!$B:$G,2,FALSE)),"Non Trouvé")</f>
        <v/>
      </c>
      <c r="C171" s="239">
        <f>IFERROR(IF($B123="","",_xlfn.XLOOKUP(REGENERANTS!$C124,'[1]New Base PA'!$F:$F,'[1]New Base PA'!$D:$D,"Not Found",0)),"Non Trouvé")</f>
        <v/>
      </c>
      <c r="D171" s="318" t="inlineStr">
        <is>
          <t>Produit Vente</t>
        </is>
      </c>
      <c r="E171" s="319">
        <f>M123+P123+S123+V123+Y123+AB123</f>
        <v/>
      </c>
      <c r="F171" s="320" t="n"/>
      <c r="H171" s="320" t="n"/>
      <c r="I171" s="321" t="n"/>
      <c r="J171" s="320">
        <f>IFERROR(IF($B123="","",VLOOKUP($B123,'[1]Paramètres Articles'!$B:$H,7,FALSE)),"Non Trouvé")</f>
        <v/>
      </c>
      <c r="K171" s="322">
        <f>J123*(1-I123)</f>
        <v/>
      </c>
      <c r="L171" s="323">
        <f>IFERROR(J123-K123,"")</f>
        <v/>
      </c>
      <c r="M171" s="324" t="n"/>
      <c r="N171" s="323">
        <f>M123*H123*(1-I123)*(1-$O$117)</f>
        <v/>
      </c>
      <c r="O171" s="325">
        <f>N123-(F123*M123)</f>
        <v/>
      </c>
      <c r="P171" s="324" t="n"/>
      <c r="Q171" s="323" t="n"/>
      <c r="R171" s="205" t="n"/>
      <c r="S171" s="324" t="n"/>
      <c r="T171" s="323" t="n"/>
      <c r="U171" s="205" t="n"/>
      <c r="V171" s="324" t="n"/>
      <c r="W171" s="323" t="n"/>
      <c r="X171" s="205" t="n"/>
      <c r="Y171" s="324" t="n"/>
      <c r="Z171" s="323" t="n"/>
      <c r="AA171" s="205" t="n"/>
      <c r="AB171" s="324" t="n"/>
      <c r="AC171" s="323" t="n"/>
      <c r="AD171" s="205" t="n"/>
    </row>
    <row r="172">
      <c r="A172" s="237" t="n">
        <v>1020310</v>
      </c>
      <c r="B172" s="238">
        <f>IFERROR(IF($B124="","",VLOOKUP($B124,'[1]Paramètres Articles'!$B:$G,2,FALSE)),"Non Trouvé")</f>
        <v/>
      </c>
      <c r="C172" s="239">
        <f>IFERROR(IF($B124="","",_xlfn.XLOOKUP(REGENERANTS!$C125,'[1]New Base PA'!$F:$F,'[1]New Base PA'!$D:$D,"Not Found",0)),"Non Trouvé")</f>
        <v/>
      </c>
      <c r="D172" s="318" t="inlineStr">
        <is>
          <t>Produit Vente</t>
        </is>
      </c>
      <c r="E172" s="319">
        <f>M124+P124+S124+V124+Y124+AB124</f>
        <v/>
      </c>
      <c r="F172" s="320" t="n"/>
      <c r="H172" s="320" t="n"/>
      <c r="I172" s="321" t="n"/>
      <c r="J172" s="320">
        <f>IFERROR(IF($B124="","",VLOOKUP($B124,'[1]Paramètres Articles'!$B:$H,7,FALSE)),"Non Trouvé")</f>
        <v/>
      </c>
      <c r="K172" s="322">
        <f>J124*(1-I124)</f>
        <v/>
      </c>
      <c r="L172" s="323">
        <f>IFERROR(J124-K124,"")</f>
        <v/>
      </c>
      <c r="M172" s="324" t="n"/>
      <c r="N172" s="323">
        <f>M124*H124*(1-I124)*(1-$O$117)</f>
        <v/>
      </c>
      <c r="O172" s="325">
        <f>N124-(F124*M124)</f>
        <v/>
      </c>
      <c r="P172" s="324" t="n"/>
      <c r="Q172" s="323" t="n"/>
      <c r="R172" s="205" t="n"/>
      <c r="S172" s="324" t="n"/>
      <c r="T172" s="323" t="n"/>
      <c r="U172" s="205" t="n"/>
      <c r="V172" s="324" t="n"/>
      <c r="W172" s="323" t="n"/>
      <c r="X172" s="205" t="n"/>
      <c r="Y172" s="324" t="n"/>
      <c r="Z172" s="323" t="n"/>
      <c r="AA172" s="205" t="n"/>
      <c r="AB172" s="324" t="n"/>
      <c r="AC172" s="323" t="n"/>
      <c r="AD172" s="205" t="n"/>
    </row>
    <row r="173">
      <c r="A173" s="237" t="n">
        <v>1020401</v>
      </c>
      <c r="B173" s="238">
        <f>IFERROR(IF($B125="","",VLOOKUP($B125,'[1]Paramètres Articles'!$B:$G,2,FALSE)),"Non Trouvé")</f>
        <v/>
      </c>
      <c r="C173" s="239">
        <f>IFERROR(IF($B125="","",_xlfn.XLOOKUP(REGENERANTS!$C126,'[1]New Base PA'!$F:$F,'[1]New Base PA'!$D:$D,"Not Found",0)),"Non Trouvé")</f>
        <v/>
      </c>
      <c r="D173" s="318" t="inlineStr">
        <is>
          <t>Produit Vente</t>
        </is>
      </c>
      <c r="E173" s="319">
        <f>M125+P125+S125+V125+Y125+AB125</f>
        <v/>
      </c>
      <c r="F173" s="320" t="n"/>
      <c r="H173" s="320" t="n"/>
      <c r="I173" s="321" t="n"/>
      <c r="J173" s="320">
        <f>IFERROR(IF($B125="","",VLOOKUP($B125,'[1]Paramètres Articles'!$B:$H,7,FALSE)),"Non Trouvé")</f>
        <v/>
      </c>
      <c r="K173" s="322">
        <f>J125*(1-I125)</f>
        <v/>
      </c>
      <c r="L173" s="323">
        <f>IFERROR(J125-K125,"")</f>
        <v/>
      </c>
      <c r="M173" s="324" t="n"/>
      <c r="N173" s="323">
        <f>M125*H125*(1-I125)*(1-$O$117)</f>
        <v/>
      </c>
      <c r="O173" s="325">
        <f>N125-(F125*M125)</f>
        <v/>
      </c>
      <c r="P173" s="324" t="n"/>
      <c r="Q173" s="323" t="n"/>
      <c r="R173" s="205" t="n"/>
      <c r="S173" s="324" t="n"/>
      <c r="T173" s="323" t="n"/>
      <c r="U173" s="205" t="n"/>
      <c r="V173" s="324" t="n"/>
      <c r="W173" s="323" t="n"/>
      <c r="X173" s="205" t="n"/>
      <c r="Y173" s="324" t="n"/>
      <c r="Z173" s="323" t="n"/>
      <c r="AA173" s="205" t="n"/>
      <c r="AB173" s="324" t="n"/>
      <c r="AC173" s="323" t="n"/>
      <c r="AD173" s="205" t="n"/>
    </row>
    <row r="174">
      <c r="A174" s="237" t="n">
        <v>1020302</v>
      </c>
      <c r="B174" s="238">
        <f>IFERROR(IF($B126="","",VLOOKUP($B126,'[1]Paramètres Articles'!$B:$G,2,FALSE)),"Non Trouvé")</f>
        <v/>
      </c>
      <c r="C174" s="239">
        <f>IFERROR(IF($B126="","",_xlfn.XLOOKUP(REGENERANTS!$C127,'[1]New Base PA'!$F:$F,'[1]New Base PA'!$D:$D,"Not Found",0)),"Non Trouvé")</f>
        <v/>
      </c>
      <c r="D174" s="318" t="inlineStr">
        <is>
          <t>Produit Vente</t>
        </is>
      </c>
      <c r="E174" s="319">
        <f>M126+P126+S126+V126+Y126+AB126</f>
        <v/>
      </c>
      <c r="F174" s="320" t="n"/>
      <c r="H174" s="320" t="n"/>
      <c r="I174" s="321" t="n"/>
      <c r="J174" s="320">
        <f>IFERROR(IF($B126="","",VLOOKUP($B126,'[1]Paramètres Articles'!$B:$H,7,FALSE)),"Non Trouvé")</f>
        <v/>
      </c>
      <c r="K174" s="322">
        <f>J126*(1-I126)</f>
        <v/>
      </c>
      <c r="L174" s="323">
        <f>IFERROR(J126-K126,"")</f>
        <v/>
      </c>
      <c r="M174" s="324" t="n"/>
      <c r="N174" s="323">
        <f>M126*H126*(1-I126)*(1-$O$117)</f>
        <v/>
      </c>
      <c r="O174" s="325">
        <f>N126-(F126*M126)</f>
        <v/>
      </c>
      <c r="P174" s="324" t="n"/>
      <c r="Q174" s="323" t="n"/>
      <c r="R174" s="205" t="n"/>
      <c r="S174" s="324" t="n"/>
      <c r="T174" s="323" t="n"/>
      <c r="U174" s="205" t="n"/>
      <c r="V174" s="324" t="n"/>
      <c r="W174" s="323" t="n"/>
      <c r="X174" s="205" t="n"/>
      <c r="Y174" s="324" t="n"/>
      <c r="Z174" s="323" t="n"/>
      <c r="AA174" s="205" t="n"/>
      <c r="AB174" s="324" t="n"/>
      <c r="AC174" s="323" t="n"/>
      <c r="AD174" s="205" t="n"/>
    </row>
    <row r="175">
      <c r="A175" s="237" t="n">
        <v>1020721</v>
      </c>
      <c r="B175" s="238">
        <f>IFERROR(IF($B127="","",VLOOKUP($B127,'[1]Paramètres Articles'!$B:$G,2,FALSE)),"Non Trouvé")</f>
        <v/>
      </c>
      <c r="C175" s="239">
        <f>IFERROR(IF($B127="","",_xlfn.XLOOKUP(REGENERANTS!$C128,'[1]New Base PA'!$F:$F,'[1]New Base PA'!$D:$D,"Not Found",0)),"Non Trouvé")</f>
        <v/>
      </c>
      <c r="D175" s="318" t="inlineStr">
        <is>
          <t>Produit Vente</t>
        </is>
      </c>
      <c r="E175" s="319">
        <f>M127+P127+S127+V127+Y127+AB127</f>
        <v/>
      </c>
      <c r="F175" s="320" t="n"/>
      <c r="H175" s="320" t="n"/>
      <c r="I175" s="321" t="n"/>
      <c r="J175" s="320">
        <f>IFERROR(IF($B127="","",VLOOKUP($B127,'[1]Paramètres Articles'!$B:$H,7,FALSE)),"Non Trouvé")</f>
        <v/>
      </c>
      <c r="K175" s="322">
        <f>J127*(1-I127)</f>
        <v/>
      </c>
      <c r="L175" s="323">
        <f>IFERROR(J127-K127,"")</f>
        <v/>
      </c>
      <c r="M175" s="324" t="n"/>
      <c r="N175" s="323">
        <f>M127*H127*(1-I127)*(1-$O$117)</f>
        <v/>
      </c>
      <c r="O175" s="325">
        <f>N127-(F127*M127)</f>
        <v/>
      </c>
      <c r="P175" s="324" t="n"/>
      <c r="Q175" s="323" t="n"/>
      <c r="R175" s="205" t="n"/>
      <c r="S175" s="324" t="n"/>
      <c r="T175" s="323" t="n"/>
      <c r="U175" s="205" t="n"/>
      <c r="V175" s="324" t="n"/>
      <c r="W175" s="323" t="n"/>
      <c r="X175" s="205" t="n"/>
      <c r="Y175" s="324" t="n"/>
      <c r="Z175" s="323" t="n"/>
      <c r="AA175" s="205" t="n"/>
      <c r="AB175" s="324" t="n"/>
      <c r="AC175" s="323" t="n"/>
      <c r="AD175" s="205" t="n"/>
    </row>
    <row r="176">
      <c r="A176" s="237" t="n">
        <v>1020107</v>
      </c>
      <c r="B176" s="238">
        <f>IFERROR(IF($B128="","",VLOOKUP($B128,'[1]Paramètres Articles'!$B:$G,2,FALSE)),"Non Trouvé")</f>
        <v/>
      </c>
      <c r="C176" s="239">
        <f>IFERROR(IF($B128="","",_xlfn.XLOOKUP(REGENERANTS!$C129,'[1]New Base PA'!$F:$F,'[1]New Base PA'!$D:$D,"Not Found",0)),"Non Trouvé")</f>
        <v/>
      </c>
      <c r="D176" s="318" t="inlineStr">
        <is>
          <t>Produit Vente</t>
        </is>
      </c>
      <c r="E176" s="319">
        <f>M128+P128+S128+V128+Y128+AB128</f>
        <v/>
      </c>
      <c r="F176" s="320" t="n"/>
      <c r="H176" s="320" t="n"/>
      <c r="I176" s="321" t="n"/>
      <c r="J176" s="320">
        <f>IFERROR(IF($B128="","",VLOOKUP($B128,'[1]Paramètres Articles'!$B:$H,7,FALSE)),"Non Trouvé")</f>
        <v/>
      </c>
      <c r="K176" s="322">
        <f>J128*(1-I128)</f>
        <v/>
      </c>
      <c r="L176" s="323">
        <f>IFERROR(J128-K128,"")</f>
        <v/>
      </c>
      <c r="M176" s="324" t="n"/>
      <c r="N176" s="323">
        <f>M128*H128*(1-I128)*(1-$O$117)</f>
        <v/>
      </c>
      <c r="O176" s="325">
        <f>N128-(F128*M128)</f>
        <v/>
      </c>
      <c r="P176" s="324" t="n"/>
      <c r="Q176" s="323" t="n"/>
      <c r="R176" s="205" t="n"/>
      <c r="S176" s="324" t="n"/>
      <c r="T176" s="323" t="n"/>
      <c r="U176" s="205" t="n"/>
      <c r="V176" s="324" t="n"/>
      <c r="W176" s="323" t="n"/>
      <c r="X176" s="205" t="n"/>
      <c r="Y176" s="324" t="n"/>
      <c r="Z176" s="323" t="n"/>
      <c r="AA176" s="205" t="n"/>
      <c r="AB176" s="324" t="n"/>
      <c r="AC176" s="323" t="n"/>
      <c r="AD176" s="205" t="n"/>
    </row>
    <row r="177">
      <c r="A177" s="237" t="n">
        <v>1020102</v>
      </c>
      <c r="B177" s="238">
        <f>IFERROR(IF($B129="","",VLOOKUP($B129,'[1]Paramètres Articles'!$B:$G,2,FALSE)),"Non Trouvé")</f>
        <v/>
      </c>
      <c r="C177" s="239">
        <f>IFERROR(IF($B129="","",_xlfn.XLOOKUP(REGENERANTS!$C130,'[1]New Base PA'!$F:$F,'[1]New Base PA'!$D:$D,"Not Found",0)),"Non Trouvé")</f>
        <v/>
      </c>
      <c r="D177" s="318" t="inlineStr">
        <is>
          <t>Produit Vente</t>
        </is>
      </c>
      <c r="E177" s="319">
        <f>M129+P129+S129+V129+Y129+AB129</f>
        <v/>
      </c>
      <c r="F177" s="320" t="n"/>
      <c r="H177" s="320" t="n"/>
      <c r="I177" s="321" t="n"/>
      <c r="J177" s="320">
        <f>IFERROR(IF($B129="","",VLOOKUP($B129,'[1]Paramètres Articles'!$B:$H,7,FALSE)),"Non Trouvé")</f>
        <v/>
      </c>
      <c r="K177" s="322">
        <f>J129*(1-I129)</f>
        <v/>
      </c>
      <c r="L177" s="323">
        <f>IFERROR(J129-K129,"")</f>
        <v/>
      </c>
      <c r="M177" s="324" t="n"/>
      <c r="N177" s="323">
        <f>M129*H129*(1-I129)*(1-$O$117)</f>
        <v/>
      </c>
      <c r="O177" s="325">
        <f>N129-(F129*M129)</f>
        <v/>
      </c>
      <c r="P177" s="324" t="n"/>
      <c r="Q177" s="323" t="n"/>
      <c r="R177" s="205" t="n"/>
      <c r="S177" s="324" t="n"/>
      <c r="T177" s="323" t="n"/>
      <c r="U177" s="205" t="n"/>
      <c r="V177" s="324" t="n"/>
      <c r="W177" s="323" t="n"/>
      <c r="X177" s="205" t="n"/>
      <c r="Y177" s="324" t="n"/>
      <c r="Z177" s="323" t="n"/>
      <c r="AA177" s="205" t="n"/>
      <c r="AB177" s="324" t="n"/>
      <c r="AC177" s="323" t="n"/>
      <c r="AD177" s="205" t="n"/>
    </row>
    <row r="178">
      <c r="A178" s="237" t="n">
        <v>1020722</v>
      </c>
      <c r="B178" s="238">
        <f>IFERROR(IF($B130="","",VLOOKUP($B130,'[1]Paramètres Articles'!$B:$G,2,FALSE)),"Non Trouvé")</f>
        <v/>
      </c>
      <c r="C178" s="239">
        <f>IFERROR(IF($B130="","",_xlfn.XLOOKUP(REGENERANTS!$C131,'[1]New Base PA'!$F:$F,'[1]New Base PA'!$D:$D,"Not Found",0)),"Non Trouvé")</f>
        <v/>
      </c>
      <c r="D178" s="318" t="inlineStr">
        <is>
          <t>Produit Vente</t>
        </is>
      </c>
      <c r="E178" s="319">
        <f>M130+P130+S130+V130+Y130+AB130</f>
        <v/>
      </c>
      <c r="F178" s="320" t="n"/>
      <c r="H178" s="320" t="n"/>
      <c r="I178" s="321" t="n"/>
      <c r="J178" s="320">
        <f>IFERROR(IF($B130="","",VLOOKUP($B130,'[1]Paramètres Articles'!$B:$H,7,FALSE)),"Non Trouvé")</f>
        <v/>
      </c>
      <c r="K178" s="322">
        <f>J130*(1-I130)</f>
        <v/>
      </c>
      <c r="L178" s="323">
        <f>IFERROR(J130-K130,"")</f>
        <v/>
      </c>
      <c r="M178" s="324" t="n"/>
      <c r="N178" s="323">
        <f>M130*H130*(1-I130)*(1-$O$117)</f>
        <v/>
      </c>
      <c r="O178" s="325">
        <f>N130-(F130*M130)</f>
        <v/>
      </c>
      <c r="P178" s="324" t="n"/>
      <c r="Q178" s="323" t="n"/>
      <c r="R178" s="205" t="n"/>
      <c r="S178" s="324" t="n"/>
      <c r="T178" s="323" t="n"/>
      <c r="U178" s="205" t="n"/>
      <c r="V178" s="324" t="n"/>
      <c r="W178" s="323" t="n"/>
      <c r="X178" s="205" t="n"/>
      <c r="Y178" s="324" t="n"/>
      <c r="Z178" s="323" t="n"/>
      <c r="AA178" s="205" t="n"/>
      <c r="AB178" s="324" t="n"/>
      <c r="AC178" s="323" t="n"/>
      <c r="AD178" s="205" t="n"/>
    </row>
    <row r="179">
      <c r="A179" s="237" t="n">
        <v>1020719</v>
      </c>
      <c r="B179" s="238">
        <f>IFERROR(IF($B131="","",VLOOKUP($B131,'[1]Paramètres Articles'!$B:$G,2,FALSE)),"Non Trouvé")</f>
        <v/>
      </c>
      <c r="C179" s="239">
        <f>IFERROR(IF($B131="","",_xlfn.XLOOKUP(REGENERANTS!$C132,'[1]New Base PA'!$F:$F,'[1]New Base PA'!$D:$D,"Not Found",0)),"Non Trouvé")</f>
        <v/>
      </c>
      <c r="D179" s="318" t="inlineStr">
        <is>
          <t>Produit Vente</t>
        </is>
      </c>
      <c r="E179" s="319">
        <f>M131+P131+S131+V131+Y131+AB131</f>
        <v/>
      </c>
      <c r="F179" s="320" t="n"/>
      <c r="H179" s="320" t="n"/>
      <c r="I179" s="321" t="n"/>
      <c r="J179" s="320">
        <f>IFERROR(IF($B131="","",VLOOKUP($B131,'[1]Paramètres Articles'!$B:$H,7,FALSE)),"Non Trouvé")</f>
        <v/>
      </c>
      <c r="K179" s="322">
        <f>J131*(1-I131)</f>
        <v/>
      </c>
      <c r="L179" s="323">
        <f>IFERROR(J131-K131,"")</f>
        <v/>
      </c>
      <c r="M179" s="324" t="n"/>
      <c r="N179" s="323">
        <f>M131*H131*(1-I131)*(1-$O$117)</f>
        <v/>
      </c>
      <c r="O179" s="325">
        <f>N131-(F131*M131)</f>
        <v/>
      </c>
      <c r="P179" s="324" t="n"/>
      <c r="Q179" s="323" t="n"/>
      <c r="R179" s="205" t="n"/>
      <c r="S179" s="324" t="n"/>
      <c r="T179" s="323" t="n"/>
      <c r="U179" s="205" t="n"/>
      <c r="V179" s="324" t="n"/>
      <c r="W179" s="323" t="n"/>
      <c r="X179" s="205" t="n"/>
      <c r="Y179" s="324" t="n"/>
      <c r="Z179" s="323" t="n"/>
      <c r="AA179" s="205" t="n"/>
      <c r="AB179" s="324" t="n"/>
      <c r="AC179" s="323" t="n"/>
      <c r="AD179" s="205" t="n"/>
    </row>
    <row r="180">
      <c r="A180" s="237" t="n">
        <v>1020717</v>
      </c>
      <c r="B180" s="238">
        <f>IFERROR(IF($B132="","",VLOOKUP($B132,'[1]Paramètres Articles'!$B:$G,2,FALSE)),"Non Trouvé")</f>
        <v/>
      </c>
      <c r="C180" s="239">
        <f>IFERROR(IF($B132="","",_xlfn.XLOOKUP(REGENERANTS!$C133,'[1]New Base PA'!$F:$F,'[1]New Base PA'!$D:$D,"Not Found",0)),"Non Trouvé")</f>
        <v/>
      </c>
      <c r="D180" s="318" t="inlineStr">
        <is>
          <t>Produit Vente</t>
        </is>
      </c>
      <c r="E180" s="319">
        <f>M132+P132+S132+V132+Y132+AB132</f>
        <v/>
      </c>
      <c r="F180" s="320" t="n"/>
      <c r="H180" s="320" t="n"/>
      <c r="I180" s="321" t="n"/>
      <c r="J180" s="320">
        <f>IFERROR(IF($B132="","",VLOOKUP($B132,'[1]Paramètres Articles'!$B:$H,7,FALSE)),"Non Trouvé")</f>
        <v/>
      </c>
      <c r="K180" s="322">
        <f>J132*(1-I132)</f>
        <v/>
      </c>
      <c r="L180" s="323">
        <f>IFERROR(J132-K132,"")</f>
        <v/>
      </c>
      <c r="M180" s="324" t="n"/>
      <c r="N180" s="323">
        <f>M132*H132*(1-I132)*(1-$O$117)</f>
        <v/>
      </c>
      <c r="O180" s="325">
        <f>N132-(F132*M132)</f>
        <v/>
      </c>
      <c r="P180" s="324" t="n"/>
      <c r="Q180" s="323" t="n"/>
      <c r="R180" s="205" t="n"/>
      <c r="S180" s="324" t="n"/>
      <c r="T180" s="323" t="n"/>
      <c r="U180" s="205" t="n"/>
      <c r="V180" s="324" t="n"/>
      <c r="W180" s="323" t="n"/>
      <c r="X180" s="205" t="n"/>
      <c r="Y180" s="324" t="n"/>
      <c r="Z180" s="323" t="n"/>
      <c r="AA180" s="205" t="n"/>
      <c r="AB180" s="324" t="n"/>
      <c r="AC180" s="323" t="n"/>
      <c r="AD180" s="205" t="n"/>
    </row>
    <row r="181">
      <c r="A181" s="237" t="n">
        <v>1020718</v>
      </c>
      <c r="B181" s="238">
        <f>IFERROR(IF($B133="","",VLOOKUP($B133,'[1]Paramètres Articles'!$B:$G,2,FALSE)),"Non Trouvé")</f>
        <v/>
      </c>
      <c r="C181" s="239">
        <f>IFERROR(IF($B133="","",_xlfn.XLOOKUP(REGENERANTS!$C134,'[1]New Base PA'!$F:$F,'[1]New Base PA'!$D:$D,"Not Found",0)),"Non Trouvé")</f>
        <v/>
      </c>
      <c r="D181" s="318" t="inlineStr">
        <is>
          <t>Produit Vente</t>
        </is>
      </c>
      <c r="E181" s="319">
        <f>M133+P133+S133+V133+Y133+AB133</f>
        <v/>
      </c>
      <c r="F181" s="320" t="n"/>
      <c r="H181" s="320" t="n"/>
      <c r="I181" s="321" t="n"/>
      <c r="J181" s="320">
        <f>IFERROR(IF($B133="","",VLOOKUP($B133,'[1]Paramètres Articles'!$B:$H,7,FALSE)),"Non Trouvé")</f>
        <v/>
      </c>
      <c r="K181" s="322">
        <f>J133*(1-I133)</f>
        <v/>
      </c>
      <c r="L181" s="323">
        <f>IFERROR(J133-K133,"")</f>
        <v/>
      </c>
      <c r="M181" s="324" t="n"/>
      <c r="N181" s="323">
        <f>M133*H133*(1-I133)*(1-$O$117)</f>
        <v/>
      </c>
      <c r="O181" s="325">
        <f>N133-(F133*M133)</f>
        <v/>
      </c>
      <c r="P181" s="324" t="n"/>
      <c r="Q181" s="323" t="n"/>
      <c r="R181" s="205" t="n"/>
      <c r="S181" s="324" t="n"/>
      <c r="T181" s="323" t="n"/>
      <c r="U181" s="205" t="n"/>
      <c r="V181" s="324" t="n"/>
      <c r="W181" s="323" t="n"/>
      <c r="X181" s="205" t="n"/>
      <c r="Y181" s="324" t="n"/>
      <c r="Z181" s="323" t="n"/>
      <c r="AA181" s="205" t="n"/>
      <c r="AB181" s="324" t="n"/>
      <c r="AC181" s="323" t="n"/>
      <c r="AD181" s="205" t="n"/>
    </row>
    <row r="182">
      <c r="A182" s="237" t="n">
        <v>1020301</v>
      </c>
      <c r="B182" s="238">
        <f>IFERROR(IF($B134="","",VLOOKUP($B134,'[1]Paramètres Articles'!$B:$G,2,FALSE)),"Non Trouvé")</f>
        <v/>
      </c>
      <c r="C182" s="239">
        <f>IFERROR(IF($B134="","",_xlfn.XLOOKUP(REGENERANTS!$C135,'[1]New Base PA'!$F:$F,'[1]New Base PA'!$D:$D,"Not Found",0)),"Non Trouvé")</f>
        <v/>
      </c>
      <c r="D182" s="318" t="inlineStr">
        <is>
          <t>Produit Vente</t>
        </is>
      </c>
      <c r="E182" s="319">
        <f>M134+P134+S134+V134+Y134+AB134</f>
        <v/>
      </c>
      <c r="F182" s="320" t="n"/>
      <c r="H182" s="320" t="n"/>
      <c r="I182" s="321" t="n"/>
      <c r="J182" s="320">
        <f>IFERROR(IF($B134="","",VLOOKUP($B134,'[1]Paramètres Articles'!$B:$H,7,FALSE)),"Non Trouvé")</f>
        <v/>
      </c>
      <c r="K182" s="322">
        <f>J134*(1-I134)</f>
        <v/>
      </c>
      <c r="L182" s="323">
        <f>IFERROR(J134-K134,"")</f>
        <v/>
      </c>
      <c r="M182" s="324" t="n"/>
      <c r="N182" s="323">
        <f>M134*H134*(1-I134)*(1-$O$117)</f>
        <v/>
      </c>
      <c r="O182" s="325">
        <f>N134-(F134*M134)</f>
        <v/>
      </c>
      <c r="P182" s="324" t="n"/>
      <c r="Q182" s="323" t="n"/>
      <c r="R182" s="205" t="n"/>
      <c r="S182" s="324" t="n"/>
      <c r="T182" s="323" t="n"/>
      <c r="U182" s="205" t="n"/>
      <c r="V182" s="324" t="n"/>
      <c r="W182" s="323" t="n"/>
      <c r="X182" s="205" t="n"/>
      <c r="Y182" s="324" t="n"/>
      <c r="Z182" s="323" t="n"/>
      <c r="AA182" s="205" t="n"/>
      <c r="AB182" s="324" t="n"/>
      <c r="AC182" s="323" t="n"/>
      <c r="AD182" s="205" t="n"/>
    </row>
    <row r="183">
      <c r="A183" s="237" t="n">
        <v>1020720</v>
      </c>
      <c r="B183" s="238">
        <f>IFERROR(IF($B135="","",VLOOKUP($B135,'[1]Paramètres Articles'!$B:$G,2,FALSE)),"Non Trouvé")</f>
        <v/>
      </c>
      <c r="C183" s="239">
        <f>IFERROR(IF($B135="","",_xlfn.XLOOKUP(REGENERANTS!$C136,'[1]New Base PA'!$F:$F,'[1]New Base PA'!$D:$D,"Not Found",0)),"Non Trouvé")</f>
        <v/>
      </c>
      <c r="D183" s="318" t="inlineStr">
        <is>
          <t>Produit Vente</t>
        </is>
      </c>
      <c r="E183" s="319">
        <f>M135+P135+S135+V135+Y135+AB135</f>
        <v/>
      </c>
      <c r="F183" s="320" t="n"/>
      <c r="H183" s="320" t="n"/>
      <c r="I183" s="321" t="n"/>
      <c r="J183" s="320">
        <f>IFERROR(IF($B135="","",VLOOKUP($B135,'[1]Paramètres Articles'!$B:$H,7,FALSE)),"Non Trouvé")</f>
        <v/>
      </c>
      <c r="K183" s="322">
        <f>J135*(1-I135)</f>
        <v/>
      </c>
      <c r="L183" s="323">
        <f>IFERROR(J135-K135,"")</f>
        <v/>
      </c>
      <c r="M183" s="324" t="n"/>
      <c r="N183" s="323">
        <f>M135*H135*(1-I135)*(1-$O$117)</f>
        <v/>
      </c>
      <c r="O183" s="325">
        <f>N135-(F135*M135)</f>
        <v/>
      </c>
      <c r="P183" s="324" t="n"/>
      <c r="Q183" s="323" t="n"/>
      <c r="R183" s="205" t="n"/>
      <c r="S183" s="324" t="n"/>
      <c r="T183" s="323" t="n"/>
      <c r="U183" s="205" t="n"/>
      <c r="V183" s="324" t="n"/>
      <c r="W183" s="323" t="n"/>
      <c r="X183" s="205" t="n"/>
      <c r="Y183" s="324" t="n"/>
      <c r="Z183" s="323" t="n"/>
      <c r="AA183" s="205" t="n"/>
      <c r="AB183" s="324" t="n"/>
      <c r="AC183" s="323" t="n"/>
      <c r="AD183" s="205" t="n"/>
    </row>
    <row r="184">
      <c r="A184" s="258" t="inlineStr">
        <is>
          <t>PANNEAU REGE</t>
        </is>
      </c>
      <c r="B184" s="259">
        <f>IFERROR(IF($B136="","",VLOOKUP($B136,'[1]Paramètres Articles'!$B:$G,2,FALSE)),"Non Trouvé")</f>
        <v/>
      </c>
      <c r="C184" s="260">
        <f>IFERROR(IF($B136="","",_xlfn.XLOOKUP(REGENERANTS!$C137,'[1]New Base PA'!$F:$F,'[1]New Base PA'!$D:$D,"Not Found",0)),"Non Trouvé")</f>
        <v/>
      </c>
      <c r="D184" s="326" t="inlineStr">
        <is>
          <t>PLV</t>
        </is>
      </c>
      <c r="E184" s="319">
        <f>M136+P136+S136+V136+Y136+AB136</f>
        <v/>
      </c>
      <c r="F184" s="320" t="n"/>
      <c r="H184" s="327" t="n"/>
      <c r="I184" s="321" t="n"/>
      <c r="J184" s="320">
        <f>IFERROR(IF($B136="","",VLOOKUP($B136,'[1]Paramètres Articles'!$B:$H,7,FALSE)),"Non Trouvé")</f>
        <v/>
      </c>
      <c r="K184" s="322">
        <f>IFERROR(IF($B136="","",IF(#REF!="","",#REF!*(1-#REF!))),"Non Trouvé")</f>
        <v/>
      </c>
      <c r="L184" s="323">
        <f>IFERROR(J136-K136,"")</f>
        <v/>
      </c>
      <c r="M184" s="324" t="n"/>
      <c r="N184" s="323">
        <f>M136*H136*(1-I136)*(1-$O$117)</f>
        <v/>
      </c>
      <c r="O184" s="325">
        <f>N136-(F136*M136)</f>
        <v/>
      </c>
      <c r="P184" s="324" t="n"/>
      <c r="Q184" s="323" t="n"/>
      <c r="R184" s="205" t="n"/>
      <c r="S184" s="324" t="n"/>
      <c r="T184" s="323" t="n"/>
      <c r="U184" s="205" t="n"/>
      <c r="V184" s="324" t="n"/>
      <c r="W184" s="323" t="n"/>
      <c r="X184" s="205" t="n"/>
      <c r="Y184" s="324" t="n"/>
      <c r="Z184" s="323" t="n"/>
      <c r="AA184" s="205" t="n"/>
      <c r="AB184" s="324" t="n"/>
      <c r="AC184" s="323" t="n"/>
      <c r="AD184" s="205" t="n"/>
    </row>
    <row r="185">
      <c r="A185" s="258" t="inlineStr">
        <is>
          <t>PRESENTOIR REGE</t>
        </is>
      </c>
      <c r="B185" s="259">
        <f>IFERROR(IF($B137="","",VLOOKUP($B137,'[1]Paramètres Articles'!$B:$G,2,FALSE)),"Non Trouvé")</f>
        <v/>
      </c>
      <c r="C185" s="260">
        <f>IFERROR(IF($B137="","",_xlfn.XLOOKUP(REGENERANTS!$C138,'[1]New Base PA'!$F:$F,'[1]New Base PA'!$D:$D,"Not Found",0)),"Non Trouvé")</f>
        <v/>
      </c>
      <c r="D185" s="326" t="inlineStr">
        <is>
          <t>PLV</t>
        </is>
      </c>
      <c r="E185" s="319">
        <f>M137+P137+S137+V137+Y137+AB137</f>
        <v/>
      </c>
      <c r="F185" s="320" t="n"/>
      <c r="H185" s="327" t="n"/>
      <c r="I185" s="321" t="n"/>
      <c r="J185" s="320">
        <f>IFERROR(IF($B137="","",VLOOKUP($B137,'[1]Paramètres Articles'!$B:$H,7,FALSE)),"Non Trouvé")</f>
        <v/>
      </c>
      <c r="K185" s="322">
        <f>IFERROR(IF($B137="","",IF(#REF!="","",#REF!*(1-#REF!))),"Non Trouvé")</f>
        <v/>
      </c>
      <c r="L185" s="323">
        <f>IFERROR(J137-K137,"")</f>
        <v/>
      </c>
      <c r="M185" s="324" t="n"/>
      <c r="N185" s="323">
        <f>M137*H137*(1-I137)*(1-$O$117)</f>
        <v/>
      </c>
      <c r="O185" s="325">
        <f>N137-(F137*M137)</f>
        <v/>
      </c>
      <c r="P185" s="324" t="n"/>
      <c r="Q185" s="323" t="n"/>
      <c r="R185" s="205" t="n"/>
      <c r="S185" s="324" t="n"/>
      <c r="T185" s="323" t="n"/>
      <c r="U185" s="205" t="n"/>
      <c r="V185" s="324" t="n"/>
      <c r="W185" s="323" t="n"/>
      <c r="X185" s="205" t="n"/>
      <c r="Y185" s="324" t="n"/>
      <c r="Z185" s="323" t="n"/>
      <c r="AA185" s="205" t="n"/>
      <c r="AB185" s="324" t="n"/>
      <c r="AC185" s="323" t="n"/>
      <c r="AD185" s="205" t="n"/>
    </row>
    <row r="186">
      <c r="A186" s="258" t="n">
        <v>3020202</v>
      </c>
      <c r="B186" s="259">
        <f>IFERROR(IF($B138="","",VLOOKUP($B138,'[1]Paramètres Articles'!$B:$G,2,FALSE)),"Non Trouvé")</f>
        <v/>
      </c>
      <c r="C186" s="260">
        <f>IFERROR(IF($B138="","",_xlfn.XLOOKUP(REGENERANTS!$C139,'[1]New Base PA'!$F:$F,'[1]New Base PA'!$D:$D,"Not Found",0)),"Non Trouvé")</f>
        <v/>
      </c>
      <c r="D186" s="326" t="inlineStr">
        <is>
          <t>Testeur</t>
        </is>
      </c>
      <c r="E186" s="319">
        <f>M138+P138+S138+V138+Y138+AB138</f>
        <v/>
      </c>
      <c r="F186" s="320" t="n"/>
      <c r="H186" s="327" t="n"/>
      <c r="I186" s="321" t="n"/>
      <c r="J186" s="320">
        <f>IFERROR(IF($B138="","",VLOOKUP($B138,'[1]Paramètres Articles'!$B:$H,7,FALSE)),"Non Trouvé")</f>
        <v/>
      </c>
      <c r="K186" s="322">
        <f>IFERROR(IF($B138="","",IF(#REF!="","",#REF!*(1-#REF!))),"Non Trouvé")</f>
        <v/>
      </c>
      <c r="L186" s="323">
        <f>IFERROR(J138-K138,"")</f>
        <v/>
      </c>
      <c r="M186" s="324" t="n"/>
      <c r="N186" s="323">
        <f>M138*H138*(1-I138)*(1-$O$117)</f>
        <v/>
      </c>
      <c r="O186" s="325">
        <f>N138-(F138*M138)</f>
        <v/>
      </c>
      <c r="P186" s="324" t="n"/>
      <c r="Q186" s="323" t="n"/>
      <c r="R186" s="205" t="n"/>
      <c r="S186" s="324" t="n"/>
      <c r="T186" s="323" t="n"/>
      <c r="U186" s="205" t="n"/>
      <c r="V186" s="324" t="n"/>
      <c r="W186" s="323" t="n"/>
      <c r="X186" s="205" t="n"/>
      <c r="Y186" s="324" t="n"/>
      <c r="Z186" s="323" t="n"/>
      <c r="AA186" s="205" t="n"/>
      <c r="AB186" s="324" t="n"/>
      <c r="AC186" s="323" t="n"/>
      <c r="AD186" s="205" t="n"/>
    </row>
    <row r="187">
      <c r="A187" s="258" t="n">
        <v>3020301</v>
      </c>
      <c r="B187" s="259">
        <f>IFERROR(IF($B139="","",VLOOKUP($B139,'[1]Paramètres Articles'!$B:$G,2,FALSE)),"Non Trouvé")</f>
        <v/>
      </c>
      <c r="C187" s="260">
        <f>IFERROR(IF($B139="","",_xlfn.XLOOKUP(REGENERANTS!$C140,'[1]New Base PA'!$F:$F,'[1]New Base PA'!$D:$D,"Not Found",0)),"Non Trouvé")</f>
        <v/>
      </c>
      <c r="D187" s="326" t="inlineStr">
        <is>
          <t>Testeur</t>
        </is>
      </c>
      <c r="E187" s="319">
        <f>M139+P139+S139+V139+Y139+AB139</f>
        <v/>
      </c>
      <c r="F187" s="320" t="n"/>
      <c r="H187" s="327" t="n"/>
      <c r="I187" s="321" t="n"/>
      <c r="J187" s="320">
        <f>IFERROR(IF($B139="","",VLOOKUP($B139,'[1]Paramètres Articles'!$B:$H,7,FALSE)),"Non Trouvé")</f>
        <v/>
      </c>
      <c r="K187" s="322">
        <f>IFERROR(IF($B139="","",IF(#REF!="","",#REF!*(1-#REF!))),"Non Trouvé")</f>
        <v/>
      </c>
      <c r="L187" s="323">
        <f>IFERROR(J139-K139,"")</f>
        <v/>
      </c>
      <c r="M187" s="324" t="n"/>
      <c r="N187" s="323">
        <f>M139*H139*(1-I139)*(1-$O$117)</f>
        <v/>
      </c>
      <c r="O187" s="325">
        <f>N139-(F139*M139)</f>
        <v/>
      </c>
      <c r="P187" s="324" t="n"/>
      <c r="Q187" s="323" t="n"/>
      <c r="R187" s="205" t="n"/>
      <c r="S187" s="324" t="n"/>
      <c r="T187" s="323" t="n"/>
      <c r="U187" s="205" t="n"/>
      <c r="V187" s="324" t="n"/>
      <c r="W187" s="323" t="n"/>
      <c r="X187" s="205" t="n"/>
      <c r="Y187" s="324" t="n"/>
      <c r="Z187" s="323" t="n"/>
      <c r="AA187" s="205" t="n"/>
      <c r="AB187" s="324" t="n"/>
      <c r="AC187" s="323" t="n"/>
      <c r="AD187" s="205" t="n"/>
    </row>
    <row r="188">
      <c r="A188" s="258" t="n">
        <v>3020720</v>
      </c>
      <c r="B188" s="259">
        <f>IFERROR(IF($B140="","",VLOOKUP($B140,'[1]Paramètres Articles'!$B:$G,2,FALSE)),"Non Trouvé")</f>
        <v/>
      </c>
      <c r="C188" s="260">
        <f>IFERROR(IF($B140="","",_xlfn.XLOOKUP(REGENERANTS!$C141,'[1]New Base PA'!$F:$F,'[1]New Base PA'!$D:$D,"Not Found",0)),"Non Trouvé")</f>
        <v/>
      </c>
      <c r="D188" s="326" t="inlineStr">
        <is>
          <t>Testeur</t>
        </is>
      </c>
      <c r="E188" s="319">
        <f>M140+P140+S140+V140+Y140+AB140</f>
        <v/>
      </c>
      <c r="F188" s="320" t="n"/>
      <c r="H188" s="327" t="n"/>
      <c r="I188" s="321" t="n"/>
      <c r="J188" s="320">
        <f>IFERROR(IF($B140="","",VLOOKUP($B140,'[1]Paramètres Articles'!$B:$H,7,FALSE)),"Non Trouvé")</f>
        <v/>
      </c>
      <c r="K188" s="322">
        <f>IFERROR(IF($B140="","",IF(#REF!="","",#REF!*(1-#REF!))),"Non Trouvé")</f>
        <v/>
      </c>
      <c r="L188" s="323">
        <f>IFERROR(J140-K140,"")</f>
        <v/>
      </c>
      <c r="M188" s="324" t="n"/>
      <c r="N188" s="323">
        <f>M140*H140*(1-I140)*(1-$O$117)</f>
        <v/>
      </c>
      <c r="O188" s="325">
        <f>N140-(F140*M140)</f>
        <v/>
      </c>
      <c r="P188" s="324" t="n"/>
      <c r="Q188" s="323" t="n"/>
      <c r="R188" s="205" t="n"/>
      <c r="S188" s="324" t="n"/>
      <c r="T188" s="323" t="n"/>
      <c r="U188" s="205" t="n"/>
      <c r="V188" s="324" t="n"/>
      <c r="W188" s="323" t="n"/>
      <c r="X188" s="205" t="n"/>
      <c r="Y188" s="324" t="n"/>
      <c r="Z188" s="323" t="n"/>
      <c r="AA188" s="205" t="n"/>
      <c r="AB188" s="324" t="n"/>
      <c r="AC188" s="323" t="n"/>
      <c r="AD188" s="205" t="n"/>
    </row>
    <row r="189">
      <c r="A189" s="258" t="n">
        <v>3020718</v>
      </c>
      <c r="B189" s="259">
        <f>IFERROR(IF($B141="","",VLOOKUP($B141,'[1]Paramètres Articles'!$B:$G,2,FALSE)),"Non Trouvé")</f>
        <v/>
      </c>
      <c r="C189" s="260">
        <f>IFERROR(IF($B141="","",_xlfn.XLOOKUP(REGENERANTS!$C142,'[1]New Base PA'!$F:$F,'[1]New Base PA'!$D:$D,"Not Found",0)),"Non Trouvé")</f>
        <v/>
      </c>
      <c r="D189" s="326" t="inlineStr">
        <is>
          <t>Testeur</t>
        </is>
      </c>
      <c r="E189" s="319">
        <f>M141+P141+S141+V141+Y141+AB141</f>
        <v/>
      </c>
      <c r="F189" s="320" t="n"/>
      <c r="H189" s="327" t="n"/>
      <c r="I189" s="321" t="n"/>
      <c r="J189" s="320">
        <f>IFERROR(IF($B141="","",VLOOKUP($B141,'[1]Paramètres Articles'!$B:$H,7,FALSE)),"Non Trouvé")</f>
        <v/>
      </c>
      <c r="K189" s="322">
        <f>IFERROR(IF($B141="","",IF(#REF!="","",#REF!*(1-#REF!))),"Non Trouvé")</f>
        <v/>
      </c>
      <c r="L189" s="323">
        <f>IFERROR(J141-K141,"")</f>
        <v/>
      </c>
      <c r="M189" s="324" t="n"/>
      <c r="N189" s="323">
        <f>M141*H141*(1-I141)*(1-$O$117)</f>
        <v/>
      </c>
      <c r="O189" s="325">
        <f>N141-(F141*M141)</f>
        <v/>
      </c>
      <c r="P189" s="324" t="n"/>
      <c r="Q189" s="323" t="n"/>
      <c r="R189" s="205" t="n"/>
      <c r="S189" s="324" t="n"/>
      <c r="T189" s="323" t="n"/>
      <c r="U189" s="205" t="n"/>
      <c r="V189" s="324" t="n"/>
      <c r="W189" s="323" t="n"/>
      <c r="X189" s="205" t="n"/>
      <c r="Y189" s="324" t="n"/>
      <c r="Z189" s="323" t="n"/>
      <c r="AA189" s="205" t="n"/>
      <c r="AB189" s="324" t="n"/>
      <c r="AC189" s="323" t="n"/>
      <c r="AD189" s="205" t="n"/>
    </row>
    <row r="190" ht="15.75" customHeight="1">
      <c r="A190" s="258" t="inlineStr">
        <is>
          <t>SR REGE RETAIL 1</t>
        </is>
      </c>
      <c r="B190" s="259">
        <f>IFERROR(IF($B142="","",VLOOKUP($B142,'[1]Paramètres Articles'!$B:$G,2,FALSE)),"Non Trouvé")</f>
        <v/>
      </c>
      <c r="C190" s="260">
        <f>IFERROR(IF($B142="","",_xlfn.XLOOKUP(REGENERANTS!$C143,'[1]New Base PA'!$F:$F,'[1]New Base PA'!$D:$D,"Not Found",0)),"Non Trouvé")</f>
        <v/>
      </c>
      <c r="D190" s="326" t="inlineStr">
        <is>
          <t>PLV</t>
        </is>
      </c>
      <c r="E190" s="319">
        <f>M142+P142+S142+V142+Y142+AB142</f>
        <v/>
      </c>
      <c r="F190" s="320" t="n"/>
      <c r="H190" s="327" t="n"/>
      <c r="I190" s="321" t="n"/>
      <c r="J190" s="320">
        <f>IFERROR(IF($B142="","",VLOOKUP($B142,'[1]Paramètres Articles'!$B:$H,7,FALSE)),"Non Trouvé")</f>
        <v/>
      </c>
      <c r="K190" s="322">
        <f>IFERROR(IF($B142="","",IF(#REF!="","",#REF!*(1-#REF!))),"Non Trouvé")</f>
        <v/>
      </c>
      <c r="L190" s="323">
        <f>IFERROR(J142-K142,"")</f>
        <v/>
      </c>
      <c r="M190" s="328" t="n"/>
      <c r="N190" s="329">
        <f>M142*H142*(1-I142)*(1-$O$117)</f>
        <v/>
      </c>
      <c r="O190" s="330">
        <f>N142-(F142*M142)</f>
        <v/>
      </c>
      <c r="P190" s="328" t="n"/>
      <c r="Q190" s="329" t="n"/>
      <c r="R190" s="331" t="n"/>
      <c r="S190" s="328" t="n"/>
      <c r="T190" s="329" t="n"/>
      <c r="U190" s="331" t="n"/>
      <c r="V190" s="328" t="n"/>
      <c r="W190" s="329" t="n"/>
      <c r="X190" s="331" t="n"/>
      <c r="Y190" s="328" t="n"/>
      <c r="Z190" s="329" t="n"/>
      <c r="AA190" s="331" t="n"/>
      <c r="AB190" s="328" t="n"/>
      <c r="AC190" s="329" t="n"/>
      <c r="AD190" s="331" t="n"/>
    </row>
    <row r="194" ht="15.75" customHeight="1">
      <c r="A194" s="332" t="inlineStr">
        <is>
          <t>Besoins logistiques</t>
        </is>
      </c>
      <c r="B194" s="333" t="n"/>
      <c r="C194" s="333" t="n"/>
      <c r="D194" s="333" t="n"/>
      <c r="E194" s="333" t="n"/>
      <c r="F194" s="333" t="n"/>
      <c r="G194" s="333" t="n"/>
      <c r="H194" s="333" t="n"/>
      <c r="I194" s="333" t="n"/>
      <c r="J194" s="333" t="n"/>
      <c r="K194" s="333" t="n"/>
      <c r="L194" s="333" t="n"/>
      <c r="M194" s="333" t="n"/>
      <c r="N194" s="333" t="n"/>
      <c r="O194" s="333" t="n"/>
    </row>
    <row r="195" ht="40.5" customHeight="1">
      <c r="E195" s="334" t="inlineStr">
        <is>
          <t>Retail + Institut</t>
        </is>
      </c>
      <c r="F195" s="334" t="inlineStr">
        <is>
          <t>GC</t>
        </is>
      </c>
      <c r="G195" s="334" t="inlineStr">
        <is>
          <t>ESHOP</t>
        </is>
      </c>
      <c r="H195" s="334" t="inlineStr">
        <is>
          <t>RP/Comm/Opé</t>
        </is>
      </c>
      <c r="I195" s="334" t="inlineStr">
        <is>
          <t>Maison DRH</t>
        </is>
      </c>
      <c r="J195" s="334" t="inlineStr">
        <is>
          <t>Dotation Commerciaux</t>
        </is>
      </c>
      <c r="K195" s="334" t="inlineStr">
        <is>
          <t>Total</t>
        </is>
      </c>
      <c r="L195" s="334" t="inlineStr">
        <is>
          <t>Date de démarrage campagne</t>
        </is>
      </c>
      <c r="M195" s="334" t="inlineStr">
        <is>
          <t>Livraison M1</t>
        </is>
      </c>
      <c r="N195" s="334" t="inlineStr">
        <is>
          <t>Livraison M2</t>
        </is>
      </c>
      <c r="O195" s="334" t="inlineStr">
        <is>
          <t>Livraison M3</t>
        </is>
      </c>
    </row>
    <row r="196" ht="16.5" customHeight="1"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335" t="n">
        <v>0.4</v>
      </c>
      <c r="N196" s="335" t="n">
        <v>0.4</v>
      </c>
      <c r="O196" s="335" t="n">
        <v>0.2</v>
      </c>
    </row>
    <row r="197">
      <c r="A197" s="237" t="n">
        <v>1020202</v>
      </c>
      <c r="B197" s="238">
        <f>IFERROR(IF($B149="","",VLOOKUP($B149,'[1]Paramètres Articles'!$B:$G,2,FALSE)),"Non Trouvé")</f>
        <v/>
      </c>
      <c r="C197" s="239">
        <f>IFERROR(IF($B149="","",_xlfn.XLOOKUP(REGENERANTS!$C149,'[1]New Base PA'!$F:$F,'[1]New Base PA'!$D:$D,"Not Found",0)),"Non Trouvé")</f>
        <v/>
      </c>
      <c r="D197" s="336" t="inlineStr">
        <is>
          <t>Produit Vente</t>
        </is>
      </c>
      <c r="E197" s="337">
        <f>E17*($B$4+$B$42+$B$78)</f>
        <v/>
      </c>
      <c r="F197" s="338">
        <f>E123</f>
        <v/>
      </c>
      <c r="G197" s="339" t="n"/>
      <c r="H197" s="340" t="n"/>
      <c r="I197" s="340" t="n"/>
      <c r="J197" s="341" t="n"/>
      <c r="K197" s="342">
        <f>SUM(E149:J149)</f>
        <v/>
      </c>
      <c r="L197" s="341" t="n"/>
      <c r="M197" s="342">
        <f>K149*$M$148</f>
        <v/>
      </c>
      <c r="N197" s="342">
        <f>K149*$N$148</f>
        <v/>
      </c>
      <c r="O197" s="342">
        <f>K149*$O$148</f>
        <v/>
      </c>
    </row>
    <row r="198">
      <c r="A198" s="237" t="n">
        <v>1020310</v>
      </c>
      <c r="B198" s="238">
        <f>IFERROR(IF($B150="","",VLOOKUP($B150,'[1]Paramètres Articles'!$B:$G,2,FALSE)),"Non Trouvé")</f>
        <v/>
      </c>
      <c r="C198" s="239">
        <f>IFERROR(IF($B150="","",_xlfn.XLOOKUP(REGENERANTS!$C150,'[1]New Base PA'!$F:$F,'[1]New Base PA'!$D:$D,"Not Found",0)),"Non Trouvé")</f>
        <v/>
      </c>
      <c r="D198" s="336" t="inlineStr">
        <is>
          <t>Produit Vente</t>
        </is>
      </c>
      <c r="E198" s="278">
        <f>E18*($B$4+$B$42+$B$78)</f>
        <v/>
      </c>
      <c r="F198" s="278">
        <f>E124</f>
        <v/>
      </c>
      <c r="G198" s="279" t="n"/>
      <c r="H198" s="280" t="n"/>
      <c r="I198" s="280" t="n"/>
      <c r="J198" s="281" t="n"/>
      <c r="K198" s="282">
        <f>SUM(E150:J150)</f>
        <v/>
      </c>
      <c r="L198" s="281" t="n"/>
      <c r="M198" s="282">
        <f>K150*$M$148</f>
        <v/>
      </c>
      <c r="N198" s="282">
        <f>K150*$N$148</f>
        <v/>
      </c>
      <c r="O198" s="282">
        <f>K150*$O$148</f>
        <v/>
      </c>
    </row>
    <row r="199">
      <c r="A199" s="237" t="n">
        <v>1020401</v>
      </c>
      <c r="B199" s="238">
        <f>IFERROR(IF($B151="","",VLOOKUP($B151,'[1]Paramètres Articles'!$B:$G,2,FALSE)),"Non Trouvé")</f>
        <v/>
      </c>
      <c r="C199" s="239">
        <f>IFERROR(IF($B151="","",_xlfn.XLOOKUP(REGENERANTS!$C151,'[1]New Base PA'!$F:$F,'[1]New Base PA'!$D:$D,"Not Found",0)),"Non Trouvé")</f>
        <v/>
      </c>
      <c r="D199" s="336" t="inlineStr">
        <is>
          <t>Produit Vente</t>
        </is>
      </c>
      <c r="E199" s="278">
        <f>E19*($B$4+$B$42+$B$78)</f>
        <v/>
      </c>
      <c r="F199" s="278">
        <f>E125</f>
        <v/>
      </c>
      <c r="G199" s="279" t="n"/>
      <c r="H199" s="280" t="n"/>
      <c r="I199" s="280" t="n"/>
      <c r="J199" s="281" t="n"/>
      <c r="K199" s="282">
        <f>SUM(E151:J151)</f>
        <v/>
      </c>
      <c r="L199" s="281" t="n"/>
      <c r="M199" s="282">
        <f>K151*$M$148</f>
        <v/>
      </c>
      <c r="N199" s="282">
        <f>K151*$N$148</f>
        <v/>
      </c>
      <c r="O199" s="282">
        <f>K151*$O$148</f>
        <v/>
      </c>
    </row>
    <row r="200">
      <c r="A200" s="237" t="n">
        <v>1020302</v>
      </c>
      <c r="B200" s="238">
        <f>IFERROR(IF($B152="","",VLOOKUP($B152,'[1]Paramètres Articles'!$B:$G,2,FALSE)),"Non Trouvé")</f>
        <v/>
      </c>
      <c r="C200" s="239">
        <f>IFERROR(IF($B152="","",_xlfn.XLOOKUP(REGENERANTS!$C152,'[1]New Base PA'!$F:$F,'[1]New Base PA'!$D:$D,"Not Found",0)),"Non Trouvé")</f>
        <v/>
      </c>
      <c r="D200" s="336" t="inlineStr">
        <is>
          <t>Produit Vente</t>
        </is>
      </c>
      <c r="E200" s="278">
        <f>E20*($B$4+$B$42+$B$78)</f>
        <v/>
      </c>
      <c r="F200" s="278">
        <f>E126</f>
        <v/>
      </c>
      <c r="G200" s="279" t="n"/>
      <c r="H200" s="280" t="n"/>
      <c r="I200" s="280" t="n"/>
      <c r="J200" s="281" t="n"/>
      <c r="K200" s="282">
        <f>SUM(E152:J152)</f>
        <v/>
      </c>
      <c r="L200" s="281" t="n"/>
      <c r="M200" s="282">
        <f>K152*$M$148</f>
        <v/>
      </c>
      <c r="N200" s="282">
        <f>K152*$N$148</f>
        <v/>
      </c>
      <c r="O200" s="282">
        <f>K152*$O$148</f>
        <v/>
      </c>
    </row>
    <row r="201">
      <c r="A201" s="237" t="n">
        <v>1020721</v>
      </c>
      <c r="B201" s="238">
        <f>IFERROR(IF($B153="","",VLOOKUP($B153,'[1]Paramètres Articles'!$B:$G,2,FALSE)),"Non Trouvé")</f>
        <v/>
      </c>
      <c r="C201" s="239">
        <f>IFERROR(IF($B153="","",_xlfn.XLOOKUP(REGENERANTS!$C153,'[1]New Base PA'!$F:$F,'[1]New Base PA'!$D:$D,"Not Found",0)),"Non Trouvé")</f>
        <v/>
      </c>
      <c r="D201" s="336" t="inlineStr">
        <is>
          <t>Produit Vente</t>
        </is>
      </c>
      <c r="E201" s="278">
        <f>E21*($B$4+$B$42+$B$78)</f>
        <v/>
      </c>
      <c r="F201" s="278">
        <f>E127</f>
        <v/>
      </c>
      <c r="G201" s="279" t="n"/>
      <c r="H201" s="280" t="n"/>
      <c r="I201" s="280" t="n"/>
      <c r="J201" s="281" t="n"/>
      <c r="K201" s="282">
        <f>SUM(E153:J153)</f>
        <v/>
      </c>
      <c r="L201" s="281" t="n"/>
      <c r="M201" s="282">
        <f>K153*$M$148</f>
        <v/>
      </c>
      <c r="N201" s="282">
        <f>K153*$N$148</f>
        <v/>
      </c>
      <c r="O201" s="282">
        <f>K153*$O$148</f>
        <v/>
      </c>
    </row>
    <row r="202">
      <c r="A202" s="237" t="n">
        <v>1020107</v>
      </c>
      <c r="B202" s="238">
        <f>IFERROR(IF($B154="","",VLOOKUP($B154,'[1]Paramètres Articles'!$B:$G,2,FALSE)),"Non Trouvé")</f>
        <v/>
      </c>
      <c r="C202" s="239">
        <f>IFERROR(IF($B154="","",_xlfn.XLOOKUP(REGENERANTS!$C154,'[1]New Base PA'!$F:$F,'[1]New Base PA'!$D:$D,"Not Found",0)),"Non Trouvé")</f>
        <v/>
      </c>
      <c r="D202" s="336" t="inlineStr">
        <is>
          <t>Produit Vente</t>
        </is>
      </c>
      <c r="E202" s="278">
        <f>E22*($B$4+$B$42+$B$78)</f>
        <v/>
      </c>
      <c r="F202" s="278">
        <f>E128</f>
        <v/>
      </c>
      <c r="G202" s="279" t="n"/>
      <c r="H202" s="280" t="n"/>
      <c r="I202" s="280" t="n"/>
      <c r="J202" s="281" t="n"/>
      <c r="K202" s="282">
        <f>SUM(E154:J154)</f>
        <v/>
      </c>
      <c r="L202" s="281" t="n"/>
      <c r="M202" s="282">
        <f>K154*$M$148</f>
        <v/>
      </c>
      <c r="N202" s="282">
        <f>K154*$N$148</f>
        <v/>
      </c>
      <c r="O202" s="282">
        <f>K154*$O$148</f>
        <v/>
      </c>
    </row>
    <row r="203">
      <c r="A203" s="237" t="n">
        <v>1020102</v>
      </c>
      <c r="B203" s="238">
        <f>IFERROR(IF($B155="","",VLOOKUP($B155,'[1]Paramètres Articles'!$B:$G,2,FALSE)),"Non Trouvé")</f>
        <v/>
      </c>
      <c r="C203" s="239">
        <f>IFERROR(IF($B155="","",_xlfn.XLOOKUP(REGENERANTS!$C155,'[1]New Base PA'!$F:$F,'[1]New Base PA'!$D:$D,"Not Found",0)),"Non Trouvé")</f>
        <v/>
      </c>
      <c r="D203" s="336" t="inlineStr">
        <is>
          <t>Produit Vente</t>
        </is>
      </c>
      <c r="E203" s="278">
        <f>E23*($B$4+$B$42+$B$78)</f>
        <v/>
      </c>
      <c r="F203" s="278">
        <f>E129</f>
        <v/>
      </c>
      <c r="G203" s="279" t="n"/>
      <c r="H203" s="280" t="n"/>
      <c r="I203" s="280" t="n"/>
      <c r="J203" s="281" t="n"/>
      <c r="K203" s="282">
        <f>SUM(E155:J155)</f>
        <v/>
      </c>
      <c r="L203" s="281" t="n"/>
      <c r="M203" s="282">
        <f>K155*$M$148</f>
        <v/>
      </c>
      <c r="N203" s="282">
        <f>K155*$N$148</f>
        <v/>
      </c>
      <c r="O203" s="282">
        <f>K155*$O$148</f>
        <v/>
      </c>
    </row>
    <row r="204">
      <c r="A204" s="237" t="n">
        <v>1020722</v>
      </c>
      <c r="B204" s="238">
        <f>IFERROR(IF($B156="","",VLOOKUP($B156,'[1]Paramètres Articles'!$B:$G,2,FALSE)),"Non Trouvé")</f>
        <v/>
      </c>
      <c r="C204" s="239">
        <f>IFERROR(IF($B156="","",_xlfn.XLOOKUP(REGENERANTS!$C156,'[1]New Base PA'!$F:$F,'[1]New Base PA'!$D:$D,"Not Found",0)),"Non Trouvé")</f>
        <v/>
      </c>
      <c r="D204" s="336" t="inlineStr">
        <is>
          <t>Produit Vente</t>
        </is>
      </c>
      <c r="E204" s="278">
        <f>E24*($B$4+$B$42+$B$78)</f>
        <v/>
      </c>
      <c r="F204" s="278">
        <f>E130</f>
        <v/>
      </c>
      <c r="G204" s="279" t="n"/>
      <c r="H204" s="280" t="n"/>
      <c r="I204" s="280" t="n"/>
      <c r="J204" s="281" t="n"/>
      <c r="K204" s="282">
        <f>SUM(E156:J156)</f>
        <v/>
      </c>
      <c r="L204" s="281" t="n"/>
      <c r="M204" s="282">
        <f>K156*$M$148</f>
        <v/>
      </c>
      <c r="N204" s="282">
        <f>K156*$N$148</f>
        <v/>
      </c>
      <c r="O204" s="282">
        <f>K156*$O$148</f>
        <v/>
      </c>
    </row>
    <row r="205">
      <c r="A205" s="237" t="n">
        <v>1020719</v>
      </c>
      <c r="B205" s="238">
        <f>IFERROR(IF($B157="","",VLOOKUP($B157,'[1]Paramètres Articles'!$B:$G,2,FALSE)),"Non Trouvé")</f>
        <v/>
      </c>
      <c r="C205" s="239">
        <f>IFERROR(IF($B157="","",_xlfn.XLOOKUP(REGENERANTS!$C157,'[1]New Base PA'!$F:$F,'[1]New Base PA'!$D:$D,"Not Found",0)),"Non Trouvé")</f>
        <v/>
      </c>
      <c r="D205" s="336" t="inlineStr">
        <is>
          <t>Produit Vente</t>
        </is>
      </c>
      <c r="E205" s="278">
        <f>E25*($B$4+$B$42+$B$78)</f>
        <v/>
      </c>
      <c r="F205" s="278">
        <f>E131</f>
        <v/>
      </c>
      <c r="G205" s="279" t="n"/>
      <c r="H205" s="280" t="n"/>
      <c r="I205" s="280" t="n"/>
      <c r="J205" s="281" t="n"/>
      <c r="K205" s="282">
        <f>SUM(E157:J157)</f>
        <v/>
      </c>
      <c r="L205" s="281" t="n"/>
      <c r="M205" s="282">
        <f>K157*$M$148</f>
        <v/>
      </c>
      <c r="N205" s="282">
        <f>K157*$N$148</f>
        <v/>
      </c>
      <c r="O205" s="282">
        <f>K157*$O$148</f>
        <v/>
      </c>
    </row>
    <row r="206">
      <c r="A206" s="237" t="n">
        <v>1020717</v>
      </c>
      <c r="B206" s="238">
        <f>IFERROR(IF($B158="","",VLOOKUP($B158,'[1]Paramètres Articles'!$B:$G,2,FALSE)),"Non Trouvé")</f>
        <v/>
      </c>
      <c r="C206" s="239">
        <f>IFERROR(IF($B158="","",_xlfn.XLOOKUP(REGENERANTS!$C158,'[1]New Base PA'!$F:$F,'[1]New Base PA'!$D:$D,"Not Found",0)),"Non Trouvé")</f>
        <v/>
      </c>
      <c r="D206" s="336" t="inlineStr">
        <is>
          <t>Produit Vente</t>
        </is>
      </c>
      <c r="E206" s="278">
        <f>E26*($B$4+$B$42+$B$78)</f>
        <v/>
      </c>
      <c r="F206" s="278">
        <f>E132</f>
        <v/>
      </c>
      <c r="G206" s="279" t="n"/>
      <c r="H206" s="280" t="n"/>
      <c r="I206" s="280" t="n"/>
      <c r="J206" s="281" t="n"/>
      <c r="K206" s="282">
        <f>SUM(E158:J158)</f>
        <v/>
      </c>
      <c r="L206" s="281" t="n"/>
      <c r="M206" s="282">
        <f>K158*$M$148</f>
        <v/>
      </c>
      <c r="N206" s="282">
        <f>K158*$N$148</f>
        <v/>
      </c>
      <c r="O206" s="282">
        <f>K158*$O$148</f>
        <v/>
      </c>
    </row>
    <row r="207">
      <c r="A207" s="237" t="n">
        <v>1020718</v>
      </c>
      <c r="B207" s="238">
        <f>IFERROR(IF($B159="","",VLOOKUP($B159,'[1]Paramètres Articles'!$B:$G,2,FALSE)),"Non Trouvé")</f>
        <v/>
      </c>
      <c r="C207" s="239">
        <f>IFERROR(IF($B159="","",_xlfn.XLOOKUP(REGENERANTS!$C159,'[1]New Base PA'!$F:$F,'[1]New Base PA'!$D:$D,"Not Found",0)),"Non Trouvé")</f>
        <v/>
      </c>
      <c r="D207" s="336" t="inlineStr">
        <is>
          <t>Produit Vente</t>
        </is>
      </c>
      <c r="E207" s="278">
        <f>E27*($B$4+$B$42+$B$78)</f>
        <v/>
      </c>
      <c r="F207" s="278">
        <f>E133</f>
        <v/>
      </c>
      <c r="G207" s="279" t="n"/>
      <c r="H207" s="280" t="n"/>
      <c r="I207" s="280" t="n"/>
      <c r="J207" s="281" t="n"/>
      <c r="K207" s="282">
        <f>SUM(E159:J159)</f>
        <v/>
      </c>
      <c r="L207" s="281" t="n"/>
      <c r="M207" s="282">
        <f>K159*$M$148</f>
        <v/>
      </c>
      <c r="N207" s="282">
        <f>K159*$N$148</f>
        <v/>
      </c>
      <c r="O207" s="282">
        <f>K159*$O$148</f>
        <v/>
      </c>
    </row>
    <row r="208">
      <c r="A208" s="237" t="n">
        <v>1020301</v>
      </c>
      <c r="B208" s="238">
        <f>IFERROR(IF($B160="","",VLOOKUP($B160,'[1]Paramètres Articles'!$B:$G,2,FALSE)),"Non Trouvé")</f>
        <v/>
      </c>
      <c r="C208" s="239">
        <f>IFERROR(IF($B160="","",_xlfn.XLOOKUP(REGENERANTS!$C160,'[1]New Base PA'!$F:$F,'[1]New Base PA'!$D:$D,"Not Found",0)),"Non Trouvé")</f>
        <v/>
      </c>
      <c r="D208" s="336" t="inlineStr">
        <is>
          <t>Produit Vente</t>
        </is>
      </c>
      <c r="E208" s="278">
        <f>E28*($B$4+$B$42+$B$78)</f>
        <v/>
      </c>
      <c r="F208" s="278">
        <f>E134</f>
        <v/>
      </c>
      <c r="G208" s="279" t="n"/>
      <c r="H208" s="280" t="n"/>
      <c r="I208" s="280" t="n"/>
      <c r="J208" s="281" t="n"/>
      <c r="K208" s="282">
        <f>SUM(E160:J160)</f>
        <v/>
      </c>
      <c r="L208" s="281" t="n"/>
      <c r="M208" s="282">
        <f>K160*$M$148</f>
        <v/>
      </c>
      <c r="N208" s="282">
        <f>K160*$N$148</f>
        <v/>
      </c>
      <c r="O208" s="282">
        <f>K160*$O$148</f>
        <v/>
      </c>
    </row>
    <row r="209">
      <c r="A209" s="237" t="n">
        <v>1020720</v>
      </c>
      <c r="B209" s="238">
        <f>IFERROR(IF($B161="","",VLOOKUP($B161,'[1]Paramètres Articles'!$B:$G,2,FALSE)),"Non Trouvé")</f>
        <v/>
      </c>
      <c r="C209" s="239">
        <f>IFERROR(IF($B161="","",_xlfn.XLOOKUP(REGENERANTS!$C161,'[1]New Base PA'!$F:$F,'[1]New Base PA'!$D:$D,"Not Found",0)),"Non Trouvé")</f>
        <v/>
      </c>
      <c r="D209" s="336" t="inlineStr">
        <is>
          <t>Produit Vente</t>
        </is>
      </c>
      <c r="E209" s="278">
        <f>E29*($B$4+$B$42+$B$78)</f>
        <v/>
      </c>
      <c r="F209" s="278">
        <f>E135</f>
        <v/>
      </c>
      <c r="G209" s="279" t="n"/>
      <c r="H209" s="280" t="n"/>
      <c r="I209" s="280" t="n"/>
      <c r="J209" s="281" t="n"/>
      <c r="K209" s="282">
        <f>SUM(E161:J161)</f>
        <v/>
      </c>
      <c r="L209" s="281" t="n"/>
      <c r="M209" s="282">
        <f>K161*$M$148</f>
        <v/>
      </c>
      <c r="N209" s="282">
        <f>K161*$N$148</f>
        <v/>
      </c>
      <c r="O209" s="282">
        <f>K161*$O$148</f>
        <v/>
      </c>
    </row>
    <row r="210">
      <c r="A210" s="258" t="inlineStr">
        <is>
          <t>PANNEAU REGE</t>
        </is>
      </c>
      <c r="B210" s="259">
        <f>IFERROR(IF($B162="","",VLOOKUP($B162,'[1]Paramètres Articles'!$B:$G,2,FALSE)),"Non Trouvé")</f>
        <v/>
      </c>
      <c r="C210" s="260">
        <f>IFERROR(IF($B162="","",_xlfn.XLOOKUP(REGENERANTS!$C162,'[1]New Base PA'!$F:$F,'[1]New Base PA'!$D:$D,"Not Found",0)),"Non Trouvé")</f>
        <v/>
      </c>
      <c r="D210" s="343" t="inlineStr">
        <is>
          <t>PLV</t>
        </is>
      </c>
      <c r="E210" s="278">
        <f>E30*($B$4+$B$42+$B$78)</f>
        <v/>
      </c>
      <c r="F210" s="278">
        <f>E136</f>
        <v/>
      </c>
      <c r="G210" s="279" t="n"/>
      <c r="H210" s="280" t="n"/>
      <c r="I210" s="280" t="n"/>
      <c r="J210" s="281" t="n"/>
      <c r="K210" s="282">
        <f>SUM(E162:J162)</f>
        <v/>
      </c>
      <c r="L210" s="281" t="n"/>
      <c r="M210" s="282">
        <f>K162*$M$148</f>
        <v/>
      </c>
      <c r="N210" s="282">
        <f>K162*$N$148</f>
        <v/>
      </c>
      <c r="O210" s="282">
        <f>K162*$O$148</f>
        <v/>
      </c>
    </row>
    <row r="211">
      <c r="A211" s="258" t="inlineStr">
        <is>
          <t>PRESENTOIR REGE</t>
        </is>
      </c>
      <c r="B211" s="259">
        <f>IFERROR(IF($B163="","",VLOOKUP($B163,'[1]Paramètres Articles'!$B:$G,2,FALSE)),"Non Trouvé")</f>
        <v/>
      </c>
      <c r="C211" s="260">
        <f>IFERROR(IF($B163="","",_xlfn.XLOOKUP(REGENERANTS!$C163,'[1]New Base PA'!$F:$F,'[1]New Base PA'!$D:$D,"Not Found",0)),"Non Trouvé")</f>
        <v/>
      </c>
      <c r="D211" s="343" t="inlineStr">
        <is>
          <t>PLV</t>
        </is>
      </c>
      <c r="E211" s="278">
        <f>E31*($B$4+$B$42+$B$78)</f>
        <v/>
      </c>
      <c r="F211" s="278">
        <f>E137</f>
        <v/>
      </c>
      <c r="G211" s="279" t="n"/>
      <c r="H211" s="280" t="n"/>
      <c r="I211" s="280" t="n"/>
      <c r="J211" s="281" t="n"/>
      <c r="K211" s="282">
        <f>SUM(E163:J163)</f>
        <v/>
      </c>
      <c r="L211" s="281" t="n"/>
      <c r="M211" s="282">
        <f>K163*$M$148</f>
        <v/>
      </c>
      <c r="N211" s="282">
        <f>K163*$N$148</f>
        <v/>
      </c>
      <c r="O211" s="282">
        <f>K163*$O$148</f>
        <v/>
      </c>
    </row>
    <row r="212">
      <c r="A212" s="258" t="n">
        <v>3020202</v>
      </c>
      <c r="B212" s="259">
        <f>IFERROR(IF($B164="","",VLOOKUP($B164,'[1]Paramètres Articles'!$B:$G,2,FALSE)),"Non Trouvé")</f>
        <v/>
      </c>
      <c r="C212" s="260">
        <f>IFERROR(IF($B164="","",_xlfn.XLOOKUP(REGENERANTS!$C164,'[1]New Base PA'!$F:$F,'[1]New Base PA'!$D:$D,"Not Found",0)),"Non Trouvé")</f>
        <v/>
      </c>
      <c r="D212" s="343" t="inlineStr">
        <is>
          <t>Testeur</t>
        </is>
      </c>
      <c r="E212" s="278">
        <f>E32*($B$4+$B$42+$B$78)</f>
        <v/>
      </c>
      <c r="F212" s="278">
        <f>E138</f>
        <v/>
      </c>
      <c r="G212" s="279" t="n"/>
      <c r="H212" s="280" t="n"/>
      <c r="I212" s="280" t="n"/>
      <c r="J212" s="281" t="n"/>
      <c r="K212" s="282">
        <f>SUM(E164:J164)</f>
        <v/>
      </c>
      <c r="L212" s="281" t="n"/>
      <c r="M212" s="282">
        <f>K164*$M$148</f>
        <v/>
      </c>
      <c r="N212" s="282">
        <f>K164*$N$148</f>
        <v/>
      </c>
      <c r="O212" s="282">
        <f>K164*$O$148</f>
        <v/>
      </c>
    </row>
    <row r="213">
      <c r="A213" s="258" t="n">
        <v>3020301</v>
      </c>
      <c r="B213" s="259">
        <f>IFERROR(IF($B165="","",VLOOKUP($B165,'[1]Paramètres Articles'!$B:$G,2,FALSE)),"Non Trouvé")</f>
        <v/>
      </c>
      <c r="C213" s="260">
        <f>IFERROR(IF($B165="","",_xlfn.XLOOKUP(REGENERANTS!$C165,'[1]New Base PA'!$F:$F,'[1]New Base PA'!$D:$D,"Not Found",0)),"Non Trouvé")</f>
        <v/>
      </c>
      <c r="D213" s="343" t="inlineStr">
        <is>
          <t>Testeur</t>
        </is>
      </c>
      <c r="E213" s="278">
        <f>E33*($B$4+$B$42+$B$78)</f>
        <v/>
      </c>
      <c r="F213" s="278">
        <f>E139</f>
        <v/>
      </c>
      <c r="G213" s="279" t="n"/>
      <c r="H213" s="280" t="n"/>
      <c r="I213" s="280" t="n"/>
      <c r="J213" s="281" t="n"/>
      <c r="K213" s="282">
        <f>SUM(E165:J165)</f>
        <v/>
      </c>
      <c r="L213" s="281" t="n"/>
      <c r="M213" s="282">
        <f>K165*$M$148</f>
        <v/>
      </c>
      <c r="N213" s="282">
        <f>K165*$N$148</f>
        <v/>
      </c>
      <c r="O213" s="282">
        <f>K165*$O$148</f>
        <v/>
      </c>
    </row>
    <row r="214">
      <c r="A214" s="258" t="n">
        <v>3020720</v>
      </c>
      <c r="B214" s="259">
        <f>IFERROR(IF($B166="","",VLOOKUP($B166,'[1]Paramètres Articles'!$B:$G,2,FALSE)),"Non Trouvé")</f>
        <v/>
      </c>
      <c r="C214" s="260">
        <f>IFERROR(IF($B166="","",_xlfn.XLOOKUP(REGENERANTS!$C166,'[1]New Base PA'!$F:$F,'[1]New Base PA'!$D:$D,"Not Found",0)),"Non Trouvé")</f>
        <v/>
      </c>
      <c r="D214" s="343" t="inlineStr">
        <is>
          <t>Testeur</t>
        </is>
      </c>
      <c r="E214" s="278">
        <f>E34*($B$4+$B$42+$B$78)</f>
        <v/>
      </c>
      <c r="F214" s="278">
        <f>E140</f>
        <v/>
      </c>
      <c r="G214" s="279" t="n"/>
      <c r="H214" s="280" t="n"/>
      <c r="I214" s="280" t="n"/>
      <c r="J214" s="281" t="n"/>
      <c r="K214" s="282">
        <f>SUM(E166:J166)</f>
        <v/>
      </c>
      <c r="L214" s="281" t="n"/>
      <c r="M214" s="282">
        <f>K166*$M$148</f>
        <v/>
      </c>
      <c r="N214" s="282">
        <f>K166*$N$148</f>
        <v/>
      </c>
      <c r="O214" s="282">
        <f>K166*$O$148</f>
        <v/>
      </c>
    </row>
    <row r="215">
      <c r="A215" s="258" t="n">
        <v>3020718</v>
      </c>
      <c r="B215" s="259">
        <f>IFERROR(IF($B167="","",VLOOKUP($B167,'[1]Paramètres Articles'!$B:$G,2,FALSE)),"Non Trouvé")</f>
        <v/>
      </c>
      <c r="C215" s="260">
        <f>IFERROR(IF($B167="","",_xlfn.XLOOKUP(REGENERANTS!$C167,'[1]New Base PA'!$F:$F,'[1]New Base PA'!$D:$D,"Not Found",0)),"Non Trouvé")</f>
        <v/>
      </c>
      <c r="D215" s="343" t="inlineStr">
        <is>
          <t>Testeur</t>
        </is>
      </c>
      <c r="E215" s="278">
        <f>E35*($B$4+$B$42+$B$78)</f>
        <v/>
      </c>
      <c r="F215" s="278">
        <f>E141</f>
        <v/>
      </c>
      <c r="G215" s="279" t="n"/>
      <c r="H215" s="280" t="n"/>
      <c r="I215" s="280" t="n"/>
      <c r="J215" s="281" t="n"/>
      <c r="K215" s="282">
        <f>SUM(E167:J167)</f>
        <v/>
      </c>
      <c r="L215" s="281" t="n"/>
      <c r="M215" s="282">
        <f>K167*$M$148</f>
        <v/>
      </c>
      <c r="N215" s="282">
        <f>K167*$N$148</f>
        <v/>
      </c>
      <c r="O215" s="282">
        <f>K167*$O$148</f>
        <v/>
      </c>
    </row>
    <row r="216" ht="15.75" customHeight="1">
      <c r="A216" s="258" t="inlineStr">
        <is>
          <t>SR REGE RETAIL 1</t>
        </is>
      </c>
      <c r="B216" s="259">
        <f>IFERROR(IF($B168="","",VLOOKUP($B168,'[1]Paramètres Articles'!$B:$G,2,FALSE)),"Non Trouvé")</f>
        <v/>
      </c>
      <c r="C216" s="260">
        <f>IFERROR(IF($B168="","",_xlfn.XLOOKUP(REGENERANTS!$C168,'[1]New Base PA'!$F:$F,'[1]New Base PA'!$D:$D,"Not Found",0)),"Non Trouvé")</f>
        <v/>
      </c>
      <c r="D216" s="343" t="inlineStr">
        <is>
          <t>PLV</t>
        </is>
      </c>
      <c r="E216" s="283">
        <f>E36*($B$4+$B$42+$B$78)</f>
        <v/>
      </c>
      <c r="F216" s="283">
        <f>E142</f>
        <v/>
      </c>
      <c r="G216" s="284" t="n"/>
      <c r="H216" s="285" t="n"/>
      <c r="I216" s="285" t="n"/>
      <c r="J216" s="286" t="n"/>
      <c r="K216" s="287">
        <f>SUM(E168:J168)</f>
        <v/>
      </c>
      <c r="L216" s="286" t="n"/>
      <c r="M216" s="287">
        <f>K168*$M$148</f>
        <v/>
      </c>
      <c r="N216" s="287">
        <f>K168*$N$148</f>
        <v/>
      </c>
      <c r="O216" s="287">
        <f>K168*$O$148</f>
        <v/>
      </c>
    </row>
    <row r="217">
      <c r="M217" t="inlineStr">
        <is>
          <t>M1 = Mois avant le début de la campagne</t>
        </is>
      </c>
    </row>
    <row r="218">
      <c r="M218" t="inlineStr">
        <is>
          <t>M2 =Mois de la campagne</t>
        </is>
      </c>
    </row>
    <row r="219">
      <c r="M219" t="inlineStr">
        <is>
          <t>M3= 2 mois après le début de la campagne</t>
        </is>
      </c>
    </row>
    <row r="220"/>
    <row r="221">
      <c r="A221" s="258" t="n"/>
      <c r="B221" s="259" t="n"/>
      <c r="C221" s="260" t="n"/>
      <c r="D221" s="277" t="n"/>
      <c r="E221" s="278" t="n"/>
      <c r="F221" s="278" t="n"/>
      <c r="G221" s="279" t="n"/>
      <c r="H221" s="280" t="n"/>
      <c r="I221" s="280" t="n"/>
      <c r="J221" s="281" t="n"/>
      <c r="K221" s="282" t="n"/>
      <c r="L221" s="281" t="n"/>
      <c r="M221" s="282" t="n"/>
      <c r="N221" s="282" t="n"/>
      <c r="O221" s="282" t="n"/>
    </row>
    <row r="222">
      <c r="A222" s="258" t="n"/>
      <c r="B222" s="259" t="n"/>
      <c r="C222" s="260" t="n"/>
      <c r="D222" s="277" t="n"/>
      <c r="E222" s="278" t="n"/>
      <c r="F222" s="278" t="n"/>
      <c r="G222" s="279" t="n"/>
      <c r="H222" s="280" t="n"/>
      <c r="I222" s="280" t="n"/>
      <c r="J222" s="281" t="n"/>
      <c r="K222" s="282" t="n"/>
      <c r="L222" s="281" t="n"/>
      <c r="M222" s="282" t="n"/>
      <c r="N222" s="282" t="n"/>
      <c r="O222" s="282" t="n"/>
    </row>
    <row r="223">
      <c r="A223" s="258" t="n"/>
      <c r="B223" s="259" t="n"/>
      <c r="C223" s="260" t="n"/>
      <c r="D223" s="277" t="n"/>
      <c r="E223" s="278" t="n"/>
      <c r="F223" s="278" t="n"/>
      <c r="G223" s="279" t="n"/>
      <c r="H223" s="280" t="n"/>
      <c r="I223" s="280" t="n"/>
      <c r="J223" s="281" t="n"/>
      <c r="K223" s="282" t="n"/>
      <c r="L223" s="281" t="n"/>
      <c r="M223" s="282" t="n"/>
      <c r="N223" s="282" t="n"/>
      <c r="O223" s="282" t="n"/>
    </row>
    <row r="224">
      <c r="A224" s="258" t="n"/>
      <c r="B224" s="259" t="n"/>
      <c r="C224" s="260" t="n"/>
      <c r="D224" s="277" t="n"/>
      <c r="E224" s="278" t="n"/>
      <c r="F224" s="278" t="n"/>
      <c r="G224" s="279" t="n"/>
      <c r="H224" s="280" t="n"/>
      <c r="I224" s="280" t="n"/>
      <c r="J224" s="281" t="n"/>
      <c r="K224" s="282" t="n"/>
      <c r="L224" s="281" t="n"/>
      <c r="M224" s="282" t="n"/>
      <c r="N224" s="282" t="n"/>
      <c r="O224" s="282" t="n"/>
    </row>
    <row r="225">
      <c r="A225" s="258" t="n"/>
      <c r="B225" s="259" t="n"/>
      <c r="C225" s="260" t="n"/>
      <c r="D225" s="277" t="n"/>
      <c r="E225" s="278" t="n"/>
      <c r="F225" s="278" t="n"/>
      <c r="G225" s="279" t="n"/>
      <c r="H225" s="280" t="n"/>
      <c r="I225" s="280" t="n"/>
      <c r="J225" s="281" t="n"/>
      <c r="K225" s="282" t="n"/>
      <c r="L225" s="281" t="n"/>
      <c r="M225" s="282" t="n"/>
      <c r="N225" s="282" t="n"/>
      <c r="O225" s="282" t="n"/>
    </row>
    <row r="226">
      <c r="A226" s="258" t="n"/>
      <c r="B226" s="259" t="n"/>
      <c r="C226" s="260" t="n"/>
      <c r="D226" s="277" t="n"/>
      <c r="E226" s="278" t="n"/>
      <c r="F226" s="278" t="n"/>
      <c r="G226" s="279" t="n"/>
      <c r="H226" s="280" t="n"/>
      <c r="I226" s="280" t="n"/>
      <c r="J226" s="281" t="n"/>
      <c r="K226" s="282" t="n"/>
      <c r="L226" s="281" t="n"/>
      <c r="M226" s="282" t="n"/>
      <c r="N226" s="282" t="n"/>
      <c r="O226" s="282" t="n"/>
    </row>
    <row r="227">
      <c r="A227" s="258" t="n"/>
      <c r="B227" s="259" t="n"/>
      <c r="C227" s="260" t="n"/>
      <c r="D227" s="277" t="n"/>
      <c r="E227" s="283" t="n"/>
      <c r="F227" s="283" t="n"/>
      <c r="G227" s="284" t="n"/>
      <c r="H227" s="285" t="n"/>
      <c r="I227" s="285" t="n"/>
      <c r="J227" s="286" t="n"/>
      <c r="K227" s="287" t="n"/>
      <c r="L227" s="286" t="n"/>
      <c r="M227" s="287" t="n"/>
      <c r="N227" s="287" t="n"/>
      <c r="O227" s="287" t="n"/>
    </row>
  </sheetData>
  <mergeCells count="35">
    <mergeCell ref="U128:V128"/>
    <mergeCell ref="W128:X128"/>
    <mergeCell ref="M48:N48"/>
    <mergeCell ref="Q8:R8"/>
    <mergeCell ref="M6:R6"/>
    <mergeCell ref="M88:N88"/>
    <mergeCell ref="S8:T8"/>
    <mergeCell ref="M46:R46"/>
    <mergeCell ref="S48:T48"/>
    <mergeCell ref="M86:R86"/>
    <mergeCell ref="U48:V48"/>
    <mergeCell ref="A194:O194"/>
    <mergeCell ref="O88:P88"/>
    <mergeCell ref="M128:N128"/>
    <mergeCell ref="Q88:R88"/>
    <mergeCell ref="O128:P128"/>
    <mergeCell ref="M126:R126"/>
    <mergeCell ref="Y88:Z88"/>
    <mergeCell ref="Y128:Z128"/>
    <mergeCell ref="S162:X162"/>
    <mergeCell ref="S128:T128"/>
    <mergeCell ref="Y162:AD162"/>
    <mergeCell ref="M8:N8"/>
    <mergeCell ref="O8:P8"/>
    <mergeCell ref="U8:V8"/>
    <mergeCell ref="O48:P48"/>
    <mergeCell ref="W8:X8"/>
    <mergeCell ref="Q48:R48"/>
    <mergeCell ref="W48:X48"/>
    <mergeCell ref="Y48:Z48"/>
    <mergeCell ref="S88:T88"/>
    <mergeCell ref="Q128:R128"/>
    <mergeCell ref="Y8:Z8"/>
    <mergeCell ref="U88:V88"/>
    <mergeCell ref="W88:X88"/>
  </mergeCells>
  <conditionalFormatting sqref="B17:C36 J17:L36">
    <cfRule type="cellIs" priority="183" operator="equal" dxfId="0">
      <formula>"Non trouvé"</formula>
    </cfRule>
  </conditionalFormatting>
  <conditionalFormatting sqref="F17:G36">
    <cfRule type="cellIs" priority="182" operator="equal" dxfId="0">
      <formula>"Non trouvé"</formula>
    </cfRule>
  </conditionalFormatting>
  <conditionalFormatting sqref="M17:M36">
    <cfRule type="cellIs" priority="148" operator="equal" dxfId="0">
      <formula>"Non trouvé"</formula>
    </cfRule>
  </conditionalFormatting>
  <conditionalFormatting sqref="O17:O36">
    <cfRule type="cellIs" priority="147" operator="equal" dxfId="0">
      <formula>"Non trouvé"</formula>
    </cfRule>
  </conditionalFormatting>
  <conditionalFormatting sqref="S17:S36">
    <cfRule type="cellIs" priority="144" operator="equal" dxfId="0">
      <formula>"Non trouvé"</formula>
    </cfRule>
  </conditionalFormatting>
  <conditionalFormatting sqref="U17:U36">
    <cfRule type="cellIs" priority="143" operator="equal" dxfId="0">
      <formula>"Non trouvé"</formula>
    </cfRule>
  </conditionalFormatting>
  <conditionalFormatting sqref="W17:W36">
    <cfRule type="cellIs" priority="142" operator="equal" dxfId="0">
      <formula>"Non trouvé"</formula>
    </cfRule>
  </conditionalFormatting>
  <conditionalFormatting sqref="Y17:Y36">
    <cfRule type="cellIs" priority="141" operator="equal" dxfId="0">
      <formula>"Non trouvé"</formula>
    </cfRule>
  </conditionalFormatting>
  <conditionalFormatting sqref="Q17:Q36">
    <cfRule type="cellIs" priority="31" operator="equal" dxfId="0">
      <formula>"Non trouvé"</formula>
    </cfRule>
  </conditionalFormatting>
  <conditionalFormatting sqref="B55:C74 J55:L74">
    <cfRule type="cellIs" priority="30" operator="equal" dxfId="0">
      <formula>"Non trouvé"</formula>
    </cfRule>
  </conditionalFormatting>
  <conditionalFormatting sqref="F55:G74">
    <cfRule type="cellIs" priority="29" operator="equal" dxfId="0">
      <formula>"Non trouvé"</formula>
    </cfRule>
  </conditionalFormatting>
  <conditionalFormatting sqref="M55:M74">
    <cfRule type="cellIs" priority="28" operator="equal" dxfId="0">
      <formula>"Non trouvé"</formula>
    </cfRule>
  </conditionalFormatting>
  <conditionalFormatting sqref="O55:O74">
    <cfRule type="cellIs" priority="27" operator="equal" dxfId="0">
      <formula>"Non trouvé"</formula>
    </cfRule>
  </conditionalFormatting>
  <conditionalFormatting sqref="S55:S74">
    <cfRule type="cellIs" priority="26" operator="equal" dxfId="0">
      <formula>"Non trouvé"</formula>
    </cfRule>
  </conditionalFormatting>
  <conditionalFormatting sqref="U55:U74">
    <cfRule type="cellIs" priority="25" operator="equal" dxfId="0">
      <formula>"Non trouvé"</formula>
    </cfRule>
  </conditionalFormatting>
  <conditionalFormatting sqref="W55:W74">
    <cfRule type="cellIs" priority="24" operator="equal" dxfId="0">
      <formula>"Non trouvé"</formula>
    </cfRule>
  </conditionalFormatting>
  <conditionalFormatting sqref="Y55:Y74">
    <cfRule type="cellIs" priority="23" operator="equal" dxfId="0">
      <formula>"Non trouvé"</formula>
    </cfRule>
  </conditionalFormatting>
  <conditionalFormatting sqref="Q55:Q74">
    <cfRule type="cellIs" priority="22" operator="equal" dxfId="0">
      <formula>"Non trouvé"</formula>
    </cfRule>
  </conditionalFormatting>
  <conditionalFormatting sqref="B91:C110 J91:L110">
    <cfRule type="cellIs" priority="21" operator="equal" dxfId="0">
      <formula>"Non trouvé"</formula>
    </cfRule>
  </conditionalFormatting>
  <conditionalFormatting sqref="F91:G110">
    <cfRule type="cellIs" priority="20" operator="equal" dxfId="0">
      <formula>"Non trouvé"</formula>
    </cfRule>
  </conditionalFormatting>
  <conditionalFormatting sqref="M91:M110">
    <cfRule type="cellIs" priority="19" operator="equal" dxfId="0">
      <formula>"Non trouvé"</formula>
    </cfRule>
  </conditionalFormatting>
  <conditionalFormatting sqref="O91:O110">
    <cfRule type="cellIs" priority="18" operator="equal" dxfId="0">
      <formula>"Non trouvé"</formula>
    </cfRule>
  </conditionalFormatting>
  <conditionalFormatting sqref="S91:S110">
    <cfRule type="cellIs" priority="17" operator="equal" dxfId="0">
      <formula>"Non trouvé"</formula>
    </cfRule>
  </conditionalFormatting>
  <conditionalFormatting sqref="U91:U110">
    <cfRule type="cellIs" priority="16" operator="equal" dxfId="0">
      <formula>"Non trouvé"</formula>
    </cfRule>
  </conditionalFormatting>
  <conditionalFormatting sqref="W91:W110">
    <cfRule type="cellIs" priority="15" operator="equal" dxfId="0">
      <formula>"Non trouvé"</formula>
    </cfRule>
  </conditionalFormatting>
  <conditionalFormatting sqref="Y91:Y110">
    <cfRule type="cellIs" priority="14" operator="equal" dxfId="0">
      <formula>"Non trouvé"</formula>
    </cfRule>
  </conditionalFormatting>
  <conditionalFormatting sqref="Q91:Q110">
    <cfRule type="cellIs" priority="13" operator="equal" dxfId="0">
      <formula>"Non trouvé"</formula>
    </cfRule>
  </conditionalFormatting>
  <conditionalFormatting sqref="N123:N142">
    <cfRule type="cellIs" priority="12" operator="equal" dxfId="0">
      <formula>"Non trouvé"</formula>
    </cfRule>
  </conditionalFormatting>
  <conditionalFormatting sqref="Q123:Q142">
    <cfRule type="cellIs" priority="11" operator="equal" dxfId="0">
      <formula>"Non trouvé"</formula>
    </cfRule>
  </conditionalFormatting>
  <conditionalFormatting sqref="T123:T142">
    <cfRule type="cellIs" priority="10" operator="equal" dxfId="0">
      <formula>"Non trouvé"</formula>
    </cfRule>
  </conditionalFormatting>
  <conditionalFormatting sqref="W123:W142">
    <cfRule type="cellIs" priority="7" operator="equal" dxfId="0">
      <formula>"Non trouvé"</formula>
    </cfRule>
  </conditionalFormatting>
  <conditionalFormatting sqref="Z123:Z142">
    <cfRule type="cellIs" priority="6" operator="equal" dxfId="0">
      <formula>"Non trouvé"</formula>
    </cfRule>
  </conditionalFormatting>
  <conditionalFormatting sqref="B123:C142 J123:L142">
    <cfRule type="cellIs" priority="5" operator="equal" dxfId="0">
      <formula>"Non trouvé"</formula>
    </cfRule>
  </conditionalFormatting>
  <conditionalFormatting sqref="F123:F142">
    <cfRule type="cellIs" priority="4" operator="equal" dxfId="0">
      <formula>"Non trouvé"</formula>
    </cfRule>
  </conditionalFormatting>
  <conditionalFormatting sqref="AC123:AC142">
    <cfRule type="cellIs" priority="3" operator="equal" dxfId="0">
      <formula>"Non trouvé"</formula>
    </cfRule>
  </conditionalFormatting>
  <conditionalFormatting sqref="B149:C168">
    <cfRule type="cellIs" priority="2" operator="equal" dxfId="0">
      <formula>"Non trouvé"</formula>
    </cfRule>
  </conditionalFormatting>
  <pageMargins left="0.7" right="0.7" top="0.75" bottom="0.75" header="0.3" footer="0.3"/>
  <pageSetup orientation="portrait" paperSize="9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Sissi Giraud</dc:creator>
  <dcterms:created xmlns:dcterms="http://purl.org/dc/terms/" xmlns:xsi="http://www.w3.org/2001/XMLSchema-instance" xsi:type="dcterms:W3CDTF">2026-06-19T13:39:57Z</dcterms:created>
  <dcterms:modified xmlns:dcterms="http://purl.org/dc/terms/" xmlns:xsi="http://www.w3.org/2001/XMLSchema-instance" xsi:type="dcterms:W3CDTF">2026-06-24T11:49:39Z</dcterms:modified>
  <cp:lastModifiedBy>Sissi Giraud</cp:lastModifiedBy>
</cp:coreProperties>
</file>